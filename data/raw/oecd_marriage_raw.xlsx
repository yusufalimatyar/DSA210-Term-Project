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4.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https://portal.oecd.org/eshare/els/pc/Deliverables/Family/5_Family_Database/1_SF/1_sources_raw-data_working-files/SF3.1/2025/"/>
    </mc:Choice>
  </mc:AlternateContent>
  <xr:revisionPtr revIDLastSave="0" documentId="13_ncr:1_{013C0CC2-0A6B-460D-A910-FF70C5B564AB}" xr6:coauthVersionLast="47" xr6:coauthVersionMax="47" xr10:uidLastSave="{00000000-0000-0000-0000-000000000000}"/>
  <bookViews>
    <workbookView xWindow="-19320" yWindow="270" windowWidth="19440" windowHeight="14880" tabRatio="863" xr2:uid="{00000000-000D-0000-FFFF-FFFF00000000}"/>
  </bookViews>
  <sheets>
    <sheet name="Chart SF3.1.A" sheetId="43" r:id="rId1"/>
    <sheet name="Chart SF3.1.B" sheetId="45" r:id="rId2"/>
    <sheet name="TableSF3.1.A-Same-Sex (rainbow)" sheetId="47" r:id="rId3"/>
    <sheet name="Chart SF3.1.C" sheetId="44" r:id="rId4"/>
    <sheet name="Chart SF3.1.D" sheetId="46" r:id="rId5"/>
    <sheet name="MarriageRates" sheetId="8" r:id="rId6"/>
    <sheet name="MeanAgeFirstMarriage" sheetId="37" r:id="rId7"/>
    <sheet name="DivorceRates" sheetId="20" r:id="rId8"/>
    <sheet name="PrevMaritalStatus" sheetId="48" r:id="rId9"/>
  </sheets>
  <definedNames>
    <definedName name="_xlnm.Print_Area" localSheetId="0">'Chart SF3.1.A'!$A$3:$J$18</definedName>
    <definedName name="_xlnm.Print_Area" localSheetId="1">'Chart SF3.1.B'!$A$3:$I$37</definedName>
    <definedName name="_xlnm.Print_Area" localSheetId="3">'Chart SF3.1.C'!$A$4:$I$19</definedName>
    <definedName name="_xlnm.Print_Area" localSheetId="4">'Chart SF3.1.D'!$A$4:$I$20</definedName>
    <definedName name="_xlnm.Print_Area" localSheetId="7">DivorceRates!$B$1:$BL$76</definedName>
    <definedName name="_xlnm.Print_Area" localSheetId="5">MarriageRates!$B$1:$BL$78</definedName>
    <definedName name="_xlnm.Print_Area" localSheetId="6">MeanAgeFirstMarriage!$A$1:$AD$112</definedName>
    <definedName name="_xlnm.Print_Area" localSheetId="8">PrevMaritalStatus!$A$1:$BH$139</definedName>
    <definedName name="_xlnm.Print_Area" localSheetId="2">'TableSF3.1.A-Same-Sex (rainbow)'!#REF!</definedName>
    <definedName name="_xlnm.Print_Titles" localSheetId="7">DivorceRates!$1:$4</definedName>
    <definedName name="_xlnm.Print_Titles" localSheetId="5">MarriageRates!$1:$4</definedName>
    <definedName name="_xlnm.Print_Titles" localSheetId="6">MeanAgeFirstMarriage!$1:$4</definedName>
    <definedName name="_xlnm.Print_Titles" localSheetId="8">PrevMaritalStatus!$1:$4</definedName>
    <definedName name="_xlnm.Print_Titles" localSheetId="2">'TableSF3.1.A-Same-Sex (rainbow)'!$A:$B,'TableSF3.1.A-Same-Sex (rainbow)'!#REF!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46" l="1"/>
  <c r="BM4" i="48" l="1"/>
  <c r="BN4" i="48"/>
  <c r="C11" i="47"/>
  <c r="D11" i="47"/>
  <c r="C14" i="47"/>
  <c r="D14" i="47"/>
  <c r="C16" i="47"/>
  <c r="D16" i="47"/>
  <c r="C18" i="47"/>
  <c r="D18" i="47"/>
  <c r="C22" i="47"/>
  <c r="C23" i="47"/>
  <c r="D23" i="47"/>
  <c r="C24" i="47"/>
  <c r="D24" i="47"/>
  <c r="C25" i="47"/>
  <c r="D25" i="47"/>
  <c r="D28" i="47"/>
  <c r="C32" i="47" l="1"/>
  <c r="D32" i="47"/>
</calcChain>
</file>

<file path=xl/sharedStrings.xml><?xml version="1.0" encoding="utf-8"?>
<sst xmlns="http://schemas.openxmlformats.org/spreadsheetml/2006/main" count="6487" uniqueCount="243">
  <si>
    <t>.. Not available</t>
  </si>
  <si>
    <t>Romania</t>
  </si>
  <si>
    <t>Malta</t>
  </si>
  <si>
    <t>Lithuania</t>
  </si>
  <si>
    <t>Latvia</t>
  </si>
  <si>
    <t>Cyprus</t>
  </si>
  <si>
    <t>Croatia</t>
  </si>
  <si>
    <t>Bulgaria</t>
  </si>
  <si>
    <t>United States</t>
  </si>
  <si>
    <t>United Kingdom</t>
  </si>
  <si>
    <t>Turkey</t>
  </si>
  <si>
    <t>Switzerland</t>
  </si>
  <si>
    <t>Sweden</t>
  </si>
  <si>
    <t>Spain</t>
  </si>
  <si>
    <t>Slovenia</t>
  </si>
  <si>
    <t>Slovak Republic</t>
  </si>
  <si>
    <t>Portugal</t>
  </si>
  <si>
    <t>Poland</t>
  </si>
  <si>
    <t>Norway</t>
  </si>
  <si>
    <t>New Zealand</t>
  </si>
  <si>
    <t>Netherlands</t>
  </si>
  <si>
    <t>Mexico</t>
  </si>
  <si>
    <t>Luxembourg</t>
  </si>
  <si>
    <t>Korea</t>
  </si>
  <si>
    <t>Japan</t>
  </si>
  <si>
    <t>Italy</t>
  </si>
  <si>
    <t>Israel</t>
  </si>
  <si>
    <t>Ireland</t>
  </si>
  <si>
    <t>Iceland</t>
  </si>
  <si>
    <t>Hungary</t>
  </si>
  <si>
    <t>Greece</t>
  </si>
  <si>
    <t>Germany</t>
  </si>
  <si>
    <t>France</t>
  </si>
  <si>
    <t>Finland</t>
  </si>
  <si>
    <t>Estonia</t>
  </si>
  <si>
    <t>Denmark</t>
  </si>
  <si>
    <t>Chile</t>
  </si>
  <si>
    <t>Canada</t>
  </si>
  <si>
    <t>Belgium</t>
  </si>
  <si>
    <t>Austria</t>
  </si>
  <si>
    <t>Australia</t>
  </si>
  <si>
    <t>Note</t>
  </si>
  <si>
    <t>Country</t>
  </si>
  <si>
    <t>Year</t>
  </si>
  <si>
    <t>..</t>
  </si>
  <si>
    <t>Sources:</t>
  </si>
  <si>
    <t>for the UK, Office for National Statistics</t>
  </si>
  <si>
    <t>for Japan, Statistics Japan</t>
  </si>
  <si>
    <t>Crude marriage rates</t>
  </si>
  <si>
    <t>Crude divorce rates</t>
  </si>
  <si>
    <t>Mean age at first marriage</t>
  </si>
  <si>
    <t>Distribution of marrying persons by previous marital status</t>
  </si>
  <si>
    <t>Single never married</t>
  </si>
  <si>
    <t>Divorced</t>
  </si>
  <si>
    <t>Previous marital status</t>
  </si>
  <si>
    <t>Widowed</t>
  </si>
  <si>
    <t>Male</t>
  </si>
  <si>
    <t>Female</t>
  </si>
  <si>
    <t>Gender</t>
  </si>
  <si>
    <t>for European countries and Turkey, Eurostat Demographic Statistics</t>
  </si>
  <si>
    <t>for Australia, Australian Bureau of Statistics</t>
  </si>
  <si>
    <t>for all countries, United Nations World Marriage Data 2008</t>
  </si>
  <si>
    <t>for all countries, United Nations Demographic Yearbook</t>
  </si>
  <si>
    <t>for the United States, US Census Bureau</t>
  </si>
  <si>
    <t>for New Zealand, Statistics New Zealand</t>
  </si>
  <si>
    <t>for Korea, Korean Statistical Information Service</t>
  </si>
  <si>
    <t>for Mexico, INEGI</t>
  </si>
  <si>
    <t>Marriages per 1000 people</t>
  </si>
  <si>
    <t>Divorces per 1000 people</t>
  </si>
  <si>
    <t>Female mean age at first marriage</t>
  </si>
  <si>
    <t>Male mean age at first marriage</t>
  </si>
  <si>
    <t>Colombia</t>
  </si>
  <si>
    <t>Costa Rica</t>
  </si>
  <si>
    <t>Brazil</t>
  </si>
  <si>
    <t>China</t>
  </si>
  <si>
    <t>India</t>
  </si>
  <si>
    <t>Indonesia</t>
  </si>
  <si>
    <t>Russian Federation</t>
  </si>
  <si>
    <t>South Africa</t>
  </si>
  <si>
    <t>Argentina</t>
  </si>
  <si>
    <t>Saudi Arabia</t>
  </si>
  <si>
    <t>for Costa Rica, INEC</t>
  </si>
  <si>
    <t>for Israel, CBS</t>
  </si>
  <si>
    <t>for the United States, Centers for Disease Prevention and Control</t>
  </si>
  <si>
    <t>for Chile, INE</t>
  </si>
  <si>
    <t>Russian Fed.</t>
  </si>
  <si>
    <t>for European countries, Eurostat Demographic Statistics</t>
  </si>
  <si>
    <t>for Canada, Statistics Canada</t>
  </si>
  <si>
    <t>7,8</t>
  </si>
  <si>
    <t>3,4</t>
  </si>
  <si>
    <t>2,3</t>
  </si>
  <si>
    <t>-</t>
  </si>
  <si>
    <t>Sources..</t>
  </si>
  <si>
    <t>1. For Australia, New Zealand and the United States, median age at first marriage</t>
  </si>
  <si>
    <t>2. For Mexico, data refer to all marriages and not only first marriage</t>
  </si>
  <si>
    <t>3. For Canada, data include the legal union of two persons of the same sex in some provinces and territories from 2003 onwards, and in all of Canada from 2005 onwards.</t>
  </si>
  <si>
    <t xml:space="preserve">4. Data for New Zealand include civil unions. From 2007 onwards, data include those who transferred their civil union to a marriage. </t>
  </si>
  <si>
    <t>6.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</si>
  <si>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7. 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t>
  </si>
  <si>
    <t>8. 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</si>
  <si>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1. For some European countries (e.g. Denmark, Finland, Netherlands, Sweden, and Switzerland) the data allow for the separate identification of people who were previously in a registered partnership. These people are included here under 'single never married'. For New Zealand, 'single never married' means never married and never in a civil union.</t>
  </si>
  <si>
    <t>2. 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t>
  </si>
  <si>
    <t>3. 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</si>
  <si>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1. For the United States, data do not include certain states, with the exact states excluded varying from year to year. For more information, see the United States Centers for Disease Prevention and Control website (http..//www.cdc.gov/nchs/nvss/marriage_divorce_tables.htm).</t>
  </si>
  <si>
    <t>Sources.</t>
  </si>
  <si>
    <t>1. For Canada, data include the legal union of two persons of the same sex in some provinces and territories from 2003 onwards, and in all of Canada from 2005 onwards.</t>
  </si>
  <si>
    <t>2. Data for New Zealand include civil unions.</t>
  </si>
  <si>
    <t>3.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</si>
  <si>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for Japan, Statistics Japan, Vital Statistics</t>
  </si>
  <si>
    <t>if not:</t>
  </si>
  <si>
    <t>OECD-26 average</t>
  </si>
  <si>
    <t>OECD-35 average</t>
  </si>
  <si>
    <t>AUS</t>
  </si>
  <si>
    <t>AUT</t>
  </si>
  <si>
    <t>BEL</t>
  </si>
  <si>
    <t>CAN</t>
  </si>
  <si>
    <t>CHL</t>
  </si>
  <si>
    <t>COL</t>
  </si>
  <si>
    <t>CRI</t>
  </si>
  <si>
    <t>CZE</t>
  </si>
  <si>
    <t>DNK</t>
  </si>
  <si>
    <t>EST</t>
  </si>
  <si>
    <t>FIN</t>
  </si>
  <si>
    <t>FRA</t>
  </si>
  <si>
    <t>DEU</t>
  </si>
  <si>
    <t>GRC</t>
  </si>
  <si>
    <t>HUN</t>
  </si>
  <si>
    <t>ISL</t>
  </si>
  <si>
    <t>IRL</t>
  </si>
  <si>
    <t>ISR</t>
  </si>
  <si>
    <t>ITA</t>
  </si>
  <si>
    <t>JPN</t>
  </si>
  <si>
    <t>KOR</t>
  </si>
  <si>
    <t>LVA</t>
  </si>
  <si>
    <t>LTU</t>
  </si>
  <si>
    <t>LUX</t>
  </si>
  <si>
    <t>MEX</t>
  </si>
  <si>
    <t>NLD</t>
  </si>
  <si>
    <t>NZL</t>
  </si>
  <si>
    <t>NOR</t>
  </si>
  <si>
    <t>POL</t>
  </si>
  <si>
    <t>PRT</t>
  </si>
  <si>
    <t>SVK</t>
  </si>
  <si>
    <t>SVN</t>
  </si>
  <si>
    <t>ESP</t>
  </si>
  <si>
    <t>SWE</t>
  </si>
  <si>
    <t>CHE</t>
  </si>
  <si>
    <t>TUR</t>
  </si>
  <si>
    <t>GBR</t>
  </si>
  <si>
    <t>USA</t>
  </si>
  <si>
    <t>BRA</t>
  </si>
  <si>
    <t>CHN</t>
  </si>
  <si>
    <t>IND</t>
  </si>
  <si>
    <t>IDN</t>
  </si>
  <si>
    <t>RUS</t>
  </si>
  <si>
    <t>ZAF</t>
  </si>
  <si>
    <t>ARG</t>
  </si>
  <si>
    <t>SAU</t>
  </si>
  <si>
    <t>BGR</t>
  </si>
  <si>
    <t>HRV</t>
  </si>
  <si>
    <t>CYP</t>
  </si>
  <si>
    <t>MLT</t>
  </si>
  <si>
    <t>ROU</t>
  </si>
  <si>
    <t>for Chile, INE: estadísticas judiciales</t>
  </si>
  <si>
    <t>Share of all marriages</t>
  </si>
  <si>
    <t xml:space="preserve">4. For the United Kingdom, data from 2014 onwards include marriages between same-sex partners. </t>
  </si>
  <si>
    <t>Statistics Norway</t>
  </si>
  <si>
    <t>Destatis</t>
  </si>
  <si>
    <t>Statistik Austria</t>
  </si>
  <si>
    <t>Statistics Denmark</t>
  </si>
  <si>
    <t>Australian Bureau of Statistics</t>
  </si>
  <si>
    <t>STATBEL</t>
  </si>
  <si>
    <t>Statistics Finland</t>
  </si>
  <si>
    <t>INSEE</t>
  </si>
  <si>
    <t>Central Statistical Office</t>
  </si>
  <si>
    <t>STATEC</t>
  </si>
  <si>
    <t>INE</t>
  </si>
  <si>
    <t>SCB</t>
  </si>
  <si>
    <t>Statistics Iceland</t>
  </si>
  <si>
    <t>ONS</t>
  </si>
  <si>
    <t>May 2020</t>
  </si>
  <si>
    <t>Date of legal recognition</t>
  </si>
  <si>
    <t>Share of female same-sex marriages</t>
  </si>
  <si>
    <t>OECD average</t>
  </si>
  <si>
    <t>July 2022</t>
  </si>
  <si>
    <t>March 2022</t>
  </si>
  <si>
    <t>if not: (as for males)</t>
  </si>
  <si>
    <t>2022 (↘)</t>
  </si>
  <si>
    <r>
      <rPr>
        <sz val="10"/>
        <rFont val="Arial Narrow"/>
        <family val="2"/>
      </rPr>
      <t>Chart SF3.1.A.</t>
    </r>
    <r>
      <rPr>
        <b/>
        <sz val="10"/>
        <rFont val="Arial Narrow"/>
        <family val="2"/>
      </rPr>
      <t xml:space="preserve"> Crude marriage rate, 1970, 1995, 2019 and 2022 or latest available year</t>
    </r>
  </si>
  <si>
    <t>Türkiye</t>
  </si>
  <si>
    <t>Slovakia</t>
  </si>
  <si>
    <t>Czechia</t>
  </si>
  <si>
    <t>OECD-35</t>
  </si>
  <si>
    <t>EU-25 average</t>
  </si>
  <si>
    <r>
      <rPr>
        <sz val="10"/>
        <rFont val="Arial Narrow"/>
        <family val="2"/>
      </rPr>
      <t>Chart SF3.1.C.</t>
    </r>
    <r>
      <rPr>
        <b/>
        <sz val="10"/>
        <rFont val="Arial Narrow"/>
        <family val="2"/>
      </rPr>
      <t xml:space="preserve"> Crude divorce rate, 1970, 1995, 2019 and 2022 or latest available year</t>
    </r>
  </si>
  <si>
    <t>OECD-29</t>
  </si>
  <si>
    <t>EU-20</t>
  </si>
  <si>
    <t>2021 (↘)</t>
  </si>
  <si>
    <t>if not 2021</t>
  </si>
  <si>
    <t>for Korea, Statistics Korea (KOSIS)</t>
  </si>
  <si>
    <t>EU-26</t>
  </si>
  <si>
    <t>Proportion (%) of all marrying persons who where single (never married)</t>
  </si>
  <si>
    <r>
      <rPr>
        <sz val="10"/>
        <rFont val="Arial Narrow"/>
        <family val="2"/>
      </rPr>
      <t>Chart SF3.1.D.</t>
    </r>
    <r>
      <rPr>
        <b/>
        <sz val="10"/>
        <rFont val="Arial Narrow"/>
        <family val="2"/>
      </rPr>
      <t xml:space="preserve"> Distribution of marrying persons by previous marital status, 2021 or latest available year</t>
    </r>
  </si>
  <si>
    <r>
      <rPr>
        <sz val="10"/>
        <rFont val="Arial Narrow"/>
        <family val="2"/>
      </rPr>
      <t>Chart SF3.1.B.</t>
    </r>
    <r>
      <rPr>
        <b/>
        <sz val="10"/>
        <rFont val="Arial Narrow"/>
        <family val="2"/>
      </rPr>
      <t xml:space="preserve"> Mean age at first marriage by sex, 1990, 2000, and 2021 or latest available year</t>
    </r>
  </si>
  <si>
    <t>** 2010 in Mexico City, 2016 in Jalisco, 2021 in Veracruz, 2022 in Mexico State… It is now allowed in 26 federal entities (out of 32).</t>
  </si>
  <si>
    <t xml:space="preserve">* Instead of 2022: , 2021 in </t>
  </si>
  <si>
    <t>Bundesamt für Statistik</t>
  </si>
  <si>
    <t>2022* (July-Dec)</t>
  </si>
  <si>
    <t xml:space="preserve"> July 2022</t>
  </si>
  <si>
    <t>Stats New Zealand</t>
  </si>
  <si>
    <t>CBS</t>
  </si>
  <si>
    <t>INEGI</t>
  </si>
  <si>
    <t>2010 in Mexico City</t>
  </si>
  <si>
    <t xml:space="preserve"> January 2024</t>
  </si>
  <si>
    <t>INEC Costa Rica</t>
  </si>
  <si>
    <t>Datos Abiertos, Portal Único del Estado Colombiano</t>
  </si>
  <si>
    <t>Data for 2022 or nearest year</t>
  </si>
  <si>
    <r>
      <rPr>
        <sz val="12"/>
        <color theme="1"/>
        <rFont val="Arial"/>
        <family val="2"/>
      </rPr>
      <t>Table SF3.1.A.</t>
    </r>
    <r>
      <rPr>
        <b/>
        <sz val="12"/>
        <color theme="1"/>
        <rFont val="Arial"/>
        <family val="2"/>
      </rPr>
      <t xml:space="preserve">  Basic statistics on same-sex marriages in OECD countries, in 2022 or closest year available *</t>
    </r>
  </si>
  <si>
    <t>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</si>
  <si>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t>
  </si>
  <si>
    <t>5,6</t>
  </si>
  <si>
    <t>:</t>
  </si>
  <si>
    <t xml:space="preserve">2. For Australia and New Zealand, data from 2018 onward on crude divorce rates reflect the number of divorces granted during the year per 1,000 of estimated resident population aged 16 and over, as at 30 June that year. </t>
  </si>
  <si>
    <t xml:space="preserve">6. For the United Kingdom, data from 2014 onwards include divorces between same-sex partners. </t>
  </si>
  <si>
    <t>7. For the United Kindgom, data refers to divorces in England and Wales</t>
  </si>
  <si>
    <t>for Colombia, Datos Abiertos, Portal Único del Estado Colombiano</t>
  </si>
  <si>
    <t>for Mexico: INEGI</t>
  </si>
  <si>
    <t>Divorce, for all countries, United Nations Demographic Yearbook</t>
  </si>
  <si>
    <t>for Switzerland, BFS</t>
  </si>
  <si>
    <t>South Africa, Stats South Africa</t>
  </si>
  <si>
    <t>for all other countries, United Nations Demographic Yearbook</t>
  </si>
  <si>
    <t>4. 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t>
  </si>
  <si>
    <t>5. 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</si>
  <si>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Note: instead of 2021, data refer to 2020 for Bulgaria, Iceland, New Zealand, Norway and Türkiye; to 2019 for Austria, Cyprus, Estonia and the United Kingdom; to 2018 for France and to 2016 for Chile, Ireland and Germany. For some European countries (e.g. Denmark, Finland, Netherlands, Sweden) and Switzerland, the data allow for the separate identification of people who were previously in a registered partnership. These people are included here under 'single never married'. For New Zealand, 'single never married' means never married and never in a civil union.</t>
  </si>
  <si>
    <t>Note: Data for 2021 refers to 2020 for France, Iceland, Japan, Norway, Poland, Sweden, Türkiye and the United Kingdom; to 2019 for Austria; to 2018 for Estonia; to 2017 for Canada and Germany, and 2016 for Chile and Ireland.  Data for Mexico refer to all marriages rather than first marriages, and for Australia, New Zealand and the United States to median age at first marriage, rather than mean age at first marriage. Data for New Zealand include civil unions, and from 2007 onwards also those who transferred their civil union to a marriage. For the United Kingdom, data from 2014 onwards include marriages between same-sex partners. The OECD-26 average is the unweighted average across the 26 OECD countries with data available for all 3 time points.</t>
  </si>
  <si>
    <t>By sex, 1990-2021</t>
  </si>
  <si>
    <t>Divorces per 1000 people, 1960-2022</t>
  </si>
  <si>
    <t>Proportion (%) of all marrying persons with known previous marital status, 1960-2022</t>
  </si>
  <si>
    <t>Marriages per 1000 people, 1960-2022</t>
  </si>
  <si>
    <t>Notes: Data for New Zealand include civil unions. 2022 data refers to 2021 for Chile, Israel, and Ireland; and 2020 for Canada, Iceland, and the United Kingdom. The OECD-35  average is the unweighted average across the 35 OECD countries with data available for all 4 time points. The EU-25 average is the unweighted average across the 25 EU countries with data available for all 4 time points.</t>
  </si>
  <si>
    <t>OECD-32</t>
  </si>
  <si>
    <t>for Japan: Ministry of Health, Labour, and Welfare of Japan</t>
  </si>
  <si>
    <t>Notes: 2022 data refers to 2021 for Chile, Costa Rica, Israel, and the United States; and 2020 for Canada, Iceland, and the United Kingdom.  2019 data refers to 2017 for Greece and Ireland, and to 2016 for France. The OECD-29  average is the unweighted average across the 29 OECD countries with data available for all 4 time points. The EU-20 average is the unweighted average across the 20 EU countries with data data available for all 4 time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</si>
</sst>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 #,##0.00_ ;_ * \-#,##0.00_ ;_ * &quot;-&quot;??_ ;_ @_ "/>
    <numFmt numFmtId="166" formatCode="#,##0.0,_)"/>
    <numFmt numFmtId="167" formatCode="&quot;On&quot;;&quot;On&quot;;&quot;Off&quot;"/>
    <numFmt numFmtId="168" formatCode="#,##0.0"/>
    <numFmt numFmtId="169" formatCode="[$$-C09]#,##0.00;[Red]&quot;-&quot;[$$-C09]#,##0.00"/>
    <numFmt numFmtId="170" formatCode="0.0%"/>
  </numFmts>
  <fonts count="78">
    <font>
      <sz val="10"/>
      <color theme="1"/>
      <name val="Arial"/>
      <family val="2"/>
    </font>
    <font>
      <sz val="10"/>
      <color theme="1"/>
      <name val="Arial Narrow"/>
      <family val="2"/>
    </font>
    <font>
      <u/>
      <sz val="10"/>
      <color theme="10"/>
      <name val="Arial"/>
      <family val="2"/>
    </font>
    <font>
      <sz val="10"/>
      <name val="Arial Narrow"/>
      <family val="2"/>
    </font>
    <font>
      <i/>
      <sz val="10"/>
      <color theme="1"/>
      <name val="Arial Narrow"/>
      <family val="2"/>
    </font>
    <font>
      <b/>
      <sz val="10"/>
      <color theme="1"/>
      <name val="Arial Narrow"/>
      <family val="2"/>
    </font>
    <font>
      <sz val="10"/>
      <name val="Arial"/>
      <family val="2"/>
    </font>
    <font>
      <sz val="8"/>
      <name val="Arial"/>
      <family val="2"/>
    </font>
    <font>
      <u/>
      <sz val="10"/>
      <color theme="10"/>
      <name val="Arial Narrow"/>
      <family val="2"/>
    </font>
    <font>
      <sz val="8"/>
      <name val="Arial Narrow"/>
      <family val="2"/>
    </font>
    <font>
      <sz val="8"/>
      <color theme="1"/>
      <name val="Arial Narrow"/>
      <family val="2"/>
    </font>
    <font>
      <u/>
      <sz val="10"/>
      <color indexed="12"/>
      <name val="Arial"/>
      <family val="2"/>
    </font>
    <font>
      <u/>
      <sz val="8"/>
      <color theme="10"/>
      <name val="Arial Narrow"/>
      <family val="2"/>
    </font>
    <font>
      <i/>
      <sz val="8"/>
      <name val="Arial Narrow"/>
      <family val="2"/>
    </font>
    <font>
      <b/>
      <sz val="10"/>
      <name val="Arial Narrow"/>
      <family val="2"/>
    </font>
    <font>
      <sz val="10"/>
      <color rgb="FF000000"/>
      <name val="Arial Narrow"/>
      <family val="2"/>
    </font>
    <font>
      <b/>
      <sz val="10"/>
      <color rgb="FF000000"/>
      <name val="Arial Narrow"/>
      <family val="2"/>
    </font>
    <font>
      <b/>
      <sz val="11"/>
      <name val="Arial Narrow"/>
      <family val="2"/>
    </font>
    <font>
      <sz val="7"/>
      <name val="Arial"/>
      <family val="2"/>
    </font>
    <font>
      <sz val="10"/>
      <name val="Arial CE"/>
      <charset val="238"/>
    </font>
    <font>
      <sz val="10"/>
      <name val="Times New Roman"/>
      <family val="1"/>
    </font>
    <font>
      <sz val="11"/>
      <name val="ＭＳ Ｐゴシック"/>
      <family val="3"/>
      <charset val="128"/>
    </font>
    <font>
      <sz val="10"/>
      <name val="Arial"/>
      <family val="2"/>
      <charset val="1"/>
    </font>
    <font>
      <sz val="10"/>
      <name val="Arial"/>
      <family val="2"/>
    </font>
    <font>
      <sz val="11"/>
      <color theme="1"/>
      <name val="Calibri"/>
      <family val="2"/>
      <scheme val="minor"/>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sz val="11"/>
      <color indexed="8"/>
      <name val="Calibri"/>
      <family val="2"/>
      <scheme val="minor"/>
    </font>
    <font>
      <b/>
      <sz val="18"/>
      <color theme="3"/>
      <name val="Cambria"/>
      <family val="2"/>
      <scheme val="major"/>
    </font>
    <font>
      <sz val="8"/>
      <name val="Arial"/>
      <family val="2"/>
    </font>
    <font>
      <sz val="12"/>
      <name val="Arial"/>
      <family val="2"/>
    </font>
    <font>
      <sz val="10"/>
      <name val="MS Sans Serif"/>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i/>
      <sz val="16"/>
      <color rgb="FF00000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theme="1"/>
      <name val="Arial"/>
      <family val="2"/>
    </font>
    <font>
      <b/>
      <sz val="11"/>
      <color rgb="FF3F3F3F"/>
      <name val="Calibri"/>
      <family val="2"/>
      <scheme val="minor"/>
    </font>
    <font>
      <b/>
      <i/>
      <u/>
      <sz val="10"/>
      <color rgb="FF000000"/>
      <name val="Arial"/>
      <family val="2"/>
    </font>
    <font>
      <b/>
      <sz val="11"/>
      <color theme="1"/>
      <name val="Calibri"/>
      <family val="2"/>
      <scheme val="minor"/>
    </font>
    <font>
      <sz val="11"/>
      <color rgb="FFFF0000"/>
      <name val="Calibri"/>
      <family val="2"/>
      <scheme val="minor"/>
    </font>
    <font>
      <u/>
      <sz val="11"/>
      <color theme="1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2"/>
      <color indexed="12"/>
      <name val="Arial"/>
      <family val="2"/>
    </font>
    <font>
      <u/>
      <sz val="10.45"/>
      <color indexed="12"/>
      <name val="Arial"/>
      <family val="2"/>
    </font>
    <font>
      <u/>
      <sz val="10"/>
      <color rgb="FF0000FF"/>
      <name val="Arial Narrow"/>
      <family val="2"/>
    </font>
    <font>
      <u/>
      <sz val="8"/>
      <color rgb="FF0000FF"/>
      <name val="Arial Narrow"/>
      <family val="2"/>
    </font>
    <font>
      <b/>
      <sz val="10"/>
      <color theme="1"/>
      <name val="Arial"/>
      <family val="2"/>
    </font>
    <font>
      <sz val="9"/>
      <color theme="1"/>
      <name val="Arial Narrow"/>
      <family val="2"/>
    </font>
    <font>
      <sz val="10"/>
      <color rgb="FFFF0000"/>
      <name val="Arial"/>
      <family val="2"/>
    </font>
    <font>
      <b/>
      <sz val="10"/>
      <name val="Arial"/>
      <family val="2"/>
    </font>
    <font>
      <b/>
      <sz val="12"/>
      <color theme="1"/>
      <name val="Arial"/>
      <family val="2"/>
    </font>
    <font>
      <sz val="12"/>
      <color theme="1"/>
      <name val="Arial"/>
      <family val="2"/>
    </font>
    <font>
      <u/>
      <sz val="8"/>
      <color theme="10"/>
      <name val="Arial"/>
      <family val="2"/>
    </font>
  </fonts>
  <fills count="6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CCCCCC"/>
        <bgColor indexed="64"/>
      </patternFill>
    </fill>
    <fill>
      <patternFill patternType="solid">
        <fgColor theme="7"/>
        <bgColor indexed="64"/>
      </patternFill>
    </fill>
    <fill>
      <patternFill patternType="solid">
        <fgColor theme="4"/>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s>
  <borders count="32">
    <border>
      <left/>
      <right/>
      <top/>
      <bottom/>
      <diagonal/>
    </border>
    <border>
      <left/>
      <right/>
      <top/>
      <bottom style="thin">
        <color indexed="64"/>
      </bottom>
      <diagonal/>
    </border>
    <border>
      <left/>
      <right/>
      <top style="medium">
        <color theme="4"/>
      </top>
      <bottom/>
      <diagonal/>
    </border>
    <border>
      <left/>
      <right/>
      <top/>
      <bottom style="medium">
        <color theme="4"/>
      </bottom>
      <diagonal/>
    </border>
    <border>
      <left/>
      <right/>
      <top style="thin">
        <color indexed="64"/>
      </top>
      <bottom/>
      <diagonal/>
    </border>
    <border>
      <left/>
      <right/>
      <top style="thin">
        <color theme="0" tint="-0.34998626667073579"/>
      </top>
      <bottom/>
      <diagonal/>
    </border>
    <border>
      <left/>
      <right/>
      <top/>
      <bottom style="thin">
        <color theme="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4217">
    <xf numFmtId="0" fontId="0" fillId="0" borderId="0"/>
    <xf numFmtId="0" fontId="2" fillId="0" borderId="0" applyNumberFormat="0" applyFill="0" applyBorder="0" applyAlignment="0" applyProtection="0"/>
    <xf numFmtId="0" fontId="6" fillId="0" borderId="0"/>
    <xf numFmtId="0" fontId="6" fillId="0" borderId="0"/>
    <xf numFmtId="0" fontId="6" fillId="0" borderId="0"/>
    <xf numFmtId="165" fontId="6" fillId="0" borderId="0" applyFont="0" applyFill="0" applyBorder="0" applyAlignment="0" applyProtection="0"/>
    <xf numFmtId="0" fontId="11" fillId="0" borderId="0" applyNumberFormat="0" applyFill="0" applyBorder="0" applyAlignment="0" applyProtection="0">
      <alignment vertical="top"/>
      <protection locked="0"/>
    </xf>
    <xf numFmtId="0" fontId="6" fillId="0" borderId="0"/>
    <xf numFmtId="166" fontId="18" fillId="0" borderId="0" applyFill="0" applyBorder="0" applyProtection="0"/>
    <xf numFmtId="0" fontId="6" fillId="0" borderId="0"/>
    <xf numFmtId="0" fontId="6" fillId="0" borderId="0"/>
    <xf numFmtId="0" fontId="19" fillId="0" borderId="0"/>
    <xf numFmtId="0" fontId="6" fillId="0" borderId="0"/>
    <xf numFmtId="0" fontId="7" fillId="0" borderId="0"/>
    <xf numFmtId="9" fontId="6" fillId="0" borderId="0" applyFont="0" applyFill="0" applyBorder="0" applyAlignment="0" applyProtection="0"/>
    <xf numFmtId="2" fontId="20" fillId="0" borderId="0" applyBorder="0">
      <alignment horizontal="right"/>
    </xf>
    <xf numFmtId="167" fontId="20" fillId="0" borderId="0" applyNumberFormat="0" applyBorder="0" applyAlignment="0"/>
    <xf numFmtId="0" fontId="21" fillId="0" borderId="0">
      <alignment vertical="center"/>
    </xf>
    <xf numFmtId="0" fontId="22" fillId="0" borderId="0" applyBorder="0">
      <protection locked="0"/>
    </xf>
    <xf numFmtId="0" fontId="23" fillId="0" borderId="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7"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7" fillId="6" borderId="0" applyNumberFormat="0" applyBorder="0" applyAlignment="0" applyProtection="0"/>
    <xf numFmtId="0" fontId="28" fillId="18" borderId="7" applyNumberFormat="0" applyAlignment="0" applyProtection="0"/>
    <xf numFmtId="0" fontId="29" fillId="19" borderId="8" applyNumberFormat="0" applyAlignment="0" applyProtection="0"/>
    <xf numFmtId="0" fontId="30" fillId="0" borderId="9" applyNumberFormat="0" applyFill="0" applyAlignment="0" applyProtection="0"/>
    <xf numFmtId="0" fontId="31" fillId="0" borderId="0" applyNumberFormat="0" applyFill="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23" borderId="0" applyNumberFormat="0" applyBorder="0" applyAlignment="0" applyProtection="0"/>
    <xf numFmtId="0" fontId="32" fillId="9" borderId="7" applyNumberFormat="0" applyAlignment="0" applyProtection="0"/>
    <xf numFmtId="0" fontId="33" fillId="5" borderId="0" applyNumberFormat="0" applyBorder="0" applyAlignment="0" applyProtection="0"/>
    <xf numFmtId="0" fontId="34" fillId="24" borderId="0" applyNumberFormat="0" applyBorder="0" applyAlignment="0" applyProtection="0"/>
    <xf numFmtId="0" fontId="24" fillId="0" borderId="0"/>
    <xf numFmtId="0" fontId="6" fillId="0" borderId="0">
      <alignment wrapText="1"/>
    </xf>
    <xf numFmtId="0" fontId="6" fillId="25" borderId="10" applyNumberFormat="0" applyFont="0" applyAlignment="0" applyProtection="0"/>
    <xf numFmtId="0" fontId="35" fillId="18" borderId="11"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2" applyNumberFormat="0" applyFill="0" applyAlignment="0" applyProtection="0"/>
    <xf numFmtId="0" fontId="40" fillId="0" borderId="13" applyNumberFormat="0" applyFill="0" applyAlignment="0" applyProtection="0"/>
    <xf numFmtId="0" fontId="31" fillId="0" borderId="14" applyNumberFormat="0" applyFill="0" applyAlignment="0" applyProtection="0"/>
    <xf numFmtId="0" fontId="41" fillId="0" borderId="15" applyNumberFormat="0" applyFill="0" applyAlignment="0" applyProtection="0"/>
    <xf numFmtId="0" fontId="6" fillId="0" borderId="0">
      <alignment wrapText="1"/>
    </xf>
    <xf numFmtId="0" fontId="24" fillId="0" borderId="0"/>
    <xf numFmtId="0" fontId="6" fillId="0" borderId="0"/>
    <xf numFmtId="0" fontId="24" fillId="0" borderId="0"/>
    <xf numFmtId="0" fontId="6" fillId="0" borderId="0">
      <alignment wrapText="1"/>
    </xf>
    <xf numFmtId="0" fontId="6" fillId="0" borderId="0">
      <alignment wrapText="1"/>
    </xf>
    <xf numFmtId="0" fontId="42" fillId="0" borderId="0">
      <alignment wrapText="1"/>
    </xf>
    <xf numFmtId="0" fontId="6" fillId="0" borderId="0"/>
    <xf numFmtId="0" fontId="43" fillId="0" borderId="0"/>
    <xf numFmtId="0" fontId="44" fillId="0" borderId="0" applyNumberFormat="0" applyFill="0" applyBorder="0" applyAlignment="0" applyProtection="0"/>
    <xf numFmtId="0" fontId="45" fillId="0" borderId="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48" fillId="36" borderId="0" applyNumberFormat="0" applyBorder="0" applyAlignment="0" applyProtection="0"/>
    <xf numFmtId="0" fontId="48" fillId="40" borderId="0" applyNumberFormat="0" applyBorder="0" applyAlignment="0" applyProtection="0"/>
    <xf numFmtId="0" fontId="48" fillId="44" borderId="0" applyNumberFormat="0" applyBorder="0" applyAlignment="0" applyProtection="0"/>
    <xf numFmtId="0" fontId="48" fillId="48" borderId="0" applyNumberFormat="0" applyBorder="0" applyAlignment="0" applyProtection="0"/>
    <xf numFmtId="0" fontId="48" fillId="52" borderId="0" applyNumberFormat="0" applyBorder="0" applyAlignment="0" applyProtection="0"/>
    <xf numFmtId="0" fontId="48" fillId="56" borderId="0" applyNumberFormat="0" applyBorder="0" applyAlignment="0" applyProtection="0"/>
    <xf numFmtId="0" fontId="48" fillId="33" borderId="0" applyNumberFormat="0" applyBorder="0" applyAlignment="0" applyProtection="0"/>
    <xf numFmtId="0" fontId="48" fillId="37" borderId="0" applyNumberFormat="0" applyBorder="0" applyAlignment="0" applyProtection="0"/>
    <xf numFmtId="0" fontId="48" fillId="41" borderId="0" applyNumberFormat="0" applyBorder="0" applyAlignment="0" applyProtection="0"/>
    <xf numFmtId="0" fontId="48" fillId="45" borderId="0" applyNumberFormat="0" applyBorder="0" applyAlignment="0" applyProtection="0"/>
    <xf numFmtId="0" fontId="48" fillId="49" borderId="0" applyNumberFormat="0" applyBorder="0" applyAlignment="0" applyProtection="0"/>
    <xf numFmtId="0" fontId="48" fillId="53" borderId="0" applyNumberFormat="0" applyBorder="0" applyAlignment="0" applyProtection="0"/>
    <xf numFmtId="0" fontId="49" fillId="27" borderId="0" applyNumberFormat="0" applyBorder="0" applyAlignment="0" applyProtection="0"/>
    <xf numFmtId="0" fontId="50" fillId="30" borderId="19" applyNumberFormat="0" applyAlignment="0" applyProtection="0"/>
    <xf numFmtId="0" fontId="51" fillId="31" borderId="22" applyNumberFormat="0" applyAlignment="0" applyProtection="0"/>
    <xf numFmtId="43" fontId="6"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2" fillId="0" borderId="0" applyNumberFormat="0" applyFill="0" applyBorder="0" applyAlignment="0" applyProtection="0"/>
    <xf numFmtId="0" fontId="53" fillId="26" borderId="0" applyNumberFormat="0" applyBorder="0" applyAlignment="0" applyProtection="0"/>
    <xf numFmtId="0" fontId="54" fillId="0" borderId="0" applyNumberFormat="0" applyFill="0" applyBorder="0" applyProtection="0">
      <alignment horizontal="center"/>
    </xf>
    <xf numFmtId="0" fontId="64" fillId="0" borderId="16" applyNumberFormat="0" applyFill="0" applyAlignment="0" applyProtection="0"/>
    <xf numFmtId="0" fontId="65" fillId="0" borderId="17" applyNumberFormat="0" applyFill="0" applyAlignment="0" applyProtection="0"/>
    <xf numFmtId="0" fontId="66" fillId="0" borderId="18" applyNumberFormat="0" applyFill="0" applyAlignment="0" applyProtection="0"/>
    <xf numFmtId="0" fontId="66" fillId="0" borderId="0" applyNumberFormat="0" applyFill="0" applyBorder="0" applyAlignment="0" applyProtection="0"/>
    <xf numFmtId="0" fontId="54" fillId="0" borderId="0" applyNumberFormat="0" applyFill="0" applyBorder="0" applyProtection="0">
      <alignment horizontal="center" textRotation="90"/>
    </xf>
    <xf numFmtId="0" fontId="63" fillId="0" borderId="0" applyNumberFormat="0" applyFill="0" applyBorder="0" applyAlignment="0" applyProtection="0"/>
    <xf numFmtId="0" fontId="55" fillId="29" borderId="19" applyNumberFormat="0" applyAlignment="0" applyProtection="0"/>
    <xf numFmtId="0" fontId="56" fillId="0" borderId="21" applyNumberFormat="0" applyFill="0" applyAlignment="0" applyProtection="0"/>
    <xf numFmtId="0" fontId="57" fillId="28" borderId="0" applyNumberFormat="0" applyBorder="0" applyAlignment="0" applyProtection="0"/>
    <xf numFmtId="0" fontId="6" fillId="0" borderId="0"/>
    <xf numFmtId="0" fontId="6" fillId="0" borderId="0"/>
    <xf numFmtId="0" fontId="7" fillId="0" borderId="0"/>
    <xf numFmtId="0" fontId="7" fillId="0" borderId="0"/>
    <xf numFmtId="0" fontId="6" fillId="0" borderId="0"/>
    <xf numFmtId="0" fontId="24" fillId="0" borderId="0"/>
    <xf numFmtId="0" fontId="7" fillId="0" borderId="0"/>
    <xf numFmtId="0" fontId="7" fillId="0" borderId="0"/>
    <xf numFmtId="0" fontId="47" fillId="0" borderId="0"/>
    <xf numFmtId="0" fontId="7" fillId="0" borderId="0"/>
    <xf numFmtId="0" fontId="24" fillId="0" borderId="0"/>
    <xf numFmtId="0" fontId="7" fillId="0" borderId="0"/>
    <xf numFmtId="0" fontId="6" fillId="0" borderId="0"/>
    <xf numFmtId="0" fontId="7" fillId="0" borderId="0"/>
    <xf numFmtId="0" fontId="7" fillId="0" borderId="0"/>
    <xf numFmtId="0" fontId="6" fillId="0" borderId="0"/>
    <xf numFmtId="0" fontId="6" fillId="0" borderId="0"/>
    <xf numFmtId="0" fontId="7" fillId="0" borderId="0"/>
    <xf numFmtId="0" fontId="6" fillId="0" borderId="0"/>
    <xf numFmtId="0" fontId="6" fillId="0" borderId="0"/>
    <xf numFmtId="0" fontId="47" fillId="0" borderId="0"/>
    <xf numFmtId="0" fontId="7" fillId="0" borderId="0"/>
    <xf numFmtId="0" fontId="6" fillId="0" borderId="0"/>
    <xf numFmtId="0" fontId="7" fillId="0" borderId="0"/>
    <xf numFmtId="0" fontId="58" fillId="0" borderId="0"/>
    <xf numFmtId="0" fontId="7" fillId="0" borderId="0"/>
    <xf numFmtId="0" fontId="24" fillId="32" borderId="23" applyNumberFormat="0" applyFont="0" applyAlignment="0" applyProtection="0"/>
    <xf numFmtId="0" fontId="6" fillId="25" borderId="10" applyNumberFormat="0" applyFont="0" applyAlignment="0" applyProtection="0"/>
    <xf numFmtId="0" fontId="59" fillId="30" borderId="20" applyNumberFormat="0" applyAlignment="0" applyProtection="0"/>
    <xf numFmtId="9" fontId="6" fillId="0" borderId="0" applyFont="0" applyFill="0" applyBorder="0" applyAlignment="0" applyProtection="0"/>
    <xf numFmtId="9" fontId="6" fillId="0" borderId="0" applyFont="0" applyFill="0" applyBorder="0" applyAlignment="0" applyProtection="0"/>
    <xf numFmtId="0" fontId="60" fillId="0" borderId="0" applyNumberFormat="0" applyFill="0" applyBorder="0" applyAlignment="0" applyProtection="0"/>
    <xf numFmtId="169" fontId="60" fillId="0" borderId="0" applyFill="0" applyBorder="0" applyAlignment="0" applyProtection="0"/>
    <xf numFmtId="0" fontId="44" fillId="0" borderId="0" applyNumberFormat="0" applyFill="0" applyBorder="0" applyAlignment="0" applyProtection="0"/>
    <xf numFmtId="0" fontId="61" fillId="0" borderId="24" applyNumberFormat="0" applyFill="0" applyAlignment="0" applyProtection="0"/>
    <xf numFmtId="0" fontId="62" fillId="0" borderId="0" applyNumberFormat="0" applyFill="0" applyBorder="0" applyAlignment="0" applyProtection="0"/>
    <xf numFmtId="0" fontId="64" fillId="0" borderId="16" applyNumberFormat="0" applyFill="0" applyAlignment="0" applyProtection="0"/>
    <xf numFmtId="0" fontId="65" fillId="0" borderId="17" applyNumberFormat="0" applyFill="0" applyAlignment="0" applyProtection="0"/>
    <xf numFmtId="0" fontId="66" fillId="0" borderId="18" applyNumberFormat="0" applyFill="0" applyAlignment="0" applyProtection="0"/>
    <xf numFmtId="0" fontId="66" fillId="0" borderId="0" applyNumberFormat="0" applyFill="0" applyBorder="0" applyAlignment="0" applyProtection="0"/>
    <xf numFmtId="0" fontId="49" fillId="27" borderId="0" applyNumberFormat="0" applyBorder="0" applyAlignment="0" applyProtection="0"/>
    <xf numFmtId="0" fontId="59" fillId="30" borderId="20" applyNumberFormat="0" applyAlignment="0" applyProtection="0"/>
    <xf numFmtId="0" fontId="50" fillId="30" borderId="19" applyNumberFormat="0" applyAlignment="0" applyProtection="0"/>
    <xf numFmtId="0" fontId="61" fillId="0" borderId="24" applyNumberFormat="0" applyFill="0" applyAlignment="0" applyProtection="0"/>
    <xf numFmtId="0" fontId="48" fillId="33"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48" fillId="36" borderId="0" applyNumberFormat="0" applyBorder="0" applyAlignment="0" applyProtection="0"/>
    <xf numFmtId="0" fontId="24" fillId="38" borderId="0" applyNumberFormat="0" applyBorder="0" applyAlignment="0" applyProtection="0"/>
    <xf numFmtId="0" fontId="48" fillId="41"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48" fillId="44" borderId="0" applyNumberFormat="0" applyBorder="0" applyAlignment="0" applyProtection="0"/>
    <xf numFmtId="0" fontId="48" fillId="45"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48" fillId="48" borderId="0" applyNumberFormat="0" applyBorder="0" applyAlignment="0" applyProtection="0"/>
    <xf numFmtId="0" fontId="24" fillId="55" borderId="0" applyNumberFormat="0" applyBorder="0" applyAlignment="0" applyProtection="0"/>
    <xf numFmtId="0" fontId="48" fillId="56" borderId="0" applyNumberFormat="0" applyBorder="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46" fillId="0" borderId="0"/>
    <xf numFmtId="0" fontId="46" fillId="0" borderId="0"/>
    <xf numFmtId="0" fontId="24" fillId="0" borderId="0"/>
    <xf numFmtId="0" fontId="24" fillId="0" borderId="0"/>
    <xf numFmtId="0" fontId="6"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6" fillId="0" borderId="0"/>
    <xf numFmtId="0" fontId="6" fillId="0" borderId="0"/>
    <xf numFmtId="0" fontId="58"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6" fillId="0" borderId="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48" fillId="36" borderId="0" applyNumberFormat="0" applyBorder="0" applyAlignment="0" applyProtection="0"/>
    <xf numFmtId="0" fontId="48" fillId="44" borderId="0" applyNumberFormat="0" applyBorder="0" applyAlignment="0" applyProtection="0"/>
    <xf numFmtId="0" fontId="48" fillId="48" borderId="0" applyNumberFormat="0" applyBorder="0" applyAlignment="0" applyProtection="0"/>
    <xf numFmtId="0" fontId="48" fillId="56" borderId="0" applyNumberFormat="0" applyBorder="0" applyAlignment="0" applyProtection="0"/>
    <xf numFmtId="0" fontId="48" fillId="33" borderId="0" applyNumberFormat="0" applyBorder="0" applyAlignment="0" applyProtection="0"/>
    <xf numFmtId="0" fontId="48" fillId="41" borderId="0" applyNumberFormat="0" applyBorder="0" applyAlignment="0" applyProtection="0"/>
    <xf numFmtId="0" fontId="48" fillId="45" borderId="0" applyNumberFormat="0" applyBorder="0" applyAlignment="0" applyProtection="0"/>
    <xf numFmtId="0" fontId="49" fillId="27" borderId="0" applyNumberFormat="0" applyBorder="0" applyAlignment="0" applyProtection="0"/>
    <xf numFmtId="0" fontId="50" fillId="30" borderId="19" applyNumberFormat="0" applyAlignment="0" applyProtection="0"/>
    <xf numFmtId="0" fontId="64" fillId="0" borderId="16" applyNumberFormat="0" applyFill="0" applyAlignment="0" applyProtection="0"/>
    <xf numFmtId="0" fontId="65" fillId="0" borderId="17" applyNumberFormat="0" applyFill="0" applyAlignment="0" applyProtection="0"/>
    <xf numFmtId="0" fontId="66" fillId="0" borderId="18" applyNumberFormat="0" applyFill="0" applyAlignment="0" applyProtection="0"/>
    <xf numFmtId="0" fontId="66" fillId="0" borderId="0" applyNumberFormat="0" applyFill="0" applyBorder="0" applyAlignment="0" applyProtection="0"/>
    <xf numFmtId="0" fontId="24" fillId="0" borderId="0"/>
    <xf numFmtId="0" fontId="24" fillId="0" borderId="0"/>
    <xf numFmtId="0" fontId="24" fillId="32" borderId="23" applyNumberFormat="0" applyFont="0" applyAlignment="0" applyProtection="0"/>
    <xf numFmtId="0" fontId="59" fillId="30" borderId="20" applyNumberFormat="0" applyAlignment="0" applyProtection="0"/>
    <xf numFmtId="0" fontId="44" fillId="0" borderId="0" applyNumberFormat="0" applyFill="0" applyBorder="0" applyAlignment="0" applyProtection="0"/>
    <xf numFmtId="0" fontId="61" fillId="0" borderId="24" applyNumberFormat="0" applyFill="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10" borderId="0" applyNumberFormat="0" applyBorder="0" applyAlignment="0" applyProtection="0"/>
    <xf numFmtId="0" fontId="25" fillId="12" borderId="0" applyNumberFormat="0" applyBorder="0" applyAlignment="0" applyProtection="0"/>
    <xf numFmtId="0" fontId="25" fillId="7"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26" fillId="22" borderId="0" applyNumberFormat="0" applyBorder="0" applyAlignment="0" applyProtection="0"/>
    <xf numFmtId="0" fontId="26" fillId="15" borderId="0" applyNumberFormat="0" applyBorder="0" applyAlignment="0" applyProtection="0"/>
    <xf numFmtId="0" fontId="33" fillId="5" borderId="0" applyNumberFormat="0" applyBorder="0" applyAlignment="0" applyProtection="0"/>
    <xf numFmtId="0" fontId="28" fillId="18" borderId="7" applyNumberFormat="0" applyAlignment="0" applyProtection="0"/>
    <xf numFmtId="0" fontId="39" fillId="0" borderId="12" applyNumberFormat="0" applyFill="0" applyAlignment="0" applyProtection="0"/>
    <xf numFmtId="0" fontId="40" fillId="0" borderId="13" applyNumberFormat="0" applyFill="0" applyAlignment="0" applyProtection="0"/>
    <xf numFmtId="0" fontId="31" fillId="0" borderId="14" applyNumberFormat="0" applyFill="0" applyAlignment="0" applyProtection="0"/>
    <xf numFmtId="0" fontId="31" fillId="0" borderId="0" applyNumberFormat="0" applyFill="0" applyBorder="0" applyAlignment="0" applyProtection="0"/>
    <xf numFmtId="0" fontId="6" fillId="25" borderId="10" applyNumberFormat="0" applyFont="0" applyAlignment="0" applyProtection="0"/>
    <xf numFmtId="0" fontId="35" fillId="18" borderId="11" applyNumberFormat="0" applyAlignment="0" applyProtection="0"/>
    <xf numFmtId="0" fontId="38" fillId="0" borderId="0" applyNumberFormat="0" applyFill="0" applyBorder="0" applyAlignment="0" applyProtection="0"/>
    <xf numFmtId="0" fontId="41" fillId="0" borderId="15" applyNumberFormat="0" applyFill="0" applyAlignment="0" applyProtection="0"/>
    <xf numFmtId="0" fontId="24" fillId="0" borderId="0"/>
    <xf numFmtId="0" fontId="6"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43" fontId="6"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24" fillId="0" borderId="0"/>
    <xf numFmtId="0" fontId="24" fillId="0" borderId="0"/>
    <xf numFmtId="0" fontId="6" fillId="0" borderId="0"/>
    <xf numFmtId="0" fontId="6" fillId="0" borderId="0"/>
    <xf numFmtId="9" fontId="6" fillId="0" borderId="0" applyFont="0" applyFill="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6" fillId="25" borderId="10" applyNumberFormat="0" applyFont="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0" fontId="24" fillId="0" borderId="0"/>
    <xf numFmtId="0" fontId="6"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25" borderId="10" applyNumberFormat="0" applyFont="0" applyAlignment="0" applyProtection="0"/>
    <xf numFmtId="9" fontId="6" fillId="0" borderId="0" applyFont="0" applyFill="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6" fillId="25" borderId="10" applyNumberFormat="0" applyFont="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applyBorder="0"/>
    <xf numFmtId="0" fontId="24" fillId="0" borderId="0"/>
    <xf numFmtId="0" fontId="24" fillId="0" borderId="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0" borderId="0"/>
    <xf numFmtId="0" fontId="24" fillId="0" borderId="0"/>
    <xf numFmtId="0" fontId="7"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1" fillId="0" borderId="0" applyNumberFormat="0" applyFill="0" applyBorder="0" applyAlignment="0" applyProtection="0">
      <alignment vertical="top"/>
      <protection locked="0"/>
    </xf>
    <xf numFmtId="0" fontId="6" fillId="0" borderId="0"/>
    <xf numFmtId="0" fontId="6" fillId="0" borderId="0"/>
    <xf numFmtId="0" fontId="6" fillId="0" borderId="0"/>
    <xf numFmtId="0" fontId="24" fillId="0" borderId="0"/>
    <xf numFmtId="0" fontId="24" fillId="0" borderId="0"/>
    <xf numFmtId="0" fontId="24"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 fillId="0" borderId="0" applyBorder="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7"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7" fillId="0" borderId="0"/>
    <xf numFmtId="0" fontId="7" fillId="0" borderId="0"/>
    <xf numFmtId="0" fontId="24" fillId="32" borderId="23"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5" fillId="8" borderId="0" applyNumberFormat="0" applyBorder="0" applyAlignment="0" applyProtection="0"/>
    <xf numFmtId="0" fontId="24" fillId="50"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5" fillId="9" borderId="0" applyNumberFormat="0" applyBorder="0" applyAlignment="0" applyProtection="0"/>
    <xf numFmtId="0" fontId="24" fillId="54"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5" fillId="11" borderId="0" applyNumberFormat="0" applyBorder="0" applyAlignment="0" applyProtection="0"/>
    <xf numFmtId="0" fontId="24" fillId="39"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5" fillId="10" borderId="0" applyNumberFormat="0" applyBorder="0" applyAlignment="0" applyProtection="0"/>
    <xf numFmtId="0" fontId="24" fillId="51"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4" fillId="55"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48" fillId="40"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48" fillId="52"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48" fillId="37"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48" fillId="49"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48" fillId="5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28" fillId="18" borderId="7" applyNumberFormat="0" applyAlignment="0" applyProtection="0"/>
    <xf numFmtId="0" fontId="28" fillId="18" borderId="7" applyNumberFormat="0" applyAlignment="0" applyProtection="0"/>
    <xf numFmtId="0" fontId="28" fillId="18" borderId="7" applyNumberFormat="0" applyAlignment="0" applyProtection="0"/>
    <xf numFmtId="0" fontId="28" fillId="18" borderId="7" applyNumberFormat="0" applyAlignment="0" applyProtection="0"/>
    <xf numFmtId="0" fontId="28" fillId="18" borderId="7" applyNumberFormat="0" applyAlignment="0" applyProtection="0"/>
    <xf numFmtId="0" fontId="51" fillId="31" borderId="22" applyNumberFormat="0" applyAlignment="0" applyProtection="0"/>
    <xf numFmtId="0" fontId="29" fillId="19" borderId="8" applyNumberFormat="0" applyAlignment="0" applyProtection="0"/>
    <xf numFmtId="0" fontId="29" fillId="19" borderId="8" applyNumberFormat="0" applyAlignment="0" applyProtection="0"/>
    <xf numFmtId="0" fontId="29" fillId="19" borderId="8" applyNumberFormat="0" applyAlignment="0" applyProtection="0"/>
    <xf numFmtId="0" fontId="29" fillId="19" borderId="8" applyNumberFormat="0" applyAlignment="0" applyProtection="0"/>
    <xf numFmtId="0" fontId="29" fillId="19" borderId="8" applyNumberFormat="0" applyAlignment="0" applyProtection="0"/>
    <xf numFmtId="0" fontId="29" fillId="19" borderId="8" applyNumberFormat="0" applyAlignment="0" applyProtection="0"/>
    <xf numFmtId="43"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2"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3" fillId="2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31" fillId="0" borderId="14" applyNumberFormat="0" applyFill="0" applyAlignment="0" applyProtection="0"/>
    <xf numFmtId="0" fontId="31" fillId="0" borderId="14" applyNumberFormat="0" applyFill="0" applyAlignment="0" applyProtection="0"/>
    <xf numFmtId="0" fontId="31" fillId="0" borderId="14" applyNumberFormat="0" applyFill="0" applyAlignment="0" applyProtection="0"/>
    <xf numFmtId="0" fontId="31" fillId="0" borderId="14" applyNumberFormat="0" applyFill="0" applyAlignment="0" applyProtection="0"/>
    <xf numFmtId="0" fontId="31" fillId="0" borderId="14"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68"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55" fillId="29" borderId="19" applyNumberFormat="0" applyAlignment="0" applyProtection="0"/>
    <xf numFmtId="0" fontId="32" fillId="9" borderId="7" applyNumberFormat="0" applyAlignment="0" applyProtection="0"/>
    <xf numFmtId="0" fontId="32" fillId="9" borderId="7" applyNumberFormat="0" applyAlignment="0" applyProtection="0"/>
    <xf numFmtId="0" fontId="32" fillId="9" borderId="7" applyNumberFormat="0" applyAlignment="0" applyProtection="0"/>
    <xf numFmtId="0" fontId="32" fillId="9" borderId="7" applyNumberFormat="0" applyAlignment="0" applyProtection="0"/>
    <xf numFmtId="0" fontId="32" fillId="9" borderId="7" applyNumberFormat="0" applyAlignment="0" applyProtection="0"/>
    <xf numFmtId="0" fontId="32" fillId="9" borderId="7" applyNumberFormat="0" applyAlignment="0" applyProtection="0"/>
    <xf numFmtId="0" fontId="56" fillId="0" borderId="21"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57" fillId="28"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4" fillId="0" borderId="0"/>
    <xf numFmtId="0" fontId="24" fillId="0" borderId="0"/>
    <xf numFmtId="0" fontId="47" fillId="0" borderId="0"/>
    <xf numFmtId="0" fontId="7" fillId="0" borderId="0"/>
    <xf numFmtId="0" fontId="7" fillId="0" borderId="0"/>
    <xf numFmtId="0" fontId="46" fillId="0" borderId="0"/>
    <xf numFmtId="0" fontId="7" fillId="0" borderId="0"/>
    <xf numFmtId="0" fontId="7" fillId="0" borderId="0"/>
    <xf numFmtId="0" fontId="24" fillId="0" borderId="0"/>
    <xf numFmtId="0" fontId="7" fillId="0" borderId="0"/>
    <xf numFmtId="0" fontId="46" fillId="0" borderId="0"/>
    <xf numFmtId="0" fontId="46" fillId="0" borderId="0"/>
    <xf numFmtId="0" fontId="58" fillId="0" borderId="0"/>
    <xf numFmtId="0" fontId="24"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8"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24" fillId="0" borderId="0"/>
    <xf numFmtId="0" fontId="24" fillId="32" borderId="23" applyNumberFormat="0" applyFont="0" applyAlignment="0" applyProtection="0"/>
    <xf numFmtId="0" fontId="25" fillId="32" borderId="23" applyNumberFormat="0" applyFont="0" applyAlignment="0" applyProtection="0"/>
    <xf numFmtId="0" fontId="24" fillId="32" borderId="23"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6" fillId="25" borderId="10" applyNumberFormat="0" applyFont="0" applyAlignment="0" applyProtection="0"/>
    <xf numFmtId="0" fontId="6" fillId="25" borderId="10" applyNumberFormat="0" applyFont="0" applyAlignment="0" applyProtection="0"/>
    <xf numFmtId="0" fontId="24" fillId="32" borderId="23" applyNumberFormat="0" applyFont="0" applyAlignment="0" applyProtection="0"/>
    <xf numFmtId="0" fontId="35" fillId="18" borderId="11" applyNumberFormat="0" applyAlignment="0" applyProtection="0"/>
    <xf numFmtId="0" fontId="35" fillId="18" borderId="11" applyNumberFormat="0" applyAlignment="0" applyProtection="0"/>
    <xf numFmtId="0" fontId="35" fillId="18" borderId="11" applyNumberFormat="0" applyAlignment="0" applyProtection="0"/>
    <xf numFmtId="0" fontId="35" fillId="18" borderId="11" applyNumberFormat="0" applyAlignment="0" applyProtection="0"/>
    <xf numFmtId="0" fontId="35" fillId="18" borderId="11" applyNumberFormat="0" applyAlignment="0" applyProtection="0"/>
    <xf numFmtId="9" fontId="7" fillId="0" borderId="0" applyFont="0" applyFill="0" applyBorder="0" applyAlignment="0" applyProtection="0"/>
    <xf numFmtId="9" fontId="7" fillId="0" borderId="0" applyFon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62"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25" fillId="5" borderId="0" applyNumberFormat="0" applyBorder="0" applyAlignment="0" applyProtection="0"/>
    <xf numFmtId="0" fontId="26" fillId="15" borderId="0" applyNumberFormat="0" applyBorder="0" applyAlignment="0" applyProtection="0"/>
    <xf numFmtId="0" fontId="47" fillId="0" borderId="0"/>
    <xf numFmtId="0" fontId="37" fillId="0" borderId="0" applyNumberFormat="0" applyFill="0" applyBorder="0" applyAlignment="0" applyProtection="0"/>
    <xf numFmtId="0" fontId="47" fillId="0" borderId="0"/>
    <xf numFmtId="0" fontId="47" fillId="0" borderId="0"/>
    <xf numFmtId="0" fontId="47" fillId="0" borderId="0"/>
    <xf numFmtId="0" fontId="47" fillId="0" borderId="0"/>
    <xf numFmtId="0" fontId="47" fillId="0" borderId="0"/>
    <xf numFmtId="0" fontId="24" fillId="0" borderId="0"/>
    <xf numFmtId="0" fontId="31" fillId="0" borderId="0" applyNumberFormat="0" applyFill="0" applyBorder="0" applyAlignment="0" applyProtection="0"/>
    <xf numFmtId="0" fontId="6" fillId="25" borderId="10" applyNumberFormat="0" applyFont="0" applyAlignment="0" applyProtection="0"/>
    <xf numFmtId="0" fontId="26" fillId="16" borderId="0" applyNumberFormat="0" applyBorder="0" applyAlignment="0" applyProtection="0"/>
    <xf numFmtId="0" fontId="40" fillId="0" borderId="13" applyNumberFormat="0" applyFill="0" applyAlignment="0" applyProtection="0"/>
    <xf numFmtId="0" fontId="26" fillId="17" borderId="0" applyNumberFormat="0" applyBorder="0" applyAlignment="0" applyProtection="0"/>
    <xf numFmtId="0" fontId="26" fillId="15" borderId="0" applyNumberFormat="0" applyBorder="0" applyAlignment="0" applyProtection="0"/>
    <xf numFmtId="0" fontId="39" fillId="0" borderId="12" applyNumberFormat="0" applyFill="0" applyAlignment="0" applyProtection="0"/>
    <xf numFmtId="0" fontId="26" fillId="12" borderId="0" applyNumberFormat="0" applyBorder="0" applyAlignment="0" applyProtection="0"/>
    <xf numFmtId="0" fontId="26" fillId="20" borderId="0" applyNumberFormat="0" applyBorder="0" applyAlignment="0" applyProtection="0"/>
    <xf numFmtId="0" fontId="26" fillId="11" borderId="0" applyNumberFormat="0" applyBorder="0" applyAlignment="0" applyProtection="0"/>
    <xf numFmtId="0" fontId="34" fillId="24" borderId="0" applyNumberFormat="0" applyBorder="0" applyAlignment="0" applyProtection="0"/>
    <xf numFmtId="0" fontId="26" fillId="11" borderId="0" applyNumberFormat="0" applyBorder="0" applyAlignment="0" applyProtection="0"/>
    <xf numFmtId="0" fontId="25" fillId="12" borderId="0" applyNumberFormat="0" applyBorder="0" applyAlignment="0" applyProtection="0"/>
    <xf numFmtId="0" fontId="26" fillId="14" borderId="0" applyNumberFormat="0" applyBorder="0" applyAlignment="0" applyProtection="0"/>
    <xf numFmtId="0" fontId="25" fillId="10" borderId="0" applyNumberFormat="0" applyBorder="0" applyAlignment="0" applyProtection="0"/>
    <xf numFmtId="0" fontId="28" fillId="18" borderId="7" applyNumberFormat="0" applyAlignment="0" applyProtection="0"/>
    <xf numFmtId="0" fontId="26" fillId="22" borderId="0" applyNumberFormat="0" applyBorder="0" applyAlignment="0" applyProtection="0"/>
    <xf numFmtId="0" fontId="25" fillId="11" borderId="0" applyNumberFormat="0" applyBorder="0" applyAlignment="0" applyProtection="0"/>
    <xf numFmtId="0" fontId="25" fillId="10" borderId="0" applyNumberFormat="0" applyBorder="0" applyAlignment="0" applyProtection="0"/>
    <xf numFmtId="0" fontId="11" fillId="0" borderId="0" applyNumberFormat="0" applyFill="0" applyBorder="0" applyAlignment="0" applyProtection="0">
      <alignment vertical="top"/>
      <protection locked="0"/>
    </xf>
    <xf numFmtId="0" fontId="27" fillId="6" borderId="0" applyNumberFormat="0" applyBorder="0" applyAlignment="0" applyProtection="0"/>
    <xf numFmtId="0" fontId="67" fillId="0" borderId="0" applyNumberFormat="0" applyFill="0" applyBorder="0" applyAlignment="0" applyProtection="0">
      <alignment vertical="top"/>
      <protection locked="0"/>
    </xf>
    <xf numFmtId="0" fontId="26" fillId="23" borderId="0" applyNumberFormat="0" applyBorder="0" applyAlignment="0" applyProtection="0"/>
    <xf numFmtId="0" fontId="41" fillId="0" borderId="15" applyNumberFormat="0" applyFill="0" applyAlignment="0" applyProtection="0"/>
    <xf numFmtId="0" fontId="37" fillId="0" borderId="0" applyNumberFormat="0" applyFill="0" applyBorder="0" applyAlignment="0" applyProtection="0"/>
    <xf numFmtId="0" fontId="47" fillId="0" borderId="0"/>
    <xf numFmtId="0" fontId="26" fillId="17" borderId="0" applyNumberFormat="0" applyBorder="0" applyAlignment="0" applyProtection="0"/>
    <xf numFmtId="0" fontId="25" fillId="6" borderId="0" applyNumberFormat="0" applyBorder="0" applyAlignment="0" applyProtection="0"/>
    <xf numFmtId="0" fontId="26" fillId="15" borderId="0" applyNumberFormat="0" applyBorder="0" applyAlignment="0" applyProtection="0"/>
    <xf numFmtId="0" fontId="30" fillId="0" borderId="9" applyNumberFormat="0" applyFill="0" applyAlignment="0" applyProtection="0"/>
    <xf numFmtId="0" fontId="31" fillId="0" borderId="0" applyNumberFormat="0" applyFill="0" applyBorder="0" applyAlignment="0" applyProtection="0"/>
    <xf numFmtId="0" fontId="25" fillId="7" borderId="0" applyNumberFormat="0" applyBorder="0" applyAlignment="0" applyProtection="0"/>
    <xf numFmtId="0" fontId="26" fillId="21" borderId="0" applyNumberFormat="0" applyBorder="0" applyAlignment="0" applyProtection="0"/>
    <xf numFmtId="0" fontId="25" fillId="11" borderId="0" applyNumberFormat="0" applyBorder="0" applyAlignment="0" applyProtection="0"/>
    <xf numFmtId="0" fontId="38" fillId="0" borderId="0" applyNumberFormat="0" applyFill="0" applyBorder="0" applyAlignment="0" applyProtection="0"/>
    <xf numFmtId="0" fontId="32" fillId="9" borderId="7" applyNumberFormat="0" applyAlignment="0" applyProtection="0"/>
    <xf numFmtId="0" fontId="39" fillId="0" borderId="12" applyNumberFormat="0" applyFill="0" applyAlignment="0" applyProtection="0"/>
    <xf numFmtId="0" fontId="26" fillId="22" borderId="0" applyNumberFormat="0" applyBorder="0" applyAlignment="0" applyProtection="0"/>
    <xf numFmtId="0" fontId="26" fillId="23" borderId="0" applyNumberFormat="0" applyBorder="0" applyAlignment="0" applyProtection="0"/>
    <xf numFmtId="0" fontId="25" fillId="9" borderId="0" applyNumberFormat="0" applyBorder="0" applyAlignment="0" applyProtection="0"/>
    <xf numFmtId="0" fontId="25" fillId="4" borderId="0" applyNumberFormat="0" applyBorder="0" applyAlignment="0" applyProtection="0"/>
    <xf numFmtId="0" fontId="29" fillId="19" borderId="8" applyNumberFormat="0" applyAlignment="0" applyProtection="0"/>
    <xf numFmtId="0" fontId="25" fillId="5" borderId="0" applyNumberFormat="0" applyBorder="0" applyAlignment="0" applyProtection="0"/>
    <xf numFmtId="0" fontId="25" fillId="12" borderId="0" applyNumberFormat="0" applyBorder="0" applyAlignment="0" applyProtection="0"/>
    <xf numFmtId="0" fontId="31" fillId="0" borderId="14" applyNumberFormat="0" applyFill="0" applyAlignment="0" applyProtection="0"/>
    <xf numFmtId="0" fontId="26" fillId="16" borderId="0" applyNumberFormat="0" applyBorder="0" applyAlignment="0" applyProtection="0"/>
    <xf numFmtId="0" fontId="32" fillId="9" borderId="7" applyNumberFormat="0" applyAlignment="0" applyProtection="0"/>
    <xf numFmtId="0" fontId="31" fillId="0" borderId="14" applyNumberFormat="0" applyFill="0" applyAlignment="0" applyProtection="0"/>
    <xf numFmtId="0" fontId="25" fillId="7" borderId="0" applyNumberFormat="0" applyBorder="0" applyAlignment="0" applyProtection="0"/>
    <xf numFmtId="0" fontId="28" fillId="18" borderId="7" applyNumberFormat="0" applyAlignment="0" applyProtection="0"/>
    <xf numFmtId="0" fontId="26" fillId="16" borderId="0" applyNumberFormat="0" applyBorder="0" applyAlignment="0" applyProtection="0"/>
    <xf numFmtId="0" fontId="26" fillId="14" borderId="0" applyNumberFormat="0" applyBorder="0" applyAlignment="0" applyProtection="0"/>
    <xf numFmtId="43" fontId="6" fillId="0" borderId="0" applyFont="0" applyFill="0" applyBorder="0" applyAlignment="0" applyProtection="0"/>
    <xf numFmtId="0" fontId="26" fillId="12" borderId="0" applyNumberFormat="0" applyBorder="0" applyAlignment="0" applyProtection="0"/>
    <xf numFmtId="0" fontId="40" fillId="0" borderId="13" applyNumberFormat="0" applyFill="0" applyAlignment="0" applyProtection="0"/>
    <xf numFmtId="0" fontId="26" fillId="16" borderId="0" applyNumberFormat="0" applyBorder="0" applyAlignment="0" applyProtection="0"/>
    <xf numFmtId="0" fontId="27" fillId="6" borderId="0" applyNumberFormat="0" applyBorder="0" applyAlignment="0" applyProtection="0"/>
    <xf numFmtId="0" fontId="30" fillId="0" borderId="9" applyNumberFormat="0" applyFill="0" applyAlignment="0" applyProtection="0"/>
    <xf numFmtId="0" fontId="25" fillId="4" borderId="0" applyNumberFormat="0" applyBorder="0" applyAlignment="0" applyProtection="0"/>
    <xf numFmtId="0" fontId="7" fillId="0" borderId="0"/>
    <xf numFmtId="0" fontId="29" fillId="19" borderId="8" applyNumberFormat="0" applyAlignment="0" applyProtection="0"/>
    <xf numFmtId="0" fontId="34" fillId="24" borderId="0" applyNumberFormat="0" applyBorder="0" applyAlignment="0" applyProtection="0"/>
    <xf numFmtId="0" fontId="33" fillId="5" borderId="0" applyNumberFormat="0" applyBorder="0" applyAlignment="0" applyProtection="0"/>
    <xf numFmtId="0" fontId="7"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xf numFmtId="0" fontId="7" fillId="0" borderId="0"/>
    <xf numFmtId="0" fontId="7" fillId="0" borderId="0"/>
    <xf numFmtId="0" fontId="7" fillId="0" borderId="0"/>
    <xf numFmtId="0" fontId="47" fillId="0" borderId="0"/>
    <xf numFmtId="0" fontId="4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25" fillId="13" borderId="0" applyNumberFormat="0" applyBorder="0" applyAlignment="0" applyProtection="0"/>
    <xf numFmtId="0" fontId="35" fillId="18" borderId="11" applyNumberFormat="0" applyAlignment="0" applyProtection="0"/>
    <xf numFmtId="0" fontId="25" fillId="10" borderId="0" applyNumberFormat="0" applyBorder="0" applyAlignment="0" applyProtection="0"/>
    <xf numFmtId="0" fontId="25" fillId="8" borderId="0" applyNumberFormat="0" applyBorder="0" applyAlignment="0" applyProtection="0"/>
    <xf numFmtId="0" fontId="25" fillId="6" borderId="0" applyNumberFormat="0" applyBorder="0" applyAlignment="0" applyProtection="0"/>
    <xf numFmtId="0" fontId="26" fillId="20" borderId="0" applyNumberFormat="0" applyBorder="0" applyAlignment="0" applyProtection="0"/>
    <xf numFmtId="0" fontId="7" fillId="0" borderId="0"/>
    <xf numFmtId="0" fontId="33" fillId="5" borderId="0" applyNumberFormat="0" applyBorder="0" applyAlignment="0" applyProtection="0"/>
    <xf numFmtId="0" fontId="25" fillId="13" borderId="0" applyNumberFormat="0" applyBorder="0" applyAlignment="0" applyProtection="0"/>
    <xf numFmtId="0" fontId="25" fillId="7" borderId="0" applyNumberFormat="0" applyBorder="0" applyAlignment="0" applyProtection="0"/>
    <xf numFmtId="0" fontId="6" fillId="25" borderId="10" applyNumberFormat="0" applyFont="0" applyAlignment="0" applyProtection="0"/>
    <xf numFmtId="0" fontId="35" fillId="18" borderId="11" applyNumberFormat="0" applyAlignment="0" applyProtection="0"/>
    <xf numFmtId="0" fontId="26" fillId="21" borderId="0" applyNumberFormat="0" applyBorder="0" applyAlignment="0" applyProtection="0"/>
    <xf numFmtId="0" fontId="38" fillId="0" borderId="0" applyNumberFormat="0" applyFill="0" applyBorder="0" applyAlignment="0" applyProtection="0"/>
    <xf numFmtId="0" fontId="26" fillId="15" borderId="0" applyNumberFormat="0" applyBorder="0" applyAlignment="0" applyProtection="0"/>
    <xf numFmtId="0" fontId="41" fillId="0" borderId="15" applyNumberFormat="0" applyFill="0" applyAlignment="0" applyProtection="0"/>
    <xf numFmtId="0" fontId="36" fillId="0" borderId="0" applyNumberFormat="0" applyFill="0" applyBorder="0" applyAlignment="0" applyProtection="0"/>
    <xf numFmtId="0" fontId="25" fillId="9" borderId="0" applyNumberFormat="0" applyBorder="0" applyAlignment="0" applyProtection="0"/>
    <xf numFmtId="0" fontId="25" fillId="7" borderId="0" applyNumberFormat="0" applyBorder="0" applyAlignment="0" applyProtection="0"/>
    <xf numFmtId="0" fontId="25" fillId="10" borderId="0" applyNumberFormat="0" applyBorder="0" applyAlignment="0" applyProtection="0"/>
    <xf numFmtId="0" fontId="25" fillId="8" borderId="0" applyNumberFormat="0" applyBorder="0" applyAlignment="0" applyProtection="0"/>
    <xf numFmtId="0" fontId="36" fillId="0" borderId="0" applyNumberFormat="0" applyFill="0" applyBorder="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11" fillId="0" borderId="0" applyNumberFormat="0" applyFill="0" applyBorder="0" applyAlignment="0" applyProtection="0">
      <alignment vertical="top"/>
      <protection locked="0"/>
    </xf>
    <xf numFmtId="0" fontId="24" fillId="0" borderId="0"/>
    <xf numFmtId="0" fontId="7" fillId="0" borderId="0"/>
    <xf numFmtId="0" fontId="24" fillId="0" borderId="0"/>
    <xf numFmtId="0" fontId="7" fillId="0" borderId="0"/>
    <xf numFmtId="0" fontId="7" fillId="0" borderId="0"/>
    <xf numFmtId="0" fontId="7" fillId="0" borderId="0"/>
    <xf numFmtId="0" fontId="58" fillId="0" borderId="0"/>
    <xf numFmtId="0" fontId="24" fillId="32" borderId="23"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63" fillId="0" borderId="0" applyNumberFormat="0" applyFill="0" applyBorder="0" applyAlignment="0" applyProtection="0"/>
    <xf numFmtId="0" fontId="44" fillId="0" borderId="0" applyNumberFormat="0" applyFill="0" applyBorder="0" applyAlignment="0" applyProtection="0"/>
    <xf numFmtId="0" fontId="64" fillId="0" borderId="16" applyNumberFormat="0" applyFill="0" applyAlignment="0" applyProtection="0"/>
    <xf numFmtId="0" fontId="65" fillId="0" borderId="17" applyNumberFormat="0" applyFill="0" applyAlignment="0" applyProtection="0"/>
    <xf numFmtId="0" fontId="66" fillId="0" borderId="18" applyNumberFormat="0" applyFill="0" applyAlignment="0" applyProtection="0"/>
    <xf numFmtId="0" fontId="66" fillId="0" borderId="0" applyNumberFormat="0" applyFill="0" applyBorder="0" applyAlignment="0" applyProtection="0"/>
    <xf numFmtId="0" fontId="49" fillId="27" borderId="0" applyNumberFormat="0" applyBorder="0" applyAlignment="0" applyProtection="0"/>
    <xf numFmtId="0" fontId="59" fillId="30" borderId="20" applyNumberFormat="0" applyAlignment="0" applyProtection="0"/>
    <xf numFmtId="0" fontId="50" fillId="30" borderId="19" applyNumberFormat="0" applyAlignment="0" applyProtection="0"/>
    <xf numFmtId="0" fontId="61" fillId="0" borderId="24" applyNumberFormat="0" applyFill="0" applyAlignment="0" applyProtection="0"/>
    <xf numFmtId="0" fontId="48" fillId="33"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48" fillId="36" borderId="0" applyNumberFormat="0" applyBorder="0" applyAlignment="0" applyProtection="0"/>
    <xf numFmtId="0" fontId="24" fillId="38" borderId="0" applyNumberFormat="0" applyBorder="0" applyAlignment="0" applyProtection="0"/>
    <xf numFmtId="0" fontId="48" fillId="41"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48" fillId="44" borderId="0" applyNumberFormat="0" applyBorder="0" applyAlignment="0" applyProtection="0"/>
    <xf numFmtId="0" fontId="48" fillId="45"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48" fillId="48" borderId="0" applyNumberFormat="0" applyBorder="0" applyAlignment="0" applyProtection="0"/>
    <xf numFmtId="0" fontId="24" fillId="55" borderId="0" applyNumberFormat="0" applyBorder="0" applyAlignment="0" applyProtection="0"/>
    <xf numFmtId="0" fontId="48" fillId="56" borderId="0" applyNumberFormat="0" applyBorder="0" applyAlignment="0" applyProtection="0"/>
    <xf numFmtId="0" fontId="7" fillId="0" borderId="0"/>
    <xf numFmtId="0" fontId="6" fillId="25" borderId="10" applyNumberFormat="0" applyFont="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7" fillId="0" borderId="0"/>
    <xf numFmtId="9" fontId="6"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6" fillId="0" borderId="0"/>
    <xf numFmtId="0" fontId="24" fillId="0" borderId="0"/>
    <xf numFmtId="0" fontId="24" fillId="0" borderId="0"/>
    <xf numFmtId="9" fontId="6" fillId="0" borderId="0" applyFont="0" applyFill="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6" fillId="0" borderId="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4" fillId="50"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4" fillId="54"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4" fillId="39"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4" fillId="55" borderId="0" applyNumberFormat="0" applyBorder="0" applyAlignment="0" applyProtection="0"/>
    <xf numFmtId="0" fontId="25" fillId="7" borderId="0" applyNumberFormat="0" applyBorder="0" applyAlignment="0" applyProtection="0"/>
    <xf numFmtId="0" fontId="24" fillId="51"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48" fillId="40"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48" fillId="52"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48" fillId="37" borderId="0" applyNumberFormat="0" applyBorder="0" applyAlignment="0" applyProtection="0"/>
    <xf numFmtId="0" fontId="26" fillId="22" borderId="0" applyNumberFormat="0" applyBorder="0" applyAlignment="0" applyProtection="0"/>
    <xf numFmtId="0" fontId="26" fillId="15" borderId="0" applyNumberFormat="0" applyBorder="0" applyAlignment="0" applyProtection="0"/>
    <xf numFmtId="0" fontId="48" fillId="49" borderId="0" applyNumberFormat="0" applyBorder="0" applyAlignment="0" applyProtection="0"/>
    <xf numFmtId="0" fontId="48" fillId="53" borderId="0" applyNumberFormat="0" applyBorder="0" applyAlignment="0" applyProtection="0"/>
    <xf numFmtId="0" fontId="33" fillId="5" borderId="0" applyNumberFormat="0" applyBorder="0" applyAlignment="0" applyProtection="0"/>
    <xf numFmtId="0" fontId="24" fillId="34" borderId="0" applyNumberFormat="0" applyBorder="0" applyAlignment="0" applyProtection="0"/>
    <xf numFmtId="0" fontId="28" fillId="18" borderId="7" applyNumberFormat="0" applyAlignment="0" applyProtection="0"/>
    <xf numFmtId="0" fontId="51" fillId="31" borderId="22" applyNumberFormat="0" applyAlignment="0" applyProtection="0"/>
    <xf numFmtId="0" fontId="52" fillId="0" borderId="0" applyNumberFormat="0" applyFill="0" applyBorder="0" applyAlignment="0" applyProtection="0"/>
    <xf numFmtId="0" fontId="53" fillId="26" borderId="0" applyNumberFormat="0" applyBorder="0" applyAlignment="0" applyProtection="0"/>
    <xf numFmtId="0" fontId="39" fillId="0" borderId="12" applyNumberFormat="0" applyFill="0" applyAlignment="0" applyProtection="0"/>
    <xf numFmtId="0" fontId="40" fillId="0" borderId="13" applyNumberFormat="0" applyFill="0" applyAlignment="0" applyProtection="0"/>
    <xf numFmtId="0" fontId="31" fillId="0" borderId="14" applyNumberFormat="0" applyFill="0" applyAlignment="0" applyProtection="0"/>
    <xf numFmtId="0" fontId="31" fillId="0" borderId="0" applyNumberFormat="0" applyFill="0" applyBorder="0" applyAlignment="0" applyProtection="0"/>
    <xf numFmtId="0" fontId="55" fillId="29" borderId="19" applyNumberFormat="0" applyAlignment="0" applyProtection="0"/>
    <xf numFmtId="0" fontId="56" fillId="0" borderId="21" applyNumberFormat="0" applyFill="0" applyAlignment="0" applyProtection="0"/>
    <xf numFmtId="0" fontId="57" fillId="28" borderId="0" applyNumberFormat="0" applyBorder="0" applyAlignment="0" applyProtection="0"/>
    <xf numFmtId="0" fontId="7" fillId="0" borderId="0"/>
    <xf numFmtId="0" fontId="58" fillId="0" borderId="0"/>
    <xf numFmtId="0" fontId="6" fillId="0" borderId="0"/>
    <xf numFmtId="0" fontId="7" fillId="0" borderId="0"/>
    <xf numFmtId="0" fontId="6" fillId="0" borderId="0"/>
    <xf numFmtId="0" fontId="35" fillId="18" borderId="11" applyNumberFormat="0" applyAlignment="0" applyProtection="0"/>
    <xf numFmtId="9" fontId="7" fillId="0" borderId="0" applyFont="0" applyFill="0" applyBorder="0" applyAlignment="0" applyProtection="0"/>
    <xf numFmtId="9" fontId="7" fillId="0" borderId="0" applyFont="0" applyFill="0" applyBorder="0" applyAlignment="0" applyProtection="0"/>
    <xf numFmtId="0" fontId="38" fillId="0" borderId="0" applyNumberFormat="0" applyFill="0" applyBorder="0" applyAlignment="0" applyProtection="0"/>
    <xf numFmtId="0" fontId="41" fillId="0" borderId="15" applyNumberFormat="0" applyFill="0" applyAlignment="0" applyProtection="0"/>
    <xf numFmtId="0" fontId="62" fillId="0" borderId="0" applyNumberFormat="0" applyFill="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24" fillId="0" borderId="0"/>
    <xf numFmtId="0" fontId="24" fillId="0" borderId="0"/>
    <xf numFmtId="0" fontId="6" fillId="0" borderId="0"/>
    <xf numFmtId="0" fontId="24" fillId="39" borderId="0" applyNumberFormat="0" applyBorder="0" applyAlignment="0" applyProtection="0"/>
    <xf numFmtId="0" fontId="46" fillId="0" borderId="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46" fillId="0" borderId="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58" fillId="0" borderId="0"/>
    <xf numFmtId="0" fontId="24" fillId="0" borderId="0"/>
    <xf numFmtId="0" fontId="25"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6"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7" fillId="0" borderId="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7" fillId="0" borderId="0"/>
    <xf numFmtId="0" fontId="7" fillId="0" borderId="0"/>
    <xf numFmtId="43" fontId="6"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0" fontId="7" fillId="0" borderId="0"/>
    <xf numFmtId="0" fontId="6" fillId="0" borderId="0"/>
    <xf numFmtId="0" fontId="7" fillId="0" borderId="0"/>
    <xf numFmtId="0" fontId="7"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0" fontId="7" fillId="0" borderId="0"/>
    <xf numFmtId="0" fontId="47"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0" fontId="7" fillId="0" borderId="0"/>
    <xf numFmtId="0" fontId="47" fillId="0" borderId="0"/>
    <xf numFmtId="0" fontId="6" fillId="0" borderId="0"/>
    <xf numFmtId="0" fontId="7" fillId="0" borderId="0"/>
    <xf numFmtId="0" fontId="7"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0" fontId="7" fillId="0" borderId="0"/>
    <xf numFmtId="0" fontId="4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7" fillId="0" borderId="0"/>
    <xf numFmtId="0" fontId="7" fillId="0" borderId="0"/>
    <xf numFmtId="0" fontId="7" fillId="0" borderId="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46" fillId="0" borderId="0"/>
    <xf numFmtId="0" fontId="24" fillId="0" borderId="0"/>
    <xf numFmtId="0" fontId="6"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43" fontId="6" fillId="0" borderId="0" applyFont="0" applyFill="0" applyBorder="0" applyAlignment="0" applyProtection="0"/>
    <xf numFmtId="43" fontId="6" fillId="0" borderId="0" applyFont="0" applyFill="0" applyBorder="0" applyAlignment="0" applyProtection="0"/>
    <xf numFmtId="0" fontId="7" fillId="0" borderId="0"/>
    <xf numFmtId="0" fontId="47" fillId="0" borderId="0"/>
    <xf numFmtId="0" fontId="7" fillId="0" borderId="0"/>
    <xf numFmtId="0" fontId="7" fillId="0" borderId="0"/>
    <xf numFmtId="0" fontId="6" fillId="0" borderId="0"/>
    <xf numFmtId="0" fontId="6" fillId="0" borderId="0"/>
    <xf numFmtId="0" fontId="7" fillId="0" borderId="0"/>
    <xf numFmtId="0" fontId="7"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7" fillId="0" borderId="0"/>
    <xf numFmtId="43" fontId="6" fillId="0" borderId="0" applyFont="0" applyFill="0" applyBorder="0" applyAlignment="0" applyProtection="0"/>
    <xf numFmtId="0" fontId="7" fillId="0" borderId="0"/>
    <xf numFmtId="0" fontId="6"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0" fontId="7" fillId="0" borderId="0"/>
    <xf numFmtId="0" fontId="47"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0" fontId="7" fillId="0" borderId="0"/>
    <xf numFmtId="0" fontId="47" fillId="0" borderId="0"/>
    <xf numFmtId="0" fontId="6" fillId="0" borderId="0"/>
    <xf numFmtId="0" fontId="7" fillId="0" borderId="0"/>
    <xf numFmtId="0" fontId="7" fillId="0" borderId="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7" fillId="0" borderId="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43" fontId="6" fillId="0" borderId="0" applyFont="0" applyFill="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7" fillId="0" borderId="0"/>
    <xf numFmtId="0" fontId="7"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47"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7" fillId="0" borderId="0"/>
    <xf numFmtId="0" fontId="7" fillId="0" borderId="0"/>
    <xf numFmtId="43" fontId="6" fillId="0" borderId="0" applyFont="0" applyFill="0" applyBorder="0" applyAlignment="0" applyProtection="0"/>
    <xf numFmtId="0" fontId="6" fillId="0" borderId="0"/>
    <xf numFmtId="0" fontId="7" fillId="0" borderId="0"/>
    <xf numFmtId="0" fontId="6" fillId="0" borderId="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7" fillId="0" borderId="0"/>
    <xf numFmtId="0" fontId="24" fillId="32" borderId="23" applyNumberFormat="0" applyFont="0" applyAlignment="0" applyProtection="0"/>
    <xf numFmtId="0" fontId="7"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7" fillId="0" borderId="0"/>
    <xf numFmtId="0" fontId="24" fillId="55" borderId="0" applyNumberFormat="0" applyBorder="0" applyAlignment="0" applyProtection="0"/>
    <xf numFmtId="0" fontId="7" fillId="0" borderId="0"/>
    <xf numFmtId="0" fontId="6" fillId="0" borderId="0"/>
    <xf numFmtId="0" fontId="24" fillId="0" borderId="0"/>
    <xf numFmtId="0" fontId="7" fillId="0" borderId="0"/>
    <xf numFmtId="0" fontId="7" fillId="0" borderId="0"/>
    <xf numFmtId="43" fontId="6" fillId="0" borderId="0" applyFont="0" applyFill="0" applyBorder="0" applyAlignment="0" applyProtection="0"/>
    <xf numFmtId="0" fontId="6"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0" fontId="24" fillId="32" borderId="23" applyNumberFormat="0" applyFont="0" applyAlignment="0" applyProtection="0"/>
    <xf numFmtId="0" fontId="24" fillId="0" borderId="0"/>
    <xf numFmtId="0" fontId="7" fillId="0" borderId="0"/>
    <xf numFmtId="43" fontId="24" fillId="0" borderId="0" applyFont="0" applyFill="0" applyBorder="0" applyAlignment="0" applyProtection="0"/>
    <xf numFmtId="0" fontId="7" fillId="0" borderId="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47" fillId="0" borderId="0"/>
    <xf numFmtId="0" fontId="6"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47" fillId="0" borderId="0"/>
    <xf numFmtId="0" fontId="24" fillId="0" borderId="0"/>
    <xf numFmtId="0" fontId="24" fillId="0" borderId="0"/>
    <xf numFmtId="0" fontId="7" fillId="0" borderId="0"/>
    <xf numFmtId="0" fontId="7"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7"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7" fillId="0" borderId="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7" fillId="0" borderId="0"/>
    <xf numFmtId="0" fontId="7" fillId="0" borderId="0"/>
    <xf numFmtId="43" fontId="6" fillId="0" borderId="0" applyFont="0" applyFill="0" applyBorder="0" applyAlignment="0" applyProtection="0"/>
    <xf numFmtId="0" fontId="7" fillId="0" borderId="0"/>
    <xf numFmtId="0" fontId="6"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0" fontId="7" fillId="0" borderId="0"/>
    <xf numFmtId="0" fontId="47" fillId="0" borderId="0"/>
    <xf numFmtId="0" fontId="7" fillId="0" borderId="0"/>
    <xf numFmtId="0" fontId="7" fillId="0" borderId="0"/>
    <xf numFmtId="43" fontId="6"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0" fontId="7" fillId="0" borderId="0"/>
    <xf numFmtId="0" fontId="47" fillId="0" borderId="0"/>
    <xf numFmtId="0" fontId="6" fillId="0" borderId="0"/>
    <xf numFmtId="0" fontId="7" fillId="0" borderId="0"/>
    <xf numFmtId="0" fontId="7" fillId="0" borderId="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6" fillId="0" borderId="0"/>
    <xf numFmtId="0" fontId="7" fillId="0" borderId="0"/>
    <xf numFmtId="43" fontId="6"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7" fillId="0" borderId="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7" fillId="0" borderId="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7" fillId="0" borderId="0"/>
    <xf numFmtId="0" fontId="24" fillId="0" borderId="0"/>
    <xf numFmtId="0" fontId="26" fillId="21" borderId="0" applyNumberFormat="0" applyBorder="0" applyAlignment="0" applyProtection="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6" fillId="14" borderId="0" applyNumberFormat="0" applyBorder="0" applyAlignment="0" applyProtection="0"/>
    <xf numFmtId="0" fontId="34" fillId="24"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6" fillId="23" borderId="0" applyNumberFormat="0" applyBorder="0" applyAlignment="0" applyProtection="0"/>
    <xf numFmtId="0" fontId="24" fillId="32" borderId="23" applyNumberFormat="0" applyFont="0" applyAlignment="0" applyProtection="0"/>
    <xf numFmtId="0" fontId="24" fillId="0" borderId="0"/>
    <xf numFmtId="0" fontId="25" fillId="12" borderId="0" applyNumberFormat="0" applyBorder="0" applyAlignment="0" applyProtection="0"/>
    <xf numFmtId="43" fontId="24" fillId="0" borderId="0" applyFont="0" applyFill="0" applyBorder="0" applyAlignment="0" applyProtection="0"/>
    <xf numFmtId="0" fontId="38" fillId="0" borderId="0" applyNumberFormat="0" applyFill="0" applyBorder="0" applyAlignment="0" applyProtection="0"/>
    <xf numFmtId="0" fontId="25" fillId="13"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40" fillId="0" borderId="13" applyNumberFormat="0" applyFill="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30" fillId="0" borderId="9" applyNumberFormat="0" applyFill="0" applyAlignment="0" applyProtection="0"/>
    <xf numFmtId="0" fontId="24" fillId="54" borderId="0" applyNumberFormat="0" applyBorder="0" applyAlignment="0" applyProtection="0"/>
    <xf numFmtId="0" fontId="24" fillId="39" borderId="0" applyNumberFormat="0" applyBorder="0" applyAlignment="0" applyProtection="0"/>
    <xf numFmtId="0" fontId="26" fillId="20"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5" fillId="6"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41" fillId="0" borderId="15" applyNumberFormat="0" applyFill="0" applyAlignment="0" applyProtection="0"/>
    <xf numFmtId="0" fontId="26" fillId="15" borderId="0" applyNumberFormat="0" applyBorder="0" applyAlignment="0" applyProtection="0"/>
    <xf numFmtId="0" fontId="7" fillId="0" borderId="0"/>
    <xf numFmtId="0" fontId="26" fillId="12" borderId="0" applyNumberFormat="0" applyBorder="0" applyAlignment="0" applyProtection="0"/>
    <xf numFmtId="0" fontId="26" fillId="11" borderId="0" applyNumberFormat="0" applyBorder="0" applyAlignment="0" applyProtection="0"/>
    <xf numFmtId="0" fontId="32" fillId="9" borderId="7" applyNumberFormat="0" applyAlignment="0" applyProtection="0"/>
    <xf numFmtId="0" fontId="29" fillId="19" borderId="8" applyNumberFormat="0" applyAlignment="0" applyProtection="0"/>
    <xf numFmtId="0" fontId="25" fillId="4" borderId="0" applyNumberFormat="0" applyBorder="0" applyAlignment="0" applyProtection="0"/>
    <xf numFmtId="0" fontId="26" fillId="17" borderId="0" applyNumberFormat="0" applyBorder="0" applyAlignment="0" applyProtection="0"/>
    <xf numFmtId="0" fontId="25" fillId="11" borderId="0" applyNumberFormat="0" applyBorder="0" applyAlignment="0" applyProtection="0"/>
    <xf numFmtId="0" fontId="25" fillId="9" borderId="0" applyNumberFormat="0" applyBorder="0" applyAlignment="0" applyProtection="0"/>
    <xf numFmtId="0" fontId="37" fillId="0" borderId="0" applyNumberFormat="0" applyFill="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22" borderId="0" applyNumberFormat="0" applyBorder="0" applyAlignment="0" applyProtection="0"/>
    <xf numFmtId="0" fontId="28" fillId="18" borderId="7" applyNumberFormat="0" applyAlignment="0" applyProtection="0"/>
    <xf numFmtId="0" fontId="33" fillId="5" borderId="0" applyNumberFormat="0" applyBorder="0" applyAlignment="0" applyProtection="0"/>
    <xf numFmtId="0" fontId="26" fillId="16" borderId="0" applyNumberFormat="0" applyBorder="0" applyAlignment="0" applyProtection="0"/>
    <xf numFmtId="0" fontId="27" fillId="6" borderId="0" applyNumberFormat="0" applyBorder="0" applyAlignment="0" applyProtection="0"/>
    <xf numFmtId="0" fontId="39" fillId="0" borderId="12" applyNumberFormat="0" applyFill="0" applyAlignment="0" applyProtection="0"/>
    <xf numFmtId="0" fontId="6" fillId="25" borderId="10" applyNumberFormat="0" applyFont="0" applyAlignment="0" applyProtection="0"/>
    <xf numFmtId="0" fontId="35" fillId="18" borderId="11" applyNumberFormat="0" applyAlignment="0" applyProtection="0"/>
    <xf numFmtId="0" fontId="25" fillId="5" borderId="0" applyNumberFormat="0" applyBorder="0" applyAlignment="0" applyProtection="0"/>
    <xf numFmtId="0" fontId="26" fillId="1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43" fontId="6" fillId="0" borderId="0" applyFont="0" applyFill="0" applyBorder="0" applyAlignment="0" applyProtection="0"/>
    <xf numFmtId="0" fontId="26" fillId="15" borderId="0" applyNumberFormat="0" applyBorder="0" applyAlignment="0" applyProtection="0"/>
    <xf numFmtId="0" fontId="25" fillId="8" borderId="0" applyNumberFormat="0" applyBorder="0" applyAlignment="0" applyProtection="0"/>
    <xf numFmtId="0" fontId="31" fillId="0" borderId="14" applyNumberFormat="0" applyFill="0" applyAlignment="0" applyProtection="0"/>
    <xf numFmtId="0" fontId="36" fillId="0" borderId="0" applyNumberFormat="0" applyFill="0" applyBorder="0" applyAlignment="0" applyProtection="0"/>
    <xf numFmtId="0" fontId="31" fillId="0" borderId="0" applyNumberForma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32" borderId="23" applyNumberFormat="0" applyFont="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43" fontId="24" fillId="0" borderId="0" applyFont="0" applyFill="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0" borderId="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3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1"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6"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24" fillId="51"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0" fontId="24" fillId="39" borderId="0" applyNumberFormat="0" applyBorder="0" applyAlignment="0" applyProtection="0"/>
    <xf numFmtId="43" fontId="24" fillId="0" borderId="0" applyFont="0" applyFill="0" applyBorder="0" applyAlignment="0" applyProtection="0"/>
    <xf numFmtId="0" fontId="24" fillId="51"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0" borderId="0"/>
    <xf numFmtId="0" fontId="24" fillId="0" borderId="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0" borderId="0"/>
    <xf numFmtId="0" fontId="24" fillId="0" borderId="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0" borderId="0" applyNumberFormat="0" applyBorder="0" applyAlignment="0" applyProtection="0"/>
    <xf numFmtId="0" fontId="24" fillId="54" borderId="0" applyNumberFormat="0" applyBorder="0" applyAlignment="0" applyProtection="0"/>
    <xf numFmtId="0" fontId="24" fillId="39" borderId="0" applyNumberFormat="0" applyBorder="0" applyAlignment="0" applyProtection="0"/>
    <xf numFmtId="0" fontId="24" fillId="55" borderId="0" applyNumberFormat="0" applyBorder="0" applyAlignment="0" applyProtection="0"/>
    <xf numFmtId="0" fontId="24" fillId="51" borderId="0" applyNumberFormat="0" applyBorder="0" applyAlignment="0" applyProtection="0"/>
    <xf numFmtId="0" fontId="24" fillId="34"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0" borderId="0"/>
    <xf numFmtId="0" fontId="24" fillId="0" borderId="0"/>
    <xf numFmtId="0" fontId="24" fillId="0" borderId="0"/>
    <xf numFmtId="0" fontId="24" fillId="0" borderId="0"/>
    <xf numFmtId="0" fontId="24" fillId="39" borderId="0" applyNumberFormat="0" applyBorder="0" applyAlignment="0" applyProtection="0"/>
    <xf numFmtId="0" fontId="24" fillId="47" borderId="0" applyNumberFormat="0" applyBorder="0" applyAlignment="0" applyProtection="0"/>
    <xf numFmtId="0" fontId="24" fillId="0" borderId="0"/>
    <xf numFmtId="0" fontId="24" fillId="42" borderId="0" applyNumberFormat="0" applyBorder="0" applyAlignment="0" applyProtection="0"/>
    <xf numFmtId="0" fontId="24" fillId="46" borderId="0" applyNumberFormat="0" applyBorder="0" applyAlignment="0" applyProtection="0"/>
    <xf numFmtId="0" fontId="24" fillId="38" borderId="0" applyNumberFormat="0" applyBorder="0" applyAlignment="0" applyProtection="0"/>
    <xf numFmtId="0" fontId="24" fillId="43" borderId="0" applyNumberFormat="0" applyBorder="0" applyAlignment="0" applyProtection="0"/>
    <xf numFmtId="0" fontId="24" fillId="50" borderId="0" applyNumberFormat="0" applyBorder="0" applyAlignment="0" applyProtection="0"/>
    <xf numFmtId="0" fontId="24" fillId="35" borderId="0" applyNumberFormat="0" applyBorder="0" applyAlignment="0" applyProtection="0"/>
    <xf numFmtId="0" fontId="24" fillId="0" borderId="0"/>
    <xf numFmtId="0" fontId="24" fillId="32" borderId="23" applyNumberFormat="0" applyFont="0" applyAlignment="0" applyProtection="0"/>
    <xf numFmtId="0" fontId="24" fillId="32" borderId="23" applyNumberFormat="0" applyFont="0" applyAlignment="0" applyProtection="0"/>
    <xf numFmtId="0" fontId="24" fillId="32" borderId="23" applyNumberFormat="0" applyFont="0" applyAlignment="0" applyProtection="0"/>
    <xf numFmtId="43" fontId="24" fillId="0" borderId="0" applyFont="0" applyFill="0" applyBorder="0" applyAlignment="0" applyProtection="0"/>
    <xf numFmtId="0" fontId="24" fillId="0" borderId="0"/>
    <xf numFmtId="0" fontId="24" fillId="32" borderId="23"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cellStyleXfs>
  <cellXfs count="426">
    <xf numFmtId="0" fontId="0" fillId="0" borderId="0" xfId="0"/>
    <xf numFmtId="0" fontId="1" fillId="0" borderId="0" xfId="0" applyFont="1"/>
    <xf numFmtId="0" fontId="1" fillId="0" borderId="0" xfId="0" applyFont="1" applyAlignment="1">
      <alignment horizontal="right"/>
    </xf>
    <xf numFmtId="0" fontId="1" fillId="0" borderId="0" xfId="0" applyFont="1" applyAlignment="1">
      <alignment horizontal="center"/>
    </xf>
    <xf numFmtId="0" fontId="1" fillId="0" borderId="0" xfId="0" applyFont="1" applyAlignment="1">
      <alignment horizontal="left"/>
    </xf>
    <xf numFmtId="0" fontId="1" fillId="0" borderId="0" xfId="0" applyFont="1" applyBorder="1"/>
    <xf numFmtId="0" fontId="1" fillId="0" borderId="0" xfId="0" applyFont="1" applyBorder="1" applyAlignment="1">
      <alignment horizontal="center"/>
    </xf>
    <xf numFmtId="164" fontId="1" fillId="3" borderId="1" xfId="0" applyNumberFormat="1" applyFont="1" applyFill="1" applyBorder="1" applyAlignment="1">
      <alignment horizontal="center"/>
    </xf>
    <xf numFmtId="0" fontId="1" fillId="3" borderId="1" xfId="0" applyFont="1" applyFill="1" applyBorder="1" applyAlignment="1">
      <alignment horizontal="left"/>
    </xf>
    <xf numFmtId="164" fontId="1" fillId="2" borderId="0" xfId="0" applyNumberFormat="1" applyFont="1" applyFill="1" applyBorder="1" applyAlignment="1">
      <alignment horizontal="center"/>
    </xf>
    <xf numFmtId="164" fontId="1" fillId="3" borderId="0" xfId="0" applyNumberFormat="1" applyFont="1" applyFill="1" applyBorder="1" applyAlignment="1">
      <alignment horizontal="center"/>
    </xf>
    <xf numFmtId="0" fontId="1" fillId="3" borderId="0" xfId="0" applyFont="1" applyFill="1" applyBorder="1" applyAlignment="1">
      <alignment horizontal="left"/>
    </xf>
    <xf numFmtId="164" fontId="1" fillId="2" borderId="1" xfId="0" applyNumberFormat="1" applyFont="1" applyFill="1" applyBorder="1" applyAlignment="1">
      <alignment horizontal="center"/>
    </xf>
    <xf numFmtId="0" fontId="5" fillId="2" borderId="1" xfId="0" applyFont="1" applyFill="1" applyBorder="1" applyAlignment="1">
      <alignment horizontal="center"/>
    </xf>
    <xf numFmtId="0" fontId="5" fillId="2" borderId="1" xfId="0" applyFont="1" applyFill="1" applyBorder="1" applyAlignment="1">
      <alignment horizontal="left"/>
    </xf>
    <xf numFmtId="0" fontId="5" fillId="2" borderId="1" xfId="0" applyFont="1" applyFill="1" applyBorder="1" applyAlignment="1"/>
    <xf numFmtId="0" fontId="5" fillId="2" borderId="0" xfId="0" applyFont="1" applyFill="1" applyBorder="1" applyAlignment="1">
      <alignment horizontal="left"/>
    </xf>
    <xf numFmtId="0" fontId="5" fillId="2" borderId="0" xfId="0" applyFont="1" applyFill="1" applyBorder="1" applyAlignment="1"/>
    <xf numFmtId="0" fontId="5" fillId="2" borderId="2" xfId="0" applyFont="1" applyFill="1" applyBorder="1" applyAlignment="1"/>
    <xf numFmtId="164" fontId="1" fillId="3" borderId="0" xfId="7" applyNumberFormat="1" applyFont="1" applyFill="1" applyAlignment="1">
      <alignment horizontal="center"/>
    </xf>
    <xf numFmtId="0" fontId="1" fillId="3" borderId="0" xfId="7" applyFont="1" applyFill="1"/>
    <xf numFmtId="0" fontId="12" fillId="2" borderId="0" xfId="1" applyFont="1" applyFill="1" applyBorder="1" applyAlignment="1" applyProtection="1"/>
    <xf numFmtId="0" fontId="1" fillId="3" borderId="5" xfId="0" applyFont="1" applyFill="1" applyBorder="1" applyAlignment="1">
      <alignment horizontal="left"/>
    </xf>
    <xf numFmtId="164" fontId="1" fillId="3" borderId="4" xfId="0" applyNumberFormat="1" applyFont="1" applyFill="1" applyBorder="1" applyAlignment="1">
      <alignment horizontal="left"/>
    </xf>
    <xf numFmtId="164" fontId="1" fillId="3" borderId="4" xfId="0" applyNumberFormat="1" applyFont="1" applyFill="1" applyBorder="1" applyAlignment="1">
      <alignment horizontal="center"/>
    </xf>
    <xf numFmtId="164" fontId="1" fillId="3" borderId="5" xfId="0" applyNumberFormat="1" applyFont="1" applyFill="1" applyBorder="1" applyAlignment="1">
      <alignment horizontal="left"/>
    </xf>
    <xf numFmtId="164" fontId="1" fillId="3" borderId="5" xfId="0" applyNumberFormat="1" applyFont="1" applyFill="1" applyBorder="1" applyAlignment="1">
      <alignment horizontal="center"/>
    </xf>
    <xf numFmtId="0" fontId="1" fillId="3" borderId="6" xfId="0" applyFont="1" applyFill="1" applyBorder="1" applyAlignment="1">
      <alignment horizontal="left"/>
    </xf>
    <xf numFmtId="164" fontId="1" fillId="3" borderId="6" xfId="0" applyNumberFormat="1" applyFont="1" applyFill="1" applyBorder="1" applyAlignment="1">
      <alignment horizontal="left"/>
    </xf>
    <xf numFmtId="0" fontId="1" fillId="0" borderId="0" xfId="0" applyFont="1" applyFill="1" applyAlignment="1">
      <alignment horizontal="center"/>
    </xf>
    <xf numFmtId="0" fontId="8" fillId="0" borderId="0" xfId="1" applyFont="1" applyFill="1" applyBorder="1" applyAlignment="1" applyProtection="1"/>
    <xf numFmtId="0" fontId="8" fillId="0" borderId="0" xfId="1" applyFont="1" applyFill="1" applyBorder="1" applyAlignment="1" applyProtection="1">
      <alignment horizontal="left"/>
    </xf>
    <xf numFmtId="0" fontId="12" fillId="0" borderId="0" xfId="1" applyFont="1" applyFill="1" applyBorder="1" applyAlignment="1" applyProtection="1">
      <alignment horizontal="left"/>
    </xf>
    <xf numFmtId="0" fontId="10" fillId="0" borderId="0" xfId="0" applyFont="1" applyFill="1" applyAlignment="1">
      <alignment horizontal="center"/>
    </xf>
    <xf numFmtId="0" fontId="1" fillId="0" borderId="0" xfId="0" applyFont="1" applyFill="1" applyAlignment="1">
      <alignment horizontal="left"/>
    </xf>
    <xf numFmtId="164" fontId="1" fillId="2" borderId="6" xfId="0" applyNumberFormat="1" applyFont="1" applyFill="1" applyBorder="1" applyAlignment="1">
      <alignment horizontal="center"/>
    </xf>
    <xf numFmtId="0" fontId="3" fillId="0" borderId="0" xfId="0" applyFont="1" applyFill="1" applyBorder="1" applyAlignment="1">
      <alignment horizontal="left" vertical="top"/>
    </xf>
    <xf numFmtId="0" fontId="3" fillId="0" borderId="0" xfId="0" applyFont="1" applyFill="1" applyBorder="1" applyAlignment="1">
      <alignment horizontal="left" vertical="top" wrapText="1"/>
    </xf>
    <xf numFmtId="0" fontId="1" fillId="0" borderId="0" xfId="0" applyFont="1" applyFill="1" applyAlignment="1">
      <alignment horizontal="right"/>
    </xf>
    <xf numFmtId="0" fontId="9" fillId="0" borderId="0" xfId="2" applyFont="1" applyFill="1"/>
    <xf numFmtId="0" fontId="1" fillId="0" borderId="0" xfId="0" applyFont="1" applyFill="1"/>
    <xf numFmtId="0" fontId="1" fillId="2" borderId="5" xfId="0" applyFont="1" applyFill="1" applyBorder="1" applyAlignment="1">
      <alignment horizontal="left" vertical="center"/>
    </xf>
    <xf numFmtId="0" fontId="1" fillId="2" borderId="0" xfId="0" applyFont="1" applyFill="1" applyBorder="1" applyAlignment="1">
      <alignment horizontal="left" vertical="center"/>
    </xf>
    <xf numFmtId="0" fontId="5" fillId="2" borderId="2" xfId="0" applyFont="1" applyFill="1" applyBorder="1" applyAlignment="1">
      <alignment horizontal="center" wrapText="1"/>
    </xf>
    <xf numFmtId="0" fontId="5" fillId="2" borderId="1" xfId="0" applyFont="1" applyFill="1" applyBorder="1" applyAlignment="1">
      <alignment horizontal="center" wrapText="1"/>
    </xf>
    <xf numFmtId="0" fontId="1" fillId="2" borderId="1" xfId="0" applyFont="1" applyFill="1" applyBorder="1" applyAlignment="1">
      <alignment horizontal="left" vertical="center"/>
    </xf>
    <xf numFmtId="0" fontId="1" fillId="2" borderId="6" xfId="0" applyFont="1" applyFill="1" applyBorder="1" applyAlignment="1">
      <alignment horizontal="left" vertical="center"/>
    </xf>
    <xf numFmtId="0" fontId="12" fillId="0" borderId="0" xfId="1" applyFont="1" applyFill="1" applyBorder="1" applyAlignment="1">
      <alignment horizontal="left"/>
    </xf>
    <xf numFmtId="0" fontId="1" fillId="2" borderId="0" xfId="0" applyFont="1" applyFill="1" applyBorder="1" applyAlignment="1">
      <alignment horizontal="left"/>
    </xf>
    <xf numFmtId="0" fontId="0" fillId="0" borderId="0" xfId="0"/>
    <xf numFmtId="0" fontId="1" fillId="0" borderId="0" xfId="0" applyFont="1"/>
    <xf numFmtId="164" fontId="1" fillId="2" borderId="0" xfId="0" applyNumberFormat="1" applyFont="1" applyFill="1" applyBorder="1" applyAlignment="1">
      <alignment horizontal="center"/>
    </xf>
    <xf numFmtId="164" fontId="1" fillId="3" borderId="0" xfId="0" applyNumberFormat="1" applyFont="1" applyFill="1" applyBorder="1" applyAlignment="1">
      <alignment horizontal="center"/>
    </xf>
    <xf numFmtId="164" fontId="1" fillId="3" borderId="5" xfId="0" applyNumberFormat="1" applyFont="1" applyFill="1" applyBorder="1" applyAlignment="1">
      <alignment horizontal="center"/>
    </xf>
    <xf numFmtId="164" fontId="1" fillId="3" borderId="6" xfId="0" applyNumberFormat="1" applyFont="1" applyFill="1" applyBorder="1" applyAlignment="1">
      <alignment horizontal="center"/>
    </xf>
    <xf numFmtId="164" fontId="1" fillId="0" borderId="0" xfId="0" applyNumberFormat="1" applyFont="1" applyAlignment="1">
      <alignment horizontal="center"/>
    </xf>
    <xf numFmtId="0" fontId="1" fillId="0" borderId="0" xfId="0" applyFont="1" applyFill="1" applyBorder="1" applyAlignment="1">
      <alignment horizontal="left"/>
    </xf>
    <xf numFmtId="0" fontId="1" fillId="0" borderId="0" xfId="0" applyFont="1" applyFill="1" applyBorder="1" applyAlignment="1">
      <alignment vertical="center"/>
    </xf>
    <xf numFmtId="0" fontId="1" fillId="0" borderId="5" xfId="0" applyFont="1" applyFill="1" applyBorder="1" applyAlignment="1">
      <alignment vertical="center"/>
    </xf>
    <xf numFmtId="0" fontId="1" fillId="0" borderId="6" xfId="0" applyFont="1" applyFill="1" applyBorder="1" applyAlignment="1">
      <alignment vertical="center"/>
    </xf>
    <xf numFmtId="0" fontId="1" fillId="2" borderId="1" xfId="0" applyFont="1" applyFill="1" applyBorder="1" applyAlignment="1">
      <alignment horizontal="left"/>
    </xf>
    <xf numFmtId="0" fontId="1" fillId="0" borderId="0" xfId="0" applyFont="1" applyFill="1" applyBorder="1" applyAlignment="1">
      <alignment horizontal="right"/>
    </xf>
    <xf numFmtId="0" fontId="1" fillId="0" borderId="1" xfId="0" applyFont="1" applyFill="1" applyBorder="1" applyAlignment="1">
      <alignment horizontal="right"/>
    </xf>
    <xf numFmtId="0" fontId="5" fillId="0" borderId="0" xfId="0" applyFont="1" applyFill="1" applyBorder="1" applyAlignment="1"/>
    <xf numFmtId="0" fontId="5" fillId="0" borderId="0" xfId="0" applyFont="1" applyFill="1" applyBorder="1" applyAlignment="1">
      <alignment horizontal="left"/>
    </xf>
    <xf numFmtId="0" fontId="5" fillId="0" borderId="2" xfId="0" applyFont="1" applyFill="1" applyBorder="1" applyAlignment="1"/>
    <xf numFmtId="0" fontId="5" fillId="0" borderId="1" xfId="0" applyFont="1" applyFill="1" applyBorder="1" applyAlignment="1"/>
    <xf numFmtId="0" fontId="5" fillId="0" borderId="1" xfId="0" applyFont="1" applyFill="1" applyBorder="1" applyAlignment="1">
      <alignment horizontal="left"/>
    </xf>
    <xf numFmtId="0" fontId="5" fillId="0" borderId="1" xfId="0" applyFont="1" applyFill="1" applyBorder="1" applyAlignment="1">
      <alignment horizontal="center"/>
    </xf>
    <xf numFmtId="164" fontId="1" fillId="0" borderId="0" xfId="0" applyNumberFormat="1" applyFont="1" applyFill="1" applyBorder="1" applyAlignment="1">
      <alignment horizontal="center"/>
    </xf>
    <xf numFmtId="0" fontId="1" fillId="0" borderId="1" xfId="0" applyFont="1" applyFill="1" applyBorder="1" applyAlignment="1">
      <alignment horizontal="left"/>
    </xf>
    <xf numFmtId="164" fontId="1" fillId="0" borderId="1" xfId="0" applyNumberFormat="1"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xf numFmtId="0" fontId="4" fillId="0" borderId="0" xfId="0" applyNumberFormat="1" applyFont="1" applyFill="1" applyBorder="1" applyAlignment="1">
      <alignment wrapText="1"/>
    </xf>
    <xf numFmtId="0" fontId="10" fillId="0" borderId="0" xfId="0" applyFont="1" applyFill="1" applyAlignment="1">
      <alignment horizontal="right"/>
    </xf>
    <xf numFmtId="0" fontId="3" fillId="0" borderId="0" xfId="2" applyFont="1" applyFill="1"/>
    <xf numFmtId="164" fontId="3" fillId="0" borderId="0" xfId="2" applyNumberFormat="1" applyFont="1" applyFill="1"/>
    <xf numFmtId="164" fontId="1" fillId="0" borderId="0" xfId="0" applyNumberFormat="1" applyFont="1" applyFill="1" applyAlignment="1">
      <alignment horizontal="left"/>
    </xf>
    <xf numFmtId="0" fontId="1" fillId="3" borderId="0" xfId="0" applyFont="1" applyFill="1" applyBorder="1" applyAlignment="1">
      <alignment horizontal="right"/>
    </xf>
    <xf numFmtId="0" fontId="1" fillId="3" borderId="1" xfId="0" applyFont="1" applyFill="1" applyBorder="1" applyAlignment="1">
      <alignment horizontal="right"/>
    </xf>
    <xf numFmtId="0" fontId="69" fillId="0" borderId="0" xfId="1" applyFont="1" applyFill="1" applyBorder="1" applyAlignment="1">
      <alignment horizontal="left"/>
    </xf>
    <xf numFmtId="0" fontId="8" fillId="0" borderId="0" xfId="1" applyFont="1" applyFill="1" applyBorder="1"/>
    <xf numFmtId="0" fontId="17" fillId="0" borderId="0" xfId="2" applyFont="1" applyFill="1" applyAlignment="1">
      <alignment horizontal="left" vertical="center"/>
    </xf>
    <xf numFmtId="0" fontId="14" fillId="0" borderId="0" xfId="2" applyFont="1" applyFill="1"/>
    <xf numFmtId="0" fontId="0" fillId="0" borderId="0" xfId="0" applyFill="1"/>
    <xf numFmtId="0" fontId="16" fillId="0" borderId="0" xfId="2" applyFont="1" applyFill="1"/>
    <xf numFmtId="0" fontId="1" fillId="0" borderId="1" xfId="7" applyFont="1" applyFill="1" applyBorder="1"/>
    <xf numFmtId="0" fontId="1" fillId="0" borderId="1" xfId="2" applyFont="1" applyFill="1" applyBorder="1" applyAlignment="1">
      <alignment horizontal="center" vertical="top" wrapText="1"/>
    </xf>
    <xf numFmtId="0" fontId="15" fillId="0" borderId="0" xfId="2" applyFont="1" applyFill="1"/>
    <xf numFmtId="0" fontId="1" fillId="0" borderId="0" xfId="7" applyFont="1" applyFill="1"/>
    <xf numFmtId="164" fontId="1" fillId="0" borderId="0" xfId="7" applyNumberFormat="1" applyFont="1" applyFill="1" applyAlignment="1">
      <alignment horizontal="center"/>
    </xf>
    <xf numFmtId="164" fontId="1" fillId="0" borderId="0" xfId="7" applyNumberFormat="1" applyFont="1" applyFill="1" applyAlignment="1">
      <alignment horizontal="left" vertical="top" wrapText="1"/>
    </xf>
    <xf numFmtId="0" fontId="9" fillId="0" borderId="0" xfId="0" applyFont="1" applyFill="1" applyBorder="1" applyAlignment="1">
      <alignment horizontal="left" vertical="top" wrapText="1"/>
    </xf>
    <xf numFmtId="0" fontId="12" fillId="0" borderId="0" xfId="1" applyFont="1" applyFill="1" applyBorder="1" applyAlignment="1" applyProtection="1"/>
    <xf numFmtId="0" fontId="9" fillId="0" borderId="0" xfId="2" applyFont="1" applyFill="1" applyAlignment="1">
      <alignment horizontal="left" vertical="top"/>
    </xf>
    <xf numFmtId="164" fontId="9" fillId="0" borderId="0" xfId="2" applyNumberFormat="1" applyFont="1" applyFill="1" applyAlignment="1">
      <alignment horizontal="left" vertical="top"/>
    </xf>
    <xf numFmtId="164" fontId="9" fillId="0" borderId="0" xfId="2" applyNumberFormat="1" applyFont="1" applyFill="1" applyAlignment="1">
      <alignment horizontal="left"/>
    </xf>
    <xf numFmtId="0" fontId="6" fillId="0" borderId="0" xfId="2" applyFont="1" applyFill="1"/>
    <xf numFmtId="0" fontId="6" fillId="0" borderId="0" xfId="2" applyFont="1" applyFill="1" applyAlignment="1"/>
    <xf numFmtId="0" fontId="12" fillId="0" borderId="0" xfId="1" applyFont="1" applyFill="1" applyBorder="1"/>
    <xf numFmtId="0" fontId="13" fillId="0" borderId="0" xfId="2" applyFont="1" applyFill="1"/>
    <xf numFmtId="164" fontId="9" fillId="0" borderId="0" xfId="2" applyNumberFormat="1" applyFont="1" applyFill="1"/>
    <xf numFmtId="0" fontId="7" fillId="0" borderId="0" xfId="2" applyFont="1" applyFill="1"/>
    <xf numFmtId="164" fontId="6" fillId="0" borderId="0" xfId="2" applyNumberFormat="1" applyFont="1" applyFill="1"/>
    <xf numFmtId="0" fontId="9" fillId="0" borderId="0" xfId="2" applyFont="1" applyFill="1" applyAlignment="1">
      <alignment horizontal="left"/>
    </xf>
    <xf numFmtId="0" fontId="9" fillId="0" borderId="0" xfId="2" applyFont="1" applyFill="1" applyAlignment="1"/>
    <xf numFmtId="164" fontId="1" fillId="0" borderId="0" xfId="0" applyNumberFormat="1" applyFont="1" applyFill="1"/>
    <xf numFmtId="0" fontId="3" fillId="0" borderId="0" xfId="2" applyFont="1" applyFill="1" applyAlignment="1"/>
    <xf numFmtId="0" fontId="70" fillId="0" borderId="0" xfId="1" applyFont="1" applyFill="1" applyBorder="1" applyAlignment="1">
      <alignment horizontal="left"/>
    </xf>
    <xf numFmtId="0" fontId="7" fillId="0" borderId="0" xfId="2" applyFont="1" applyFill="1" applyAlignment="1"/>
    <xf numFmtId="0" fontId="70" fillId="0" borderId="0" xfId="1" applyFont="1" applyFill="1" applyBorder="1" applyAlignment="1"/>
    <xf numFmtId="0" fontId="1" fillId="3" borderId="0" xfId="7" applyFont="1" applyFill="1" applyBorder="1"/>
    <xf numFmtId="164" fontId="1" fillId="3" borderId="0" xfId="7" applyNumberFormat="1" applyFont="1" applyFill="1" applyBorder="1" applyAlignment="1">
      <alignment horizontal="center"/>
    </xf>
    <xf numFmtId="0" fontId="3" fillId="0" borderId="0" xfId="0" applyFont="1" applyFill="1" applyBorder="1" applyAlignment="1">
      <alignment horizontal="left" vertical="top" wrapText="1"/>
    </xf>
    <xf numFmtId="0" fontId="1" fillId="0" borderId="0" xfId="0" applyFont="1" applyFill="1" applyBorder="1" applyAlignment="1">
      <alignment horizontal="left"/>
    </xf>
    <xf numFmtId="0" fontId="8" fillId="0" borderId="0" xfId="1" applyFont="1" applyFill="1" applyBorder="1" applyAlignment="1">
      <alignment horizontal="left"/>
    </xf>
    <xf numFmtId="0" fontId="3" fillId="0" borderId="0" xfId="0" applyFont="1" applyFill="1" applyBorder="1" applyAlignment="1">
      <alignment horizontal="left" vertical="top" wrapText="1"/>
    </xf>
    <xf numFmtId="0" fontId="1" fillId="2" borderId="5" xfId="0" applyFont="1" applyFill="1" applyBorder="1" applyAlignment="1">
      <alignment horizontal="left" vertical="center"/>
    </xf>
    <xf numFmtId="0" fontId="1" fillId="2" borderId="4" xfId="0" applyFont="1" applyFill="1" applyBorder="1" applyAlignment="1">
      <alignment horizontal="left" vertical="center"/>
    </xf>
    <xf numFmtId="0" fontId="8" fillId="0" borderId="0" xfId="1" applyFont="1" applyFill="1" applyBorder="1" applyAlignment="1"/>
    <xf numFmtId="164" fontId="1" fillId="0" borderId="0" xfId="0" applyNumberFormat="1" applyFont="1" applyFill="1" applyAlignment="1">
      <alignment horizontal="center"/>
    </xf>
    <xf numFmtId="0" fontId="3" fillId="0" borderId="0" xfId="0" applyFont="1" applyFill="1" applyBorder="1" applyAlignment="1">
      <alignment horizontal="left" vertical="top" wrapText="1"/>
    </xf>
    <xf numFmtId="0" fontId="1" fillId="2" borderId="5" xfId="0" applyFont="1" applyFill="1" applyBorder="1" applyAlignment="1">
      <alignment horizontal="left" vertical="center"/>
    </xf>
    <xf numFmtId="0" fontId="1" fillId="0" borderId="4" xfId="0" applyFont="1" applyBorder="1" applyAlignment="1">
      <alignment vertical="center"/>
    </xf>
    <xf numFmtId="0" fontId="1" fillId="0" borderId="0" xfId="0" applyFont="1" applyAlignment="1">
      <alignment vertical="center"/>
    </xf>
    <xf numFmtId="0" fontId="1" fillId="2" borderId="0" xfId="0" applyFont="1" applyFill="1" applyAlignment="1">
      <alignment horizontal="left" vertical="center"/>
    </xf>
    <xf numFmtId="0" fontId="1" fillId="2" borderId="0" xfId="0" applyFont="1" applyFill="1" applyAlignment="1">
      <alignment horizontal="left"/>
    </xf>
    <xf numFmtId="164" fontId="1" fillId="2" borderId="0" xfId="0" applyNumberFormat="1" applyFont="1" applyFill="1" applyAlignment="1">
      <alignment horizontal="center"/>
    </xf>
    <xf numFmtId="164" fontId="1" fillId="2" borderId="0" xfId="0" applyNumberFormat="1" applyFont="1" applyFill="1" applyAlignment="1">
      <alignment horizontal="left"/>
    </xf>
    <xf numFmtId="164" fontId="1" fillId="3" borderId="0" xfId="0" applyNumberFormat="1" applyFont="1" applyFill="1" applyAlignment="1">
      <alignment horizontal="left"/>
    </xf>
    <xf numFmtId="164" fontId="1" fillId="3" borderId="0" xfId="0" applyNumberFormat="1" applyFont="1" applyFill="1" applyAlignment="1">
      <alignment horizontal="center"/>
    </xf>
    <xf numFmtId="0" fontId="1" fillId="3" borderId="0" xfId="0" applyFont="1" applyFill="1" applyAlignment="1">
      <alignment horizontal="right"/>
    </xf>
    <xf numFmtId="0" fontId="1" fillId="3" borderId="0" xfId="0" applyFont="1" applyFill="1" applyAlignment="1">
      <alignment horizontal="left"/>
    </xf>
    <xf numFmtId="0" fontId="1" fillId="0" borderId="5" xfId="0" applyFont="1" applyBorder="1" applyAlignment="1">
      <alignment vertical="center"/>
    </xf>
    <xf numFmtId="0" fontId="1" fillId="2" borderId="0" xfId="0" applyFont="1" applyFill="1" applyAlignment="1">
      <alignment horizontal="left" vertical="center"/>
    </xf>
    <xf numFmtId="0" fontId="1" fillId="0" borderId="1" xfId="0" applyFont="1" applyBorder="1" applyAlignment="1">
      <alignment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10" fillId="0" borderId="0" xfId="0" applyFont="1" applyFill="1" applyAlignment="1">
      <alignment horizontal="center" vertical="center"/>
    </xf>
    <xf numFmtId="0" fontId="8" fillId="0" borderId="0" xfId="1" applyFont="1" applyFill="1" applyBorder="1" applyAlignment="1" applyProtection="1">
      <alignment horizontal="center" vertical="center"/>
    </xf>
    <xf numFmtId="0" fontId="12" fillId="0" borderId="0" xfId="1" applyFont="1" applyFill="1" applyBorder="1" applyAlignment="1" applyProtection="1">
      <alignment horizontal="center" vertical="center"/>
    </xf>
    <xf numFmtId="0" fontId="3" fillId="0" borderId="0" xfId="0" applyFont="1" applyFill="1" applyBorder="1" applyAlignment="1">
      <alignment horizontal="left" vertical="top" wrapText="1"/>
    </xf>
    <xf numFmtId="164" fontId="1" fillId="0" borderId="1" xfId="7" applyNumberFormat="1" applyFont="1" applyFill="1" applyBorder="1" applyAlignment="1">
      <alignment horizontal="center"/>
    </xf>
    <xf numFmtId="0" fontId="1" fillId="57" borderId="0" xfId="0" applyFont="1" applyFill="1"/>
    <xf numFmtId="0" fontId="1" fillId="57" borderId="0" xfId="0" applyFont="1" applyFill="1" applyAlignment="1">
      <alignment horizontal="right"/>
    </xf>
    <xf numFmtId="0" fontId="10" fillId="57" borderId="0" xfId="0" applyFont="1" applyFill="1" applyAlignment="1">
      <alignment horizontal="right"/>
    </xf>
    <xf numFmtId="0" fontId="3" fillId="0" borderId="0" xfId="0" applyFont="1" applyFill="1" applyBorder="1" applyAlignment="1">
      <alignment horizontal="left" vertical="top" wrapText="1"/>
    </xf>
    <xf numFmtId="0" fontId="5" fillId="2" borderId="2" xfId="0" applyFont="1" applyFill="1" applyBorder="1" applyAlignment="1">
      <alignment horizontal="center"/>
    </xf>
    <xf numFmtId="0" fontId="8" fillId="0" borderId="0" xfId="1" applyFont="1" applyFill="1" applyBorder="1" applyAlignment="1" applyProtection="1">
      <alignment horizontal="center"/>
    </xf>
    <xf numFmtId="0" fontId="12" fillId="0" borderId="0" xfId="1" applyFont="1" applyFill="1" applyBorder="1" applyAlignment="1" applyProtection="1">
      <alignment horizontal="center"/>
    </xf>
    <xf numFmtId="0" fontId="2" fillId="0" borderId="0" xfId="1" applyFill="1" applyBorder="1" applyAlignment="1" applyProtection="1">
      <alignment horizontal="left"/>
    </xf>
    <xf numFmtId="0" fontId="17" fillId="0" borderId="0" xfId="7" applyFont="1" applyFill="1" applyBorder="1" applyAlignment="1">
      <alignment horizontal="center" vertical="top"/>
    </xf>
    <xf numFmtId="0" fontId="3" fillId="0" borderId="0" xfId="7" applyFont="1" applyFill="1" applyBorder="1" applyAlignment="1">
      <alignment horizontal="center" vertical="top"/>
    </xf>
    <xf numFmtId="0" fontId="17" fillId="0" borderId="0" xfId="7" applyFont="1" applyFill="1" applyBorder="1" applyAlignment="1">
      <alignment vertical="top"/>
    </xf>
    <xf numFmtId="0" fontId="3" fillId="0" borderId="0" xfId="7" applyFont="1" applyFill="1" applyBorder="1" applyAlignment="1">
      <alignment vertical="center"/>
    </xf>
    <xf numFmtId="0" fontId="3" fillId="0" borderId="0" xfId="7" applyFont="1" applyFill="1" applyBorder="1" applyAlignment="1">
      <alignment vertical="top"/>
    </xf>
    <xf numFmtId="164" fontId="17" fillId="0" borderId="0" xfId="7" applyNumberFormat="1" applyFont="1" applyFill="1" applyBorder="1" applyAlignment="1">
      <alignment horizontal="center" vertical="top"/>
    </xf>
    <xf numFmtId="0" fontId="5" fillId="0" borderId="0" xfId="7" applyFont="1" applyFill="1"/>
    <xf numFmtId="164" fontId="5" fillId="0" borderId="0" xfId="7" applyNumberFormat="1" applyFont="1" applyFill="1" applyAlignment="1">
      <alignment horizontal="center"/>
    </xf>
    <xf numFmtId="0" fontId="15" fillId="0" borderId="0" xfId="2" applyFont="1" applyFill="1" applyAlignment="1">
      <alignment horizontal="center" vertical="top"/>
    </xf>
    <xf numFmtId="0" fontId="3" fillId="0" borderId="0" xfId="2" applyFont="1" applyFill="1" applyAlignment="1">
      <alignment vertical="top"/>
    </xf>
    <xf numFmtId="1" fontId="1" fillId="0" borderId="0" xfId="7" applyNumberFormat="1" applyFont="1" applyFill="1" applyAlignment="1">
      <alignment horizontal="center"/>
    </xf>
    <xf numFmtId="1" fontId="1" fillId="0" borderId="1" xfId="7" applyNumberFormat="1" applyFont="1" applyFill="1" applyBorder="1" applyAlignment="1">
      <alignment horizontal="center"/>
    </xf>
    <xf numFmtId="1" fontId="0" fillId="0" borderId="0" xfId="0" applyNumberFormat="1" applyFill="1"/>
    <xf numFmtId="1" fontId="1" fillId="3" borderId="0" xfId="0" applyNumberFormat="1" applyFont="1" applyFill="1" applyBorder="1" applyAlignment="1">
      <alignment horizontal="center"/>
    </xf>
    <xf numFmtId="1" fontId="1" fillId="0" borderId="0" xfId="0" applyNumberFormat="1" applyFont="1" applyFill="1" applyBorder="1" applyAlignment="1">
      <alignment horizontal="center"/>
    </xf>
    <xf numFmtId="164" fontId="17" fillId="0" borderId="0" xfId="7" applyNumberFormat="1" applyFont="1" applyFill="1" applyAlignment="1">
      <alignment horizontal="center" vertical="top" wrapText="1"/>
    </xf>
    <xf numFmtId="164" fontId="5" fillId="3" borderId="0" xfId="0" applyNumberFormat="1" applyFont="1" applyFill="1" applyBorder="1" applyAlignment="1">
      <alignment horizontal="center"/>
    </xf>
    <xf numFmtId="1" fontId="17" fillId="0" borderId="0" xfId="7" applyNumberFormat="1" applyFont="1" applyFill="1" applyAlignment="1">
      <alignment horizontal="center" vertical="top" wrapText="1"/>
    </xf>
    <xf numFmtId="1" fontId="0" fillId="0" borderId="0" xfId="0" applyNumberFormat="1" applyFill="1" applyAlignment="1">
      <alignment horizontal="center"/>
    </xf>
    <xf numFmtId="1" fontId="1" fillId="0" borderId="1" xfId="2" applyNumberFormat="1" applyFont="1" applyFill="1" applyBorder="1" applyAlignment="1">
      <alignment horizontal="center" vertical="top" wrapText="1"/>
    </xf>
    <xf numFmtId="1" fontId="13" fillId="0" borderId="0" xfId="2" applyNumberFormat="1" applyFont="1" applyFill="1"/>
    <xf numFmtId="1" fontId="6" fillId="0" borderId="0" xfId="2" applyNumberFormat="1" applyFont="1" applyFill="1"/>
    <xf numFmtId="164" fontId="72" fillId="3" borderId="5" xfId="0" applyNumberFormat="1" applyFont="1" applyFill="1" applyBorder="1" applyAlignment="1">
      <alignment horizontal="center"/>
    </xf>
    <xf numFmtId="0" fontId="5" fillId="3" borderId="0" xfId="7" applyFont="1" applyFill="1"/>
    <xf numFmtId="1" fontId="5" fillId="3" borderId="0" xfId="0" applyNumberFormat="1" applyFont="1" applyFill="1" applyBorder="1" applyAlignment="1">
      <alignment horizontal="center"/>
    </xf>
    <xf numFmtId="0" fontId="1" fillId="0" borderId="0" xfId="0" applyNumberFormat="1" applyFont="1" applyFill="1" applyBorder="1" applyAlignment="1">
      <alignment horizontal="left" vertical="top" wrapText="1"/>
    </xf>
    <xf numFmtId="3" fontId="1" fillId="0" borderId="0" xfId="0" applyNumberFormat="1" applyFont="1"/>
    <xf numFmtId="3" fontId="1" fillId="0" borderId="0" xfId="0" applyNumberFormat="1" applyFont="1" applyFill="1"/>
    <xf numFmtId="3" fontId="1" fillId="0" borderId="0" xfId="0" applyNumberFormat="1" applyFont="1" applyFill="1" applyAlignment="1">
      <alignment horizontal="center"/>
    </xf>
    <xf numFmtId="3" fontId="1" fillId="0" borderId="0" xfId="0" applyNumberFormat="1" applyFont="1" applyAlignment="1">
      <alignment horizontal="center"/>
    </xf>
    <xf numFmtId="3" fontId="1" fillId="0" borderId="0" xfId="0" applyNumberFormat="1" applyFont="1" applyFill="1" applyBorder="1" applyAlignment="1">
      <alignment horizontal="center"/>
    </xf>
    <xf numFmtId="3" fontId="4" fillId="0" borderId="0" xfId="0" applyNumberFormat="1" applyFont="1" applyFill="1" applyBorder="1" applyAlignment="1">
      <alignment wrapText="1"/>
    </xf>
    <xf numFmtId="0" fontId="2" fillId="0" borderId="0" xfId="1"/>
    <xf numFmtId="0" fontId="1" fillId="0" borderId="0" xfId="0" applyNumberFormat="1" applyFont="1" applyFill="1" applyBorder="1" applyAlignment="1">
      <alignment horizontal="left" vertical="top"/>
    </xf>
    <xf numFmtId="0" fontId="2" fillId="0" borderId="0" xfId="1" applyFill="1" applyBorder="1" applyAlignment="1"/>
    <xf numFmtId="170" fontId="1" fillId="0" borderId="0" xfId="0" applyNumberFormat="1" applyFont="1" applyFill="1" applyAlignment="1">
      <alignment horizontal="center"/>
    </xf>
    <xf numFmtId="170" fontId="10" fillId="0" borderId="0" xfId="0" applyNumberFormat="1" applyFont="1" applyFill="1" applyAlignment="1">
      <alignment horizontal="center"/>
    </xf>
    <xf numFmtId="170" fontId="5" fillId="0" borderId="0" xfId="0" applyNumberFormat="1" applyFont="1" applyFill="1" applyAlignment="1">
      <alignment horizontal="center"/>
    </xf>
    <xf numFmtId="168" fontId="1" fillId="0" borderId="0" xfId="0" applyNumberFormat="1" applyFont="1" applyFill="1" applyAlignment="1">
      <alignment horizontal="center"/>
    </xf>
    <xf numFmtId="9" fontId="1" fillId="0" borderId="0" xfId="0" applyNumberFormat="1" applyFont="1" applyFill="1" applyAlignment="1">
      <alignment horizontal="center"/>
    </xf>
    <xf numFmtId="0" fontId="2" fillId="0" borderId="0" xfId="1" applyFill="1" applyBorder="1" applyAlignment="1" applyProtection="1"/>
    <xf numFmtId="0" fontId="2" fillId="0" borderId="0" xfId="1" applyFill="1" applyBorder="1" applyAlignment="1">
      <alignment horizontal="left"/>
    </xf>
    <xf numFmtId="168" fontId="1" fillId="0" borderId="0" xfId="0" applyNumberFormat="1" applyFont="1"/>
    <xf numFmtId="0" fontId="71" fillId="0" borderId="0" xfId="0" applyFont="1"/>
    <xf numFmtId="0" fontId="0" fillId="0" borderId="0" xfId="0" applyFill="1" applyAlignment="1">
      <alignment horizontal="right"/>
    </xf>
    <xf numFmtId="168" fontId="0" fillId="0" borderId="0" xfId="0" applyNumberFormat="1" applyFill="1"/>
    <xf numFmtId="168" fontId="0" fillId="0" borderId="0" xfId="0" applyNumberFormat="1" applyFill="1" applyAlignment="1">
      <alignment horizontal="right"/>
    </xf>
    <xf numFmtId="168" fontId="73" fillId="0" borderId="0" xfId="0" applyNumberFormat="1" applyFont="1" applyFill="1" applyAlignment="1">
      <alignment horizontal="right"/>
    </xf>
    <xf numFmtId="168" fontId="9" fillId="0" borderId="0" xfId="2" applyNumberFormat="1" applyFont="1" applyFill="1"/>
    <xf numFmtId="168" fontId="7" fillId="0" borderId="0" xfId="2" applyNumberFormat="1" applyFont="1" applyFill="1"/>
    <xf numFmtId="168" fontId="6" fillId="0" borderId="0" xfId="2" applyNumberFormat="1" applyFont="1" applyFill="1"/>
    <xf numFmtId="0" fontId="73" fillId="0" borderId="0" xfId="0" applyFont="1" applyFill="1"/>
    <xf numFmtId="4" fontId="1" fillId="0" borderId="0" xfId="0" applyNumberFormat="1" applyFont="1" applyFill="1" applyAlignment="1">
      <alignment horizontal="center"/>
    </xf>
    <xf numFmtId="4" fontId="73" fillId="0" borderId="0" xfId="0" applyNumberFormat="1" applyFont="1" applyFill="1" applyAlignment="1">
      <alignment horizontal="right"/>
    </xf>
    <xf numFmtId="4" fontId="6" fillId="0" borderId="0" xfId="2" applyNumberFormat="1" applyFont="1" applyFill="1"/>
    <xf numFmtId="0" fontId="6" fillId="0" borderId="0" xfId="0" applyFont="1" applyFill="1"/>
    <xf numFmtId="168" fontId="6" fillId="0" borderId="0" xfId="0" applyNumberFormat="1" applyFont="1" applyFill="1" applyAlignment="1">
      <alignment horizontal="right"/>
    </xf>
    <xf numFmtId="4" fontId="6" fillId="0" borderId="0" xfId="0" applyNumberFormat="1" applyFont="1" applyFill="1" applyAlignment="1">
      <alignment horizontal="right"/>
    </xf>
    <xf numFmtId="0" fontId="0" fillId="0" borderId="0" xfId="0" applyFill="1" applyAlignment="1">
      <alignment horizontal="center"/>
    </xf>
    <xf numFmtId="0" fontId="74" fillId="0" borderId="0" xfId="2" applyFont="1" applyFill="1"/>
    <xf numFmtId="0" fontId="71" fillId="0" borderId="0" xfId="0" applyFont="1" applyFill="1"/>
    <xf numFmtId="2" fontId="6" fillId="0" borderId="0" xfId="2" applyNumberFormat="1" applyFont="1" applyFill="1" applyAlignment="1">
      <alignment horizontal="right"/>
    </xf>
    <xf numFmtId="1" fontId="6" fillId="0" borderId="0" xfId="2" applyNumberFormat="1" applyFont="1" applyFill="1" applyAlignment="1">
      <alignment horizontal="right"/>
    </xf>
    <xf numFmtId="2" fontId="0" fillId="0" borderId="0" xfId="0" applyNumberFormat="1" applyFill="1" applyAlignment="1">
      <alignment horizontal="right"/>
    </xf>
    <xf numFmtId="2" fontId="71" fillId="0" borderId="0" xfId="0" applyNumberFormat="1" applyFont="1" applyFill="1" applyAlignment="1">
      <alignment horizontal="right"/>
    </xf>
    <xf numFmtId="1" fontId="74" fillId="0" borderId="0" xfId="2" applyNumberFormat="1" applyFont="1" applyFill="1" applyAlignment="1">
      <alignment horizontal="right"/>
    </xf>
    <xf numFmtId="0" fontId="74" fillId="0" borderId="0" xfId="2" applyFont="1" applyFill="1" applyAlignment="1">
      <alignment horizontal="right"/>
    </xf>
    <xf numFmtId="164" fontId="74" fillId="0" borderId="0" xfId="2" applyNumberFormat="1" applyFont="1" applyFill="1" applyAlignment="1">
      <alignment horizontal="right"/>
    </xf>
    <xf numFmtId="0" fontId="75" fillId="0" borderId="0" xfId="0" applyFont="1"/>
    <xf numFmtId="0" fontId="76" fillId="0" borderId="0" xfId="0" applyFont="1" applyAlignment="1">
      <alignment horizontal="center"/>
    </xf>
    <xf numFmtId="0" fontId="76" fillId="0" borderId="0" xfId="0" applyFont="1" applyAlignment="1">
      <alignment horizontal="left"/>
    </xf>
    <xf numFmtId="0" fontId="76" fillId="0" borderId="0" xfId="0" applyFont="1"/>
    <xf numFmtId="0" fontId="76" fillId="0" borderId="4" xfId="0" applyFont="1" applyBorder="1"/>
    <xf numFmtId="0" fontId="76" fillId="0" borderId="25" xfId="0" applyFont="1" applyBorder="1" applyAlignment="1">
      <alignment horizontal="left"/>
    </xf>
    <xf numFmtId="9" fontId="76" fillId="0" borderId="0" xfId="0" quotePrefix="1" applyNumberFormat="1" applyFont="1" applyAlignment="1">
      <alignment horizontal="center"/>
    </xf>
    <xf numFmtId="0" fontId="75" fillId="0" borderId="0" xfId="0" applyFont="1" applyAlignment="1">
      <alignment horizontal="left"/>
    </xf>
    <xf numFmtId="0" fontId="76" fillId="0" borderId="27" xfId="0" applyFont="1" applyBorder="1" applyAlignment="1">
      <alignment horizontal="center"/>
    </xf>
    <xf numFmtId="170" fontId="76" fillId="0" borderId="30" xfId="0" applyNumberFormat="1" applyFont="1" applyBorder="1" applyAlignment="1">
      <alignment horizontal="center"/>
    </xf>
    <xf numFmtId="0" fontId="76" fillId="0" borderId="30" xfId="0" applyFont="1" applyBorder="1" applyAlignment="1">
      <alignment horizontal="left"/>
    </xf>
    <xf numFmtId="0" fontId="76" fillId="0" borderId="26" xfId="0" applyFont="1" applyBorder="1" applyAlignment="1">
      <alignment horizontal="center"/>
    </xf>
    <xf numFmtId="0" fontId="76" fillId="0" borderId="29" xfId="0" applyFont="1" applyBorder="1" applyAlignment="1">
      <alignment horizontal="left"/>
    </xf>
    <xf numFmtId="0" fontId="3" fillId="0" borderId="0" xfId="0" applyFont="1" applyFill="1" applyBorder="1" applyAlignment="1">
      <alignment horizontal="left" vertical="top" wrapText="1"/>
    </xf>
    <xf numFmtId="0" fontId="3" fillId="0" borderId="0" xfId="7" applyFont="1" applyFill="1" applyBorder="1" applyAlignment="1">
      <alignment horizontal="center" vertical="top" wrapText="1"/>
    </xf>
    <xf numFmtId="0" fontId="9" fillId="0" borderId="0" xfId="2" applyFont="1" applyFill="1" applyAlignment="1">
      <alignment horizontal="left" vertical="top" wrapText="1"/>
    </xf>
    <xf numFmtId="0" fontId="17" fillId="0" borderId="0" xfId="7" applyFont="1" applyFill="1" applyAlignment="1">
      <alignment horizontal="center" vertical="top" wrapText="1"/>
    </xf>
    <xf numFmtId="0" fontId="8" fillId="0" borderId="0" xfId="1" applyFont="1" applyFill="1" applyBorder="1" applyAlignment="1">
      <alignment horizontal="left"/>
    </xf>
    <xf numFmtId="0" fontId="1" fillId="0" borderId="0" xfId="2" applyFont="1" applyFill="1" applyBorder="1" applyAlignment="1">
      <alignment horizontal="center" vertical="top" wrapText="1"/>
    </xf>
    <xf numFmtId="0" fontId="0" fillId="0" borderId="0" xfId="0" applyFont="1" applyFill="1" applyAlignment="1">
      <alignment horizontal="center" vertical="center"/>
    </xf>
    <xf numFmtId="0" fontId="1" fillId="3" borderId="0" xfId="2" applyFont="1" applyFill="1" applyBorder="1" applyAlignment="1">
      <alignment horizontal="center" vertical="top" wrapText="1"/>
    </xf>
    <xf numFmtId="164" fontId="1" fillId="3" borderId="0" xfId="2" applyNumberFormat="1" applyFont="1" applyFill="1" applyBorder="1" applyAlignment="1">
      <alignment horizontal="center" vertical="top" wrapText="1"/>
    </xf>
    <xf numFmtId="0" fontId="1" fillId="3" borderId="1" xfId="7" applyFont="1" applyFill="1" applyBorder="1"/>
    <xf numFmtId="164" fontId="1" fillId="3" borderId="1" xfId="7" applyNumberFormat="1" applyFont="1" applyFill="1" applyBorder="1" applyAlignment="1">
      <alignment horizontal="center"/>
    </xf>
    <xf numFmtId="1" fontId="1" fillId="3" borderId="1" xfId="0" applyNumberFormat="1" applyFont="1" applyFill="1" applyBorder="1" applyAlignment="1">
      <alignment horizontal="center"/>
    </xf>
    <xf numFmtId="0" fontId="6" fillId="0" borderId="0" xfId="2"/>
    <xf numFmtId="164" fontId="6" fillId="0" borderId="0" xfId="2" applyNumberFormat="1"/>
    <xf numFmtId="0" fontId="7" fillId="0" borderId="0" xfId="2" applyFont="1"/>
    <xf numFmtId="0" fontId="9" fillId="0" borderId="0" xfId="2" applyFont="1"/>
    <xf numFmtId="0" fontId="3" fillId="0" borderId="0" xfId="2" applyFont="1"/>
    <xf numFmtId="164" fontId="9" fillId="0" borderId="0" xfId="2" applyNumberFormat="1" applyFont="1" applyAlignment="1">
      <alignment vertical="top"/>
    </xf>
    <xf numFmtId="0" fontId="9" fillId="0" borderId="0" xfId="2" applyFont="1" applyAlignment="1">
      <alignment vertical="top" wrapText="1"/>
    </xf>
    <xf numFmtId="164" fontId="9" fillId="0" borderId="0" xfId="2" applyNumberFormat="1" applyFont="1"/>
    <xf numFmtId="0" fontId="9" fillId="0" borderId="0" xfId="2" applyFont="1" applyAlignment="1">
      <alignment wrapText="1"/>
    </xf>
    <xf numFmtId="0" fontId="13" fillId="0" borderId="0" xfId="2" applyFont="1"/>
    <xf numFmtId="0" fontId="9" fillId="0" borderId="0" xfId="2" applyFont="1" applyAlignment="1">
      <alignment vertical="top"/>
    </xf>
    <xf numFmtId="0" fontId="9" fillId="0" borderId="0" xfId="0" applyFont="1" applyAlignment="1">
      <alignment horizontal="left" vertical="top" wrapText="1"/>
    </xf>
    <xf numFmtId="0" fontId="9" fillId="0" borderId="0" xfId="2" applyFont="1" applyAlignment="1">
      <alignment horizontal="left" vertical="top" wrapText="1"/>
    </xf>
    <xf numFmtId="164" fontId="1" fillId="0" borderId="0" xfId="7" applyNumberFormat="1" applyFont="1" applyAlignment="1">
      <alignment horizontal="left" vertical="top" wrapText="1"/>
    </xf>
    <xf numFmtId="0" fontId="14" fillId="0" borderId="0" xfId="2" applyFont="1"/>
    <xf numFmtId="0" fontId="15" fillId="0" borderId="0" xfId="2" applyFont="1"/>
    <xf numFmtId="0" fontId="16" fillId="0" borderId="0" xfId="2" applyFont="1"/>
    <xf numFmtId="0" fontId="1" fillId="0" borderId="1" xfId="2" applyFont="1" applyBorder="1" applyAlignment="1">
      <alignment horizontal="center" vertical="top" wrapText="1"/>
    </xf>
    <xf numFmtId="0" fontId="1" fillId="0" borderId="1" xfId="7" applyFont="1" applyBorder="1"/>
    <xf numFmtId="0" fontId="3" fillId="0" borderId="0" xfId="7" applyFont="1" applyAlignment="1">
      <alignment horizontal="center" vertical="top" wrapText="1"/>
    </xf>
    <xf numFmtId="0" fontId="15" fillId="0" borderId="0" xfId="2" applyFont="1" applyAlignment="1">
      <alignment horizontal="center" vertical="top"/>
    </xf>
    <xf numFmtId="0" fontId="3" fillId="0" borderId="0" xfId="7" applyFont="1" applyAlignment="1">
      <alignment vertical="center" wrapText="1"/>
    </xf>
    <xf numFmtId="0" fontId="3" fillId="0" borderId="0" xfId="7" applyFont="1" applyAlignment="1">
      <alignment horizontal="center" vertical="center" wrapText="1"/>
    </xf>
    <xf numFmtId="164" fontId="17" fillId="0" borderId="0" xfId="7" applyNumberFormat="1" applyFont="1" applyAlignment="1">
      <alignment horizontal="center" vertical="top" wrapText="1"/>
    </xf>
    <xf numFmtId="0" fontId="17" fillId="0" borderId="0" xfId="7" applyFont="1" applyAlignment="1">
      <alignment vertical="top" wrapText="1"/>
    </xf>
    <xf numFmtId="0" fontId="17" fillId="0" borderId="0" xfId="2" applyFont="1" applyAlignment="1">
      <alignment horizontal="left" vertical="center"/>
    </xf>
    <xf numFmtId="1" fontId="5" fillId="0" borderId="0" xfId="7" applyNumberFormat="1" applyFont="1" applyFill="1" applyAlignment="1">
      <alignment horizontal="center"/>
    </xf>
    <xf numFmtId="164" fontId="0" fillId="0" borderId="0" xfId="0" applyNumberFormat="1" applyFont="1" applyFill="1" applyAlignment="1">
      <alignment horizontal="center" vertical="center"/>
    </xf>
    <xf numFmtId="170" fontId="75" fillId="59" borderId="31" xfId="0" applyNumberFormat="1" applyFont="1" applyFill="1" applyBorder="1" applyAlignment="1">
      <alignment horizontal="center"/>
    </xf>
    <xf numFmtId="0" fontId="75" fillId="59" borderId="28" xfId="0" applyFont="1" applyFill="1" applyBorder="1" applyAlignment="1">
      <alignment horizontal="center"/>
    </xf>
    <xf numFmtId="0" fontId="75" fillId="59" borderId="1" xfId="0" applyFont="1" applyFill="1" applyBorder="1"/>
    <xf numFmtId="0" fontId="0" fillId="60" borderId="0" xfId="0" applyFill="1"/>
    <xf numFmtId="9" fontId="76" fillId="60" borderId="0" xfId="0" quotePrefix="1" applyNumberFormat="1" applyFont="1" applyFill="1" applyAlignment="1">
      <alignment horizontal="center"/>
    </xf>
    <xf numFmtId="170" fontId="76" fillId="60" borderId="30" xfId="0" applyNumberFormat="1" applyFont="1" applyFill="1" applyBorder="1" applyAlignment="1">
      <alignment horizontal="center"/>
    </xf>
    <xf numFmtId="0" fontId="76" fillId="60" borderId="27" xfId="0" applyFont="1" applyFill="1" applyBorder="1" applyAlignment="1">
      <alignment horizontal="center"/>
    </xf>
    <xf numFmtId="0" fontId="76" fillId="60" borderId="0" xfId="0" applyFont="1" applyFill="1"/>
    <xf numFmtId="0" fontId="2" fillId="0" borderId="0" xfId="1" applyFill="1"/>
    <xf numFmtId="0" fontId="0" fillId="0" borderId="0" xfId="0" applyAlignment="1">
      <alignment horizontal="right" wrapText="1"/>
    </xf>
    <xf numFmtId="17" fontId="76" fillId="0" borderId="27" xfId="0" quotePrefix="1" applyNumberFormat="1" applyFont="1" applyBorder="1" applyAlignment="1">
      <alignment horizontal="center"/>
    </xf>
    <xf numFmtId="17" fontId="76" fillId="0" borderId="27" xfId="0" applyNumberFormat="1" applyFont="1" applyBorder="1" applyAlignment="1">
      <alignment horizontal="center"/>
    </xf>
    <xf numFmtId="0" fontId="0" fillId="61" borderId="0" xfId="0" applyFill="1"/>
    <xf numFmtId="9" fontId="76" fillId="61" borderId="0" xfId="0" quotePrefix="1" applyNumberFormat="1" applyFont="1" applyFill="1" applyAlignment="1">
      <alignment horizontal="center"/>
    </xf>
    <xf numFmtId="170" fontId="76" fillId="61" borderId="30" xfId="0" applyNumberFormat="1" applyFont="1" applyFill="1" applyBorder="1" applyAlignment="1">
      <alignment horizontal="center"/>
    </xf>
    <xf numFmtId="0" fontId="76" fillId="61" borderId="27" xfId="0" applyFont="1" applyFill="1" applyBorder="1" applyAlignment="1">
      <alignment horizontal="center"/>
    </xf>
    <xf numFmtId="0" fontId="76" fillId="61" borderId="0" xfId="0" applyFont="1" applyFill="1"/>
    <xf numFmtId="0" fontId="0" fillId="62" borderId="0" xfId="0" applyFill="1"/>
    <xf numFmtId="9" fontId="76" fillId="62" borderId="0" xfId="0" quotePrefix="1" applyNumberFormat="1" applyFont="1" applyFill="1" applyAlignment="1">
      <alignment horizontal="center"/>
    </xf>
    <xf numFmtId="170" fontId="76" fillId="62" borderId="30" xfId="0" applyNumberFormat="1" applyFont="1" applyFill="1" applyBorder="1" applyAlignment="1">
      <alignment horizontal="center"/>
    </xf>
    <xf numFmtId="0" fontId="76" fillId="62" borderId="27" xfId="0" applyFont="1" applyFill="1" applyBorder="1" applyAlignment="1">
      <alignment horizontal="center"/>
    </xf>
    <xf numFmtId="0" fontId="76" fillId="62" borderId="0" xfId="0" applyFont="1" applyFill="1"/>
    <xf numFmtId="0" fontId="0" fillId="57" borderId="0" xfId="0" applyFill="1"/>
    <xf numFmtId="9" fontId="76" fillId="57" borderId="0" xfId="0" quotePrefix="1" applyNumberFormat="1" applyFont="1" applyFill="1" applyAlignment="1">
      <alignment horizontal="center"/>
    </xf>
    <xf numFmtId="170" fontId="76" fillId="57" borderId="30" xfId="0" applyNumberFormat="1" applyFont="1" applyFill="1" applyBorder="1" applyAlignment="1">
      <alignment horizontal="center"/>
    </xf>
    <xf numFmtId="0" fontId="76" fillId="57" borderId="27" xfId="0" applyFont="1" applyFill="1" applyBorder="1" applyAlignment="1">
      <alignment horizontal="center"/>
    </xf>
    <xf numFmtId="0" fontId="76" fillId="57" borderId="0" xfId="0" applyFont="1" applyFill="1"/>
    <xf numFmtId="0" fontId="0" fillId="58" borderId="0" xfId="0" applyFill="1"/>
    <xf numFmtId="9" fontId="76" fillId="58" borderId="0" xfId="0" quotePrefix="1" applyNumberFormat="1" applyFont="1" applyFill="1" applyAlignment="1">
      <alignment horizontal="center"/>
    </xf>
    <xf numFmtId="170" fontId="76" fillId="58" borderId="30" xfId="0" applyNumberFormat="1" applyFont="1" applyFill="1" applyBorder="1" applyAlignment="1">
      <alignment horizontal="center"/>
    </xf>
    <xf numFmtId="0" fontId="76" fillId="58" borderId="27" xfId="0" applyFont="1" applyFill="1" applyBorder="1" applyAlignment="1">
      <alignment horizontal="center"/>
    </xf>
    <xf numFmtId="0" fontId="76" fillId="58" borderId="0" xfId="0" applyFont="1" applyFill="1"/>
    <xf numFmtId="17" fontId="76" fillId="58" borderId="27" xfId="0" quotePrefix="1" applyNumberFormat="1" applyFont="1" applyFill="1" applyBorder="1" applyAlignment="1">
      <alignment horizontal="center"/>
    </xf>
    <xf numFmtId="0" fontId="0" fillId="63" borderId="0" xfId="0" applyFill="1"/>
    <xf numFmtId="9" fontId="76" fillId="63" borderId="0" xfId="0" quotePrefix="1" applyNumberFormat="1" applyFont="1" applyFill="1" applyAlignment="1">
      <alignment horizontal="center"/>
    </xf>
    <xf numFmtId="170" fontId="76" fillId="63" borderId="30" xfId="0" applyNumberFormat="1" applyFont="1" applyFill="1" applyBorder="1" applyAlignment="1">
      <alignment horizontal="center"/>
    </xf>
    <xf numFmtId="0" fontId="76" fillId="63" borderId="27" xfId="0" applyFont="1" applyFill="1" applyBorder="1" applyAlignment="1">
      <alignment horizontal="center"/>
    </xf>
    <xf numFmtId="0" fontId="76" fillId="63" borderId="0" xfId="0" applyFont="1" applyFill="1"/>
    <xf numFmtId="0" fontId="75"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left" vertical="top"/>
    </xf>
    <xf numFmtId="0" fontId="3"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vertical="top" wrapText="1"/>
    </xf>
    <xf numFmtId="0" fontId="3" fillId="0" borderId="0" xfId="0" applyFont="1" applyAlignment="1">
      <alignment vertical="top" wrapText="1"/>
    </xf>
    <xf numFmtId="0" fontId="2" fillId="0" borderId="0" xfId="1" applyFill="1" applyBorder="1"/>
    <xf numFmtId="0" fontId="3" fillId="0" borderId="0" xfId="0" applyFont="1" applyFill="1" applyBorder="1" applyAlignment="1">
      <alignment horizontal="left" vertical="top" wrapText="1"/>
    </xf>
    <xf numFmtId="0" fontId="1" fillId="2" borderId="0" xfId="7" applyFont="1" applyFill="1"/>
    <xf numFmtId="164" fontId="1" fillId="2" borderId="0" xfId="7" applyNumberFormat="1" applyFont="1" applyFill="1" applyAlignment="1">
      <alignment horizontal="center"/>
    </xf>
    <xf numFmtId="0" fontId="1" fillId="2" borderId="0" xfId="2" applyFont="1" applyFill="1" applyBorder="1" applyAlignment="1">
      <alignment horizontal="center" vertical="top" wrapText="1"/>
    </xf>
    <xf numFmtId="164" fontId="1" fillId="2" borderId="0" xfId="2" applyNumberFormat="1" applyFont="1" applyFill="1" applyBorder="1" applyAlignment="1">
      <alignment horizontal="center" vertical="top" wrapText="1"/>
    </xf>
    <xf numFmtId="0" fontId="5" fillId="2" borderId="0" xfId="7" applyFont="1" applyFill="1"/>
    <xf numFmtId="164" fontId="5" fillId="2" borderId="0" xfId="7" applyNumberFormat="1" applyFont="1" applyFill="1" applyAlignment="1">
      <alignment horizontal="center"/>
    </xf>
    <xf numFmtId="164" fontId="5" fillId="2" borderId="0" xfId="0" applyNumberFormat="1" applyFont="1" applyFill="1" applyBorder="1" applyAlignment="1">
      <alignment horizontal="center"/>
    </xf>
    <xf numFmtId="164" fontId="5" fillId="2" borderId="0" xfId="2" applyNumberFormat="1" applyFont="1" applyFill="1" applyBorder="1" applyAlignment="1">
      <alignment horizontal="center" vertical="top" wrapText="1"/>
    </xf>
    <xf numFmtId="164" fontId="5" fillId="3" borderId="0" xfId="7" applyNumberFormat="1" applyFont="1" applyFill="1" applyAlignment="1">
      <alignment horizontal="center"/>
    </xf>
    <xf numFmtId="164" fontId="5" fillId="3" borderId="0" xfId="2" applyNumberFormat="1" applyFont="1" applyFill="1" applyBorder="1" applyAlignment="1">
      <alignment horizontal="center" vertical="top" wrapText="1"/>
    </xf>
    <xf numFmtId="0" fontId="0" fillId="2" borderId="0" xfId="0" applyFill="1"/>
    <xf numFmtId="0" fontId="0" fillId="2" borderId="0" xfId="0" applyFill="1" applyAlignment="1">
      <alignment horizontal="left"/>
    </xf>
    <xf numFmtId="0" fontId="71" fillId="2" borderId="0" xfId="0" applyFont="1" applyFill="1"/>
    <xf numFmtId="0" fontId="71" fillId="2" borderId="0" xfId="0" applyFont="1" applyFill="1" applyAlignment="1">
      <alignment horizontal="left"/>
    </xf>
    <xf numFmtId="0" fontId="2" fillId="2" borderId="0" xfId="1" applyFill="1"/>
    <xf numFmtId="9" fontId="0" fillId="2" borderId="0" xfId="0" applyNumberFormat="1" applyFill="1"/>
    <xf numFmtId="9" fontId="0" fillId="2" borderId="0" xfId="0" applyNumberFormat="1" applyFill="1" applyAlignment="1">
      <alignment horizontal="left"/>
    </xf>
    <xf numFmtId="9" fontId="75" fillId="64" borderId="1" xfId="0" applyNumberFormat="1" applyFont="1" applyFill="1" applyBorder="1" applyAlignment="1">
      <alignment horizontal="center"/>
    </xf>
    <xf numFmtId="0" fontId="71" fillId="64" borderId="1" xfId="0" applyFont="1" applyFill="1" applyBorder="1"/>
    <xf numFmtId="0" fontId="1" fillId="2" borderId="0" xfId="7" applyFont="1" applyFill="1" applyBorder="1"/>
    <xf numFmtId="164" fontId="1" fillId="2" borderId="0" xfId="7" applyNumberFormat="1" applyFont="1" applyFill="1" applyBorder="1" applyAlignment="1">
      <alignment horizontal="center"/>
    </xf>
    <xf numFmtId="1" fontId="1" fillId="2" borderId="0" xfId="0" applyNumberFormat="1" applyFont="1" applyFill="1" applyBorder="1" applyAlignment="1">
      <alignment horizontal="center"/>
    </xf>
    <xf numFmtId="0" fontId="5" fillId="2" borderId="0" xfId="7" applyFont="1" applyFill="1" applyBorder="1"/>
    <xf numFmtId="164" fontId="5" fillId="2" borderId="0" xfId="7" applyNumberFormat="1" applyFont="1" applyFill="1" applyBorder="1" applyAlignment="1">
      <alignment horizontal="center"/>
    </xf>
    <xf numFmtId="1" fontId="5" fillId="2" borderId="0" xfId="0" applyNumberFormat="1" applyFont="1" applyFill="1" applyBorder="1" applyAlignment="1">
      <alignment horizontal="center"/>
    </xf>
    <xf numFmtId="0" fontId="1" fillId="3" borderId="1" xfId="2" applyFont="1" applyFill="1" applyBorder="1" applyAlignment="1">
      <alignment horizontal="center" vertical="top" wrapText="1"/>
    </xf>
    <xf numFmtId="0" fontId="17" fillId="2" borderId="0" xfId="2" applyFont="1" applyFill="1" applyAlignment="1">
      <alignment horizontal="left" vertical="center"/>
    </xf>
    <xf numFmtId="0" fontId="14" fillId="2" borderId="0" xfId="2" applyFont="1" applyFill="1"/>
    <xf numFmtId="0" fontId="17" fillId="2" borderId="0" xfId="7" applyFont="1" applyFill="1" applyAlignment="1">
      <alignment horizontal="center" vertical="top" wrapText="1"/>
    </xf>
    <xf numFmtId="0" fontId="3" fillId="2" borderId="0" xfId="7" applyFont="1" applyFill="1" applyAlignment="1">
      <alignment horizontal="center" vertical="center" wrapText="1"/>
    </xf>
    <xf numFmtId="4" fontId="0" fillId="2" borderId="0" xfId="0" applyNumberFormat="1" applyFill="1" applyAlignment="1">
      <alignment horizontal="center"/>
    </xf>
    <xf numFmtId="0" fontId="15" fillId="2" borderId="0" xfId="2" applyFont="1" applyFill="1" applyAlignment="1">
      <alignment horizontal="center" vertical="top"/>
    </xf>
    <xf numFmtId="0" fontId="3" fillId="2" borderId="0" xfId="7" applyFont="1" applyFill="1" applyAlignment="1">
      <alignment horizontal="center" vertical="top" wrapText="1"/>
    </xf>
    <xf numFmtId="164" fontId="0" fillId="2" borderId="0" xfId="0" applyNumberFormat="1" applyFill="1" applyAlignment="1">
      <alignment horizontal="center"/>
    </xf>
    <xf numFmtId="0" fontId="16" fillId="2" borderId="0" xfId="2" applyFont="1" applyFill="1"/>
    <xf numFmtId="0" fontId="1" fillId="2" borderId="1" xfId="7" applyFont="1" applyFill="1" applyBorder="1"/>
    <xf numFmtId="0" fontId="1" fillId="2" borderId="1" xfId="2" applyFont="1" applyFill="1" applyBorder="1" applyAlignment="1">
      <alignment horizontal="center" vertical="top" wrapText="1"/>
    </xf>
    <xf numFmtId="0" fontId="0" fillId="2" borderId="0" xfId="0" applyFill="1" applyAlignment="1">
      <alignment horizontal="center"/>
    </xf>
    <xf numFmtId="168" fontId="0" fillId="2" borderId="0" xfId="0" applyNumberFormat="1" applyFill="1" applyAlignment="1">
      <alignment horizontal="center"/>
    </xf>
    <xf numFmtId="0" fontId="15" fillId="2" borderId="0" xfId="2" applyFont="1" applyFill="1"/>
    <xf numFmtId="0" fontId="3" fillId="2" borderId="0" xfId="2" applyFont="1" applyFill="1"/>
    <xf numFmtId="168" fontId="71" fillId="2" borderId="0" xfId="0" applyNumberFormat="1" applyFont="1" applyFill="1" applyAlignment="1">
      <alignment horizontal="center"/>
    </xf>
    <xf numFmtId="0" fontId="9" fillId="2" borderId="0" xfId="2" applyFont="1" applyFill="1" applyAlignment="1">
      <alignment horizontal="left" vertical="top"/>
    </xf>
    <xf numFmtId="0" fontId="9" fillId="2" borderId="0" xfId="2" applyFont="1" applyFill="1" applyAlignment="1">
      <alignment horizontal="left" vertical="top" wrapText="1"/>
    </xf>
    <xf numFmtId="0" fontId="9" fillId="2" borderId="0" xfId="2" applyFont="1" applyFill="1" applyAlignment="1">
      <alignment horizontal="left" wrapText="1"/>
    </xf>
    <xf numFmtId="164" fontId="1" fillId="2" borderId="0" xfId="7" applyNumberFormat="1" applyFont="1" applyFill="1" applyAlignment="1">
      <alignment horizontal="left" vertical="top" wrapText="1"/>
    </xf>
    <xf numFmtId="0" fontId="9" fillId="2" borderId="0" xfId="0" applyFont="1" applyFill="1" applyAlignment="1">
      <alignment horizontal="left" vertical="top" wrapText="1"/>
    </xf>
    <xf numFmtId="0" fontId="9" fillId="2" borderId="0" xfId="2" applyFont="1" applyFill="1" applyAlignment="1">
      <alignment horizontal="left"/>
    </xf>
    <xf numFmtId="0" fontId="12" fillId="2" borderId="0" xfId="1" applyFont="1" applyFill="1" applyBorder="1" applyAlignment="1">
      <alignment horizontal="left"/>
    </xf>
    <xf numFmtId="0" fontId="12" fillId="2" borderId="0" xfId="1" applyFont="1" applyFill="1" applyBorder="1" applyAlignment="1" applyProtection="1">
      <alignment horizontal="left"/>
    </xf>
    <xf numFmtId="164" fontId="9" fillId="2" borderId="0" xfId="2" applyNumberFormat="1" applyFont="1" applyFill="1" applyAlignment="1">
      <alignment horizontal="left"/>
    </xf>
    <xf numFmtId="0" fontId="77" fillId="2" borderId="0" xfId="1" applyFont="1" applyFill="1" applyAlignment="1">
      <alignment horizontal="left"/>
    </xf>
    <xf numFmtId="0" fontId="6" fillId="2" borderId="0" xfId="2" applyFill="1"/>
    <xf numFmtId="164" fontId="3" fillId="2" borderId="0" xfId="2" applyNumberFormat="1" applyFont="1" applyFill="1"/>
    <xf numFmtId="0" fontId="12" fillId="2" borderId="0" xfId="1" applyFont="1" applyFill="1" applyBorder="1"/>
    <xf numFmtId="0" fontId="7" fillId="2" borderId="0" xfId="2" applyFont="1" applyFill="1"/>
    <xf numFmtId="0" fontId="9" fillId="2" borderId="0" xfId="2" applyFont="1" applyFill="1"/>
    <xf numFmtId="0" fontId="3" fillId="0" borderId="0" xfId="0" applyFont="1" applyAlignment="1">
      <alignment horizontal="left" vertical="top" wrapText="1"/>
    </xf>
    <xf numFmtId="0" fontId="8" fillId="0" borderId="0" xfId="1" applyFont="1" applyFill="1" applyBorder="1" applyAlignment="1">
      <alignment horizontal="left"/>
    </xf>
    <xf numFmtId="0" fontId="10" fillId="0" borderId="0" xfId="0" applyFont="1" applyAlignment="1">
      <alignment horizontal="right"/>
    </xf>
    <xf numFmtId="0" fontId="10" fillId="0" borderId="0" xfId="0" applyFont="1" applyAlignment="1">
      <alignment horizontal="center"/>
    </xf>
    <xf numFmtId="0" fontId="4" fillId="0" borderId="0" xfId="0" applyFont="1" applyAlignment="1">
      <alignment wrapText="1"/>
    </xf>
    <xf numFmtId="0" fontId="5" fillId="2" borderId="1" xfId="0" applyFont="1" applyFill="1" applyBorder="1"/>
    <xf numFmtId="0" fontId="5" fillId="2" borderId="2" xfId="0" applyFont="1" applyFill="1" applyBorder="1"/>
    <xf numFmtId="0" fontId="5" fillId="2" borderId="0" xfId="0" applyFont="1" applyFill="1" applyAlignment="1">
      <alignment horizontal="left"/>
    </xf>
    <xf numFmtId="0" fontId="5" fillId="2" borderId="0" xfId="0" applyFont="1" applyFill="1"/>
    <xf numFmtId="0" fontId="9" fillId="0" borderId="0" xfId="2" applyFont="1" applyAlignment="1">
      <alignment horizontal="left" vertical="top" wrapText="1"/>
    </xf>
    <xf numFmtId="0" fontId="1" fillId="3" borderId="0" xfId="0" applyFont="1" applyFill="1" applyAlignment="1">
      <alignment horizontal="center" vertical="center"/>
    </xf>
    <xf numFmtId="164" fontId="1" fillId="3" borderId="4" xfId="0" applyNumberFormat="1" applyFont="1" applyFill="1" applyBorder="1"/>
    <xf numFmtId="0" fontId="77" fillId="2" borderId="0" xfId="1" applyFont="1" applyFill="1"/>
    <xf numFmtId="0" fontId="14" fillId="0" borderId="0" xfId="2" applyFont="1" applyFill="1" applyAlignment="1">
      <alignment horizontal="left" vertical="top" wrapText="1"/>
    </xf>
    <xf numFmtId="0" fontId="9" fillId="0" borderId="0" xfId="2" applyFont="1" applyFill="1" applyAlignment="1">
      <alignment horizontal="left" vertical="top" wrapText="1"/>
    </xf>
    <xf numFmtId="0" fontId="14" fillId="0" borderId="0" xfId="2" applyFont="1" applyAlignment="1">
      <alignment horizontal="left" vertical="top" wrapText="1"/>
    </xf>
    <xf numFmtId="0" fontId="9" fillId="0" borderId="0" xfId="2" applyFont="1" applyAlignment="1">
      <alignment horizontal="left" vertical="top" wrapText="1"/>
    </xf>
    <xf numFmtId="0" fontId="3" fillId="0" borderId="0" xfId="7" applyFont="1" applyAlignment="1">
      <alignment horizontal="center" vertical="top" wrapText="1"/>
    </xf>
    <xf numFmtId="0" fontId="9" fillId="0" borderId="0" xfId="2" applyFont="1" applyFill="1" applyAlignment="1">
      <alignment horizontal="left" vertical="center" wrapText="1"/>
    </xf>
    <xf numFmtId="0" fontId="17" fillId="0" borderId="0" xfId="7" applyFont="1" applyFill="1" applyAlignment="1">
      <alignment horizontal="center" vertical="top" wrapText="1"/>
    </xf>
    <xf numFmtId="0" fontId="3" fillId="0" borderId="0" xfId="2" applyFont="1" applyFill="1" applyAlignment="1">
      <alignment horizontal="left" vertical="top"/>
    </xf>
    <xf numFmtId="0" fontId="3" fillId="0" borderId="0" xfId="7" applyFont="1" applyFill="1" applyBorder="1" applyAlignment="1">
      <alignment horizontal="center" vertical="center" wrapText="1"/>
    </xf>
    <xf numFmtId="0" fontId="3" fillId="0" borderId="0" xfId="7" applyFont="1" applyFill="1" applyBorder="1" applyAlignment="1">
      <alignment horizontal="center" vertical="top" wrapText="1"/>
    </xf>
    <xf numFmtId="0" fontId="14" fillId="2" borderId="0" xfId="2" applyFont="1" applyFill="1" applyAlignment="1">
      <alignment horizontal="left" vertical="center" wrapText="1"/>
    </xf>
    <xf numFmtId="0" fontId="9" fillId="2" borderId="0" xfId="2" applyFont="1" applyFill="1" applyAlignment="1">
      <alignment horizontal="left" wrapText="1"/>
    </xf>
    <xf numFmtId="0" fontId="3" fillId="2" borderId="0" xfId="2" applyFont="1" applyFill="1" applyAlignment="1">
      <alignment horizontal="left" vertical="top"/>
    </xf>
    <xf numFmtId="0" fontId="3" fillId="0" borderId="0" xfId="0" applyFont="1" applyFill="1" applyBorder="1" applyAlignment="1">
      <alignment horizontal="left" vertical="top" wrapText="1"/>
    </xf>
    <xf numFmtId="0" fontId="1" fillId="0" borderId="0" xfId="0" applyNumberFormat="1" applyFont="1" applyFill="1" applyBorder="1" applyAlignment="1">
      <alignment horizontal="left" vertical="top" wrapText="1"/>
    </xf>
    <xf numFmtId="0" fontId="5" fillId="0" borderId="0" xfId="0" applyFont="1" applyFill="1" applyBorder="1" applyAlignment="1">
      <alignment horizontal="center"/>
    </xf>
    <xf numFmtId="0" fontId="1" fillId="0" borderId="3" xfId="0" applyFont="1" applyFill="1" applyBorder="1" applyAlignment="1">
      <alignment horizontal="center"/>
    </xf>
    <xf numFmtId="0" fontId="1" fillId="2" borderId="0" xfId="0" applyFont="1" applyFill="1" applyBorder="1" applyAlignment="1">
      <alignment horizontal="center"/>
    </xf>
    <xf numFmtId="0" fontId="5" fillId="2" borderId="0" xfId="0" applyFont="1" applyFill="1" applyBorder="1" applyAlignment="1">
      <alignment horizontal="center"/>
    </xf>
    <xf numFmtId="0" fontId="3" fillId="0" borderId="0" xfId="0" applyFont="1" applyFill="1" applyBorder="1" applyAlignment="1">
      <alignment horizontal="left" vertical="top"/>
    </xf>
    <xf numFmtId="0" fontId="1" fillId="0" borderId="0" xfId="0" applyFont="1" applyFill="1" applyBorder="1" applyAlignment="1">
      <alignment horizontal="left"/>
    </xf>
    <xf numFmtId="0" fontId="3" fillId="0" borderId="0" xfId="0" applyFont="1" applyAlignment="1">
      <alignment horizontal="left" vertical="top" wrapText="1"/>
    </xf>
    <xf numFmtId="0" fontId="2" fillId="0" borderId="0" xfId="1" applyFill="1" applyBorder="1" applyAlignment="1">
      <alignment horizontal="left"/>
    </xf>
    <xf numFmtId="0" fontId="1" fillId="0" borderId="5" xfId="0" applyFont="1" applyBorder="1" applyAlignment="1">
      <alignment horizontal="left" vertical="center"/>
    </xf>
    <xf numFmtId="0" fontId="1" fillId="0" borderId="0" xfId="0" applyFont="1" applyAlignment="1">
      <alignment horizontal="left" vertical="center"/>
    </xf>
    <xf numFmtId="0" fontId="1" fillId="2" borderId="5" xfId="0" applyFont="1" applyFill="1" applyBorder="1" applyAlignment="1">
      <alignment horizontal="left" vertical="center"/>
    </xf>
    <xf numFmtId="0" fontId="1" fillId="2" borderId="0" xfId="0" applyFont="1" applyFill="1" applyAlignment="1">
      <alignment horizontal="left" vertical="center"/>
    </xf>
    <xf numFmtId="0" fontId="1" fillId="0" borderId="6" xfId="0" applyFont="1" applyBorder="1" applyAlignment="1">
      <alignment horizontal="left" vertical="center"/>
    </xf>
    <xf numFmtId="0" fontId="1" fillId="2" borderId="6" xfId="0" applyFont="1" applyFill="1" applyBorder="1" applyAlignment="1">
      <alignment horizontal="left" vertical="center"/>
    </xf>
    <xf numFmtId="0" fontId="5" fillId="2" borderId="2" xfId="0" applyFont="1" applyFill="1" applyBorder="1" applyAlignment="1">
      <alignment horizontal="center" wrapText="1"/>
    </xf>
    <xf numFmtId="0" fontId="5" fillId="2" borderId="1" xfId="0" applyFont="1" applyFill="1" applyBorder="1" applyAlignment="1">
      <alignment horizontal="center" wrapText="1"/>
    </xf>
    <xf numFmtId="0" fontId="5" fillId="2" borderId="0" xfId="0" applyFont="1" applyFill="1" applyAlignment="1">
      <alignment horizontal="center"/>
    </xf>
    <xf numFmtId="0" fontId="1" fillId="2" borderId="3" xfId="0" applyFont="1" applyFill="1" applyBorder="1" applyAlignment="1">
      <alignment horizontal="center"/>
    </xf>
    <xf numFmtId="0" fontId="1" fillId="0" borderId="4" xfId="0" applyFont="1" applyBorder="1" applyAlignment="1">
      <alignment horizontal="left" vertical="center"/>
    </xf>
    <xf numFmtId="0" fontId="1" fillId="2" borderId="4" xfId="0" applyFont="1" applyFill="1" applyBorder="1" applyAlignment="1">
      <alignment horizontal="left" vertical="center"/>
    </xf>
  </cellXfs>
  <cellStyles count="54217">
    <cellStyle name="20% - Accent1 10" xfId="1652" xr:uid="{00000000-0005-0000-0000-000000000000}"/>
    <cellStyle name="20% - Accent1 10 10" xfId="53568" xr:uid="{00000000-0005-0000-0000-000001000000}"/>
    <cellStyle name="20% - Accent1 10 2" xfId="1977" xr:uid="{00000000-0005-0000-0000-000002000000}"/>
    <cellStyle name="20% - Accent1 10 2 2" xfId="2408" xr:uid="{00000000-0005-0000-0000-000003000000}"/>
    <cellStyle name="20% - Accent1 10 2 2 2" xfId="3221" xr:uid="{00000000-0005-0000-0000-000004000000}"/>
    <cellStyle name="20% - Accent1 10 2 2 2 2" xfId="4878" xr:uid="{00000000-0005-0000-0000-000005000000}"/>
    <cellStyle name="20% - Accent1 10 2 2 2 2 2" xfId="8109" xr:uid="{00000000-0005-0000-0000-000006000000}"/>
    <cellStyle name="20% - Accent1 10 2 2 2 2 2 2" xfId="14568" xr:uid="{00000000-0005-0000-0000-000007000000}"/>
    <cellStyle name="20% - Accent1 10 2 2 2 2 2 2 2" xfId="27485" xr:uid="{00000000-0005-0000-0000-000008000000}"/>
    <cellStyle name="20% - Accent1 10 2 2 2 2 2 2 2 2" xfId="53359" xr:uid="{00000000-0005-0000-0000-000009000000}"/>
    <cellStyle name="20% - Accent1 10 2 2 2 2 2 2 3" xfId="40443" xr:uid="{00000000-0005-0000-0000-00000A000000}"/>
    <cellStyle name="20% - Accent1 10 2 2 2 2 2 3" xfId="21027" xr:uid="{00000000-0005-0000-0000-00000B000000}"/>
    <cellStyle name="20% - Accent1 10 2 2 2 2 2 3 2" xfId="46901" xr:uid="{00000000-0005-0000-0000-00000C000000}"/>
    <cellStyle name="20% - Accent1 10 2 2 2 2 2 4" xfId="33985" xr:uid="{00000000-0005-0000-0000-00000D000000}"/>
    <cellStyle name="20% - Accent1 10 2 2 2 2 3" xfId="11340" xr:uid="{00000000-0005-0000-0000-00000E000000}"/>
    <cellStyle name="20% - Accent1 10 2 2 2 2 3 2" xfId="24257" xr:uid="{00000000-0005-0000-0000-00000F000000}"/>
    <cellStyle name="20% - Accent1 10 2 2 2 2 3 2 2" xfId="50131" xr:uid="{00000000-0005-0000-0000-000010000000}"/>
    <cellStyle name="20% - Accent1 10 2 2 2 2 3 3" xfId="37215" xr:uid="{00000000-0005-0000-0000-000011000000}"/>
    <cellStyle name="20% - Accent1 10 2 2 2 2 4" xfId="17799" xr:uid="{00000000-0005-0000-0000-000012000000}"/>
    <cellStyle name="20% - Accent1 10 2 2 2 2 4 2" xfId="43673" xr:uid="{00000000-0005-0000-0000-000013000000}"/>
    <cellStyle name="20% - Accent1 10 2 2 2 2 5" xfId="30725" xr:uid="{00000000-0005-0000-0000-000014000000}"/>
    <cellStyle name="20% - Accent1 10 2 2 2 3" xfId="6495" xr:uid="{00000000-0005-0000-0000-000015000000}"/>
    <cellStyle name="20% - Accent1 10 2 2 2 3 2" xfId="12954" xr:uid="{00000000-0005-0000-0000-000016000000}"/>
    <cellStyle name="20% - Accent1 10 2 2 2 3 2 2" xfId="25871" xr:uid="{00000000-0005-0000-0000-000017000000}"/>
    <cellStyle name="20% - Accent1 10 2 2 2 3 2 2 2" xfId="51745" xr:uid="{00000000-0005-0000-0000-000018000000}"/>
    <cellStyle name="20% - Accent1 10 2 2 2 3 2 3" xfId="38829" xr:uid="{00000000-0005-0000-0000-000019000000}"/>
    <cellStyle name="20% - Accent1 10 2 2 2 3 3" xfId="19413" xr:uid="{00000000-0005-0000-0000-00001A000000}"/>
    <cellStyle name="20% - Accent1 10 2 2 2 3 3 2" xfId="45287" xr:uid="{00000000-0005-0000-0000-00001B000000}"/>
    <cellStyle name="20% - Accent1 10 2 2 2 3 4" xfId="32371" xr:uid="{00000000-0005-0000-0000-00001C000000}"/>
    <cellStyle name="20% - Accent1 10 2 2 2 4" xfId="9726" xr:uid="{00000000-0005-0000-0000-00001D000000}"/>
    <cellStyle name="20% - Accent1 10 2 2 2 4 2" xfId="22643" xr:uid="{00000000-0005-0000-0000-00001E000000}"/>
    <cellStyle name="20% - Accent1 10 2 2 2 4 2 2" xfId="48517" xr:uid="{00000000-0005-0000-0000-00001F000000}"/>
    <cellStyle name="20% - Accent1 10 2 2 2 4 3" xfId="35601" xr:uid="{00000000-0005-0000-0000-000020000000}"/>
    <cellStyle name="20% - Accent1 10 2 2 2 5" xfId="16185" xr:uid="{00000000-0005-0000-0000-000021000000}"/>
    <cellStyle name="20% - Accent1 10 2 2 2 5 2" xfId="42059" xr:uid="{00000000-0005-0000-0000-000022000000}"/>
    <cellStyle name="20% - Accent1 10 2 2 2 6" xfId="29111" xr:uid="{00000000-0005-0000-0000-000023000000}"/>
    <cellStyle name="20% - Accent1 10 2 2 3" xfId="4048" xr:uid="{00000000-0005-0000-0000-000024000000}"/>
    <cellStyle name="20% - Accent1 10 2 2 3 2" xfId="7302" xr:uid="{00000000-0005-0000-0000-000025000000}"/>
    <cellStyle name="20% - Accent1 10 2 2 3 2 2" xfId="13761" xr:uid="{00000000-0005-0000-0000-000026000000}"/>
    <cellStyle name="20% - Accent1 10 2 2 3 2 2 2" xfId="26678" xr:uid="{00000000-0005-0000-0000-000027000000}"/>
    <cellStyle name="20% - Accent1 10 2 2 3 2 2 2 2" xfId="52552" xr:uid="{00000000-0005-0000-0000-000028000000}"/>
    <cellStyle name="20% - Accent1 10 2 2 3 2 2 3" xfId="39636" xr:uid="{00000000-0005-0000-0000-000029000000}"/>
    <cellStyle name="20% - Accent1 10 2 2 3 2 3" xfId="20220" xr:uid="{00000000-0005-0000-0000-00002A000000}"/>
    <cellStyle name="20% - Accent1 10 2 2 3 2 3 2" xfId="46094" xr:uid="{00000000-0005-0000-0000-00002B000000}"/>
    <cellStyle name="20% - Accent1 10 2 2 3 2 4" xfId="33178" xr:uid="{00000000-0005-0000-0000-00002C000000}"/>
    <cellStyle name="20% - Accent1 10 2 2 3 3" xfId="10533" xr:uid="{00000000-0005-0000-0000-00002D000000}"/>
    <cellStyle name="20% - Accent1 10 2 2 3 3 2" xfId="23450" xr:uid="{00000000-0005-0000-0000-00002E000000}"/>
    <cellStyle name="20% - Accent1 10 2 2 3 3 2 2" xfId="49324" xr:uid="{00000000-0005-0000-0000-00002F000000}"/>
    <cellStyle name="20% - Accent1 10 2 2 3 3 3" xfId="36408" xr:uid="{00000000-0005-0000-0000-000030000000}"/>
    <cellStyle name="20% - Accent1 10 2 2 3 4" xfId="16992" xr:uid="{00000000-0005-0000-0000-000031000000}"/>
    <cellStyle name="20% - Accent1 10 2 2 3 4 2" xfId="42866" xr:uid="{00000000-0005-0000-0000-000032000000}"/>
    <cellStyle name="20% - Accent1 10 2 2 3 5" xfId="29918" xr:uid="{00000000-0005-0000-0000-000033000000}"/>
    <cellStyle name="20% - Accent1 10 2 2 4" xfId="5688" xr:uid="{00000000-0005-0000-0000-000034000000}"/>
    <cellStyle name="20% - Accent1 10 2 2 4 2" xfId="12147" xr:uid="{00000000-0005-0000-0000-000035000000}"/>
    <cellStyle name="20% - Accent1 10 2 2 4 2 2" xfId="25064" xr:uid="{00000000-0005-0000-0000-000036000000}"/>
    <cellStyle name="20% - Accent1 10 2 2 4 2 2 2" xfId="50938" xr:uid="{00000000-0005-0000-0000-000037000000}"/>
    <cellStyle name="20% - Accent1 10 2 2 4 2 3" xfId="38022" xr:uid="{00000000-0005-0000-0000-000038000000}"/>
    <cellStyle name="20% - Accent1 10 2 2 4 3" xfId="18606" xr:uid="{00000000-0005-0000-0000-000039000000}"/>
    <cellStyle name="20% - Accent1 10 2 2 4 3 2" xfId="44480" xr:uid="{00000000-0005-0000-0000-00003A000000}"/>
    <cellStyle name="20% - Accent1 10 2 2 4 4" xfId="31564" xr:uid="{00000000-0005-0000-0000-00003B000000}"/>
    <cellStyle name="20% - Accent1 10 2 2 5" xfId="8919" xr:uid="{00000000-0005-0000-0000-00003C000000}"/>
    <cellStyle name="20% - Accent1 10 2 2 5 2" xfId="21836" xr:uid="{00000000-0005-0000-0000-00003D000000}"/>
    <cellStyle name="20% - Accent1 10 2 2 5 2 2" xfId="47710" xr:uid="{00000000-0005-0000-0000-00003E000000}"/>
    <cellStyle name="20% - Accent1 10 2 2 5 3" xfId="34794" xr:uid="{00000000-0005-0000-0000-00003F000000}"/>
    <cellStyle name="20% - Accent1 10 2 2 6" xfId="15378" xr:uid="{00000000-0005-0000-0000-000040000000}"/>
    <cellStyle name="20% - Accent1 10 2 2 6 2" xfId="41252" xr:uid="{00000000-0005-0000-0000-000041000000}"/>
    <cellStyle name="20% - Accent1 10 2 2 7" xfId="28304" xr:uid="{00000000-0005-0000-0000-000042000000}"/>
    <cellStyle name="20% - Accent1 10 2 2 8" xfId="54166" xr:uid="{00000000-0005-0000-0000-000043000000}"/>
    <cellStyle name="20% - Accent1 10 2 3" xfId="2817" xr:uid="{00000000-0005-0000-0000-000044000000}"/>
    <cellStyle name="20% - Accent1 10 2 3 2" xfId="4474" xr:uid="{00000000-0005-0000-0000-000045000000}"/>
    <cellStyle name="20% - Accent1 10 2 3 2 2" xfId="7705" xr:uid="{00000000-0005-0000-0000-000046000000}"/>
    <cellStyle name="20% - Accent1 10 2 3 2 2 2" xfId="14164" xr:uid="{00000000-0005-0000-0000-000047000000}"/>
    <cellStyle name="20% - Accent1 10 2 3 2 2 2 2" xfId="27081" xr:uid="{00000000-0005-0000-0000-000048000000}"/>
    <cellStyle name="20% - Accent1 10 2 3 2 2 2 2 2" xfId="52955" xr:uid="{00000000-0005-0000-0000-000049000000}"/>
    <cellStyle name="20% - Accent1 10 2 3 2 2 2 3" xfId="40039" xr:uid="{00000000-0005-0000-0000-00004A000000}"/>
    <cellStyle name="20% - Accent1 10 2 3 2 2 3" xfId="20623" xr:uid="{00000000-0005-0000-0000-00004B000000}"/>
    <cellStyle name="20% - Accent1 10 2 3 2 2 3 2" xfId="46497" xr:uid="{00000000-0005-0000-0000-00004C000000}"/>
    <cellStyle name="20% - Accent1 10 2 3 2 2 4" xfId="33581" xr:uid="{00000000-0005-0000-0000-00004D000000}"/>
    <cellStyle name="20% - Accent1 10 2 3 2 3" xfId="10936" xr:uid="{00000000-0005-0000-0000-00004E000000}"/>
    <cellStyle name="20% - Accent1 10 2 3 2 3 2" xfId="23853" xr:uid="{00000000-0005-0000-0000-00004F000000}"/>
    <cellStyle name="20% - Accent1 10 2 3 2 3 2 2" xfId="49727" xr:uid="{00000000-0005-0000-0000-000050000000}"/>
    <cellStyle name="20% - Accent1 10 2 3 2 3 3" xfId="36811" xr:uid="{00000000-0005-0000-0000-000051000000}"/>
    <cellStyle name="20% - Accent1 10 2 3 2 4" xfId="17395" xr:uid="{00000000-0005-0000-0000-000052000000}"/>
    <cellStyle name="20% - Accent1 10 2 3 2 4 2" xfId="43269" xr:uid="{00000000-0005-0000-0000-000053000000}"/>
    <cellStyle name="20% - Accent1 10 2 3 2 5" xfId="30321" xr:uid="{00000000-0005-0000-0000-000054000000}"/>
    <cellStyle name="20% - Accent1 10 2 3 3" xfId="6091" xr:uid="{00000000-0005-0000-0000-000055000000}"/>
    <cellStyle name="20% - Accent1 10 2 3 3 2" xfId="12550" xr:uid="{00000000-0005-0000-0000-000056000000}"/>
    <cellStyle name="20% - Accent1 10 2 3 3 2 2" xfId="25467" xr:uid="{00000000-0005-0000-0000-000057000000}"/>
    <cellStyle name="20% - Accent1 10 2 3 3 2 2 2" xfId="51341" xr:uid="{00000000-0005-0000-0000-000058000000}"/>
    <cellStyle name="20% - Accent1 10 2 3 3 2 3" xfId="38425" xr:uid="{00000000-0005-0000-0000-000059000000}"/>
    <cellStyle name="20% - Accent1 10 2 3 3 3" xfId="19009" xr:uid="{00000000-0005-0000-0000-00005A000000}"/>
    <cellStyle name="20% - Accent1 10 2 3 3 3 2" xfId="44883" xr:uid="{00000000-0005-0000-0000-00005B000000}"/>
    <cellStyle name="20% - Accent1 10 2 3 3 4" xfId="31967" xr:uid="{00000000-0005-0000-0000-00005C000000}"/>
    <cellStyle name="20% - Accent1 10 2 3 4" xfId="9322" xr:uid="{00000000-0005-0000-0000-00005D000000}"/>
    <cellStyle name="20% - Accent1 10 2 3 4 2" xfId="22239" xr:uid="{00000000-0005-0000-0000-00005E000000}"/>
    <cellStyle name="20% - Accent1 10 2 3 4 2 2" xfId="48113" xr:uid="{00000000-0005-0000-0000-00005F000000}"/>
    <cellStyle name="20% - Accent1 10 2 3 4 3" xfId="35197" xr:uid="{00000000-0005-0000-0000-000060000000}"/>
    <cellStyle name="20% - Accent1 10 2 3 5" xfId="15781" xr:uid="{00000000-0005-0000-0000-000061000000}"/>
    <cellStyle name="20% - Accent1 10 2 3 5 2" xfId="41655" xr:uid="{00000000-0005-0000-0000-000062000000}"/>
    <cellStyle name="20% - Accent1 10 2 3 6" xfId="28707" xr:uid="{00000000-0005-0000-0000-000063000000}"/>
    <cellStyle name="20% - Accent1 10 2 4" xfId="3644" xr:uid="{00000000-0005-0000-0000-000064000000}"/>
    <cellStyle name="20% - Accent1 10 2 4 2" xfId="6898" xr:uid="{00000000-0005-0000-0000-000065000000}"/>
    <cellStyle name="20% - Accent1 10 2 4 2 2" xfId="13357" xr:uid="{00000000-0005-0000-0000-000066000000}"/>
    <cellStyle name="20% - Accent1 10 2 4 2 2 2" xfId="26274" xr:uid="{00000000-0005-0000-0000-000067000000}"/>
    <cellStyle name="20% - Accent1 10 2 4 2 2 2 2" xfId="52148" xr:uid="{00000000-0005-0000-0000-000068000000}"/>
    <cellStyle name="20% - Accent1 10 2 4 2 2 3" xfId="39232" xr:uid="{00000000-0005-0000-0000-000069000000}"/>
    <cellStyle name="20% - Accent1 10 2 4 2 3" xfId="19816" xr:uid="{00000000-0005-0000-0000-00006A000000}"/>
    <cellStyle name="20% - Accent1 10 2 4 2 3 2" xfId="45690" xr:uid="{00000000-0005-0000-0000-00006B000000}"/>
    <cellStyle name="20% - Accent1 10 2 4 2 4" xfId="32774" xr:uid="{00000000-0005-0000-0000-00006C000000}"/>
    <cellStyle name="20% - Accent1 10 2 4 3" xfId="10129" xr:uid="{00000000-0005-0000-0000-00006D000000}"/>
    <cellStyle name="20% - Accent1 10 2 4 3 2" xfId="23046" xr:uid="{00000000-0005-0000-0000-00006E000000}"/>
    <cellStyle name="20% - Accent1 10 2 4 3 2 2" xfId="48920" xr:uid="{00000000-0005-0000-0000-00006F000000}"/>
    <cellStyle name="20% - Accent1 10 2 4 3 3" xfId="36004" xr:uid="{00000000-0005-0000-0000-000070000000}"/>
    <cellStyle name="20% - Accent1 10 2 4 4" xfId="16588" xr:uid="{00000000-0005-0000-0000-000071000000}"/>
    <cellStyle name="20% - Accent1 10 2 4 4 2" xfId="42462" xr:uid="{00000000-0005-0000-0000-000072000000}"/>
    <cellStyle name="20% - Accent1 10 2 4 5" xfId="29514" xr:uid="{00000000-0005-0000-0000-000073000000}"/>
    <cellStyle name="20% - Accent1 10 2 5" xfId="5284" xr:uid="{00000000-0005-0000-0000-000074000000}"/>
    <cellStyle name="20% - Accent1 10 2 5 2" xfId="11743" xr:uid="{00000000-0005-0000-0000-000075000000}"/>
    <cellStyle name="20% - Accent1 10 2 5 2 2" xfId="24660" xr:uid="{00000000-0005-0000-0000-000076000000}"/>
    <cellStyle name="20% - Accent1 10 2 5 2 2 2" xfId="50534" xr:uid="{00000000-0005-0000-0000-000077000000}"/>
    <cellStyle name="20% - Accent1 10 2 5 2 3" xfId="37618" xr:uid="{00000000-0005-0000-0000-000078000000}"/>
    <cellStyle name="20% - Accent1 10 2 5 3" xfId="18202" xr:uid="{00000000-0005-0000-0000-000079000000}"/>
    <cellStyle name="20% - Accent1 10 2 5 3 2" xfId="44076" xr:uid="{00000000-0005-0000-0000-00007A000000}"/>
    <cellStyle name="20% - Accent1 10 2 5 4" xfId="31160" xr:uid="{00000000-0005-0000-0000-00007B000000}"/>
    <cellStyle name="20% - Accent1 10 2 6" xfId="8515" xr:uid="{00000000-0005-0000-0000-00007C000000}"/>
    <cellStyle name="20% - Accent1 10 2 6 2" xfId="21432" xr:uid="{00000000-0005-0000-0000-00007D000000}"/>
    <cellStyle name="20% - Accent1 10 2 6 2 2" xfId="47306" xr:uid="{00000000-0005-0000-0000-00007E000000}"/>
    <cellStyle name="20% - Accent1 10 2 6 3" xfId="34390" xr:uid="{00000000-0005-0000-0000-00007F000000}"/>
    <cellStyle name="20% - Accent1 10 2 7" xfId="14974" xr:uid="{00000000-0005-0000-0000-000080000000}"/>
    <cellStyle name="20% - Accent1 10 2 7 2" xfId="40848" xr:uid="{00000000-0005-0000-0000-000081000000}"/>
    <cellStyle name="20% - Accent1 10 2 8" xfId="27899" xr:uid="{00000000-0005-0000-0000-000082000000}"/>
    <cellStyle name="20% - Accent1 10 2 9" xfId="53762" xr:uid="{00000000-0005-0000-0000-000083000000}"/>
    <cellStyle name="20% - Accent1 10 3" xfId="2212" xr:uid="{00000000-0005-0000-0000-000084000000}"/>
    <cellStyle name="20% - Accent1 10 3 2" xfId="3026" xr:uid="{00000000-0005-0000-0000-000085000000}"/>
    <cellStyle name="20% - Accent1 10 3 2 2" xfId="4683" xr:uid="{00000000-0005-0000-0000-000086000000}"/>
    <cellStyle name="20% - Accent1 10 3 2 2 2" xfId="7914" xr:uid="{00000000-0005-0000-0000-000087000000}"/>
    <cellStyle name="20% - Accent1 10 3 2 2 2 2" xfId="14373" xr:uid="{00000000-0005-0000-0000-000088000000}"/>
    <cellStyle name="20% - Accent1 10 3 2 2 2 2 2" xfId="27290" xr:uid="{00000000-0005-0000-0000-000089000000}"/>
    <cellStyle name="20% - Accent1 10 3 2 2 2 2 2 2" xfId="53164" xr:uid="{00000000-0005-0000-0000-00008A000000}"/>
    <cellStyle name="20% - Accent1 10 3 2 2 2 2 3" xfId="40248" xr:uid="{00000000-0005-0000-0000-00008B000000}"/>
    <cellStyle name="20% - Accent1 10 3 2 2 2 3" xfId="20832" xr:uid="{00000000-0005-0000-0000-00008C000000}"/>
    <cellStyle name="20% - Accent1 10 3 2 2 2 3 2" xfId="46706" xr:uid="{00000000-0005-0000-0000-00008D000000}"/>
    <cellStyle name="20% - Accent1 10 3 2 2 2 4" xfId="33790" xr:uid="{00000000-0005-0000-0000-00008E000000}"/>
    <cellStyle name="20% - Accent1 10 3 2 2 3" xfId="11145" xr:uid="{00000000-0005-0000-0000-00008F000000}"/>
    <cellStyle name="20% - Accent1 10 3 2 2 3 2" xfId="24062" xr:uid="{00000000-0005-0000-0000-000090000000}"/>
    <cellStyle name="20% - Accent1 10 3 2 2 3 2 2" xfId="49936" xr:uid="{00000000-0005-0000-0000-000091000000}"/>
    <cellStyle name="20% - Accent1 10 3 2 2 3 3" xfId="37020" xr:uid="{00000000-0005-0000-0000-000092000000}"/>
    <cellStyle name="20% - Accent1 10 3 2 2 4" xfId="17604" xr:uid="{00000000-0005-0000-0000-000093000000}"/>
    <cellStyle name="20% - Accent1 10 3 2 2 4 2" xfId="43478" xr:uid="{00000000-0005-0000-0000-000094000000}"/>
    <cellStyle name="20% - Accent1 10 3 2 2 5" xfId="30530" xr:uid="{00000000-0005-0000-0000-000095000000}"/>
    <cellStyle name="20% - Accent1 10 3 2 3" xfId="6300" xr:uid="{00000000-0005-0000-0000-000096000000}"/>
    <cellStyle name="20% - Accent1 10 3 2 3 2" xfId="12759" xr:uid="{00000000-0005-0000-0000-000097000000}"/>
    <cellStyle name="20% - Accent1 10 3 2 3 2 2" xfId="25676" xr:uid="{00000000-0005-0000-0000-000098000000}"/>
    <cellStyle name="20% - Accent1 10 3 2 3 2 2 2" xfId="51550" xr:uid="{00000000-0005-0000-0000-000099000000}"/>
    <cellStyle name="20% - Accent1 10 3 2 3 2 3" xfId="38634" xr:uid="{00000000-0005-0000-0000-00009A000000}"/>
    <cellStyle name="20% - Accent1 10 3 2 3 3" xfId="19218" xr:uid="{00000000-0005-0000-0000-00009B000000}"/>
    <cellStyle name="20% - Accent1 10 3 2 3 3 2" xfId="45092" xr:uid="{00000000-0005-0000-0000-00009C000000}"/>
    <cellStyle name="20% - Accent1 10 3 2 3 4" xfId="32176" xr:uid="{00000000-0005-0000-0000-00009D000000}"/>
    <cellStyle name="20% - Accent1 10 3 2 4" xfId="9531" xr:uid="{00000000-0005-0000-0000-00009E000000}"/>
    <cellStyle name="20% - Accent1 10 3 2 4 2" xfId="22448" xr:uid="{00000000-0005-0000-0000-00009F000000}"/>
    <cellStyle name="20% - Accent1 10 3 2 4 2 2" xfId="48322" xr:uid="{00000000-0005-0000-0000-0000A0000000}"/>
    <cellStyle name="20% - Accent1 10 3 2 4 3" xfId="35406" xr:uid="{00000000-0005-0000-0000-0000A1000000}"/>
    <cellStyle name="20% - Accent1 10 3 2 5" xfId="15990" xr:uid="{00000000-0005-0000-0000-0000A2000000}"/>
    <cellStyle name="20% - Accent1 10 3 2 5 2" xfId="41864" xr:uid="{00000000-0005-0000-0000-0000A3000000}"/>
    <cellStyle name="20% - Accent1 10 3 2 6" xfId="28916" xr:uid="{00000000-0005-0000-0000-0000A4000000}"/>
    <cellStyle name="20% - Accent1 10 3 3" xfId="3853" xr:uid="{00000000-0005-0000-0000-0000A5000000}"/>
    <cellStyle name="20% - Accent1 10 3 3 2" xfId="7107" xr:uid="{00000000-0005-0000-0000-0000A6000000}"/>
    <cellStyle name="20% - Accent1 10 3 3 2 2" xfId="13566" xr:uid="{00000000-0005-0000-0000-0000A7000000}"/>
    <cellStyle name="20% - Accent1 10 3 3 2 2 2" xfId="26483" xr:uid="{00000000-0005-0000-0000-0000A8000000}"/>
    <cellStyle name="20% - Accent1 10 3 3 2 2 2 2" xfId="52357" xr:uid="{00000000-0005-0000-0000-0000A9000000}"/>
    <cellStyle name="20% - Accent1 10 3 3 2 2 3" xfId="39441" xr:uid="{00000000-0005-0000-0000-0000AA000000}"/>
    <cellStyle name="20% - Accent1 10 3 3 2 3" xfId="20025" xr:uid="{00000000-0005-0000-0000-0000AB000000}"/>
    <cellStyle name="20% - Accent1 10 3 3 2 3 2" xfId="45899" xr:uid="{00000000-0005-0000-0000-0000AC000000}"/>
    <cellStyle name="20% - Accent1 10 3 3 2 4" xfId="32983" xr:uid="{00000000-0005-0000-0000-0000AD000000}"/>
    <cellStyle name="20% - Accent1 10 3 3 3" xfId="10338" xr:uid="{00000000-0005-0000-0000-0000AE000000}"/>
    <cellStyle name="20% - Accent1 10 3 3 3 2" xfId="23255" xr:uid="{00000000-0005-0000-0000-0000AF000000}"/>
    <cellStyle name="20% - Accent1 10 3 3 3 2 2" xfId="49129" xr:uid="{00000000-0005-0000-0000-0000B0000000}"/>
    <cellStyle name="20% - Accent1 10 3 3 3 3" xfId="36213" xr:uid="{00000000-0005-0000-0000-0000B1000000}"/>
    <cellStyle name="20% - Accent1 10 3 3 4" xfId="16797" xr:uid="{00000000-0005-0000-0000-0000B2000000}"/>
    <cellStyle name="20% - Accent1 10 3 3 4 2" xfId="42671" xr:uid="{00000000-0005-0000-0000-0000B3000000}"/>
    <cellStyle name="20% - Accent1 10 3 3 5" xfId="29723" xr:uid="{00000000-0005-0000-0000-0000B4000000}"/>
    <cellStyle name="20% - Accent1 10 3 4" xfId="5493" xr:uid="{00000000-0005-0000-0000-0000B5000000}"/>
    <cellStyle name="20% - Accent1 10 3 4 2" xfId="11952" xr:uid="{00000000-0005-0000-0000-0000B6000000}"/>
    <cellStyle name="20% - Accent1 10 3 4 2 2" xfId="24869" xr:uid="{00000000-0005-0000-0000-0000B7000000}"/>
    <cellStyle name="20% - Accent1 10 3 4 2 2 2" xfId="50743" xr:uid="{00000000-0005-0000-0000-0000B8000000}"/>
    <cellStyle name="20% - Accent1 10 3 4 2 3" xfId="37827" xr:uid="{00000000-0005-0000-0000-0000B9000000}"/>
    <cellStyle name="20% - Accent1 10 3 4 3" xfId="18411" xr:uid="{00000000-0005-0000-0000-0000BA000000}"/>
    <cellStyle name="20% - Accent1 10 3 4 3 2" xfId="44285" xr:uid="{00000000-0005-0000-0000-0000BB000000}"/>
    <cellStyle name="20% - Accent1 10 3 4 4" xfId="31369" xr:uid="{00000000-0005-0000-0000-0000BC000000}"/>
    <cellStyle name="20% - Accent1 10 3 5" xfId="8724" xr:uid="{00000000-0005-0000-0000-0000BD000000}"/>
    <cellStyle name="20% - Accent1 10 3 5 2" xfId="21641" xr:uid="{00000000-0005-0000-0000-0000BE000000}"/>
    <cellStyle name="20% - Accent1 10 3 5 2 2" xfId="47515" xr:uid="{00000000-0005-0000-0000-0000BF000000}"/>
    <cellStyle name="20% - Accent1 10 3 5 3" xfId="34599" xr:uid="{00000000-0005-0000-0000-0000C0000000}"/>
    <cellStyle name="20% - Accent1 10 3 6" xfId="15183" xr:uid="{00000000-0005-0000-0000-0000C1000000}"/>
    <cellStyle name="20% - Accent1 10 3 6 2" xfId="41057" xr:uid="{00000000-0005-0000-0000-0000C2000000}"/>
    <cellStyle name="20% - Accent1 10 3 7" xfId="28109" xr:uid="{00000000-0005-0000-0000-0000C3000000}"/>
    <cellStyle name="20% - Accent1 10 3 8" xfId="53971" xr:uid="{00000000-0005-0000-0000-0000C4000000}"/>
    <cellStyle name="20% - Accent1 10 4" xfId="2623" xr:uid="{00000000-0005-0000-0000-0000C5000000}"/>
    <cellStyle name="20% - Accent1 10 4 2" xfId="4280" xr:uid="{00000000-0005-0000-0000-0000C6000000}"/>
    <cellStyle name="20% - Accent1 10 4 2 2" xfId="7511" xr:uid="{00000000-0005-0000-0000-0000C7000000}"/>
    <cellStyle name="20% - Accent1 10 4 2 2 2" xfId="13970" xr:uid="{00000000-0005-0000-0000-0000C8000000}"/>
    <cellStyle name="20% - Accent1 10 4 2 2 2 2" xfId="26887" xr:uid="{00000000-0005-0000-0000-0000C9000000}"/>
    <cellStyle name="20% - Accent1 10 4 2 2 2 2 2" xfId="52761" xr:uid="{00000000-0005-0000-0000-0000CA000000}"/>
    <cellStyle name="20% - Accent1 10 4 2 2 2 3" xfId="39845" xr:uid="{00000000-0005-0000-0000-0000CB000000}"/>
    <cellStyle name="20% - Accent1 10 4 2 2 3" xfId="20429" xr:uid="{00000000-0005-0000-0000-0000CC000000}"/>
    <cellStyle name="20% - Accent1 10 4 2 2 3 2" xfId="46303" xr:uid="{00000000-0005-0000-0000-0000CD000000}"/>
    <cellStyle name="20% - Accent1 10 4 2 2 4" xfId="33387" xr:uid="{00000000-0005-0000-0000-0000CE000000}"/>
    <cellStyle name="20% - Accent1 10 4 2 3" xfId="10742" xr:uid="{00000000-0005-0000-0000-0000CF000000}"/>
    <cellStyle name="20% - Accent1 10 4 2 3 2" xfId="23659" xr:uid="{00000000-0005-0000-0000-0000D0000000}"/>
    <cellStyle name="20% - Accent1 10 4 2 3 2 2" xfId="49533" xr:uid="{00000000-0005-0000-0000-0000D1000000}"/>
    <cellStyle name="20% - Accent1 10 4 2 3 3" xfId="36617" xr:uid="{00000000-0005-0000-0000-0000D2000000}"/>
    <cellStyle name="20% - Accent1 10 4 2 4" xfId="17201" xr:uid="{00000000-0005-0000-0000-0000D3000000}"/>
    <cellStyle name="20% - Accent1 10 4 2 4 2" xfId="43075" xr:uid="{00000000-0005-0000-0000-0000D4000000}"/>
    <cellStyle name="20% - Accent1 10 4 2 5" xfId="30127" xr:uid="{00000000-0005-0000-0000-0000D5000000}"/>
    <cellStyle name="20% - Accent1 10 4 3" xfId="5897" xr:uid="{00000000-0005-0000-0000-0000D6000000}"/>
    <cellStyle name="20% - Accent1 10 4 3 2" xfId="12356" xr:uid="{00000000-0005-0000-0000-0000D7000000}"/>
    <cellStyle name="20% - Accent1 10 4 3 2 2" xfId="25273" xr:uid="{00000000-0005-0000-0000-0000D8000000}"/>
    <cellStyle name="20% - Accent1 10 4 3 2 2 2" xfId="51147" xr:uid="{00000000-0005-0000-0000-0000D9000000}"/>
    <cellStyle name="20% - Accent1 10 4 3 2 3" xfId="38231" xr:uid="{00000000-0005-0000-0000-0000DA000000}"/>
    <cellStyle name="20% - Accent1 10 4 3 3" xfId="18815" xr:uid="{00000000-0005-0000-0000-0000DB000000}"/>
    <cellStyle name="20% - Accent1 10 4 3 3 2" xfId="44689" xr:uid="{00000000-0005-0000-0000-0000DC000000}"/>
    <cellStyle name="20% - Accent1 10 4 3 4" xfId="31773" xr:uid="{00000000-0005-0000-0000-0000DD000000}"/>
    <cellStyle name="20% - Accent1 10 4 4" xfId="9128" xr:uid="{00000000-0005-0000-0000-0000DE000000}"/>
    <cellStyle name="20% - Accent1 10 4 4 2" xfId="22045" xr:uid="{00000000-0005-0000-0000-0000DF000000}"/>
    <cellStyle name="20% - Accent1 10 4 4 2 2" xfId="47919" xr:uid="{00000000-0005-0000-0000-0000E0000000}"/>
    <cellStyle name="20% - Accent1 10 4 4 3" xfId="35003" xr:uid="{00000000-0005-0000-0000-0000E1000000}"/>
    <cellStyle name="20% - Accent1 10 4 5" xfId="15587" xr:uid="{00000000-0005-0000-0000-0000E2000000}"/>
    <cellStyle name="20% - Accent1 10 4 5 2" xfId="41461" xr:uid="{00000000-0005-0000-0000-0000E3000000}"/>
    <cellStyle name="20% - Accent1 10 4 6" xfId="28513" xr:uid="{00000000-0005-0000-0000-0000E4000000}"/>
    <cellStyle name="20% - Accent1 10 5" xfId="3450" xr:uid="{00000000-0005-0000-0000-0000E5000000}"/>
    <cellStyle name="20% - Accent1 10 5 2" xfId="6704" xr:uid="{00000000-0005-0000-0000-0000E6000000}"/>
    <cellStyle name="20% - Accent1 10 5 2 2" xfId="13163" xr:uid="{00000000-0005-0000-0000-0000E7000000}"/>
    <cellStyle name="20% - Accent1 10 5 2 2 2" xfId="26080" xr:uid="{00000000-0005-0000-0000-0000E8000000}"/>
    <cellStyle name="20% - Accent1 10 5 2 2 2 2" xfId="51954" xr:uid="{00000000-0005-0000-0000-0000E9000000}"/>
    <cellStyle name="20% - Accent1 10 5 2 2 3" xfId="39038" xr:uid="{00000000-0005-0000-0000-0000EA000000}"/>
    <cellStyle name="20% - Accent1 10 5 2 3" xfId="19622" xr:uid="{00000000-0005-0000-0000-0000EB000000}"/>
    <cellStyle name="20% - Accent1 10 5 2 3 2" xfId="45496" xr:uid="{00000000-0005-0000-0000-0000EC000000}"/>
    <cellStyle name="20% - Accent1 10 5 2 4" xfId="32580" xr:uid="{00000000-0005-0000-0000-0000ED000000}"/>
    <cellStyle name="20% - Accent1 10 5 3" xfId="9935" xr:uid="{00000000-0005-0000-0000-0000EE000000}"/>
    <cellStyle name="20% - Accent1 10 5 3 2" xfId="22852" xr:uid="{00000000-0005-0000-0000-0000EF000000}"/>
    <cellStyle name="20% - Accent1 10 5 3 2 2" xfId="48726" xr:uid="{00000000-0005-0000-0000-0000F0000000}"/>
    <cellStyle name="20% - Accent1 10 5 3 3" xfId="35810" xr:uid="{00000000-0005-0000-0000-0000F1000000}"/>
    <cellStyle name="20% - Accent1 10 5 4" xfId="16394" xr:uid="{00000000-0005-0000-0000-0000F2000000}"/>
    <cellStyle name="20% - Accent1 10 5 4 2" xfId="42268" xr:uid="{00000000-0005-0000-0000-0000F3000000}"/>
    <cellStyle name="20% - Accent1 10 5 5" xfId="29320" xr:uid="{00000000-0005-0000-0000-0000F4000000}"/>
    <cellStyle name="20% - Accent1 10 6" xfId="5090" xr:uid="{00000000-0005-0000-0000-0000F5000000}"/>
    <cellStyle name="20% - Accent1 10 6 2" xfId="11549" xr:uid="{00000000-0005-0000-0000-0000F6000000}"/>
    <cellStyle name="20% - Accent1 10 6 2 2" xfId="24466" xr:uid="{00000000-0005-0000-0000-0000F7000000}"/>
    <cellStyle name="20% - Accent1 10 6 2 2 2" xfId="50340" xr:uid="{00000000-0005-0000-0000-0000F8000000}"/>
    <cellStyle name="20% - Accent1 10 6 2 3" xfId="37424" xr:uid="{00000000-0005-0000-0000-0000F9000000}"/>
    <cellStyle name="20% - Accent1 10 6 3" xfId="18008" xr:uid="{00000000-0005-0000-0000-0000FA000000}"/>
    <cellStyle name="20% - Accent1 10 6 3 2" xfId="43882" xr:uid="{00000000-0005-0000-0000-0000FB000000}"/>
    <cellStyle name="20% - Accent1 10 6 4" xfId="30966" xr:uid="{00000000-0005-0000-0000-0000FC000000}"/>
    <cellStyle name="20% - Accent1 10 7" xfId="8320" xr:uid="{00000000-0005-0000-0000-0000FD000000}"/>
    <cellStyle name="20% - Accent1 10 7 2" xfId="21237" xr:uid="{00000000-0005-0000-0000-0000FE000000}"/>
    <cellStyle name="20% - Accent1 10 7 2 2" xfId="47111" xr:uid="{00000000-0005-0000-0000-0000FF000000}"/>
    <cellStyle name="20% - Accent1 10 7 3" xfId="34195" xr:uid="{00000000-0005-0000-0000-000000010000}"/>
    <cellStyle name="20% - Accent1 10 8" xfId="14779" xr:uid="{00000000-0005-0000-0000-000001010000}"/>
    <cellStyle name="20% - Accent1 10 8 2" xfId="40653" xr:uid="{00000000-0005-0000-0000-000002010000}"/>
    <cellStyle name="20% - Accent1 10 9" xfId="27703" xr:uid="{00000000-0005-0000-0000-000003010000}"/>
    <cellStyle name="20% - Accent1 11" xfId="1757" xr:uid="{00000000-0005-0000-0000-000004010000}"/>
    <cellStyle name="20% - Accent1 11 2" xfId="2251" xr:uid="{00000000-0005-0000-0000-000005010000}"/>
    <cellStyle name="20% - Accent1 11 2 2" xfId="3065" xr:uid="{00000000-0005-0000-0000-000006010000}"/>
    <cellStyle name="20% - Accent1 11 2 2 2" xfId="4722" xr:uid="{00000000-0005-0000-0000-000007010000}"/>
    <cellStyle name="20% - Accent1 11 2 2 2 2" xfId="7953" xr:uid="{00000000-0005-0000-0000-000008010000}"/>
    <cellStyle name="20% - Accent1 11 2 2 2 2 2" xfId="14412" xr:uid="{00000000-0005-0000-0000-000009010000}"/>
    <cellStyle name="20% - Accent1 11 2 2 2 2 2 2" xfId="27329" xr:uid="{00000000-0005-0000-0000-00000A010000}"/>
    <cellStyle name="20% - Accent1 11 2 2 2 2 2 2 2" xfId="53203" xr:uid="{00000000-0005-0000-0000-00000B010000}"/>
    <cellStyle name="20% - Accent1 11 2 2 2 2 2 3" xfId="40287" xr:uid="{00000000-0005-0000-0000-00000C010000}"/>
    <cellStyle name="20% - Accent1 11 2 2 2 2 3" xfId="20871" xr:uid="{00000000-0005-0000-0000-00000D010000}"/>
    <cellStyle name="20% - Accent1 11 2 2 2 2 3 2" xfId="46745" xr:uid="{00000000-0005-0000-0000-00000E010000}"/>
    <cellStyle name="20% - Accent1 11 2 2 2 2 4" xfId="33829" xr:uid="{00000000-0005-0000-0000-00000F010000}"/>
    <cellStyle name="20% - Accent1 11 2 2 2 3" xfId="11184" xr:uid="{00000000-0005-0000-0000-000010010000}"/>
    <cellStyle name="20% - Accent1 11 2 2 2 3 2" xfId="24101" xr:uid="{00000000-0005-0000-0000-000011010000}"/>
    <cellStyle name="20% - Accent1 11 2 2 2 3 2 2" xfId="49975" xr:uid="{00000000-0005-0000-0000-000012010000}"/>
    <cellStyle name="20% - Accent1 11 2 2 2 3 3" xfId="37059" xr:uid="{00000000-0005-0000-0000-000013010000}"/>
    <cellStyle name="20% - Accent1 11 2 2 2 4" xfId="17643" xr:uid="{00000000-0005-0000-0000-000014010000}"/>
    <cellStyle name="20% - Accent1 11 2 2 2 4 2" xfId="43517" xr:uid="{00000000-0005-0000-0000-000015010000}"/>
    <cellStyle name="20% - Accent1 11 2 2 2 5" xfId="30569" xr:uid="{00000000-0005-0000-0000-000016010000}"/>
    <cellStyle name="20% - Accent1 11 2 2 3" xfId="6339" xr:uid="{00000000-0005-0000-0000-000017010000}"/>
    <cellStyle name="20% - Accent1 11 2 2 3 2" xfId="12798" xr:uid="{00000000-0005-0000-0000-000018010000}"/>
    <cellStyle name="20% - Accent1 11 2 2 3 2 2" xfId="25715" xr:uid="{00000000-0005-0000-0000-000019010000}"/>
    <cellStyle name="20% - Accent1 11 2 2 3 2 2 2" xfId="51589" xr:uid="{00000000-0005-0000-0000-00001A010000}"/>
    <cellStyle name="20% - Accent1 11 2 2 3 2 3" xfId="38673" xr:uid="{00000000-0005-0000-0000-00001B010000}"/>
    <cellStyle name="20% - Accent1 11 2 2 3 3" xfId="19257" xr:uid="{00000000-0005-0000-0000-00001C010000}"/>
    <cellStyle name="20% - Accent1 11 2 2 3 3 2" xfId="45131" xr:uid="{00000000-0005-0000-0000-00001D010000}"/>
    <cellStyle name="20% - Accent1 11 2 2 3 4" xfId="32215" xr:uid="{00000000-0005-0000-0000-00001E010000}"/>
    <cellStyle name="20% - Accent1 11 2 2 4" xfId="9570" xr:uid="{00000000-0005-0000-0000-00001F010000}"/>
    <cellStyle name="20% - Accent1 11 2 2 4 2" xfId="22487" xr:uid="{00000000-0005-0000-0000-000020010000}"/>
    <cellStyle name="20% - Accent1 11 2 2 4 2 2" xfId="48361" xr:uid="{00000000-0005-0000-0000-000021010000}"/>
    <cellStyle name="20% - Accent1 11 2 2 4 3" xfId="35445" xr:uid="{00000000-0005-0000-0000-000022010000}"/>
    <cellStyle name="20% - Accent1 11 2 2 5" xfId="16029" xr:uid="{00000000-0005-0000-0000-000023010000}"/>
    <cellStyle name="20% - Accent1 11 2 2 5 2" xfId="41903" xr:uid="{00000000-0005-0000-0000-000024010000}"/>
    <cellStyle name="20% - Accent1 11 2 2 6" xfId="28955" xr:uid="{00000000-0005-0000-0000-000025010000}"/>
    <cellStyle name="20% - Accent1 11 2 3" xfId="3892" xr:uid="{00000000-0005-0000-0000-000026010000}"/>
    <cellStyle name="20% - Accent1 11 2 3 2" xfId="7146" xr:uid="{00000000-0005-0000-0000-000027010000}"/>
    <cellStyle name="20% - Accent1 11 2 3 2 2" xfId="13605" xr:uid="{00000000-0005-0000-0000-000028010000}"/>
    <cellStyle name="20% - Accent1 11 2 3 2 2 2" xfId="26522" xr:uid="{00000000-0005-0000-0000-000029010000}"/>
    <cellStyle name="20% - Accent1 11 2 3 2 2 2 2" xfId="52396" xr:uid="{00000000-0005-0000-0000-00002A010000}"/>
    <cellStyle name="20% - Accent1 11 2 3 2 2 3" xfId="39480" xr:uid="{00000000-0005-0000-0000-00002B010000}"/>
    <cellStyle name="20% - Accent1 11 2 3 2 3" xfId="20064" xr:uid="{00000000-0005-0000-0000-00002C010000}"/>
    <cellStyle name="20% - Accent1 11 2 3 2 3 2" xfId="45938" xr:uid="{00000000-0005-0000-0000-00002D010000}"/>
    <cellStyle name="20% - Accent1 11 2 3 2 4" xfId="33022" xr:uid="{00000000-0005-0000-0000-00002E010000}"/>
    <cellStyle name="20% - Accent1 11 2 3 3" xfId="10377" xr:uid="{00000000-0005-0000-0000-00002F010000}"/>
    <cellStyle name="20% - Accent1 11 2 3 3 2" xfId="23294" xr:uid="{00000000-0005-0000-0000-000030010000}"/>
    <cellStyle name="20% - Accent1 11 2 3 3 2 2" xfId="49168" xr:uid="{00000000-0005-0000-0000-000031010000}"/>
    <cellStyle name="20% - Accent1 11 2 3 3 3" xfId="36252" xr:uid="{00000000-0005-0000-0000-000032010000}"/>
    <cellStyle name="20% - Accent1 11 2 3 4" xfId="16836" xr:uid="{00000000-0005-0000-0000-000033010000}"/>
    <cellStyle name="20% - Accent1 11 2 3 4 2" xfId="42710" xr:uid="{00000000-0005-0000-0000-000034010000}"/>
    <cellStyle name="20% - Accent1 11 2 3 5" xfId="29762" xr:uid="{00000000-0005-0000-0000-000035010000}"/>
    <cellStyle name="20% - Accent1 11 2 4" xfId="5532" xr:uid="{00000000-0005-0000-0000-000036010000}"/>
    <cellStyle name="20% - Accent1 11 2 4 2" xfId="11991" xr:uid="{00000000-0005-0000-0000-000037010000}"/>
    <cellStyle name="20% - Accent1 11 2 4 2 2" xfId="24908" xr:uid="{00000000-0005-0000-0000-000038010000}"/>
    <cellStyle name="20% - Accent1 11 2 4 2 2 2" xfId="50782" xr:uid="{00000000-0005-0000-0000-000039010000}"/>
    <cellStyle name="20% - Accent1 11 2 4 2 3" xfId="37866" xr:uid="{00000000-0005-0000-0000-00003A010000}"/>
    <cellStyle name="20% - Accent1 11 2 4 3" xfId="18450" xr:uid="{00000000-0005-0000-0000-00003B010000}"/>
    <cellStyle name="20% - Accent1 11 2 4 3 2" xfId="44324" xr:uid="{00000000-0005-0000-0000-00003C010000}"/>
    <cellStyle name="20% - Accent1 11 2 4 4" xfId="31408" xr:uid="{00000000-0005-0000-0000-00003D010000}"/>
    <cellStyle name="20% - Accent1 11 2 5" xfId="8763" xr:uid="{00000000-0005-0000-0000-00003E010000}"/>
    <cellStyle name="20% - Accent1 11 2 5 2" xfId="21680" xr:uid="{00000000-0005-0000-0000-00003F010000}"/>
    <cellStyle name="20% - Accent1 11 2 5 2 2" xfId="47554" xr:uid="{00000000-0005-0000-0000-000040010000}"/>
    <cellStyle name="20% - Accent1 11 2 5 3" xfId="34638" xr:uid="{00000000-0005-0000-0000-000041010000}"/>
    <cellStyle name="20% - Accent1 11 2 6" xfId="15222" xr:uid="{00000000-0005-0000-0000-000042010000}"/>
    <cellStyle name="20% - Accent1 11 2 6 2" xfId="41096" xr:uid="{00000000-0005-0000-0000-000043010000}"/>
    <cellStyle name="20% - Accent1 11 2 7" xfId="28148" xr:uid="{00000000-0005-0000-0000-000044010000}"/>
    <cellStyle name="20% - Accent1 11 2 8" xfId="54010" xr:uid="{00000000-0005-0000-0000-000045010000}"/>
    <cellStyle name="20% - Accent1 11 3" xfId="2662" xr:uid="{00000000-0005-0000-0000-000046010000}"/>
    <cellStyle name="20% - Accent1 11 3 2" xfId="4319" xr:uid="{00000000-0005-0000-0000-000047010000}"/>
    <cellStyle name="20% - Accent1 11 3 2 2" xfId="7550" xr:uid="{00000000-0005-0000-0000-000048010000}"/>
    <cellStyle name="20% - Accent1 11 3 2 2 2" xfId="14009" xr:uid="{00000000-0005-0000-0000-000049010000}"/>
    <cellStyle name="20% - Accent1 11 3 2 2 2 2" xfId="26926" xr:uid="{00000000-0005-0000-0000-00004A010000}"/>
    <cellStyle name="20% - Accent1 11 3 2 2 2 2 2" xfId="52800" xr:uid="{00000000-0005-0000-0000-00004B010000}"/>
    <cellStyle name="20% - Accent1 11 3 2 2 2 3" xfId="39884" xr:uid="{00000000-0005-0000-0000-00004C010000}"/>
    <cellStyle name="20% - Accent1 11 3 2 2 3" xfId="20468" xr:uid="{00000000-0005-0000-0000-00004D010000}"/>
    <cellStyle name="20% - Accent1 11 3 2 2 3 2" xfId="46342" xr:uid="{00000000-0005-0000-0000-00004E010000}"/>
    <cellStyle name="20% - Accent1 11 3 2 2 4" xfId="33426" xr:uid="{00000000-0005-0000-0000-00004F010000}"/>
    <cellStyle name="20% - Accent1 11 3 2 3" xfId="10781" xr:uid="{00000000-0005-0000-0000-000050010000}"/>
    <cellStyle name="20% - Accent1 11 3 2 3 2" xfId="23698" xr:uid="{00000000-0005-0000-0000-000051010000}"/>
    <cellStyle name="20% - Accent1 11 3 2 3 2 2" xfId="49572" xr:uid="{00000000-0005-0000-0000-000052010000}"/>
    <cellStyle name="20% - Accent1 11 3 2 3 3" xfId="36656" xr:uid="{00000000-0005-0000-0000-000053010000}"/>
    <cellStyle name="20% - Accent1 11 3 2 4" xfId="17240" xr:uid="{00000000-0005-0000-0000-000054010000}"/>
    <cellStyle name="20% - Accent1 11 3 2 4 2" xfId="43114" xr:uid="{00000000-0005-0000-0000-000055010000}"/>
    <cellStyle name="20% - Accent1 11 3 2 5" xfId="30166" xr:uid="{00000000-0005-0000-0000-000056010000}"/>
    <cellStyle name="20% - Accent1 11 3 3" xfId="5936" xr:uid="{00000000-0005-0000-0000-000057010000}"/>
    <cellStyle name="20% - Accent1 11 3 3 2" xfId="12395" xr:uid="{00000000-0005-0000-0000-000058010000}"/>
    <cellStyle name="20% - Accent1 11 3 3 2 2" xfId="25312" xr:uid="{00000000-0005-0000-0000-000059010000}"/>
    <cellStyle name="20% - Accent1 11 3 3 2 2 2" xfId="51186" xr:uid="{00000000-0005-0000-0000-00005A010000}"/>
    <cellStyle name="20% - Accent1 11 3 3 2 3" xfId="38270" xr:uid="{00000000-0005-0000-0000-00005B010000}"/>
    <cellStyle name="20% - Accent1 11 3 3 3" xfId="18854" xr:uid="{00000000-0005-0000-0000-00005C010000}"/>
    <cellStyle name="20% - Accent1 11 3 3 3 2" xfId="44728" xr:uid="{00000000-0005-0000-0000-00005D010000}"/>
    <cellStyle name="20% - Accent1 11 3 3 4" xfId="31812" xr:uid="{00000000-0005-0000-0000-00005E010000}"/>
    <cellStyle name="20% - Accent1 11 3 4" xfId="9167" xr:uid="{00000000-0005-0000-0000-00005F010000}"/>
    <cellStyle name="20% - Accent1 11 3 4 2" xfId="22084" xr:uid="{00000000-0005-0000-0000-000060010000}"/>
    <cellStyle name="20% - Accent1 11 3 4 2 2" xfId="47958" xr:uid="{00000000-0005-0000-0000-000061010000}"/>
    <cellStyle name="20% - Accent1 11 3 4 3" xfId="35042" xr:uid="{00000000-0005-0000-0000-000062010000}"/>
    <cellStyle name="20% - Accent1 11 3 5" xfId="15626" xr:uid="{00000000-0005-0000-0000-000063010000}"/>
    <cellStyle name="20% - Accent1 11 3 5 2" xfId="41500" xr:uid="{00000000-0005-0000-0000-000064010000}"/>
    <cellStyle name="20% - Accent1 11 3 6" xfId="28552" xr:uid="{00000000-0005-0000-0000-000065010000}"/>
    <cellStyle name="20% - Accent1 11 4" xfId="3489" xr:uid="{00000000-0005-0000-0000-000066010000}"/>
    <cellStyle name="20% - Accent1 11 4 2" xfId="6743" xr:uid="{00000000-0005-0000-0000-000067010000}"/>
    <cellStyle name="20% - Accent1 11 4 2 2" xfId="13202" xr:uid="{00000000-0005-0000-0000-000068010000}"/>
    <cellStyle name="20% - Accent1 11 4 2 2 2" xfId="26119" xr:uid="{00000000-0005-0000-0000-000069010000}"/>
    <cellStyle name="20% - Accent1 11 4 2 2 2 2" xfId="51993" xr:uid="{00000000-0005-0000-0000-00006A010000}"/>
    <cellStyle name="20% - Accent1 11 4 2 2 3" xfId="39077" xr:uid="{00000000-0005-0000-0000-00006B010000}"/>
    <cellStyle name="20% - Accent1 11 4 2 3" xfId="19661" xr:uid="{00000000-0005-0000-0000-00006C010000}"/>
    <cellStyle name="20% - Accent1 11 4 2 3 2" xfId="45535" xr:uid="{00000000-0005-0000-0000-00006D010000}"/>
    <cellStyle name="20% - Accent1 11 4 2 4" xfId="32619" xr:uid="{00000000-0005-0000-0000-00006E010000}"/>
    <cellStyle name="20% - Accent1 11 4 3" xfId="9974" xr:uid="{00000000-0005-0000-0000-00006F010000}"/>
    <cellStyle name="20% - Accent1 11 4 3 2" xfId="22891" xr:uid="{00000000-0005-0000-0000-000070010000}"/>
    <cellStyle name="20% - Accent1 11 4 3 2 2" xfId="48765" xr:uid="{00000000-0005-0000-0000-000071010000}"/>
    <cellStyle name="20% - Accent1 11 4 3 3" xfId="35849" xr:uid="{00000000-0005-0000-0000-000072010000}"/>
    <cellStyle name="20% - Accent1 11 4 4" xfId="16433" xr:uid="{00000000-0005-0000-0000-000073010000}"/>
    <cellStyle name="20% - Accent1 11 4 4 2" xfId="42307" xr:uid="{00000000-0005-0000-0000-000074010000}"/>
    <cellStyle name="20% - Accent1 11 4 5" xfId="29359" xr:uid="{00000000-0005-0000-0000-000075010000}"/>
    <cellStyle name="20% - Accent1 11 5" xfId="5129" xr:uid="{00000000-0005-0000-0000-000076010000}"/>
    <cellStyle name="20% - Accent1 11 5 2" xfId="11588" xr:uid="{00000000-0005-0000-0000-000077010000}"/>
    <cellStyle name="20% - Accent1 11 5 2 2" xfId="24505" xr:uid="{00000000-0005-0000-0000-000078010000}"/>
    <cellStyle name="20% - Accent1 11 5 2 2 2" xfId="50379" xr:uid="{00000000-0005-0000-0000-000079010000}"/>
    <cellStyle name="20% - Accent1 11 5 2 3" xfId="37463" xr:uid="{00000000-0005-0000-0000-00007A010000}"/>
    <cellStyle name="20% - Accent1 11 5 3" xfId="18047" xr:uid="{00000000-0005-0000-0000-00007B010000}"/>
    <cellStyle name="20% - Accent1 11 5 3 2" xfId="43921" xr:uid="{00000000-0005-0000-0000-00007C010000}"/>
    <cellStyle name="20% - Accent1 11 5 4" xfId="31005" xr:uid="{00000000-0005-0000-0000-00007D010000}"/>
    <cellStyle name="20% - Accent1 11 6" xfId="8359" xr:uid="{00000000-0005-0000-0000-00007E010000}"/>
    <cellStyle name="20% - Accent1 11 6 2" xfId="21276" xr:uid="{00000000-0005-0000-0000-00007F010000}"/>
    <cellStyle name="20% - Accent1 11 6 2 2" xfId="47150" xr:uid="{00000000-0005-0000-0000-000080010000}"/>
    <cellStyle name="20% - Accent1 11 6 3" xfId="34234" xr:uid="{00000000-0005-0000-0000-000081010000}"/>
    <cellStyle name="20% - Accent1 11 7" xfId="14818" xr:uid="{00000000-0005-0000-0000-000082010000}"/>
    <cellStyle name="20% - Accent1 11 7 2" xfId="40692" xr:uid="{00000000-0005-0000-0000-000083010000}"/>
    <cellStyle name="20% - Accent1 11 8" xfId="27744" xr:uid="{00000000-0005-0000-0000-000084010000}"/>
    <cellStyle name="20% - Accent1 11 9" xfId="53607" xr:uid="{00000000-0005-0000-0000-000085010000}"/>
    <cellStyle name="20% - Accent1 12" xfId="2038" xr:uid="{00000000-0005-0000-0000-000086010000}"/>
    <cellStyle name="20% - Accent1 12 2" xfId="2447" xr:uid="{00000000-0005-0000-0000-000087010000}"/>
    <cellStyle name="20% - Accent1 12 2 2" xfId="3260" xr:uid="{00000000-0005-0000-0000-000088010000}"/>
    <cellStyle name="20% - Accent1 12 2 2 2" xfId="4917" xr:uid="{00000000-0005-0000-0000-000089010000}"/>
    <cellStyle name="20% - Accent1 12 2 2 2 2" xfId="8148" xr:uid="{00000000-0005-0000-0000-00008A010000}"/>
    <cellStyle name="20% - Accent1 12 2 2 2 2 2" xfId="14607" xr:uid="{00000000-0005-0000-0000-00008B010000}"/>
    <cellStyle name="20% - Accent1 12 2 2 2 2 2 2" xfId="27524" xr:uid="{00000000-0005-0000-0000-00008C010000}"/>
    <cellStyle name="20% - Accent1 12 2 2 2 2 2 2 2" xfId="53398" xr:uid="{00000000-0005-0000-0000-00008D010000}"/>
    <cellStyle name="20% - Accent1 12 2 2 2 2 2 3" xfId="40482" xr:uid="{00000000-0005-0000-0000-00008E010000}"/>
    <cellStyle name="20% - Accent1 12 2 2 2 2 3" xfId="21066" xr:uid="{00000000-0005-0000-0000-00008F010000}"/>
    <cellStyle name="20% - Accent1 12 2 2 2 2 3 2" xfId="46940" xr:uid="{00000000-0005-0000-0000-000090010000}"/>
    <cellStyle name="20% - Accent1 12 2 2 2 2 4" xfId="34024" xr:uid="{00000000-0005-0000-0000-000091010000}"/>
    <cellStyle name="20% - Accent1 12 2 2 2 3" xfId="11379" xr:uid="{00000000-0005-0000-0000-000092010000}"/>
    <cellStyle name="20% - Accent1 12 2 2 2 3 2" xfId="24296" xr:uid="{00000000-0005-0000-0000-000093010000}"/>
    <cellStyle name="20% - Accent1 12 2 2 2 3 2 2" xfId="50170" xr:uid="{00000000-0005-0000-0000-000094010000}"/>
    <cellStyle name="20% - Accent1 12 2 2 2 3 3" xfId="37254" xr:uid="{00000000-0005-0000-0000-000095010000}"/>
    <cellStyle name="20% - Accent1 12 2 2 2 4" xfId="17838" xr:uid="{00000000-0005-0000-0000-000096010000}"/>
    <cellStyle name="20% - Accent1 12 2 2 2 4 2" xfId="43712" xr:uid="{00000000-0005-0000-0000-000097010000}"/>
    <cellStyle name="20% - Accent1 12 2 2 2 5" xfId="30764" xr:uid="{00000000-0005-0000-0000-000098010000}"/>
    <cellStyle name="20% - Accent1 12 2 2 3" xfId="6534" xr:uid="{00000000-0005-0000-0000-000099010000}"/>
    <cellStyle name="20% - Accent1 12 2 2 3 2" xfId="12993" xr:uid="{00000000-0005-0000-0000-00009A010000}"/>
    <cellStyle name="20% - Accent1 12 2 2 3 2 2" xfId="25910" xr:uid="{00000000-0005-0000-0000-00009B010000}"/>
    <cellStyle name="20% - Accent1 12 2 2 3 2 2 2" xfId="51784" xr:uid="{00000000-0005-0000-0000-00009C010000}"/>
    <cellStyle name="20% - Accent1 12 2 2 3 2 3" xfId="38868" xr:uid="{00000000-0005-0000-0000-00009D010000}"/>
    <cellStyle name="20% - Accent1 12 2 2 3 3" xfId="19452" xr:uid="{00000000-0005-0000-0000-00009E010000}"/>
    <cellStyle name="20% - Accent1 12 2 2 3 3 2" xfId="45326" xr:uid="{00000000-0005-0000-0000-00009F010000}"/>
    <cellStyle name="20% - Accent1 12 2 2 3 4" xfId="32410" xr:uid="{00000000-0005-0000-0000-0000A0010000}"/>
    <cellStyle name="20% - Accent1 12 2 2 4" xfId="9765" xr:uid="{00000000-0005-0000-0000-0000A1010000}"/>
    <cellStyle name="20% - Accent1 12 2 2 4 2" xfId="22682" xr:uid="{00000000-0005-0000-0000-0000A2010000}"/>
    <cellStyle name="20% - Accent1 12 2 2 4 2 2" xfId="48556" xr:uid="{00000000-0005-0000-0000-0000A3010000}"/>
    <cellStyle name="20% - Accent1 12 2 2 4 3" xfId="35640" xr:uid="{00000000-0005-0000-0000-0000A4010000}"/>
    <cellStyle name="20% - Accent1 12 2 2 5" xfId="16224" xr:uid="{00000000-0005-0000-0000-0000A5010000}"/>
    <cellStyle name="20% - Accent1 12 2 2 5 2" xfId="42098" xr:uid="{00000000-0005-0000-0000-0000A6010000}"/>
    <cellStyle name="20% - Accent1 12 2 2 6" xfId="29150" xr:uid="{00000000-0005-0000-0000-0000A7010000}"/>
    <cellStyle name="20% - Accent1 12 2 3" xfId="4087" xr:uid="{00000000-0005-0000-0000-0000A8010000}"/>
    <cellStyle name="20% - Accent1 12 2 3 2" xfId="7341" xr:uid="{00000000-0005-0000-0000-0000A9010000}"/>
    <cellStyle name="20% - Accent1 12 2 3 2 2" xfId="13800" xr:uid="{00000000-0005-0000-0000-0000AA010000}"/>
    <cellStyle name="20% - Accent1 12 2 3 2 2 2" xfId="26717" xr:uid="{00000000-0005-0000-0000-0000AB010000}"/>
    <cellStyle name="20% - Accent1 12 2 3 2 2 2 2" xfId="52591" xr:uid="{00000000-0005-0000-0000-0000AC010000}"/>
    <cellStyle name="20% - Accent1 12 2 3 2 2 3" xfId="39675" xr:uid="{00000000-0005-0000-0000-0000AD010000}"/>
    <cellStyle name="20% - Accent1 12 2 3 2 3" xfId="20259" xr:uid="{00000000-0005-0000-0000-0000AE010000}"/>
    <cellStyle name="20% - Accent1 12 2 3 2 3 2" xfId="46133" xr:uid="{00000000-0005-0000-0000-0000AF010000}"/>
    <cellStyle name="20% - Accent1 12 2 3 2 4" xfId="33217" xr:uid="{00000000-0005-0000-0000-0000B0010000}"/>
    <cellStyle name="20% - Accent1 12 2 3 3" xfId="10572" xr:uid="{00000000-0005-0000-0000-0000B1010000}"/>
    <cellStyle name="20% - Accent1 12 2 3 3 2" xfId="23489" xr:uid="{00000000-0005-0000-0000-0000B2010000}"/>
    <cellStyle name="20% - Accent1 12 2 3 3 2 2" xfId="49363" xr:uid="{00000000-0005-0000-0000-0000B3010000}"/>
    <cellStyle name="20% - Accent1 12 2 3 3 3" xfId="36447" xr:uid="{00000000-0005-0000-0000-0000B4010000}"/>
    <cellStyle name="20% - Accent1 12 2 3 4" xfId="17031" xr:uid="{00000000-0005-0000-0000-0000B5010000}"/>
    <cellStyle name="20% - Accent1 12 2 3 4 2" xfId="42905" xr:uid="{00000000-0005-0000-0000-0000B6010000}"/>
    <cellStyle name="20% - Accent1 12 2 3 5" xfId="29957" xr:uid="{00000000-0005-0000-0000-0000B7010000}"/>
    <cellStyle name="20% - Accent1 12 2 4" xfId="5727" xr:uid="{00000000-0005-0000-0000-0000B8010000}"/>
    <cellStyle name="20% - Accent1 12 2 4 2" xfId="12186" xr:uid="{00000000-0005-0000-0000-0000B9010000}"/>
    <cellStyle name="20% - Accent1 12 2 4 2 2" xfId="25103" xr:uid="{00000000-0005-0000-0000-0000BA010000}"/>
    <cellStyle name="20% - Accent1 12 2 4 2 2 2" xfId="50977" xr:uid="{00000000-0005-0000-0000-0000BB010000}"/>
    <cellStyle name="20% - Accent1 12 2 4 2 3" xfId="38061" xr:uid="{00000000-0005-0000-0000-0000BC010000}"/>
    <cellStyle name="20% - Accent1 12 2 4 3" xfId="18645" xr:uid="{00000000-0005-0000-0000-0000BD010000}"/>
    <cellStyle name="20% - Accent1 12 2 4 3 2" xfId="44519" xr:uid="{00000000-0005-0000-0000-0000BE010000}"/>
    <cellStyle name="20% - Accent1 12 2 4 4" xfId="31603" xr:uid="{00000000-0005-0000-0000-0000BF010000}"/>
    <cellStyle name="20% - Accent1 12 2 5" xfId="8958" xr:uid="{00000000-0005-0000-0000-0000C0010000}"/>
    <cellStyle name="20% - Accent1 12 2 5 2" xfId="21875" xr:uid="{00000000-0005-0000-0000-0000C1010000}"/>
    <cellStyle name="20% - Accent1 12 2 5 2 2" xfId="47749" xr:uid="{00000000-0005-0000-0000-0000C2010000}"/>
    <cellStyle name="20% - Accent1 12 2 5 3" xfId="34833" xr:uid="{00000000-0005-0000-0000-0000C3010000}"/>
    <cellStyle name="20% - Accent1 12 2 6" xfId="15417" xr:uid="{00000000-0005-0000-0000-0000C4010000}"/>
    <cellStyle name="20% - Accent1 12 2 6 2" xfId="41291" xr:uid="{00000000-0005-0000-0000-0000C5010000}"/>
    <cellStyle name="20% - Accent1 12 2 7" xfId="28343" xr:uid="{00000000-0005-0000-0000-0000C6010000}"/>
    <cellStyle name="20% - Accent1 12 2 8" xfId="54205" xr:uid="{00000000-0005-0000-0000-0000C7010000}"/>
    <cellStyle name="20% - Accent1 12 3" xfId="2856" xr:uid="{00000000-0005-0000-0000-0000C8010000}"/>
    <cellStyle name="20% - Accent1 12 3 2" xfId="4513" xr:uid="{00000000-0005-0000-0000-0000C9010000}"/>
    <cellStyle name="20% - Accent1 12 3 2 2" xfId="7744" xr:uid="{00000000-0005-0000-0000-0000CA010000}"/>
    <cellStyle name="20% - Accent1 12 3 2 2 2" xfId="14203" xr:uid="{00000000-0005-0000-0000-0000CB010000}"/>
    <cellStyle name="20% - Accent1 12 3 2 2 2 2" xfId="27120" xr:uid="{00000000-0005-0000-0000-0000CC010000}"/>
    <cellStyle name="20% - Accent1 12 3 2 2 2 2 2" xfId="52994" xr:uid="{00000000-0005-0000-0000-0000CD010000}"/>
    <cellStyle name="20% - Accent1 12 3 2 2 2 3" xfId="40078" xr:uid="{00000000-0005-0000-0000-0000CE010000}"/>
    <cellStyle name="20% - Accent1 12 3 2 2 3" xfId="20662" xr:uid="{00000000-0005-0000-0000-0000CF010000}"/>
    <cellStyle name="20% - Accent1 12 3 2 2 3 2" xfId="46536" xr:uid="{00000000-0005-0000-0000-0000D0010000}"/>
    <cellStyle name="20% - Accent1 12 3 2 2 4" xfId="33620" xr:uid="{00000000-0005-0000-0000-0000D1010000}"/>
    <cellStyle name="20% - Accent1 12 3 2 3" xfId="10975" xr:uid="{00000000-0005-0000-0000-0000D2010000}"/>
    <cellStyle name="20% - Accent1 12 3 2 3 2" xfId="23892" xr:uid="{00000000-0005-0000-0000-0000D3010000}"/>
    <cellStyle name="20% - Accent1 12 3 2 3 2 2" xfId="49766" xr:uid="{00000000-0005-0000-0000-0000D4010000}"/>
    <cellStyle name="20% - Accent1 12 3 2 3 3" xfId="36850" xr:uid="{00000000-0005-0000-0000-0000D5010000}"/>
    <cellStyle name="20% - Accent1 12 3 2 4" xfId="17434" xr:uid="{00000000-0005-0000-0000-0000D6010000}"/>
    <cellStyle name="20% - Accent1 12 3 2 4 2" xfId="43308" xr:uid="{00000000-0005-0000-0000-0000D7010000}"/>
    <cellStyle name="20% - Accent1 12 3 2 5" xfId="30360" xr:uid="{00000000-0005-0000-0000-0000D8010000}"/>
    <cellStyle name="20% - Accent1 12 3 3" xfId="6130" xr:uid="{00000000-0005-0000-0000-0000D9010000}"/>
    <cellStyle name="20% - Accent1 12 3 3 2" xfId="12589" xr:uid="{00000000-0005-0000-0000-0000DA010000}"/>
    <cellStyle name="20% - Accent1 12 3 3 2 2" xfId="25506" xr:uid="{00000000-0005-0000-0000-0000DB010000}"/>
    <cellStyle name="20% - Accent1 12 3 3 2 2 2" xfId="51380" xr:uid="{00000000-0005-0000-0000-0000DC010000}"/>
    <cellStyle name="20% - Accent1 12 3 3 2 3" xfId="38464" xr:uid="{00000000-0005-0000-0000-0000DD010000}"/>
    <cellStyle name="20% - Accent1 12 3 3 3" xfId="19048" xr:uid="{00000000-0005-0000-0000-0000DE010000}"/>
    <cellStyle name="20% - Accent1 12 3 3 3 2" xfId="44922" xr:uid="{00000000-0005-0000-0000-0000DF010000}"/>
    <cellStyle name="20% - Accent1 12 3 3 4" xfId="32006" xr:uid="{00000000-0005-0000-0000-0000E0010000}"/>
    <cellStyle name="20% - Accent1 12 3 4" xfId="9361" xr:uid="{00000000-0005-0000-0000-0000E1010000}"/>
    <cellStyle name="20% - Accent1 12 3 4 2" xfId="22278" xr:uid="{00000000-0005-0000-0000-0000E2010000}"/>
    <cellStyle name="20% - Accent1 12 3 4 2 2" xfId="48152" xr:uid="{00000000-0005-0000-0000-0000E3010000}"/>
    <cellStyle name="20% - Accent1 12 3 4 3" xfId="35236" xr:uid="{00000000-0005-0000-0000-0000E4010000}"/>
    <cellStyle name="20% - Accent1 12 3 5" xfId="15820" xr:uid="{00000000-0005-0000-0000-0000E5010000}"/>
    <cellStyle name="20% - Accent1 12 3 5 2" xfId="41694" xr:uid="{00000000-0005-0000-0000-0000E6010000}"/>
    <cellStyle name="20% - Accent1 12 3 6" xfId="28746" xr:uid="{00000000-0005-0000-0000-0000E7010000}"/>
    <cellStyle name="20% - Accent1 12 4" xfId="3683" xr:uid="{00000000-0005-0000-0000-0000E8010000}"/>
    <cellStyle name="20% - Accent1 12 4 2" xfId="6937" xr:uid="{00000000-0005-0000-0000-0000E9010000}"/>
    <cellStyle name="20% - Accent1 12 4 2 2" xfId="13396" xr:uid="{00000000-0005-0000-0000-0000EA010000}"/>
    <cellStyle name="20% - Accent1 12 4 2 2 2" xfId="26313" xr:uid="{00000000-0005-0000-0000-0000EB010000}"/>
    <cellStyle name="20% - Accent1 12 4 2 2 2 2" xfId="52187" xr:uid="{00000000-0005-0000-0000-0000EC010000}"/>
    <cellStyle name="20% - Accent1 12 4 2 2 3" xfId="39271" xr:uid="{00000000-0005-0000-0000-0000ED010000}"/>
    <cellStyle name="20% - Accent1 12 4 2 3" xfId="19855" xr:uid="{00000000-0005-0000-0000-0000EE010000}"/>
    <cellStyle name="20% - Accent1 12 4 2 3 2" xfId="45729" xr:uid="{00000000-0005-0000-0000-0000EF010000}"/>
    <cellStyle name="20% - Accent1 12 4 2 4" xfId="32813" xr:uid="{00000000-0005-0000-0000-0000F0010000}"/>
    <cellStyle name="20% - Accent1 12 4 3" xfId="10168" xr:uid="{00000000-0005-0000-0000-0000F1010000}"/>
    <cellStyle name="20% - Accent1 12 4 3 2" xfId="23085" xr:uid="{00000000-0005-0000-0000-0000F2010000}"/>
    <cellStyle name="20% - Accent1 12 4 3 2 2" xfId="48959" xr:uid="{00000000-0005-0000-0000-0000F3010000}"/>
    <cellStyle name="20% - Accent1 12 4 3 3" xfId="36043" xr:uid="{00000000-0005-0000-0000-0000F4010000}"/>
    <cellStyle name="20% - Accent1 12 4 4" xfId="16627" xr:uid="{00000000-0005-0000-0000-0000F5010000}"/>
    <cellStyle name="20% - Accent1 12 4 4 2" xfId="42501" xr:uid="{00000000-0005-0000-0000-0000F6010000}"/>
    <cellStyle name="20% - Accent1 12 4 5" xfId="29553" xr:uid="{00000000-0005-0000-0000-0000F7010000}"/>
    <cellStyle name="20% - Accent1 12 5" xfId="5323" xr:uid="{00000000-0005-0000-0000-0000F8010000}"/>
    <cellStyle name="20% - Accent1 12 5 2" xfId="11782" xr:uid="{00000000-0005-0000-0000-0000F9010000}"/>
    <cellStyle name="20% - Accent1 12 5 2 2" xfId="24699" xr:uid="{00000000-0005-0000-0000-0000FA010000}"/>
    <cellStyle name="20% - Accent1 12 5 2 2 2" xfId="50573" xr:uid="{00000000-0005-0000-0000-0000FB010000}"/>
    <cellStyle name="20% - Accent1 12 5 2 3" xfId="37657" xr:uid="{00000000-0005-0000-0000-0000FC010000}"/>
    <cellStyle name="20% - Accent1 12 5 3" xfId="18241" xr:uid="{00000000-0005-0000-0000-0000FD010000}"/>
    <cellStyle name="20% - Accent1 12 5 3 2" xfId="44115" xr:uid="{00000000-0005-0000-0000-0000FE010000}"/>
    <cellStyle name="20% - Accent1 12 5 4" xfId="31199" xr:uid="{00000000-0005-0000-0000-0000FF010000}"/>
    <cellStyle name="20% - Accent1 12 6" xfId="8554" xr:uid="{00000000-0005-0000-0000-000000020000}"/>
    <cellStyle name="20% - Accent1 12 6 2" xfId="21471" xr:uid="{00000000-0005-0000-0000-000001020000}"/>
    <cellStyle name="20% - Accent1 12 6 2 2" xfId="47345" xr:uid="{00000000-0005-0000-0000-000002020000}"/>
    <cellStyle name="20% - Accent1 12 6 3" xfId="34429" xr:uid="{00000000-0005-0000-0000-000003020000}"/>
    <cellStyle name="20% - Accent1 12 7" xfId="15013" xr:uid="{00000000-0005-0000-0000-000004020000}"/>
    <cellStyle name="20% - Accent1 12 7 2" xfId="40887" xr:uid="{00000000-0005-0000-0000-000005020000}"/>
    <cellStyle name="20% - Accent1 12 8" xfId="27939" xr:uid="{00000000-0005-0000-0000-000006020000}"/>
    <cellStyle name="20% - Accent1 12 9" xfId="53801" xr:uid="{00000000-0005-0000-0000-000007020000}"/>
    <cellStyle name="20% - Accent1 13" xfId="2052" xr:uid="{00000000-0005-0000-0000-000008020000}"/>
    <cellStyle name="20% - Accent1 13 2" xfId="2870" xr:uid="{00000000-0005-0000-0000-000009020000}"/>
    <cellStyle name="20% - Accent1 13 2 2" xfId="4527" xr:uid="{00000000-0005-0000-0000-00000A020000}"/>
    <cellStyle name="20% - Accent1 13 2 2 2" xfId="7758" xr:uid="{00000000-0005-0000-0000-00000B020000}"/>
    <cellStyle name="20% - Accent1 13 2 2 2 2" xfId="14217" xr:uid="{00000000-0005-0000-0000-00000C020000}"/>
    <cellStyle name="20% - Accent1 13 2 2 2 2 2" xfId="27134" xr:uid="{00000000-0005-0000-0000-00000D020000}"/>
    <cellStyle name="20% - Accent1 13 2 2 2 2 2 2" xfId="53008" xr:uid="{00000000-0005-0000-0000-00000E020000}"/>
    <cellStyle name="20% - Accent1 13 2 2 2 2 3" xfId="40092" xr:uid="{00000000-0005-0000-0000-00000F020000}"/>
    <cellStyle name="20% - Accent1 13 2 2 2 3" xfId="20676" xr:uid="{00000000-0005-0000-0000-000010020000}"/>
    <cellStyle name="20% - Accent1 13 2 2 2 3 2" xfId="46550" xr:uid="{00000000-0005-0000-0000-000011020000}"/>
    <cellStyle name="20% - Accent1 13 2 2 2 4" xfId="33634" xr:uid="{00000000-0005-0000-0000-000012020000}"/>
    <cellStyle name="20% - Accent1 13 2 2 3" xfId="10989" xr:uid="{00000000-0005-0000-0000-000013020000}"/>
    <cellStyle name="20% - Accent1 13 2 2 3 2" xfId="23906" xr:uid="{00000000-0005-0000-0000-000014020000}"/>
    <cellStyle name="20% - Accent1 13 2 2 3 2 2" xfId="49780" xr:uid="{00000000-0005-0000-0000-000015020000}"/>
    <cellStyle name="20% - Accent1 13 2 2 3 3" xfId="36864" xr:uid="{00000000-0005-0000-0000-000016020000}"/>
    <cellStyle name="20% - Accent1 13 2 2 4" xfId="17448" xr:uid="{00000000-0005-0000-0000-000017020000}"/>
    <cellStyle name="20% - Accent1 13 2 2 4 2" xfId="43322" xr:uid="{00000000-0005-0000-0000-000018020000}"/>
    <cellStyle name="20% - Accent1 13 2 2 5" xfId="30374" xr:uid="{00000000-0005-0000-0000-000019020000}"/>
    <cellStyle name="20% - Accent1 13 2 3" xfId="6144" xr:uid="{00000000-0005-0000-0000-00001A020000}"/>
    <cellStyle name="20% - Accent1 13 2 3 2" xfId="12603" xr:uid="{00000000-0005-0000-0000-00001B020000}"/>
    <cellStyle name="20% - Accent1 13 2 3 2 2" xfId="25520" xr:uid="{00000000-0005-0000-0000-00001C020000}"/>
    <cellStyle name="20% - Accent1 13 2 3 2 2 2" xfId="51394" xr:uid="{00000000-0005-0000-0000-00001D020000}"/>
    <cellStyle name="20% - Accent1 13 2 3 2 3" xfId="38478" xr:uid="{00000000-0005-0000-0000-00001E020000}"/>
    <cellStyle name="20% - Accent1 13 2 3 3" xfId="19062" xr:uid="{00000000-0005-0000-0000-00001F020000}"/>
    <cellStyle name="20% - Accent1 13 2 3 3 2" xfId="44936" xr:uid="{00000000-0005-0000-0000-000020020000}"/>
    <cellStyle name="20% - Accent1 13 2 3 4" xfId="32020" xr:uid="{00000000-0005-0000-0000-000021020000}"/>
    <cellStyle name="20% - Accent1 13 2 4" xfId="9375" xr:uid="{00000000-0005-0000-0000-000022020000}"/>
    <cellStyle name="20% - Accent1 13 2 4 2" xfId="22292" xr:uid="{00000000-0005-0000-0000-000023020000}"/>
    <cellStyle name="20% - Accent1 13 2 4 2 2" xfId="48166" xr:uid="{00000000-0005-0000-0000-000024020000}"/>
    <cellStyle name="20% - Accent1 13 2 4 3" xfId="35250" xr:uid="{00000000-0005-0000-0000-000025020000}"/>
    <cellStyle name="20% - Accent1 13 2 5" xfId="15834" xr:uid="{00000000-0005-0000-0000-000026020000}"/>
    <cellStyle name="20% - Accent1 13 2 5 2" xfId="41708" xr:uid="{00000000-0005-0000-0000-000027020000}"/>
    <cellStyle name="20% - Accent1 13 2 6" xfId="28760" xr:uid="{00000000-0005-0000-0000-000028020000}"/>
    <cellStyle name="20% - Accent1 13 3" xfId="3697" xr:uid="{00000000-0005-0000-0000-000029020000}"/>
    <cellStyle name="20% - Accent1 13 3 2" xfId="6951" xr:uid="{00000000-0005-0000-0000-00002A020000}"/>
    <cellStyle name="20% - Accent1 13 3 2 2" xfId="13410" xr:uid="{00000000-0005-0000-0000-00002B020000}"/>
    <cellStyle name="20% - Accent1 13 3 2 2 2" xfId="26327" xr:uid="{00000000-0005-0000-0000-00002C020000}"/>
    <cellStyle name="20% - Accent1 13 3 2 2 2 2" xfId="52201" xr:uid="{00000000-0005-0000-0000-00002D020000}"/>
    <cellStyle name="20% - Accent1 13 3 2 2 3" xfId="39285" xr:uid="{00000000-0005-0000-0000-00002E020000}"/>
    <cellStyle name="20% - Accent1 13 3 2 3" xfId="19869" xr:uid="{00000000-0005-0000-0000-00002F020000}"/>
    <cellStyle name="20% - Accent1 13 3 2 3 2" xfId="45743" xr:uid="{00000000-0005-0000-0000-000030020000}"/>
    <cellStyle name="20% - Accent1 13 3 2 4" xfId="32827" xr:uid="{00000000-0005-0000-0000-000031020000}"/>
    <cellStyle name="20% - Accent1 13 3 3" xfId="10182" xr:uid="{00000000-0005-0000-0000-000032020000}"/>
    <cellStyle name="20% - Accent1 13 3 3 2" xfId="23099" xr:uid="{00000000-0005-0000-0000-000033020000}"/>
    <cellStyle name="20% - Accent1 13 3 3 2 2" xfId="48973" xr:uid="{00000000-0005-0000-0000-000034020000}"/>
    <cellStyle name="20% - Accent1 13 3 3 3" xfId="36057" xr:uid="{00000000-0005-0000-0000-000035020000}"/>
    <cellStyle name="20% - Accent1 13 3 4" xfId="16641" xr:uid="{00000000-0005-0000-0000-000036020000}"/>
    <cellStyle name="20% - Accent1 13 3 4 2" xfId="42515" xr:uid="{00000000-0005-0000-0000-000037020000}"/>
    <cellStyle name="20% - Accent1 13 3 5" xfId="29567" xr:uid="{00000000-0005-0000-0000-000038020000}"/>
    <cellStyle name="20% - Accent1 13 4" xfId="5337" xr:uid="{00000000-0005-0000-0000-000039020000}"/>
    <cellStyle name="20% - Accent1 13 4 2" xfId="11796" xr:uid="{00000000-0005-0000-0000-00003A020000}"/>
    <cellStyle name="20% - Accent1 13 4 2 2" xfId="24713" xr:uid="{00000000-0005-0000-0000-00003B020000}"/>
    <cellStyle name="20% - Accent1 13 4 2 2 2" xfId="50587" xr:uid="{00000000-0005-0000-0000-00003C020000}"/>
    <cellStyle name="20% - Accent1 13 4 2 3" xfId="37671" xr:uid="{00000000-0005-0000-0000-00003D020000}"/>
    <cellStyle name="20% - Accent1 13 4 3" xfId="18255" xr:uid="{00000000-0005-0000-0000-00003E020000}"/>
    <cellStyle name="20% - Accent1 13 4 3 2" xfId="44129" xr:uid="{00000000-0005-0000-0000-00003F020000}"/>
    <cellStyle name="20% - Accent1 13 4 4" xfId="31213" xr:uid="{00000000-0005-0000-0000-000040020000}"/>
    <cellStyle name="20% - Accent1 13 5" xfId="8568" xr:uid="{00000000-0005-0000-0000-000041020000}"/>
    <cellStyle name="20% - Accent1 13 5 2" xfId="21485" xr:uid="{00000000-0005-0000-0000-000042020000}"/>
    <cellStyle name="20% - Accent1 13 5 2 2" xfId="47359" xr:uid="{00000000-0005-0000-0000-000043020000}"/>
    <cellStyle name="20% - Accent1 13 5 3" xfId="34443" xr:uid="{00000000-0005-0000-0000-000044020000}"/>
    <cellStyle name="20% - Accent1 13 6" xfId="15027" xr:uid="{00000000-0005-0000-0000-000045020000}"/>
    <cellStyle name="20% - Accent1 13 6 2" xfId="40901" xr:uid="{00000000-0005-0000-0000-000046020000}"/>
    <cellStyle name="20% - Accent1 13 7" xfId="27953" xr:uid="{00000000-0005-0000-0000-000047020000}"/>
    <cellStyle name="20% - Accent1 13 8" xfId="53815" xr:uid="{00000000-0005-0000-0000-000048020000}"/>
    <cellStyle name="20% - Accent1 14" xfId="2467" xr:uid="{00000000-0005-0000-0000-000049020000}"/>
    <cellStyle name="20% - Accent1 14 2" xfId="4124" xr:uid="{00000000-0005-0000-0000-00004A020000}"/>
    <cellStyle name="20% - Accent1 14 2 2" xfId="7355" xr:uid="{00000000-0005-0000-0000-00004B020000}"/>
    <cellStyle name="20% - Accent1 14 2 2 2" xfId="13814" xr:uid="{00000000-0005-0000-0000-00004C020000}"/>
    <cellStyle name="20% - Accent1 14 2 2 2 2" xfId="26731" xr:uid="{00000000-0005-0000-0000-00004D020000}"/>
    <cellStyle name="20% - Accent1 14 2 2 2 2 2" xfId="52605" xr:uid="{00000000-0005-0000-0000-00004E020000}"/>
    <cellStyle name="20% - Accent1 14 2 2 2 3" xfId="39689" xr:uid="{00000000-0005-0000-0000-00004F020000}"/>
    <cellStyle name="20% - Accent1 14 2 2 3" xfId="20273" xr:uid="{00000000-0005-0000-0000-000050020000}"/>
    <cellStyle name="20% - Accent1 14 2 2 3 2" xfId="46147" xr:uid="{00000000-0005-0000-0000-000051020000}"/>
    <cellStyle name="20% - Accent1 14 2 2 4" xfId="33231" xr:uid="{00000000-0005-0000-0000-000052020000}"/>
    <cellStyle name="20% - Accent1 14 2 3" xfId="10586" xr:uid="{00000000-0005-0000-0000-000053020000}"/>
    <cellStyle name="20% - Accent1 14 2 3 2" xfId="23503" xr:uid="{00000000-0005-0000-0000-000054020000}"/>
    <cellStyle name="20% - Accent1 14 2 3 2 2" xfId="49377" xr:uid="{00000000-0005-0000-0000-000055020000}"/>
    <cellStyle name="20% - Accent1 14 2 3 3" xfId="36461" xr:uid="{00000000-0005-0000-0000-000056020000}"/>
    <cellStyle name="20% - Accent1 14 2 4" xfId="17045" xr:uid="{00000000-0005-0000-0000-000057020000}"/>
    <cellStyle name="20% - Accent1 14 2 4 2" xfId="42919" xr:uid="{00000000-0005-0000-0000-000058020000}"/>
    <cellStyle name="20% - Accent1 14 2 5" xfId="29971" xr:uid="{00000000-0005-0000-0000-000059020000}"/>
    <cellStyle name="20% - Accent1 14 3" xfId="5741" xr:uid="{00000000-0005-0000-0000-00005A020000}"/>
    <cellStyle name="20% - Accent1 14 3 2" xfId="12200" xr:uid="{00000000-0005-0000-0000-00005B020000}"/>
    <cellStyle name="20% - Accent1 14 3 2 2" xfId="25117" xr:uid="{00000000-0005-0000-0000-00005C020000}"/>
    <cellStyle name="20% - Accent1 14 3 2 2 2" xfId="50991" xr:uid="{00000000-0005-0000-0000-00005D020000}"/>
    <cellStyle name="20% - Accent1 14 3 2 3" xfId="38075" xr:uid="{00000000-0005-0000-0000-00005E020000}"/>
    <cellStyle name="20% - Accent1 14 3 3" xfId="18659" xr:uid="{00000000-0005-0000-0000-00005F020000}"/>
    <cellStyle name="20% - Accent1 14 3 3 2" xfId="44533" xr:uid="{00000000-0005-0000-0000-000060020000}"/>
    <cellStyle name="20% - Accent1 14 3 4" xfId="31617" xr:uid="{00000000-0005-0000-0000-000061020000}"/>
    <cellStyle name="20% - Accent1 14 4" xfId="8972" xr:uid="{00000000-0005-0000-0000-000062020000}"/>
    <cellStyle name="20% - Accent1 14 4 2" xfId="21889" xr:uid="{00000000-0005-0000-0000-000063020000}"/>
    <cellStyle name="20% - Accent1 14 4 2 2" xfId="47763" xr:uid="{00000000-0005-0000-0000-000064020000}"/>
    <cellStyle name="20% - Accent1 14 4 3" xfId="34847" xr:uid="{00000000-0005-0000-0000-000065020000}"/>
    <cellStyle name="20% - Accent1 14 5" xfId="15431" xr:uid="{00000000-0005-0000-0000-000066020000}"/>
    <cellStyle name="20% - Accent1 14 5 2" xfId="41305" xr:uid="{00000000-0005-0000-0000-000067020000}"/>
    <cellStyle name="20% - Accent1 14 6" xfId="28357" xr:uid="{00000000-0005-0000-0000-000068020000}"/>
    <cellStyle name="20% - Accent1 15" xfId="3276" xr:uid="{00000000-0005-0000-0000-000069020000}"/>
    <cellStyle name="20% - Accent1 15 2" xfId="6548" xr:uid="{00000000-0005-0000-0000-00006A020000}"/>
    <cellStyle name="20% - Accent1 15 2 2" xfId="13007" xr:uid="{00000000-0005-0000-0000-00006B020000}"/>
    <cellStyle name="20% - Accent1 15 2 2 2" xfId="25924" xr:uid="{00000000-0005-0000-0000-00006C020000}"/>
    <cellStyle name="20% - Accent1 15 2 2 2 2" xfId="51798" xr:uid="{00000000-0005-0000-0000-00006D020000}"/>
    <cellStyle name="20% - Accent1 15 2 2 3" xfId="38882" xr:uid="{00000000-0005-0000-0000-00006E020000}"/>
    <cellStyle name="20% - Accent1 15 2 3" xfId="19466" xr:uid="{00000000-0005-0000-0000-00006F020000}"/>
    <cellStyle name="20% - Accent1 15 2 3 2" xfId="45340" xr:uid="{00000000-0005-0000-0000-000070020000}"/>
    <cellStyle name="20% - Accent1 15 2 4" xfId="32424" xr:uid="{00000000-0005-0000-0000-000071020000}"/>
    <cellStyle name="20% - Accent1 15 3" xfId="9779" xr:uid="{00000000-0005-0000-0000-000072020000}"/>
    <cellStyle name="20% - Accent1 15 3 2" xfId="22696" xr:uid="{00000000-0005-0000-0000-000073020000}"/>
    <cellStyle name="20% - Accent1 15 3 2 2" xfId="48570" xr:uid="{00000000-0005-0000-0000-000074020000}"/>
    <cellStyle name="20% - Accent1 15 3 3" xfId="35654" xr:uid="{00000000-0005-0000-0000-000075020000}"/>
    <cellStyle name="20% - Accent1 15 4" xfId="16238" xr:uid="{00000000-0005-0000-0000-000076020000}"/>
    <cellStyle name="20% - Accent1 15 4 2" xfId="42112" xr:uid="{00000000-0005-0000-0000-000077020000}"/>
    <cellStyle name="20% - Accent1 15 5" xfId="29164" xr:uid="{00000000-0005-0000-0000-000078020000}"/>
    <cellStyle name="20% - Accent1 16" xfId="4934" xr:uid="{00000000-0005-0000-0000-000079020000}"/>
    <cellStyle name="20% - Accent1 16 2" xfId="11393" xr:uid="{00000000-0005-0000-0000-00007A020000}"/>
    <cellStyle name="20% - Accent1 16 2 2" xfId="24310" xr:uid="{00000000-0005-0000-0000-00007B020000}"/>
    <cellStyle name="20% - Accent1 16 2 2 2" xfId="50184" xr:uid="{00000000-0005-0000-0000-00007C020000}"/>
    <cellStyle name="20% - Accent1 16 2 3" xfId="37268" xr:uid="{00000000-0005-0000-0000-00007D020000}"/>
    <cellStyle name="20% - Accent1 16 3" xfId="17852" xr:uid="{00000000-0005-0000-0000-00007E020000}"/>
    <cellStyle name="20% - Accent1 16 3 2" xfId="43726" xr:uid="{00000000-0005-0000-0000-00007F020000}"/>
    <cellStyle name="20% - Accent1 16 4" xfId="30810" xr:uid="{00000000-0005-0000-0000-000080020000}"/>
    <cellStyle name="20% - Accent1 17" xfId="8162" xr:uid="{00000000-0005-0000-0000-000081020000}"/>
    <cellStyle name="20% - Accent1 17 2" xfId="21080" xr:uid="{00000000-0005-0000-0000-000082020000}"/>
    <cellStyle name="20% - Accent1 17 2 2" xfId="46954" xr:uid="{00000000-0005-0000-0000-000083020000}"/>
    <cellStyle name="20% - Accent1 17 3" xfId="34038" xr:uid="{00000000-0005-0000-0000-000084020000}"/>
    <cellStyle name="20% - Accent1 18" xfId="14622" xr:uid="{00000000-0005-0000-0000-000085020000}"/>
    <cellStyle name="20% - Accent1 18 2" xfId="40496" xr:uid="{00000000-0005-0000-0000-000086020000}"/>
    <cellStyle name="20% - Accent1 19" xfId="27540" xr:uid="{00000000-0005-0000-0000-000087020000}"/>
    <cellStyle name="20% - Accent1 2" xfId="20" xr:uid="{00000000-0005-0000-0000-000088020000}"/>
    <cellStyle name="20% - Accent1 2 10" xfId="8174" xr:uid="{00000000-0005-0000-0000-000089020000}"/>
    <cellStyle name="20% - Accent1 2 10 2" xfId="21092" xr:uid="{00000000-0005-0000-0000-00008A020000}"/>
    <cellStyle name="20% - Accent1 2 10 2 2" xfId="46966" xr:uid="{00000000-0005-0000-0000-00008B020000}"/>
    <cellStyle name="20% - Accent1 2 10 3" xfId="34050" xr:uid="{00000000-0005-0000-0000-00008C020000}"/>
    <cellStyle name="20% - Accent1 2 11" xfId="14634" xr:uid="{00000000-0005-0000-0000-00008D020000}"/>
    <cellStyle name="20% - Accent1 2 11 2" xfId="40508" xr:uid="{00000000-0005-0000-0000-00008E020000}"/>
    <cellStyle name="20% - Accent1 2 12" xfId="27552" xr:uid="{00000000-0005-0000-0000-00008F020000}"/>
    <cellStyle name="20% - Accent1 2 13" xfId="53424" xr:uid="{00000000-0005-0000-0000-000090020000}"/>
    <cellStyle name="20% - Accent1 2 14" xfId="1034" xr:uid="{00000000-0005-0000-0000-000091020000}"/>
    <cellStyle name="20% - Accent1 2 2" xfId="274" xr:uid="{00000000-0005-0000-0000-000092020000}"/>
    <cellStyle name="20% - Accent1 2 3" xfId="228" xr:uid="{00000000-0005-0000-0000-000093020000}"/>
    <cellStyle name="20% - Accent1 2 3 10" xfId="27577" xr:uid="{00000000-0005-0000-0000-000094020000}"/>
    <cellStyle name="20% - Accent1 2 3 11" xfId="53443" xr:uid="{00000000-0005-0000-0000-000095020000}"/>
    <cellStyle name="20% - Accent1 2 3 12" xfId="1035" xr:uid="{00000000-0005-0000-0000-000096020000}"/>
    <cellStyle name="20% - Accent1 2 3 2" xfId="418" xr:uid="{00000000-0005-0000-0000-000097020000}"/>
    <cellStyle name="20% - Accent1 2 3 2 10" xfId="53529" xr:uid="{00000000-0005-0000-0000-000098020000}"/>
    <cellStyle name="20% - Accent1 2 3 2 11" xfId="1613" xr:uid="{00000000-0005-0000-0000-000099020000}"/>
    <cellStyle name="20% - Accent1 2 3 2 2" xfId="497" xr:uid="{00000000-0005-0000-0000-00009A020000}"/>
    <cellStyle name="20% - Accent1 2 3 2 2 10" xfId="1938" xr:uid="{00000000-0005-0000-0000-00009B020000}"/>
    <cellStyle name="20% - Accent1 2 3 2 2 2" xfId="2369" xr:uid="{00000000-0005-0000-0000-00009C020000}"/>
    <cellStyle name="20% - Accent1 2 3 2 2 2 2" xfId="3182" xr:uid="{00000000-0005-0000-0000-00009D020000}"/>
    <cellStyle name="20% - Accent1 2 3 2 2 2 2 2" xfId="4839" xr:uid="{00000000-0005-0000-0000-00009E020000}"/>
    <cellStyle name="20% - Accent1 2 3 2 2 2 2 2 2" xfId="8070" xr:uid="{00000000-0005-0000-0000-00009F020000}"/>
    <cellStyle name="20% - Accent1 2 3 2 2 2 2 2 2 2" xfId="14529" xr:uid="{00000000-0005-0000-0000-0000A0020000}"/>
    <cellStyle name="20% - Accent1 2 3 2 2 2 2 2 2 2 2" xfId="27446" xr:uid="{00000000-0005-0000-0000-0000A1020000}"/>
    <cellStyle name="20% - Accent1 2 3 2 2 2 2 2 2 2 2 2" xfId="53320" xr:uid="{00000000-0005-0000-0000-0000A2020000}"/>
    <cellStyle name="20% - Accent1 2 3 2 2 2 2 2 2 2 3" xfId="40404" xr:uid="{00000000-0005-0000-0000-0000A3020000}"/>
    <cellStyle name="20% - Accent1 2 3 2 2 2 2 2 2 3" xfId="20988" xr:uid="{00000000-0005-0000-0000-0000A4020000}"/>
    <cellStyle name="20% - Accent1 2 3 2 2 2 2 2 2 3 2" xfId="46862" xr:uid="{00000000-0005-0000-0000-0000A5020000}"/>
    <cellStyle name="20% - Accent1 2 3 2 2 2 2 2 2 4" xfId="33946" xr:uid="{00000000-0005-0000-0000-0000A6020000}"/>
    <cellStyle name="20% - Accent1 2 3 2 2 2 2 2 3" xfId="11301" xr:uid="{00000000-0005-0000-0000-0000A7020000}"/>
    <cellStyle name="20% - Accent1 2 3 2 2 2 2 2 3 2" xfId="24218" xr:uid="{00000000-0005-0000-0000-0000A8020000}"/>
    <cellStyle name="20% - Accent1 2 3 2 2 2 2 2 3 2 2" xfId="50092" xr:uid="{00000000-0005-0000-0000-0000A9020000}"/>
    <cellStyle name="20% - Accent1 2 3 2 2 2 2 2 3 3" xfId="37176" xr:uid="{00000000-0005-0000-0000-0000AA020000}"/>
    <cellStyle name="20% - Accent1 2 3 2 2 2 2 2 4" xfId="17760" xr:uid="{00000000-0005-0000-0000-0000AB020000}"/>
    <cellStyle name="20% - Accent1 2 3 2 2 2 2 2 4 2" xfId="43634" xr:uid="{00000000-0005-0000-0000-0000AC020000}"/>
    <cellStyle name="20% - Accent1 2 3 2 2 2 2 2 5" xfId="30686" xr:uid="{00000000-0005-0000-0000-0000AD020000}"/>
    <cellStyle name="20% - Accent1 2 3 2 2 2 2 3" xfId="6456" xr:uid="{00000000-0005-0000-0000-0000AE020000}"/>
    <cellStyle name="20% - Accent1 2 3 2 2 2 2 3 2" xfId="12915" xr:uid="{00000000-0005-0000-0000-0000AF020000}"/>
    <cellStyle name="20% - Accent1 2 3 2 2 2 2 3 2 2" xfId="25832" xr:uid="{00000000-0005-0000-0000-0000B0020000}"/>
    <cellStyle name="20% - Accent1 2 3 2 2 2 2 3 2 2 2" xfId="51706" xr:uid="{00000000-0005-0000-0000-0000B1020000}"/>
    <cellStyle name="20% - Accent1 2 3 2 2 2 2 3 2 3" xfId="38790" xr:uid="{00000000-0005-0000-0000-0000B2020000}"/>
    <cellStyle name="20% - Accent1 2 3 2 2 2 2 3 3" xfId="19374" xr:uid="{00000000-0005-0000-0000-0000B3020000}"/>
    <cellStyle name="20% - Accent1 2 3 2 2 2 2 3 3 2" xfId="45248" xr:uid="{00000000-0005-0000-0000-0000B4020000}"/>
    <cellStyle name="20% - Accent1 2 3 2 2 2 2 3 4" xfId="32332" xr:uid="{00000000-0005-0000-0000-0000B5020000}"/>
    <cellStyle name="20% - Accent1 2 3 2 2 2 2 4" xfId="9687" xr:uid="{00000000-0005-0000-0000-0000B6020000}"/>
    <cellStyle name="20% - Accent1 2 3 2 2 2 2 4 2" xfId="22604" xr:uid="{00000000-0005-0000-0000-0000B7020000}"/>
    <cellStyle name="20% - Accent1 2 3 2 2 2 2 4 2 2" xfId="48478" xr:uid="{00000000-0005-0000-0000-0000B8020000}"/>
    <cellStyle name="20% - Accent1 2 3 2 2 2 2 4 3" xfId="35562" xr:uid="{00000000-0005-0000-0000-0000B9020000}"/>
    <cellStyle name="20% - Accent1 2 3 2 2 2 2 5" xfId="16146" xr:uid="{00000000-0005-0000-0000-0000BA020000}"/>
    <cellStyle name="20% - Accent1 2 3 2 2 2 2 5 2" xfId="42020" xr:uid="{00000000-0005-0000-0000-0000BB020000}"/>
    <cellStyle name="20% - Accent1 2 3 2 2 2 2 6" xfId="29072" xr:uid="{00000000-0005-0000-0000-0000BC020000}"/>
    <cellStyle name="20% - Accent1 2 3 2 2 2 3" xfId="4009" xr:uid="{00000000-0005-0000-0000-0000BD020000}"/>
    <cellStyle name="20% - Accent1 2 3 2 2 2 3 2" xfId="7263" xr:uid="{00000000-0005-0000-0000-0000BE020000}"/>
    <cellStyle name="20% - Accent1 2 3 2 2 2 3 2 2" xfId="13722" xr:uid="{00000000-0005-0000-0000-0000BF020000}"/>
    <cellStyle name="20% - Accent1 2 3 2 2 2 3 2 2 2" xfId="26639" xr:uid="{00000000-0005-0000-0000-0000C0020000}"/>
    <cellStyle name="20% - Accent1 2 3 2 2 2 3 2 2 2 2" xfId="52513" xr:uid="{00000000-0005-0000-0000-0000C1020000}"/>
    <cellStyle name="20% - Accent1 2 3 2 2 2 3 2 2 3" xfId="39597" xr:uid="{00000000-0005-0000-0000-0000C2020000}"/>
    <cellStyle name="20% - Accent1 2 3 2 2 2 3 2 3" xfId="20181" xr:uid="{00000000-0005-0000-0000-0000C3020000}"/>
    <cellStyle name="20% - Accent1 2 3 2 2 2 3 2 3 2" xfId="46055" xr:uid="{00000000-0005-0000-0000-0000C4020000}"/>
    <cellStyle name="20% - Accent1 2 3 2 2 2 3 2 4" xfId="33139" xr:uid="{00000000-0005-0000-0000-0000C5020000}"/>
    <cellStyle name="20% - Accent1 2 3 2 2 2 3 3" xfId="10494" xr:uid="{00000000-0005-0000-0000-0000C6020000}"/>
    <cellStyle name="20% - Accent1 2 3 2 2 2 3 3 2" xfId="23411" xr:uid="{00000000-0005-0000-0000-0000C7020000}"/>
    <cellStyle name="20% - Accent1 2 3 2 2 2 3 3 2 2" xfId="49285" xr:uid="{00000000-0005-0000-0000-0000C8020000}"/>
    <cellStyle name="20% - Accent1 2 3 2 2 2 3 3 3" xfId="36369" xr:uid="{00000000-0005-0000-0000-0000C9020000}"/>
    <cellStyle name="20% - Accent1 2 3 2 2 2 3 4" xfId="16953" xr:uid="{00000000-0005-0000-0000-0000CA020000}"/>
    <cellStyle name="20% - Accent1 2 3 2 2 2 3 4 2" xfId="42827" xr:uid="{00000000-0005-0000-0000-0000CB020000}"/>
    <cellStyle name="20% - Accent1 2 3 2 2 2 3 5" xfId="29879" xr:uid="{00000000-0005-0000-0000-0000CC020000}"/>
    <cellStyle name="20% - Accent1 2 3 2 2 2 4" xfId="5649" xr:uid="{00000000-0005-0000-0000-0000CD020000}"/>
    <cellStyle name="20% - Accent1 2 3 2 2 2 4 2" xfId="12108" xr:uid="{00000000-0005-0000-0000-0000CE020000}"/>
    <cellStyle name="20% - Accent1 2 3 2 2 2 4 2 2" xfId="25025" xr:uid="{00000000-0005-0000-0000-0000CF020000}"/>
    <cellStyle name="20% - Accent1 2 3 2 2 2 4 2 2 2" xfId="50899" xr:uid="{00000000-0005-0000-0000-0000D0020000}"/>
    <cellStyle name="20% - Accent1 2 3 2 2 2 4 2 3" xfId="37983" xr:uid="{00000000-0005-0000-0000-0000D1020000}"/>
    <cellStyle name="20% - Accent1 2 3 2 2 2 4 3" xfId="18567" xr:uid="{00000000-0005-0000-0000-0000D2020000}"/>
    <cellStyle name="20% - Accent1 2 3 2 2 2 4 3 2" xfId="44441" xr:uid="{00000000-0005-0000-0000-0000D3020000}"/>
    <cellStyle name="20% - Accent1 2 3 2 2 2 4 4" xfId="31525" xr:uid="{00000000-0005-0000-0000-0000D4020000}"/>
    <cellStyle name="20% - Accent1 2 3 2 2 2 5" xfId="8880" xr:uid="{00000000-0005-0000-0000-0000D5020000}"/>
    <cellStyle name="20% - Accent1 2 3 2 2 2 5 2" xfId="21797" xr:uid="{00000000-0005-0000-0000-0000D6020000}"/>
    <cellStyle name="20% - Accent1 2 3 2 2 2 5 2 2" xfId="47671" xr:uid="{00000000-0005-0000-0000-0000D7020000}"/>
    <cellStyle name="20% - Accent1 2 3 2 2 2 5 3" xfId="34755" xr:uid="{00000000-0005-0000-0000-0000D8020000}"/>
    <cellStyle name="20% - Accent1 2 3 2 2 2 6" xfId="15339" xr:uid="{00000000-0005-0000-0000-0000D9020000}"/>
    <cellStyle name="20% - Accent1 2 3 2 2 2 6 2" xfId="41213" xr:uid="{00000000-0005-0000-0000-0000DA020000}"/>
    <cellStyle name="20% - Accent1 2 3 2 2 2 7" xfId="28265" xr:uid="{00000000-0005-0000-0000-0000DB020000}"/>
    <cellStyle name="20% - Accent1 2 3 2 2 2 8" xfId="54127" xr:uid="{00000000-0005-0000-0000-0000DC020000}"/>
    <cellStyle name="20% - Accent1 2 3 2 2 3" xfId="2778" xr:uid="{00000000-0005-0000-0000-0000DD020000}"/>
    <cellStyle name="20% - Accent1 2 3 2 2 3 2" xfId="4435" xr:uid="{00000000-0005-0000-0000-0000DE020000}"/>
    <cellStyle name="20% - Accent1 2 3 2 2 3 2 2" xfId="7666" xr:uid="{00000000-0005-0000-0000-0000DF020000}"/>
    <cellStyle name="20% - Accent1 2 3 2 2 3 2 2 2" xfId="14125" xr:uid="{00000000-0005-0000-0000-0000E0020000}"/>
    <cellStyle name="20% - Accent1 2 3 2 2 3 2 2 2 2" xfId="27042" xr:uid="{00000000-0005-0000-0000-0000E1020000}"/>
    <cellStyle name="20% - Accent1 2 3 2 2 3 2 2 2 2 2" xfId="52916" xr:uid="{00000000-0005-0000-0000-0000E2020000}"/>
    <cellStyle name="20% - Accent1 2 3 2 2 3 2 2 2 3" xfId="40000" xr:uid="{00000000-0005-0000-0000-0000E3020000}"/>
    <cellStyle name="20% - Accent1 2 3 2 2 3 2 2 3" xfId="20584" xr:uid="{00000000-0005-0000-0000-0000E4020000}"/>
    <cellStyle name="20% - Accent1 2 3 2 2 3 2 2 3 2" xfId="46458" xr:uid="{00000000-0005-0000-0000-0000E5020000}"/>
    <cellStyle name="20% - Accent1 2 3 2 2 3 2 2 4" xfId="33542" xr:uid="{00000000-0005-0000-0000-0000E6020000}"/>
    <cellStyle name="20% - Accent1 2 3 2 2 3 2 3" xfId="10897" xr:uid="{00000000-0005-0000-0000-0000E7020000}"/>
    <cellStyle name="20% - Accent1 2 3 2 2 3 2 3 2" xfId="23814" xr:uid="{00000000-0005-0000-0000-0000E8020000}"/>
    <cellStyle name="20% - Accent1 2 3 2 2 3 2 3 2 2" xfId="49688" xr:uid="{00000000-0005-0000-0000-0000E9020000}"/>
    <cellStyle name="20% - Accent1 2 3 2 2 3 2 3 3" xfId="36772" xr:uid="{00000000-0005-0000-0000-0000EA020000}"/>
    <cellStyle name="20% - Accent1 2 3 2 2 3 2 4" xfId="17356" xr:uid="{00000000-0005-0000-0000-0000EB020000}"/>
    <cellStyle name="20% - Accent1 2 3 2 2 3 2 4 2" xfId="43230" xr:uid="{00000000-0005-0000-0000-0000EC020000}"/>
    <cellStyle name="20% - Accent1 2 3 2 2 3 2 5" xfId="30282" xr:uid="{00000000-0005-0000-0000-0000ED020000}"/>
    <cellStyle name="20% - Accent1 2 3 2 2 3 3" xfId="6052" xr:uid="{00000000-0005-0000-0000-0000EE020000}"/>
    <cellStyle name="20% - Accent1 2 3 2 2 3 3 2" xfId="12511" xr:uid="{00000000-0005-0000-0000-0000EF020000}"/>
    <cellStyle name="20% - Accent1 2 3 2 2 3 3 2 2" xfId="25428" xr:uid="{00000000-0005-0000-0000-0000F0020000}"/>
    <cellStyle name="20% - Accent1 2 3 2 2 3 3 2 2 2" xfId="51302" xr:uid="{00000000-0005-0000-0000-0000F1020000}"/>
    <cellStyle name="20% - Accent1 2 3 2 2 3 3 2 3" xfId="38386" xr:uid="{00000000-0005-0000-0000-0000F2020000}"/>
    <cellStyle name="20% - Accent1 2 3 2 2 3 3 3" xfId="18970" xr:uid="{00000000-0005-0000-0000-0000F3020000}"/>
    <cellStyle name="20% - Accent1 2 3 2 2 3 3 3 2" xfId="44844" xr:uid="{00000000-0005-0000-0000-0000F4020000}"/>
    <cellStyle name="20% - Accent1 2 3 2 2 3 3 4" xfId="31928" xr:uid="{00000000-0005-0000-0000-0000F5020000}"/>
    <cellStyle name="20% - Accent1 2 3 2 2 3 4" xfId="9283" xr:uid="{00000000-0005-0000-0000-0000F6020000}"/>
    <cellStyle name="20% - Accent1 2 3 2 2 3 4 2" xfId="22200" xr:uid="{00000000-0005-0000-0000-0000F7020000}"/>
    <cellStyle name="20% - Accent1 2 3 2 2 3 4 2 2" xfId="48074" xr:uid="{00000000-0005-0000-0000-0000F8020000}"/>
    <cellStyle name="20% - Accent1 2 3 2 2 3 4 3" xfId="35158" xr:uid="{00000000-0005-0000-0000-0000F9020000}"/>
    <cellStyle name="20% - Accent1 2 3 2 2 3 5" xfId="15742" xr:uid="{00000000-0005-0000-0000-0000FA020000}"/>
    <cellStyle name="20% - Accent1 2 3 2 2 3 5 2" xfId="41616" xr:uid="{00000000-0005-0000-0000-0000FB020000}"/>
    <cellStyle name="20% - Accent1 2 3 2 2 3 6" xfId="28668" xr:uid="{00000000-0005-0000-0000-0000FC020000}"/>
    <cellStyle name="20% - Accent1 2 3 2 2 4" xfId="3605" xr:uid="{00000000-0005-0000-0000-0000FD020000}"/>
    <cellStyle name="20% - Accent1 2 3 2 2 4 2" xfId="6859" xr:uid="{00000000-0005-0000-0000-0000FE020000}"/>
    <cellStyle name="20% - Accent1 2 3 2 2 4 2 2" xfId="13318" xr:uid="{00000000-0005-0000-0000-0000FF020000}"/>
    <cellStyle name="20% - Accent1 2 3 2 2 4 2 2 2" xfId="26235" xr:uid="{00000000-0005-0000-0000-000000030000}"/>
    <cellStyle name="20% - Accent1 2 3 2 2 4 2 2 2 2" xfId="52109" xr:uid="{00000000-0005-0000-0000-000001030000}"/>
    <cellStyle name="20% - Accent1 2 3 2 2 4 2 2 3" xfId="39193" xr:uid="{00000000-0005-0000-0000-000002030000}"/>
    <cellStyle name="20% - Accent1 2 3 2 2 4 2 3" xfId="19777" xr:uid="{00000000-0005-0000-0000-000003030000}"/>
    <cellStyle name="20% - Accent1 2 3 2 2 4 2 3 2" xfId="45651" xr:uid="{00000000-0005-0000-0000-000004030000}"/>
    <cellStyle name="20% - Accent1 2 3 2 2 4 2 4" xfId="32735" xr:uid="{00000000-0005-0000-0000-000005030000}"/>
    <cellStyle name="20% - Accent1 2 3 2 2 4 3" xfId="10090" xr:uid="{00000000-0005-0000-0000-000006030000}"/>
    <cellStyle name="20% - Accent1 2 3 2 2 4 3 2" xfId="23007" xr:uid="{00000000-0005-0000-0000-000007030000}"/>
    <cellStyle name="20% - Accent1 2 3 2 2 4 3 2 2" xfId="48881" xr:uid="{00000000-0005-0000-0000-000008030000}"/>
    <cellStyle name="20% - Accent1 2 3 2 2 4 3 3" xfId="35965" xr:uid="{00000000-0005-0000-0000-000009030000}"/>
    <cellStyle name="20% - Accent1 2 3 2 2 4 4" xfId="16549" xr:uid="{00000000-0005-0000-0000-00000A030000}"/>
    <cellStyle name="20% - Accent1 2 3 2 2 4 4 2" xfId="42423" xr:uid="{00000000-0005-0000-0000-00000B030000}"/>
    <cellStyle name="20% - Accent1 2 3 2 2 4 5" xfId="29475" xr:uid="{00000000-0005-0000-0000-00000C030000}"/>
    <cellStyle name="20% - Accent1 2 3 2 2 5" xfId="5245" xr:uid="{00000000-0005-0000-0000-00000D030000}"/>
    <cellStyle name="20% - Accent1 2 3 2 2 5 2" xfId="11704" xr:uid="{00000000-0005-0000-0000-00000E030000}"/>
    <cellStyle name="20% - Accent1 2 3 2 2 5 2 2" xfId="24621" xr:uid="{00000000-0005-0000-0000-00000F030000}"/>
    <cellStyle name="20% - Accent1 2 3 2 2 5 2 2 2" xfId="50495" xr:uid="{00000000-0005-0000-0000-000010030000}"/>
    <cellStyle name="20% - Accent1 2 3 2 2 5 2 3" xfId="37579" xr:uid="{00000000-0005-0000-0000-000011030000}"/>
    <cellStyle name="20% - Accent1 2 3 2 2 5 3" xfId="18163" xr:uid="{00000000-0005-0000-0000-000012030000}"/>
    <cellStyle name="20% - Accent1 2 3 2 2 5 3 2" xfId="44037" xr:uid="{00000000-0005-0000-0000-000013030000}"/>
    <cellStyle name="20% - Accent1 2 3 2 2 5 4" xfId="31121" xr:uid="{00000000-0005-0000-0000-000014030000}"/>
    <cellStyle name="20% - Accent1 2 3 2 2 6" xfId="8476" xr:uid="{00000000-0005-0000-0000-000015030000}"/>
    <cellStyle name="20% - Accent1 2 3 2 2 6 2" xfId="21393" xr:uid="{00000000-0005-0000-0000-000016030000}"/>
    <cellStyle name="20% - Accent1 2 3 2 2 6 2 2" xfId="47267" xr:uid="{00000000-0005-0000-0000-000017030000}"/>
    <cellStyle name="20% - Accent1 2 3 2 2 6 3" xfId="34351" xr:uid="{00000000-0005-0000-0000-000018030000}"/>
    <cellStyle name="20% - Accent1 2 3 2 2 7" xfId="14935" xr:uid="{00000000-0005-0000-0000-000019030000}"/>
    <cellStyle name="20% - Accent1 2 3 2 2 7 2" xfId="40809" xr:uid="{00000000-0005-0000-0000-00001A030000}"/>
    <cellStyle name="20% - Accent1 2 3 2 2 8" xfId="27860" xr:uid="{00000000-0005-0000-0000-00001B030000}"/>
    <cellStyle name="20% - Accent1 2 3 2 2 9" xfId="53723" xr:uid="{00000000-0005-0000-0000-00001C030000}"/>
    <cellStyle name="20% - Accent1 2 3 2 3" xfId="496" xr:uid="{00000000-0005-0000-0000-00001D030000}"/>
    <cellStyle name="20% - Accent1 2 3 2 3 2" xfId="2987" xr:uid="{00000000-0005-0000-0000-00001E030000}"/>
    <cellStyle name="20% - Accent1 2 3 2 3 2 2" xfId="4644" xr:uid="{00000000-0005-0000-0000-00001F030000}"/>
    <cellStyle name="20% - Accent1 2 3 2 3 2 2 2" xfId="7875" xr:uid="{00000000-0005-0000-0000-000020030000}"/>
    <cellStyle name="20% - Accent1 2 3 2 3 2 2 2 2" xfId="14334" xr:uid="{00000000-0005-0000-0000-000021030000}"/>
    <cellStyle name="20% - Accent1 2 3 2 3 2 2 2 2 2" xfId="27251" xr:uid="{00000000-0005-0000-0000-000022030000}"/>
    <cellStyle name="20% - Accent1 2 3 2 3 2 2 2 2 2 2" xfId="53125" xr:uid="{00000000-0005-0000-0000-000023030000}"/>
    <cellStyle name="20% - Accent1 2 3 2 3 2 2 2 2 3" xfId="40209" xr:uid="{00000000-0005-0000-0000-000024030000}"/>
    <cellStyle name="20% - Accent1 2 3 2 3 2 2 2 3" xfId="20793" xr:uid="{00000000-0005-0000-0000-000025030000}"/>
    <cellStyle name="20% - Accent1 2 3 2 3 2 2 2 3 2" xfId="46667" xr:uid="{00000000-0005-0000-0000-000026030000}"/>
    <cellStyle name="20% - Accent1 2 3 2 3 2 2 2 4" xfId="33751" xr:uid="{00000000-0005-0000-0000-000027030000}"/>
    <cellStyle name="20% - Accent1 2 3 2 3 2 2 3" xfId="11106" xr:uid="{00000000-0005-0000-0000-000028030000}"/>
    <cellStyle name="20% - Accent1 2 3 2 3 2 2 3 2" xfId="24023" xr:uid="{00000000-0005-0000-0000-000029030000}"/>
    <cellStyle name="20% - Accent1 2 3 2 3 2 2 3 2 2" xfId="49897" xr:uid="{00000000-0005-0000-0000-00002A030000}"/>
    <cellStyle name="20% - Accent1 2 3 2 3 2 2 3 3" xfId="36981" xr:uid="{00000000-0005-0000-0000-00002B030000}"/>
    <cellStyle name="20% - Accent1 2 3 2 3 2 2 4" xfId="17565" xr:uid="{00000000-0005-0000-0000-00002C030000}"/>
    <cellStyle name="20% - Accent1 2 3 2 3 2 2 4 2" xfId="43439" xr:uid="{00000000-0005-0000-0000-00002D030000}"/>
    <cellStyle name="20% - Accent1 2 3 2 3 2 2 5" xfId="30491" xr:uid="{00000000-0005-0000-0000-00002E030000}"/>
    <cellStyle name="20% - Accent1 2 3 2 3 2 3" xfId="6261" xr:uid="{00000000-0005-0000-0000-00002F030000}"/>
    <cellStyle name="20% - Accent1 2 3 2 3 2 3 2" xfId="12720" xr:uid="{00000000-0005-0000-0000-000030030000}"/>
    <cellStyle name="20% - Accent1 2 3 2 3 2 3 2 2" xfId="25637" xr:uid="{00000000-0005-0000-0000-000031030000}"/>
    <cellStyle name="20% - Accent1 2 3 2 3 2 3 2 2 2" xfId="51511" xr:uid="{00000000-0005-0000-0000-000032030000}"/>
    <cellStyle name="20% - Accent1 2 3 2 3 2 3 2 3" xfId="38595" xr:uid="{00000000-0005-0000-0000-000033030000}"/>
    <cellStyle name="20% - Accent1 2 3 2 3 2 3 3" xfId="19179" xr:uid="{00000000-0005-0000-0000-000034030000}"/>
    <cellStyle name="20% - Accent1 2 3 2 3 2 3 3 2" xfId="45053" xr:uid="{00000000-0005-0000-0000-000035030000}"/>
    <cellStyle name="20% - Accent1 2 3 2 3 2 3 4" xfId="32137" xr:uid="{00000000-0005-0000-0000-000036030000}"/>
    <cellStyle name="20% - Accent1 2 3 2 3 2 4" xfId="9492" xr:uid="{00000000-0005-0000-0000-000037030000}"/>
    <cellStyle name="20% - Accent1 2 3 2 3 2 4 2" xfId="22409" xr:uid="{00000000-0005-0000-0000-000038030000}"/>
    <cellStyle name="20% - Accent1 2 3 2 3 2 4 2 2" xfId="48283" xr:uid="{00000000-0005-0000-0000-000039030000}"/>
    <cellStyle name="20% - Accent1 2 3 2 3 2 4 3" xfId="35367" xr:uid="{00000000-0005-0000-0000-00003A030000}"/>
    <cellStyle name="20% - Accent1 2 3 2 3 2 5" xfId="15951" xr:uid="{00000000-0005-0000-0000-00003B030000}"/>
    <cellStyle name="20% - Accent1 2 3 2 3 2 5 2" xfId="41825" xr:uid="{00000000-0005-0000-0000-00003C030000}"/>
    <cellStyle name="20% - Accent1 2 3 2 3 2 6" xfId="28877" xr:uid="{00000000-0005-0000-0000-00003D030000}"/>
    <cellStyle name="20% - Accent1 2 3 2 3 3" xfId="3814" xr:uid="{00000000-0005-0000-0000-00003E030000}"/>
    <cellStyle name="20% - Accent1 2 3 2 3 3 2" xfId="7068" xr:uid="{00000000-0005-0000-0000-00003F030000}"/>
    <cellStyle name="20% - Accent1 2 3 2 3 3 2 2" xfId="13527" xr:uid="{00000000-0005-0000-0000-000040030000}"/>
    <cellStyle name="20% - Accent1 2 3 2 3 3 2 2 2" xfId="26444" xr:uid="{00000000-0005-0000-0000-000041030000}"/>
    <cellStyle name="20% - Accent1 2 3 2 3 3 2 2 2 2" xfId="52318" xr:uid="{00000000-0005-0000-0000-000042030000}"/>
    <cellStyle name="20% - Accent1 2 3 2 3 3 2 2 3" xfId="39402" xr:uid="{00000000-0005-0000-0000-000043030000}"/>
    <cellStyle name="20% - Accent1 2 3 2 3 3 2 3" xfId="19986" xr:uid="{00000000-0005-0000-0000-000044030000}"/>
    <cellStyle name="20% - Accent1 2 3 2 3 3 2 3 2" xfId="45860" xr:uid="{00000000-0005-0000-0000-000045030000}"/>
    <cellStyle name="20% - Accent1 2 3 2 3 3 2 4" xfId="32944" xr:uid="{00000000-0005-0000-0000-000046030000}"/>
    <cellStyle name="20% - Accent1 2 3 2 3 3 3" xfId="10299" xr:uid="{00000000-0005-0000-0000-000047030000}"/>
    <cellStyle name="20% - Accent1 2 3 2 3 3 3 2" xfId="23216" xr:uid="{00000000-0005-0000-0000-000048030000}"/>
    <cellStyle name="20% - Accent1 2 3 2 3 3 3 2 2" xfId="49090" xr:uid="{00000000-0005-0000-0000-000049030000}"/>
    <cellStyle name="20% - Accent1 2 3 2 3 3 3 3" xfId="36174" xr:uid="{00000000-0005-0000-0000-00004A030000}"/>
    <cellStyle name="20% - Accent1 2 3 2 3 3 4" xfId="16758" xr:uid="{00000000-0005-0000-0000-00004B030000}"/>
    <cellStyle name="20% - Accent1 2 3 2 3 3 4 2" xfId="42632" xr:uid="{00000000-0005-0000-0000-00004C030000}"/>
    <cellStyle name="20% - Accent1 2 3 2 3 3 5" xfId="29684" xr:uid="{00000000-0005-0000-0000-00004D030000}"/>
    <cellStyle name="20% - Accent1 2 3 2 3 4" xfId="5454" xr:uid="{00000000-0005-0000-0000-00004E030000}"/>
    <cellStyle name="20% - Accent1 2 3 2 3 4 2" xfId="11913" xr:uid="{00000000-0005-0000-0000-00004F030000}"/>
    <cellStyle name="20% - Accent1 2 3 2 3 4 2 2" xfId="24830" xr:uid="{00000000-0005-0000-0000-000050030000}"/>
    <cellStyle name="20% - Accent1 2 3 2 3 4 2 2 2" xfId="50704" xr:uid="{00000000-0005-0000-0000-000051030000}"/>
    <cellStyle name="20% - Accent1 2 3 2 3 4 2 3" xfId="37788" xr:uid="{00000000-0005-0000-0000-000052030000}"/>
    <cellStyle name="20% - Accent1 2 3 2 3 4 3" xfId="18372" xr:uid="{00000000-0005-0000-0000-000053030000}"/>
    <cellStyle name="20% - Accent1 2 3 2 3 4 3 2" xfId="44246" xr:uid="{00000000-0005-0000-0000-000054030000}"/>
    <cellStyle name="20% - Accent1 2 3 2 3 4 4" xfId="31330" xr:uid="{00000000-0005-0000-0000-000055030000}"/>
    <cellStyle name="20% - Accent1 2 3 2 3 5" xfId="8685" xr:uid="{00000000-0005-0000-0000-000056030000}"/>
    <cellStyle name="20% - Accent1 2 3 2 3 5 2" xfId="21602" xr:uid="{00000000-0005-0000-0000-000057030000}"/>
    <cellStyle name="20% - Accent1 2 3 2 3 5 2 2" xfId="47476" xr:uid="{00000000-0005-0000-0000-000058030000}"/>
    <cellStyle name="20% - Accent1 2 3 2 3 5 3" xfId="34560" xr:uid="{00000000-0005-0000-0000-000059030000}"/>
    <cellStyle name="20% - Accent1 2 3 2 3 6" xfId="15144" xr:uid="{00000000-0005-0000-0000-00005A030000}"/>
    <cellStyle name="20% - Accent1 2 3 2 3 6 2" xfId="41018" xr:uid="{00000000-0005-0000-0000-00005B030000}"/>
    <cellStyle name="20% - Accent1 2 3 2 3 7" xfId="28070" xr:uid="{00000000-0005-0000-0000-00005C030000}"/>
    <cellStyle name="20% - Accent1 2 3 2 3 8" xfId="53932" xr:uid="{00000000-0005-0000-0000-00005D030000}"/>
    <cellStyle name="20% - Accent1 2 3 2 3 9" xfId="2173" xr:uid="{00000000-0005-0000-0000-00005E030000}"/>
    <cellStyle name="20% - Accent1 2 3 2 4" xfId="2584" xr:uid="{00000000-0005-0000-0000-00005F030000}"/>
    <cellStyle name="20% - Accent1 2 3 2 4 2" xfId="4241" xr:uid="{00000000-0005-0000-0000-000060030000}"/>
    <cellStyle name="20% - Accent1 2 3 2 4 2 2" xfId="7472" xr:uid="{00000000-0005-0000-0000-000061030000}"/>
    <cellStyle name="20% - Accent1 2 3 2 4 2 2 2" xfId="13931" xr:uid="{00000000-0005-0000-0000-000062030000}"/>
    <cellStyle name="20% - Accent1 2 3 2 4 2 2 2 2" xfId="26848" xr:uid="{00000000-0005-0000-0000-000063030000}"/>
    <cellStyle name="20% - Accent1 2 3 2 4 2 2 2 2 2" xfId="52722" xr:uid="{00000000-0005-0000-0000-000064030000}"/>
    <cellStyle name="20% - Accent1 2 3 2 4 2 2 2 3" xfId="39806" xr:uid="{00000000-0005-0000-0000-000065030000}"/>
    <cellStyle name="20% - Accent1 2 3 2 4 2 2 3" xfId="20390" xr:uid="{00000000-0005-0000-0000-000066030000}"/>
    <cellStyle name="20% - Accent1 2 3 2 4 2 2 3 2" xfId="46264" xr:uid="{00000000-0005-0000-0000-000067030000}"/>
    <cellStyle name="20% - Accent1 2 3 2 4 2 2 4" xfId="33348" xr:uid="{00000000-0005-0000-0000-000068030000}"/>
    <cellStyle name="20% - Accent1 2 3 2 4 2 3" xfId="10703" xr:uid="{00000000-0005-0000-0000-000069030000}"/>
    <cellStyle name="20% - Accent1 2 3 2 4 2 3 2" xfId="23620" xr:uid="{00000000-0005-0000-0000-00006A030000}"/>
    <cellStyle name="20% - Accent1 2 3 2 4 2 3 2 2" xfId="49494" xr:uid="{00000000-0005-0000-0000-00006B030000}"/>
    <cellStyle name="20% - Accent1 2 3 2 4 2 3 3" xfId="36578" xr:uid="{00000000-0005-0000-0000-00006C030000}"/>
    <cellStyle name="20% - Accent1 2 3 2 4 2 4" xfId="17162" xr:uid="{00000000-0005-0000-0000-00006D030000}"/>
    <cellStyle name="20% - Accent1 2 3 2 4 2 4 2" xfId="43036" xr:uid="{00000000-0005-0000-0000-00006E030000}"/>
    <cellStyle name="20% - Accent1 2 3 2 4 2 5" xfId="30088" xr:uid="{00000000-0005-0000-0000-00006F030000}"/>
    <cellStyle name="20% - Accent1 2 3 2 4 3" xfId="5858" xr:uid="{00000000-0005-0000-0000-000070030000}"/>
    <cellStyle name="20% - Accent1 2 3 2 4 3 2" xfId="12317" xr:uid="{00000000-0005-0000-0000-000071030000}"/>
    <cellStyle name="20% - Accent1 2 3 2 4 3 2 2" xfId="25234" xr:uid="{00000000-0005-0000-0000-000072030000}"/>
    <cellStyle name="20% - Accent1 2 3 2 4 3 2 2 2" xfId="51108" xr:uid="{00000000-0005-0000-0000-000073030000}"/>
    <cellStyle name="20% - Accent1 2 3 2 4 3 2 3" xfId="38192" xr:uid="{00000000-0005-0000-0000-000074030000}"/>
    <cellStyle name="20% - Accent1 2 3 2 4 3 3" xfId="18776" xr:uid="{00000000-0005-0000-0000-000075030000}"/>
    <cellStyle name="20% - Accent1 2 3 2 4 3 3 2" xfId="44650" xr:uid="{00000000-0005-0000-0000-000076030000}"/>
    <cellStyle name="20% - Accent1 2 3 2 4 3 4" xfId="31734" xr:uid="{00000000-0005-0000-0000-000077030000}"/>
    <cellStyle name="20% - Accent1 2 3 2 4 4" xfId="9089" xr:uid="{00000000-0005-0000-0000-000078030000}"/>
    <cellStyle name="20% - Accent1 2 3 2 4 4 2" xfId="22006" xr:uid="{00000000-0005-0000-0000-000079030000}"/>
    <cellStyle name="20% - Accent1 2 3 2 4 4 2 2" xfId="47880" xr:uid="{00000000-0005-0000-0000-00007A030000}"/>
    <cellStyle name="20% - Accent1 2 3 2 4 4 3" xfId="34964" xr:uid="{00000000-0005-0000-0000-00007B030000}"/>
    <cellStyle name="20% - Accent1 2 3 2 4 5" xfId="15548" xr:uid="{00000000-0005-0000-0000-00007C030000}"/>
    <cellStyle name="20% - Accent1 2 3 2 4 5 2" xfId="41422" xr:uid="{00000000-0005-0000-0000-00007D030000}"/>
    <cellStyle name="20% - Accent1 2 3 2 4 6" xfId="28474" xr:uid="{00000000-0005-0000-0000-00007E030000}"/>
    <cellStyle name="20% - Accent1 2 3 2 5" xfId="3411" xr:uid="{00000000-0005-0000-0000-00007F030000}"/>
    <cellStyle name="20% - Accent1 2 3 2 5 2" xfId="6665" xr:uid="{00000000-0005-0000-0000-000080030000}"/>
    <cellStyle name="20% - Accent1 2 3 2 5 2 2" xfId="13124" xr:uid="{00000000-0005-0000-0000-000081030000}"/>
    <cellStyle name="20% - Accent1 2 3 2 5 2 2 2" xfId="26041" xr:uid="{00000000-0005-0000-0000-000082030000}"/>
    <cellStyle name="20% - Accent1 2 3 2 5 2 2 2 2" xfId="51915" xr:uid="{00000000-0005-0000-0000-000083030000}"/>
    <cellStyle name="20% - Accent1 2 3 2 5 2 2 3" xfId="38999" xr:uid="{00000000-0005-0000-0000-000084030000}"/>
    <cellStyle name="20% - Accent1 2 3 2 5 2 3" xfId="19583" xr:uid="{00000000-0005-0000-0000-000085030000}"/>
    <cellStyle name="20% - Accent1 2 3 2 5 2 3 2" xfId="45457" xr:uid="{00000000-0005-0000-0000-000086030000}"/>
    <cellStyle name="20% - Accent1 2 3 2 5 2 4" xfId="32541" xr:uid="{00000000-0005-0000-0000-000087030000}"/>
    <cellStyle name="20% - Accent1 2 3 2 5 3" xfId="9896" xr:uid="{00000000-0005-0000-0000-000088030000}"/>
    <cellStyle name="20% - Accent1 2 3 2 5 3 2" xfId="22813" xr:uid="{00000000-0005-0000-0000-000089030000}"/>
    <cellStyle name="20% - Accent1 2 3 2 5 3 2 2" xfId="48687" xr:uid="{00000000-0005-0000-0000-00008A030000}"/>
    <cellStyle name="20% - Accent1 2 3 2 5 3 3" xfId="35771" xr:uid="{00000000-0005-0000-0000-00008B030000}"/>
    <cellStyle name="20% - Accent1 2 3 2 5 4" xfId="16355" xr:uid="{00000000-0005-0000-0000-00008C030000}"/>
    <cellStyle name="20% - Accent1 2 3 2 5 4 2" xfId="42229" xr:uid="{00000000-0005-0000-0000-00008D030000}"/>
    <cellStyle name="20% - Accent1 2 3 2 5 5" xfId="29281" xr:uid="{00000000-0005-0000-0000-00008E030000}"/>
    <cellStyle name="20% - Accent1 2 3 2 6" xfId="5051" xr:uid="{00000000-0005-0000-0000-00008F030000}"/>
    <cellStyle name="20% - Accent1 2 3 2 6 2" xfId="11510" xr:uid="{00000000-0005-0000-0000-000090030000}"/>
    <cellStyle name="20% - Accent1 2 3 2 6 2 2" xfId="24427" xr:uid="{00000000-0005-0000-0000-000091030000}"/>
    <cellStyle name="20% - Accent1 2 3 2 6 2 2 2" xfId="50301" xr:uid="{00000000-0005-0000-0000-000092030000}"/>
    <cellStyle name="20% - Accent1 2 3 2 6 2 3" xfId="37385" xr:uid="{00000000-0005-0000-0000-000093030000}"/>
    <cellStyle name="20% - Accent1 2 3 2 6 3" xfId="17969" xr:uid="{00000000-0005-0000-0000-000094030000}"/>
    <cellStyle name="20% - Accent1 2 3 2 6 3 2" xfId="43843" xr:uid="{00000000-0005-0000-0000-000095030000}"/>
    <cellStyle name="20% - Accent1 2 3 2 6 4" xfId="30927" xr:uid="{00000000-0005-0000-0000-000096030000}"/>
    <cellStyle name="20% - Accent1 2 3 2 7" xfId="8281" xr:uid="{00000000-0005-0000-0000-000097030000}"/>
    <cellStyle name="20% - Accent1 2 3 2 7 2" xfId="21198" xr:uid="{00000000-0005-0000-0000-000098030000}"/>
    <cellStyle name="20% - Accent1 2 3 2 7 2 2" xfId="47072" xr:uid="{00000000-0005-0000-0000-000099030000}"/>
    <cellStyle name="20% - Accent1 2 3 2 7 3" xfId="34156" xr:uid="{00000000-0005-0000-0000-00009A030000}"/>
    <cellStyle name="20% - Accent1 2 3 2 8" xfId="14740" xr:uid="{00000000-0005-0000-0000-00009B030000}"/>
    <cellStyle name="20% - Accent1 2 3 2 8 2" xfId="40614" xr:uid="{00000000-0005-0000-0000-00009C030000}"/>
    <cellStyle name="20% - Accent1 2 3 2 9" xfId="27664" xr:uid="{00000000-0005-0000-0000-00009D030000}"/>
    <cellStyle name="20% - Accent1 2 3 3" xfId="498" xr:uid="{00000000-0005-0000-0000-00009E030000}"/>
    <cellStyle name="20% - Accent1 2 3 3 10" xfId="1840" xr:uid="{00000000-0005-0000-0000-00009F030000}"/>
    <cellStyle name="20% - Accent1 2 3 3 2" xfId="2282" xr:uid="{00000000-0005-0000-0000-0000A0030000}"/>
    <cellStyle name="20% - Accent1 2 3 3 2 2" xfId="3096" xr:uid="{00000000-0005-0000-0000-0000A1030000}"/>
    <cellStyle name="20% - Accent1 2 3 3 2 2 2" xfId="4753" xr:uid="{00000000-0005-0000-0000-0000A2030000}"/>
    <cellStyle name="20% - Accent1 2 3 3 2 2 2 2" xfId="7984" xr:uid="{00000000-0005-0000-0000-0000A3030000}"/>
    <cellStyle name="20% - Accent1 2 3 3 2 2 2 2 2" xfId="14443" xr:uid="{00000000-0005-0000-0000-0000A4030000}"/>
    <cellStyle name="20% - Accent1 2 3 3 2 2 2 2 2 2" xfId="27360" xr:uid="{00000000-0005-0000-0000-0000A5030000}"/>
    <cellStyle name="20% - Accent1 2 3 3 2 2 2 2 2 2 2" xfId="53234" xr:uid="{00000000-0005-0000-0000-0000A6030000}"/>
    <cellStyle name="20% - Accent1 2 3 3 2 2 2 2 2 3" xfId="40318" xr:uid="{00000000-0005-0000-0000-0000A7030000}"/>
    <cellStyle name="20% - Accent1 2 3 3 2 2 2 2 3" xfId="20902" xr:uid="{00000000-0005-0000-0000-0000A8030000}"/>
    <cellStyle name="20% - Accent1 2 3 3 2 2 2 2 3 2" xfId="46776" xr:uid="{00000000-0005-0000-0000-0000A9030000}"/>
    <cellStyle name="20% - Accent1 2 3 3 2 2 2 2 4" xfId="33860" xr:uid="{00000000-0005-0000-0000-0000AA030000}"/>
    <cellStyle name="20% - Accent1 2 3 3 2 2 2 3" xfId="11215" xr:uid="{00000000-0005-0000-0000-0000AB030000}"/>
    <cellStyle name="20% - Accent1 2 3 3 2 2 2 3 2" xfId="24132" xr:uid="{00000000-0005-0000-0000-0000AC030000}"/>
    <cellStyle name="20% - Accent1 2 3 3 2 2 2 3 2 2" xfId="50006" xr:uid="{00000000-0005-0000-0000-0000AD030000}"/>
    <cellStyle name="20% - Accent1 2 3 3 2 2 2 3 3" xfId="37090" xr:uid="{00000000-0005-0000-0000-0000AE030000}"/>
    <cellStyle name="20% - Accent1 2 3 3 2 2 2 4" xfId="17674" xr:uid="{00000000-0005-0000-0000-0000AF030000}"/>
    <cellStyle name="20% - Accent1 2 3 3 2 2 2 4 2" xfId="43548" xr:uid="{00000000-0005-0000-0000-0000B0030000}"/>
    <cellStyle name="20% - Accent1 2 3 3 2 2 2 5" xfId="30600" xr:uid="{00000000-0005-0000-0000-0000B1030000}"/>
    <cellStyle name="20% - Accent1 2 3 3 2 2 3" xfId="6370" xr:uid="{00000000-0005-0000-0000-0000B2030000}"/>
    <cellStyle name="20% - Accent1 2 3 3 2 2 3 2" xfId="12829" xr:uid="{00000000-0005-0000-0000-0000B3030000}"/>
    <cellStyle name="20% - Accent1 2 3 3 2 2 3 2 2" xfId="25746" xr:uid="{00000000-0005-0000-0000-0000B4030000}"/>
    <cellStyle name="20% - Accent1 2 3 3 2 2 3 2 2 2" xfId="51620" xr:uid="{00000000-0005-0000-0000-0000B5030000}"/>
    <cellStyle name="20% - Accent1 2 3 3 2 2 3 2 3" xfId="38704" xr:uid="{00000000-0005-0000-0000-0000B6030000}"/>
    <cellStyle name="20% - Accent1 2 3 3 2 2 3 3" xfId="19288" xr:uid="{00000000-0005-0000-0000-0000B7030000}"/>
    <cellStyle name="20% - Accent1 2 3 3 2 2 3 3 2" xfId="45162" xr:uid="{00000000-0005-0000-0000-0000B8030000}"/>
    <cellStyle name="20% - Accent1 2 3 3 2 2 3 4" xfId="32246" xr:uid="{00000000-0005-0000-0000-0000B9030000}"/>
    <cellStyle name="20% - Accent1 2 3 3 2 2 4" xfId="9601" xr:uid="{00000000-0005-0000-0000-0000BA030000}"/>
    <cellStyle name="20% - Accent1 2 3 3 2 2 4 2" xfId="22518" xr:uid="{00000000-0005-0000-0000-0000BB030000}"/>
    <cellStyle name="20% - Accent1 2 3 3 2 2 4 2 2" xfId="48392" xr:uid="{00000000-0005-0000-0000-0000BC030000}"/>
    <cellStyle name="20% - Accent1 2 3 3 2 2 4 3" xfId="35476" xr:uid="{00000000-0005-0000-0000-0000BD030000}"/>
    <cellStyle name="20% - Accent1 2 3 3 2 2 5" xfId="16060" xr:uid="{00000000-0005-0000-0000-0000BE030000}"/>
    <cellStyle name="20% - Accent1 2 3 3 2 2 5 2" xfId="41934" xr:uid="{00000000-0005-0000-0000-0000BF030000}"/>
    <cellStyle name="20% - Accent1 2 3 3 2 2 6" xfId="28986" xr:uid="{00000000-0005-0000-0000-0000C0030000}"/>
    <cellStyle name="20% - Accent1 2 3 3 2 3" xfId="3923" xr:uid="{00000000-0005-0000-0000-0000C1030000}"/>
    <cellStyle name="20% - Accent1 2 3 3 2 3 2" xfId="7177" xr:uid="{00000000-0005-0000-0000-0000C2030000}"/>
    <cellStyle name="20% - Accent1 2 3 3 2 3 2 2" xfId="13636" xr:uid="{00000000-0005-0000-0000-0000C3030000}"/>
    <cellStyle name="20% - Accent1 2 3 3 2 3 2 2 2" xfId="26553" xr:uid="{00000000-0005-0000-0000-0000C4030000}"/>
    <cellStyle name="20% - Accent1 2 3 3 2 3 2 2 2 2" xfId="52427" xr:uid="{00000000-0005-0000-0000-0000C5030000}"/>
    <cellStyle name="20% - Accent1 2 3 3 2 3 2 2 3" xfId="39511" xr:uid="{00000000-0005-0000-0000-0000C6030000}"/>
    <cellStyle name="20% - Accent1 2 3 3 2 3 2 3" xfId="20095" xr:uid="{00000000-0005-0000-0000-0000C7030000}"/>
    <cellStyle name="20% - Accent1 2 3 3 2 3 2 3 2" xfId="45969" xr:uid="{00000000-0005-0000-0000-0000C8030000}"/>
    <cellStyle name="20% - Accent1 2 3 3 2 3 2 4" xfId="33053" xr:uid="{00000000-0005-0000-0000-0000C9030000}"/>
    <cellStyle name="20% - Accent1 2 3 3 2 3 3" xfId="10408" xr:uid="{00000000-0005-0000-0000-0000CA030000}"/>
    <cellStyle name="20% - Accent1 2 3 3 2 3 3 2" xfId="23325" xr:uid="{00000000-0005-0000-0000-0000CB030000}"/>
    <cellStyle name="20% - Accent1 2 3 3 2 3 3 2 2" xfId="49199" xr:uid="{00000000-0005-0000-0000-0000CC030000}"/>
    <cellStyle name="20% - Accent1 2 3 3 2 3 3 3" xfId="36283" xr:uid="{00000000-0005-0000-0000-0000CD030000}"/>
    <cellStyle name="20% - Accent1 2 3 3 2 3 4" xfId="16867" xr:uid="{00000000-0005-0000-0000-0000CE030000}"/>
    <cellStyle name="20% - Accent1 2 3 3 2 3 4 2" xfId="42741" xr:uid="{00000000-0005-0000-0000-0000CF030000}"/>
    <cellStyle name="20% - Accent1 2 3 3 2 3 5" xfId="29793" xr:uid="{00000000-0005-0000-0000-0000D0030000}"/>
    <cellStyle name="20% - Accent1 2 3 3 2 4" xfId="5563" xr:uid="{00000000-0005-0000-0000-0000D1030000}"/>
    <cellStyle name="20% - Accent1 2 3 3 2 4 2" xfId="12022" xr:uid="{00000000-0005-0000-0000-0000D2030000}"/>
    <cellStyle name="20% - Accent1 2 3 3 2 4 2 2" xfId="24939" xr:uid="{00000000-0005-0000-0000-0000D3030000}"/>
    <cellStyle name="20% - Accent1 2 3 3 2 4 2 2 2" xfId="50813" xr:uid="{00000000-0005-0000-0000-0000D4030000}"/>
    <cellStyle name="20% - Accent1 2 3 3 2 4 2 3" xfId="37897" xr:uid="{00000000-0005-0000-0000-0000D5030000}"/>
    <cellStyle name="20% - Accent1 2 3 3 2 4 3" xfId="18481" xr:uid="{00000000-0005-0000-0000-0000D6030000}"/>
    <cellStyle name="20% - Accent1 2 3 3 2 4 3 2" xfId="44355" xr:uid="{00000000-0005-0000-0000-0000D7030000}"/>
    <cellStyle name="20% - Accent1 2 3 3 2 4 4" xfId="31439" xr:uid="{00000000-0005-0000-0000-0000D8030000}"/>
    <cellStyle name="20% - Accent1 2 3 3 2 5" xfId="8794" xr:uid="{00000000-0005-0000-0000-0000D9030000}"/>
    <cellStyle name="20% - Accent1 2 3 3 2 5 2" xfId="21711" xr:uid="{00000000-0005-0000-0000-0000DA030000}"/>
    <cellStyle name="20% - Accent1 2 3 3 2 5 2 2" xfId="47585" xr:uid="{00000000-0005-0000-0000-0000DB030000}"/>
    <cellStyle name="20% - Accent1 2 3 3 2 5 3" xfId="34669" xr:uid="{00000000-0005-0000-0000-0000DC030000}"/>
    <cellStyle name="20% - Accent1 2 3 3 2 6" xfId="15253" xr:uid="{00000000-0005-0000-0000-0000DD030000}"/>
    <cellStyle name="20% - Accent1 2 3 3 2 6 2" xfId="41127" xr:uid="{00000000-0005-0000-0000-0000DE030000}"/>
    <cellStyle name="20% - Accent1 2 3 3 2 7" xfId="28179" xr:uid="{00000000-0005-0000-0000-0000DF030000}"/>
    <cellStyle name="20% - Accent1 2 3 3 2 8" xfId="54041" xr:uid="{00000000-0005-0000-0000-0000E0030000}"/>
    <cellStyle name="20% - Accent1 2 3 3 3" xfId="2693" xr:uid="{00000000-0005-0000-0000-0000E1030000}"/>
    <cellStyle name="20% - Accent1 2 3 3 3 2" xfId="4350" xr:uid="{00000000-0005-0000-0000-0000E2030000}"/>
    <cellStyle name="20% - Accent1 2 3 3 3 2 2" xfId="7581" xr:uid="{00000000-0005-0000-0000-0000E3030000}"/>
    <cellStyle name="20% - Accent1 2 3 3 3 2 2 2" xfId="14040" xr:uid="{00000000-0005-0000-0000-0000E4030000}"/>
    <cellStyle name="20% - Accent1 2 3 3 3 2 2 2 2" xfId="26957" xr:uid="{00000000-0005-0000-0000-0000E5030000}"/>
    <cellStyle name="20% - Accent1 2 3 3 3 2 2 2 2 2" xfId="52831" xr:uid="{00000000-0005-0000-0000-0000E6030000}"/>
    <cellStyle name="20% - Accent1 2 3 3 3 2 2 2 3" xfId="39915" xr:uid="{00000000-0005-0000-0000-0000E7030000}"/>
    <cellStyle name="20% - Accent1 2 3 3 3 2 2 3" xfId="20499" xr:uid="{00000000-0005-0000-0000-0000E8030000}"/>
    <cellStyle name="20% - Accent1 2 3 3 3 2 2 3 2" xfId="46373" xr:uid="{00000000-0005-0000-0000-0000E9030000}"/>
    <cellStyle name="20% - Accent1 2 3 3 3 2 2 4" xfId="33457" xr:uid="{00000000-0005-0000-0000-0000EA030000}"/>
    <cellStyle name="20% - Accent1 2 3 3 3 2 3" xfId="10812" xr:uid="{00000000-0005-0000-0000-0000EB030000}"/>
    <cellStyle name="20% - Accent1 2 3 3 3 2 3 2" xfId="23729" xr:uid="{00000000-0005-0000-0000-0000EC030000}"/>
    <cellStyle name="20% - Accent1 2 3 3 3 2 3 2 2" xfId="49603" xr:uid="{00000000-0005-0000-0000-0000ED030000}"/>
    <cellStyle name="20% - Accent1 2 3 3 3 2 3 3" xfId="36687" xr:uid="{00000000-0005-0000-0000-0000EE030000}"/>
    <cellStyle name="20% - Accent1 2 3 3 3 2 4" xfId="17271" xr:uid="{00000000-0005-0000-0000-0000EF030000}"/>
    <cellStyle name="20% - Accent1 2 3 3 3 2 4 2" xfId="43145" xr:uid="{00000000-0005-0000-0000-0000F0030000}"/>
    <cellStyle name="20% - Accent1 2 3 3 3 2 5" xfId="30197" xr:uid="{00000000-0005-0000-0000-0000F1030000}"/>
    <cellStyle name="20% - Accent1 2 3 3 3 3" xfId="5967" xr:uid="{00000000-0005-0000-0000-0000F2030000}"/>
    <cellStyle name="20% - Accent1 2 3 3 3 3 2" xfId="12426" xr:uid="{00000000-0005-0000-0000-0000F3030000}"/>
    <cellStyle name="20% - Accent1 2 3 3 3 3 2 2" xfId="25343" xr:uid="{00000000-0005-0000-0000-0000F4030000}"/>
    <cellStyle name="20% - Accent1 2 3 3 3 3 2 2 2" xfId="51217" xr:uid="{00000000-0005-0000-0000-0000F5030000}"/>
    <cellStyle name="20% - Accent1 2 3 3 3 3 2 3" xfId="38301" xr:uid="{00000000-0005-0000-0000-0000F6030000}"/>
    <cellStyle name="20% - Accent1 2 3 3 3 3 3" xfId="18885" xr:uid="{00000000-0005-0000-0000-0000F7030000}"/>
    <cellStyle name="20% - Accent1 2 3 3 3 3 3 2" xfId="44759" xr:uid="{00000000-0005-0000-0000-0000F8030000}"/>
    <cellStyle name="20% - Accent1 2 3 3 3 3 4" xfId="31843" xr:uid="{00000000-0005-0000-0000-0000F9030000}"/>
    <cellStyle name="20% - Accent1 2 3 3 3 4" xfId="9198" xr:uid="{00000000-0005-0000-0000-0000FA030000}"/>
    <cellStyle name="20% - Accent1 2 3 3 3 4 2" xfId="22115" xr:uid="{00000000-0005-0000-0000-0000FB030000}"/>
    <cellStyle name="20% - Accent1 2 3 3 3 4 2 2" xfId="47989" xr:uid="{00000000-0005-0000-0000-0000FC030000}"/>
    <cellStyle name="20% - Accent1 2 3 3 3 4 3" xfId="35073" xr:uid="{00000000-0005-0000-0000-0000FD030000}"/>
    <cellStyle name="20% - Accent1 2 3 3 3 5" xfId="15657" xr:uid="{00000000-0005-0000-0000-0000FE030000}"/>
    <cellStyle name="20% - Accent1 2 3 3 3 5 2" xfId="41531" xr:uid="{00000000-0005-0000-0000-0000FF030000}"/>
    <cellStyle name="20% - Accent1 2 3 3 3 6" xfId="28583" xr:uid="{00000000-0005-0000-0000-000000040000}"/>
    <cellStyle name="20% - Accent1 2 3 3 4" xfId="3520" xr:uid="{00000000-0005-0000-0000-000001040000}"/>
    <cellStyle name="20% - Accent1 2 3 3 4 2" xfId="6774" xr:uid="{00000000-0005-0000-0000-000002040000}"/>
    <cellStyle name="20% - Accent1 2 3 3 4 2 2" xfId="13233" xr:uid="{00000000-0005-0000-0000-000003040000}"/>
    <cellStyle name="20% - Accent1 2 3 3 4 2 2 2" xfId="26150" xr:uid="{00000000-0005-0000-0000-000004040000}"/>
    <cellStyle name="20% - Accent1 2 3 3 4 2 2 2 2" xfId="52024" xr:uid="{00000000-0005-0000-0000-000005040000}"/>
    <cellStyle name="20% - Accent1 2 3 3 4 2 2 3" xfId="39108" xr:uid="{00000000-0005-0000-0000-000006040000}"/>
    <cellStyle name="20% - Accent1 2 3 3 4 2 3" xfId="19692" xr:uid="{00000000-0005-0000-0000-000007040000}"/>
    <cellStyle name="20% - Accent1 2 3 3 4 2 3 2" xfId="45566" xr:uid="{00000000-0005-0000-0000-000008040000}"/>
    <cellStyle name="20% - Accent1 2 3 3 4 2 4" xfId="32650" xr:uid="{00000000-0005-0000-0000-000009040000}"/>
    <cellStyle name="20% - Accent1 2 3 3 4 3" xfId="10005" xr:uid="{00000000-0005-0000-0000-00000A040000}"/>
    <cellStyle name="20% - Accent1 2 3 3 4 3 2" xfId="22922" xr:uid="{00000000-0005-0000-0000-00000B040000}"/>
    <cellStyle name="20% - Accent1 2 3 3 4 3 2 2" xfId="48796" xr:uid="{00000000-0005-0000-0000-00000C040000}"/>
    <cellStyle name="20% - Accent1 2 3 3 4 3 3" xfId="35880" xr:uid="{00000000-0005-0000-0000-00000D040000}"/>
    <cellStyle name="20% - Accent1 2 3 3 4 4" xfId="16464" xr:uid="{00000000-0005-0000-0000-00000E040000}"/>
    <cellStyle name="20% - Accent1 2 3 3 4 4 2" xfId="42338" xr:uid="{00000000-0005-0000-0000-00000F040000}"/>
    <cellStyle name="20% - Accent1 2 3 3 4 5" xfId="29390" xr:uid="{00000000-0005-0000-0000-000010040000}"/>
    <cellStyle name="20% - Accent1 2 3 3 5" xfId="5160" xr:uid="{00000000-0005-0000-0000-000011040000}"/>
    <cellStyle name="20% - Accent1 2 3 3 5 2" xfId="11619" xr:uid="{00000000-0005-0000-0000-000012040000}"/>
    <cellStyle name="20% - Accent1 2 3 3 5 2 2" xfId="24536" xr:uid="{00000000-0005-0000-0000-000013040000}"/>
    <cellStyle name="20% - Accent1 2 3 3 5 2 2 2" xfId="50410" xr:uid="{00000000-0005-0000-0000-000014040000}"/>
    <cellStyle name="20% - Accent1 2 3 3 5 2 3" xfId="37494" xr:uid="{00000000-0005-0000-0000-000015040000}"/>
    <cellStyle name="20% - Accent1 2 3 3 5 3" xfId="18078" xr:uid="{00000000-0005-0000-0000-000016040000}"/>
    <cellStyle name="20% - Accent1 2 3 3 5 3 2" xfId="43952" xr:uid="{00000000-0005-0000-0000-000017040000}"/>
    <cellStyle name="20% - Accent1 2 3 3 5 4" xfId="31036" xr:uid="{00000000-0005-0000-0000-000018040000}"/>
    <cellStyle name="20% - Accent1 2 3 3 6" xfId="8390" xr:uid="{00000000-0005-0000-0000-000019040000}"/>
    <cellStyle name="20% - Accent1 2 3 3 6 2" xfId="21307" xr:uid="{00000000-0005-0000-0000-00001A040000}"/>
    <cellStyle name="20% - Accent1 2 3 3 6 2 2" xfId="47181" xr:uid="{00000000-0005-0000-0000-00001B040000}"/>
    <cellStyle name="20% - Accent1 2 3 3 6 3" xfId="34265" xr:uid="{00000000-0005-0000-0000-00001C040000}"/>
    <cellStyle name="20% - Accent1 2 3 3 7" xfId="14849" xr:uid="{00000000-0005-0000-0000-00001D040000}"/>
    <cellStyle name="20% - Accent1 2 3 3 7 2" xfId="40723" xr:uid="{00000000-0005-0000-0000-00001E040000}"/>
    <cellStyle name="20% - Accent1 2 3 3 8" xfId="27775" xr:uid="{00000000-0005-0000-0000-00001F040000}"/>
    <cellStyle name="20% - Accent1 2 3 3 9" xfId="53638" xr:uid="{00000000-0005-0000-0000-000020040000}"/>
    <cellStyle name="20% - Accent1 2 3 4" xfId="495" xr:uid="{00000000-0005-0000-0000-000021040000}"/>
    <cellStyle name="20% - Accent1 2 3 4 2" xfId="2882" xr:uid="{00000000-0005-0000-0000-000022040000}"/>
    <cellStyle name="20% - Accent1 2 3 4 2 2" xfId="4539" xr:uid="{00000000-0005-0000-0000-000023040000}"/>
    <cellStyle name="20% - Accent1 2 3 4 2 2 2" xfId="7770" xr:uid="{00000000-0005-0000-0000-000024040000}"/>
    <cellStyle name="20% - Accent1 2 3 4 2 2 2 2" xfId="14229" xr:uid="{00000000-0005-0000-0000-000025040000}"/>
    <cellStyle name="20% - Accent1 2 3 4 2 2 2 2 2" xfId="27146" xr:uid="{00000000-0005-0000-0000-000026040000}"/>
    <cellStyle name="20% - Accent1 2 3 4 2 2 2 2 2 2" xfId="53020" xr:uid="{00000000-0005-0000-0000-000027040000}"/>
    <cellStyle name="20% - Accent1 2 3 4 2 2 2 2 3" xfId="40104" xr:uid="{00000000-0005-0000-0000-000028040000}"/>
    <cellStyle name="20% - Accent1 2 3 4 2 2 2 3" xfId="20688" xr:uid="{00000000-0005-0000-0000-000029040000}"/>
    <cellStyle name="20% - Accent1 2 3 4 2 2 2 3 2" xfId="46562" xr:uid="{00000000-0005-0000-0000-00002A040000}"/>
    <cellStyle name="20% - Accent1 2 3 4 2 2 2 4" xfId="33646" xr:uid="{00000000-0005-0000-0000-00002B040000}"/>
    <cellStyle name="20% - Accent1 2 3 4 2 2 3" xfId="11001" xr:uid="{00000000-0005-0000-0000-00002C040000}"/>
    <cellStyle name="20% - Accent1 2 3 4 2 2 3 2" xfId="23918" xr:uid="{00000000-0005-0000-0000-00002D040000}"/>
    <cellStyle name="20% - Accent1 2 3 4 2 2 3 2 2" xfId="49792" xr:uid="{00000000-0005-0000-0000-00002E040000}"/>
    <cellStyle name="20% - Accent1 2 3 4 2 2 3 3" xfId="36876" xr:uid="{00000000-0005-0000-0000-00002F040000}"/>
    <cellStyle name="20% - Accent1 2 3 4 2 2 4" xfId="17460" xr:uid="{00000000-0005-0000-0000-000030040000}"/>
    <cellStyle name="20% - Accent1 2 3 4 2 2 4 2" xfId="43334" xr:uid="{00000000-0005-0000-0000-000031040000}"/>
    <cellStyle name="20% - Accent1 2 3 4 2 2 5" xfId="30386" xr:uid="{00000000-0005-0000-0000-000032040000}"/>
    <cellStyle name="20% - Accent1 2 3 4 2 3" xfId="6156" xr:uid="{00000000-0005-0000-0000-000033040000}"/>
    <cellStyle name="20% - Accent1 2 3 4 2 3 2" xfId="12615" xr:uid="{00000000-0005-0000-0000-000034040000}"/>
    <cellStyle name="20% - Accent1 2 3 4 2 3 2 2" xfId="25532" xr:uid="{00000000-0005-0000-0000-000035040000}"/>
    <cellStyle name="20% - Accent1 2 3 4 2 3 2 2 2" xfId="51406" xr:uid="{00000000-0005-0000-0000-000036040000}"/>
    <cellStyle name="20% - Accent1 2 3 4 2 3 2 3" xfId="38490" xr:uid="{00000000-0005-0000-0000-000037040000}"/>
    <cellStyle name="20% - Accent1 2 3 4 2 3 3" xfId="19074" xr:uid="{00000000-0005-0000-0000-000038040000}"/>
    <cellStyle name="20% - Accent1 2 3 4 2 3 3 2" xfId="44948" xr:uid="{00000000-0005-0000-0000-000039040000}"/>
    <cellStyle name="20% - Accent1 2 3 4 2 3 4" xfId="32032" xr:uid="{00000000-0005-0000-0000-00003A040000}"/>
    <cellStyle name="20% - Accent1 2 3 4 2 4" xfId="9387" xr:uid="{00000000-0005-0000-0000-00003B040000}"/>
    <cellStyle name="20% - Accent1 2 3 4 2 4 2" xfId="22304" xr:uid="{00000000-0005-0000-0000-00003C040000}"/>
    <cellStyle name="20% - Accent1 2 3 4 2 4 2 2" xfId="48178" xr:uid="{00000000-0005-0000-0000-00003D040000}"/>
    <cellStyle name="20% - Accent1 2 3 4 2 4 3" xfId="35262" xr:uid="{00000000-0005-0000-0000-00003E040000}"/>
    <cellStyle name="20% - Accent1 2 3 4 2 5" xfId="15846" xr:uid="{00000000-0005-0000-0000-00003F040000}"/>
    <cellStyle name="20% - Accent1 2 3 4 2 5 2" xfId="41720" xr:uid="{00000000-0005-0000-0000-000040040000}"/>
    <cellStyle name="20% - Accent1 2 3 4 2 6" xfId="28772" xr:uid="{00000000-0005-0000-0000-000041040000}"/>
    <cellStyle name="20% - Accent1 2 3 4 3" xfId="3709" xr:uid="{00000000-0005-0000-0000-000042040000}"/>
    <cellStyle name="20% - Accent1 2 3 4 3 2" xfId="6963" xr:uid="{00000000-0005-0000-0000-000043040000}"/>
    <cellStyle name="20% - Accent1 2 3 4 3 2 2" xfId="13422" xr:uid="{00000000-0005-0000-0000-000044040000}"/>
    <cellStyle name="20% - Accent1 2 3 4 3 2 2 2" xfId="26339" xr:uid="{00000000-0005-0000-0000-000045040000}"/>
    <cellStyle name="20% - Accent1 2 3 4 3 2 2 2 2" xfId="52213" xr:uid="{00000000-0005-0000-0000-000046040000}"/>
    <cellStyle name="20% - Accent1 2 3 4 3 2 2 3" xfId="39297" xr:uid="{00000000-0005-0000-0000-000047040000}"/>
    <cellStyle name="20% - Accent1 2 3 4 3 2 3" xfId="19881" xr:uid="{00000000-0005-0000-0000-000048040000}"/>
    <cellStyle name="20% - Accent1 2 3 4 3 2 3 2" xfId="45755" xr:uid="{00000000-0005-0000-0000-000049040000}"/>
    <cellStyle name="20% - Accent1 2 3 4 3 2 4" xfId="32839" xr:uid="{00000000-0005-0000-0000-00004A040000}"/>
    <cellStyle name="20% - Accent1 2 3 4 3 3" xfId="10194" xr:uid="{00000000-0005-0000-0000-00004B040000}"/>
    <cellStyle name="20% - Accent1 2 3 4 3 3 2" xfId="23111" xr:uid="{00000000-0005-0000-0000-00004C040000}"/>
    <cellStyle name="20% - Accent1 2 3 4 3 3 2 2" xfId="48985" xr:uid="{00000000-0005-0000-0000-00004D040000}"/>
    <cellStyle name="20% - Accent1 2 3 4 3 3 3" xfId="36069" xr:uid="{00000000-0005-0000-0000-00004E040000}"/>
    <cellStyle name="20% - Accent1 2 3 4 3 4" xfId="16653" xr:uid="{00000000-0005-0000-0000-00004F040000}"/>
    <cellStyle name="20% - Accent1 2 3 4 3 4 2" xfId="42527" xr:uid="{00000000-0005-0000-0000-000050040000}"/>
    <cellStyle name="20% - Accent1 2 3 4 3 5" xfId="29579" xr:uid="{00000000-0005-0000-0000-000051040000}"/>
    <cellStyle name="20% - Accent1 2 3 4 4" xfId="5349" xr:uid="{00000000-0005-0000-0000-000052040000}"/>
    <cellStyle name="20% - Accent1 2 3 4 4 2" xfId="11808" xr:uid="{00000000-0005-0000-0000-000053040000}"/>
    <cellStyle name="20% - Accent1 2 3 4 4 2 2" xfId="24725" xr:uid="{00000000-0005-0000-0000-000054040000}"/>
    <cellStyle name="20% - Accent1 2 3 4 4 2 2 2" xfId="50599" xr:uid="{00000000-0005-0000-0000-000055040000}"/>
    <cellStyle name="20% - Accent1 2 3 4 4 2 3" xfId="37683" xr:uid="{00000000-0005-0000-0000-000056040000}"/>
    <cellStyle name="20% - Accent1 2 3 4 4 3" xfId="18267" xr:uid="{00000000-0005-0000-0000-000057040000}"/>
    <cellStyle name="20% - Accent1 2 3 4 4 3 2" xfId="44141" xr:uid="{00000000-0005-0000-0000-000058040000}"/>
    <cellStyle name="20% - Accent1 2 3 4 4 4" xfId="31225" xr:uid="{00000000-0005-0000-0000-000059040000}"/>
    <cellStyle name="20% - Accent1 2 3 4 5" xfId="8580" xr:uid="{00000000-0005-0000-0000-00005A040000}"/>
    <cellStyle name="20% - Accent1 2 3 4 5 2" xfId="21497" xr:uid="{00000000-0005-0000-0000-00005B040000}"/>
    <cellStyle name="20% - Accent1 2 3 4 5 2 2" xfId="47371" xr:uid="{00000000-0005-0000-0000-00005C040000}"/>
    <cellStyle name="20% - Accent1 2 3 4 5 3" xfId="34455" xr:uid="{00000000-0005-0000-0000-00005D040000}"/>
    <cellStyle name="20% - Accent1 2 3 4 6" xfId="15039" xr:uid="{00000000-0005-0000-0000-00005E040000}"/>
    <cellStyle name="20% - Accent1 2 3 4 6 2" xfId="40913" xr:uid="{00000000-0005-0000-0000-00005F040000}"/>
    <cellStyle name="20% - Accent1 2 3 4 7" xfId="27965" xr:uid="{00000000-0005-0000-0000-000060040000}"/>
    <cellStyle name="20% - Accent1 2 3 4 8" xfId="53827" xr:uid="{00000000-0005-0000-0000-000061040000}"/>
    <cellStyle name="20% - Accent1 2 3 4 9" xfId="2064" xr:uid="{00000000-0005-0000-0000-000062040000}"/>
    <cellStyle name="20% - Accent1 2 3 5" xfId="2498" xr:uid="{00000000-0005-0000-0000-000063040000}"/>
    <cellStyle name="20% - Accent1 2 3 5 2" xfId="4155" xr:uid="{00000000-0005-0000-0000-000064040000}"/>
    <cellStyle name="20% - Accent1 2 3 5 2 2" xfId="7386" xr:uid="{00000000-0005-0000-0000-000065040000}"/>
    <cellStyle name="20% - Accent1 2 3 5 2 2 2" xfId="13845" xr:uid="{00000000-0005-0000-0000-000066040000}"/>
    <cellStyle name="20% - Accent1 2 3 5 2 2 2 2" xfId="26762" xr:uid="{00000000-0005-0000-0000-000067040000}"/>
    <cellStyle name="20% - Accent1 2 3 5 2 2 2 2 2" xfId="52636" xr:uid="{00000000-0005-0000-0000-000068040000}"/>
    <cellStyle name="20% - Accent1 2 3 5 2 2 2 3" xfId="39720" xr:uid="{00000000-0005-0000-0000-000069040000}"/>
    <cellStyle name="20% - Accent1 2 3 5 2 2 3" xfId="20304" xr:uid="{00000000-0005-0000-0000-00006A040000}"/>
    <cellStyle name="20% - Accent1 2 3 5 2 2 3 2" xfId="46178" xr:uid="{00000000-0005-0000-0000-00006B040000}"/>
    <cellStyle name="20% - Accent1 2 3 5 2 2 4" xfId="33262" xr:uid="{00000000-0005-0000-0000-00006C040000}"/>
    <cellStyle name="20% - Accent1 2 3 5 2 3" xfId="10617" xr:uid="{00000000-0005-0000-0000-00006D040000}"/>
    <cellStyle name="20% - Accent1 2 3 5 2 3 2" xfId="23534" xr:uid="{00000000-0005-0000-0000-00006E040000}"/>
    <cellStyle name="20% - Accent1 2 3 5 2 3 2 2" xfId="49408" xr:uid="{00000000-0005-0000-0000-00006F040000}"/>
    <cellStyle name="20% - Accent1 2 3 5 2 3 3" xfId="36492" xr:uid="{00000000-0005-0000-0000-000070040000}"/>
    <cellStyle name="20% - Accent1 2 3 5 2 4" xfId="17076" xr:uid="{00000000-0005-0000-0000-000071040000}"/>
    <cellStyle name="20% - Accent1 2 3 5 2 4 2" xfId="42950" xr:uid="{00000000-0005-0000-0000-000072040000}"/>
    <cellStyle name="20% - Accent1 2 3 5 2 5" xfId="30002" xr:uid="{00000000-0005-0000-0000-000073040000}"/>
    <cellStyle name="20% - Accent1 2 3 5 3" xfId="5772" xr:uid="{00000000-0005-0000-0000-000074040000}"/>
    <cellStyle name="20% - Accent1 2 3 5 3 2" xfId="12231" xr:uid="{00000000-0005-0000-0000-000075040000}"/>
    <cellStyle name="20% - Accent1 2 3 5 3 2 2" xfId="25148" xr:uid="{00000000-0005-0000-0000-000076040000}"/>
    <cellStyle name="20% - Accent1 2 3 5 3 2 2 2" xfId="51022" xr:uid="{00000000-0005-0000-0000-000077040000}"/>
    <cellStyle name="20% - Accent1 2 3 5 3 2 3" xfId="38106" xr:uid="{00000000-0005-0000-0000-000078040000}"/>
    <cellStyle name="20% - Accent1 2 3 5 3 3" xfId="18690" xr:uid="{00000000-0005-0000-0000-000079040000}"/>
    <cellStyle name="20% - Accent1 2 3 5 3 3 2" xfId="44564" xr:uid="{00000000-0005-0000-0000-00007A040000}"/>
    <cellStyle name="20% - Accent1 2 3 5 3 4" xfId="31648" xr:uid="{00000000-0005-0000-0000-00007B040000}"/>
    <cellStyle name="20% - Accent1 2 3 5 4" xfId="9003" xr:uid="{00000000-0005-0000-0000-00007C040000}"/>
    <cellStyle name="20% - Accent1 2 3 5 4 2" xfId="21920" xr:uid="{00000000-0005-0000-0000-00007D040000}"/>
    <cellStyle name="20% - Accent1 2 3 5 4 2 2" xfId="47794" xr:uid="{00000000-0005-0000-0000-00007E040000}"/>
    <cellStyle name="20% - Accent1 2 3 5 4 3" xfId="34878" xr:uid="{00000000-0005-0000-0000-00007F040000}"/>
    <cellStyle name="20% - Accent1 2 3 5 5" xfId="15462" xr:uid="{00000000-0005-0000-0000-000080040000}"/>
    <cellStyle name="20% - Accent1 2 3 5 5 2" xfId="41336" xr:uid="{00000000-0005-0000-0000-000081040000}"/>
    <cellStyle name="20% - Accent1 2 3 5 6" xfId="28388" xr:uid="{00000000-0005-0000-0000-000082040000}"/>
    <cellStyle name="20% - Accent1 2 3 6" xfId="3318" xr:uid="{00000000-0005-0000-0000-000083040000}"/>
    <cellStyle name="20% - Accent1 2 3 6 2" xfId="6579" xr:uid="{00000000-0005-0000-0000-000084040000}"/>
    <cellStyle name="20% - Accent1 2 3 6 2 2" xfId="13038" xr:uid="{00000000-0005-0000-0000-000085040000}"/>
    <cellStyle name="20% - Accent1 2 3 6 2 2 2" xfId="25955" xr:uid="{00000000-0005-0000-0000-000086040000}"/>
    <cellStyle name="20% - Accent1 2 3 6 2 2 2 2" xfId="51829" xr:uid="{00000000-0005-0000-0000-000087040000}"/>
    <cellStyle name="20% - Accent1 2 3 6 2 2 3" xfId="38913" xr:uid="{00000000-0005-0000-0000-000088040000}"/>
    <cellStyle name="20% - Accent1 2 3 6 2 3" xfId="19497" xr:uid="{00000000-0005-0000-0000-000089040000}"/>
    <cellStyle name="20% - Accent1 2 3 6 2 3 2" xfId="45371" xr:uid="{00000000-0005-0000-0000-00008A040000}"/>
    <cellStyle name="20% - Accent1 2 3 6 2 4" xfId="32455" xr:uid="{00000000-0005-0000-0000-00008B040000}"/>
    <cellStyle name="20% - Accent1 2 3 6 3" xfId="9810" xr:uid="{00000000-0005-0000-0000-00008C040000}"/>
    <cellStyle name="20% - Accent1 2 3 6 3 2" xfId="22727" xr:uid="{00000000-0005-0000-0000-00008D040000}"/>
    <cellStyle name="20% - Accent1 2 3 6 3 2 2" xfId="48601" xr:uid="{00000000-0005-0000-0000-00008E040000}"/>
    <cellStyle name="20% - Accent1 2 3 6 3 3" xfId="35685" xr:uid="{00000000-0005-0000-0000-00008F040000}"/>
    <cellStyle name="20% - Accent1 2 3 6 4" xfId="16269" xr:uid="{00000000-0005-0000-0000-000090040000}"/>
    <cellStyle name="20% - Accent1 2 3 6 4 2" xfId="42143" xr:uid="{00000000-0005-0000-0000-000091040000}"/>
    <cellStyle name="20% - Accent1 2 3 6 5" xfId="29195" xr:uid="{00000000-0005-0000-0000-000092040000}"/>
    <cellStyle name="20% - Accent1 2 3 7" xfId="4965" xr:uid="{00000000-0005-0000-0000-000093040000}"/>
    <cellStyle name="20% - Accent1 2 3 7 2" xfId="11424" xr:uid="{00000000-0005-0000-0000-000094040000}"/>
    <cellStyle name="20% - Accent1 2 3 7 2 2" xfId="24341" xr:uid="{00000000-0005-0000-0000-000095040000}"/>
    <cellStyle name="20% - Accent1 2 3 7 2 2 2" xfId="50215" xr:uid="{00000000-0005-0000-0000-000096040000}"/>
    <cellStyle name="20% - Accent1 2 3 7 2 3" xfId="37299" xr:uid="{00000000-0005-0000-0000-000097040000}"/>
    <cellStyle name="20% - Accent1 2 3 7 3" xfId="17883" xr:uid="{00000000-0005-0000-0000-000098040000}"/>
    <cellStyle name="20% - Accent1 2 3 7 3 2" xfId="43757" xr:uid="{00000000-0005-0000-0000-000099040000}"/>
    <cellStyle name="20% - Accent1 2 3 7 4" xfId="30841" xr:uid="{00000000-0005-0000-0000-00009A040000}"/>
    <cellStyle name="20% - Accent1 2 3 8" xfId="8196" xr:uid="{00000000-0005-0000-0000-00009B040000}"/>
    <cellStyle name="20% - Accent1 2 3 8 2" xfId="21113" xr:uid="{00000000-0005-0000-0000-00009C040000}"/>
    <cellStyle name="20% - Accent1 2 3 8 2 2" xfId="46987" xr:uid="{00000000-0005-0000-0000-00009D040000}"/>
    <cellStyle name="20% - Accent1 2 3 8 3" xfId="34071" xr:uid="{00000000-0005-0000-0000-00009E040000}"/>
    <cellStyle name="20% - Accent1 2 3 9" xfId="14655" xr:uid="{00000000-0005-0000-0000-00009F040000}"/>
    <cellStyle name="20% - Accent1 2 3 9 2" xfId="40529" xr:uid="{00000000-0005-0000-0000-0000A0040000}"/>
    <cellStyle name="20% - Accent1 2 4" xfId="1533" xr:uid="{00000000-0005-0000-0000-0000A1040000}"/>
    <cellStyle name="20% - Accent1 2 4 10" xfId="53481" xr:uid="{00000000-0005-0000-0000-0000A2040000}"/>
    <cellStyle name="20% - Accent1 2 4 2" xfId="1890" xr:uid="{00000000-0005-0000-0000-0000A3040000}"/>
    <cellStyle name="20% - Accent1 2 4 2 2" xfId="2321" xr:uid="{00000000-0005-0000-0000-0000A4040000}"/>
    <cellStyle name="20% - Accent1 2 4 2 2 2" xfId="3134" xr:uid="{00000000-0005-0000-0000-0000A5040000}"/>
    <cellStyle name="20% - Accent1 2 4 2 2 2 2" xfId="4791" xr:uid="{00000000-0005-0000-0000-0000A6040000}"/>
    <cellStyle name="20% - Accent1 2 4 2 2 2 2 2" xfId="8022" xr:uid="{00000000-0005-0000-0000-0000A7040000}"/>
    <cellStyle name="20% - Accent1 2 4 2 2 2 2 2 2" xfId="14481" xr:uid="{00000000-0005-0000-0000-0000A8040000}"/>
    <cellStyle name="20% - Accent1 2 4 2 2 2 2 2 2 2" xfId="27398" xr:uid="{00000000-0005-0000-0000-0000A9040000}"/>
    <cellStyle name="20% - Accent1 2 4 2 2 2 2 2 2 2 2" xfId="53272" xr:uid="{00000000-0005-0000-0000-0000AA040000}"/>
    <cellStyle name="20% - Accent1 2 4 2 2 2 2 2 2 3" xfId="40356" xr:uid="{00000000-0005-0000-0000-0000AB040000}"/>
    <cellStyle name="20% - Accent1 2 4 2 2 2 2 2 3" xfId="20940" xr:uid="{00000000-0005-0000-0000-0000AC040000}"/>
    <cellStyle name="20% - Accent1 2 4 2 2 2 2 2 3 2" xfId="46814" xr:uid="{00000000-0005-0000-0000-0000AD040000}"/>
    <cellStyle name="20% - Accent1 2 4 2 2 2 2 2 4" xfId="33898" xr:uid="{00000000-0005-0000-0000-0000AE040000}"/>
    <cellStyle name="20% - Accent1 2 4 2 2 2 2 3" xfId="11253" xr:uid="{00000000-0005-0000-0000-0000AF040000}"/>
    <cellStyle name="20% - Accent1 2 4 2 2 2 2 3 2" xfId="24170" xr:uid="{00000000-0005-0000-0000-0000B0040000}"/>
    <cellStyle name="20% - Accent1 2 4 2 2 2 2 3 2 2" xfId="50044" xr:uid="{00000000-0005-0000-0000-0000B1040000}"/>
    <cellStyle name="20% - Accent1 2 4 2 2 2 2 3 3" xfId="37128" xr:uid="{00000000-0005-0000-0000-0000B2040000}"/>
    <cellStyle name="20% - Accent1 2 4 2 2 2 2 4" xfId="17712" xr:uid="{00000000-0005-0000-0000-0000B3040000}"/>
    <cellStyle name="20% - Accent1 2 4 2 2 2 2 4 2" xfId="43586" xr:uid="{00000000-0005-0000-0000-0000B4040000}"/>
    <cellStyle name="20% - Accent1 2 4 2 2 2 2 5" xfId="30638" xr:uid="{00000000-0005-0000-0000-0000B5040000}"/>
    <cellStyle name="20% - Accent1 2 4 2 2 2 3" xfId="6408" xr:uid="{00000000-0005-0000-0000-0000B6040000}"/>
    <cellStyle name="20% - Accent1 2 4 2 2 2 3 2" xfId="12867" xr:uid="{00000000-0005-0000-0000-0000B7040000}"/>
    <cellStyle name="20% - Accent1 2 4 2 2 2 3 2 2" xfId="25784" xr:uid="{00000000-0005-0000-0000-0000B8040000}"/>
    <cellStyle name="20% - Accent1 2 4 2 2 2 3 2 2 2" xfId="51658" xr:uid="{00000000-0005-0000-0000-0000B9040000}"/>
    <cellStyle name="20% - Accent1 2 4 2 2 2 3 2 3" xfId="38742" xr:uid="{00000000-0005-0000-0000-0000BA040000}"/>
    <cellStyle name="20% - Accent1 2 4 2 2 2 3 3" xfId="19326" xr:uid="{00000000-0005-0000-0000-0000BB040000}"/>
    <cellStyle name="20% - Accent1 2 4 2 2 2 3 3 2" xfId="45200" xr:uid="{00000000-0005-0000-0000-0000BC040000}"/>
    <cellStyle name="20% - Accent1 2 4 2 2 2 3 4" xfId="32284" xr:uid="{00000000-0005-0000-0000-0000BD040000}"/>
    <cellStyle name="20% - Accent1 2 4 2 2 2 4" xfId="9639" xr:uid="{00000000-0005-0000-0000-0000BE040000}"/>
    <cellStyle name="20% - Accent1 2 4 2 2 2 4 2" xfId="22556" xr:uid="{00000000-0005-0000-0000-0000BF040000}"/>
    <cellStyle name="20% - Accent1 2 4 2 2 2 4 2 2" xfId="48430" xr:uid="{00000000-0005-0000-0000-0000C0040000}"/>
    <cellStyle name="20% - Accent1 2 4 2 2 2 4 3" xfId="35514" xr:uid="{00000000-0005-0000-0000-0000C1040000}"/>
    <cellStyle name="20% - Accent1 2 4 2 2 2 5" xfId="16098" xr:uid="{00000000-0005-0000-0000-0000C2040000}"/>
    <cellStyle name="20% - Accent1 2 4 2 2 2 5 2" xfId="41972" xr:uid="{00000000-0005-0000-0000-0000C3040000}"/>
    <cellStyle name="20% - Accent1 2 4 2 2 2 6" xfId="29024" xr:uid="{00000000-0005-0000-0000-0000C4040000}"/>
    <cellStyle name="20% - Accent1 2 4 2 2 3" xfId="3961" xr:uid="{00000000-0005-0000-0000-0000C5040000}"/>
    <cellStyle name="20% - Accent1 2 4 2 2 3 2" xfId="7215" xr:uid="{00000000-0005-0000-0000-0000C6040000}"/>
    <cellStyle name="20% - Accent1 2 4 2 2 3 2 2" xfId="13674" xr:uid="{00000000-0005-0000-0000-0000C7040000}"/>
    <cellStyle name="20% - Accent1 2 4 2 2 3 2 2 2" xfId="26591" xr:uid="{00000000-0005-0000-0000-0000C8040000}"/>
    <cellStyle name="20% - Accent1 2 4 2 2 3 2 2 2 2" xfId="52465" xr:uid="{00000000-0005-0000-0000-0000C9040000}"/>
    <cellStyle name="20% - Accent1 2 4 2 2 3 2 2 3" xfId="39549" xr:uid="{00000000-0005-0000-0000-0000CA040000}"/>
    <cellStyle name="20% - Accent1 2 4 2 2 3 2 3" xfId="20133" xr:uid="{00000000-0005-0000-0000-0000CB040000}"/>
    <cellStyle name="20% - Accent1 2 4 2 2 3 2 3 2" xfId="46007" xr:uid="{00000000-0005-0000-0000-0000CC040000}"/>
    <cellStyle name="20% - Accent1 2 4 2 2 3 2 4" xfId="33091" xr:uid="{00000000-0005-0000-0000-0000CD040000}"/>
    <cellStyle name="20% - Accent1 2 4 2 2 3 3" xfId="10446" xr:uid="{00000000-0005-0000-0000-0000CE040000}"/>
    <cellStyle name="20% - Accent1 2 4 2 2 3 3 2" xfId="23363" xr:uid="{00000000-0005-0000-0000-0000CF040000}"/>
    <cellStyle name="20% - Accent1 2 4 2 2 3 3 2 2" xfId="49237" xr:uid="{00000000-0005-0000-0000-0000D0040000}"/>
    <cellStyle name="20% - Accent1 2 4 2 2 3 3 3" xfId="36321" xr:uid="{00000000-0005-0000-0000-0000D1040000}"/>
    <cellStyle name="20% - Accent1 2 4 2 2 3 4" xfId="16905" xr:uid="{00000000-0005-0000-0000-0000D2040000}"/>
    <cellStyle name="20% - Accent1 2 4 2 2 3 4 2" xfId="42779" xr:uid="{00000000-0005-0000-0000-0000D3040000}"/>
    <cellStyle name="20% - Accent1 2 4 2 2 3 5" xfId="29831" xr:uid="{00000000-0005-0000-0000-0000D4040000}"/>
    <cellStyle name="20% - Accent1 2 4 2 2 4" xfId="5601" xr:uid="{00000000-0005-0000-0000-0000D5040000}"/>
    <cellStyle name="20% - Accent1 2 4 2 2 4 2" xfId="12060" xr:uid="{00000000-0005-0000-0000-0000D6040000}"/>
    <cellStyle name="20% - Accent1 2 4 2 2 4 2 2" xfId="24977" xr:uid="{00000000-0005-0000-0000-0000D7040000}"/>
    <cellStyle name="20% - Accent1 2 4 2 2 4 2 2 2" xfId="50851" xr:uid="{00000000-0005-0000-0000-0000D8040000}"/>
    <cellStyle name="20% - Accent1 2 4 2 2 4 2 3" xfId="37935" xr:uid="{00000000-0005-0000-0000-0000D9040000}"/>
    <cellStyle name="20% - Accent1 2 4 2 2 4 3" xfId="18519" xr:uid="{00000000-0005-0000-0000-0000DA040000}"/>
    <cellStyle name="20% - Accent1 2 4 2 2 4 3 2" xfId="44393" xr:uid="{00000000-0005-0000-0000-0000DB040000}"/>
    <cellStyle name="20% - Accent1 2 4 2 2 4 4" xfId="31477" xr:uid="{00000000-0005-0000-0000-0000DC040000}"/>
    <cellStyle name="20% - Accent1 2 4 2 2 5" xfId="8832" xr:uid="{00000000-0005-0000-0000-0000DD040000}"/>
    <cellStyle name="20% - Accent1 2 4 2 2 5 2" xfId="21749" xr:uid="{00000000-0005-0000-0000-0000DE040000}"/>
    <cellStyle name="20% - Accent1 2 4 2 2 5 2 2" xfId="47623" xr:uid="{00000000-0005-0000-0000-0000DF040000}"/>
    <cellStyle name="20% - Accent1 2 4 2 2 5 3" xfId="34707" xr:uid="{00000000-0005-0000-0000-0000E0040000}"/>
    <cellStyle name="20% - Accent1 2 4 2 2 6" xfId="15291" xr:uid="{00000000-0005-0000-0000-0000E1040000}"/>
    <cellStyle name="20% - Accent1 2 4 2 2 6 2" xfId="41165" xr:uid="{00000000-0005-0000-0000-0000E2040000}"/>
    <cellStyle name="20% - Accent1 2 4 2 2 7" xfId="28217" xr:uid="{00000000-0005-0000-0000-0000E3040000}"/>
    <cellStyle name="20% - Accent1 2 4 2 2 8" xfId="54079" xr:uid="{00000000-0005-0000-0000-0000E4040000}"/>
    <cellStyle name="20% - Accent1 2 4 2 3" xfId="2730" xr:uid="{00000000-0005-0000-0000-0000E5040000}"/>
    <cellStyle name="20% - Accent1 2 4 2 3 2" xfId="4387" xr:uid="{00000000-0005-0000-0000-0000E6040000}"/>
    <cellStyle name="20% - Accent1 2 4 2 3 2 2" xfId="7618" xr:uid="{00000000-0005-0000-0000-0000E7040000}"/>
    <cellStyle name="20% - Accent1 2 4 2 3 2 2 2" xfId="14077" xr:uid="{00000000-0005-0000-0000-0000E8040000}"/>
    <cellStyle name="20% - Accent1 2 4 2 3 2 2 2 2" xfId="26994" xr:uid="{00000000-0005-0000-0000-0000E9040000}"/>
    <cellStyle name="20% - Accent1 2 4 2 3 2 2 2 2 2" xfId="52868" xr:uid="{00000000-0005-0000-0000-0000EA040000}"/>
    <cellStyle name="20% - Accent1 2 4 2 3 2 2 2 3" xfId="39952" xr:uid="{00000000-0005-0000-0000-0000EB040000}"/>
    <cellStyle name="20% - Accent1 2 4 2 3 2 2 3" xfId="20536" xr:uid="{00000000-0005-0000-0000-0000EC040000}"/>
    <cellStyle name="20% - Accent1 2 4 2 3 2 2 3 2" xfId="46410" xr:uid="{00000000-0005-0000-0000-0000ED040000}"/>
    <cellStyle name="20% - Accent1 2 4 2 3 2 2 4" xfId="33494" xr:uid="{00000000-0005-0000-0000-0000EE040000}"/>
    <cellStyle name="20% - Accent1 2 4 2 3 2 3" xfId="10849" xr:uid="{00000000-0005-0000-0000-0000EF040000}"/>
    <cellStyle name="20% - Accent1 2 4 2 3 2 3 2" xfId="23766" xr:uid="{00000000-0005-0000-0000-0000F0040000}"/>
    <cellStyle name="20% - Accent1 2 4 2 3 2 3 2 2" xfId="49640" xr:uid="{00000000-0005-0000-0000-0000F1040000}"/>
    <cellStyle name="20% - Accent1 2 4 2 3 2 3 3" xfId="36724" xr:uid="{00000000-0005-0000-0000-0000F2040000}"/>
    <cellStyle name="20% - Accent1 2 4 2 3 2 4" xfId="17308" xr:uid="{00000000-0005-0000-0000-0000F3040000}"/>
    <cellStyle name="20% - Accent1 2 4 2 3 2 4 2" xfId="43182" xr:uid="{00000000-0005-0000-0000-0000F4040000}"/>
    <cellStyle name="20% - Accent1 2 4 2 3 2 5" xfId="30234" xr:uid="{00000000-0005-0000-0000-0000F5040000}"/>
    <cellStyle name="20% - Accent1 2 4 2 3 3" xfId="6004" xr:uid="{00000000-0005-0000-0000-0000F6040000}"/>
    <cellStyle name="20% - Accent1 2 4 2 3 3 2" xfId="12463" xr:uid="{00000000-0005-0000-0000-0000F7040000}"/>
    <cellStyle name="20% - Accent1 2 4 2 3 3 2 2" xfId="25380" xr:uid="{00000000-0005-0000-0000-0000F8040000}"/>
    <cellStyle name="20% - Accent1 2 4 2 3 3 2 2 2" xfId="51254" xr:uid="{00000000-0005-0000-0000-0000F9040000}"/>
    <cellStyle name="20% - Accent1 2 4 2 3 3 2 3" xfId="38338" xr:uid="{00000000-0005-0000-0000-0000FA040000}"/>
    <cellStyle name="20% - Accent1 2 4 2 3 3 3" xfId="18922" xr:uid="{00000000-0005-0000-0000-0000FB040000}"/>
    <cellStyle name="20% - Accent1 2 4 2 3 3 3 2" xfId="44796" xr:uid="{00000000-0005-0000-0000-0000FC040000}"/>
    <cellStyle name="20% - Accent1 2 4 2 3 3 4" xfId="31880" xr:uid="{00000000-0005-0000-0000-0000FD040000}"/>
    <cellStyle name="20% - Accent1 2 4 2 3 4" xfId="9235" xr:uid="{00000000-0005-0000-0000-0000FE040000}"/>
    <cellStyle name="20% - Accent1 2 4 2 3 4 2" xfId="22152" xr:uid="{00000000-0005-0000-0000-0000FF040000}"/>
    <cellStyle name="20% - Accent1 2 4 2 3 4 2 2" xfId="48026" xr:uid="{00000000-0005-0000-0000-000000050000}"/>
    <cellStyle name="20% - Accent1 2 4 2 3 4 3" xfId="35110" xr:uid="{00000000-0005-0000-0000-000001050000}"/>
    <cellStyle name="20% - Accent1 2 4 2 3 5" xfId="15694" xr:uid="{00000000-0005-0000-0000-000002050000}"/>
    <cellStyle name="20% - Accent1 2 4 2 3 5 2" xfId="41568" xr:uid="{00000000-0005-0000-0000-000003050000}"/>
    <cellStyle name="20% - Accent1 2 4 2 3 6" xfId="28620" xr:uid="{00000000-0005-0000-0000-000004050000}"/>
    <cellStyle name="20% - Accent1 2 4 2 4" xfId="3557" xr:uid="{00000000-0005-0000-0000-000005050000}"/>
    <cellStyle name="20% - Accent1 2 4 2 4 2" xfId="6811" xr:uid="{00000000-0005-0000-0000-000006050000}"/>
    <cellStyle name="20% - Accent1 2 4 2 4 2 2" xfId="13270" xr:uid="{00000000-0005-0000-0000-000007050000}"/>
    <cellStyle name="20% - Accent1 2 4 2 4 2 2 2" xfId="26187" xr:uid="{00000000-0005-0000-0000-000008050000}"/>
    <cellStyle name="20% - Accent1 2 4 2 4 2 2 2 2" xfId="52061" xr:uid="{00000000-0005-0000-0000-000009050000}"/>
    <cellStyle name="20% - Accent1 2 4 2 4 2 2 3" xfId="39145" xr:uid="{00000000-0005-0000-0000-00000A050000}"/>
    <cellStyle name="20% - Accent1 2 4 2 4 2 3" xfId="19729" xr:uid="{00000000-0005-0000-0000-00000B050000}"/>
    <cellStyle name="20% - Accent1 2 4 2 4 2 3 2" xfId="45603" xr:uid="{00000000-0005-0000-0000-00000C050000}"/>
    <cellStyle name="20% - Accent1 2 4 2 4 2 4" xfId="32687" xr:uid="{00000000-0005-0000-0000-00000D050000}"/>
    <cellStyle name="20% - Accent1 2 4 2 4 3" xfId="10042" xr:uid="{00000000-0005-0000-0000-00000E050000}"/>
    <cellStyle name="20% - Accent1 2 4 2 4 3 2" xfId="22959" xr:uid="{00000000-0005-0000-0000-00000F050000}"/>
    <cellStyle name="20% - Accent1 2 4 2 4 3 2 2" xfId="48833" xr:uid="{00000000-0005-0000-0000-000010050000}"/>
    <cellStyle name="20% - Accent1 2 4 2 4 3 3" xfId="35917" xr:uid="{00000000-0005-0000-0000-000011050000}"/>
    <cellStyle name="20% - Accent1 2 4 2 4 4" xfId="16501" xr:uid="{00000000-0005-0000-0000-000012050000}"/>
    <cellStyle name="20% - Accent1 2 4 2 4 4 2" xfId="42375" xr:uid="{00000000-0005-0000-0000-000013050000}"/>
    <cellStyle name="20% - Accent1 2 4 2 4 5" xfId="29427" xr:uid="{00000000-0005-0000-0000-000014050000}"/>
    <cellStyle name="20% - Accent1 2 4 2 5" xfId="5197" xr:uid="{00000000-0005-0000-0000-000015050000}"/>
    <cellStyle name="20% - Accent1 2 4 2 5 2" xfId="11656" xr:uid="{00000000-0005-0000-0000-000016050000}"/>
    <cellStyle name="20% - Accent1 2 4 2 5 2 2" xfId="24573" xr:uid="{00000000-0005-0000-0000-000017050000}"/>
    <cellStyle name="20% - Accent1 2 4 2 5 2 2 2" xfId="50447" xr:uid="{00000000-0005-0000-0000-000018050000}"/>
    <cellStyle name="20% - Accent1 2 4 2 5 2 3" xfId="37531" xr:uid="{00000000-0005-0000-0000-000019050000}"/>
    <cellStyle name="20% - Accent1 2 4 2 5 3" xfId="18115" xr:uid="{00000000-0005-0000-0000-00001A050000}"/>
    <cellStyle name="20% - Accent1 2 4 2 5 3 2" xfId="43989" xr:uid="{00000000-0005-0000-0000-00001B050000}"/>
    <cellStyle name="20% - Accent1 2 4 2 5 4" xfId="31073" xr:uid="{00000000-0005-0000-0000-00001C050000}"/>
    <cellStyle name="20% - Accent1 2 4 2 6" xfId="8428" xr:uid="{00000000-0005-0000-0000-00001D050000}"/>
    <cellStyle name="20% - Accent1 2 4 2 6 2" xfId="21345" xr:uid="{00000000-0005-0000-0000-00001E050000}"/>
    <cellStyle name="20% - Accent1 2 4 2 6 2 2" xfId="47219" xr:uid="{00000000-0005-0000-0000-00001F050000}"/>
    <cellStyle name="20% - Accent1 2 4 2 6 3" xfId="34303" xr:uid="{00000000-0005-0000-0000-000020050000}"/>
    <cellStyle name="20% - Accent1 2 4 2 7" xfId="14887" xr:uid="{00000000-0005-0000-0000-000021050000}"/>
    <cellStyle name="20% - Accent1 2 4 2 7 2" xfId="40761" xr:uid="{00000000-0005-0000-0000-000022050000}"/>
    <cellStyle name="20% - Accent1 2 4 2 8" xfId="27812" xr:uid="{00000000-0005-0000-0000-000023050000}"/>
    <cellStyle name="20% - Accent1 2 4 2 9" xfId="53675" xr:uid="{00000000-0005-0000-0000-000024050000}"/>
    <cellStyle name="20% - Accent1 2 4 3" xfId="2125" xr:uid="{00000000-0005-0000-0000-000025050000}"/>
    <cellStyle name="20% - Accent1 2 4 3 2" xfId="2939" xr:uid="{00000000-0005-0000-0000-000026050000}"/>
    <cellStyle name="20% - Accent1 2 4 3 2 2" xfId="4596" xr:uid="{00000000-0005-0000-0000-000027050000}"/>
    <cellStyle name="20% - Accent1 2 4 3 2 2 2" xfId="7827" xr:uid="{00000000-0005-0000-0000-000028050000}"/>
    <cellStyle name="20% - Accent1 2 4 3 2 2 2 2" xfId="14286" xr:uid="{00000000-0005-0000-0000-000029050000}"/>
    <cellStyle name="20% - Accent1 2 4 3 2 2 2 2 2" xfId="27203" xr:uid="{00000000-0005-0000-0000-00002A050000}"/>
    <cellStyle name="20% - Accent1 2 4 3 2 2 2 2 2 2" xfId="53077" xr:uid="{00000000-0005-0000-0000-00002B050000}"/>
    <cellStyle name="20% - Accent1 2 4 3 2 2 2 2 3" xfId="40161" xr:uid="{00000000-0005-0000-0000-00002C050000}"/>
    <cellStyle name="20% - Accent1 2 4 3 2 2 2 3" xfId="20745" xr:uid="{00000000-0005-0000-0000-00002D050000}"/>
    <cellStyle name="20% - Accent1 2 4 3 2 2 2 3 2" xfId="46619" xr:uid="{00000000-0005-0000-0000-00002E050000}"/>
    <cellStyle name="20% - Accent1 2 4 3 2 2 2 4" xfId="33703" xr:uid="{00000000-0005-0000-0000-00002F050000}"/>
    <cellStyle name="20% - Accent1 2 4 3 2 2 3" xfId="11058" xr:uid="{00000000-0005-0000-0000-000030050000}"/>
    <cellStyle name="20% - Accent1 2 4 3 2 2 3 2" xfId="23975" xr:uid="{00000000-0005-0000-0000-000031050000}"/>
    <cellStyle name="20% - Accent1 2 4 3 2 2 3 2 2" xfId="49849" xr:uid="{00000000-0005-0000-0000-000032050000}"/>
    <cellStyle name="20% - Accent1 2 4 3 2 2 3 3" xfId="36933" xr:uid="{00000000-0005-0000-0000-000033050000}"/>
    <cellStyle name="20% - Accent1 2 4 3 2 2 4" xfId="17517" xr:uid="{00000000-0005-0000-0000-000034050000}"/>
    <cellStyle name="20% - Accent1 2 4 3 2 2 4 2" xfId="43391" xr:uid="{00000000-0005-0000-0000-000035050000}"/>
    <cellStyle name="20% - Accent1 2 4 3 2 2 5" xfId="30443" xr:uid="{00000000-0005-0000-0000-000036050000}"/>
    <cellStyle name="20% - Accent1 2 4 3 2 3" xfId="6213" xr:uid="{00000000-0005-0000-0000-000037050000}"/>
    <cellStyle name="20% - Accent1 2 4 3 2 3 2" xfId="12672" xr:uid="{00000000-0005-0000-0000-000038050000}"/>
    <cellStyle name="20% - Accent1 2 4 3 2 3 2 2" xfId="25589" xr:uid="{00000000-0005-0000-0000-000039050000}"/>
    <cellStyle name="20% - Accent1 2 4 3 2 3 2 2 2" xfId="51463" xr:uid="{00000000-0005-0000-0000-00003A050000}"/>
    <cellStyle name="20% - Accent1 2 4 3 2 3 2 3" xfId="38547" xr:uid="{00000000-0005-0000-0000-00003B050000}"/>
    <cellStyle name="20% - Accent1 2 4 3 2 3 3" xfId="19131" xr:uid="{00000000-0005-0000-0000-00003C050000}"/>
    <cellStyle name="20% - Accent1 2 4 3 2 3 3 2" xfId="45005" xr:uid="{00000000-0005-0000-0000-00003D050000}"/>
    <cellStyle name="20% - Accent1 2 4 3 2 3 4" xfId="32089" xr:uid="{00000000-0005-0000-0000-00003E050000}"/>
    <cellStyle name="20% - Accent1 2 4 3 2 4" xfId="9444" xr:uid="{00000000-0005-0000-0000-00003F050000}"/>
    <cellStyle name="20% - Accent1 2 4 3 2 4 2" xfId="22361" xr:uid="{00000000-0005-0000-0000-000040050000}"/>
    <cellStyle name="20% - Accent1 2 4 3 2 4 2 2" xfId="48235" xr:uid="{00000000-0005-0000-0000-000041050000}"/>
    <cellStyle name="20% - Accent1 2 4 3 2 4 3" xfId="35319" xr:uid="{00000000-0005-0000-0000-000042050000}"/>
    <cellStyle name="20% - Accent1 2 4 3 2 5" xfId="15903" xr:uid="{00000000-0005-0000-0000-000043050000}"/>
    <cellStyle name="20% - Accent1 2 4 3 2 5 2" xfId="41777" xr:uid="{00000000-0005-0000-0000-000044050000}"/>
    <cellStyle name="20% - Accent1 2 4 3 2 6" xfId="28829" xr:uid="{00000000-0005-0000-0000-000045050000}"/>
    <cellStyle name="20% - Accent1 2 4 3 3" xfId="3766" xr:uid="{00000000-0005-0000-0000-000046050000}"/>
    <cellStyle name="20% - Accent1 2 4 3 3 2" xfId="7020" xr:uid="{00000000-0005-0000-0000-000047050000}"/>
    <cellStyle name="20% - Accent1 2 4 3 3 2 2" xfId="13479" xr:uid="{00000000-0005-0000-0000-000048050000}"/>
    <cellStyle name="20% - Accent1 2 4 3 3 2 2 2" xfId="26396" xr:uid="{00000000-0005-0000-0000-000049050000}"/>
    <cellStyle name="20% - Accent1 2 4 3 3 2 2 2 2" xfId="52270" xr:uid="{00000000-0005-0000-0000-00004A050000}"/>
    <cellStyle name="20% - Accent1 2 4 3 3 2 2 3" xfId="39354" xr:uid="{00000000-0005-0000-0000-00004B050000}"/>
    <cellStyle name="20% - Accent1 2 4 3 3 2 3" xfId="19938" xr:uid="{00000000-0005-0000-0000-00004C050000}"/>
    <cellStyle name="20% - Accent1 2 4 3 3 2 3 2" xfId="45812" xr:uid="{00000000-0005-0000-0000-00004D050000}"/>
    <cellStyle name="20% - Accent1 2 4 3 3 2 4" xfId="32896" xr:uid="{00000000-0005-0000-0000-00004E050000}"/>
    <cellStyle name="20% - Accent1 2 4 3 3 3" xfId="10251" xr:uid="{00000000-0005-0000-0000-00004F050000}"/>
    <cellStyle name="20% - Accent1 2 4 3 3 3 2" xfId="23168" xr:uid="{00000000-0005-0000-0000-000050050000}"/>
    <cellStyle name="20% - Accent1 2 4 3 3 3 2 2" xfId="49042" xr:uid="{00000000-0005-0000-0000-000051050000}"/>
    <cellStyle name="20% - Accent1 2 4 3 3 3 3" xfId="36126" xr:uid="{00000000-0005-0000-0000-000052050000}"/>
    <cellStyle name="20% - Accent1 2 4 3 3 4" xfId="16710" xr:uid="{00000000-0005-0000-0000-000053050000}"/>
    <cellStyle name="20% - Accent1 2 4 3 3 4 2" xfId="42584" xr:uid="{00000000-0005-0000-0000-000054050000}"/>
    <cellStyle name="20% - Accent1 2 4 3 3 5" xfId="29636" xr:uid="{00000000-0005-0000-0000-000055050000}"/>
    <cellStyle name="20% - Accent1 2 4 3 4" xfId="5406" xr:uid="{00000000-0005-0000-0000-000056050000}"/>
    <cellStyle name="20% - Accent1 2 4 3 4 2" xfId="11865" xr:uid="{00000000-0005-0000-0000-000057050000}"/>
    <cellStyle name="20% - Accent1 2 4 3 4 2 2" xfId="24782" xr:uid="{00000000-0005-0000-0000-000058050000}"/>
    <cellStyle name="20% - Accent1 2 4 3 4 2 2 2" xfId="50656" xr:uid="{00000000-0005-0000-0000-000059050000}"/>
    <cellStyle name="20% - Accent1 2 4 3 4 2 3" xfId="37740" xr:uid="{00000000-0005-0000-0000-00005A050000}"/>
    <cellStyle name="20% - Accent1 2 4 3 4 3" xfId="18324" xr:uid="{00000000-0005-0000-0000-00005B050000}"/>
    <cellStyle name="20% - Accent1 2 4 3 4 3 2" xfId="44198" xr:uid="{00000000-0005-0000-0000-00005C050000}"/>
    <cellStyle name="20% - Accent1 2 4 3 4 4" xfId="31282" xr:uid="{00000000-0005-0000-0000-00005D050000}"/>
    <cellStyle name="20% - Accent1 2 4 3 5" xfId="8637" xr:uid="{00000000-0005-0000-0000-00005E050000}"/>
    <cellStyle name="20% - Accent1 2 4 3 5 2" xfId="21554" xr:uid="{00000000-0005-0000-0000-00005F050000}"/>
    <cellStyle name="20% - Accent1 2 4 3 5 2 2" xfId="47428" xr:uid="{00000000-0005-0000-0000-000060050000}"/>
    <cellStyle name="20% - Accent1 2 4 3 5 3" xfId="34512" xr:uid="{00000000-0005-0000-0000-000061050000}"/>
    <cellStyle name="20% - Accent1 2 4 3 6" xfId="15096" xr:uid="{00000000-0005-0000-0000-000062050000}"/>
    <cellStyle name="20% - Accent1 2 4 3 6 2" xfId="40970" xr:uid="{00000000-0005-0000-0000-000063050000}"/>
    <cellStyle name="20% - Accent1 2 4 3 7" xfId="28022" xr:uid="{00000000-0005-0000-0000-000064050000}"/>
    <cellStyle name="20% - Accent1 2 4 3 8" xfId="53884" xr:uid="{00000000-0005-0000-0000-000065050000}"/>
    <cellStyle name="20% - Accent1 2 4 4" xfId="2536" xr:uid="{00000000-0005-0000-0000-000066050000}"/>
    <cellStyle name="20% - Accent1 2 4 4 2" xfId="4193" xr:uid="{00000000-0005-0000-0000-000067050000}"/>
    <cellStyle name="20% - Accent1 2 4 4 2 2" xfId="7424" xr:uid="{00000000-0005-0000-0000-000068050000}"/>
    <cellStyle name="20% - Accent1 2 4 4 2 2 2" xfId="13883" xr:uid="{00000000-0005-0000-0000-000069050000}"/>
    <cellStyle name="20% - Accent1 2 4 4 2 2 2 2" xfId="26800" xr:uid="{00000000-0005-0000-0000-00006A050000}"/>
    <cellStyle name="20% - Accent1 2 4 4 2 2 2 2 2" xfId="52674" xr:uid="{00000000-0005-0000-0000-00006B050000}"/>
    <cellStyle name="20% - Accent1 2 4 4 2 2 2 3" xfId="39758" xr:uid="{00000000-0005-0000-0000-00006C050000}"/>
    <cellStyle name="20% - Accent1 2 4 4 2 2 3" xfId="20342" xr:uid="{00000000-0005-0000-0000-00006D050000}"/>
    <cellStyle name="20% - Accent1 2 4 4 2 2 3 2" xfId="46216" xr:uid="{00000000-0005-0000-0000-00006E050000}"/>
    <cellStyle name="20% - Accent1 2 4 4 2 2 4" xfId="33300" xr:uid="{00000000-0005-0000-0000-00006F050000}"/>
    <cellStyle name="20% - Accent1 2 4 4 2 3" xfId="10655" xr:uid="{00000000-0005-0000-0000-000070050000}"/>
    <cellStyle name="20% - Accent1 2 4 4 2 3 2" xfId="23572" xr:uid="{00000000-0005-0000-0000-000071050000}"/>
    <cellStyle name="20% - Accent1 2 4 4 2 3 2 2" xfId="49446" xr:uid="{00000000-0005-0000-0000-000072050000}"/>
    <cellStyle name="20% - Accent1 2 4 4 2 3 3" xfId="36530" xr:uid="{00000000-0005-0000-0000-000073050000}"/>
    <cellStyle name="20% - Accent1 2 4 4 2 4" xfId="17114" xr:uid="{00000000-0005-0000-0000-000074050000}"/>
    <cellStyle name="20% - Accent1 2 4 4 2 4 2" xfId="42988" xr:uid="{00000000-0005-0000-0000-000075050000}"/>
    <cellStyle name="20% - Accent1 2 4 4 2 5" xfId="30040" xr:uid="{00000000-0005-0000-0000-000076050000}"/>
    <cellStyle name="20% - Accent1 2 4 4 3" xfId="5810" xr:uid="{00000000-0005-0000-0000-000077050000}"/>
    <cellStyle name="20% - Accent1 2 4 4 3 2" xfId="12269" xr:uid="{00000000-0005-0000-0000-000078050000}"/>
    <cellStyle name="20% - Accent1 2 4 4 3 2 2" xfId="25186" xr:uid="{00000000-0005-0000-0000-000079050000}"/>
    <cellStyle name="20% - Accent1 2 4 4 3 2 2 2" xfId="51060" xr:uid="{00000000-0005-0000-0000-00007A050000}"/>
    <cellStyle name="20% - Accent1 2 4 4 3 2 3" xfId="38144" xr:uid="{00000000-0005-0000-0000-00007B050000}"/>
    <cellStyle name="20% - Accent1 2 4 4 3 3" xfId="18728" xr:uid="{00000000-0005-0000-0000-00007C050000}"/>
    <cellStyle name="20% - Accent1 2 4 4 3 3 2" xfId="44602" xr:uid="{00000000-0005-0000-0000-00007D050000}"/>
    <cellStyle name="20% - Accent1 2 4 4 3 4" xfId="31686" xr:uid="{00000000-0005-0000-0000-00007E050000}"/>
    <cellStyle name="20% - Accent1 2 4 4 4" xfId="9041" xr:uid="{00000000-0005-0000-0000-00007F050000}"/>
    <cellStyle name="20% - Accent1 2 4 4 4 2" xfId="21958" xr:uid="{00000000-0005-0000-0000-000080050000}"/>
    <cellStyle name="20% - Accent1 2 4 4 4 2 2" xfId="47832" xr:uid="{00000000-0005-0000-0000-000081050000}"/>
    <cellStyle name="20% - Accent1 2 4 4 4 3" xfId="34916" xr:uid="{00000000-0005-0000-0000-000082050000}"/>
    <cellStyle name="20% - Accent1 2 4 4 5" xfId="15500" xr:uid="{00000000-0005-0000-0000-000083050000}"/>
    <cellStyle name="20% - Accent1 2 4 4 5 2" xfId="41374" xr:uid="{00000000-0005-0000-0000-000084050000}"/>
    <cellStyle name="20% - Accent1 2 4 4 6" xfId="28426" xr:uid="{00000000-0005-0000-0000-000085050000}"/>
    <cellStyle name="20% - Accent1 2 4 5" xfId="3358" xr:uid="{00000000-0005-0000-0000-000086050000}"/>
    <cellStyle name="20% - Accent1 2 4 5 2" xfId="6617" xr:uid="{00000000-0005-0000-0000-000087050000}"/>
    <cellStyle name="20% - Accent1 2 4 5 2 2" xfId="13076" xr:uid="{00000000-0005-0000-0000-000088050000}"/>
    <cellStyle name="20% - Accent1 2 4 5 2 2 2" xfId="25993" xr:uid="{00000000-0005-0000-0000-000089050000}"/>
    <cellStyle name="20% - Accent1 2 4 5 2 2 2 2" xfId="51867" xr:uid="{00000000-0005-0000-0000-00008A050000}"/>
    <cellStyle name="20% - Accent1 2 4 5 2 2 3" xfId="38951" xr:uid="{00000000-0005-0000-0000-00008B050000}"/>
    <cellStyle name="20% - Accent1 2 4 5 2 3" xfId="19535" xr:uid="{00000000-0005-0000-0000-00008C050000}"/>
    <cellStyle name="20% - Accent1 2 4 5 2 3 2" xfId="45409" xr:uid="{00000000-0005-0000-0000-00008D050000}"/>
    <cellStyle name="20% - Accent1 2 4 5 2 4" xfId="32493" xr:uid="{00000000-0005-0000-0000-00008E050000}"/>
    <cellStyle name="20% - Accent1 2 4 5 3" xfId="9848" xr:uid="{00000000-0005-0000-0000-00008F050000}"/>
    <cellStyle name="20% - Accent1 2 4 5 3 2" xfId="22765" xr:uid="{00000000-0005-0000-0000-000090050000}"/>
    <cellStyle name="20% - Accent1 2 4 5 3 2 2" xfId="48639" xr:uid="{00000000-0005-0000-0000-000091050000}"/>
    <cellStyle name="20% - Accent1 2 4 5 3 3" xfId="35723" xr:uid="{00000000-0005-0000-0000-000092050000}"/>
    <cellStyle name="20% - Accent1 2 4 5 4" xfId="16307" xr:uid="{00000000-0005-0000-0000-000093050000}"/>
    <cellStyle name="20% - Accent1 2 4 5 4 2" xfId="42181" xr:uid="{00000000-0005-0000-0000-000094050000}"/>
    <cellStyle name="20% - Accent1 2 4 5 5" xfId="29233" xr:uid="{00000000-0005-0000-0000-000095050000}"/>
    <cellStyle name="20% - Accent1 2 4 6" xfId="5003" xr:uid="{00000000-0005-0000-0000-000096050000}"/>
    <cellStyle name="20% - Accent1 2 4 6 2" xfId="11462" xr:uid="{00000000-0005-0000-0000-000097050000}"/>
    <cellStyle name="20% - Accent1 2 4 6 2 2" xfId="24379" xr:uid="{00000000-0005-0000-0000-000098050000}"/>
    <cellStyle name="20% - Accent1 2 4 6 2 2 2" xfId="50253" xr:uid="{00000000-0005-0000-0000-000099050000}"/>
    <cellStyle name="20% - Accent1 2 4 6 2 3" xfId="37337" xr:uid="{00000000-0005-0000-0000-00009A050000}"/>
    <cellStyle name="20% - Accent1 2 4 6 3" xfId="17921" xr:uid="{00000000-0005-0000-0000-00009B050000}"/>
    <cellStyle name="20% - Accent1 2 4 6 3 2" xfId="43795" xr:uid="{00000000-0005-0000-0000-00009C050000}"/>
    <cellStyle name="20% - Accent1 2 4 6 4" xfId="30879" xr:uid="{00000000-0005-0000-0000-00009D050000}"/>
    <cellStyle name="20% - Accent1 2 4 7" xfId="8233" xr:uid="{00000000-0005-0000-0000-00009E050000}"/>
    <cellStyle name="20% - Accent1 2 4 7 2" xfId="21150" xr:uid="{00000000-0005-0000-0000-00009F050000}"/>
    <cellStyle name="20% - Accent1 2 4 7 2 2" xfId="47024" xr:uid="{00000000-0005-0000-0000-0000A0050000}"/>
    <cellStyle name="20% - Accent1 2 4 7 3" xfId="34108" xr:uid="{00000000-0005-0000-0000-0000A1050000}"/>
    <cellStyle name="20% - Accent1 2 4 8" xfId="14692" xr:uid="{00000000-0005-0000-0000-0000A2050000}"/>
    <cellStyle name="20% - Accent1 2 4 8 2" xfId="40566" xr:uid="{00000000-0005-0000-0000-0000A3050000}"/>
    <cellStyle name="20% - Accent1 2 4 9" xfId="27616" xr:uid="{00000000-0005-0000-0000-0000A4050000}"/>
    <cellStyle name="20% - Accent1 2 5" xfId="1769" xr:uid="{00000000-0005-0000-0000-0000A5050000}"/>
    <cellStyle name="20% - Accent1 2 5 2" xfId="2263" xr:uid="{00000000-0005-0000-0000-0000A6050000}"/>
    <cellStyle name="20% - Accent1 2 5 2 2" xfId="3077" xr:uid="{00000000-0005-0000-0000-0000A7050000}"/>
    <cellStyle name="20% - Accent1 2 5 2 2 2" xfId="4734" xr:uid="{00000000-0005-0000-0000-0000A8050000}"/>
    <cellStyle name="20% - Accent1 2 5 2 2 2 2" xfId="7965" xr:uid="{00000000-0005-0000-0000-0000A9050000}"/>
    <cellStyle name="20% - Accent1 2 5 2 2 2 2 2" xfId="14424" xr:uid="{00000000-0005-0000-0000-0000AA050000}"/>
    <cellStyle name="20% - Accent1 2 5 2 2 2 2 2 2" xfId="27341" xr:uid="{00000000-0005-0000-0000-0000AB050000}"/>
    <cellStyle name="20% - Accent1 2 5 2 2 2 2 2 2 2" xfId="53215" xr:uid="{00000000-0005-0000-0000-0000AC050000}"/>
    <cellStyle name="20% - Accent1 2 5 2 2 2 2 2 3" xfId="40299" xr:uid="{00000000-0005-0000-0000-0000AD050000}"/>
    <cellStyle name="20% - Accent1 2 5 2 2 2 2 3" xfId="20883" xr:uid="{00000000-0005-0000-0000-0000AE050000}"/>
    <cellStyle name="20% - Accent1 2 5 2 2 2 2 3 2" xfId="46757" xr:uid="{00000000-0005-0000-0000-0000AF050000}"/>
    <cellStyle name="20% - Accent1 2 5 2 2 2 2 4" xfId="33841" xr:uid="{00000000-0005-0000-0000-0000B0050000}"/>
    <cellStyle name="20% - Accent1 2 5 2 2 2 3" xfId="11196" xr:uid="{00000000-0005-0000-0000-0000B1050000}"/>
    <cellStyle name="20% - Accent1 2 5 2 2 2 3 2" xfId="24113" xr:uid="{00000000-0005-0000-0000-0000B2050000}"/>
    <cellStyle name="20% - Accent1 2 5 2 2 2 3 2 2" xfId="49987" xr:uid="{00000000-0005-0000-0000-0000B3050000}"/>
    <cellStyle name="20% - Accent1 2 5 2 2 2 3 3" xfId="37071" xr:uid="{00000000-0005-0000-0000-0000B4050000}"/>
    <cellStyle name="20% - Accent1 2 5 2 2 2 4" xfId="17655" xr:uid="{00000000-0005-0000-0000-0000B5050000}"/>
    <cellStyle name="20% - Accent1 2 5 2 2 2 4 2" xfId="43529" xr:uid="{00000000-0005-0000-0000-0000B6050000}"/>
    <cellStyle name="20% - Accent1 2 5 2 2 2 5" xfId="30581" xr:uid="{00000000-0005-0000-0000-0000B7050000}"/>
    <cellStyle name="20% - Accent1 2 5 2 2 3" xfId="6351" xr:uid="{00000000-0005-0000-0000-0000B8050000}"/>
    <cellStyle name="20% - Accent1 2 5 2 2 3 2" xfId="12810" xr:uid="{00000000-0005-0000-0000-0000B9050000}"/>
    <cellStyle name="20% - Accent1 2 5 2 2 3 2 2" xfId="25727" xr:uid="{00000000-0005-0000-0000-0000BA050000}"/>
    <cellStyle name="20% - Accent1 2 5 2 2 3 2 2 2" xfId="51601" xr:uid="{00000000-0005-0000-0000-0000BB050000}"/>
    <cellStyle name="20% - Accent1 2 5 2 2 3 2 3" xfId="38685" xr:uid="{00000000-0005-0000-0000-0000BC050000}"/>
    <cellStyle name="20% - Accent1 2 5 2 2 3 3" xfId="19269" xr:uid="{00000000-0005-0000-0000-0000BD050000}"/>
    <cellStyle name="20% - Accent1 2 5 2 2 3 3 2" xfId="45143" xr:uid="{00000000-0005-0000-0000-0000BE050000}"/>
    <cellStyle name="20% - Accent1 2 5 2 2 3 4" xfId="32227" xr:uid="{00000000-0005-0000-0000-0000BF050000}"/>
    <cellStyle name="20% - Accent1 2 5 2 2 4" xfId="9582" xr:uid="{00000000-0005-0000-0000-0000C0050000}"/>
    <cellStyle name="20% - Accent1 2 5 2 2 4 2" xfId="22499" xr:uid="{00000000-0005-0000-0000-0000C1050000}"/>
    <cellStyle name="20% - Accent1 2 5 2 2 4 2 2" xfId="48373" xr:uid="{00000000-0005-0000-0000-0000C2050000}"/>
    <cellStyle name="20% - Accent1 2 5 2 2 4 3" xfId="35457" xr:uid="{00000000-0005-0000-0000-0000C3050000}"/>
    <cellStyle name="20% - Accent1 2 5 2 2 5" xfId="16041" xr:uid="{00000000-0005-0000-0000-0000C4050000}"/>
    <cellStyle name="20% - Accent1 2 5 2 2 5 2" xfId="41915" xr:uid="{00000000-0005-0000-0000-0000C5050000}"/>
    <cellStyle name="20% - Accent1 2 5 2 2 6" xfId="28967" xr:uid="{00000000-0005-0000-0000-0000C6050000}"/>
    <cellStyle name="20% - Accent1 2 5 2 3" xfId="3904" xr:uid="{00000000-0005-0000-0000-0000C7050000}"/>
    <cellStyle name="20% - Accent1 2 5 2 3 2" xfId="7158" xr:uid="{00000000-0005-0000-0000-0000C8050000}"/>
    <cellStyle name="20% - Accent1 2 5 2 3 2 2" xfId="13617" xr:uid="{00000000-0005-0000-0000-0000C9050000}"/>
    <cellStyle name="20% - Accent1 2 5 2 3 2 2 2" xfId="26534" xr:uid="{00000000-0005-0000-0000-0000CA050000}"/>
    <cellStyle name="20% - Accent1 2 5 2 3 2 2 2 2" xfId="52408" xr:uid="{00000000-0005-0000-0000-0000CB050000}"/>
    <cellStyle name="20% - Accent1 2 5 2 3 2 2 3" xfId="39492" xr:uid="{00000000-0005-0000-0000-0000CC050000}"/>
    <cellStyle name="20% - Accent1 2 5 2 3 2 3" xfId="20076" xr:uid="{00000000-0005-0000-0000-0000CD050000}"/>
    <cellStyle name="20% - Accent1 2 5 2 3 2 3 2" xfId="45950" xr:uid="{00000000-0005-0000-0000-0000CE050000}"/>
    <cellStyle name="20% - Accent1 2 5 2 3 2 4" xfId="33034" xr:uid="{00000000-0005-0000-0000-0000CF050000}"/>
    <cellStyle name="20% - Accent1 2 5 2 3 3" xfId="10389" xr:uid="{00000000-0005-0000-0000-0000D0050000}"/>
    <cellStyle name="20% - Accent1 2 5 2 3 3 2" xfId="23306" xr:uid="{00000000-0005-0000-0000-0000D1050000}"/>
    <cellStyle name="20% - Accent1 2 5 2 3 3 2 2" xfId="49180" xr:uid="{00000000-0005-0000-0000-0000D2050000}"/>
    <cellStyle name="20% - Accent1 2 5 2 3 3 3" xfId="36264" xr:uid="{00000000-0005-0000-0000-0000D3050000}"/>
    <cellStyle name="20% - Accent1 2 5 2 3 4" xfId="16848" xr:uid="{00000000-0005-0000-0000-0000D4050000}"/>
    <cellStyle name="20% - Accent1 2 5 2 3 4 2" xfId="42722" xr:uid="{00000000-0005-0000-0000-0000D5050000}"/>
    <cellStyle name="20% - Accent1 2 5 2 3 5" xfId="29774" xr:uid="{00000000-0005-0000-0000-0000D6050000}"/>
    <cellStyle name="20% - Accent1 2 5 2 4" xfId="5544" xr:uid="{00000000-0005-0000-0000-0000D7050000}"/>
    <cellStyle name="20% - Accent1 2 5 2 4 2" xfId="12003" xr:uid="{00000000-0005-0000-0000-0000D8050000}"/>
    <cellStyle name="20% - Accent1 2 5 2 4 2 2" xfId="24920" xr:uid="{00000000-0005-0000-0000-0000D9050000}"/>
    <cellStyle name="20% - Accent1 2 5 2 4 2 2 2" xfId="50794" xr:uid="{00000000-0005-0000-0000-0000DA050000}"/>
    <cellStyle name="20% - Accent1 2 5 2 4 2 3" xfId="37878" xr:uid="{00000000-0005-0000-0000-0000DB050000}"/>
    <cellStyle name="20% - Accent1 2 5 2 4 3" xfId="18462" xr:uid="{00000000-0005-0000-0000-0000DC050000}"/>
    <cellStyle name="20% - Accent1 2 5 2 4 3 2" xfId="44336" xr:uid="{00000000-0005-0000-0000-0000DD050000}"/>
    <cellStyle name="20% - Accent1 2 5 2 4 4" xfId="31420" xr:uid="{00000000-0005-0000-0000-0000DE050000}"/>
    <cellStyle name="20% - Accent1 2 5 2 5" xfId="8775" xr:uid="{00000000-0005-0000-0000-0000DF050000}"/>
    <cellStyle name="20% - Accent1 2 5 2 5 2" xfId="21692" xr:uid="{00000000-0005-0000-0000-0000E0050000}"/>
    <cellStyle name="20% - Accent1 2 5 2 5 2 2" xfId="47566" xr:uid="{00000000-0005-0000-0000-0000E1050000}"/>
    <cellStyle name="20% - Accent1 2 5 2 5 3" xfId="34650" xr:uid="{00000000-0005-0000-0000-0000E2050000}"/>
    <cellStyle name="20% - Accent1 2 5 2 6" xfId="15234" xr:uid="{00000000-0005-0000-0000-0000E3050000}"/>
    <cellStyle name="20% - Accent1 2 5 2 6 2" xfId="41108" xr:uid="{00000000-0005-0000-0000-0000E4050000}"/>
    <cellStyle name="20% - Accent1 2 5 2 7" xfId="28160" xr:uid="{00000000-0005-0000-0000-0000E5050000}"/>
    <cellStyle name="20% - Accent1 2 5 2 8" xfId="54022" xr:uid="{00000000-0005-0000-0000-0000E6050000}"/>
    <cellStyle name="20% - Accent1 2 5 3" xfId="2674" xr:uid="{00000000-0005-0000-0000-0000E7050000}"/>
    <cellStyle name="20% - Accent1 2 5 3 2" xfId="4331" xr:uid="{00000000-0005-0000-0000-0000E8050000}"/>
    <cellStyle name="20% - Accent1 2 5 3 2 2" xfId="7562" xr:uid="{00000000-0005-0000-0000-0000E9050000}"/>
    <cellStyle name="20% - Accent1 2 5 3 2 2 2" xfId="14021" xr:uid="{00000000-0005-0000-0000-0000EA050000}"/>
    <cellStyle name="20% - Accent1 2 5 3 2 2 2 2" xfId="26938" xr:uid="{00000000-0005-0000-0000-0000EB050000}"/>
    <cellStyle name="20% - Accent1 2 5 3 2 2 2 2 2" xfId="52812" xr:uid="{00000000-0005-0000-0000-0000EC050000}"/>
    <cellStyle name="20% - Accent1 2 5 3 2 2 2 3" xfId="39896" xr:uid="{00000000-0005-0000-0000-0000ED050000}"/>
    <cellStyle name="20% - Accent1 2 5 3 2 2 3" xfId="20480" xr:uid="{00000000-0005-0000-0000-0000EE050000}"/>
    <cellStyle name="20% - Accent1 2 5 3 2 2 3 2" xfId="46354" xr:uid="{00000000-0005-0000-0000-0000EF050000}"/>
    <cellStyle name="20% - Accent1 2 5 3 2 2 4" xfId="33438" xr:uid="{00000000-0005-0000-0000-0000F0050000}"/>
    <cellStyle name="20% - Accent1 2 5 3 2 3" xfId="10793" xr:uid="{00000000-0005-0000-0000-0000F1050000}"/>
    <cellStyle name="20% - Accent1 2 5 3 2 3 2" xfId="23710" xr:uid="{00000000-0005-0000-0000-0000F2050000}"/>
    <cellStyle name="20% - Accent1 2 5 3 2 3 2 2" xfId="49584" xr:uid="{00000000-0005-0000-0000-0000F3050000}"/>
    <cellStyle name="20% - Accent1 2 5 3 2 3 3" xfId="36668" xr:uid="{00000000-0005-0000-0000-0000F4050000}"/>
    <cellStyle name="20% - Accent1 2 5 3 2 4" xfId="17252" xr:uid="{00000000-0005-0000-0000-0000F5050000}"/>
    <cellStyle name="20% - Accent1 2 5 3 2 4 2" xfId="43126" xr:uid="{00000000-0005-0000-0000-0000F6050000}"/>
    <cellStyle name="20% - Accent1 2 5 3 2 5" xfId="30178" xr:uid="{00000000-0005-0000-0000-0000F7050000}"/>
    <cellStyle name="20% - Accent1 2 5 3 3" xfId="5948" xr:uid="{00000000-0005-0000-0000-0000F8050000}"/>
    <cellStyle name="20% - Accent1 2 5 3 3 2" xfId="12407" xr:uid="{00000000-0005-0000-0000-0000F9050000}"/>
    <cellStyle name="20% - Accent1 2 5 3 3 2 2" xfId="25324" xr:uid="{00000000-0005-0000-0000-0000FA050000}"/>
    <cellStyle name="20% - Accent1 2 5 3 3 2 2 2" xfId="51198" xr:uid="{00000000-0005-0000-0000-0000FB050000}"/>
    <cellStyle name="20% - Accent1 2 5 3 3 2 3" xfId="38282" xr:uid="{00000000-0005-0000-0000-0000FC050000}"/>
    <cellStyle name="20% - Accent1 2 5 3 3 3" xfId="18866" xr:uid="{00000000-0005-0000-0000-0000FD050000}"/>
    <cellStyle name="20% - Accent1 2 5 3 3 3 2" xfId="44740" xr:uid="{00000000-0005-0000-0000-0000FE050000}"/>
    <cellStyle name="20% - Accent1 2 5 3 3 4" xfId="31824" xr:uid="{00000000-0005-0000-0000-0000FF050000}"/>
    <cellStyle name="20% - Accent1 2 5 3 4" xfId="9179" xr:uid="{00000000-0005-0000-0000-000000060000}"/>
    <cellStyle name="20% - Accent1 2 5 3 4 2" xfId="22096" xr:uid="{00000000-0005-0000-0000-000001060000}"/>
    <cellStyle name="20% - Accent1 2 5 3 4 2 2" xfId="47970" xr:uid="{00000000-0005-0000-0000-000002060000}"/>
    <cellStyle name="20% - Accent1 2 5 3 4 3" xfId="35054" xr:uid="{00000000-0005-0000-0000-000003060000}"/>
    <cellStyle name="20% - Accent1 2 5 3 5" xfId="15638" xr:uid="{00000000-0005-0000-0000-000004060000}"/>
    <cellStyle name="20% - Accent1 2 5 3 5 2" xfId="41512" xr:uid="{00000000-0005-0000-0000-000005060000}"/>
    <cellStyle name="20% - Accent1 2 5 3 6" xfId="28564" xr:uid="{00000000-0005-0000-0000-000006060000}"/>
    <cellStyle name="20% - Accent1 2 5 4" xfId="3501" xr:uid="{00000000-0005-0000-0000-000007060000}"/>
    <cellStyle name="20% - Accent1 2 5 4 2" xfId="6755" xr:uid="{00000000-0005-0000-0000-000008060000}"/>
    <cellStyle name="20% - Accent1 2 5 4 2 2" xfId="13214" xr:uid="{00000000-0005-0000-0000-000009060000}"/>
    <cellStyle name="20% - Accent1 2 5 4 2 2 2" xfId="26131" xr:uid="{00000000-0005-0000-0000-00000A060000}"/>
    <cellStyle name="20% - Accent1 2 5 4 2 2 2 2" xfId="52005" xr:uid="{00000000-0005-0000-0000-00000B060000}"/>
    <cellStyle name="20% - Accent1 2 5 4 2 2 3" xfId="39089" xr:uid="{00000000-0005-0000-0000-00000C060000}"/>
    <cellStyle name="20% - Accent1 2 5 4 2 3" xfId="19673" xr:uid="{00000000-0005-0000-0000-00000D060000}"/>
    <cellStyle name="20% - Accent1 2 5 4 2 3 2" xfId="45547" xr:uid="{00000000-0005-0000-0000-00000E060000}"/>
    <cellStyle name="20% - Accent1 2 5 4 2 4" xfId="32631" xr:uid="{00000000-0005-0000-0000-00000F060000}"/>
    <cellStyle name="20% - Accent1 2 5 4 3" xfId="9986" xr:uid="{00000000-0005-0000-0000-000010060000}"/>
    <cellStyle name="20% - Accent1 2 5 4 3 2" xfId="22903" xr:uid="{00000000-0005-0000-0000-000011060000}"/>
    <cellStyle name="20% - Accent1 2 5 4 3 2 2" xfId="48777" xr:uid="{00000000-0005-0000-0000-000012060000}"/>
    <cellStyle name="20% - Accent1 2 5 4 3 3" xfId="35861" xr:uid="{00000000-0005-0000-0000-000013060000}"/>
    <cellStyle name="20% - Accent1 2 5 4 4" xfId="16445" xr:uid="{00000000-0005-0000-0000-000014060000}"/>
    <cellStyle name="20% - Accent1 2 5 4 4 2" xfId="42319" xr:uid="{00000000-0005-0000-0000-000015060000}"/>
    <cellStyle name="20% - Accent1 2 5 4 5" xfId="29371" xr:uid="{00000000-0005-0000-0000-000016060000}"/>
    <cellStyle name="20% - Accent1 2 5 5" xfId="5141" xr:uid="{00000000-0005-0000-0000-000017060000}"/>
    <cellStyle name="20% - Accent1 2 5 5 2" xfId="11600" xr:uid="{00000000-0005-0000-0000-000018060000}"/>
    <cellStyle name="20% - Accent1 2 5 5 2 2" xfId="24517" xr:uid="{00000000-0005-0000-0000-000019060000}"/>
    <cellStyle name="20% - Accent1 2 5 5 2 2 2" xfId="50391" xr:uid="{00000000-0005-0000-0000-00001A060000}"/>
    <cellStyle name="20% - Accent1 2 5 5 2 3" xfId="37475" xr:uid="{00000000-0005-0000-0000-00001B060000}"/>
    <cellStyle name="20% - Accent1 2 5 5 3" xfId="18059" xr:uid="{00000000-0005-0000-0000-00001C060000}"/>
    <cellStyle name="20% - Accent1 2 5 5 3 2" xfId="43933" xr:uid="{00000000-0005-0000-0000-00001D060000}"/>
    <cellStyle name="20% - Accent1 2 5 5 4" xfId="31017" xr:uid="{00000000-0005-0000-0000-00001E060000}"/>
    <cellStyle name="20% - Accent1 2 5 6" xfId="8371" xr:uid="{00000000-0005-0000-0000-00001F060000}"/>
    <cellStyle name="20% - Accent1 2 5 6 2" xfId="21288" xr:uid="{00000000-0005-0000-0000-000020060000}"/>
    <cellStyle name="20% - Accent1 2 5 6 2 2" xfId="47162" xr:uid="{00000000-0005-0000-0000-000021060000}"/>
    <cellStyle name="20% - Accent1 2 5 6 3" xfId="34246" xr:uid="{00000000-0005-0000-0000-000022060000}"/>
    <cellStyle name="20% - Accent1 2 5 7" xfId="14830" xr:uid="{00000000-0005-0000-0000-000023060000}"/>
    <cellStyle name="20% - Accent1 2 5 7 2" xfId="40704" xr:uid="{00000000-0005-0000-0000-000024060000}"/>
    <cellStyle name="20% - Accent1 2 5 8" xfId="27756" xr:uid="{00000000-0005-0000-0000-000025060000}"/>
    <cellStyle name="20% - Accent1 2 5 9" xfId="53619" xr:uid="{00000000-0005-0000-0000-000026060000}"/>
    <cellStyle name="20% - Accent1 2 6" xfId="2068" xr:uid="{00000000-0005-0000-0000-000027060000}"/>
    <cellStyle name="20% - Accent1 2 6 2" xfId="2886" xr:uid="{00000000-0005-0000-0000-000028060000}"/>
    <cellStyle name="20% - Accent1 2 6 2 2" xfId="4543" xr:uid="{00000000-0005-0000-0000-000029060000}"/>
    <cellStyle name="20% - Accent1 2 6 2 2 2" xfId="7774" xr:uid="{00000000-0005-0000-0000-00002A060000}"/>
    <cellStyle name="20% - Accent1 2 6 2 2 2 2" xfId="14233" xr:uid="{00000000-0005-0000-0000-00002B060000}"/>
    <cellStyle name="20% - Accent1 2 6 2 2 2 2 2" xfId="27150" xr:uid="{00000000-0005-0000-0000-00002C060000}"/>
    <cellStyle name="20% - Accent1 2 6 2 2 2 2 2 2" xfId="53024" xr:uid="{00000000-0005-0000-0000-00002D060000}"/>
    <cellStyle name="20% - Accent1 2 6 2 2 2 2 3" xfId="40108" xr:uid="{00000000-0005-0000-0000-00002E060000}"/>
    <cellStyle name="20% - Accent1 2 6 2 2 2 3" xfId="20692" xr:uid="{00000000-0005-0000-0000-00002F060000}"/>
    <cellStyle name="20% - Accent1 2 6 2 2 2 3 2" xfId="46566" xr:uid="{00000000-0005-0000-0000-000030060000}"/>
    <cellStyle name="20% - Accent1 2 6 2 2 2 4" xfId="33650" xr:uid="{00000000-0005-0000-0000-000031060000}"/>
    <cellStyle name="20% - Accent1 2 6 2 2 3" xfId="11005" xr:uid="{00000000-0005-0000-0000-000032060000}"/>
    <cellStyle name="20% - Accent1 2 6 2 2 3 2" xfId="23922" xr:uid="{00000000-0005-0000-0000-000033060000}"/>
    <cellStyle name="20% - Accent1 2 6 2 2 3 2 2" xfId="49796" xr:uid="{00000000-0005-0000-0000-000034060000}"/>
    <cellStyle name="20% - Accent1 2 6 2 2 3 3" xfId="36880" xr:uid="{00000000-0005-0000-0000-000035060000}"/>
    <cellStyle name="20% - Accent1 2 6 2 2 4" xfId="17464" xr:uid="{00000000-0005-0000-0000-000036060000}"/>
    <cellStyle name="20% - Accent1 2 6 2 2 4 2" xfId="43338" xr:uid="{00000000-0005-0000-0000-000037060000}"/>
    <cellStyle name="20% - Accent1 2 6 2 2 5" xfId="30390" xr:uid="{00000000-0005-0000-0000-000038060000}"/>
    <cellStyle name="20% - Accent1 2 6 2 3" xfId="6160" xr:uid="{00000000-0005-0000-0000-000039060000}"/>
    <cellStyle name="20% - Accent1 2 6 2 3 2" xfId="12619" xr:uid="{00000000-0005-0000-0000-00003A060000}"/>
    <cellStyle name="20% - Accent1 2 6 2 3 2 2" xfId="25536" xr:uid="{00000000-0005-0000-0000-00003B060000}"/>
    <cellStyle name="20% - Accent1 2 6 2 3 2 2 2" xfId="51410" xr:uid="{00000000-0005-0000-0000-00003C060000}"/>
    <cellStyle name="20% - Accent1 2 6 2 3 2 3" xfId="38494" xr:uid="{00000000-0005-0000-0000-00003D060000}"/>
    <cellStyle name="20% - Accent1 2 6 2 3 3" xfId="19078" xr:uid="{00000000-0005-0000-0000-00003E060000}"/>
    <cellStyle name="20% - Accent1 2 6 2 3 3 2" xfId="44952" xr:uid="{00000000-0005-0000-0000-00003F060000}"/>
    <cellStyle name="20% - Accent1 2 6 2 3 4" xfId="32036" xr:uid="{00000000-0005-0000-0000-000040060000}"/>
    <cellStyle name="20% - Accent1 2 6 2 4" xfId="9391" xr:uid="{00000000-0005-0000-0000-000041060000}"/>
    <cellStyle name="20% - Accent1 2 6 2 4 2" xfId="22308" xr:uid="{00000000-0005-0000-0000-000042060000}"/>
    <cellStyle name="20% - Accent1 2 6 2 4 2 2" xfId="48182" xr:uid="{00000000-0005-0000-0000-000043060000}"/>
    <cellStyle name="20% - Accent1 2 6 2 4 3" xfId="35266" xr:uid="{00000000-0005-0000-0000-000044060000}"/>
    <cellStyle name="20% - Accent1 2 6 2 5" xfId="15850" xr:uid="{00000000-0005-0000-0000-000045060000}"/>
    <cellStyle name="20% - Accent1 2 6 2 5 2" xfId="41724" xr:uid="{00000000-0005-0000-0000-000046060000}"/>
    <cellStyle name="20% - Accent1 2 6 2 6" xfId="28776" xr:uid="{00000000-0005-0000-0000-000047060000}"/>
    <cellStyle name="20% - Accent1 2 6 3" xfId="3713" xr:uid="{00000000-0005-0000-0000-000048060000}"/>
    <cellStyle name="20% - Accent1 2 6 3 2" xfId="6967" xr:uid="{00000000-0005-0000-0000-000049060000}"/>
    <cellStyle name="20% - Accent1 2 6 3 2 2" xfId="13426" xr:uid="{00000000-0005-0000-0000-00004A060000}"/>
    <cellStyle name="20% - Accent1 2 6 3 2 2 2" xfId="26343" xr:uid="{00000000-0005-0000-0000-00004B060000}"/>
    <cellStyle name="20% - Accent1 2 6 3 2 2 2 2" xfId="52217" xr:uid="{00000000-0005-0000-0000-00004C060000}"/>
    <cellStyle name="20% - Accent1 2 6 3 2 2 3" xfId="39301" xr:uid="{00000000-0005-0000-0000-00004D060000}"/>
    <cellStyle name="20% - Accent1 2 6 3 2 3" xfId="19885" xr:uid="{00000000-0005-0000-0000-00004E060000}"/>
    <cellStyle name="20% - Accent1 2 6 3 2 3 2" xfId="45759" xr:uid="{00000000-0005-0000-0000-00004F060000}"/>
    <cellStyle name="20% - Accent1 2 6 3 2 4" xfId="32843" xr:uid="{00000000-0005-0000-0000-000050060000}"/>
    <cellStyle name="20% - Accent1 2 6 3 3" xfId="10198" xr:uid="{00000000-0005-0000-0000-000051060000}"/>
    <cellStyle name="20% - Accent1 2 6 3 3 2" xfId="23115" xr:uid="{00000000-0005-0000-0000-000052060000}"/>
    <cellStyle name="20% - Accent1 2 6 3 3 2 2" xfId="48989" xr:uid="{00000000-0005-0000-0000-000053060000}"/>
    <cellStyle name="20% - Accent1 2 6 3 3 3" xfId="36073" xr:uid="{00000000-0005-0000-0000-000054060000}"/>
    <cellStyle name="20% - Accent1 2 6 3 4" xfId="16657" xr:uid="{00000000-0005-0000-0000-000055060000}"/>
    <cellStyle name="20% - Accent1 2 6 3 4 2" xfId="42531" xr:uid="{00000000-0005-0000-0000-000056060000}"/>
    <cellStyle name="20% - Accent1 2 6 3 5" xfId="29583" xr:uid="{00000000-0005-0000-0000-000057060000}"/>
    <cellStyle name="20% - Accent1 2 6 4" xfId="5353" xr:uid="{00000000-0005-0000-0000-000058060000}"/>
    <cellStyle name="20% - Accent1 2 6 4 2" xfId="11812" xr:uid="{00000000-0005-0000-0000-000059060000}"/>
    <cellStyle name="20% - Accent1 2 6 4 2 2" xfId="24729" xr:uid="{00000000-0005-0000-0000-00005A060000}"/>
    <cellStyle name="20% - Accent1 2 6 4 2 2 2" xfId="50603" xr:uid="{00000000-0005-0000-0000-00005B060000}"/>
    <cellStyle name="20% - Accent1 2 6 4 2 3" xfId="37687" xr:uid="{00000000-0005-0000-0000-00005C060000}"/>
    <cellStyle name="20% - Accent1 2 6 4 3" xfId="18271" xr:uid="{00000000-0005-0000-0000-00005D060000}"/>
    <cellStyle name="20% - Accent1 2 6 4 3 2" xfId="44145" xr:uid="{00000000-0005-0000-0000-00005E060000}"/>
    <cellStyle name="20% - Accent1 2 6 4 4" xfId="31229" xr:uid="{00000000-0005-0000-0000-00005F060000}"/>
    <cellStyle name="20% - Accent1 2 6 5" xfId="8584" xr:uid="{00000000-0005-0000-0000-000060060000}"/>
    <cellStyle name="20% - Accent1 2 6 5 2" xfId="21501" xr:uid="{00000000-0005-0000-0000-000061060000}"/>
    <cellStyle name="20% - Accent1 2 6 5 2 2" xfId="47375" xr:uid="{00000000-0005-0000-0000-000062060000}"/>
    <cellStyle name="20% - Accent1 2 6 5 3" xfId="34459" xr:uid="{00000000-0005-0000-0000-000063060000}"/>
    <cellStyle name="20% - Accent1 2 6 6" xfId="15043" xr:uid="{00000000-0005-0000-0000-000064060000}"/>
    <cellStyle name="20% - Accent1 2 6 6 2" xfId="40917" xr:uid="{00000000-0005-0000-0000-000065060000}"/>
    <cellStyle name="20% - Accent1 2 6 7" xfId="27969" xr:uid="{00000000-0005-0000-0000-000066060000}"/>
    <cellStyle name="20% - Accent1 2 6 8" xfId="53831" xr:uid="{00000000-0005-0000-0000-000067060000}"/>
    <cellStyle name="20% - Accent1 2 7" xfId="2479" xr:uid="{00000000-0005-0000-0000-000068060000}"/>
    <cellStyle name="20% - Accent1 2 7 2" xfId="4136" xr:uid="{00000000-0005-0000-0000-000069060000}"/>
    <cellStyle name="20% - Accent1 2 7 2 2" xfId="7367" xr:uid="{00000000-0005-0000-0000-00006A060000}"/>
    <cellStyle name="20% - Accent1 2 7 2 2 2" xfId="13826" xr:uid="{00000000-0005-0000-0000-00006B060000}"/>
    <cellStyle name="20% - Accent1 2 7 2 2 2 2" xfId="26743" xr:uid="{00000000-0005-0000-0000-00006C060000}"/>
    <cellStyle name="20% - Accent1 2 7 2 2 2 2 2" xfId="52617" xr:uid="{00000000-0005-0000-0000-00006D060000}"/>
    <cellStyle name="20% - Accent1 2 7 2 2 2 3" xfId="39701" xr:uid="{00000000-0005-0000-0000-00006E060000}"/>
    <cellStyle name="20% - Accent1 2 7 2 2 3" xfId="20285" xr:uid="{00000000-0005-0000-0000-00006F060000}"/>
    <cellStyle name="20% - Accent1 2 7 2 2 3 2" xfId="46159" xr:uid="{00000000-0005-0000-0000-000070060000}"/>
    <cellStyle name="20% - Accent1 2 7 2 2 4" xfId="33243" xr:uid="{00000000-0005-0000-0000-000071060000}"/>
    <cellStyle name="20% - Accent1 2 7 2 3" xfId="10598" xr:uid="{00000000-0005-0000-0000-000072060000}"/>
    <cellStyle name="20% - Accent1 2 7 2 3 2" xfId="23515" xr:uid="{00000000-0005-0000-0000-000073060000}"/>
    <cellStyle name="20% - Accent1 2 7 2 3 2 2" xfId="49389" xr:uid="{00000000-0005-0000-0000-000074060000}"/>
    <cellStyle name="20% - Accent1 2 7 2 3 3" xfId="36473" xr:uid="{00000000-0005-0000-0000-000075060000}"/>
    <cellStyle name="20% - Accent1 2 7 2 4" xfId="17057" xr:uid="{00000000-0005-0000-0000-000076060000}"/>
    <cellStyle name="20% - Accent1 2 7 2 4 2" xfId="42931" xr:uid="{00000000-0005-0000-0000-000077060000}"/>
    <cellStyle name="20% - Accent1 2 7 2 5" xfId="29983" xr:uid="{00000000-0005-0000-0000-000078060000}"/>
    <cellStyle name="20% - Accent1 2 7 3" xfId="5753" xr:uid="{00000000-0005-0000-0000-000079060000}"/>
    <cellStyle name="20% - Accent1 2 7 3 2" xfId="12212" xr:uid="{00000000-0005-0000-0000-00007A060000}"/>
    <cellStyle name="20% - Accent1 2 7 3 2 2" xfId="25129" xr:uid="{00000000-0005-0000-0000-00007B060000}"/>
    <cellStyle name="20% - Accent1 2 7 3 2 2 2" xfId="51003" xr:uid="{00000000-0005-0000-0000-00007C060000}"/>
    <cellStyle name="20% - Accent1 2 7 3 2 3" xfId="38087" xr:uid="{00000000-0005-0000-0000-00007D060000}"/>
    <cellStyle name="20% - Accent1 2 7 3 3" xfId="18671" xr:uid="{00000000-0005-0000-0000-00007E060000}"/>
    <cellStyle name="20% - Accent1 2 7 3 3 2" xfId="44545" xr:uid="{00000000-0005-0000-0000-00007F060000}"/>
    <cellStyle name="20% - Accent1 2 7 3 4" xfId="31629" xr:uid="{00000000-0005-0000-0000-000080060000}"/>
    <cellStyle name="20% - Accent1 2 7 4" xfId="8984" xr:uid="{00000000-0005-0000-0000-000081060000}"/>
    <cellStyle name="20% - Accent1 2 7 4 2" xfId="21901" xr:uid="{00000000-0005-0000-0000-000082060000}"/>
    <cellStyle name="20% - Accent1 2 7 4 2 2" xfId="47775" xr:uid="{00000000-0005-0000-0000-000083060000}"/>
    <cellStyle name="20% - Accent1 2 7 4 3" xfId="34859" xr:uid="{00000000-0005-0000-0000-000084060000}"/>
    <cellStyle name="20% - Accent1 2 7 5" xfId="15443" xr:uid="{00000000-0005-0000-0000-000085060000}"/>
    <cellStyle name="20% - Accent1 2 7 5 2" xfId="41317" xr:uid="{00000000-0005-0000-0000-000086060000}"/>
    <cellStyle name="20% - Accent1 2 7 6" xfId="28369" xr:uid="{00000000-0005-0000-0000-000087060000}"/>
    <cellStyle name="20% - Accent1 2 8" xfId="3288" xr:uid="{00000000-0005-0000-0000-000088060000}"/>
    <cellStyle name="20% - Accent1 2 8 2" xfId="6560" xr:uid="{00000000-0005-0000-0000-000089060000}"/>
    <cellStyle name="20% - Accent1 2 8 2 2" xfId="13019" xr:uid="{00000000-0005-0000-0000-00008A060000}"/>
    <cellStyle name="20% - Accent1 2 8 2 2 2" xfId="25936" xr:uid="{00000000-0005-0000-0000-00008B060000}"/>
    <cellStyle name="20% - Accent1 2 8 2 2 2 2" xfId="51810" xr:uid="{00000000-0005-0000-0000-00008C060000}"/>
    <cellStyle name="20% - Accent1 2 8 2 2 3" xfId="38894" xr:uid="{00000000-0005-0000-0000-00008D060000}"/>
    <cellStyle name="20% - Accent1 2 8 2 3" xfId="19478" xr:uid="{00000000-0005-0000-0000-00008E060000}"/>
    <cellStyle name="20% - Accent1 2 8 2 3 2" xfId="45352" xr:uid="{00000000-0005-0000-0000-00008F060000}"/>
    <cellStyle name="20% - Accent1 2 8 2 4" xfId="32436" xr:uid="{00000000-0005-0000-0000-000090060000}"/>
    <cellStyle name="20% - Accent1 2 8 3" xfId="9791" xr:uid="{00000000-0005-0000-0000-000091060000}"/>
    <cellStyle name="20% - Accent1 2 8 3 2" xfId="22708" xr:uid="{00000000-0005-0000-0000-000092060000}"/>
    <cellStyle name="20% - Accent1 2 8 3 2 2" xfId="48582" xr:uid="{00000000-0005-0000-0000-000093060000}"/>
    <cellStyle name="20% - Accent1 2 8 3 3" xfId="35666" xr:uid="{00000000-0005-0000-0000-000094060000}"/>
    <cellStyle name="20% - Accent1 2 8 4" xfId="16250" xr:uid="{00000000-0005-0000-0000-000095060000}"/>
    <cellStyle name="20% - Accent1 2 8 4 2" xfId="42124" xr:uid="{00000000-0005-0000-0000-000096060000}"/>
    <cellStyle name="20% - Accent1 2 8 5" xfId="29176" xr:uid="{00000000-0005-0000-0000-000097060000}"/>
    <cellStyle name="20% - Accent1 2 9" xfId="4946" xr:uid="{00000000-0005-0000-0000-000098060000}"/>
    <cellStyle name="20% - Accent1 2 9 2" xfId="11405" xr:uid="{00000000-0005-0000-0000-000099060000}"/>
    <cellStyle name="20% - Accent1 2 9 2 2" xfId="24322" xr:uid="{00000000-0005-0000-0000-00009A060000}"/>
    <cellStyle name="20% - Accent1 2 9 2 2 2" xfId="50196" xr:uid="{00000000-0005-0000-0000-00009B060000}"/>
    <cellStyle name="20% - Accent1 2 9 2 3" xfId="37280" xr:uid="{00000000-0005-0000-0000-00009C060000}"/>
    <cellStyle name="20% - Accent1 2 9 3" xfId="17864" xr:uid="{00000000-0005-0000-0000-00009D060000}"/>
    <cellStyle name="20% - Accent1 2 9 3 2" xfId="43738" xr:uid="{00000000-0005-0000-0000-00009E060000}"/>
    <cellStyle name="20% - Accent1 2 9 4" xfId="30822" xr:uid="{00000000-0005-0000-0000-00009F060000}"/>
    <cellStyle name="20% - Accent1 20" xfId="30783" xr:uid="{00000000-0005-0000-0000-0000A0060000}"/>
    <cellStyle name="20% - Accent1 21" xfId="53412" xr:uid="{00000000-0005-0000-0000-0000A1060000}"/>
    <cellStyle name="20% - Accent1 22" xfId="188" xr:uid="{00000000-0005-0000-0000-0000A2060000}"/>
    <cellStyle name="20% - Accent1 3" xfId="74" xr:uid="{00000000-0005-0000-0000-0000A3060000}"/>
    <cellStyle name="20% - Accent1 3 2" xfId="266" xr:uid="{00000000-0005-0000-0000-0000A4060000}"/>
    <cellStyle name="20% - Accent1 3 2 10" xfId="53551" xr:uid="{00000000-0005-0000-0000-0000A5060000}"/>
    <cellStyle name="20% - Accent1 3 2 11" xfId="1635" xr:uid="{00000000-0005-0000-0000-0000A6060000}"/>
    <cellStyle name="20% - Accent1 3 2 2" xfId="440" xr:uid="{00000000-0005-0000-0000-0000A7060000}"/>
    <cellStyle name="20% - Accent1 3 2 2 10" xfId="1960" xr:uid="{00000000-0005-0000-0000-0000A8060000}"/>
    <cellStyle name="20% - Accent1 3 2 2 2" xfId="502" xr:uid="{00000000-0005-0000-0000-0000A9060000}"/>
    <cellStyle name="20% - Accent1 3 2 2 2 2" xfId="3204" xr:uid="{00000000-0005-0000-0000-0000AA060000}"/>
    <cellStyle name="20% - Accent1 3 2 2 2 2 2" xfId="4861" xr:uid="{00000000-0005-0000-0000-0000AB060000}"/>
    <cellStyle name="20% - Accent1 3 2 2 2 2 2 2" xfId="8092" xr:uid="{00000000-0005-0000-0000-0000AC060000}"/>
    <cellStyle name="20% - Accent1 3 2 2 2 2 2 2 2" xfId="14551" xr:uid="{00000000-0005-0000-0000-0000AD060000}"/>
    <cellStyle name="20% - Accent1 3 2 2 2 2 2 2 2 2" xfId="27468" xr:uid="{00000000-0005-0000-0000-0000AE060000}"/>
    <cellStyle name="20% - Accent1 3 2 2 2 2 2 2 2 2 2" xfId="53342" xr:uid="{00000000-0005-0000-0000-0000AF060000}"/>
    <cellStyle name="20% - Accent1 3 2 2 2 2 2 2 2 3" xfId="40426" xr:uid="{00000000-0005-0000-0000-0000B0060000}"/>
    <cellStyle name="20% - Accent1 3 2 2 2 2 2 2 3" xfId="21010" xr:uid="{00000000-0005-0000-0000-0000B1060000}"/>
    <cellStyle name="20% - Accent1 3 2 2 2 2 2 2 3 2" xfId="46884" xr:uid="{00000000-0005-0000-0000-0000B2060000}"/>
    <cellStyle name="20% - Accent1 3 2 2 2 2 2 2 4" xfId="33968" xr:uid="{00000000-0005-0000-0000-0000B3060000}"/>
    <cellStyle name="20% - Accent1 3 2 2 2 2 2 3" xfId="11323" xr:uid="{00000000-0005-0000-0000-0000B4060000}"/>
    <cellStyle name="20% - Accent1 3 2 2 2 2 2 3 2" xfId="24240" xr:uid="{00000000-0005-0000-0000-0000B5060000}"/>
    <cellStyle name="20% - Accent1 3 2 2 2 2 2 3 2 2" xfId="50114" xr:uid="{00000000-0005-0000-0000-0000B6060000}"/>
    <cellStyle name="20% - Accent1 3 2 2 2 2 2 3 3" xfId="37198" xr:uid="{00000000-0005-0000-0000-0000B7060000}"/>
    <cellStyle name="20% - Accent1 3 2 2 2 2 2 4" xfId="17782" xr:uid="{00000000-0005-0000-0000-0000B8060000}"/>
    <cellStyle name="20% - Accent1 3 2 2 2 2 2 4 2" xfId="43656" xr:uid="{00000000-0005-0000-0000-0000B9060000}"/>
    <cellStyle name="20% - Accent1 3 2 2 2 2 2 5" xfId="30708" xr:uid="{00000000-0005-0000-0000-0000BA060000}"/>
    <cellStyle name="20% - Accent1 3 2 2 2 2 3" xfId="6478" xr:uid="{00000000-0005-0000-0000-0000BB060000}"/>
    <cellStyle name="20% - Accent1 3 2 2 2 2 3 2" xfId="12937" xr:uid="{00000000-0005-0000-0000-0000BC060000}"/>
    <cellStyle name="20% - Accent1 3 2 2 2 2 3 2 2" xfId="25854" xr:uid="{00000000-0005-0000-0000-0000BD060000}"/>
    <cellStyle name="20% - Accent1 3 2 2 2 2 3 2 2 2" xfId="51728" xr:uid="{00000000-0005-0000-0000-0000BE060000}"/>
    <cellStyle name="20% - Accent1 3 2 2 2 2 3 2 3" xfId="38812" xr:uid="{00000000-0005-0000-0000-0000BF060000}"/>
    <cellStyle name="20% - Accent1 3 2 2 2 2 3 3" xfId="19396" xr:uid="{00000000-0005-0000-0000-0000C0060000}"/>
    <cellStyle name="20% - Accent1 3 2 2 2 2 3 3 2" xfId="45270" xr:uid="{00000000-0005-0000-0000-0000C1060000}"/>
    <cellStyle name="20% - Accent1 3 2 2 2 2 3 4" xfId="32354" xr:uid="{00000000-0005-0000-0000-0000C2060000}"/>
    <cellStyle name="20% - Accent1 3 2 2 2 2 4" xfId="9709" xr:uid="{00000000-0005-0000-0000-0000C3060000}"/>
    <cellStyle name="20% - Accent1 3 2 2 2 2 4 2" xfId="22626" xr:uid="{00000000-0005-0000-0000-0000C4060000}"/>
    <cellStyle name="20% - Accent1 3 2 2 2 2 4 2 2" xfId="48500" xr:uid="{00000000-0005-0000-0000-0000C5060000}"/>
    <cellStyle name="20% - Accent1 3 2 2 2 2 4 3" xfId="35584" xr:uid="{00000000-0005-0000-0000-0000C6060000}"/>
    <cellStyle name="20% - Accent1 3 2 2 2 2 5" xfId="16168" xr:uid="{00000000-0005-0000-0000-0000C7060000}"/>
    <cellStyle name="20% - Accent1 3 2 2 2 2 5 2" xfId="42042" xr:uid="{00000000-0005-0000-0000-0000C8060000}"/>
    <cellStyle name="20% - Accent1 3 2 2 2 2 6" xfId="29094" xr:uid="{00000000-0005-0000-0000-0000C9060000}"/>
    <cellStyle name="20% - Accent1 3 2 2 2 3" xfId="4031" xr:uid="{00000000-0005-0000-0000-0000CA060000}"/>
    <cellStyle name="20% - Accent1 3 2 2 2 3 2" xfId="7285" xr:uid="{00000000-0005-0000-0000-0000CB060000}"/>
    <cellStyle name="20% - Accent1 3 2 2 2 3 2 2" xfId="13744" xr:uid="{00000000-0005-0000-0000-0000CC060000}"/>
    <cellStyle name="20% - Accent1 3 2 2 2 3 2 2 2" xfId="26661" xr:uid="{00000000-0005-0000-0000-0000CD060000}"/>
    <cellStyle name="20% - Accent1 3 2 2 2 3 2 2 2 2" xfId="52535" xr:uid="{00000000-0005-0000-0000-0000CE060000}"/>
    <cellStyle name="20% - Accent1 3 2 2 2 3 2 2 3" xfId="39619" xr:uid="{00000000-0005-0000-0000-0000CF060000}"/>
    <cellStyle name="20% - Accent1 3 2 2 2 3 2 3" xfId="20203" xr:uid="{00000000-0005-0000-0000-0000D0060000}"/>
    <cellStyle name="20% - Accent1 3 2 2 2 3 2 3 2" xfId="46077" xr:uid="{00000000-0005-0000-0000-0000D1060000}"/>
    <cellStyle name="20% - Accent1 3 2 2 2 3 2 4" xfId="33161" xr:uid="{00000000-0005-0000-0000-0000D2060000}"/>
    <cellStyle name="20% - Accent1 3 2 2 2 3 3" xfId="10516" xr:uid="{00000000-0005-0000-0000-0000D3060000}"/>
    <cellStyle name="20% - Accent1 3 2 2 2 3 3 2" xfId="23433" xr:uid="{00000000-0005-0000-0000-0000D4060000}"/>
    <cellStyle name="20% - Accent1 3 2 2 2 3 3 2 2" xfId="49307" xr:uid="{00000000-0005-0000-0000-0000D5060000}"/>
    <cellStyle name="20% - Accent1 3 2 2 2 3 3 3" xfId="36391" xr:uid="{00000000-0005-0000-0000-0000D6060000}"/>
    <cellStyle name="20% - Accent1 3 2 2 2 3 4" xfId="16975" xr:uid="{00000000-0005-0000-0000-0000D7060000}"/>
    <cellStyle name="20% - Accent1 3 2 2 2 3 4 2" xfId="42849" xr:uid="{00000000-0005-0000-0000-0000D8060000}"/>
    <cellStyle name="20% - Accent1 3 2 2 2 3 5" xfId="29901" xr:uid="{00000000-0005-0000-0000-0000D9060000}"/>
    <cellStyle name="20% - Accent1 3 2 2 2 4" xfId="5671" xr:uid="{00000000-0005-0000-0000-0000DA060000}"/>
    <cellStyle name="20% - Accent1 3 2 2 2 4 2" xfId="12130" xr:uid="{00000000-0005-0000-0000-0000DB060000}"/>
    <cellStyle name="20% - Accent1 3 2 2 2 4 2 2" xfId="25047" xr:uid="{00000000-0005-0000-0000-0000DC060000}"/>
    <cellStyle name="20% - Accent1 3 2 2 2 4 2 2 2" xfId="50921" xr:uid="{00000000-0005-0000-0000-0000DD060000}"/>
    <cellStyle name="20% - Accent1 3 2 2 2 4 2 3" xfId="38005" xr:uid="{00000000-0005-0000-0000-0000DE060000}"/>
    <cellStyle name="20% - Accent1 3 2 2 2 4 3" xfId="18589" xr:uid="{00000000-0005-0000-0000-0000DF060000}"/>
    <cellStyle name="20% - Accent1 3 2 2 2 4 3 2" xfId="44463" xr:uid="{00000000-0005-0000-0000-0000E0060000}"/>
    <cellStyle name="20% - Accent1 3 2 2 2 4 4" xfId="31547" xr:uid="{00000000-0005-0000-0000-0000E1060000}"/>
    <cellStyle name="20% - Accent1 3 2 2 2 5" xfId="8902" xr:uid="{00000000-0005-0000-0000-0000E2060000}"/>
    <cellStyle name="20% - Accent1 3 2 2 2 5 2" xfId="21819" xr:uid="{00000000-0005-0000-0000-0000E3060000}"/>
    <cellStyle name="20% - Accent1 3 2 2 2 5 2 2" xfId="47693" xr:uid="{00000000-0005-0000-0000-0000E4060000}"/>
    <cellStyle name="20% - Accent1 3 2 2 2 5 3" xfId="34777" xr:uid="{00000000-0005-0000-0000-0000E5060000}"/>
    <cellStyle name="20% - Accent1 3 2 2 2 6" xfId="15361" xr:uid="{00000000-0005-0000-0000-0000E6060000}"/>
    <cellStyle name="20% - Accent1 3 2 2 2 6 2" xfId="41235" xr:uid="{00000000-0005-0000-0000-0000E7060000}"/>
    <cellStyle name="20% - Accent1 3 2 2 2 7" xfId="28287" xr:uid="{00000000-0005-0000-0000-0000E8060000}"/>
    <cellStyle name="20% - Accent1 3 2 2 2 8" xfId="54149" xr:uid="{00000000-0005-0000-0000-0000E9060000}"/>
    <cellStyle name="20% - Accent1 3 2 2 2 9" xfId="2391" xr:uid="{00000000-0005-0000-0000-0000EA060000}"/>
    <cellStyle name="20% - Accent1 3 2 2 3" xfId="501" xr:uid="{00000000-0005-0000-0000-0000EB060000}"/>
    <cellStyle name="20% - Accent1 3 2 2 3 2" xfId="4457" xr:uid="{00000000-0005-0000-0000-0000EC060000}"/>
    <cellStyle name="20% - Accent1 3 2 2 3 2 2" xfId="7688" xr:uid="{00000000-0005-0000-0000-0000ED060000}"/>
    <cellStyle name="20% - Accent1 3 2 2 3 2 2 2" xfId="14147" xr:uid="{00000000-0005-0000-0000-0000EE060000}"/>
    <cellStyle name="20% - Accent1 3 2 2 3 2 2 2 2" xfId="27064" xr:uid="{00000000-0005-0000-0000-0000EF060000}"/>
    <cellStyle name="20% - Accent1 3 2 2 3 2 2 2 2 2" xfId="52938" xr:uid="{00000000-0005-0000-0000-0000F0060000}"/>
    <cellStyle name="20% - Accent1 3 2 2 3 2 2 2 3" xfId="40022" xr:uid="{00000000-0005-0000-0000-0000F1060000}"/>
    <cellStyle name="20% - Accent1 3 2 2 3 2 2 3" xfId="20606" xr:uid="{00000000-0005-0000-0000-0000F2060000}"/>
    <cellStyle name="20% - Accent1 3 2 2 3 2 2 3 2" xfId="46480" xr:uid="{00000000-0005-0000-0000-0000F3060000}"/>
    <cellStyle name="20% - Accent1 3 2 2 3 2 2 4" xfId="33564" xr:uid="{00000000-0005-0000-0000-0000F4060000}"/>
    <cellStyle name="20% - Accent1 3 2 2 3 2 3" xfId="10919" xr:uid="{00000000-0005-0000-0000-0000F5060000}"/>
    <cellStyle name="20% - Accent1 3 2 2 3 2 3 2" xfId="23836" xr:uid="{00000000-0005-0000-0000-0000F6060000}"/>
    <cellStyle name="20% - Accent1 3 2 2 3 2 3 2 2" xfId="49710" xr:uid="{00000000-0005-0000-0000-0000F7060000}"/>
    <cellStyle name="20% - Accent1 3 2 2 3 2 3 3" xfId="36794" xr:uid="{00000000-0005-0000-0000-0000F8060000}"/>
    <cellStyle name="20% - Accent1 3 2 2 3 2 4" xfId="17378" xr:uid="{00000000-0005-0000-0000-0000F9060000}"/>
    <cellStyle name="20% - Accent1 3 2 2 3 2 4 2" xfId="43252" xr:uid="{00000000-0005-0000-0000-0000FA060000}"/>
    <cellStyle name="20% - Accent1 3 2 2 3 2 5" xfId="30304" xr:uid="{00000000-0005-0000-0000-0000FB060000}"/>
    <cellStyle name="20% - Accent1 3 2 2 3 3" xfId="6074" xr:uid="{00000000-0005-0000-0000-0000FC060000}"/>
    <cellStyle name="20% - Accent1 3 2 2 3 3 2" xfId="12533" xr:uid="{00000000-0005-0000-0000-0000FD060000}"/>
    <cellStyle name="20% - Accent1 3 2 2 3 3 2 2" xfId="25450" xr:uid="{00000000-0005-0000-0000-0000FE060000}"/>
    <cellStyle name="20% - Accent1 3 2 2 3 3 2 2 2" xfId="51324" xr:uid="{00000000-0005-0000-0000-0000FF060000}"/>
    <cellStyle name="20% - Accent1 3 2 2 3 3 2 3" xfId="38408" xr:uid="{00000000-0005-0000-0000-000000070000}"/>
    <cellStyle name="20% - Accent1 3 2 2 3 3 3" xfId="18992" xr:uid="{00000000-0005-0000-0000-000001070000}"/>
    <cellStyle name="20% - Accent1 3 2 2 3 3 3 2" xfId="44866" xr:uid="{00000000-0005-0000-0000-000002070000}"/>
    <cellStyle name="20% - Accent1 3 2 2 3 3 4" xfId="31950" xr:uid="{00000000-0005-0000-0000-000003070000}"/>
    <cellStyle name="20% - Accent1 3 2 2 3 4" xfId="9305" xr:uid="{00000000-0005-0000-0000-000004070000}"/>
    <cellStyle name="20% - Accent1 3 2 2 3 4 2" xfId="22222" xr:uid="{00000000-0005-0000-0000-000005070000}"/>
    <cellStyle name="20% - Accent1 3 2 2 3 4 2 2" xfId="48096" xr:uid="{00000000-0005-0000-0000-000006070000}"/>
    <cellStyle name="20% - Accent1 3 2 2 3 4 3" xfId="35180" xr:uid="{00000000-0005-0000-0000-000007070000}"/>
    <cellStyle name="20% - Accent1 3 2 2 3 5" xfId="15764" xr:uid="{00000000-0005-0000-0000-000008070000}"/>
    <cellStyle name="20% - Accent1 3 2 2 3 5 2" xfId="41638" xr:uid="{00000000-0005-0000-0000-000009070000}"/>
    <cellStyle name="20% - Accent1 3 2 2 3 6" xfId="28690" xr:uid="{00000000-0005-0000-0000-00000A070000}"/>
    <cellStyle name="20% - Accent1 3 2 2 3 7" xfId="2800" xr:uid="{00000000-0005-0000-0000-00000B070000}"/>
    <cellStyle name="20% - Accent1 3 2 2 4" xfId="3627" xr:uid="{00000000-0005-0000-0000-00000C070000}"/>
    <cellStyle name="20% - Accent1 3 2 2 4 2" xfId="6881" xr:uid="{00000000-0005-0000-0000-00000D070000}"/>
    <cellStyle name="20% - Accent1 3 2 2 4 2 2" xfId="13340" xr:uid="{00000000-0005-0000-0000-00000E070000}"/>
    <cellStyle name="20% - Accent1 3 2 2 4 2 2 2" xfId="26257" xr:uid="{00000000-0005-0000-0000-00000F070000}"/>
    <cellStyle name="20% - Accent1 3 2 2 4 2 2 2 2" xfId="52131" xr:uid="{00000000-0005-0000-0000-000010070000}"/>
    <cellStyle name="20% - Accent1 3 2 2 4 2 2 3" xfId="39215" xr:uid="{00000000-0005-0000-0000-000011070000}"/>
    <cellStyle name="20% - Accent1 3 2 2 4 2 3" xfId="19799" xr:uid="{00000000-0005-0000-0000-000012070000}"/>
    <cellStyle name="20% - Accent1 3 2 2 4 2 3 2" xfId="45673" xr:uid="{00000000-0005-0000-0000-000013070000}"/>
    <cellStyle name="20% - Accent1 3 2 2 4 2 4" xfId="32757" xr:uid="{00000000-0005-0000-0000-000014070000}"/>
    <cellStyle name="20% - Accent1 3 2 2 4 3" xfId="10112" xr:uid="{00000000-0005-0000-0000-000015070000}"/>
    <cellStyle name="20% - Accent1 3 2 2 4 3 2" xfId="23029" xr:uid="{00000000-0005-0000-0000-000016070000}"/>
    <cellStyle name="20% - Accent1 3 2 2 4 3 2 2" xfId="48903" xr:uid="{00000000-0005-0000-0000-000017070000}"/>
    <cellStyle name="20% - Accent1 3 2 2 4 3 3" xfId="35987" xr:uid="{00000000-0005-0000-0000-000018070000}"/>
    <cellStyle name="20% - Accent1 3 2 2 4 4" xfId="16571" xr:uid="{00000000-0005-0000-0000-000019070000}"/>
    <cellStyle name="20% - Accent1 3 2 2 4 4 2" xfId="42445" xr:uid="{00000000-0005-0000-0000-00001A070000}"/>
    <cellStyle name="20% - Accent1 3 2 2 4 5" xfId="29497" xr:uid="{00000000-0005-0000-0000-00001B070000}"/>
    <cellStyle name="20% - Accent1 3 2 2 5" xfId="5267" xr:uid="{00000000-0005-0000-0000-00001C070000}"/>
    <cellStyle name="20% - Accent1 3 2 2 5 2" xfId="11726" xr:uid="{00000000-0005-0000-0000-00001D070000}"/>
    <cellStyle name="20% - Accent1 3 2 2 5 2 2" xfId="24643" xr:uid="{00000000-0005-0000-0000-00001E070000}"/>
    <cellStyle name="20% - Accent1 3 2 2 5 2 2 2" xfId="50517" xr:uid="{00000000-0005-0000-0000-00001F070000}"/>
    <cellStyle name="20% - Accent1 3 2 2 5 2 3" xfId="37601" xr:uid="{00000000-0005-0000-0000-000020070000}"/>
    <cellStyle name="20% - Accent1 3 2 2 5 3" xfId="18185" xr:uid="{00000000-0005-0000-0000-000021070000}"/>
    <cellStyle name="20% - Accent1 3 2 2 5 3 2" xfId="44059" xr:uid="{00000000-0005-0000-0000-000022070000}"/>
    <cellStyle name="20% - Accent1 3 2 2 5 4" xfId="31143" xr:uid="{00000000-0005-0000-0000-000023070000}"/>
    <cellStyle name="20% - Accent1 3 2 2 6" xfId="8498" xr:uid="{00000000-0005-0000-0000-000024070000}"/>
    <cellStyle name="20% - Accent1 3 2 2 6 2" xfId="21415" xr:uid="{00000000-0005-0000-0000-000025070000}"/>
    <cellStyle name="20% - Accent1 3 2 2 6 2 2" xfId="47289" xr:uid="{00000000-0005-0000-0000-000026070000}"/>
    <cellStyle name="20% - Accent1 3 2 2 6 3" xfId="34373" xr:uid="{00000000-0005-0000-0000-000027070000}"/>
    <cellStyle name="20% - Accent1 3 2 2 7" xfId="14957" xr:uid="{00000000-0005-0000-0000-000028070000}"/>
    <cellStyle name="20% - Accent1 3 2 2 7 2" xfId="40831" xr:uid="{00000000-0005-0000-0000-000029070000}"/>
    <cellStyle name="20% - Accent1 3 2 2 8" xfId="27882" xr:uid="{00000000-0005-0000-0000-00002A070000}"/>
    <cellStyle name="20% - Accent1 3 2 2 9" xfId="53745" xr:uid="{00000000-0005-0000-0000-00002B070000}"/>
    <cellStyle name="20% - Accent1 3 2 3" xfId="503" xr:uid="{00000000-0005-0000-0000-00002C070000}"/>
    <cellStyle name="20% - Accent1 3 2 3 2" xfId="3009" xr:uid="{00000000-0005-0000-0000-00002D070000}"/>
    <cellStyle name="20% - Accent1 3 2 3 2 2" xfId="4666" xr:uid="{00000000-0005-0000-0000-00002E070000}"/>
    <cellStyle name="20% - Accent1 3 2 3 2 2 2" xfId="7897" xr:uid="{00000000-0005-0000-0000-00002F070000}"/>
    <cellStyle name="20% - Accent1 3 2 3 2 2 2 2" xfId="14356" xr:uid="{00000000-0005-0000-0000-000030070000}"/>
    <cellStyle name="20% - Accent1 3 2 3 2 2 2 2 2" xfId="27273" xr:uid="{00000000-0005-0000-0000-000031070000}"/>
    <cellStyle name="20% - Accent1 3 2 3 2 2 2 2 2 2" xfId="53147" xr:uid="{00000000-0005-0000-0000-000032070000}"/>
    <cellStyle name="20% - Accent1 3 2 3 2 2 2 2 3" xfId="40231" xr:uid="{00000000-0005-0000-0000-000033070000}"/>
    <cellStyle name="20% - Accent1 3 2 3 2 2 2 3" xfId="20815" xr:uid="{00000000-0005-0000-0000-000034070000}"/>
    <cellStyle name="20% - Accent1 3 2 3 2 2 2 3 2" xfId="46689" xr:uid="{00000000-0005-0000-0000-000035070000}"/>
    <cellStyle name="20% - Accent1 3 2 3 2 2 2 4" xfId="33773" xr:uid="{00000000-0005-0000-0000-000036070000}"/>
    <cellStyle name="20% - Accent1 3 2 3 2 2 3" xfId="11128" xr:uid="{00000000-0005-0000-0000-000037070000}"/>
    <cellStyle name="20% - Accent1 3 2 3 2 2 3 2" xfId="24045" xr:uid="{00000000-0005-0000-0000-000038070000}"/>
    <cellStyle name="20% - Accent1 3 2 3 2 2 3 2 2" xfId="49919" xr:uid="{00000000-0005-0000-0000-000039070000}"/>
    <cellStyle name="20% - Accent1 3 2 3 2 2 3 3" xfId="37003" xr:uid="{00000000-0005-0000-0000-00003A070000}"/>
    <cellStyle name="20% - Accent1 3 2 3 2 2 4" xfId="17587" xr:uid="{00000000-0005-0000-0000-00003B070000}"/>
    <cellStyle name="20% - Accent1 3 2 3 2 2 4 2" xfId="43461" xr:uid="{00000000-0005-0000-0000-00003C070000}"/>
    <cellStyle name="20% - Accent1 3 2 3 2 2 5" xfId="30513" xr:uid="{00000000-0005-0000-0000-00003D070000}"/>
    <cellStyle name="20% - Accent1 3 2 3 2 3" xfId="6283" xr:uid="{00000000-0005-0000-0000-00003E070000}"/>
    <cellStyle name="20% - Accent1 3 2 3 2 3 2" xfId="12742" xr:uid="{00000000-0005-0000-0000-00003F070000}"/>
    <cellStyle name="20% - Accent1 3 2 3 2 3 2 2" xfId="25659" xr:uid="{00000000-0005-0000-0000-000040070000}"/>
    <cellStyle name="20% - Accent1 3 2 3 2 3 2 2 2" xfId="51533" xr:uid="{00000000-0005-0000-0000-000041070000}"/>
    <cellStyle name="20% - Accent1 3 2 3 2 3 2 3" xfId="38617" xr:uid="{00000000-0005-0000-0000-000042070000}"/>
    <cellStyle name="20% - Accent1 3 2 3 2 3 3" xfId="19201" xr:uid="{00000000-0005-0000-0000-000043070000}"/>
    <cellStyle name="20% - Accent1 3 2 3 2 3 3 2" xfId="45075" xr:uid="{00000000-0005-0000-0000-000044070000}"/>
    <cellStyle name="20% - Accent1 3 2 3 2 3 4" xfId="32159" xr:uid="{00000000-0005-0000-0000-000045070000}"/>
    <cellStyle name="20% - Accent1 3 2 3 2 4" xfId="9514" xr:uid="{00000000-0005-0000-0000-000046070000}"/>
    <cellStyle name="20% - Accent1 3 2 3 2 4 2" xfId="22431" xr:uid="{00000000-0005-0000-0000-000047070000}"/>
    <cellStyle name="20% - Accent1 3 2 3 2 4 2 2" xfId="48305" xr:uid="{00000000-0005-0000-0000-000048070000}"/>
    <cellStyle name="20% - Accent1 3 2 3 2 4 3" xfId="35389" xr:uid="{00000000-0005-0000-0000-000049070000}"/>
    <cellStyle name="20% - Accent1 3 2 3 2 5" xfId="15973" xr:uid="{00000000-0005-0000-0000-00004A070000}"/>
    <cellStyle name="20% - Accent1 3 2 3 2 5 2" xfId="41847" xr:uid="{00000000-0005-0000-0000-00004B070000}"/>
    <cellStyle name="20% - Accent1 3 2 3 2 6" xfId="28899" xr:uid="{00000000-0005-0000-0000-00004C070000}"/>
    <cellStyle name="20% - Accent1 3 2 3 3" xfId="3836" xr:uid="{00000000-0005-0000-0000-00004D070000}"/>
    <cellStyle name="20% - Accent1 3 2 3 3 2" xfId="7090" xr:uid="{00000000-0005-0000-0000-00004E070000}"/>
    <cellStyle name="20% - Accent1 3 2 3 3 2 2" xfId="13549" xr:uid="{00000000-0005-0000-0000-00004F070000}"/>
    <cellStyle name="20% - Accent1 3 2 3 3 2 2 2" xfId="26466" xr:uid="{00000000-0005-0000-0000-000050070000}"/>
    <cellStyle name="20% - Accent1 3 2 3 3 2 2 2 2" xfId="52340" xr:uid="{00000000-0005-0000-0000-000051070000}"/>
    <cellStyle name="20% - Accent1 3 2 3 3 2 2 3" xfId="39424" xr:uid="{00000000-0005-0000-0000-000052070000}"/>
    <cellStyle name="20% - Accent1 3 2 3 3 2 3" xfId="20008" xr:uid="{00000000-0005-0000-0000-000053070000}"/>
    <cellStyle name="20% - Accent1 3 2 3 3 2 3 2" xfId="45882" xr:uid="{00000000-0005-0000-0000-000054070000}"/>
    <cellStyle name="20% - Accent1 3 2 3 3 2 4" xfId="32966" xr:uid="{00000000-0005-0000-0000-000055070000}"/>
    <cellStyle name="20% - Accent1 3 2 3 3 3" xfId="10321" xr:uid="{00000000-0005-0000-0000-000056070000}"/>
    <cellStyle name="20% - Accent1 3 2 3 3 3 2" xfId="23238" xr:uid="{00000000-0005-0000-0000-000057070000}"/>
    <cellStyle name="20% - Accent1 3 2 3 3 3 2 2" xfId="49112" xr:uid="{00000000-0005-0000-0000-000058070000}"/>
    <cellStyle name="20% - Accent1 3 2 3 3 3 3" xfId="36196" xr:uid="{00000000-0005-0000-0000-000059070000}"/>
    <cellStyle name="20% - Accent1 3 2 3 3 4" xfId="16780" xr:uid="{00000000-0005-0000-0000-00005A070000}"/>
    <cellStyle name="20% - Accent1 3 2 3 3 4 2" xfId="42654" xr:uid="{00000000-0005-0000-0000-00005B070000}"/>
    <cellStyle name="20% - Accent1 3 2 3 3 5" xfId="29706" xr:uid="{00000000-0005-0000-0000-00005C070000}"/>
    <cellStyle name="20% - Accent1 3 2 3 4" xfId="5476" xr:uid="{00000000-0005-0000-0000-00005D070000}"/>
    <cellStyle name="20% - Accent1 3 2 3 4 2" xfId="11935" xr:uid="{00000000-0005-0000-0000-00005E070000}"/>
    <cellStyle name="20% - Accent1 3 2 3 4 2 2" xfId="24852" xr:uid="{00000000-0005-0000-0000-00005F070000}"/>
    <cellStyle name="20% - Accent1 3 2 3 4 2 2 2" xfId="50726" xr:uid="{00000000-0005-0000-0000-000060070000}"/>
    <cellStyle name="20% - Accent1 3 2 3 4 2 3" xfId="37810" xr:uid="{00000000-0005-0000-0000-000061070000}"/>
    <cellStyle name="20% - Accent1 3 2 3 4 3" xfId="18394" xr:uid="{00000000-0005-0000-0000-000062070000}"/>
    <cellStyle name="20% - Accent1 3 2 3 4 3 2" xfId="44268" xr:uid="{00000000-0005-0000-0000-000063070000}"/>
    <cellStyle name="20% - Accent1 3 2 3 4 4" xfId="31352" xr:uid="{00000000-0005-0000-0000-000064070000}"/>
    <cellStyle name="20% - Accent1 3 2 3 5" xfId="8707" xr:uid="{00000000-0005-0000-0000-000065070000}"/>
    <cellStyle name="20% - Accent1 3 2 3 5 2" xfId="21624" xr:uid="{00000000-0005-0000-0000-000066070000}"/>
    <cellStyle name="20% - Accent1 3 2 3 5 2 2" xfId="47498" xr:uid="{00000000-0005-0000-0000-000067070000}"/>
    <cellStyle name="20% - Accent1 3 2 3 5 3" xfId="34582" xr:uid="{00000000-0005-0000-0000-000068070000}"/>
    <cellStyle name="20% - Accent1 3 2 3 6" xfId="15166" xr:uid="{00000000-0005-0000-0000-000069070000}"/>
    <cellStyle name="20% - Accent1 3 2 3 6 2" xfId="41040" xr:uid="{00000000-0005-0000-0000-00006A070000}"/>
    <cellStyle name="20% - Accent1 3 2 3 7" xfId="28092" xr:uid="{00000000-0005-0000-0000-00006B070000}"/>
    <cellStyle name="20% - Accent1 3 2 3 8" xfId="53954" xr:uid="{00000000-0005-0000-0000-00006C070000}"/>
    <cellStyle name="20% - Accent1 3 2 3 9" xfId="2195" xr:uid="{00000000-0005-0000-0000-00006D070000}"/>
    <cellStyle name="20% - Accent1 3 2 4" xfId="500" xr:uid="{00000000-0005-0000-0000-00006E070000}"/>
    <cellStyle name="20% - Accent1 3 2 4 2" xfId="4263" xr:uid="{00000000-0005-0000-0000-00006F070000}"/>
    <cellStyle name="20% - Accent1 3 2 4 2 2" xfId="7494" xr:uid="{00000000-0005-0000-0000-000070070000}"/>
    <cellStyle name="20% - Accent1 3 2 4 2 2 2" xfId="13953" xr:uid="{00000000-0005-0000-0000-000071070000}"/>
    <cellStyle name="20% - Accent1 3 2 4 2 2 2 2" xfId="26870" xr:uid="{00000000-0005-0000-0000-000072070000}"/>
    <cellStyle name="20% - Accent1 3 2 4 2 2 2 2 2" xfId="52744" xr:uid="{00000000-0005-0000-0000-000073070000}"/>
    <cellStyle name="20% - Accent1 3 2 4 2 2 2 3" xfId="39828" xr:uid="{00000000-0005-0000-0000-000074070000}"/>
    <cellStyle name="20% - Accent1 3 2 4 2 2 3" xfId="20412" xr:uid="{00000000-0005-0000-0000-000075070000}"/>
    <cellStyle name="20% - Accent1 3 2 4 2 2 3 2" xfId="46286" xr:uid="{00000000-0005-0000-0000-000076070000}"/>
    <cellStyle name="20% - Accent1 3 2 4 2 2 4" xfId="33370" xr:uid="{00000000-0005-0000-0000-000077070000}"/>
    <cellStyle name="20% - Accent1 3 2 4 2 3" xfId="10725" xr:uid="{00000000-0005-0000-0000-000078070000}"/>
    <cellStyle name="20% - Accent1 3 2 4 2 3 2" xfId="23642" xr:uid="{00000000-0005-0000-0000-000079070000}"/>
    <cellStyle name="20% - Accent1 3 2 4 2 3 2 2" xfId="49516" xr:uid="{00000000-0005-0000-0000-00007A070000}"/>
    <cellStyle name="20% - Accent1 3 2 4 2 3 3" xfId="36600" xr:uid="{00000000-0005-0000-0000-00007B070000}"/>
    <cellStyle name="20% - Accent1 3 2 4 2 4" xfId="17184" xr:uid="{00000000-0005-0000-0000-00007C070000}"/>
    <cellStyle name="20% - Accent1 3 2 4 2 4 2" xfId="43058" xr:uid="{00000000-0005-0000-0000-00007D070000}"/>
    <cellStyle name="20% - Accent1 3 2 4 2 5" xfId="30110" xr:uid="{00000000-0005-0000-0000-00007E070000}"/>
    <cellStyle name="20% - Accent1 3 2 4 3" xfId="5880" xr:uid="{00000000-0005-0000-0000-00007F070000}"/>
    <cellStyle name="20% - Accent1 3 2 4 3 2" xfId="12339" xr:uid="{00000000-0005-0000-0000-000080070000}"/>
    <cellStyle name="20% - Accent1 3 2 4 3 2 2" xfId="25256" xr:uid="{00000000-0005-0000-0000-000081070000}"/>
    <cellStyle name="20% - Accent1 3 2 4 3 2 2 2" xfId="51130" xr:uid="{00000000-0005-0000-0000-000082070000}"/>
    <cellStyle name="20% - Accent1 3 2 4 3 2 3" xfId="38214" xr:uid="{00000000-0005-0000-0000-000083070000}"/>
    <cellStyle name="20% - Accent1 3 2 4 3 3" xfId="18798" xr:uid="{00000000-0005-0000-0000-000084070000}"/>
    <cellStyle name="20% - Accent1 3 2 4 3 3 2" xfId="44672" xr:uid="{00000000-0005-0000-0000-000085070000}"/>
    <cellStyle name="20% - Accent1 3 2 4 3 4" xfId="31756" xr:uid="{00000000-0005-0000-0000-000086070000}"/>
    <cellStyle name="20% - Accent1 3 2 4 4" xfId="9111" xr:uid="{00000000-0005-0000-0000-000087070000}"/>
    <cellStyle name="20% - Accent1 3 2 4 4 2" xfId="22028" xr:uid="{00000000-0005-0000-0000-000088070000}"/>
    <cellStyle name="20% - Accent1 3 2 4 4 2 2" xfId="47902" xr:uid="{00000000-0005-0000-0000-000089070000}"/>
    <cellStyle name="20% - Accent1 3 2 4 4 3" xfId="34986" xr:uid="{00000000-0005-0000-0000-00008A070000}"/>
    <cellStyle name="20% - Accent1 3 2 4 5" xfId="15570" xr:uid="{00000000-0005-0000-0000-00008B070000}"/>
    <cellStyle name="20% - Accent1 3 2 4 5 2" xfId="41444" xr:uid="{00000000-0005-0000-0000-00008C070000}"/>
    <cellStyle name="20% - Accent1 3 2 4 6" xfId="28496" xr:uid="{00000000-0005-0000-0000-00008D070000}"/>
    <cellStyle name="20% - Accent1 3 2 4 7" xfId="2606" xr:uid="{00000000-0005-0000-0000-00008E070000}"/>
    <cellStyle name="20% - Accent1 3 2 5" xfId="3433" xr:uid="{00000000-0005-0000-0000-00008F070000}"/>
    <cellStyle name="20% - Accent1 3 2 5 2" xfId="6687" xr:uid="{00000000-0005-0000-0000-000090070000}"/>
    <cellStyle name="20% - Accent1 3 2 5 2 2" xfId="13146" xr:uid="{00000000-0005-0000-0000-000091070000}"/>
    <cellStyle name="20% - Accent1 3 2 5 2 2 2" xfId="26063" xr:uid="{00000000-0005-0000-0000-000092070000}"/>
    <cellStyle name="20% - Accent1 3 2 5 2 2 2 2" xfId="51937" xr:uid="{00000000-0005-0000-0000-000093070000}"/>
    <cellStyle name="20% - Accent1 3 2 5 2 2 3" xfId="39021" xr:uid="{00000000-0005-0000-0000-000094070000}"/>
    <cellStyle name="20% - Accent1 3 2 5 2 3" xfId="19605" xr:uid="{00000000-0005-0000-0000-000095070000}"/>
    <cellStyle name="20% - Accent1 3 2 5 2 3 2" xfId="45479" xr:uid="{00000000-0005-0000-0000-000096070000}"/>
    <cellStyle name="20% - Accent1 3 2 5 2 4" xfId="32563" xr:uid="{00000000-0005-0000-0000-000097070000}"/>
    <cellStyle name="20% - Accent1 3 2 5 3" xfId="9918" xr:uid="{00000000-0005-0000-0000-000098070000}"/>
    <cellStyle name="20% - Accent1 3 2 5 3 2" xfId="22835" xr:uid="{00000000-0005-0000-0000-000099070000}"/>
    <cellStyle name="20% - Accent1 3 2 5 3 2 2" xfId="48709" xr:uid="{00000000-0005-0000-0000-00009A070000}"/>
    <cellStyle name="20% - Accent1 3 2 5 3 3" xfId="35793" xr:uid="{00000000-0005-0000-0000-00009B070000}"/>
    <cellStyle name="20% - Accent1 3 2 5 4" xfId="16377" xr:uid="{00000000-0005-0000-0000-00009C070000}"/>
    <cellStyle name="20% - Accent1 3 2 5 4 2" xfId="42251" xr:uid="{00000000-0005-0000-0000-00009D070000}"/>
    <cellStyle name="20% - Accent1 3 2 5 5" xfId="29303" xr:uid="{00000000-0005-0000-0000-00009E070000}"/>
    <cellStyle name="20% - Accent1 3 2 6" xfId="5073" xr:uid="{00000000-0005-0000-0000-00009F070000}"/>
    <cellStyle name="20% - Accent1 3 2 6 2" xfId="11532" xr:uid="{00000000-0005-0000-0000-0000A0070000}"/>
    <cellStyle name="20% - Accent1 3 2 6 2 2" xfId="24449" xr:uid="{00000000-0005-0000-0000-0000A1070000}"/>
    <cellStyle name="20% - Accent1 3 2 6 2 2 2" xfId="50323" xr:uid="{00000000-0005-0000-0000-0000A2070000}"/>
    <cellStyle name="20% - Accent1 3 2 6 2 3" xfId="37407" xr:uid="{00000000-0005-0000-0000-0000A3070000}"/>
    <cellStyle name="20% - Accent1 3 2 6 3" xfId="17991" xr:uid="{00000000-0005-0000-0000-0000A4070000}"/>
    <cellStyle name="20% - Accent1 3 2 6 3 2" xfId="43865" xr:uid="{00000000-0005-0000-0000-0000A5070000}"/>
    <cellStyle name="20% - Accent1 3 2 6 4" xfId="30949" xr:uid="{00000000-0005-0000-0000-0000A6070000}"/>
    <cellStyle name="20% - Accent1 3 2 7" xfId="8303" xr:uid="{00000000-0005-0000-0000-0000A7070000}"/>
    <cellStyle name="20% - Accent1 3 2 7 2" xfId="21220" xr:uid="{00000000-0005-0000-0000-0000A8070000}"/>
    <cellStyle name="20% - Accent1 3 2 7 2 2" xfId="47094" xr:uid="{00000000-0005-0000-0000-0000A9070000}"/>
    <cellStyle name="20% - Accent1 3 2 7 3" xfId="34178" xr:uid="{00000000-0005-0000-0000-0000AA070000}"/>
    <cellStyle name="20% - Accent1 3 2 8" xfId="14762" xr:uid="{00000000-0005-0000-0000-0000AB070000}"/>
    <cellStyle name="20% - Accent1 3 2 8 2" xfId="40636" xr:uid="{00000000-0005-0000-0000-0000AC070000}"/>
    <cellStyle name="20% - Accent1 3 2 9" xfId="27686" xr:uid="{00000000-0005-0000-0000-0000AD070000}"/>
    <cellStyle name="20% - Accent1 3 3" xfId="321" xr:uid="{00000000-0005-0000-0000-0000AE070000}"/>
    <cellStyle name="20% - Accent1 3 3 10" xfId="53517" xr:uid="{00000000-0005-0000-0000-0000AF070000}"/>
    <cellStyle name="20% - Accent1 3 3 11" xfId="1600" xr:uid="{00000000-0005-0000-0000-0000B0070000}"/>
    <cellStyle name="20% - Accent1 3 3 2" xfId="458" xr:uid="{00000000-0005-0000-0000-0000B1070000}"/>
    <cellStyle name="20% - Accent1 3 3 2 10" xfId="1926" xr:uid="{00000000-0005-0000-0000-0000B2070000}"/>
    <cellStyle name="20% - Accent1 3 3 2 2" xfId="506" xr:uid="{00000000-0005-0000-0000-0000B3070000}"/>
    <cellStyle name="20% - Accent1 3 3 2 2 2" xfId="3170" xr:uid="{00000000-0005-0000-0000-0000B4070000}"/>
    <cellStyle name="20% - Accent1 3 3 2 2 2 2" xfId="4827" xr:uid="{00000000-0005-0000-0000-0000B5070000}"/>
    <cellStyle name="20% - Accent1 3 3 2 2 2 2 2" xfId="8058" xr:uid="{00000000-0005-0000-0000-0000B6070000}"/>
    <cellStyle name="20% - Accent1 3 3 2 2 2 2 2 2" xfId="14517" xr:uid="{00000000-0005-0000-0000-0000B7070000}"/>
    <cellStyle name="20% - Accent1 3 3 2 2 2 2 2 2 2" xfId="27434" xr:uid="{00000000-0005-0000-0000-0000B8070000}"/>
    <cellStyle name="20% - Accent1 3 3 2 2 2 2 2 2 2 2" xfId="53308" xr:uid="{00000000-0005-0000-0000-0000B9070000}"/>
    <cellStyle name="20% - Accent1 3 3 2 2 2 2 2 2 3" xfId="40392" xr:uid="{00000000-0005-0000-0000-0000BA070000}"/>
    <cellStyle name="20% - Accent1 3 3 2 2 2 2 2 3" xfId="20976" xr:uid="{00000000-0005-0000-0000-0000BB070000}"/>
    <cellStyle name="20% - Accent1 3 3 2 2 2 2 2 3 2" xfId="46850" xr:uid="{00000000-0005-0000-0000-0000BC070000}"/>
    <cellStyle name="20% - Accent1 3 3 2 2 2 2 2 4" xfId="33934" xr:uid="{00000000-0005-0000-0000-0000BD070000}"/>
    <cellStyle name="20% - Accent1 3 3 2 2 2 2 3" xfId="11289" xr:uid="{00000000-0005-0000-0000-0000BE070000}"/>
    <cellStyle name="20% - Accent1 3 3 2 2 2 2 3 2" xfId="24206" xr:uid="{00000000-0005-0000-0000-0000BF070000}"/>
    <cellStyle name="20% - Accent1 3 3 2 2 2 2 3 2 2" xfId="50080" xr:uid="{00000000-0005-0000-0000-0000C0070000}"/>
    <cellStyle name="20% - Accent1 3 3 2 2 2 2 3 3" xfId="37164" xr:uid="{00000000-0005-0000-0000-0000C1070000}"/>
    <cellStyle name="20% - Accent1 3 3 2 2 2 2 4" xfId="17748" xr:uid="{00000000-0005-0000-0000-0000C2070000}"/>
    <cellStyle name="20% - Accent1 3 3 2 2 2 2 4 2" xfId="43622" xr:uid="{00000000-0005-0000-0000-0000C3070000}"/>
    <cellStyle name="20% - Accent1 3 3 2 2 2 2 5" xfId="30674" xr:uid="{00000000-0005-0000-0000-0000C4070000}"/>
    <cellStyle name="20% - Accent1 3 3 2 2 2 3" xfId="6444" xr:uid="{00000000-0005-0000-0000-0000C5070000}"/>
    <cellStyle name="20% - Accent1 3 3 2 2 2 3 2" xfId="12903" xr:uid="{00000000-0005-0000-0000-0000C6070000}"/>
    <cellStyle name="20% - Accent1 3 3 2 2 2 3 2 2" xfId="25820" xr:uid="{00000000-0005-0000-0000-0000C7070000}"/>
    <cellStyle name="20% - Accent1 3 3 2 2 2 3 2 2 2" xfId="51694" xr:uid="{00000000-0005-0000-0000-0000C8070000}"/>
    <cellStyle name="20% - Accent1 3 3 2 2 2 3 2 3" xfId="38778" xr:uid="{00000000-0005-0000-0000-0000C9070000}"/>
    <cellStyle name="20% - Accent1 3 3 2 2 2 3 3" xfId="19362" xr:uid="{00000000-0005-0000-0000-0000CA070000}"/>
    <cellStyle name="20% - Accent1 3 3 2 2 2 3 3 2" xfId="45236" xr:uid="{00000000-0005-0000-0000-0000CB070000}"/>
    <cellStyle name="20% - Accent1 3 3 2 2 2 3 4" xfId="32320" xr:uid="{00000000-0005-0000-0000-0000CC070000}"/>
    <cellStyle name="20% - Accent1 3 3 2 2 2 4" xfId="9675" xr:uid="{00000000-0005-0000-0000-0000CD070000}"/>
    <cellStyle name="20% - Accent1 3 3 2 2 2 4 2" xfId="22592" xr:uid="{00000000-0005-0000-0000-0000CE070000}"/>
    <cellStyle name="20% - Accent1 3 3 2 2 2 4 2 2" xfId="48466" xr:uid="{00000000-0005-0000-0000-0000CF070000}"/>
    <cellStyle name="20% - Accent1 3 3 2 2 2 4 3" xfId="35550" xr:uid="{00000000-0005-0000-0000-0000D0070000}"/>
    <cellStyle name="20% - Accent1 3 3 2 2 2 5" xfId="16134" xr:uid="{00000000-0005-0000-0000-0000D1070000}"/>
    <cellStyle name="20% - Accent1 3 3 2 2 2 5 2" xfId="42008" xr:uid="{00000000-0005-0000-0000-0000D2070000}"/>
    <cellStyle name="20% - Accent1 3 3 2 2 2 6" xfId="29060" xr:uid="{00000000-0005-0000-0000-0000D3070000}"/>
    <cellStyle name="20% - Accent1 3 3 2 2 3" xfId="3997" xr:uid="{00000000-0005-0000-0000-0000D4070000}"/>
    <cellStyle name="20% - Accent1 3 3 2 2 3 2" xfId="7251" xr:uid="{00000000-0005-0000-0000-0000D5070000}"/>
    <cellStyle name="20% - Accent1 3 3 2 2 3 2 2" xfId="13710" xr:uid="{00000000-0005-0000-0000-0000D6070000}"/>
    <cellStyle name="20% - Accent1 3 3 2 2 3 2 2 2" xfId="26627" xr:uid="{00000000-0005-0000-0000-0000D7070000}"/>
    <cellStyle name="20% - Accent1 3 3 2 2 3 2 2 2 2" xfId="52501" xr:uid="{00000000-0005-0000-0000-0000D8070000}"/>
    <cellStyle name="20% - Accent1 3 3 2 2 3 2 2 3" xfId="39585" xr:uid="{00000000-0005-0000-0000-0000D9070000}"/>
    <cellStyle name="20% - Accent1 3 3 2 2 3 2 3" xfId="20169" xr:uid="{00000000-0005-0000-0000-0000DA070000}"/>
    <cellStyle name="20% - Accent1 3 3 2 2 3 2 3 2" xfId="46043" xr:uid="{00000000-0005-0000-0000-0000DB070000}"/>
    <cellStyle name="20% - Accent1 3 3 2 2 3 2 4" xfId="33127" xr:uid="{00000000-0005-0000-0000-0000DC070000}"/>
    <cellStyle name="20% - Accent1 3 3 2 2 3 3" xfId="10482" xr:uid="{00000000-0005-0000-0000-0000DD070000}"/>
    <cellStyle name="20% - Accent1 3 3 2 2 3 3 2" xfId="23399" xr:uid="{00000000-0005-0000-0000-0000DE070000}"/>
    <cellStyle name="20% - Accent1 3 3 2 2 3 3 2 2" xfId="49273" xr:uid="{00000000-0005-0000-0000-0000DF070000}"/>
    <cellStyle name="20% - Accent1 3 3 2 2 3 3 3" xfId="36357" xr:uid="{00000000-0005-0000-0000-0000E0070000}"/>
    <cellStyle name="20% - Accent1 3 3 2 2 3 4" xfId="16941" xr:uid="{00000000-0005-0000-0000-0000E1070000}"/>
    <cellStyle name="20% - Accent1 3 3 2 2 3 4 2" xfId="42815" xr:uid="{00000000-0005-0000-0000-0000E2070000}"/>
    <cellStyle name="20% - Accent1 3 3 2 2 3 5" xfId="29867" xr:uid="{00000000-0005-0000-0000-0000E3070000}"/>
    <cellStyle name="20% - Accent1 3 3 2 2 4" xfId="5637" xr:uid="{00000000-0005-0000-0000-0000E4070000}"/>
    <cellStyle name="20% - Accent1 3 3 2 2 4 2" xfId="12096" xr:uid="{00000000-0005-0000-0000-0000E5070000}"/>
    <cellStyle name="20% - Accent1 3 3 2 2 4 2 2" xfId="25013" xr:uid="{00000000-0005-0000-0000-0000E6070000}"/>
    <cellStyle name="20% - Accent1 3 3 2 2 4 2 2 2" xfId="50887" xr:uid="{00000000-0005-0000-0000-0000E7070000}"/>
    <cellStyle name="20% - Accent1 3 3 2 2 4 2 3" xfId="37971" xr:uid="{00000000-0005-0000-0000-0000E8070000}"/>
    <cellStyle name="20% - Accent1 3 3 2 2 4 3" xfId="18555" xr:uid="{00000000-0005-0000-0000-0000E9070000}"/>
    <cellStyle name="20% - Accent1 3 3 2 2 4 3 2" xfId="44429" xr:uid="{00000000-0005-0000-0000-0000EA070000}"/>
    <cellStyle name="20% - Accent1 3 3 2 2 4 4" xfId="31513" xr:uid="{00000000-0005-0000-0000-0000EB070000}"/>
    <cellStyle name="20% - Accent1 3 3 2 2 5" xfId="8868" xr:uid="{00000000-0005-0000-0000-0000EC070000}"/>
    <cellStyle name="20% - Accent1 3 3 2 2 5 2" xfId="21785" xr:uid="{00000000-0005-0000-0000-0000ED070000}"/>
    <cellStyle name="20% - Accent1 3 3 2 2 5 2 2" xfId="47659" xr:uid="{00000000-0005-0000-0000-0000EE070000}"/>
    <cellStyle name="20% - Accent1 3 3 2 2 5 3" xfId="34743" xr:uid="{00000000-0005-0000-0000-0000EF070000}"/>
    <cellStyle name="20% - Accent1 3 3 2 2 6" xfId="15327" xr:uid="{00000000-0005-0000-0000-0000F0070000}"/>
    <cellStyle name="20% - Accent1 3 3 2 2 6 2" xfId="41201" xr:uid="{00000000-0005-0000-0000-0000F1070000}"/>
    <cellStyle name="20% - Accent1 3 3 2 2 7" xfId="28253" xr:uid="{00000000-0005-0000-0000-0000F2070000}"/>
    <cellStyle name="20% - Accent1 3 3 2 2 8" xfId="54115" xr:uid="{00000000-0005-0000-0000-0000F3070000}"/>
    <cellStyle name="20% - Accent1 3 3 2 2 9" xfId="2357" xr:uid="{00000000-0005-0000-0000-0000F4070000}"/>
    <cellStyle name="20% - Accent1 3 3 2 3" xfId="505" xr:uid="{00000000-0005-0000-0000-0000F5070000}"/>
    <cellStyle name="20% - Accent1 3 3 2 3 2" xfId="4423" xr:uid="{00000000-0005-0000-0000-0000F6070000}"/>
    <cellStyle name="20% - Accent1 3 3 2 3 2 2" xfId="7654" xr:uid="{00000000-0005-0000-0000-0000F7070000}"/>
    <cellStyle name="20% - Accent1 3 3 2 3 2 2 2" xfId="14113" xr:uid="{00000000-0005-0000-0000-0000F8070000}"/>
    <cellStyle name="20% - Accent1 3 3 2 3 2 2 2 2" xfId="27030" xr:uid="{00000000-0005-0000-0000-0000F9070000}"/>
    <cellStyle name="20% - Accent1 3 3 2 3 2 2 2 2 2" xfId="52904" xr:uid="{00000000-0005-0000-0000-0000FA070000}"/>
    <cellStyle name="20% - Accent1 3 3 2 3 2 2 2 3" xfId="39988" xr:uid="{00000000-0005-0000-0000-0000FB070000}"/>
    <cellStyle name="20% - Accent1 3 3 2 3 2 2 3" xfId="20572" xr:uid="{00000000-0005-0000-0000-0000FC070000}"/>
    <cellStyle name="20% - Accent1 3 3 2 3 2 2 3 2" xfId="46446" xr:uid="{00000000-0005-0000-0000-0000FD070000}"/>
    <cellStyle name="20% - Accent1 3 3 2 3 2 2 4" xfId="33530" xr:uid="{00000000-0005-0000-0000-0000FE070000}"/>
    <cellStyle name="20% - Accent1 3 3 2 3 2 3" xfId="10885" xr:uid="{00000000-0005-0000-0000-0000FF070000}"/>
    <cellStyle name="20% - Accent1 3 3 2 3 2 3 2" xfId="23802" xr:uid="{00000000-0005-0000-0000-000000080000}"/>
    <cellStyle name="20% - Accent1 3 3 2 3 2 3 2 2" xfId="49676" xr:uid="{00000000-0005-0000-0000-000001080000}"/>
    <cellStyle name="20% - Accent1 3 3 2 3 2 3 3" xfId="36760" xr:uid="{00000000-0005-0000-0000-000002080000}"/>
    <cellStyle name="20% - Accent1 3 3 2 3 2 4" xfId="17344" xr:uid="{00000000-0005-0000-0000-000003080000}"/>
    <cellStyle name="20% - Accent1 3 3 2 3 2 4 2" xfId="43218" xr:uid="{00000000-0005-0000-0000-000004080000}"/>
    <cellStyle name="20% - Accent1 3 3 2 3 2 5" xfId="30270" xr:uid="{00000000-0005-0000-0000-000005080000}"/>
    <cellStyle name="20% - Accent1 3 3 2 3 3" xfId="6040" xr:uid="{00000000-0005-0000-0000-000006080000}"/>
    <cellStyle name="20% - Accent1 3 3 2 3 3 2" xfId="12499" xr:uid="{00000000-0005-0000-0000-000007080000}"/>
    <cellStyle name="20% - Accent1 3 3 2 3 3 2 2" xfId="25416" xr:uid="{00000000-0005-0000-0000-000008080000}"/>
    <cellStyle name="20% - Accent1 3 3 2 3 3 2 2 2" xfId="51290" xr:uid="{00000000-0005-0000-0000-000009080000}"/>
    <cellStyle name="20% - Accent1 3 3 2 3 3 2 3" xfId="38374" xr:uid="{00000000-0005-0000-0000-00000A080000}"/>
    <cellStyle name="20% - Accent1 3 3 2 3 3 3" xfId="18958" xr:uid="{00000000-0005-0000-0000-00000B080000}"/>
    <cellStyle name="20% - Accent1 3 3 2 3 3 3 2" xfId="44832" xr:uid="{00000000-0005-0000-0000-00000C080000}"/>
    <cellStyle name="20% - Accent1 3 3 2 3 3 4" xfId="31916" xr:uid="{00000000-0005-0000-0000-00000D080000}"/>
    <cellStyle name="20% - Accent1 3 3 2 3 4" xfId="9271" xr:uid="{00000000-0005-0000-0000-00000E080000}"/>
    <cellStyle name="20% - Accent1 3 3 2 3 4 2" xfId="22188" xr:uid="{00000000-0005-0000-0000-00000F080000}"/>
    <cellStyle name="20% - Accent1 3 3 2 3 4 2 2" xfId="48062" xr:uid="{00000000-0005-0000-0000-000010080000}"/>
    <cellStyle name="20% - Accent1 3 3 2 3 4 3" xfId="35146" xr:uid="{00000000-0005-0000-0000-000011080000}"/>
    <cellStyle name="20% - Accent1 3 3 2 3 5" xfId="15730" xr:uid="{00000000-0005-0000-0000-000012080000}"/>
    <cellStyle name="20% - Accent1 3 3 2 3 5 2" xfId="41604" xr:uid="{00000000-0005-0000-0000-000013080000}"/>
    <cellStyle name="20% - Accent1 3 3 2 3 6" xfId="28656" xr:uid="{00000000-0005-0000-0000-000014080000}"/>
    <cellStyle name="20% - Accent1 3 3 2 3 7" xfId="2766" xr:uid="{00000000-0005-0000-0000-000015080000}"/>
    <cellStyle name="20% - Accent1 3 3 2 4" xfId="3593" xr:uid="{00000000-0005-0000-0000-000016080000}"/>
    <cellStyle name="20% - Accent1 3 3 2 4 2" xfId="6847" xr:uid="{00000000-0005-0000-0000-000017080000}"/>
    <cellStyle name="20% - Accent1 3 3 2 4 2 2" xfId="13306" xr:uid="{00000000-0005-0000-0000-000018080000}"/>
    <cellStyle name="20% - Accent1 3 3 2 4 2 2 2" xfId="26223" xr:uid="{00000000-0005-0000-0000-000019080000}"/>
    <cellStyle name="20% - Accent1 3 3 2 4 2 2 2 2" xfId="52097" xr:uid="{00000000-0005-0000-0000-00001A080000}"/>
    <cellStyle name="20% - Accent1 3 3 2 4 2 2 3" xfId="39181" xr:uid="{00000000-0005-0000-0000-00001B080000}"/>
    <cellStyle name="20% - Accent1 3 3 2 4 2 3" xfId="19765" xr:uid="{00000000-0005-0000-0000-00001C080000}"/>
    <cellStyle name="20% - Accent1 3 3 2 4 2 3 2" xfId="45639" xr:uid="{00000000-0005-0000-0000-00001D080000}"/>
    <cellStyle name="20% - Accent1 3 3 2 4 2 4" xfId="32723" xr:uid="{00000000-0005-0000-0000-00001E080000}"/>
    <cellStyle name="20% - Accent1 3 3 2 4 3" xfId="10078" xr:uid="{00000000-0005-0000-0000-00001F080000}"/>
    <cellStyle name="20% - Accent1 3 3 2 4 3 2" xfId="22995" xr:uid="{00000000-0005-0000-0000-000020080000}"/>
    <cellStyle name="20% - Accent1 3 3 2 4 3 2 2" xfId="48869" xr:uid="{00000000-0005-0000-0000-000021080000}"/>
    <cellStyle name="20% - Accent1 3 3 2 4 3 3" xfId="35953" xr:uid="{00000000-0005-0000-0000-000022080000}"/>
    <cellStyle name="20% - Accent1 3 3 2 4 4" xfId="16537" xr:uid="{00000000-0005-0000-0000-000023080000}"/>
    <cellStyle name="20% - Accent1 3 3 2 4 4 2" xfId="42411" xr:uid="{00000000-0005-0000-0000-000024080000}"/>
    <cellStyle name="20% - Accent1 3 3 2 4 5" xfId="29463" xr:uid="{00000000-0005-0000-0000-000025080000}"/>
    <cellStyle name="20% - Accent1 3 3 2 5" xfId="5233" xr:uid="{00000000-0005-0000-0000-000026080000}"/>
    <cellStyle name="20% - Accent1 3 3 2 5 2" xfId="11692" xr:uid="{00000000-0005-0000-0000-000027080000}"/>
    <cellStyle name="20% - Accent1 3 3 2 5 2 2" xfId="24609" xr:uid="{00000000-0005-0000-0000-000028080000}"/>
    <cellStyle name="20% - Accent1 3 3 2 5 2 2 2" xfId="50483" xr:uid="{00000000-0005-0000-0000-000029080000}"/>
    <cellStyle name="20% - Accent1 3 3 2 5 2 3" xfId="37567" xr:uid="{00000000-0005-0000-0000-00002A080000}"/>
    <cellStyle name="20% - Accent1 3 3 2 5 3" xfId="18151" xr:uid="{00000000-0005-0000-0000-00002B080000}"/>
    <cellStyle name="20% - Accent1 3 3 2 5 3 2" xfId="44025" xr:uid="{00000000-0005-0000-0000-00002C080000}"/>
    <cellStyle name="20% - Accent1 3 3 2 5 4" xfId="31109" xr:uid="{00000000-0005-0000-0000-00002D080000}"/>
    <cellStyle name="20% - Accent1 3 3 2 6" xfId="8464" xr:uid="{00000000-0005-0000-0000-00002E080000}"/>
    <cellStyle name="20% - Accent1 3 3 2 6 2" xfId="21381" xr:uid="{00000000-0005-0000-0000-00002F080000}"/>
    <cellStyle name="20% - Accent1 3 3 2 6 2 2" xfId="47255" xr:uid="{00000000-0005-0000-0000-000030080000}"/>
    <cellStyle name="20% - Accent1 3 3 2 6 3" xfId="34339" xr:uid="{00000000-0005-0000-0000-000031080000}"/>
    <cellStyle name="20% - Accent1 3 3 2 7" xfId="14923" xr:uid="{00000000-0005-0000-0000-000032080000}"/>
    <cellStyle name="20% - Accent1 3 3 2 7 2" xfId="40797" xr:uid="{00000000-0005-0000-0000-000033080000}"/>
    <cellStyle name="20% - Accent1 3 3 2 8" xfId="27848" xr:uid="{00000000-0005-0000-0000-000034080000}"/>
    <cellStyle name="20% - Accent1 3 3 2 9" xfId="53711" xr:uid="{00000000-0005-0000-0000-000035080000}"/>
    <cellStyle name="20% - Accent1 3 3 3" xfId="507" xr:uid="{00000000-0005-0000-0000-000036080000}"/>
    <cellStyle name="20% - Accent1 3 3 3 2" xfId="2975" xr:uid="{00000000-0005-0000-0000-000037080000}"/>
    <cellStyle name="20% - Accent1 3 3 3 2 2" xfId="4632" xr:uid="{00000000-0005-0000-0000-000038080000}"/>
    <cellStyle name="20% - Accent1 3 3 3 2 2 2" xfId="7863" xr:uid="{00000000-0005-0000-0000-000039080000}"/>
    <cellStyle name="20% - Accent1 3 3 3 2 2 2 2" xfId="14322" xr:uid="{00000000-0005-0000-0000-00003A080000}"/>
    <cellStyle name="20% - Accent1 3 3 3 2 2 2 2 2" xfId="27239" xr:uid="{00000000-0005-0000-0000-00003B080000}"/>
    <cellStyle name="20% - Accent1 3 3 3 2 2 2 2 2 2" xfId="53113" xr:uid="{00000000-0005-0000-0000-00003C080000}"/>
    <cellStyle name="20% - Accent1 3 3 3 2 2 2 2 3" xfId="40197" xr:uid="{00000000-0005-0000-0000-00003D080000}"/>
    <cellStyle name="20% - Accent1 3 3 3 2 2 2 3" xfId="20781" xr:uid="{00000000-0005-0000-0000-00003E080000}"/>
    <cellStyle name="20% - Accent1 3 3 3 2 2 2 3 2" xfId="46655" xr:uid="{00000000-0005-0000-0000-00003F080000}"/>
    <cellStyle name="20% - Accent1 3 3 3 2 2 2 4" xfId="33739" xr:uid="{00000000-0005-0000-0000-000040080000}"/>
    <cellStyle name="20% - Accent1 3 3 3 2 2 3" xfId="11094" xr:uid="{00000000-0005-0000-0000-000041080000}"/>
    <cellStyle name="20% - Accent1 3 3 3 2 2 3 2" xfId="24011" xr:uid="{00000000-0005-0000-0000-000042080000}"/>
    <cellStyle name="20% - Accent1 3 3 3 2 2 3 2 2" xfId="49885" xr:uid="{00000000-0005-0000-0000-000043080000}"/>
    <cellStyle name="20% - Accent1 3 3 3 2 2 3 3" xfId="36969" xr:uid="{00000000-0005-0000-0000-000044080000}"/>
    <cellStyle name="20% - Accent1 3 3 3 2 2 4" xfId="17553" xr:uid="{00000000-0005-0000-0000-000045080000}"/>
    <cellStyle name="20% - Accent1 3 3 3 2 2 4 2" xfId="43427" xr:uid="{00000000-0005-0000-0000-000046080000}"/>
    <cellStyle name="20% - Accent1 3 3 3 2 2 5" xfId="30479" xr:uid="{00000000-0005-0000-0000-000047080000}"/>
    <cellStyle name="20% - Accent1 3 3 3 2 3" xfId="6249" xr:uid="{00000000-0005-0000-0000-000048080000}"/>
    <cellStyle name="20% - Accent1 3 3 3 2 3 2" xfId="12708" xr:uid="{00000000-0005-0000-0000-000049080000}"/>
    <cellStyle name="20% - Accent1 3 3 3 2 3 2 2" xfId="25625" xr:uid="{00000000-0005-0000-0000-00004A080000}"/>
    <cellStyle name="20% - Accent1 3 3 3 2 3 2 2 2" xfId="51499" xr:uid="{00000000-0005-0000-0000-00004B080000}"/>
    <cellStyle name="20% - Accent1 3 3 3 2 3 2 3" xfId="38583" xr:uid="{00000000-0005-0000-0000-00004C080000}"/>
    <cellStyle name="20% - Accent1 3 3 3 2 3 3" xfId="19167" xr:uid="{00000000-0005-0000-0000-00004D080000}"/>
    <cellStyle name="20% - Accent1 3 3 3 2 3 3 2" xfId="45041" xr:uid="{00000000-0005-0000-0000-00004E080000}"/>
    <cellStyle name="20% - Accent1 3 3 3 2 3 4" xfId="32125" xr:uid="{00000000-0005-0000-0000-00004F080000}"/>
    <cellStyle name="20% - Accent1 3 3 3 2 4" xfId="9480" xr:uid="{00000000-0005-0000-0000-000050080000}"/>
    <cellStyle name="20% - Accent1 3 3 3 2 4 2" xfId="22397" xr:uid="{00000000-0005-0000-0000-000051080000}"/>
    <cellStyle name="20% - Accent1 3 3 3 2 4 2 2" xfId="48271" xr:uid="{00000000-0005-0000-0000-000052080000}"/>
    <cellStyle name="20% - Accent1 3 3 3 2 4 3" xfId="35355" xr:uid="{00000000-0005-0000-0000-000053080000}"/>
    <cellStyle name="20% - Accent1 3 3 3 2 5" xfId="15939" xr:uid="{00000000-0005-0000-0000-000054080000}"/>
    <cellStyle name="20% - Accent1 3 3 3 2 5 2" xfId="41813" xr:uid="{00000000-0005-0000-0000-000055080000}"/>
    <cellStyle name="20% - Accent1 3 3 3 2 6" xfId="28865" xr:uid="{00000000-0005-0000-0000-000056080000}"/>
    <cellStyle name="20% - Accent1 3 3 3 3" xfId="3802" xr:uid="{00000000-0005-0000-0000-000057080000}"/>
    <cellStyle name="20% - Accent1 3 3 3 3 2" xfId="7056" xr:uid="{00000000-0005-0000-0000-000058080000}"/>
    <cellStyle name="20% - Accent1 3 3 3 3 2 2" xfId="13515" xr:uid="{00000000-0005-0000-0000-000059080000}"/>
    <cellStyle name="20% - Accent1 3 3 3 3 2 2 2" xfId="26432" xr:uid="{00000000-0005-0000-0000-00005A080000}"/>
    <cellStyle name="20% - Accent1 3 3 3 3 2 2 2 2" xfId="52306" xr:uid="{00000000-0005-0000-0000-00005B080000}"/>
    <cellStyle name="20% - Accent1 3 3 3 3 2 2 3" xfId="39390" xr:uid="{00000000-0005-0000-0000-00005C080000}"/>
    <cellStyle name="20% - Accent1 3 3 3 3 2 3" xfId="19974" xr:uid="{00000000-0005-0000-0000-00005D080000}"/>
    <cellStyle name="20% - Accent1 3 3 3 3 2 3 2" xfId="45848" xr:uid="{00000000-0005-0000-0000-00005E080000}"/>
    <cellStyle name="20% - Accent1 3 3 3 3 2 4" xfId="32932" xr:uid="{00000000-0005-0000-0000-00005F080000}"/>
    <cellStyle name="20% - Accent1 3 3 3 3 3" xfId="10287" xr:uid="{00000000-0005-0000-0000-000060080000}"/>
    <cellStyle name="20% - Accent1 3 3 3 3 3 2" xfId="23204" xr:uid="{00000000-0005-0000-0000-000061080000}"/>
    <cellStyle name="20% - Accent1 3 3 3 3 3 2 2" xfId="49078" xr:uid="{00000000-0005-0000-0000-000062080000}"/>
    <cellStyle name="20% - Accent1 3 3 3 3 3 3" xfId="36162" xr:uid="{00000000-0005-0000-0000-000063080000}"/>
    <cellStyle name="20% - Accent1 3 3 3 3 4" xfId="16746" xr:uid="{00000000-0005-0000-0000-000064080000}"/>
    <cellStyle name="20% - Accent1 3 3 3 3 4 2" xfId="42620" xr:uid="{00000000-0005-0000-0000-000065080000}"/>
    <cellStyle name="20% - Accent1 3 3 3 3 5" xfId="29672" xr:uid="{00000000-0005-0000-0000-000066080000}"/>
    <cellStyle name="20% - Accent1 3 3 3 4" xfId="5442" xr:uid="{00000000-0005-0000-0000-000067080000}"/>
    <cellStyle name="20% - Accent1 3 3 3 4 2" xfId="11901" xr:uid="{00000000-0005-0000-0000-000068080000}"/>
    <cellStyle name="20% - Accent1 3 3 3 4 2 2" xfId="24818" xr:uid="{00000000-0005-0000-0000-000069080000}"/>
    <cellStyle name="20% - Accent1 3 3 3 4 2 2 2" xfId="50692" xr:uid="{00000000-0005-0000-0000-00006A080000}"/>
    <cellStyle name="20% - Accent1 3 3 3 4 2 3" xfId="37776" xr:uid="{00000000-0005-0000-0000-00006B080000}"/>
    <cellStyle name="20% - Accent1 3 3 3 4 3" xfId="18360" xr:uid="{00000000-0005-0000-0000-00006C080000}"/>
    <cellStyle name="20% - Accent1 3 3 3 4 3 2" xfId="44234" xr:uid="{00000000-0005-0000-0000-00006D080000}"/>
    <cellStyle name="20% - Accent1 3 3 3 4 4" xfId="31318" xr:uid="{00000000-0005-0000-0000-00006E080000}"/>
    <cellStyle name="20% - Accent1 3 3 3 5" xfId="8673" xr:uid="{00000000-0005-0000-0000-00006F080000}"/>
    <cellStyle name="20% - Accent1 3 3 3 5 2" xfId="21590" xr:uid="{00000000-0005-0000-0000-000070080000}"/>
    <cellStyle name="20% - Accent1 3 3 3 5 2 2" xfId="47464" xr:uid="{00000000-0005-0000-0000-000071080000}"/>
    <cellStyle name="20% - Accent1 3 3 3 5 3" xfId="34548" xr:uid="{00000000-0005-0000-0000-000072080000}"/>
    <cellStyle name="20% - Accent1 3 3 3 6" xfId="15132" xr:uid="{00000000-0005-0000-0000-000073080000}"/>
    <cellStyle name="20% - Accent1 3 3 3 6 2" xfId="41006" xr:uid="{00000000-0005-0000-0000-000074080000}"/>
    <cellStyle name="20% - Accent1 3 3 3 7" xfId="28058" xr:uid="{00000000-0005-0000-0000-000075080000}"/>
    <cellStyle name="20% - Accent1 3 3 3 8" xfId="53920" xr:uid="{00000000-0005-0000-0000-000076080000}"/>
    <cellStyle name="20% - Accent1 3 3 3 9" xfId="2161" xr:uid="{00000000-0005-0000-0000-000077080000}"/>
    <cellStyle name="20% - Accent1 3 3 4" xfId="504" xr:uid="{00000000-0005-0000-0000-000078080000}"/>
    <cellStyle name="20% - Accent1 3 3 4 2" xfId="4229" xr:uid="{00000000-0005-0000-0000-000079080000}"/>
    <cellStyle name="20% - Accent1 3 3 4 2 2" xfId="7460" xr:uid="{00000000-0005-0000-0000-00007A080000}"/>
    <cellStyle name="20% - Accent1 3 3 4 2 2 2" xfId="13919" xr:uid="{00000000-0005-0000-0000-00007B080000}"/>
    <cellStyle name="20% - Accent1 3 3 4 2 2 2 2" xfId="26836" xr:uid="{00000000-0005-0000-0000-00007C080000}"/>
    <cellStyle name="20% - Accent1 3 3 4 2 2 2 2 2" xfId="52710" xr:uid="{00000000-0005-0000-0000-00007D080000}"/>
    <cellStyle name="20% - Accent1 3 3 4 2 2 2 3" xfId="39794" xr:uid="{00000000-0005-0000-0000-00007E080000}"/>
    <cellStyle name="20% - Accent1 3 3 4 2 2 3" xfId="20378" xr:uid="{00000000-0005-0000-0000-00007F080000}"/>
    <cellStyle name="20% - Accent1 3 3 4 2 2 3 2" xfId="46252" xr:uid="{00000000-0005-0000-0000-000080080000}"/>
    <cellStyle name="20% - Accent1 3 3 4 2 2 4" xfId="33336" xr:uid="{00000000-0005-0000-0000-000081080000}"/>
    <cellStyle name="20% - Accent1 3 3 4 2 3" xfId="10691" xr:uid="{00000000-0005-0000-0000-000082080000}"/>
    <cellStyle name="20% - Accent1 3 3 4 2 3 2" xfId="23608" xr:uid="{00000000-0005-0000-0000-000083080000}"/>
    <cellStyle name="20% - Accent1 3 3 4 2 3 2 2" xfId="49482" xr:uid="{00000000-0005-0000-0000-000084080000}"/>
    <cellStyle name="20% - Accent1 3 3 4 2 3 3" xfId="36566" xr:uid="{00000000-0005-0000-0000-000085080000}"/>
    <cellStyle name="20% - Accent1 3 3 4 2 4" xfId="17150" xr:uid="{00000000-0005-0000-0000-000086080000}"/>
    <cellStyle name="20% - Accent1 3 3 4 2 4 2" xfId="43024" xr:uid="{00000000-0005-0000-0000-000087080000}"/>
    <cellStyle name="20% - Accent1 3 3 4 2 5" xfId="30076" xr:uid="{00000000-0005-0000-0000-000088080000}"/>
    <cellStyle name="20% - Accent1 3 3 4 3" xfId="5846" xr:uid="{00000000-0005-0000-0000-000089080000}"/>
    <cellStyle name="20% - Accent1 3 3 4 3 2" xfId="12305" xr:uid="{00000000-0005-0000-0000-00008A080000}"/>
    <cellStyle name="20% - Accent1 3 3 4 3 2 2" xfId="25222" xr:uid="{00000000-0005-0000-0000-00008B080000}"/>
    <cellStyle name="20% - Accent1 3 3 4 3 2 2 2" xfId="51096" xr:uid="{00000000-0005-0000-0000-00008C080000}"/>
    <cellStyle name="20% - Accent1 3 3 4 3 2 3" xfId="38180" xr:uid="{00000000-0005-0000-0000-00008D080000}"/>
    <cellStyle name="20% - Accent1 3 3 4 3 3" xfId="18764" xr:uid="{00000000-0005-0000-0000-00008E080000}"/>
    <cellStyle name="20% - Accent1 3 3 4 3 3 2" xfId="44638" xr:uid="{00000000-0005-0000-0000-00008F080000}"/>
    <cellStyle name="20% - Accent1 3 3 4 3 4" xfId="31722" xr:uid="{00000000-0005-0000-0000-000090080000}"/>
    <cellStyle name="20% - Accent1 3 3 4 4" xfId="9077" xr:uid="{00000000-0005-0000-0000-000091080000}"/>
    <cellStyle name="20% - Accent1 3 3 4 4 2" xfId="21994" xr:uid="{00000000-0005-0000-0000-000092080000}"/>
    <cellStyle name="20% - Accent1 3 3 4 4 2 2" xfId="47868" xr:uid="{00000000-0005-0000-0000-000093080000}"/>
    <cellStyle name="20% - Accent1 3 3 4 4 3" xfId="34952" xr:uid="{00000000-0005-0000-0000-000094080000}"/>
    <cellStyle name="20% - Accent1 3 3 4 5" xfId="15536" xr:uid="{00000000-0005-0000-0000-000095080000}"/>
    <cellStyle name="20% - Accent1 3 3 4 5 2" xfId="41410" xr:uid="{00000000-0005-0000-0000-000096080000}"/>
    <cellStyle name="20% - Accent1 3 3 4 6" xfId="28462" xr:uid="{00000000-0005-0000-0000-000097080000}"/>
    <cellStyle name="20% - Accent1 3 3 4 7" xfId="2572" xr:uid="{00000000-0005-0000-0000-000098080000}"/>
    <cellStyle name="20% - Accent1 3 3 5" xfId="3398" xr:uid="{00000000-0005-0000-0000-000099080000}"/>
    <cellStyle name="20% - Accent1 3 3 5 2" xfId="6653" xr:uid="{00000000-0005-0000-0000-00009A080000}"/>
    <cellStyle name="20% - Accent1 3 3 5 2 2" xfId="13112" xr:uid="{00000000-0005-0000-0000-00009B080000}"/>
    <cellStyle name="20% - Accent1 3 3 5 2 2 2" xfId="26029" xr:uid="{00000000-0005-0000-0000-00009C080000}"/>
    <cellStyle name="20% - Accent1 3 3 5 2 2 2 2" xfId="51903" xr:uid="{00000000-0005-0000-0000-00009D080000}"/>
    <cellStyle name="20% - Accent1 3 3 5 2 2 3" xfId="38987" xr:uid="{00000000-0005-0000-0000-00009E080000}"/>
    <cellStyle name="20% - Accent1 3 3 5 2 3" xfId="19571" xr:uid="{00000000-0005-0000-0000-00009F080000}"/>
    <cellStyle name="20% - Accent1 3 3 5 2 3 2" xfId="45445" xr:uid="{00000000-0005-0000-0000-0000A0080000}"/>
    <cellStyle name="20% - Accent1 3 3 5 2 4" xfId="32529" xr:uid="{00000000-0005-0000-0000-0000A1080000}"/>
    <cellStyle name="20% - Accent1 3 3 5 3" xfId="9884" xr:uid="{00000000-0005-0000-0000-0000A2080000}"/>
    <cellStyle name="20% - Accent1 3 3 5 3 2" xfId="22801" xr:uid="{00000000-0005-0000-0000-0000A3080000}"/>
    <cellStyle name="20% - Accent1 3 3 5 3 2 2" xfId="48675" xr:uid="{00000000-0005-0000-0000-0000A4080000}"/>
    <cellStyle name="20% - Accent1 3 3 5 3 3" xfId="35759" xr:uid="{00000000-0005-0000-0000-0000A5080000}"/>
    <cellStyle name="20% - Accent1 3 3 5 4" xfId="16343" xr:uid="{00000000-0005-0000-0000-0000A6080000}"/>
    <cellStyle name="20% - Accent1 3 3 5 4 2" xfId="42217" xr:uid="{00000000-0005-0000-0000-0000A7080000}"/>
    <cellStyle name="20% - Accent1 3 3 5 5" xfId="29269" xr:uid="{00000000-0005-0000-0000-0000A8080000}"/>
    <cellStyle name="20% - Accent1 3 3 6" xfId="5039" xr:uid="{00000000-0005-0000-0000-0000A9080000}"/>
    <cellStyle name="20% - Accent1 3 3 6 2" xfId="11498" xr:uid="{00000000-0005-0000-0000-0000AA080000}"/>
    <cellStyle name="20% - Accent1 3 3 6 2 2" xfId="24415" xr:uid="{00000000-0005-0000-0000-0000AB080000}"/>
    <cellStyle name="20% - Accent1 3 3 6 2 2 2" xfId="50289" xr:uid="{00000000-0005-0000-0000-0000AC080000}"/>
    <cellStyle name="20% - Accent1 3 3 6 2 3" xfId="37373" xr:uid="{00000000-0005-0000-0000-0000AD080000}"/>
    <cellStyle name="20% - Accent1 3 3 6 3" xfId="17957" xr:uid="{00000000-0005-0000-0000-0000AE080000}"/>
    <cellStyle name="20% - Accent1 3 3 6 3 2" xfId="43831" xr:uid="{00000000-0005-0000-0000-0000AF080000}"/>
    <cellStyle name="20% - Accent1 3 3 6 4" xfId="30915" xr:uid="{00000000-0005-0000-0000-0000B0080000}"/>
    <cellStyle name="20% - Accent1 3 3 7" xfId="8269" xr:uid="{00000000-0005-0000-0000-0000B1080000}"/>
    <cellStyle name="20% - Accent1 3 3 7 2" xfId="21186" xr:uid="{00000000-0005-0000-0000-0000B2080000}"/>
    <cellStyle name="20% - Accent1 3 3 7 2 2" xfId="47060" xr:uid="{00000000-0005-0000-0000-0000B3080000}"/>
    <cellStyle name="20% - Accent1 3 3 7 3" xfId="34144" xr:uid="{00000000-0005-0000-0000-0000B4080000}"/>
    <cellStyle name="20% - Accent1 3 3 8" xfId="14728" xr:uid="{00000000-0005-0000-0000-0000B5080000}"/>
    <cellStyle name="20% - Accent1 3 3 8 2" xfId="40602" xr:uid="{00000000-0005-0000-0000-0000B6080000}"/>
    <cellStyle name="20% - Accent1 3 3 9" xfId="27652" xr:uid="{00000000-0005-0000-0000-0000B7080000}"/>
    <cellStyle name="20% - Accent1 3 4" xfId="218" xr:uid="{00000000-0005-0000-0000-0000B8080000}"/>
    <cellStyle name="20% - Accent1 3 4 2" xfId="409" xr:uid="{00000000-0005-0000-0000-0000B9080000}"/>
    <cellStyle name="20% - Accent1 3 4 2 2" xfId="510" xr:uid="{00000000-0005-0000-0000-0000BA080000}"/>
    <cellStyle name="20% - Accent1 3 4 2 3" xfId="509" xr:uid="{00000000-0005-0000-0000-0000BB080000}"/>
    <cellStyle name="20% - Accent1 3 4 3" xfId="511" xr:uid="{00000000-0005-0000-0000-0000BC080000}"/>
    <cellStyle name="20% - Accent1 3 4 4" xfId="508" xr:uid="{00000000-0005-0000-0000-0000BD080000}"/>
    <cellStyle name="20% - Accent1 3 4 5" xfId="1662" xr:uid="{00000000-0005-0000-0000-0000BE080000}"/>
    <cellStyle name="20% - Accent1 3 5" xfId="373" xr:uid="{00000000-0005-0000-0000-0000BF080000}"/>
    <cellStyle name="20% - Accent1 3 5 10" xfId="53499" xr:uid="{00000000-0005-0000-0000-0000C0080000}"/>
    <cellStyle name="20% - Accent1 3 5 11" xfId="1570" xr:uid="{00000000-0005-0000-0000-0000C1080000}"/>
    <cellStyle name="20% - Accent1 3 5 2" xfId="513" xr:uid="{00000000-0005-0000-0000-0000C2080000}"/>
    <cellStyle name="20% - Accent1 3 5 2 10" xfId="1908" xr:uid="{00000000-0005-0000-0000-0000C3080000}"/>
    <cellStyle name="20% - Accent1 3 5 2 2" xfId="2339" xr:uid="{00000000-0005-0000-0000-0000C4080000}"/>
    <cellStyle name="20% - Accent1 3 5 2 2 2" xfId="3152" xr:uid="{00000000-0005-0000-0000-0000C5080000}"/>
    <cellStyle name="20% - Accent1 3 5 2 2 2 2" xfId="4809" xr:uid="{00000000-0005-0000-0000-0000C6080000}"/>
    <cellStyle name="20% - Accent1 3 5 2 2 2 2 2" xfId="8040" xr:uid="{00000000-0005-0000-0000-0000C7080000}"/>
    <cellStyle name="20% - Accent1 3 5 2 2 2 2 2 2" xfId="14499" xr:uid="{00000000-0005-0000-0000-0000C8080000}"/>
    <cellStyle name="20% - Accent1 3 5 2 2 2 2 2 2 2" xfId="27416" xr:uid="{00000000-0005-0000-0000-0000C9080000}"/>
    <cellStyle name="20% - Accent1 3 5 2 2 2 2 2 2 2 2" xfId="53290" xr:uid="{00000000-0005-0000-0000-0000CA080000}"/>
    <cellStyle name="20% - Accent1 3 5 2 2 2 2 2 2 3" xfId="40374" xr:uid="{00000000-0005-0000-0000-0000CB080000}"/>
    <cellStyle name="20% - Accent1 3 5 2 2 2 2 2 3" xfId="20958" xr:uid="{00000000-0005-0000-0000-0000CC080000}"/>
    <cellStyle name="20% - Accent1 3 5 2 2 2 2 2 3 2" xfId="46832" xr:uid="{00000000-0005-0000-0000-0000CD080000}"/>
    <cellStyle name="20% - Accent1 3 5 2 2 2 2 2 4" xfId="33916" xr:uid="{00000000-0005-0000-0000-0000CE080000}"/>
    <cellStyle name="20% - Accent1 3 5 2 2 2 2 3" xfId="11271" xr:uid="{00000000-0005-0000-0000-0000CF080000}"/>
    <cellStyle name="20% - Accent1 3 5 2 2 2 2 3 2" xfId="24188" xr:uid="{00000000-0005-0000-0000-0000D0080000}"/>
    <cellStyle name="20% - Accent1 3 5 2 2 2 2 3 2 2" xfId="50062" xr:uid="{00000000-0005-0000-0000-0000D1080000}"/>
    <cellStyle name="20% - Accent1 3 5 2 2 2 2 3 3" xfId="37146" xr:uid="{00000000-0005-0000-0000-0000D2080000}"/>
    <cellStyle name="20% - Accent1 3 5 2 2 2 2 4" xfId="17730" xr:uid="{00000000-0005-0000-0000-0000D3080000}"/>
    <cellStyle name="20% - Accent1 3 5 2 2 2 2 4 2" xfId="43604" xr:uid="{00000000-0005-0000-0000-0000D4080000}"/>
    <cellStyle name="20% - Accent1 3 5 2 2 2 2 5" xfId="30656" xr:uid="{00000000-0005-0000-0000-0000D5080000}"/>
    <cellStyle name="20% - Accent1 3 5 2 2 2 3" xfId="6426" xr:uid="{00000000-0005-0000-0000-0000D6080000}"/>
    <cellStyle name="20% - Accent1 3 5 2 2 2 3 2" xfId="12885" xr:uid="{00000000-0005-0000-0000-0000D7080000}"/>
    <cellStyle name="20% - Accent1 3 5 2 2 2 3 2 2" xfId="25802" xr:uid="{00000000-0005-0000-0000-0000D8080000}"/>
    <cellStyle name="20% - Accent1 3 5 2 2 2 3 2 2 2" xfId="51676" xr:uid="{00000000-0005-0000-0000-0000D9080000}"/>
    <cellStyle name="20% - Accent1 3 5 2 2 2 3 2 3" xfId="38760" xr:uid="{00000000-0005-0000-0000-0000DA080000}"/>
    <cellStyle name="20% - Accent1 3 5 2 2 2 3 3" xfId="19344" xr:uid="{00000000-0005-0000-0000-0000DB080000}"/>
    <cellStyle name="20% - Accent1 3 5 2 2 2 3 3 2" xfId="45218" xr:uid="{00000000-0005-0000-0000-0000DC080000}"/>
    <cellStyle name="20% - Accent1 3 5 2 2 2 3 4" xfId="32302" xr:uid="{00000000-0005-0000-0000-0000DD080000}"/>
    <cellStyle name="20% - Accent1 3 5 2 2 2 4" xfId="9657" xr:uid="{00000000-0005-0000-0000-0000DE080000}"/>
    <cellStyle name="20% - Accent1 3 5 2 2 2 4 2" xfId="22574" xr:uid="{00000000-0005-0000-0000-0000DF080000}"/>
    <cellStyle name="20% - Accent1 3 5 2 2 2 4 2 2" xfId="48448" xr:uid="{00000000-0005-0000-0000-0000E0080000}"/>
    <cellStyle name="20% - Accent1 3 5 2 2 2 4 3" xfId="35532" xr:uid="{00000000-0005-0000-0000-0000E1080000}"/>
    <cellStyle name="20% - Accent1 3 5 2 2 2 5" xfId="16116" xr:uid="{00000000-0005-0000-0000-0000E2080000}"/>
    <cellStyle name="20% - Accent1 3 5 2 2 2 5 2" xfId="41990" xr:uid="{00000000-0005-0000-0000-0000E3080000}"/>
    <cellStyle name="20% - Accent1 3 5 2 2 2 6" xfId="29042" xr:uid="{00000000-0005-0000-0000-0000E4080000}"/>
    <cellStyle name="20% - Accent1 3 5 2 2 3" xfId="3979" xr:uid="{00000000-0005-0000-0000-0000E5080000}"/>
    <cellStyle name="20% - Accent1 3 5 2 2 3 2" xfId="7233" xr:uid="{00000000-0005-0000-0000-0000E6080000}"/>
    <cellStyle name="20% - Accent1 3 5 2 2 3 2 2" xfId="13692" xr:uid="{00000000-0005-0000-0000-0000E7080000}"/>
    <cellStyle name="20% - Accent1 3 5 2 2 3 2 2 2" xfId="26609" xr:uid="{00000000-0005-0000-0000-0000E8080000}"/>
    <cellStyle name="20% - Accent1 3 5 2 2 3 2 2 2 2" xfId="52483" xr:uid="{00000000-0005-0000-0000-0000E9080000}"/>
    <cellStyle name="20% - Accent1 3 5 2 2 3 2 2 3" xfId="39567" xr:uid="{00000000-0005-0000-0000-0000EA080000}"/>
    <cellStyle name="20% - Accent1 3 5 2 2 3 2 3" xfId="20151" xr:uid="{00000000-0005-0000-0000-0000EB080000}"/>
    <cellStyle name="20% - Accent1 3 5 2 2 3 2 3 2" xfId="46025" xr:uid="{00000000-0005-0000-0000-0000EC080000}"/>
    <cellStyle name="20% - Accent1 3 5 2 2 3 2 4" xfId="33109" xr:uid="{00000000-0005-0000-0000-0000ED080000}"/>
    <cellStyle name="20% - Accent1 3 5 2 2 3 3" xfId="10464" xr:uid="{00000000-0005-0000-0000-0000EE080000}"/>
    <cellStyle name="20% - Accent1 3 5 2 2 3 3 2" xfId="23381" xr:uid="{00000000-0005-0000-0000-0000EF080000}"/>
    <cellStyle name="20% - Accent1 3 5 2 2 3 3 2 2" xfId="49255" xr:uid="{00000000-0005-0000-0000-0000F0080000}"/>
    <cellStyle name="20% - Accent1 3 5 2 2 3 3 3" xfId="36339" xr:uid="{00000000-0005-0000-0000-0000F1080000}"/>
    <cellStyle name="20% - Accent1 3 5 2 2 3 4" xfId="16923" xr:uid="{00000000-0005-0000-0000-0000F2080000}"/>
    <cellStyle name="20% - Accent1 3 5 2 2 3 4 2" xfId="42797" xr:uid="{00000000-0005-0000-0000-0000F3080000}"/>
    <cellStyle name="20% - Accent1 3 5 2 2 3 5" xfId="29849" xr:uid="{00000000-0005-0000-0000-0000F4080000}"/>
    <cellStyle name="20% - Accent1 3 5 2 2 4" xfId="5619" xr:uid="{00000000-0005-0000-0000-0000F5080000}"/>
    <cellStyle name="20% - Accent1 3 5 2 2 4 2" xfId="12078" xr:uid="{00000000-0005-0000-0000-0000F6080000}"/>
    <cellStyle name="20% - Accent1 3 5 2 2 4 2 2" xfId="24995" xr:uid="{00000000-0005-0000-0000-0000F7080000}"/>
    <cellStyle name="20% - Accent1 3 5 2 2 4 2 2 2" xfId="50869" xr:uid="{00000000-0005-0000-0000-0000F8080000}"/>
    <cellStyle name="20% - Accent1 3 5 2 2 4 2 3" xfId="37953" xr:uid="{00000000-0005-0000-0000-0000F9080000}"/>
    <cellStyle name="20% - Accent1 3 5 2 2 4 3" xfId="18537" xr:uid="{00000000-0005-0000-0000-0000FA080000}"/>
    <cellStyle name="20% - Accent1 3 5 2 2 4 3 2" xfId="44411" xr:uid="{00000000-0005-0000-0000-0000FB080000}"/>
    <cellStyle name="20% - Accent1 3 5 2 2 4 4" xfId="31495" xr:uid="{00000000-0005-0000-0000-0000FC080000}"/>
    <cellStyle name="20% - Accent1 3 5 2 2 5" xfId="8850" xr:uid="{00000000-0005-0000-0000-0000FD080000}"/>
    <cellStyle name="20% - Accent1 3 5 2 2 5 2" xfId="21767" xr:uid="{00000000-0005-0000-0000-0000FE080000}"/>
    <cellStyle name="20% - Accent1 3 5 2 2 5 2 2" xfId="47641" xr:uid="{00000000-0005-0000-0000-0000FF080000}"/>
    <cellStyle name="20% - Accent1 3 5 2 2 5 3" xfId="34725" xr:uid="{00000000-0005-0000-0000-000000090000}"/>
    <cellStyle name="20% - Accent1 3 5 2 2 6" xfId="15309" xr:uid="{00000000-0005-0000-0000-000001090000}"/>
    <cellStyle name="20% - Accent1 3 5 2 2 6 2" xfId="41183" xr:uid="{00000000-0005-0000-0000-000002090000}"/>
    <cellStyle name="20% - Accent1 3 5 2 2 7" xfId="28235" xr:uid="{00000000-0005-0000-0000-000003090000}"/>
    <cellStyle name="20% - Accent1 3 5 2 2 8" xfId="54097" xr:uid="{00000000-0005-0000-0000-000004090000}"/>
    <cellStyle name="20% - Accent1 3 5 2 3" xfId="2748" xr:uid="{00000000-0005-0000-0000-000005090000}"/>
    <cellStyle name="20% - Accent1 3 5 2 3 2" xfId="4405" xr:uid="{00000000-0005-0000-0000-000006090000}"/>
    <cellStyle name="20% - Accent1 3 5 2 3 2 2" xfId="7636" xr:uid="{00000000-0005-0000-0000-000007090000}"/>
    <cellStyle name="20% - Accent1 3 5 2 3 2 2 2" xfId="14095" xr:uid="{00000000-0005-0000-0000-000008090000}"/>
    <cellStyle name="20% - Accent1 3 5 2 3 2 2 2 2" xfId="27012" xr:uid="{00000000-0005-0000-0000-000009090000}"/>
    <cellStyle name="20% - Accent1 3 5 2 3 2 2 2 2 2" xfId="52886" xr:uid="{00000000-0005-0000-0000-00000A090000}"/>
    <cellStyle name="20% - Accent1 3 5 2 3 2 2 2 3" xfId="39970" xr:uid="{00000000-0005-0000-0000-00000B090000}"/>
    <cellStyle name="20% - Accent1 3 5 2 3 2 2 3" xfId="20554" xr:uid="{00000000-0005-0000-0000-00000C090000}"/>
    <cellStyle name="20% - Accent1 3 5 2 3 2 2 3 2" xfId="46428" xr:uid="{00000000-0005-0000-0000-00000D090000}"/>
    <cellStyle name="20% - Accent1 3 5 2 3 2 2 4" xfId="33512" xr:uid="{00000000-0005-0000-0000-00000E090000}"/>
    <cellStyle name="20% - Accent1 3 5 2 3 2 3" xfId="10867" xr:uid="{00000000-0005-0000-0000-00000F090000}"/>
    <cellStyle name="20% - Accent1 3 5 2 3 2 3 2" xfId="23784" xr:uid="{00000000-0005-0000-0000-000010090000}"/>
    <cellStyle name="20% - Accent1 3 5 2 3 2 3 2 2" xfId="49658" xr:uid="{00000000-0005-0000-0000-000011090000}"/>
    <cellStyle name="20% - Accent1 3 5 2 3 2 3 3" xfId="36742" xr:uid="{00000000-0005-0000-0000-000012090000}"/>
    <cellStyle name="20% - Accent1 3 5 2 3 2 4" xfId="17326" xr:uid="{00000000-0005-0000-0000-000013090000}"/>
    <cellStyle name="20% - Accent1 3 5 2 3 2 4 2" xfId="43200" xr:uid="{00000000-0005-0000-0000-000014090000}"/>
    <cellStyle name="20% - Accent1 3 5 2 3 2 5" xfId="30252" xr:uid="{00000000-0005-0000-0000-000015090000}"/>
    <cellStyle name="20% - Accent1 3 5 2 3 3" xfId="6022" xr:uid="{00000000-0005-0000-0000-000016090000}"/>
    <cellStyle name="20% - Accent1 3 5 2 3 3 2" xfId="12481" xr:uid="{00000000-0005-0000-0000-000017090000}"/>
    <cellStyle name="20% - Accent1 3 5 2 3 3 2 2" xfId="25398" xr:uid="{00000000-0005-0000-0000-000018090000}"/>
    <cellStyle name="20% - Accent1 3 5 2 3 3 2 2 2" xfId="51272" xr:uid="{00000000-0005-0000-0000-000019090000}"/>
    <cellStyle name="20% - Accent1 3 5 2 3 3 2 3" xfId="38356" xr:uid="{00000000-0005-0000-0000-00001A090000}"/>
    <cellStyle name="20% - Accent1 3 5 2 3 3 3" xfId="18940" xr:uid="{00000000-0005-0000-0000-00001B090000}"/>
    <cellStyle name="20% - Accent1 3 5 2 3 3 3 2" xfId="44814" xr:uid="{00000000-0005-0000-0000-00001C090000}"/>
    <cellStyle name="20% - Accent1 3 5 2 3 3 4" xfId="31898" xr:uid="{00000000-0005-0000-0000-00001D090000}"/>
    <cellStyle name="20% - Accent1 3 5 2 3 4" xfId="9253" xr:uid="{00000000-0005-0000-0000-00001E090000}"/>
    <cellStyle name="20% - Accent1 3 5 2 3 4 2" xfId="22170" xr:uid="{00000000-0005-0000-0000-00001F090000}"/>
    <cellStyle name="20% - Accent1 3 5 2 3 4 2 2" xfId="48044" xr:uid="{00000000-0005-0000-0000-000020090000}"/>
    <cellStyle name="20% - Accent1 3 5 2 3 4 3" xfId="35128" xr:uid="{00000000-0005-0000-0000-000021090000}"/>
    <cellStyle name="20% - Accent1 3 5 2 3 5" xfId="15712" xr:uid="{00000000-0005-0000-0000-000022090000}"/>
    <cellStyle name="20% - Accent1 3 5 2 3 5 2" xfId="41586" xr:uid="{00000000-0005-0000-0000-000023090000}"/>
    <cellStyle name="20% - Accent1 3 5 2 3 6" xfId="28638" xr:uid="{00000000-0005-0000-0000-000024090000}"/>
    <cellStyle name="20% - Accent1 3 5 2 4" xfId="3575" xr:uid="{00000000-0005-0000-0000-000025090000}"/>
    <cellStyle name="20% - Accent1 3 5 2 4 2" xfId="6829" xr:uid="{00000000-0005-0000-0000-000026090000}"/>
    <cellStyle name="20% - Accent1 3 5 2 4 2 2" xfId="13288" xr:uid="{00000000-0005-0000-0000-000027090000}"/>
    <cellStyle name="20% - Accent1 3 5 2 4 2 2 2" xfId="26205" xr:uid="{00000000-0005-0000-0000-000028090000}"/>
    <cellStyle name="20% - Accent1 3 5 2 4 2 2 2 2" xfId="52079" xr:uid="{00000000-0005-0000-0000-000029090000}"/>
    <cellStyle name="20% - Accent1 3 5 2 4 2 2 3" xfId="39163" xr:uid="{00000000-0005-0000-0000-00002A090000}"/>
    <cellStyle name="20% - Accent1 3 5 2 4 2 3" xfId="19747" xr:uid="{00000000-0005-0000-0000-00002B090000}"/>
    <cellStyle name="20% - Accent1 3 5 2 4 2 3 2" xfId="45621" xr:uid="{00000000-0005-0000-0000-00002C090000}"/>
    <cellStyle name="20% - Accent1 3 5 2 4 2 4" xfId="32705" xr:uid="{00000000-0005-0000-0000-00002D090000}"/>
    <cellStyle name="20% - Accent1 3 5 2 4 3" xfId="10060" xr:uid="{00000000-0005-0000-0000-00002E090000}"/>
    <cellStyle name="20% - Accent1 3 5 2 4 3 2" xfId="22977" xr:uid="{00000000-0005-0000-0000-00002F090000}"/>
    <cellStyle name="20% - Accent1 3 5 2 4 3 2 2" xfId="48851" xr:uid="{00000000-0005-0000-0000-000030090000}"/>
    <cellStyle name="20% - Accent1 3 5 2 4 3 3" xfId="35935" xr:uid="{00000000-0005-0000-0000-000031090000}"/>
    <cellStyle name="20% - Accent1 3 5 2 4 4" xfId="16519" xr:uid="{00000000-0005-0000-0000-000032090000}"/>
    <cellStyle name="20% - Accent1 3 5 2 4 4 2" xfId="42393" xr:uid="{00000000-0005-0000-0000-000033090000}"/>
    <cellStyle name="20% - Accent1 3 5 2 4 5" xfId="29445" xr:uid="{00000000-0005-0000-0000-000034090000}"/>
    <cellStyle name="20% - Accent1 3 5 2 5" xfId="5215" xr:uid="{00000000-0005-0000-0000-000035090000}"/>
    <cellStyle name="20% - Accent1 3 5 2 5 2" xfId="11674" xr:uid="{00000000-0005-0000-0000-000036090000}"/>
    <cellStyle name="20% - Accent1 3 5 2 5 2 2" xfId="24591" xr:uid="{00000000-0005-0000-0000-000037090000}"/>
    <cellStyle name="20% - Accent1 3 5 2 5 2 2 2" xfId="50465" xr:uid="{00000000-0005-0000-0000-000038090000}"/>
    <cellStyle name="20% - Accent1 3 5 2 5 2 3" xfId="37549" xr:uid="{00000000-0005-0000-0000-000039090000}"/>
    <cellStyle name="20% - Accent1 3 5 2 5 3" xfId="18133" xr:uid="{00000000-0005-0000-0000-00003A090000}"/>
    <cellStyle name="20% - Accent1 3 5 2 5 3 2" xfId="44007" xr:uid="{00000000-0005-0000-0000-00003B090000}"/>
    <cellStyle name="20% - Accent1 3 5 2 5 4" xfId="31091" xr:uid="{00000000-0005-0000-0000-00003C090000}"/>
    <cellStyle name="20% - Accent1 3 5 2 6" xfId="8446" xr:uid="{00000000-0005-0000-0000-00003D090000}"/>
    <cellStyle name="20% - Accent1 3 5 2 6 2" xfId="21363" xr:uid="{00000000-0005-0000-0000-00003E090000}"/>
    <cellStyle name="20% - Accent1 3 5 2 6 2 2" xfId="47237" xr:uid="{00000000-0005-0000-0000-00003F090000}"/>
    <cellStyle name="20% - Accent1 3 5 2 6 3" xfId="34321" xr:uid="{00000000-0005-0000-0000-000040090000}"/>
    <cellStyle name="20% - Accent1 3 5 2 7" xfId="14905" xr:uid="{00000000-0005-0000-0000-000041090000}"/>
    <cellStyle name="20% - Accent1 3 5 2 7 2" xfId="40779" xr:uid="{00000000-0005-0000-0000-000042090000}"/>
    <cellStyle name="20% - Accent1 3 5 2 8" xfId="27830" xr:uid="{00000000-0005-0000-0000-000043090000}"/>
    <cellStyle name="20% - Accent1 3 5 2 9" xfId="53693" xr:uid="{00000000-0005-0000-0000-000044090000}"/>
    <cellStyle name="20% - Accent1 3 5 3" xfId="512" xr:uid="{00000000-0005-0000-0000-000045090000}"/>
    <cellStyle name="20% - Accent1 3 5 3 2" xfId="2957" xr:uid="{00000000-0005-0000-0000-000046090000}"/>
    <cellStyle name="20% - Accent1 3 5 3 2 2" xfId="4614" xr:uid="{00000000-0005-0000-0000-000047090000}"/>
    <cellStyle name="20% - Accent1 3 5 3 2 2 2" xfId="7845" xr:uid="{00000000-0005-0000-0000-000048090000}"/>
    <cellStyle name="20% - Accent1 3 5 3 2 2 2 2" xfId="14304" xr:uid="{00000000-0005-0000-0000-000049090000}"/>
    <cellStyle name="20% - Accent1 3 5 3 2 2 2 2 2" xfId="27221" xr:uid="{00000000-0005-0000-0000-00004A090000}"/>
    <cellStyle name="20% - Accent1 3 5 3 2 2 2 2 2 2" xfId="53095" xr:uid="{00000000-0005-0000-0000-00004B090000}"/>
    <cellStyle name="20% - Accent1 3 5 3 2 2 2 2 3" xfId="40179" xr:uid="{00000000-0005-0000-0000-00004C090000}"/>
    <cellStyle name="20% - Accent1 3 5 3 2 2 2 3" xfId="20763" xr:uid="{00000000-0005-0000-0000-00004D090000}"/>
    <cellStyle name="20% - Accent1 3 5 3 2 2 2 3 2" xfId="46637" xr:uid="{00000000-0005-0000-0000-00004E090000}"/>
    <cellStyle name="20% - Accent1 3 5 3 2 2 2 4" xfId="33721" xr:uid="{00000000-0005-0000-0000-00004F090000}"/>
    <cellStyle name="20% - Accent1 3 5 3 2 2 3" xfId="11076" xr:uid="{00000000-0005-0000-0000-000050090000}"/>
    <cellStyle name="20% - Accent1 3 5 3 2 2 3 2" xfId="23993" xr:uid="{00000000-0005-0000-0000-000051090000}"/>
    <cellStyle name="20% - Accent1 3 5 3 2 2 3 2 2" xfId="49867" xr:uid="{00000000-0005-0000-0000-000052090000}"/>
    <cellStyle name="20% - Accent1 3 5 3 2 2 3 3" xfId="36951" xr:uid="{00000000-0005-0000-0000-000053090000}"/>
    <cellStyle name="20% - Accent1 3 5 3 2 2 4" xfId="17535" xr:uid="{00000000-0005-0000-0000-000054090000}"/>
    <cellStyle name="20% - Accent1 3 5 3 2 2 4 2" xfId="43409" xr:uid="{00000000-0005-0000-0000-000055090000}"/>
    <cellStyle name="20% - Accent1 3 5 3 2 2 5" xfId="30461" xr:uid="{00000000-0005-0000-0000-000056090000}"/>
    <cellStyle name="20% - Accent1 3 5 3 2 3" xfId="6231" xr:uid="{00000000-0005-0000-0000-000057090000}"/>
    <cellStyle name="20% - Accent1 3 5 3 2 3 2" xfId="12690" xr:uid="{00000000-0005-0000-0000-000058090000}"/>
    <cellStyle name="20% - Accent1 3 5 3 2 3 2 2" xfId="25607" xr:uid="{00000000-0005-0000-0000-000059090000}"/>
    <cellStyle name="20% - Accent1 3 5 3 2 3 2 2 2" xfId="51481" xr:uid="{00000000-0005-0000-0000-00005A090000}"/>
    <cellStyle name="20% - Accent1 3 5 3 2 3 2 3" xfId="38565" xr:uid="{00000000-0005-0000-0000-00005B090000}"/>
    <cellStyle name="20% - Accent1 3 5 3 2 3 3" xfId="19149" xr:uid="{00000000-0005-0000-0000-00005C090000}"/>
    <cellStyle name="20% - Accent1 3 5 3 2 3 3 2" xfId="45023" xr:uid="{00000000-0005-0000-0000-00005D090000}"/>
    <cellStyle name="20% - Accent1 3 5 3 2 3 4" xfId="32107" xr:uid="{00000000-0005-0000-0000-00005E090000}"/>
    <cellStyle name="20% - Accent1 3 5 3 2 4" xfId="9462" xr:uid="{00000000-0005-0000-0000-00005F090000}"/>
    <cellStyle name="20% - Accent1 3 5 3 2 4 2" xfId="22379" xr:uid="{00000000-0005-0000-0000-000060090000}"/>
    <cellStyle name="20% - Accent1 3 5 3 2 4 2 2" xfId="48253" xr:uid="{00000000-0005-0000-0000-000061090000}"/>
    <cellStyle name="20% - Accent1 3 5 3 2 4 3" xfId="35337" xr:uid="{00000000-0005-0000-0000-000062090000}"/>
    <cellStyle name="20% - Accent1 3 5 3 2 5" xfId="15921" xr:uid="{00000000-0005-0000-0000-000063090000}"/>
    <cellStyle name="20% - Accent1 3 5 3 2 5 2" xfId="41795" xr:uid="{00000000-0005-0000-0000-000064090000}"/>
    <cellStyle name="20% - Accent1 3 5 3 2 6" xfId="28847" xr:uid="{00000000-0005-0000-0000-000065090000}"/>
    <cellStyle name="20% - Accent1 3 5 3 3" xfId="3784" xr:uid="{00000000-0005-0000-0000-000066090000}"/>
    <cellStyle name="20% - Accent1 3 5 3 3 2" xfId="7038" xr:uid="{00000000-0005-0000-0000-000067090000}"/>
    <cellStyle name="20% - Accent1 3 5 3 3 2 2" xfId="13497" xr:uid="{00000000-0005-0000-0000-000068090000}"/>
    <cellStyle name="20% - Accent1 3 5 3 3 2 2 2" xfId="26414" xr:uid="{00000000-0005-0000-0000-000069090000}"/>
    <cellStyle name="20% - Accent1 3 5 3 3 2 2 2 2" xfId="52288" xr:uid="{00000000-0005-0000-0000-00006A090000}"/>
    <cellStyle name="20% - Accent1 3 5 3 3 2 2 3" xfId="39372" xr:uid="{00000000-0005-0000-0000-00006B090000}"/>
    <cellStyle name="20% - Accent1 3 5 3 3 2 3" xfId="19956" xr:uid="{00000000-0005-0000-0000-00006C090000}"/>
    <cellStyle name="20% - Accent1 3 5 3 3 2 3 2" xfId="45830" xr:uid="{00000000-0005-0000-0000-00006D090000}"/>
    <cellStyle name="20% - Accent1 3 5 3 3 2 4" xfId="32914" xr:uid="{00000000-0005-0000-0000-00006E090000}"/>
    <cellStyle name="20% - Accent1 3 5 3 3 3" xfId="10269" xr:uid="{00000000-0005-0000-0000-00006F090000}"/>
    <cellStyle name="20% - Accent1 3 5 3 3 3 2" xfId="23186" xr:uid="{00000000-0005-0000-0000-000070090000}"/>
    <cellStyle name="20% - Accent1 3 5 3 3 3 2 2" xfId="49060" xr:uid="{00000000-0005-0000-0000-000071090000}"/>
    <cellStyle name="20% - Accent1 3 5 3 3 3 3" xfId="36144" xr:uid="{00000000-0005-0000-0000-000072090000}"/>
    <cellStyle name="20% - Accent1 3 5 3 3 4" xfId="16728" xr:uid="{00000000-0005-0000-0000-000073090000}"/>
    <cellStyle name="20% - Accent1 3 5 3 3 4 2" xfId="42602" xr:uid="{00000000-0005-0000-0000-000074090000}"/>
    <cellStyle name="20% - Accent1 3 5 3 3 5" xfId="29654" xr:uid="{00000000-0005-0000-0000-000075090000}"/>
    <cellStyle name="20% - Accent1 3 5 3 4" xfId="5424" xr:uid="{00000000-0005-0000-0000-000076090000}"/>
    <cellStyle name="20% - Accent1 3 5 3 4 2" xfId="11883" xr:uid="{00000000-0005-0000-0000-000077090000}"/>
    <cellStyle name="20% - Accent1 3 5 3 4 2 2" xfId="24800" xr:uid="{00000000-0005-0000-0000-000078090000}"/>
    <cellStyle name="20% - Accent1 3 5 3 4 2 2 2" xfId="50674" xr:uid="{00000000-0005-0000-0000-000079090000}"/>
    <cellStyle name="20% - Accent1 3 5 3 4 2 3" xfId="37758" xr:uid="{00000000-0005-0000-0000-00007A090000}"/>
    <cellStyle name="20% - Accent1 3 5 3 4 3" xfId="18342" xr:uid="{00000000-0005-0000-0000-00007B090000}"/>
    <cellStyle name="20% - Accent1 3 5 3 4 3 2" xfId="44216" xr:uid="{00000000-0005-0000-0000-00007C090000}"/>
    <cellStyle name="20% - Accent1 3 5 3 4 4" xfId="31300" xr:uid="{00000000-0005-0000-0000-00007D090000}"/>
    <cellStyle name="20% - Accent1 3 5 3 5" xfId="8655" xr:uid="{00000000-0005-0000-0000-00007E090000}"/>
    <cellStyle name="20% - Accent1 3 5 3 5 2" xfId="21572" xr:uid="{00000000-0005-0000-0000-00007F090000}"/>
    <cellStyle name="20% - Accent1 3 5 3 5 2 2" xfId="47446" xr:uid="{00000000-0005-0000-0000-000080090000}"/>
    <cellStyle name="20% - Accent1 3 5 3 5 3" xfId="34530" xr:uid="{00000000-0005-0000-0000-000081090000}"/>
    <cellStyle name="20% - Accent1 3 5 3 6" xfId="15114" xr:uid="{00000000-0005-0000-0000-000082090000}"/>
    <cellStyle name="20% - Accent1 3 5 3 6 2" xfId="40988" xr:uid="{00000000-0005-0000-0000-000083090000}"/>
    <cellStyle name="20% - Accent1 3 5 3 7" xfId="28040" xr:uid="{00000000-0005-0000-0000-000084090000}"/>
    <cellStyle name="20% - Accent1 3 5 3 8" xfId="53902" xr:uid="{00000000-0005-0000-0000-000085090000}"/>
    <cellStyle name="20% - Accent1 3 5 3 9" xfId="2143" xr:uid="{00000000-0005-0000-0000-000086090000}"/>
    <cellStyle name="20% - Accent1 3 5 4" xfId="2554" xr:uid="{00000000-0005-0000-0000-000087090000}"/>
    <cellStyle name="20% - Accent1 3 5 4 2" xfId="4211" xr:uid="{00000000-0005-0000-0000-000088090000}"/>
    <cellStyle name="20% - Accent1 3 5 4 2 2" xfId="7442" xr:uid="{00000000-0005-0000-0000-000089090000}"/>
    <cellStyle name="20% - Accent1 3 5 4 2 2 2" xfId="13901" xr:uid="{00000000-0005-0000-0000-00008A090000}"/>
    <cellStyle name="20% - Accent1 3 5 4 2 2 2 2" xfId="26818" xr:uid="{00000000-0005-0000-0000-00008B090000}"/>
    <cellStyle name="20% - Accent1 3 5 4 2 2 2 2 2" xfId="52692" xr:uid="{00000000-0005-0000-0000-00008C090000}"/>
    <cellStyle name="20% - Accent1 3 5 4 2 2 2 3" xfId="39776" xr:uid="{00000000-0005-0000-0000-00008D090000}"/>
    <cellStyle name="20% - Accent1 3 5 4 2 2 3" xfId="20360" xr:uid="{00000000-0005-0000-0000-00008E090000}"/>
    <cellStyle name="20% - Accent1 3 5 4 2 2 3 2" xfId="46234" xr:uid="{00000000-0005-0000-0000-00008F090000}"/>
    <cellStyle name="20% - Accent1 3 5 4 2 2 4" xfId="33318" xr:uid="{00000000-0005-0000-0000-000090090000}"/>
    <cellStyle name="20% - Accent1 3 5 4 2 3" xfId="10673" xr:uid="{00000000-0005-0000-0000-000091090000}"/>
    <cellStyle name="20% - Accent1 3 5 4 2 3 2" xfId="23590" xr:uid="{00000000-0005-0000-0000-000092090000}"/>
    <cellStyle name="20% - Accent1 3 5 4 2 3 2 2" xfId="49464" xr:uid="{00000000-0005-0000-0000-000093090000}"/>
    <cellStyle name="20% - Accent1 3 5 4 2 3 3" xfId="36548" xr:uid="{00000000-0005-0000-0000-000094090000}"/>
    <cellStyle name="20% - Accent1 3 5 4 2 4" xfId="17132" xr:uid="{00000000-0005-0000-0000-000095090000}"/>
    <cellStyle name="20% - Accent1 3 5 4 2 4 2" xfId="43006" xr:uid="{00000000-0005-0000-0000-000096090000}"/>
    <cellStyle name="20% - Accent1 3 5 4 2 5" xfId="30058" xr:uid="{00000000-0005-0000-0000-000097090000}"/>
    <cellStyle name="20% - Accent1 3 5 4 3" xfId="5828" xr:uid="{00000000-0005-0000-0000-000098090000}"/>
    <cellStyle name="20% - Accent1 3 5 4 3 2" xfId="12287" xr:uid="{00000000-0005-0000-0000-000099090000}"/>
    <cellStyle name="20% - Accent1 3 5 4 3 2 2" xfId="25204" xr:uid="{00000000-0005-0000-0000-00009A090000}"/>
    <cellStyle name="20% - Accent1 3 5 4 3 2 2 2" xfId="51078" xr:uid="{00000000-0005-0000-0000-00009B090000}"/>
    <cellStyle name="20% - Accent1 3 5 4 3 2 3" xfId="38162" xr:uid="{00000000-0005-0000-0000-00009C090000}"/>
    <cellStyle name="20% - Accent1 3 5 4 3 3" xfId="18746" xr:uid="{00000000-0005-0000-0000-00009D090000}"/>
    <cellStyle name="20% - Accent1 3 5 4 3 3 2" xfId="44620" xr:uid="{00000000-0005-0000-0000-00009E090000}"/>
    <cellStyle name="20% - Accent1 3 5 4 3 4" xfId="31704" xr:uid="{00000000-0005-0000-0000-00009F090000}"/>
    <cellStyle name="20% - Accent1 3 5 4 4" xfId="9059" xr:uid="{00000000-0005-0000-0000-0000A0090000}"/>
    <cellStyle name="20% - Accent1 3 5 4 4 2" xfId="21976" xr:uid="{00000000-0005-0000-0000-0000A1090000}"/>
    <cellStyle name="20% - Accent1 3 5 4 4 2 2" xfId="47850" xr:uid="{00000000-0005-0000-0000-0000A2090000}"/>
    <cellStyle name="20% - Accent1 3 5 4 4 3" xfId="34934" xr:uid="{00000000-0005-0000-0000-0000A3090000}"/>
    <cellStyle name="20% - Accent1 3 5 4 5" xfId="15518" xr:uid="{00000000-0005-0000-0000-0000A4090000}"/>
    <cellStyle name="20% - Accent1 3 5 4 5 2" xfId="41392" xr:uid="{00000000-0005-0000-0000-0000A5090000}"/>
    <cellStyle name="20% - Accent1 3 5 4 6" xfId="28444" xr:uid="{00000000-0005-0000-0000-0000A6090000}"/>
    <cellStyle name="20% - Accent1 3 5 5" xfId="3379" xr:uid="{00000000-0005-0000-0000-0000A7090000}"/>
    <cellStyle name="20% - Accent1 3 5 5 2" xfId="6635" xr:uid="{00000000-0005-0000-0000-0000A8090000}"/>
    <cellStyle name="20% - Accent1 3 5 5 2 2" xfId="13094" xr:uid="{00000000-0005-0000-0000-0000A9090000}"/>
    <cellStyle name="20% - Accent1 3 5 5 2 2 2" xfId="26011" xr:uid="{00000000-0005-0000-0000-0000AA090000}"/>
    <cellStyle name="20% - Accent1 3 5 5 2 2 2 2" xfId="51885" xr:uid="{00000000-0005-0000-0000-0000AB090000}"/>
    <cellStyle name="20% - Accent1 3 5 5 2 2 3" xfId="38969" xr:uid="{00000000-0005-0000-0000-0000AC090000}"/>
    <cellStyle name="20% - Accent1 3 5 5 2 3" xfId="19553" xr:uid="{00000000-0005-0000-0000-0000AD090000}"/>
    <cellStyle name="20% - Accent1 3 5 5 2 3 2" xfId="45427" xr:uid="{00000000-0005-0000-0000-0000AE090000}"/>
    <cellStyle name="20% - Accent1 3 5 5 2 4" xfId="32511" xr:uid="{00000000-0005-0000-0000-0000AF090000}"/>
    <cellStyle name="20% - Accent1 3 5 5 3" xfId="9866" xr:uid="{00000000-0005-0000-0000-0000B0090000}"/>
    <cellStyle name="20% - Accent1 3 5 5 3 2" xfId="22783" xr:uid="{00000000-0005-0000-0000-0000B1090000}"/>
    <cellStyle name="20% - Accent1 3 5 5 3 2 2" xfId="48657" xr:uid="{00000000-0005-0000-0000-0000B2090000}"/>
    <cellStyle name="20% - Accent1 3 5 5 3 3" xfId="35741" xr:uid="{00000000-0005-0000-0000-0000B3090000}"/>
    <cellStyle name="20% - Accent1 3 5 5 4" xfId="16325" xr:uid="{00000000-0005-0000-0000-0000B4090000}"/>
    <cellStyle name="20% - Accent1 3 5 5 4 2" xfId="42199" xr:uid="{00000000-0005-0000-0000-0000B5090000}"/>
    <cellStyle name="20% - Accent1 3 5 5 5" xfId="29251" xr:uid="{00000000-0005-0000-0000-0000B6090000}"/>
    <cellStyle name="20% - Accent1 3 5 6" xfId="5021" xr:uid="{00000000-0005-0000-0000-0000B7090000}"/>
    <cellStyle name="20% - Accent1 3 5 6 2" xfId="11480" xr:uid="{00000000-0005-0000-0000-0000B8090000}"/>
    <cellStyle name="20% - Accent1 3 5 6 2 2" xfId="24397" xr:uid="{00000000-0005-0000-0000-0000B9090000}"/>
    <cellStyle name="20% - Accent1 3 5 6 2 2 2" xfId="50271" xr:uid="{00000000-0005-0000-0000-0000BA090000}"/>
    <cellStyle name="20% - Accent1 3 5 6 2 3" xfId="37355" xr:uid="{00000000-0005-0000-0000-0000BB090000}"/>
    <cellStyle name="20% - Accent1 3 5 6 3" xfId="17939" xr:uid="{00000000-0005-0000-0000-0000BC090000}"/>
    <cellStyle name="20% - Accent1 3 5 6 3 2" xfId="43813" xr:uid="{00000000-0005-0000-0000-0000BD090000}"/>
    <cellStyle name="20% - Accent1 3 5 6 4" xfId="30897" xr:uid="{00000000-0005-0000-0000-0000BE090000}"/>
    <cellStyle name="20% - Accent1 3 5 7" xfId="8251" xr:uid="{00000000-0005-0000-0000-0000BF090000}"/>
    <cellStyle name="20% - Accent1 3 5 7 2" xfId="21168" xr:uid="{00000000-0005-0000-0000-0000C0090000}"/>
    <cellStyle name="20% - Accent1 3 5 7 2 2" xfId="47042" xr:uid="{00000000-0005-0000-0000-0000C1090000}"/>
    <cellStyle name="20% - Accent1 3 5 7 3" xfId="34126" xr:uid="{00000000-0005-0000-0000-0000C2090000}"/>
    <cellStyle name="20% - Accent1 3 5 8" xfId="14710" xr:uid="{00000000-0005-0000-0000-0000C3090000}"/>
    <cellStyle name="20% - Accent1 3 5 8 2" xfId="40584" xr:uid="{00000000-0005-0000-0000-0000C4090000}"/>
    <cellStyle name="20% - Accent1 3 5 9" xfId="27634" xr:uid="{00000000-0005-0000-0000-0000C5090000}"/>
    <cellStyle name="20% - Accent1 3 6" xfId="514" xr:uid="{00000000-0005-0000-0000-0000C6090000}"/>
    <cellStyle name="20% - Accent1 3 7" xfId="499" xr:uid="{00000000-0005-0000-0000-0000C7090000}"/>
    <cellStyle name="20% - Accent1 3 8" xfId="1036" xr:uid="{00000000-0005-0000-0000-0000C8090000}"/>
    <cellStyle name="20% - Accent1 4" xfId="480" xr:uid="{00000000-0005-0000-0000-0000C9090000}"/>
    <cellStyle name="20% - Accent1 4 2" xfId="516" xr:uid="{00000000-0005-0000-0000-0000CA090000}"/>
    <cellStyle name="20% - Accent1 4 3" xfId="515" xr:uid="{00000000-0005-0000-0000-0000CB090000}"/>
    <cellStyle name="20% - Accent1 4 4" xfId="1037" xr:uid="{00000000-0005-0000-0000-0000CC090000}"/>
    <cellStyle name="20% - Accent1 5" xfId="391" xr:uid="{00000000-0005-0000-0000-0000CD090000}"/>
    <cellStyle name="20% - Accent1 5 2" xfId="518" xr:uid="{00000000-0005-0000-0000-0000CE090000}"/>
    <cellStyle name="20% - Accent1 5 3" xfId="517" xr:uid="{00000000-0005-0000-0000-0000CF090000}"/>
    <cellStyle name="20% - Accent1 5 4" xfId="1038" xr:uid="{00000000-0005-0000-0000-0000D0090000}"/>
    <cellStyle name="20% - Accent1 6" xfId="519" xr:uid="{00000000-0005-0000-0000-0000D1090000}"/>
    <cellStyle name="20% - Accent1 6 2" xfId="1039" xr:uid="{00000000-0005-0000-0000-0000D2090000}"/>
    <cellStyle name="20% - Accent1 7" xfId="494" xr:uid="{00000000-0005-0000-0000-0000D3090000}"/>
    <cellStyle name="20% - Accent1 7 2" xfId="1041" xr:uid="{00000000-0005-0000-0000-0000D4090000}"/>
    <cellStyle name="20% - Accent1 7 3" xfId="1042" xr:uid="{00000000-0005-0000-0000-0000D5090000}"/>
    <cellStyle name="20% - Accent1 7 3 10" xfId="27578" xr:uid="{00000000-0005-0000-0000-0000D6090000}"/>
    <cellStyle name="20% - Accent1 7 3 11" xfId="53444" xr:uid="{00000000-0005-0000-0000-0000D7090000}"/>
    <cellStyle name="20% - Accent1 7 3 2" xfId="1700" xr:uid="{00000000-0005-0000-0000-0000D8090000}"/>
    <cellStyle name="20% - Accent1 7 3 2 10" xfId="53583" xr:uid="{00000000-0005-0000-0000-0000D9090000}"/>
    <cellStyle name="20% - Accent1 7 3 2 2" xfId="1992" xr:uid="{00000000-0005-0000-0000-0000DA090000}"/>
    <cellStyle name="20% - Accent1 7 3 2 2 2" xfId="2423" xr:uid="{00000000-0005-0000-0000-0000DB090000}"/>
    <cellStyle name="20% - Accent1 7 3 2 2 2 2" xfId="3236" xr:uid="{00000000-0005-0000-0000-0000DC090000}"/>
    <cellStyle name="20% - Accent1 7 3 2 2 2 2 2" xfId="4893" xr:uid="{00000000-0005-0000-0000-0000DD090000}"/>
    <cellStyle name="20% - Accent1 7 3 2 2 2 2 2 2" xfId="8124" xr:uid="{00000000-0005-0000-0000-0000DE090000}"/>
    <cellStyle name="20% - Accent1 7 3 2 2 2 2 2 2 2" xfId="14583" xr:uid="{00000000-0005-0000-0000-0000DF090000}"/>
    <cellStyle name="20% - Accent1 7 3 2 2 2 2 2 2 2 2" xfId="27500" xr:uid="{00000000-0005-0000-0000-0000E0090000}"/>
    <cellStyle name="20% - Accent1 7 3 2 2 2 2 2 2 2 2 2" xfId="53374" xr:uid="{00000000-0005-0000-0000-0000E1090000}"/>
    <cellStyle name="20% - Accent1 7 3 2 2 2 2 2 2 2 3" xfId="40458" xr:uid="{00000000-0005-0000-0000-0000E2090000}"/>
    <cellStyle name="20% - Accent1 7 3 2 2 2 2 2 2 3" xfId="21042" xr:uid="{00000000-0005-0000-0000-0000E3090000}"/>
    <cellStyle name="20% - Accent1 7 3 2 2 2 2 2 2 3 2" xfId="46916" xr:uid="{00000000-0005-0000-0000-0000E4090000}"/>
    <cellStyle name="20% - Accent1 7 3 2 2 2 2 2 2 4" xfId="34000" xr:uid="{00000000-0005-0000-0000-0000E5090000}"/>
    <cellStyle name="20% - Accent1 7 3 2 2 2 2 2 3" xfId="11355" xr:uid="{00000000-0005-0000-0000-0000E6090000}"/>
    <cellStyle name="20% - Accent1 7 3 2 2 2 2 2 3 2" xfId="24272" xr:uid="{00000000-0005-0000-0000-0000E7090000}"/>
    <cellStyle name="20% - Accent1 7 3 2 2 2 2 2 3 2 2" xfId="50146" xr:uid="{00000000-0005-0000-0000-0000E8090000}"/>
    <cellStyle name="20% - Accent1 7 3 2 2 2 2 2 3 3" xfId="37230" xr:uid="{00000000-0005-0000-0000-0000E9090000}"/>
    <cellStyle name="20% - Accent1 7 3 2 2 2 2 2 4" xfId="17814" xr:uid="{00000000-0005-0000-0000-0000EA090000}"/>
    <cellStyle name="20% - Accent1 7 3 2 2 2 2 2 4 2" xfId="43688" xr:uid="{00000000-0005-0000-0000-0000EB090000}"/>
    <cellStyle name="20% - Accent1 7 3 2 2 2 2 2 5" xfId="30740" xr:uid="{00000000-0005-0000-0000-0000EC090000}"/>
    <cellStyle name="20% - Accent1 7 3 2 2 2 2 3" xfId="6510" xr:uid="{00000000-0005-0000-0000-0000ED090000}"/>
    <cellStyle name="20% - Accent1 7 3 2 2 2 2 3 2" xfId="12969" xr:uid="{00000000-0005-0000-0000-0000EE090000}"/>
    <cellStyle name="20% - Accent1 7 3 2 2 2 2 3 2 2" xfId="25886" xr:uid="{00000000-0005-0000-0000-0000EF090000}"/>
    <cellStyle name="20% - Accent1 7 3 2 2 2 2 3 2 2 2" xfId="51760" xr:uid="{00000000-0005-0000-0000-0000F0090000}"/>
    <cellStyle name="20% - Accent1 7 3 2 2 2 2 3 2 3" xfId="38844" xr:uid="{00000000-0005-0000-0000-0000F1090000}"/>
    <cellStyle name="20% - Accent1 7 3 2 2 2 2 3 3" xfId="19428" xr:uid="{00000000-0005-0000-0000-0000F2090000}"/>
    <cellStyle name="20% - Accent1 7 3 2 2 2 2 3 3 2" xfId="45302" xr:uid="{00000000-0005-0000-0000-0000F3090000}"/>
    <cellStyle name="20% - Accent1 7 3 2 2 2 2 3 4" xfId="32386" xr:uid="{00000000-0005-0000-0000-0000F4090000}"/>
    <cellStyle name="20% - Accent1 7 3 2 2 2 2 4" xfId="9741" xr:uid="{00000000-0005-0000-0000-0000F5090000}"/>
    <cellStyle name="20% - Accent1 7 3 2 2 2 2 4 2" xfId="22658" xr:uid="{00000000-0005-0000-0000-0000F6090000}"/>
    <cellStyle name="20% - Accent1 7 3 2 2 2 2 4 2 2" xfId="48532" xr:uid="{00000000-0005-0000-0000-0000F7090000}"/>
    <cellStyle name="20% - Accent1 7 3 2 2 2 2 4 3" xfId="35616" xr:uid="{00000000-0005-0000-0000-0000F8090000}"/>
    <cellStyle name="20% - Accent1 7 3 2 2 2 2 5" xfId="16200" xr:uid="{00000000-0005-0000-0000-0000F9090000}"/>
    <cellStyle name="20% - Accent1 7 3 2 2 2 2 5 2" xfId="42074" xr:uid="{00000000-0005-0000-0000-0000FA090000}"/>
    <cellStyle name="20% - Accent1 7 3 2 2 2 2 6" xfId="29126" xr:uid="{00000000-0005-0000-0000-0000FB090000}"/>
    <cellStyle name="20% - Accent1 7 3 2 2 2 3" xfId="4063" xr:uid="{00000000-0005-0000-0000-0000FC090000}"/>
    <cellStyle name="20% - Accent1 7 3 2 2 2 3 2" xfId="7317" xr:uid="{00000000-0005-0000-0000-0000FD090000}"/>
    <cellStyle name="20% - Accent1 7 3 2 2 2 3 2 2" xfId="13776" xr:uid="{00000000-0005-0000-0000-0000FE090000}"/>
    <cellStyle name="20% - Accent1 7 3 2 2 2 3 2 2 2" xfId="26693" xr:uid="{00000000-0005-0000-0000-0000FF090000}"/>
    <cellStyle name="20% - Accent1 7 3 2 2 2 3 2 2 2 2" xfId="52567" xr:uid="{00000000-0005-0000-0000-0000000A0000}"/>
    <cellStyle name="20% - Accent1 7 3 2 2 2 3 2 2 3" xfId="39651" xr:uid="{00000000-0005-0000-0000-0000010A0000}"/>
    <cellStyle name="20% - Accent1 7 3 2 2 2 3 2 3" xfId="20235" xr:uid="{00000000-0005-0000-0000-0000020A0000}"/>
    <cellStyle name="20% - Accent1 7 3 2 2 2 3 2 3 2" xfId="46109" xr:uid="{00000000-0005-0000-0000-0000030A0000}"/>
    <cellStyle name="20% - Accent1 7 3 2 2 2 3 2 4" xfId="33193" xr:uid="{00000000-0005-0000-0000-0000040A0000}"/>
    <cellStyle name="20% - Accent1 7 3 2 2 2 3 3" xfId="10548" xr:uid="{00000000-0005-0000-0000-0000050A0000}"/>
    <cellStyle name="20% - Accent1 7 3 2 2 2 3 3 2" xfId="23465" xr:uid="{00000000-0005-0000-0000-0000060A0000}"/>
    <cellStyle name="20% - Accent1 7 3 2 2 2 3 3 2 2" xfId="49339" xr:uid="{00000000-0005-0000-0000-0000070A0000}"/>
    <cellStyle name="20% - Accent1 7 3 2 2 2 3 3 3" xfId="36423" xr:uid="{00000000-0005-0000-0000-0000080A0000}"/>
    <cellStyle name="20% - Accent1 7 3 2 2 2 3 4" xfId="17007" xr:uid="{00000000-0005-0000-0000-0000090A0000}"/>
    <cellStyle name="20% - Accent1 7 3 2 2 2 3 4 2" xfId="42881" xr:uid="{00000000-0005-0000-0000-00000A0A0000}"/>
    <cellStyle name="20% - Accent1 7 3 2 2 2 3 5" xfId="29933" xr:uid="{00000000-0005-0000-0000-00000B0A0000}"/>
    <cellStyle name="20% - Accent1 7 3 2 2 2 4" xfId="5703" xr:uid="{00000000-0005-0000-0000-00000C0A0000}"/>
    <cellStyle name="20% - Accent1 7 3 2 2 2 4 2" xfId="12162" xr:uid="{00000000-0005-0000-0000-00000D0A0000}"/>
    <cellStyle name="20% - Accent1 7 3 2 2 2 4 2 2" xfId="25079" xr:uid="{00000000-0005-0000-0000-00000E0A0000}"/>
    <cellStyle name="20% - Accent1 7 3 2 2 2 4 2 2 2" xfId="50953" xr:uid="{00000000-0005-0000-0000-00000F0A0000}"/>
    <cellStyle name="20% - Accent1 7 3 2 2 2 4 2 3" xfId="38037" xr:uid="{00000000-0005-0000-0000-0000100A0000}"/>
    <cellStyle name="20% - Accent1 7 3 2 2 2 4 3" xfId="18621" xr:uid="{00000000-0005-0000-0000-0000110A0000}"/>
    <cellStyle name="20% - Accent1 7 3 2 2 2 4 3 2" xfId="44495" xr:uid="{00000000-0005-0000-0000-0000120A0000}"/>
    <cellStyle name="20% - Accent1 7 3 2 2 2 4 4" xfId="31579" xr:uid="{00000000-0005-0000-0000-0000130A0000}"/>
    <cellStyle name="20% - Accent1 7 3 2 2 2 5" xfId="8934" xr:uid="{00000000-0005-0000-0000-0000140A0000}"/>
    <cellStyle name="20% - Accent1 7 3 2 2 2 5 2" xfId="21851" xr:uid="{00000000-0005-0000-0000-0000150A0000}"/>
    <cellStyle name="20% - Accent1 7 3 2 2 2 5 2 2" xfId="47725" xr:uid="{00000000-0005-0000-0000-0000160A0000}"/>
    <cellStyle name="20% - Accent1 7 3 2 2 2 5 3" xfId="34809" xr:uid="{00000000-0005-0000-0000-0000170A0000}"/>
    <cellStyle name="20% - Accent1 7 3 2 2 2 6" xfId="15393" xr:uid="{00000000-0005-0000-0000-0000180A0000}"/>
    <cellStyle name="20% - Accent1 7 3 2 2 2 6 2" xfId="41267" xr:uid="{00000000-0005-0000-0000-0000190A0000}"/>
    <cellStyle name="20% - Accent1 7 3 2 2 2 7" xfId="28319" xr:uid="{00000000-0005-0000-0000-00001A0A0000}"/>
    <cellStyle name="20% - Accent1 7 3 2 2 2 8" xfId="54181" xr:uid="{00000000-0005-0000-0000-00001B0A0000}"/>
    <cellStyle name="20% - Accent1 7 3 2 2 3" xfId="2832" xr:uid="{00000000-0005-0000-0000-00001C0A0000}"/>
    <cellStyle name="20% - Accent1 7 3 2 2 3 2" xfId="4489" xr:uid="{00000000-0005-0000-0000-00001D0A0000}"/>
    <cellStyle name="20% - Accent1 7 3 2 2 3 2 2" xfId="7720" xr:uid="{00000000-0005-0000-0000-00001E0A0000}"/>
    <cellStyle name="20% - Accent1 7 3 2 2 3 2 2 2" xfId="14179" xr:uid="{00000000-0005-0000-0000-00001F0A0000}"/>
    <cellStyle name="20% - Accent1 7 3 2 2 3 2 2 2 2" xfId="27096" xr:uid="{00000000-0005-0000-0000-0000200A0000}"/>
    <cellStyle name="20% - Accent1 7 3 2 2 3 2 2 2 2 2" xfId="52970" xr:uid="{00000000-0005-0000-0000-0000210A0000}"/>
    <cellStyle name="20% - Accent1 7 3 2 2 3 2 2 2 3" xfId="40054" xr:uid="{00000000-0005-0000-0000-0000220A0000}"/>
    <cellStyle name="20% - Accent1 7 3 2 2 3 2 2 3" xfId="20638" xr:uid="{00000000-0005-0000-0000-0000230A0000}"/>
    <cellStyle name="20% - Accent1 7 3 2 2 3 2 2 3 2" xfId="46512" xr:uid="{00000000-0005-0000-0000-0000240A0000}"/>
    <cellStyle name="20% - Accent1 7 3 2 2 3 2 2 4" xfId="33596" xr:uid="{00000000-0005-0000-0000-0000250A0000}"/>
    <cellStyle name="20% - Accent1 7 3 2 2 3 2 3" xfId="10951" xr:uid="{00000000-0005-0000-0000-0000260A0000}"/>
    <cellStyle name="20% - Accent1 7 3 2 2 3 2 3 2" xfId="23868" xr:uid="{00000000-0005-0000-0000-0000270A0000}"/>
    <cellStyle name="20% - Accent1 7 3 2 2 3 2 3 2 2" xfId="49742" xr:uid="{00000000-0005-0000-0000-0000280A0000}"/>
    <cellStyle name="20% - Accent1 7 3 2 2 3 2 3 3" xfId="36826" xr:uid="{00000000-0005-0000-0000-0000290A0000}"/>
    <cellStyle name="20% - Accent1 7 3 2 2 3 2 4" xfId="17410" xr:uid="{00000000-0005-0000-0000-00002A0A0000}"/>
    <cellStyle name="20% - Accent1 7 3 2 2 3 2 4 2" xfId="43284" xr:uid="{00000000-0005-0000-0000-00002B0A0000}"/>
    <cellStyle name="20% - Accent1 7 3 2 2 3 2 5" xfId="30336" xr:uid="{00000000-0005-0000-0000-00002C0A0000}"/>
    <cellStyle name="20% - Accent1 7 3 2 2 3 3" xfId="6106" xr:uid="{00000000-0005-0000-0000-00002D0A0000}"/>
    <cellStyle name="20% - Accent1 7 3 2 2 3 3 2" xfId="12565" xr:uid="{00000000-0005-0000-0000-00002E0A0000}"/>
    <cellStyle name="20% - Accent1 7 3 2 2 3 3 2 2" xfId="25482" xr:uid="{00000000-0005-0000-0000-00002F0A0000}"/>
    <cellStyle name="20% - Accent1 7 3 2 2 3 3 2 2 2" xfId="51356" xr:uid="{00000000-0005-0000-0000-0000300A0000}"/>
    <cellStyle name="20% - Accent1 7 3 2 2 3 3 2 3" xfId="38440" xr:uid="{00000000-0005-0000-0000-0000310A0000}"/>
    <cellStyle name="20% - Accent1 7 3 2 2 3 3 3" xfId="19024" xr:uid="{00000000-0005-0000-0000-0000320A0000}"/>
    <cellStyle name="20% - Accent1 7 3 2 2 3 3 3 2" xfId="44898" xr:uid="{00000000-0005-0000-0000-0000330A0000}"/>
    <cellStyle name="20% - Accent1 7 3 2 2 3 3 4" xfId="31982" xr:uid="{00000000-0005-0000-0000-0000340A0000}"/>
    <cellStyle name="20% - Accent1 7 3 2 2 3 4" xfId="9337" xr:uid="{00000000-0005-0000-0000-0000350A0000}"/>
    <cellStyle name="20% - Accent1 7 3 2 2 3 4 2" xfId="22254" xr:uid="{00000000-0005-0000-0000-0000360A0000}"/>
    <cellStyle name="20% - Accent1 7 3 2 2 3 4 2 2" xfId="48128" xr:uid="{00000000-0005-0000-0000-0000370A0000}"/>
    <cellStyle name="20% - Accent1 7 3 2 2 3 4 3" xfId="35212" xr:uid="{00000000-0005-0000-0000-0000380A0000}"/>
    <cellStyle name="20% - Accent1 7 3 2 2 3 5" xfId="15796" xr:uid="{00000000-0005-0000-0000-0000390A0000}"/>
    <cellStyle name="20% - Accent1 7 3 2 2 3 5 2" xfId="41670" xr:uid="{00000000-0005-0000-0000-00003A0A0000}"/>
    <cellStyle name="20% - Accent1 7 3 2 2 3 6" xfId="28722" xr:uid="{00000000-0005-0000-0000-00003B0A0000}"/>
    <cellStyle name="20% - Accent1 7 3 2 2 4" xfId="3659" xr:uid="{00000000-0005-0000-0000-00003C0A0000}"/>
    <cellStyle name="20% - Accent1 7 3 2 2 4 2" xfId="6913" xr:uid="{00000000-0005-0000-0000-00003D0A0000}"/>
    <cellStyle name="20% - Accent1 7 3 2 2 4 2 2" xfId="13372" xr:uid="{00000000-0005-0000-0000-00003E0A0000}"/>
    <cellStyle name="20% - Accent1 7 3 2 2 4 2 2 2" xfId="26289" xr:uid="{00000000-0005-0000-0000-00003F0A0000}"/>
    <cellStyle name="20% - Accent1 7 3 2 2 4 2 2 2 2" xfId="52163" xr:uid="{00000000-0005-0000-0000-0000400A0000}"/>
    <cellStyle name="20% - Accent1 7 3 2 2 4 2 2 3" xfId="39247" xr:uid="{00000000-0005-0000-0000-0000410A0000}"/>
    <cellStyle name="20% - Accent1 7 3 2 2 4 2 3" xfId="19831" xr:uid="{00000000-0005-0000-0000-0000420A0000}"/>
    <cellStyle name="20% - Accent1 7 3 2 2 4 2 3 2" xfId="45705" xr:uid="{00000000-0005-0000-0000-0000430A0000}"/>
    <cellStyle name="20% - Accent1 7 3 2 2 4 2 4" xfId="32789" xr:uid="{00000000-0005-0000-0000-0000440A0000}"/>
    <cellStyle name="20% - Accent1 7 3 2 2 4 3" xfId="10144" xr:uid="{00000000-0005-0000-0000-0000450A0000}"/>
    <cellStyle name="20% - Accent1 7 3 2 2 4 3 2" xfId="23061" xr:uid="{00000000-0005-0000-0000-0000460A0000}"/>
    <cellStyle name="20% - Accent1 7 3 2 2 4 3 2 2" xfId="48935" xr:uid="{00000000-0005-0000-0000-0000470A0000}"/>
    <cellStyle name="20% - Accent1 7 3 2 2 4 3 3" xfId="36019" xr:uid="{00000000-0005-0000-0000-0000480A0000}"/>
    <cellStyle name="20% - Accent1 7 3 2 2 4 4" xfId="16603" xr:uid="{00000000-0005-0000-0000-0000490A0000}"/>
    <cellStyle name="20% - Accent1 7 3 2 2 4 4 2" xfId="42477" xr:uid="{00000000-0005-0000-0000-00004A0A0000}"/>
    <cellStyle name="20% - Accent1 7 3 2 2 4 5" xfId="29529" xr:uid="{00000000-0005-0000-0000-00004B0A0000}"/>
    <cellStyle name="20% - Accent1 7 3 2 2 5" xfId="5299" xr:uid="{00000000-0005-0000-0000-00004C0A0000}"/>
    <cellStyle name="20% - Accent1 7 3 2 2 5 2" xfId="11758" xr:uid="{00000000-0005-0000-0000-00004D0A0000}"/>
    <cellStyle name="20% - Accent1 7 3 2 2 5 2 2" xfId="24675" xr:uid="{00000000-0005-0000-0000-00004E0A0000}"/>
    <cellStyle name="20% - Accent1 7 3 2 2 5 2 2 2" xfId="50549" xr:uid="{00000000-0005-0000-0000-00004F0A0000}"/>
    <cellStyle name="20% - Accent1 7 3 2 2 5 2 3" xfId="37633" xr:uid="{00000000-0005-0000-0000-0000500A0000}"/>
    <cellStyle name="20% - Accent1 7 3 2 2 5 3" xfId="18217" xr:uid="{00000000-0005-0000-0000-0000510A0000}"/>
    <cellStyle name="20% - Accent1 7 3 2 2 5 3 2" xfId="44091" xr:uid="{00000000-0005-0000-0000-0000520A0000}"/>
    <cellStyle name="20% - Accent1 7 3 2 2 5 4" xfId="31175" xr:uid="{00000000-0005-0000-0000-0000530A0000}"/>
    <cellStyle name="20% - Accent1 7 3 2 2 6" xfId="8530" xr:uid="{00000000-0005-0000-0000-0000540A0000}"/>
    <cellStyle name="20% - Accent1 7 3 2 2 6 2" xfId="21447" xr:uid="{00000000-0005-0000-0000-0000550A0000}"/>
    <cellStyle name="20% - Accent1 7 3 2 2 6 2 2" xfId="47321" xr:uid="{00000000-0005-0000-0000-0000560A0000}"/>
    <cellStyle name="20% - Accent1 7 3 2 2 6 3" xfId="34405" xr:uid="{00000000-0005-0000-0000-0000570A0000}"/>
    <cellStyle name="20% - Accent1 7 3 2 2 7" xfId="14989" xr:uid="{00000000-0005-0000-0000-0000580A0000}"/>
    <cellStyle name="20% - Accent1 7 3 2 2 7 2" xfId="40863" xr:uid="{00000000-0005-0000-0000-0000590A0000}"/>
    <cellStyle name="20% - Accent1 7 3 2 2 8" xfId="27914" xr:uid="{00000000-0005-0000-0000-00005A0A0000}"/>
    <cellStyle name="20% - Accent1 7 3 2 2 9" xfId="53777" xr:uid="{00000000-0005-0000-0000-00005B0A0000}"/>
    <cellStyle name="20% - Accent1 7 3 2 3" xfId="2227" xr:uid="{00000000-0005-0000-0000-00005C0A0000}"/>
    <cellStyle name="20% - Accent1 7 3 2 3 2" xfId="3041" xr:uid="{00000000-0005-0000-0000-00005D0A0000}"/>
    <cellStyle name="20% - Accent1 7 3 2 3 2 2" xfId="4698" xr:uid="{00000000-0005-0000-0000-00005E0A0000}"/>
    <cellStyle name="20% - Accent1 7 3 2 3 2 2 2" xfId="7929" xr:uid="{00000000-0005-0000-0000-00005F0A0000}"/>
    <cellStyle name="20% - Accent1 7 3 2 3 2 2 2 2" xfId="14388" xr:uid="{00000000-0005-0000-0000-0000600A0000}"/>
    <cellStyle name="20% - Accent1 7 3 2 3 2 2 2 2 2" xfId="27305" xr:uid="{00000000-0005-0000-0000-0000610A0000}"/>
    <cellStyle name="20% - Accent1 7 3 2 3 2 2 2 2 2 2" xfId="53179" xr:uid="{00000000-0005-0000-0000-0000620A0000}"/>
    <cellStyle name="20% - Accent1 7 3 2 3 2 2 2 2 3" xfId="40263" xr:uid="{00000000-0005-0000-0000-0000630A0000}"/>
    <cellStyle name="20% - Accent1 7 3 2 3 2 2 2 3" xfId="20847" xr:uid="{00000000-0005-0000-0000-0000640A0000}"/>
    <cellStyle name="20% - Accent1 7 3 2 3 2 2 2 3 2" xfId="46721" xr:uid="{00000000-0005-0000-0000-0000650A0000}"/>
    <cellStyle name="20% - Accent1 7 3 2 3 2 2 2 4" xfId="33805" xr:uid="{00000000-0005-0000-0000-0000660A0000}"/>
    <cellStyle name="20% - Accent1 7 3 2 3 2 2 3" xfId="11160" xr:uid="{00000000-0005-0000-0000-0000670A0000}"/>
    <cellStyle name="20% - Accent1 7 3 2 3 2 2 3 2" xfId="24077" xr:uid="{00000000-0005-0000-0000-0000680A0000}"/>
    <cellStyle name="20% - Accent1 7 3 2 3 2 2 3 2 2" xfId="49951" xr:uid="{00000000-0005-0000-0000-0000690A0000}"/>
    <cellStyle name="20% - Accent1 7 3 2 3 2 2 3 3" xfId="37035" xr:uid="{00000000-0005-0000-0000-00006A0A0000}"/>
    <cellStyle name="20% - Accent1 7 3 2 3 2 2 4" xfId="17619" xr:uid="{00000000-0005-0000-0000-00006B0A0000}"/>
    <cellStyle name="20% - Accent1 7 3 2 3 2 2 4 2" xfId="43493" xr:uid="{00000000-0005-0000-0000-00006C0A0000}"/>
    <cellStyle name="20% - Accent1 7 3 2 3 2 2 5" xfId="30545" xr:uid="{00000000-0005-0000-0000-00006D0A0000}"/>
    <cellStyle name="20% - Accent1 7 3 2 3 2 3" xfId="6315" xr:uid="{00000000-0005-0000-0000-00006E0A0000}"/>
    <cellStyle name="20% - Accent1 7 3 2 3 2 3 2" xfId="12774" xr:uid="{00000000-0005-0000-0000-00006F0A0000}"/>
    <cellStyle name="20% - Accent1 7 3 2 3 2 3 2 2" xfId="25691" xr:uid="{00000000-0005-0000-0000-0000700A0000}"/>
    <cellStyle name="20% - Accent1 7 3 2 3 2 3 2 2 2" xfId="51565" xr:uid="{00000000-0005-0000-0000-0000710A0000}"/>
    <cellStyle name="20% - Accent1 7 3 2 3 2 3 2 3" xfId="38649" xr:uid="{00000000-0005-0000-0000-0000720A0000}"/>
    <cellStyle name="20% - Accent1 7 3 2 3 2 3 3" xfId="19233" xr:uid="{00000000-0005-0000-0000-0000730A0000}"/>
    <cellStyle name="20% - Accent1 7 3 2 3 2 3 3 2" xfId="45107" xr:uid="{00000000-0005-0000-0000-0000740A0000}"/>
    <cellStyle name="20% - Accent1 7 3 2 3 2 3 4" xfId="32191" xr:uid="{00000000-0005-0000-0000-0000750A0000}"/>
    <cellStyle name="20% - Accent1 7 3 2 3 2 4" xfId="9546" xr:uid="{00000000-0005-0000-0000-0000760A0000}"/>
    <cellStyle name="20% - Accent1 7 3 2 3 2 4 2" xfId="22463" xr:uid="{00000000-0005-0000-0000-0000770A0000}"/>
    <cellStyle name="20% - Accent1 7 3 2 3 2 4 2 2" xfId="48337" xr:uid="{00000000-0005-0000-0000-0000780A0000}"/>
    <cellStyle name="20% - Accent1 7 3 2 3 2 4 3" xfId="35421" xr:uid="{00000000-0005-0000-0000-0000790A0000}"/>
    <cellStyle name="20% - Accent1 7 3 2 3 2 5" xfId="16005" xr:uid="{00000000-0005-0000-0000-00007A0A0000}"/>
    <cellStyle name="20% - Accent1 7 3 2 3 2 5 2" xfId="41879" xr:uid="{00000000-0005-0000-0000-00007B0A0000}"/>
    <cellStyle name="20% - Accent1 7 3 2 3 2 6" xfId="28931" xr:uid="{00000000-0005-0000-0000-00007C0A0000}"/>
    <cellStyle name="20% - Accent1 7 3 2 3 3" xfId="3868" xr:uid="{00000000-0005-0000-0000-00007D0A0000}"/>
    <cellStyle name="20% - Accent1 7 3 2 3 3 2" xfId="7122" xr:uid="{00000000-0005-0000-0000-00007E0A0000}"/>
    <cellStyle name="20% - Accent1 7 3 2 3 3 2 2" xfId="13581" xr:uid="{00000000-0005-0000-0000-00007F0A0000}"/>
    <cellStyle name="20% - Accent1 7 3 2 3 3 2 2 2" xfId="26498" xr:uid="{00000000-0005-0000-0000-0000800A0000}"/>
    <cellStyle name="20% - Accent1 7 3 2 3 3 2 2 2 2" xfId="52372" xr:uid="{00000000-0005-0000-0000-0000810A0000}"/>
    <cellStyle name="20% - Accent1 7 3 2 3 3 2 2 3" xfId="39456" xr:uid="{00000000-0005-0000-0000-0000820A0000}"/>
    <cellStyle name="20% - Accent1 7 3 2 3 3 2 3" xfId="20040" xr:uid="{00000000-0005-0000-0000-0000830A0000}"/>
    <cellStyle name="20% - Accent1 7 3 2 3 3 2 3 2" xfId="45914" xr:uid="{00000000-0005-0000-0000-0000840A0000}"/>
    <cellStyle name="20% - Accent1 7 3 2 3 3 2 4" xfId="32998" xr:uid="{00000000-0005-0000-0000-0000850A0000}"/>
    <cellStyle name="20% - Accent1 7 3 2 3 3 3" xfId="10353" xr:uid="{00000000-0005-0000-0000-0000860A0000}"/>
    <cellStyle name="20% - Accent1 7 3 2 3 3 3 2" xfId="23270" xr:uid="{00000000-0005-0000-0000-0000870A0000}"/>
    <cellStyle name="20% - Accent1 7 3 2 3 3 3 2 2" xfId="49144" xr:uid="{00000000-0005-0000-0000-0000880A0000}"/>
    <cellStyle name="20% - Accent1 7 3 2 3 3 3 3" xfId="36228" xr:uid="{00000000-0005-0000-0000-0000890A0000}"/>
    <cellStyle name="20% - Accent1 7 3 2 3 3 4" xfId="16812" xr:uid="{00000000-0005-0000-0000-00008A0A0000}"/>
    <cellStyle name="20% - Accent1 7 3 2 3 3 4 2" xfId="42686" xr:uid="{00000000-0005-0000-0000-00008B0A0000}"/>
    <cellStyle name="20% - Accent1 7 3 2 3 3 5" xfId="29738" xr:uid="{00000000-0005-0000-0000-00008C0A0000}"/>
    <cellStyle name="20% - Accent1 7 3 2 3 4" xfId="5508" xr:uid="{00000000-0005-0000-0000-00008D0A0000}"/>
    <cellStyle name="20% - Accent1 7 3 2 3 4 2" xfId="11967" xr:uid="{00000000-0005-0000-0000-00008E0A0000}"/>
    <cellStyle name="20% - Accent1 7 3 2 3 4 2 2" xfId="24884" xr:uid="{00000000-0005-0000-0000-00008F0A0000}"/>
    <cellStyle name="20% - Accent1 7 3 2 3 4 2 2 2" xfId="50758" xr:uid="{00000000-0005-0000-0000-0000900A0000}"/>
    <cellStyle name="20% - Accent1 7 3 2 3 4 2 3" xfId="37842" xr:uid="{00000000-0005-0000-0000-0000910A0000}"/>
    <cellStyle name="20% - Accent1 7 3 2 3 4 3" xfId="18426" xr:uid="{00000000-0005-0000-0000-0000920A0000}"/>
    <cellStyle name="20% - Accent1 7 3 2 3 4 3 2" xfId="44300" xr:uid="{00000000-0005-0000-0000-0000930A0000}"/>
    <cellStyle name="20% - Accent1 7 3 2 3 4 4" xfId="31384" xr:uid="{00000000-0005-0000-0000-0000940A0000}"/>
    <cellStyle name="20% - Accent1 7 3 2 3 5" xfId="8739" xr:uid="{00000000-0005-0000-0000-0000950A0000}"/>
    <cellStyle name="20% - Accent1 7 3 2 3 5 2" xfId="21656" xr:uid="{00000000-0005-0000-0000-0000960A0000}"/>
    <cellStyle name="20% - Accent1 7 3 2 3 5 2 2" xfId="47530" xr:uid="{00000000-0005-0000-0000-0000970A0000}"/>
    <cellStyle name="20% - Accent1 7 3 2 3 5 3" xfId="34614" xr:uid="{00000000-0005-0000-0000-0000980A0000}"/>
    <cellStyle name="20% - Accent1 7 3 2 3 6" xfId="15198" xr:uid="{00000000-0005-0000-0000-0000990A0000}"/>
    <cellStyle name="20% - Accent1 7 3 2 3 6 2" xfId="41072" xr:uid="{00000000-0005-0000-0000-00009A0A0000}"/>
    <cellStyle name="20% - Accent1 7 3 2 3 7" xfId="28124" xr:uid="{00000000-0005-0000-0000-00009B0A0000}"/>
    <cellStyle name="20% - Accent1 7 3 2 3 8" xfId="53986" xr:uid="{00000000-0005-0000-0000-00009C0A0000}"/>
    <cellStyle name="20% - Accent1 7 3 2 4" xfId="2638" xr:uid="{00000000-0005-0000-0000-00009D0A0000}"/>
    <cellStyle name="20% - Accent1 7 3 2 4 2" xfId="4295" xr:uid="{00000000-0005-0000-0000-00009E0A0000}"/>
    <cellStyle name="20% - Accent1 7 3 2 4 2 2" xfId="7526" xr:uid="{00000000-0005-0000-0000-00009F0A0000}"/>
    <cellStyle name="20% - Accent1 7 3 2 4 2 2 2" xfId="13985" xr:uid="{00000000-0005-0000-0000-0000A00A0000}"/>
    <cellStyle name="20% - Accent1 7 3 2 4 2 2 2 2" xfId="26902" xr:uid="{00000000-0005-0000-0000-0000A10A0000}"/>
    <cellStyle name="20% - Accent1 7 3 2 4 2 2 2 2 2" xfId="52776" xr:uid="{00000000-0005-0000-0000-0000A20A0000}"/>
    <cellStyle name="20% - Accent1 7 3 2 4 2 2 2 3" xfId="39860" xr:uid="{00000000-0005-0000-0000-0000A30A0000}"/>
    <cellStyle name="20% - Accent1 7 3 2 4 2 2 3" xfId="20444" xr:uid="{00000000-0005-0000-0000-0000A40A0000}"/>
    <cellStyle name="20% - Accent1 7 3 2 4 2 2 3 2" xfId="46318" xr:uid="{00000000-0005-0000-0000-0000A50A0000}"/>
    <cellStyle name="20% - Accent1 7 3 2 4 2 2 4" xfId="33402" xr:uid="{00000000-0005-0000-0000-0000A60A0000}"/>
    <cellStyle name="20% - Accent1 7 3 2 4 2 3" xfId="10757" xr:uid="{00000000-0005-0000-0000-0000A70A0000}"/>
    <cellStyle name="20% - Accent1 7 3 2 4 2 3 2" xfId="23674" xr:uid="{00000000-0005-0000-0000-0000A80A0000}"/>
    <cellStyle name="20% - Accent1 7 3 2 4 2 3 2 2" xfId="49548" xr:uid="{00000000-0005-0000-0000-0000A90A0000}"/>
    <cellStyle name="20% - Accent1 7 3 2 4 2 3 3" xfId="36632" xr:uid="{00000000-0005-0000-0000-0000AA0A0000}"/>
    <cellStyle name="20% - Accent1 7 3 2 4 2 4" xfId="17216" xr:uid="{00000000-0005-0000-0000-0000AB0A0000}"/>
    <cellStyle name="20% - Accent1 7 3 2 4 2 4 2" xfId="43090" xr:uid="{00000000-0005-0000-0000-0000AC0A0000}"/>
    <cellStyle name="20% - Accent1 7 3 2 4 2 5" xfId="30142" xr:uid="{00000000-0005-0000-0000-0000AD0A0000}"/>
    <cellStyle name="20% - Accent1 7 3 2 4 3" xfId="5912" xr:uid="{00000000-0005-0000-0000-0000AE0A0000}"/>
    <cellStyle name="20% - Accent1 7 3 2 4 3 2" xfId="12371" xr:uid="{00000000-0005-0000-0000-0000AF0A0000}"/>
    <cellStyle name="20% - Accent1 7 3 2 4 3 2 2" xfId="25288" xr:uid="{00000000-0005-0000-0000-0000B00A0000}"/>
    <cellStyle name="20% - Accent1 7 3 2 4 3 2 2 2" xfId="51162" xr:uid="{00000000-0005-0000-0000-0000B10A0000}"/>
    <cellStyle name="20% - Accent1 7 3 2 4 3 2 3" xfId="38246" xr:uid="{00000000-0005-0000-0000-0000B20A0000}"/>
    <cellStyle name="20% - Accent1 7 3 2 4 3 3" xfId="18830" xr:uid="{00000000-0005-0000-0000-0000B30A0000}"/>
    <cellStyle name="20% - Accent1 7 3 2 4 3 3 2" xfId="44704" xr:uid="{00000000-0005-0000-0000-0000B40A0000}"/>
    <cellStyle name="20% - Accent1 7 3 2 4 3 4" xfId="31788" xr:uid="{00000000-0005-0000-0000-0000B50A0000}"/>
    <cellStyle name="20% - Accent1 7 3 2 4 4" xfId="9143" xr:uid="{00000000-0005-0000-0000-0000B60A0000}"/>
    <cellStyle name="20% - Accent1 7 3 2 4 4 2" xfId="22060" xr:uid="{00000000-0005-0000-0000-0000B70A0000}"/>
    <cellStyle name="20% - Accent1 7 3 2 4 4 2 2" xfId="47934" xr:uid="{00000000-0005-0000-0000-0000B80A0000}"/>
    <cellStyle name="20% - Accent1 7 3 2 4 4 3" xfId="35018" xr:uid="{00000000-0005-0000-0000-0000B90A0000}"/>
    <cellStyle name="20% - Accent1 7 3 2 4 5" xfId="15602" xr:uid="{00000000-0005-0000-0000-0000BA0A0000}"/>
    <cellStyle name="20% - Accent1 7 3 2 4 5 2" xfId="41476" xr:uid="{00000000-0005-0000-0000-0000BB0A0000}"/>
    <cellStyle name="20% - Accent1 7 3 2 4 6" xfId="28528" xr:uid="{00000000-0005-0000-0000-0000BC0A0000}"/>
    <cellStyle name="20% - Accent1 7 3 2 5" xfId="3465" xr:uid="{00000000-0005-0000-0000-0000BD0A0000}"/>
    <cellStyle name="20% - Accent1 7 3 2 5 2" xfId="6719" xr:uid="{00000000-0005-0000-0000-0000BE0A0000}"/>
    <cellStyle name="20% - Accent1 7 3 2 5 2 2" xfId="13178" xr:uid="{00000000-0005-0000-0000-0000BF0A0000}"/>
    <cellStyle name="20% - Accent1 7 3 2 5 2 2 2" xfId="26095" xr:uid="{00000000-0005-0000-0000-0000C00A0000}"/>
    <cellStyle name="20% - Accent1 7 3 2 5 2 2 2 2" xfId="51969" xr:uid="{00000000-0005-0000-0000-0000C10A0000}"/>
    <cellStyle name="20% - Accent1 7 3 2 5 2 2 3" xfId="39053" xr:uid="{00000000-0005-0000-0000-0000C20A0000}"/>
    <cellStyle name="20% - Accent1 7 3 2 5 2 3" xfId="19637" xr:uid="{00000000-0005-0000-0000-0000C30A0000}"/>
    <cellStyle name="20% - Accent1 7 3 2 5 2 3 2" xfId="45511" xr:uid="{00000000-0005-0000-0000-0000C40A0000}"/>
    <cellStyle name="20% - Accent1 7 3 2 5 2 4" xfId="32595" xr:uid="{00000000-0005-0000-0000-0000C50A0000}"/>
    <cellStyle name="20% - Accent1 7 3 2 5 3" xfId="9950" xr:uid="{00000000-0005-0000-0000-0000C60A0000}"/>
    <cellStyle name="20% - Accent1 7 3 2 5 3 2" xfId="22867" xr:uid="{00000000-0005-0000-0000-0000C70A0000}"/>
    <cellStyle name="20% - Accent1 7 3 2 5 3 2 2" xfId="48741" xr:uid="{00000000-0005-0000-0000-0000C80A0000}"/>
    <cellStyle name="20% - Accent1 7 3 2 5 3 3" xfId="35825" xr:uid="{00000000-0005-0000-0000-0000C90A0000}"/>
    <cellStyle name="20% - Accent1 7 3 2 5 4" xfId="16409" xr:uid="{00000000-0005-0000-0000-0000CA0A0000}"/>
    <cellStyle name="20% - Accent1 7 3 2 5 4 2" xfId="42283" xr:uid="{00000000-0005-0000-0000-0000CB0A0000}"/>
    <cellStyle name="20% - Accent1 7 3 2 5 5" xfId="29335" xr:uid="{00000000-0005-0000-0000-0000CC0A0000}"/>
    <cellStyle name="20% - Accent1 7 3 2 6" xfId="5105" xr:uid="{00000000-0005-0000-0000-0000CD0A0000}"/>
    <cellStyle name="20% - Accent1 7 3 2 6 2" xfId="11564" xr:uid="{00000000-0005-0000-0000-0000CE0A0000}"/>
    <cellStyle name="20% - Accent1 7 3 2 6 2 2" xfId="24481" xr:uid="{00000000-0005-0000-0000-0000CF0A0000}"/>
    <cellStyle name="20% - Accent1 7 3 2 6 2 2 2" xfId="50355" xr:uid="{00000000-0005-0000-0000-0000D00A0000}"/>
    <cellStyle name="20% - Accent1 7 3 2 6 2 3" xfId="37439" xr:uid="{00000000-0005-0000-0000-0000D10A0000}"/>
    <cellStyle name="20% - Accent1 7 3 2 6 3" xfId="18023" xr:uid="{00000000-0005-0000-0000-0000D20A0000}"/>
    <cellStyle name="20% - Accent1 7 3 2 6 3 2" xfId="43897" xr:uid="{00000000-0005-0000-0000-0000D30A0000}"/>
    <cellStyle name="20% - Accent1 7 3 2 6 4" xfId="30981" xr:uid="{00000000-0005-0000-0000-0000D40A0000}"/>
    <cellStyle name="20% - Accent1 7 3 2 7" xfId="8335" xr:uid="{00000000-0005-0000-0000-0000D50A0000}"/>
    <cellStyle name="20% - Accent1 7 3 2 7 2" xfId="21252" xr:uid="{00000000-0005-0000-0000-0000D60A0000}"/>
    <cellStyle name="20% - Accent1 7 3 2 7 2 2" xfId="47126" xr:uid="{00000000-0005-0000-0000-0000D70A0000}"/>
    <cellStyle name="20% - Accent1 7 3 2 7 3" xfId="34210" xr:uid="{00000000-0005-0000-0000-0000D80A0000}"/>
    <cellStyle name="20% - Accent1 7 3 2 8" xfId="14794" xr:uid="{00000000-0005-0000-0000-0000D90A0000}"/>
    <cellStyle name="20% - Accent1 7 3 2 8 2" xfId="40668" xr:uid="{00000000-0005-0000-0000-0000DA0A0000}"/>
    <cellStyle name="20% - Accent1 7 3 2 9" xfId="27720" xr:uid="{00000000-0005-0000-0000-0000DB0A0000}"/>
    <cellStyle name="20% - Accent1 7 3 3" xfId="1841" xr:uid="{00000000-0005-0000-0000-0000DC0A0000}"/>
    <cellStyle name="20% - Accent1 7 3 3 2" xfId="2283" xr:uid="{00000000-0005-0000-0000-0000DD0A0000}"/>
    <cellStyle name="20% - Accent1 7 3 3 2 2" xfId="3097" xr:uid="{00000000-0005-0000-0000-0000DE0A0000}"/>
    <cellStyle name="20% - Accent1 7 3 3 2 2 2" xfId="4754" xr:uid="{00000000-0005-0000-0000-0000DF0A0000}"/>
    <cellStyle name="20% - Accent1 7 3 3 2 2 2 2" xfId="7985" xr:uid="{00000000-0005-0000-0000-0000E00A0000}"/>
    <cellStyle name="20% - Accent1 7 3 3 2 2 2 2 2" xfId="14444" xr:uid="{00000000-0005-0000-0000-0000E10A0000}"/>
    <cellStyle name="20% - Accent1 7 3 3 2 2 2 2 2 2" xfId="27361" xr:uid="{00000000-0005-0000-0000-0000E20A0000}"/>
    <cellStyle name="20% - Accent1 7 3 3 2 2 2 2 2 2 2" xfId="53235" xr:uid="{00000000-0005-0000-0000-0000E30A0000}"/>
    <cellStyle name="20% - Accent1 7 3 3 2 2 2 2 2 3" xfId="40319" xr:uid="{00000000-0005-0000-0000-0000E40A0000}"/>
    <cellStyle name="20% - Accent1 7 3 3 2 2 2 2 3" xfId="20903" xr:uid="{00000000-0005-0000-0000-0000E50A0000}"/>
    <cellStyle name="20% - Accent1 7 3 3 2 2 2 2 3 2" xfId="46777" xr:uid="{00000000-0005-0000-0000-0000E60A0000}"/>
    <cellStyle name="20% - Accent1 7 3 3 2 2 2 2 4" xfId="33861" xr:uid="{00000000-0005-0000-0000-0000E70A0000}"/>
    <cellStyle name="20% - Accent1 7 3 3 2 2 2 3" xfId="11216" xr:uid="{00000000-0005-0000-0000-0000E80A0000}"/>
    <cellStyle name="20% - Accent1 7 3 3 2 2 2 3 2" xfId="24133" xr:uid="{00000000-0005-0000-0000-0000E90A0000}"/>
    <cellStyle name="20% - Accent1 7 3 3 2 2 2 3 2 2" xfId="50007" xr:uid="{00000000-0005-0000-0000-0000EA0A0000}"/>
    <cellStyle name="20% - Accent1 7 3 3 2 2 2 3 3" xfId="37091" xr:uid="{00000000-0005-0000-0000-0000EB0A0000}"/>
    <cellStyle name="20% - Accent1 7 3 3 2 2 2 4" xfId="17675" xr:uid="{00000000-0005-0000-0000-0000EC0A0000}"/>
    <cellStyle name="20% - Accent1 7 3 3 2 2 2 4 2" xfId="43549" xr:uid="{00000000-0005-0000-0000-0000ED0A0000}"/>
    <cellStyle name="20% - Accent1 7 3 3 2 2 2 5" xfId="30601" xr:uid="{00000000-0005-0000-0000-0000EE0A0000}"/>
    <cellStyle name="20% - Accent1 7 3 3 2 2 3" xfId="6371" xr:uid="{00000000-0005-0000-0000-0000EF0A0000}"/>
    <cellStyle name="20% - Accent1 7 3 3 2 2 3 2" xfId="12830" xr:uid="{00000000-0005-0000-0000-0000F00A0000}"/>
    <cellStyle name="20% - Accent1 7 3 3 2 2 3 2 2" xfId="25747" xr:uid="{00000000-0005-0000-0000-0000F10A0000}"/>
    <cellStyle name="20% - Accent1 7 3 3 2 2 3 2 2 2" xfId="51621" xr:uid="{00000000-0005-0000-0000-0000F20A0000}"/>
    <cellStyle name="20% - Accent1 7 3 3 2 2 3 2 3" xfId="38705" xr:uid="{00000000-0005-0000-0000-0000F30A0000}"/>
    <cellStyle name="20% - Accent1 7 3 3 2 2 3 3" xfId="19289" xr:uid="{00000000-0005-0000-0000-0000F40A0000}"/>
    <cellStyle name="20% - Accent1 7 3 3 2 2 3 3 2" xfId="45163" xr:uid="{00000000-0005-0000-0000-0000F50A0000}"/>
    <cellStyle name="20% - Accent1 7 3 3 2 2 3 4" xfId="32247" xr:uid="{00000000-0005-0000-0000-0000F60A0000}"/>
    <cellStyle name="20% - Accent1 7 3 3 2 2 4" xfId="9602" xr:uid="{00000000-0005-0000-0000-0000F70A0000}"/>
    <cellStyle name="20% - Accent1 7 3 3 2 2 4 2" xfId="22519" xr:uid="{00000000-0005-0000-0000-0000F80A0000}"/>
    <cellStyle name="20% - Accent1 7 3 3 2 2 4 2 2" xfId="48393" xr:uid="{00000000-0005-0000-0000-0000F90A0000}"/>
    <cellStyle name="20% - Accent1 7 3 3 2 2 4 3" xfId="35477" xr:uid="{00000000-0005-0000-0000-0000FA0A0000}"/>
    <cellStyle name="20% - Accent1 7 3 3 2 2 5" xfId="16061" xr:uid="{00000000-0005-0000-0000-0000FB0A0000}"/>
    <cellStyle name="20% - Accent1 7 3 3 2 2 5 2" xfId="41935" xr:uid="{00000000-0005-0000-0000-0000FC0A0000}"/>
    <cellStyle name="20% - Accent1 7 3 3 2 2 6" xfId="28987" xr:uid="{00000000-0005-0000-0000-0000FD0A0000}"/>
    <cellStyle name="20% - Accent1 7 3 3 2 3" xfId="3924" xr:uid="{00000000-0005-0000-0000-0000FE0A0000}"/>
    <cellStyle name="20% - Accent1 7 3 3 2 3 2" xfId="7178" xr:uid="{00000000-0005-0000-0000-0000FF0A0000}"/>
    <cellStyle name="20% - Accent1 7 3 3 2 3 2 2" xfId="13637" xr:uid="{00000000-0005-0000-0000-0000000B0000}"/>
    <cellStyle name="20% - Accent1 7 3 3 2 3 2 2 2" xfId="26554" xr:uid="{00000000-0005-0000-0000-0000010B0000}"/>
    <cellStyle name="20% - Accent1 7 3 3 2 3 2 2 2 2" xfId="52428" xr:uid="{00000000-0005-0000-0000-0000020B0000}"/>
    <cellStyle name="20% - Accent1 7 3 3 2 3 2 2 3" xfId="39512" xr:uid="{00000000-0005-0000-0000-0000030B0000}"/>
    <cellStyle name="20% - Accent1 7 3 3 2 3 2 3" xfId="20096" xr:uid="{00000000-0005-0000-0000-0000040B0000}"/>
    <cellStyle name="20% - Accent1 7 3 3 2 3 2 3 2" xfId="45970" xr:uid="{00000000-0005-0000-0000-0000050B0000}"/>
    <cellStyle name="20% - Accent1 7 3 3 2 3 2 4" xfId="33054" xr:uid="{00000000-0005-0000-0000-0000060B0000}"/>
    <cellStyle name="20% - Accent1 7 3 3 2 3 3" xfId="10409" xr:uid="{00000000-0005-0000-0000-0000070B0000}"/>
    <cellStyle name="20% - Accent1 7 3 3 2 3 3 2" xfId="23326" xr:uid="{00000000-0005-0000-0000-0000080B0000}"/>
    <cellStyle name="20% - Accent1 7 3 3 2 3 3 2 2" xfId="49200" xr:uid="{00000000-0005-0000-0000-0000090B0000}"/>
    <cellStyle name="20% - Accent1 7 3 3 2 3 3 3" xfId="36284" xr:uid="{00000000-0005-0000-0000-00000A0B0000}"/>
    <cellStyle name="20% - Accent1 7 3 3 2 3 4" xfId="16868" xr:uid="{00000000-0005-0000-0000-00000B0B0000}"/>
    <cellStyle name="20% - Accent1 7 3 3 2 3 4 2" xfId="42742" xr:uid="{00000000-0005-0000-0000-00000C0B0000}"/>
    <cellStyle name="20% - Accent1 7 3 3 2 3 5" xfId="29794" xr:uid="{00000000-0005-0000-0000-00000D0B0000}"/>
    <cellStyle name="20% - Accent1 7 3 3 2 4" xfId="5564" xr:uid="{00000000-0005-0000-0000-00000E0B0000}"/>
    <cellStyle name="20% - Accent1 7 3 3 2 4 2" xfId="12023" xr:uid="{00000000-0005-0000-0000-00000F0B0000}"/>
    <cellStyle name="20% - Accent1 7 3 3 2 4 2 2" xfId="24940" xr:uid="{00000000-0005-0000-0000-0000100B0000}"/>
    <cellStyle name="20% - Accent1 7 3 3 2 4 2 2 2" xfId="50814" xr:uid="{00000000-0005-0000-0000-0000110B0000}"/>
    <cellStyle name="20% - Accent1 7 3 3 2 4 2 3" xfId="37898" xr:uid="{00000000-0005-0000-0000-0000120B0000}"/>
    <cellStyle name="20% - Accent1 7 3 3 2 4 3" xfId="18482" xr:uid="{00000000-0005-0000-0000-0000130B0000}"/>
    <cellStyle name="20% - Accent1 7 3 3 2 4 3 2" xfId="44356" xr:uid="{00000000-0005-0000-0000-0000140B0000}"/>
    <cellStyle name="20% - Accent1 7 3 3 2 4 4" xfId="31440" xr:uid="{00000000-0005-0000-0000-0000150B0000}"/>
    <cellStyle name="20% - Accent1 7 3 3 2 5" xfId="8795" xr:uid="{00000000-0005-0000-0000-0000160B0000}"/>
    <cellStyle name="20% - Accent1 7 3 3 2 5 2" xfId="21712" xr:uid="{00000000-0005-0000-0000-0000170B0000}"/>
    <cellStyle name="20% - Accent1 7 3 3 2 5 2 2" xfId="47586" xr:uid="{00000000-0005-0000-0000-0000180B0000}"/>
    <cellStyle name="20% - Accent1 7 3 3 2 5 3" xfId="34670" xr:uid="{00000000-0005-0000-0000-0000190B0000}"/>
    <cellStyle name="20% - Accent1 7 3 3 2 6" xfId="15254" xr:uid="{00000000-0005-0000-0000-00001A0B0000}"/>
    <cellStyle name="20% - Accent1 7 3 3 2 6 2" xfId="41128" xr:uid="{00000000-0005-0000-0000-00001B0B0000}"/>
    <cellStyle name="20% - Accent1 7 3 3 2 7" xfId="28180" xr:uid="{00000000-0005-0000-0000-00001C0B0000}"/>
    <cellStyle name="20% - Accent1 7 3 3 2 8" xfId="54042" xr:uid="{00000000-0005-0000-0000-00001D0B0000}"/>
    <cellStyle name="20% - Accent1 7 3 3 3" xfId="2694" xr:uid="{00000000-0005-0000-0000-00001E0B0000}"/>
    <cellStyle name="20% - Accent1 7 3 3 3 2" xfId="4351" xr:uid="{00000000-0005-0000-0000-00001F0B0000}"/>
    <cellStyle name="20% - Accent1 7 3 3 3 2 2" xfId="7582" xr:uid="{00000000-0005-0000-0000-0000200B0000}"/>
    <cellStyle name="20% - Accent1 7 3 3 3 2 2 2" xfId="14041" xr:uid="{00000000-0005-0000-0000-0000210B0000}"/>
    <cellStyle name="20% - Accent1 7 3 3 3 2 2 2 2" xfId="26958" xr:uid="{00000000-0005-0000-0000-0000220B0000}"/>
    <cellStyle name="20% - Accent1 7 3 3 3 2 2 2 2 2" xfId="52832" xr:uid="{00000000-0005-0000-0000-0000230B0000}"/>
    <cellStyle name="20% - Accent1 7 3 3 3 2 2 2 3" xfId="39916" xr:uid="{00000000-0005-0000-0000-0000240B0000}"/>
    <cellStyle name="20% - Accent1 7 3 3 3 2 2 3" xfId="20500" xr:uid="{00000000-0005-0000-0000-0000250B0000}"/>
    <cellStyle name="20% - Accent1 7 3 3 3 2 2 3 2" xfId="46374" xr:uid="{00000000-0005-0000-0000-0000260B0000}"/>
    <cellStyle name="20% - Accent1 7 3 3 3 2 2 4" xfId="33458" xr:uid="{00000000-0005-0000-0000-0000270B0000}"/>
    <cellStyle name="20% - Accent1 7 3 3 3 2 3" xfId="10813" xr:uid="{00000000-0005-0000-0000-0000280B0000}"/>
    <cellStyle name="20% - Accent1 7 3 3 3 2 3 2" xfId="23730" xr:uid="{00000000-0005-0000-0000-0000290B0000}"/>
    <cellStyle name="20% - Accent1 7 3 3 3 2 3 2 2" xfId="49604" xr:uid="{00000000-0005-0000-0000-00002A0B0000}"/>
    <cellStyle name="20% - Accent1 7 3 3 3 2 3 3" xfId="36688" xr:uid="{00000000-0005-0000-0000-00002B0B0000}"/>
    <cellStyle name="20% - Accent1 7 3 3 3 2 4" xfId="17272" xr:uid="{00000000-0005-0000-0000-00002C0B0000}"/>
    <cellStyle name="20% - Accent1 7 3 3 3 2 4 2" xfId="43146" xr:uid="{00000000-0005-0000-0000-00002D0B0000}"/>
    <cellStyle name="20% - Accent1 7 3 3 3 2 5" xfId="30198" xr:uid="{00000000-0005-0000-0000-00002E0B0000}"/>
    <cellStyle name="20% - Accent1 7 3 3 3 3" xfId="5968" xr:uid="{00000000-0005-0000-0000-00002F0B0000}"/>
    <cellStyle name="20% - Accent1 7 3 3 3 3 2" xfId="12427" xr:uid="{00000000-0005-0000-0000-0000300B0000}"/>
    <cellStyle name="20% - Accent1 7 3 3 3 3 2 2" xfId="25344" xr:uid="{00000000-0005-0000-0000-0000310B0000}"/>
    <cellStyle name="20% - Accent1 7 3 3 3 3 2 2 2" xfId="51218" xr:uid="{00000000-0005-0000-0000-0000320B0000}"/>
    <cellStyle name="20% - Accent1 7 3 3 3 3 2 3" xfId="38302" xr:uid="{00000000-0005-0000-0000-0000330B0000}"/>
    <cellStyle name="20% - Accent1 7 3 3 3 3 3" xfId="18886" xr:uid="{00000000-0005-0000-0000-0000340B0000}"/>
    <cellStyle name="20% - Accent1 7 3 3 3 3 3 2" xfId="44760" xr:uid="{00000000-0005-0000-0000-0000350B0000}"/>
    <cellStyle name="20% - Accent1 7 3 3 3 3 4" xfId="31844" xr:uid="{00000000-0005-0000-0000-0000360B0000}"/>
    <cellStyle name="20% - Accent1 7 3 3 3 4" xfId="9199" xr:uid="{00000000-0005-0000-0000-0000370B0000}"/>
    <cellStyle name="20% - Accent1 7 3 3 3 4 2" xfId="22116" xr:uid="{00000000-0005-0000-0000-0000380B0000}"/>
    <cellStyle name="20% - Accent1 7 3 3 3 4 2 2" xfId="47990" xr:uid="{00000000-0005-0000-0000-0000390B0000}"/>
    <cellStyle name="20% - Accent1 7 3 3 3 4 3" xfId="35074" xr:uid="{00000000-0005-0000-0000-00003A0B0000}"/>
    <cellStyle name="20% - Accent1 7 3 3 3 5" xfId="15658" xr:uid="{00000000-0005-0000-0000-00003B0B0000}"/>
    <cellStyle name="20% - Accent1 7 3 3 3 5 2" xfId="41532" xr:uid="{00000000-0005-0000-0000-00003C0B0000}"/>
    <cellStyle name="20% - Accent1 7 3 3 3 6" xfId="28584" xr:uid="{00000000-0005-0000-0000-00003D0B0000}"/>
    <cellStyle name="20% - Accent1 7 3 3 4" xfId="3521" xr:uid="{00000000-0005-0000-0000-00003E0B0000}"/>
    <cellStyle name="20% - Accent1 7 3 3 4 2" xfId="6775" xr:uid="{00000000-0005-0000-0000-00003F0B0000}"/>
    <cellStyle name="20% - Accent1 7 3 3 4 2 2" xfId="13234" xr:uid="{00000000-0005-0000-0000-0000400B0000}"/>
    <cellStyle name="20% - Accent1 7 3 3 4 2 2 2" xfId="26151" xr:uid="{00000000-0005-0000-0000-0000410B0000}"/>
    <cellStyle name="20% - Accent1 7 3 3 4 2 2 2 2" xfId="52025" xr:uid="{00000000-0005-0000-0000-0000420B0000}"/>
    <cellStyle name="20% - Accent1 7 3 3 4 2 2 3" xfId="39109" xr:uid="{00000000-0005-0000-0000-0000430B0000}"/>
    <cellStyle name="20% - Accent1 7 3 3 4 2 3" xfId="19693" xr:uid="{00000000-0005-0000-0000-0000440B0000}"/>
    <cellStyle name="20% - Accent1 7 3 3 4 2 3 2" xfId="45567" xr:uid="{00000000-0005-0000-0000-0000450B0000}"/>
    <cellStyle name="20% - Accent1 7 3 3 4 2 4" xfId="32651" xr:uid="{00000000-0005-0000-0000-0000460B0000}"/>
    <cellStyle name="20% - Accent1 7 3 3 4 3" xfId="10006" xr:uid="{00000000-0005-0000-0000-0000470B0000}"/>
    <cellStyle name="20% - Accent1 7 3 3 4 3 2" xfId="22923" xr:uid="{00000000-0005-0000-0000-0000480B0000}"/>
    <cellStyle name="20% - Accent1 7 3 3 4 3 2 2" xfId="48797" xr:uid="{00000000-0005-0000-0000-0000490B0000}"/>
    <cellStyle name="20% - Accent1 7 3 3 4 3 3" xfId="35881" xr:uid="{00000000-0005-0000-0000-00004A0B0000}"/>
    <cellStyle name="20% - Accent1 7 3 3 4 4" xfId="16465" xr:uid="{00000000-0005-0000-0000-00004B0B0000}"/>
    <cellStyle name="20% - Accent1 7 3 3 4 4 2" xfId="42339" xr:uid="{00000000-0005-0000-0000-00004C0B0000}"/>
    <cellStyle name="20% - Accent1 7 3 3 4 5" xfId="29391" xr:uid="{00000000-0005-0000-0000-00004D0B0000}"/>
    <cellStyle name="20% - Accent1 7 3 3 5" xfId="5161" xr:uid="{00000000-0005-0000-0000-00004E0B0000}"/>
    <cellStyle name="20% - Accent1 7 3 3 5 2" xfId="11620" xr:uid="{00000000-0005-0000-0000-00004F0B0000}"/>
    <cellStyle name="20% - Accent1 7 3 3 5 2 2" xfId="24537" xr:uid="{00000000-0005-0000-0000-0000500B0000}"/>
    <cellStyle name="20% - Accent1 7 3 3 5 2 2 2" xfId="50411" xr:uid="{00000000-0005-0000-0000-0000510B0000}"/>
    <cellStyle name="20% - Accent1 7 3 3 5 2 3" xfId="37495" xr:uid="{00000000-0005-0000-0000-0000520B0000}"/>
    <cellStyle name="20% - Accent1 7 3 3 5 3" xfId="18079" xr:uid="{00000000-0005-0000-0000-0000530B0000}"/>
    <cellStyle name="20% - Accent1 7 3 3 5 3 2" xfId="43953" xr:uid="{00000000-0005-0000-0000-0000540B0000}"/>
    <cellStyle name="20% - Accent1 7 3 3 5 4" xfId="31037" xr:uid="{00000000-0005-0000-0000-0000550B0000}"/>
    <cellStyle name="20% - Accent1 7 3 3 6" xfId="8391" xr:uid="{00000000-0005-0000-0000-0000560B0000}"/>
    <cellStyle name="20% - Accent1 7 3 3 6 2" xfId="21308" xr:uid="{00000000-0005-0000-0000-0000570B0000}"/>
    <cellStyle name="20% - Accent1 7 3 3 6 2 2" xfId="47182" xr:uid="{00000000-0005-0000-0000-0000580B0000}"/>
    <cellStyle name="20% - Accent1 7 3 3 6 3" xfId="34266" xr:uid="{00000000-0005-0000-0000-0000590B0000}"/>
    <cellStyle name="20% - Accent1 7 3 3 7" xfId="14850" xr:uid="{00000000-0005-0000-0000-00005A0B0000}"/>
    <cellStyle name="20% - Accent1 7 3 3 7 2" xfId="40724" xr:uid="{00000000-0005-0000-0000-00005B0B0000}"/>
    <cellStyle name="20% - Accent1 7 3 3 8" xfId="27776" xr:uid="{00000000-0005-0000-0000-00005C0B0000}"/>
    <cellStyle name="20% - Accent1 7 3 3 9" xfId="53639" xr:uid="{00000000-0005-0000-0000-00005D0B0000}"/>
    <cellStyle name="20% - Accent1 7 3 4" xfId="2067" xr:uid="{00000000-0005-0000-0000-00005E0B0000}"/>
    <cellStyle name="20% - Accent1 7 3 4 2" xfId="2885" xr:uid="{00000000-0005-0000-0000-00005F0B0000}"/>
    <cellStyle name="20% - Accent1 7 3 4 2 2" xfId="4542" xr:uid="{00000000-0005-0000-0000-0000600B0000}"/>
    <cellStyle name="20% - Accent1 7 3 4 2 2 2" xfId="7773" xr:uid="{00000000-0005-0000-0000-0000610B0000}"/>
    <cellStyle name="20% - Accent1 7 3 4 2 2 2 2" xfId="14232" xr:uid="{00000000-0005-0000-0000-0000620B0000}"/>
    <cellStyle name="20% - Accent1 7 3 4 2 2 2 2 2" xfId="27149" xr:uid="{00000000-0005-0000-0000-0000630B0000}"/>
    <cellStyle name="20% - Accent1 7 3 4 2 2 2 2 2 2" xfId="53023" xr:uid="{00000000-0005-0000-0000-0000640B0000}"/>
    <cellStyle name="20% - Accent1 7 3 4 2 2 2 2 3" xfId="40107" xr:uid="{00000000-0005-0000-0000-0000650B0000}"/>
    <cellStyle name="20% - Accent1 7 3 4 2 2 2 3" xfId="20691" xr:uid="{00000000-0005-0000-0000-0000660B0000}"/>
    <cellStyle name="20% - Accent1 7 3 4 2 2 2 3 2" xfId="46565" xr:uid="{00000000-0005-0000-0000-0000670B0000}"/>
    <cellStyle name="20% - Accent1 7 3 4 2 2 2 4" xfId="33649" xr:uid="{00000000-0005-0000-0000-0000680B0000}"/>
    <cellStyle name="20% - Accent1 7 3 4 2 2 3" xfId="11004" xr:uid="{00000000-0005-0000-0000-0000690B0000}"/>
    <cellStyle name="20% - Accent1 7 3 4 2 2 3 2" xfId="23921" xr:uid="{00000000-0005-0000-0000-00006A0B0000}"/>
    <cellStyle name="20% - Accent1 7 3 4 2 2 3 2 2" xfId="49795" xr:uid="{00000000-0005-0000-0000-00006B0B0000}"/>
    <cellStyle name="20% - Accent1 7 3 4 2 2 3 3" xfId="36879" xr:uid="{00000000-0005-0000-0000-00006C0B0000}"/>
    <cellStyle name="20% - Accent1 7 3 4 2 2 4" xfId="17463" xr:uid="{00000000-0005-0000-0000-00006D0B0000}"/>
    <cellStyle name="20% - Accent1 7 3 4 2 2 4 2" xfId="43337" xr:uid="{00000000-0005-0000-0000-00006E0B0000}"/>
    <cellStyle name="20% - Accent1 7 3 4 2 2 5" xfId="30389" xr:uid="{00000000-0005-0000-0000-00006F0B0000}"/>
    <cellStyle name="20% - Accent1 7 3 4 2 3" xfId="6159" xr:uid="{00000000-0005-0000-0000-0000700B0000}"/>
    <cellStyle name="20% - Accent1 7 3 4 2 3 2" xfId="12618" xr:uid="{00000000-0005-0000-0000-0000710B0000}"/>
    <cellStyle name="20% - Accent1 7 3 4 2 3 2 2" xfId="25535" xr:uid="{00000000-0005-0000-0000-0000720B0000}"/>
    <cellStyle name="20% - Accent1 7 3 4 2 3 2 2 2" xfId="51409" xr:uid="{00000000-0005-0000-0000-0000730B0000}"/>
    <cellStyle name="20% - Accent1 7 3 4 2 3 2 3" xfId="38493" xr:uid="{00000000-0005-0000-0000-0000740B0000}"/>
    <cellStyle name="20% - Accent1 7 3 4 2 3 3" xfId="19077" xr:uid="{00000000-0005-0000-0000-0000750B0000}"/>
    <cellStyle name="20% - Accent1 7 3 4 2 3 3 2" xfId="44951" xr:uid="{00000000-0005-0000-0000-0000760B0000}"/>
    <cellStyle name="20% - Accent1 7 3 4 2 3 4" xfId="32035" xr:uid="{00000000-0005-0000-0000-0000770B0000}"/>
    <cellStyle name="20% - Accent1 7 3 4 2 4" xfId="9390" xr:uid="{00000000-0005-0000-0000-0000780B0000}"/>
    <cellStyle name="20% - Accent1 7 3 4 2 4 2" xfId="22307" xr:uid="{00000000-0005-0000-0000-0000790B0000}"/>
    <cellStyle name="20% - Accent1 7 3 4 2 4 2 2" xfId="48181" xr:uid="{00000000-0005-0000-0000-00007A0B0000}"/>
    <cellStyle name="20% - Accent1 7 3 4 2 4 3" xfId="35265" xr:uid="{00000000-0005-0000-0000-00007B0B0000}"/>
    <cellStyle name="20% - Accent1 7 3 4 2 5" xfId="15849" xr:uid="{00000000-0005-0000-0000-00007C0B0000}"/>
    <cellStyle name="20% - Accent1 7 3 4 2 5 2" xfId="41723" xr:uid="{00000000-0005-0000-0000-00007D0B0000}"/>
    <cellStyle name="20% - Accent1 7 3 4 2 6" xfId="28775" xr:uid="{00000000-0005-0000-0000-00007E0B0000}"/>
    <cellStyle name="20% - Accent1 7 3 4 3" xfId="3712" xr:uid="{00000000-0005-0000-0000-00007F0B0000}"/>
    <cellStyle name="20% - Accent1 7 3 4 3 2" xfId="6966" xr:uid="{00000000-0005-0000-0000-0000800B0000}"/>
    <cellStyle name="20% - Accent1 7 3 4 3 2 2" xfId="13425" xr:uid="{00000000-0005-0000-0000-0000810B0000}"/>
    <cellStyle name="20% - Accent1 7 3 4 3 2 2 2" xfId="26342" xr:uid="{00000000-0005-0000-0000-0000820B0000}"/>
    <cellStyle name="20% - Accent1 7 3 4 3 2 2 2 2" xfId="52216" xr:uid="{00000000-0005-0000-0000-0000830B0000}"/>
    <cellStyle name="20% - Accent1 7 3 4 3 2 2 3" xfId="39300" xr:uid="{00000000-0005-0000-0000-0000840B0000}"/>
    <cellStyle name="20% - Accent1 7 3 4 3 2 3" xfId="19884" xr:uid="{00000000-0005-0000-0000-0000850B0000}"/>
    <cellStyle name="20% - Accent1 7 3 4 3 2 3 2" xfId="45758" xr:uid="{00000000-0005-0000-0000-0000860B0000}"/>
    <cellStyle name="20% - Accent1 7 3 4 3 2 4" xfId="32842" xr:uid="{00000000-0005-0000-0000-0000870B0000}"/>
    <cellStyle name="20% - Accent1 7 3 4 3 3" xfId="10197" xr:uid="{00000000-0005-0000-0000-0000880B0000}"/>
    <cellStyle name="20% - Accent1 7 3 4 3 3 2" xfId="23114" xr:uid="{00000000-0005-0000-0000-0000890B0000}"/>
    <cellStyle name="20% - Accent1 7 3 4 3 3 2 2" xfId="48988" xr:uid="{00000000-0005-0000-0000-00008A0B0000}"/>
    <cellStyle name="20% - Accent1 7 3 4 3 3 3" xfId="36072" xr:uid="{00000000-0005-0000-0000-00008B0B0000}"/>
    <cellStyle name="20% - Accent1 7 3 4 3 4" xfId="16656" xr:uid="{00000000-0005-0000-0000-00008C0B0000}"/>
    <cellStyle name="20% - Accent1 7 3 4 3 4 2" xfId="42530" xr:uid="{00000000-0005-0000-0000-00008D0B0000}"/>
    <cellStyle name="20% - Accent1 7 3 4 3 5" xfId="29582" xr:uid="{00000000-0005-0000-0000-00008E0B0000}"/>
    <cellStyle name="20% - Accent1 7 3 4 4" xfId="5352" xr:uid="{00000000-0005-0000-0000-00008F0B0000}"/>
    <cellStyle name="20% - Accent1 7 3 4 4 2" xfId="11811" xr:uid="{00000000-0005-0000-0000-0000900B0000}"/>
    <cellStyle name="20% - Accent1 7 3 4 4 2 2" xfId="24728" xr:uid="{00000000-0005-0000-0000-0000910B0000}"/>
    <cellStyle name="20% - Accent1 7 3 4 4 2 2 2" xfId="50602" xr:uid="{00000000-0005-0000-0000-0000920B0000}"/>
    <cellStyle name="20% - Accent1 7 3 4 4 2 3" xfId="37686" xr:uid="{00000000-0005-0000-0000-0000930B0000}"/>
    <cellStyle name="20% - Accent1 7 3 4 4 3" xfId="18270" xr:uid="{00000000-0005-0000-0000-0000940B0000}"/>
    <cellStyle name="20% - Accent1 7 3 4 4 3 2" xfId="44144" xr:uid="{00000000-0005-0000-0000-0000950B0000}"/>
    <cellStyle name="20% - Accent1 7 3 4 4 4" xfId="31228" xr:uid="{00000000-0005-0000-0000-0000960B0000}"/>
    <cellStyle name="20% - Accent1 7 3 4 5" xfId="8583" xr:uid="{00000000-0005-0000-0000-0000970B0000}"/>
    <cellStyle name="20% - Accent1 7 3 4 5 2" xfId="21500" xr:uid="{00000000-0005-0000-0000-0000980B0000}"/>
    <cellStyle name="20% - Accent1 7 3 4 5 2 2" xfId="47374" xr:uid="{00000000-0005-0000-0000-0000990B0000}"/>
    <cellStyle name="20% - Accent1 7 3 4 5 3" xfId="34458" xr:uid="{00000000-0005-0000-0000-00009A0B0000}"/>
    <cellStyle name="20% - Accent1 7 3 4 6" xfId="15042" xr:uid="{00000000-0005-0000-0000-00009B0B0000}"/>
    <cellStyle name="20% - Accent1 7 3 4 6 2" xfId="40916" xr:uid="{00000000-0005-0000-0000-00009C0B0000}"/>
    <cellStyle name="20% - Accent1 7 3 4 7" xfId="27968" xr:uid="{00000000-0005-0000-0000-00009D0B0000}"/>
    <cellStyle name="20% - Accent1 7 3 4 8" xfId="53830" xr:uid="{00000000-0005-0000-0000-00009E0B0000}"/>
    <cellStyle name="20% - Accent1 7 3 5" xfId="2499" xr:uid="{00000000-0005-0000-0000-00009F0B0000}"/>
    <cellStyle name="20% - Accent1 7 3 5 2" xfId="4156" xr:uid="{00000000-0005-0000-0000-0000A00B0000}"/>
    <cellStyle name="20% - Accent1 7 3 5 2 2" xfId="7387" xr:uid="{00000000-0005-0000-0000-0000A10B0000}"/>
    <cellStyle name="20% - Accent1 7 3 5 2 2 2" xfId="13846" xr:uid="{00000000-0005-0000-0000-0000A20B0000}"/>
    <cellStyle name="20% - Accent1 7 3 5 2 2 2 2" xfId="26763" xr:uid="{00000000-0005-0000-0000-0000A30B0000}"/>
    <cellStyle name="20% - Accent1 7 3 5 2 2 2 2 2" xfId="52637" xr:uid="{00000000-0005-0000-0000-0000A40B0000}"/>
    <cellStyle name="20% - Accent1 7 3 5 2 2 2 3" xfId="39721" xr:uid="{00000000-0005-0000-0000-0000A50B0000}"/>
    <cellStyle name="20% - Accent1 7 3 5 2 2 3" xfId="20305" xr:uid="{00000000-0005-0000-0000-0000A60B0000}"/>
    <cellStyle name="20% - Accent1 7 3 5 2 2 3 2" xfId="46179" xr:uid="{00000000-0005-0000-0000-0000A70B0000}"/>
    <cellStyle name="20% - Accent1 7 3 5 2 2 4" xfId="33263" xr:uid="{00000000-0005-0000-0000-0000A80B0000}"/>
    <cellStyle name="20% - Accent1 7 3 5 2 3" xfId="10618" xr:uid="{00000000-0005-0000-0000-0000A90B0000}"/>
    <cellStyle name="20% - Accent1 7 3 5 2 3 2" xfId="23535" xr:uid="{00000000-0005-0000-0000-0000AA0B0000}"/>
    <cellStyle name="20% - Accent1 7 3 5 2 3 2 2" xfId="49409" xr:uid="{00000000-0005-0000-0000-0000AB0B0000}"/>
    <cellStyle name="20% - Accent1 7 3 5 2 3 3" xfId="36493" xr:uid="{00000000-0005-0000-0000-0000AC0B0000}"/>
    <cellStyle name="20% - Accent1 7 3 5 2 4" xfId="17077" xr:uid="{00000000-0005-0000-0000-0000AD0B0000}"/>
    <cellStyle name="20% - Accent1 7 3 5 2 4 2" xfId="42951" xr:uid="{00000000-0005-0000-0000-0000AE0B0000}"/>
    <cellStyle name="20% - Accent1 7 3 5 2 5" xfId="30003" xr:uid="{00000000-0005-0000-0000-0000AF0B0000}"/>
    <cellStyle name="20% - Accent1 7 3 5 3" xfId="5773" xr:uid="{00000000-0005-0000-0000-0000B00B0000}"/>
    <cellStyle name="20% - Accent1 7 3 5 3 2" xfId="12232" xr:uid="{00000000-0005-0000-0000-0000B10B0000}"/>
    <cellStyle name="20% - Accent1 7 3 5 3 2 2" xfId="25149" xr:uid="{00000000-0005-0000-0000-0000B20B0000}"/>
    <cellStyle name="20% - Accent1 7 3 5 3 2 2 2" xfId="51023" xr:uid="{00000000-0005-0000-0000-0000B30B0000}"/>
    <cellStyle name="20% - Accent1 7 3 5 3 2 3" xfId="38107" xr:uid="{00000000-0005-0000-0000-0000B40B0000}"/>
    <cellStyle name="20% - Accent1 7 3 5 3 3" xfId="18691" xr:uid="{00000000-0005-0000-0000-0000B50B0000}"/>
    <cellStyle name="20% - Accent1 7 3 5 3 3 2" xfId="44565" xr:uid="{00000000-0005-0000-0000-0000B60B0000}"/>
    <cellStyle name="20% - Accent1 7 3 5 3 4" xfId="31649" xr:uid="{00000000-0005-0000-0000-0000B70B0000}"/>
    <cellStyle name="20% - Accent1 7 3 5 4" xfId="9004" xr:uid="{00000000-0005-0000-0000-0000B80B0000}"/>
    <cellStyle name="20% - Accent1 7 3 5 4 2" xfId="21921" xr:uid="{00000000-0005-0000-0000-0000B90B0000}"/>
    <cellStyle name="20% - Accent1 7 3 5 4 2 2" xfId="47795" xr:uid="{00000000-0005-0000-0000-0000BA0B0000}"/>
    <cellStyle name="20% - Accent1 7 3 5 4 3" xfId="34879" xr:uid="{00000000-0005-0000-0000-0000BB0B0000}"/>
    <cellStyle name="20% - Accent1 7 3 5 5" xfId="15463" xr:uid="{00000000-0005-0000-0000-0000BC0B0000}"/>
    <cellStyle name="20% - Accent1 7 3 5 5 2" xfId="41337" xr:uid="{00000000-0005-0000-0000-0000BD0B0000}"/>
    <cellStyle name="20% - Accent1 7 3 5 6" xfId="28389" xr:uid="{00000000-0005-0000-0000-0000BE0B0000}"/>
    <cellStyle name="20% - Accent1 7 3 6" xfId="3319" xr:uid="{00000000-0005-0000-0000-0000BF0B0000}"/>
    <cellStyle name="20% - Accent1 7 3 6 2" xfId="6580" xr:uid="{00000000-0005-0000-0000-0000C00B0000}"/>
    <cellStyle name="20% - Accent1 7 3 6 2 2" xfId="13039" xr:uid="{00000000-0005-0000-0000-0000C10B0000}"/>
    <cellStyle name="20% - Accent1 7 3 6 2 2 2" xfId="25956" xr:uid="{00000000-0005-0000-0000-0000C20B0000}"/>
    <cellStyle name="20% - Accent1 7 3 6 2 2 2 2" xfId="51830" xr:uid="{00000000-0005-0000-0000-0000C30B0000}"/>
    <cellStyle name="20% - Accent1 7 3 6 2 2 3" xfId="38914" xr:uid="{00000000-0005-0000-0000-0000C40B0000}"/>
    <cellStyle name="20% - Accent1 7 3 6 2 3" xfId="19498" xr:uid="{00000000-0005-0000-0000-0000C50B0000}"/>
    <cellStyle name="20% - Accent1 7 3 6 2 3 2" xfId="45372" xr:uid="{00000000-0005-0000-0000-0000C60B0000}"/>
    <cellStyle name="20% - Accent1 7 3 6 2 4" xfId="32456" xr:uid="{00000000-0005-0000-0000-0000C70B0000}"/>
    <cellStyle name="20% - Accent1 7 3 6 3" xfId="9811" xr:uid="{00000000-0005-0000-0000-0000C80B0000}"/>
    <cellStyle name="20% - Accent1 7 3 6 3 2" xfId="22728" xr:uid="{00000000-0005-0000-0000-0000C90B0000}"/>
    <cellStyle name="20% - Accent1 7 3 6 3 2 2" xfId="48602" xr:uid="{00000000-0005-0000-0000-0000CA0B0000}"/>
    <cellStyle name="20% - Accent1 7 3 6 3 3" xfId="35686" xr:uid="{00000000-0005-0000-0000-0000CB0B0000}"/>
    <cellStyle name="20% - Accent1 7 3 6 4" xfId="16270" xr:uid="{00000000-0005-0000-0000-0000CC0B0000}"/>
    <cellStyle name="20% - Accent1 7 3 6 4 2" xfId="42144" xr:uid="{00000000-0005-0000-0000-0000CD0B0000}"/>
    <cellStyle name="20% - Accent1 7 3 6 5" xfId="29196" xr:uid="{00000000-0005-0000-0000-0000CE0B0000}"/>
    <cellStyle name="20% - Accent1 7 3 7" xfId="4966" xr:uid="{00000000-0005-0000-0000-0000CF0B0000}"/>
    <cellStyle name="20% - Accent1 7 3 7 2" xfId="11425" xr:uid="{00000000-0005-0000-0000-0000D00B0000}"/>
    <cellStyle name="20% - Accent1 7 3 7 2 2" xfId="24342" xr:uid="{00000000-0005-0000-0000-0000D10B0000}"/>
    <cellStyle name="20% - Accent1 7 3 7 2 2 2" xfId="50216" xr:uid="{00000000-0005-0000-0000-0000D20B0000}"/>
    <cellStyle name="20% - Accent1 7 3 7 2 3" xfId="37300" xr:uid="{00000000-0005-0000-0000-0000D30B0000}"/>
    <cellStyle name="20% - Accent1 7 3 7 3" xfId="17884" xr:uid="{00000000-0005-0000-0000-0000D40B0000}"/>
    <cellStyle name="20% - Accent1 7 3 7 3 2" xfId="43758" xr:uid="{00000000-0005-0000-0000-0000D50B0000}"/>
    <cellStyle name="20% - Accent1 7 3 7 4" xfId="30842" xr:uid="{00000000-0005-0000-0000-0000D60B0000}"/>
    <cellStyle name="20% - Accent1 7 3 8" xfId="8197" xr:uid="{00000000-0005-0000-0000-0000D70B0000}"/>
    <cellStyle name="20% - Accent1 7 3 8 2" xfId="21114" xr:uid="{00000000-0005-0000-0000-0000D80B0000}"/>
    <cellStyle name="20% - Accent1 7 3 8 2 2" xfId="46988" xr:uid="{00000000-0005-0000-0000-0000D90B0000}"/>
    <cellStyle name="20% - Accent1 7 3 8 3" xfId="34072" xr:uid="{00000000-0005-0000-0000-0000DA0B0000}"/>
    <cellStyle name="20% - Accent1 7 3 9" xfId="14656" xr:uid="{00000000-0005-0000-0000-0000DB0B0000}"/>
    <cellStyle name="20% - Accent1 7 3 9 2" xfId="40530" xr:uid="{00000000-0005-0000-0000-0000DC0B0000}"/>
    <cellStyle name="20% - Accent1 7 4" xfId="1040" xr:uid="{00000000-0005-0000-0000-0000DD0B0000}"/>
    <cellStyle name="20% - Accent1 8" xfId="1448" xr:uid="{00000000-0005-0000-0000-0000DE0B0000}"/>
    <cellStyle name="20% - Accent1 9" xfId="1466" xr:uid="{00000000-0005-0000-0000-0000DF0B0000}"/>
    <cellStyle name="20% - Accent2 10" xfId="1654" xr:uid="{00000000-0005-0000-0000-0000E00B0000}"/>
    <cellStyle name="20% - Accent2 10 10" xfId="53570" xr:uid="{00000000-0005-0000-0000-0000E10B0000}"/>
    <cellStyle name="20% - Accent2 10 2" xfId="1979" xr:uid="{00000000-0005-0000-0000-0000E20B0000}"/>
    <cellStyle name="20% - Accent2 10 2 2" xfId="2410" xr:uid="{00000000-0005-0000-0000-0000E30B0000}"/>
    <cellStyle name="20% - Accent2 10 2 2 2" xfId="3223" xr:uid="{00000000-0005-0000-0000-0000E40B0000}"/>
    <cellStyle name="20% - Accent2 10 2 2 2 2" xfId="4880" xr:uid="{00000000-0005-0000-0000-0000E50B0000}"/>
    <cellStyle name="20% - Accent2 10 2 2 2 2 2" xfId="8111" xr:uid="{00000000-0005-0000-0000-0000E60B0000}"/>
    <cellStyle name="20% - Accent2 10 2 2 2 2 2 2" xfId="14570" xr:uid="{00000000-0005-0000-0000-0000E70B0000}"/>
    <cellStyle name="20% - Accent2 10 2 2 2 2 2 2 2" xfId="27487" xr:uid="{00000000-0005-0000-0000-0000E80B0000}"/>
    <cellStyle name="20% - Accent2 10 2 2 2 2 2 2 2 2" xfId="53361" xr:uid="{00000000-0005-0000-0000-0000E90B0000}"/>
    <cellStyle name="20% - Accent2 10 2 2 2 2 2 2 3" xfId="40445" xr:uid="{00000000-0005-0000-0000-0000EA0B0000}"/>
    <cellStyle name="20% - Accent2 10 2 2 2 2 2 3" xfId="21029" xr:uid="{00000000-0005-0000-0000-0000EB0B0000}"/>
    <cellStyle name="20% - Accent2 10 2 2 2 2 2 3 2" xfId="46903" xr:uid="{00000000-0005-0000-0000-0000EC0B0000}"/>
    <cellStyle name="20% - Accent2 10 2 2 2 2 2 4" xfId="33987" xr:uid="{00000000-0005-0000-0000-0000ED0B0000}"/>
    <cellStyle name="20% - Accent2 10 2 2 2 2 3" xfId="11342" xr:uid="{00000000-0005-0000-0000-0000EE0B0000}"/>
    <cellStyle name="20% - Accent2 10 2 2 2 2 3 2" xfId="24259" xr:uid="{00000000-0005-0000-0000-0000EF0B0000}"/>
    <cellStyle name="20% - Accent2 10 2 2 2 2 3 2 2" xfId="50133" xr:uid="{00000000-0005-0000-0000-0000F00B0000}"/>
    <cellStyle name="20% - Accent2 10 2 2 2 2 3 3" xfId="37217" xr:uid="{00000000-0005-0000-0000-0000F10B0000}"/>
    <cellStyle name="20% - Accent2 10 2 2 2 2 4" xfId="17801" xr:uid="{00000000-0005-0000-0000-0000F20B0000}"/>
    <cellStyle name="20% - Accent2 10 2 2 2 2 4 2" xfId="43675" xr:uid="{00000000-0005-0000-0000-0000F30B0000}"/>
    <cellStyle name="20% - Accent2 10 2 2 2 2 5" xfId="30727" xr:uid="{00000000-0005-0000-0000-0000F40B0000}"/>
    <cellStyle name="20% - Accent2 10 2 2 2 3" xfId="6497" xr:uid="{00000000-0005-0000-0000-0000F50B0000}"/>
    <cellStyle name="20% - Accent2 10 2 2 2 3 2" xfId="12956" xr:uid="{00000000-0005-0000-0000-0000F60B0000}"/>
    <cellStyle name="20% - Accent2 10 2 2 2 3 2 2" xfId="25873" xr:uid="{00000000-0005-0000-0000-0000F70B0000}"/>
    <cellStyle name="20% - Accent2 10 2 2 2 3 2 2 2" xfId="51747" xr:uid="{00000000-0005-0000-0000-0000F80B0000}"/>
    <cellStyle name="20% - Accent2 10 2 2 2 3 2 3" xfId="38831" xr:uid="{00000000-0005-0000-0000-0000F90B0000}"/>
    <cellStyle name="20% - Accent2 10 2 2 2 3 3" xfId="19415" xr:uid="{00000000-0005-0000-0000-0000FA0B0000}"/>
    <cellStyle name="20% - Accent2 10 2 2 2 3 3 2" xfId="45289" xr:uid="{00000000-0005-0000-0000-0000FB0B0000}"/>
    <cellStyle name="20% - Accent2 10 2 2 2 3 4" xfId="32373" xr:uid="{00000000-0005-0000-0000-0000FC0B0000}"/>
    <cellStyle name="20% - Accent2 10 2 2 2 4" xfId="9728" xr:uid="{00000000-0005-0000-0000-0000FD0B0000}"/>
    <cellStyle name="20% - Accent2 10 2 2 2 4 2" xfId="22645" xr:uid="{00000000-0005-0000-0000-0000FE0B0000}"/>
    <cellStyle name="20% - Accent2 10 2 2 2 4 2 2" xfId="48519" xr:uid="{00000000-0005-0000-0000-0000FF0B0000}"/>
    <cellStyle name="20% - Accent2 10 2 2 2 4 3" xfId="35603" xr:uid="{00000000-0005-0000-0000-0000000C0000}"/>
    <cellStyle name="20% - Accent2 10 2 2 2 5" xfId="16187" xr:uid="{00000000-0005-0000-0000-0000010C0000}"/>
    <cellStyle name="20% - Accent2 10 2 2 2 5 2" xfId="42061" xr:uid="{00000000-0005-0000-0000-0000020C0000}"/>
    <cellStyle name="20% - Accent2 10 2 2 2 6" xfId="29113" xr:uid="{00000000-0005-0000-0000-0000030C0000}"/>
    <cellStyle name="20% - Accent2 10 2 2 3" xfId="4050" xr:uid="{00000000-0005-0000-0000-0000040C0000}"/>
    <cellStyle name="20% - Accent2 10 2 2 3 2" xfId="7304" xr:uid="{00000000-0005-0000-0000-0000050C0000}"/>
    <cellStyle name="20% - Accent2 10 2 2 3 2 2" xfId="13763" xr:uid="{00000000-0005-0000-0000-0000060C0000}"/>
    <cellStyle name="20% - Accent2 10 2 2 3 2 2 2" xfId="26680" xr:uid="{00000000-0005-0000-0000-0000070C0000}"/>
    <cellStyle name="20% - Accent2 10 2 2 3 2 2 2 2" xfId="52554" xr:uid="{00000000-0005-0000-0000-0000080C0000}"/>
    <cellStyle name="20% - Accent2 10 2 2 3 2 2 3" xfId="39638" xr:uid="{00000000-0005-0000-0000-0000090C0000}"/>
    <cellStyle name="20% - Accent2 10 2 2 3 2 3" xfId="20222" xr:uid="{00000000-0005-0000-0000-00000A0C0000}"/>
    <cellStyle name="20% - Accent2 10 2 2 3 2 3 2" xfId="46096" xr:uid="{00000000-0005-0000-0000-00000B0C0000}"/>
    <cellStyle name="20% - Accent2 10 2 2 3 2 4" xfId="33180" xr:uid="{00000000-0005-0000-0000-00000C0C0000}"/>
    <cellStyle name="20% - Accent2 10 2 2 3 3" xfId="10535" xr:uid="{00000000-0005-0000-0000-00000D0C0000}"/>
    <cellStyle name="20% - Accent2 10 2 2 3 3 2" xfId="23452" xr:uid="{00000000-0005-0000-0000-00000E0C0000}"/>
    <cellStyle name="20% - Accent2 10 2 2 3 3 2 2" xfId="49326" xr:uid="{00000000-0005-0000-0000-00000F0C0000}"/>
    <cellStyle name="20% - Accent2 10 2 2 3 3 3" xfId="36410" xr:uid="{00000000-0005-0000-0000-0000100C0000}"/>
    <cellStyle name="20% - Accent2 10 2 2 3 4" xfId="16994" xr:uid="{00000000-0005-0000-0000-0000110C0000}"/>
    <cellStyle name="20% - Accent2 10 2 2 3 4 2" xfId="42868" xr:uid="{00000000-0005-0000-0000-0000120C0000}"/>
    <cellStyle name="20% - Accent2 10 2 2 3 5" xfId="29920" xr:uid="{00000000-0005-0000-0000-0000130C0000}"/>
    <cellStyle name="20% - Accent2 10 2 2 4" xfId="5690" xr:uid="{00000000-0005-0000-0000-0000140C0000}"/>
    <cellStyle name="20% - Accent2 10 2 2 4 2" xfId="12149" xr:uid="{00000000-0005-0000-0000-0000150C0000}"/>
    <cellStyle name="20% - Accent2 10 2 2 4 2 2" xfId="25066" xr:uid="{00000000-0005-0000-0000-0000160C0000}"/>
    <cellStyle name="20% - Accent2 10 2 2 4 2 2 2" xfId="50940" xr:uid="{00000000-0005-0000-0000-0000170C0000}"/>
    <cellStyle name="20% - Accent2 10 2 2 4 2 3" xfId="38024" xr:uid="{00000000-0005-0000-0000-0000180C0000}"/>
    <cellStyle name="20% - Accent2 10 2 2 4 3" xfId="18608" xr:uid="{00000000-0005-0000-0000-0000190C0000}"/>
    <cellStyle name="20% - Accent2 10 2 2 4 3 2" xfId="44482" xr:uid="{00000000-0005-0000-0000-00001A0C0000}"/>
    <cellStyle name="20% - Accent2 10 2 2 4 4" xfId="31566" xr:uid="{00000000-0005-0000-0000-00001B0C0000}"/>
    <cellStyle name="20% - Accent2 10 2 2 5" xfId="8921" xr:uid="{00000000-0005-0000-0000-00001C0C0000}"/>
    <cellStyle name="20% - Accent2 10 2 2 5 2" xfId="21838" xr:uid="{00000000-0005-0000-0000-00001D0C0000}"/>
    <cellStyle name="20% - Accent2 10 2 2 5 2 2" xfId="47712" xr:uid="{00000000-0005-0000-0000-00001E0C0000}"/>
    <cellStyle name="20% - Accent2 10 2 2 5 3" xfId="34796" xr:uid="{00000000-0005-0000-0000-00001F0C0000}"/>
    <cellStyle name="20% - Accent2 10 2 2 6" xfId="15380" xr:uid="{00000000-0005-0000-0000-0000200C0000}"/>
    <cellStyle name="20% - Accent2 10 2 2 6 2" xfId="41254" xr:uid="{00000000-0005-0000-0000-0000210C0000}"/>
    <cellStyle name="20% - Accent2 10 2 2 7" xfId="28306" xr:uid="{00000000-0005-0000-0000-0000220C0000}"/>
    <cellStyle name="20% - Accent2 10 2 2 8" xfId="54168" xr:uid="{00000000-0005-0000-0000-0000230C0000}"/>
    <cellStyle name="20% - Accent2 10 2 3" xfId="2819" xr:uid="{00000000-0005-0000-0000-0000240C0000}"/>
    <cellStyle name="20% - Accent2 10 2 3 2" xfId="4476" xr:uid="{00000000-0005-0000-0000-0000250C0000}"/>
    <cellStyle name="20% - Accent2 10 2 3 2 2" xfId="7707" xr:uid="{00000000-0005-0000-0000-0000260C0000}"/>
    <cellStyle name="20% - Accent2 10 2 3 2 2 2" xfId="14166" xr:uid="{00000000-0005-0000-0000-0000270C0000}"/>
    <cellStyle name="20% - Accent2 10 2 3 2 2 2 2" xfId="27083" xr:uid="{00000000-0005-0000-0000-0000280C0000}"/>
    <cellStyle name="20% - Accent2 10 2 3 2 2 2 2 2" xfId="52957" xr:uid="{00000000-0005-0000-0000-0000290C0000}"/>
    <cellStyle name="20% - Accent2 10 2 3 2 2 2 3" xfId="40041" xr:uid="{00000000-0005-0000-0000-00002A0C0000}"/>
    <cellStyle name="20% - Accent2 10 2 3 2 2 3" xfId="20625" xr:uid="{00000000-0005-0000-0000-00002B0C0000}"/>
    <cellStyle name="20% - Accent2 10 2 3 2 2 3 2" xfId="46499" xr:uid="{00000000-0005-0000-0000-00002C0C0000}"/>
    <cellStyle name="20% - Accent2 10 2 3 2 2 4" xfId="33583" xr:uid="{00000000-0005-0000-0000-00002D0C0000}"/>
    <cellStyle name="20% - Accent2 10 2 3 2 3" xfId="10938" xr:uid="{00000000-0005-0000-0000-00002E0C0000}"/>
    <cellStyle name="20% - Accent2 10 2 3 2 3 2" xfId="23855" xr:uid="{00000000-0005-0000-0000-00002F0C0000}"/>
    <cellStyle name="20% - Accent2 10 2 3 2 3 2 2" xfId="49729" xr:uid="{00000000-0005-0000-0000-0000300C0000}"/>
    <cellStyle name="20% - Accent2 10 2 3 2 3 3" xfId="36813" xr:uid="{00000000-0005-0000-0000-0000310C0000}"/>
    <cellStyle name="20% - Accent2 10 2 3 2 4" xfId="17397" xr:uid="{00000000-0005-0000-0000-0000320C0000}"/>
    <cellStyle name="20% - Accent2 10 2 3 2 4 2" xfId="43271" xr:uid="{00000000-0005-0000-0000-0000330C0000}"/>
    <cellStyle name="20% - Accent2 10 2 3 2 5" xfId="30323" xr:uid="{00000000-0005-0000-0000-0000340C0000}"/>
    <cellStyle name="20% - Accent2 10 2 3 3" xfId="6093" xr:uid="{00000000-0005-0000-0000-0000350C0000}"/>
    <cellStyle name="20% - Accent2 10 2 3 3 2" xfId="12552" xr:uid="{00000000-0005-0000-0000-0000360C0000}"/>
    <cellStyle name="20% - Accent2 10 2 3 3 2 2" xfId="25469" xr:uid="{00000000-0005-0000-0000-0000370C0000}"/>
    <cellStyle name="20% - Accent2 10 2 3 3 2 2 2" xfId="51343" xr:uid="{00000000-0005-0000-0000-0000380C0000}"/>
    <cellStyle name="20% - Accent2 10 2 3 3 2 3" xfId="38427" xr:uid="{00000000-0005-0000-0000-0000390C0000}"/>
    <cellStyle name="20% - Accent2 10 2 3 3 3" xfId="19011" xr:uid="{00000000-0005-0000-0000-00003A0C0000}"/>
    <cellStyle name="20% - Accent2 10 2 3 3 3 2" xfId="44885" xr:uid="{00000000-0005-0000-0000-00003B0C0000}"/>
    <cellStyle name="20% - Accent2 10 2 3 3 4" xfId="31969" xr:uid="{00000000-0005-0000-0000-00003C0C0000}"/>
    <cellStyle name="20% - Accent2 10 2 3 4" xfId="9324" xr:uid="{00000000-0005-0000-0000-00003D0C0000}"/>
    <cellStyle name="20% - Accent2 10 2 3 4 2" xfId="22241" xr:uid="{00000000-0005-0000-0000-00003E0C0000}"/>
    <cellStyle name="20% - Accent2 10 2 3 4 2 2" xfId="48115" xr:uid="{00000000-0005-0000-0000-00003F0C0000}"/>
    <cellStyle name="20% - Accent2 10 2 3 4 3" xfId="35199" xr:uid="{00000000-0005-0000-0000-0000400C0000}"/>
    <cellStyle name="20% - Accent2 10 2 3 5" xfId="15783" xr:uid="{00000000-0005-0000-0000-0000410C0000}"/>
    <cellStyle name="20% - Accent2 10 2 3 5 2" xfId="41657" xr:uid="{00000000-0005-0000-0000-0000420C0000}"/>
    <cellStyle name="20% - Accent2 10 2 3 6" xfId="28709" xr:uid="{00000000-0005-0000-0000-0000430C0000}"/>
    <cellStyle name="20% - Accent2 10 2 4" xfId="3646" xr:uid="{00000000-0005-0000-0000-0000440C0000}"/>
    <cellStyle name="20% - Accent2 10 2 4 2" xfId="6900" xr:uid="{00000000-0005-0000-0000-0000450C0000}"/>
    <cellStyle name="20% - Accent2 10 2 4 2 2" xfId="13359" xr:uid="{00000000-0005-0000-0000-0000460C0000}"/>
    <cellStyle name="20% - Accent2 10 2 4 2 2 2" xfId="26276" xr:uid="{00000000-0005-0000-0000-0000470C0000}"/>
    <cellStyle name="20% - Accent2 10 2 4 2 2 2 2" xfId="52150" xr:uid="{00000000-0005-0000-0000-0000480C0000}"/>
    <cellStyle name="20% - Accent2 10 2 4 2 2 3" xfId="39234" xr:uid="{00000000-0005-0000-0000-0000490C0000}"/>
    <cellStyle name="20% - Accent2 10 2 4 2 3" xfId="19818" xr:uid="{00000000-0005-0000-0000-00004A0C0000}"/>
    <cellStyle name="20% - Accent2 10 2 4 2 3 2" xfId="45692" xr:uid="{00000000-0005-0000-0000-00004B0C0000}"/>
    <cellStyle name="20% - Accent2 10 2 4 2 4" xfId="32776" xr:uid="{00000000-0005-0000-0000-00004C0C0000}"/>
    <cellStyle name="20% - Accent2 10 2 4 3" xfId="10131" xr:uid="{00000000-0005-0000-0000-00004D0C0000}"/>
    <cellStyle name="20% - Accent2 10 2 4 3 2" xfId="23048" xr:uid="{00000000-0005-0000-0000-00004E0C0000}"/>
    <cellStyle name="20% - Accent2 10 2 4 3 2 2" xfId="48922" xr:uid="{00000000-0005-0000-0000-00004F0C0000}"/>
    <cellStyle name="20% - Accent2 10 2 4 3 3" xfId="36006" xr:uid="{00000000-0005-0000-0000-0000500C0000}"/>
    <cellStyle name="20% - Accent2 10 2 4 4" xfId="16590" xr:uid="{00000000-0005-0000-0000-0000510C0000}"/>
    <cellStyle name="20% - Accent2 10 2 4 4 2" xfId="42464" xr:uid="{00000000-0005-0000-0000-0000520C0000}"/>
    <cellStyle name="20% - Accent2 10 2 4 5" xfId="29516" xr:uid="{00000000-0005-0000-0000-0000530C0000}"/>
    <cellStyle name="20% - Accent2 10 2 5" xfId="5286" xr:uid="{00000000-0005-0000-0000-0000540C0000}"/>
    <cellStyle name="20% - Accent2 10 2 5 2" xfId="11745" xr:uid="{00000000-0005-0000-0000-0000550C0000}"/>
    <cellStyle name="20% - Accent2 10 2 5 2 2" xfId="24662" xr:uid="{00000000-0005-0000-0000-0000560C0000}"/>
    <cellStyle name="20% - Accent2 10 2 5 2 2 2" xfId="50536" xr:uid="{00000000-0005-0000-0000-0000570C0000}"/>
    <cellStyle name="20% - Accent2 10 2 5 2 3" xfId="37620" xr:uid="{00000000-0005-0000-0000-0000580C0000}"/>
    <cellStyle name="20% - Accent2 10 2 5 3" xfId="18204" xr:uid="{00000000-0005-0000-0000-0000590C0000}"/>
    <cellStyle name="20% - Accent2 10 2 5 3 2" xfId="44078" xr:uid="{00000000-0005-0000-0000-00005A0C0000}"/>
    <cellStyle name="20% - Accent2 10 2 5 4" xfId="31162" xr:uid="{00000000-0005-0000-0000-00005B0C0000}"/>
    <cellStyle name="20% - Accent2 10 2 6" xfId="8517" xr:uid="{00000000-0005-0000-0000-00005C0C0000}"/>
    <cellStyle name="20% - Accent2 10 2 6 2" xfId="21434" xr:uid="{00000000-0005-0000-0000-00005D0C0000}"/>
    <cellStyle name="20% - Accent2 10 2 6 2 2" xfId="47308" xr:uid="{00000000-0005-0000-0000-00005E0C0000}"/>
    <cellStyle name="20% - Accent2 10 2 6 3" xfId="34392" xr:uid="{00000000-0005-0000-0000-00005F0C0000}"/>
    <cellStyle name="20% - Accent2 10 2 7" xfId="14976" xr:uid="{00000000-0005-0000-0000-0000600C0000}"/>
    <cellStyle name="20% - Accent2 10 2 7 2" xfId="40850" xr:uid="{00000000-0005-0000-0000-0000610C0000}"/>
    <cellStyle name="20% - Accent2 10 2 8" xfId="27901" xr:uid="{00000000-0005-0000-0000-0000620C0000}"/>
    <cellStyle name="20% - Accent2 10 2 9" xfId="53764" xr:uid="{00000000-0005-0000-0000-0000630C0000}"/>
    <cellStyle name="20% - Accent2 10 3" xfId="2214" xr:uid="{00000000-0005-0000-0000-0000640C0000}"/>
    <cellStyle name="20% - Accent2 10 3 2" xfId="3028" xr:uid="{00000000-0005-0000-0000-0000650C0000}"/>
    <cellStyle name="20% - Accent2 10 3 2 2" xfId="4685" xr:uid="{00000000-0005-0000-0000-0000660C0000}"/>
    <cellStyle name="20% - Accent2 10 3 2 2 2" xfId="7916" xr:uid="{00000000-0005-0000-0000-0000670C0000}"/>
    <cellStyle name="20% - Accent2 10 3 2 2 2 2" xfId="14375" xr:uid="{00000000-0005-0000-0000-0000680C0000}"/>
    <cellStyle name="20% - Accent2 10 3 2 2 2 2 2" xfId="27292" xr:uid="{00000000-0005-0000-0000-0000690C0000}"/>
    <cellStyle name="20% - Accent2 10 3 2 2 2 2 2 2" xfId="53166" xr:uid="{00000000-0005-0000-0000-00006A0C0000}"/>
    <cellStyle name="20% - Accent2 10 3 2 2 2 2 3" xfId="40250" xr:uid="{00000000-0005-0000-0000-00006B0C0000}"/>
    <cellStyle name="20% - Accent2 10 3 2 2 2 3" xfId="20834" xr:uid="{00000000-0005-0000-0000-00006C0C0000}"/>
    <cellStyle name="20% - Accent2 10 3 2 2 2 3 2" xfId="46708" xr:uid="{00000000-0005-0000-0000-00006D0C0000}"/>
    <cellStyle name="20% - Accent2 10 3 2 2 2 4" xfId="33792" xr:uid="{00000000-0005-0000-0000-00006E0C0000}"/>
    <cellStyle name="20% - Accent2 10 3 2 2 3" xfId="11147" xr:uid="{00000000-0005-0000-0000-00006F0C0000}"/>
    <cellStyle name="20% - Accent2 10 3 2 2 3 2" xfId="24064" xr:uid="{00000000-0005-0000-0000-0000700C0000}"/>
    <cellStyle name="20% - Accent2 10 3 2 2 3 2 2" xfId="49938" xr:uid="{00000000-0005-0000-0000-0000710C0000}"/>
    <cellStyle name="20% - Accent2 10 3 2 2 3 3" xfId="37022" xr:uid="{00000000-0005-0000-0000-0000720C0000}"/>
    <cellStyle name="20% - Accent2 10 3 2 2 4" xfId="17606" xr:uid="{00000000-0005-0000-0000-0000730C0000}"/>
    <cellStyle name="20% - Accent2 10 3 2 2 4 2" xfId="43480" xr:uid="{00000000-0005-0000-0000-0000740C0000}"/>
    <cellStyle name="20% - Accent2 10 3 2 2 5" xfId="30532" xr:uid="{00000000-0005-0000-0000-0000750C0000}"/>
    <cellStyle name="20% - Accent2 10 3 2 3" xfId="6302" xr:uid="{00000000-0005-0000-0000-0000760C0000}"/>
    <cellStyle name="20% - Accent2 10 3 2 3 2" xfId="12761" xr:uid="{00000000-0005-0000-0000-0000770C0000}"/>
    <cellStyle name="20% - Accent2 10 3 2 3 2 2" xfId="25678" xr:uid="{00000000-0005-0000-0000-0000780C0000}"/>
    <cellStyle name="20% - Accent2 10 3 2 3 2 2 2" xfId="51552" xr:uid="{00000000-0005-0000-0000-0000790C0000}"/>
    <cellStyle name="20% - Accent2 10 3 2 3 2 3" xfId="38636" xr:uid="{00000000-0005-0000-0000-00007A0C0000}"/>
    <cellStyle name="20% - Accent2 10 3 2 3 3" xfId="19220" xr:uid="{00000000-0005-0000-0000-00007B0C0000}"/>
    <cellStyle name="20% - Accent2 10 3 2 3 3 2" xfId="45094" xr:uid="{00000000-0005-0000-0000-00007C0C0000}"/>
    <cellStyle name="20% - Accent2 10 3 2 3 4" xfId="32178" xr:uid="{00000000-0005-0000-0000-00007D0C0000}"/>
    <cellStyle name="20% - Accent2 10 3 2 4" xfId="9533" xr:uid="{00000000-0005-0000-0000-00007E0C0000}"/>
    <cellStyle name="20% - Accent2 10 3 2 4 2" xfId="22450" xr:uid="{00000000-0005-0000-0000-00007F0C0000}"/>
    <cellStyle name="20% - Accent2 10 3 2 4 2 2" xfId="48324" xr:uid="{00000000-0005-0000-0000-0000800C0000}"/>
    <cellStyle name="20% - Accent2 10 3 2 4 3" xfId="35408" xr:uid="{00000000-0005-0000-0000-0000810C0000}"/>
    <cellStyle name="20% - Accent2 10 3 2 5" xfId="15992" xr:uid="{00000000-0005-0000-0000-0000820C0000}"/>
    <cellStyle name="20% - Accent2 10 3 2 5 2" xfId="41866" xr:uid="{00000000-0005-0000-0000-0000830C0000}"/>
    <cellStyle name="20% - Accent2 10 3 2 6" xfId="28918" xr:uid="{00000000-0005-0000-0000-0000840C0000}"/>
    <cellStyle name="20% - Accent2 10 3 3" xfId="3855" xr:uid="{00000000-0005-0000-0000-0000850C0000}"/>
    <cellStyle name="20% - Accent2 10 3 3 2" xfId="7109" xr:uid="{00000000-0005-0000-0000-0000860C0000}"/>
    <cellStyle name="20% - Accent2 10 3 3 2 2" xfId="13568" xr:uid="{00000000-0005-0000-0000-0000870C0000}"/>
    <cellStyle name="20% - Accent2 10 3 3 2 2 2" xfId="26485" xr:uid="{00000000-0005-0000-0000-0000880C0000}"/>
    <cellStyle name="20% - Accent2 10 3 3 2 2 2 2" xfId="52359" xr:uid="{00000000-0005-0000-0000-0000890C0000}"/>
    <cellStyle name="20% - Accent2 10 3 3 2 2 3" xfId="39443" xr:uid="{00000000-0005-0000-0000-00008A0C0000}"/>
    <cellStyle name="20% - Accent2 10 3 3 2 3" xfId="20027" xr:uid="{00000000-0005-0000-0000-00008B0C0000}"/>
    <cellStyle name="20% - Accent2 10 3 3 2 3 2" xfId="45901" xr:uid="{00000000-0005-0000-0000-00008C0C0000}"/>
    <cellStyle name="20% - Accent2 10 3 3 2 4" xfId="32985" xr:uid="{00000000-0005-0000-0000-00008D0C0000}"/>
    <cellStyle name="20% - Accent2 10 3 3 3" xfId="10340" xr:uid="{00000000-0005-0000-0000-00008E0C0000}"/>
    <cellStyle name="20% - Accent2 10 3 3 3 2" xfId="23257" xr:uid="{00000000-0005-0000-0000-00008F0C0000}"/>
    <cellStyle name="20% - Accent2 10 3 3 3 2 2" xfId="49131" xr:uid="{00000000-0005-0000-0000-0000900C0000}"/>
    <cellStyle name="20% - Accent2 10 3 3 3 3" xfId="36215" xr:uid="{00000000-0005-0000-0000-0000910C0000}"/>
    <cellStyle name="20% - Accent2 10 3 3 4" xfId="16799" xr:uid="{00000000-0005-0000-0000-0000920C0000}"/>
    <cellStyle name="20% - Accent2 10 3 3 4 2" xfId="42673" xr:uid="{00000000-0005-0000-0000-0000930C0000}"/>
    <cellStyle name="20% - Accent2 10 3 3 5" xfId="29725" xr:uid="{00000000-0005-0000-0000-0000940C0000}"/>
    <cellStyle name="20% - Accent2 10 3 4" xfId="5495" xr:uid="{00000000-0005-0000-0000-0000950C0000}"/>
    <cellStyle name="20% - Accent2 10 3 4 2" xfId="11954" xr:uid="{00000000-0005-0000-0000-0000960C0000}"/>
    <cellStyle name="20% - Accent2 10 3 4 2 2" xfId="24871" xr:uid="{00000000-0005-0000-0000-0000970C0000}"/>
    <cellStyle name="20% - Accent2 10 3 4 2 2 2" xfId="50745" xr:uid="{00000000-0005-0000-0000-0000980C0000}"/>
    <cellStyle name="20% - Accent2 10 3 4 2 3" xfId="37829" xr:uid="{00000000-0005-0000-0000-0000990C0000}"/>
    <cellStyle name="20% - Accent2 10 3 4 3" xfId="18413" xr:uid="{00000000-0005-0000-0000-00009A0C0000}"/>
    <cellStyle name="20% - Accent2 10 3 4 3 2" xfId="44287" xr:uid="{00000000-0005-0000-0000-00009B0C0000}"/>
    <cellStyle name="20% - Accent2 10 3 4 4" xfId="31371" xr:uid="{00000000-0005-0000-0000-00009C0C0000}"/>
    <cellStyle name="20% - Accent2 10 3 5" xfId="8726" xr:uid="{00000000-0005-0000-0000-00009D0C0000}"/>
    <cellStyle name="20% - Accent2 10 3 5 2" xfId="21643" xr:uid="{00000000-0005-0000-0000-00009E0C0000}"/>
    <cellStyle name="20% - Accent2 10 3 5 2 2" xfId="47517" xr:uid="{00000000-0005-0000-0000-00009F0C0000}"/>
    <cellStyle name="20% - Accent2 10 3 5 3" xfId="34601" xr:uid="{00000000-0005-0000-0000-0000A00C0000}"/>
    <cellStyle name="20% - Accent2 10 3 6" xfId="15185" xr:uid="{00000000-0005-0000-0000-0000A10C0000}"/>
    <cellStyle name="20% - Accent2 10 3 6 2" xfId="41059" xr:uid="{00000000-0005-0000-0000-0000A20C0000}"/>
    <cellStyle name="20% - Accent2 10 3 7" xfId="28111" xr:uid="{00000000-0005-0000-0000-0000A30C0000}"/>
    <cellStyle name="20% - Accent2 10 3 8" xfId="53973" xr:uid="{00000000-0005-0000-0000-0000A40C0000}"/>
    <cellStyle name="20% - Accent2 10 4" xfId="2625" xr:uid="{00000000-0005-0000-0000-0000A50C0000}"/>
    <cellStyle name="20% - Accent2 10 4 2" xfId="4282" xr:uid="{00000000-0005-0000-0000-0000A60C0000}"/>
    <cellStyle name="20% - Accent2 10 4 2 2" xfId="7513" xr:uid="{00000000-0005-0000-0000-0000A70C0000}"/>
    <cellStyle name="20% - Accent2 10 4 2 2 2" xfId="13972" xr:uid="{00000000-0005-0000-0000-0000A80C0000}"/>
    <cellStyle name="20% - Accent2 10 4 2 2 2 2" xfId="26889" xr:uid="{00000000-0005-0000-0000-0000A90C0000}"/>
    <cellStyle name="20% - Accent2 10 4 2 2 2 2 2" xfId="52763" xr:uid="{00000000-0005-0000-0000-0000AA0C0000}"/>
    <cellStyle name="20% - Accent2 10 4 2 2 2 3" xfId="39847" xr:uid="{00000000-0005-0000-0000-0000AB0C0000}"/>
    <cellStyle name="20% - Accent2 10 4 2 2 3" xfId="20431" xr:uid="{00000000-0005-0000-0000-0000AC0C0000}"/>
    <cellStyle name="20% - Accent2 10 4 2 2 3 2" xfId="46305" xr:uid="{00000000-0005-0000-0000-0000AD0C0000}"/>
    <cellStyle name="20% - Accent2 10 4 2 2 4" xfId="33389" xr:uid="{00000000-0005-0000-0000-0000AE0C0000}"/>
    <cellStyle name="20% - Accent2 10 4 2 3" xfId="10744" xr:uid="{00000000-0005-0000-0000-0000AF0C0000}"/>
    <cellStyle name="20% - Accent2 10 4 2 3 2" xfId="23661" xr:uid="{00000000-0005-0000-0000-0000B00C0000}"/>
    <cellStyle name="20% - Accent2 10 4 2 3 2 2" xfId="49535" xr:uid="{00000000-0005-0000-0000-0000B10C0000}"/>
    <cellStyle name="20% - Accent2 10 4 2 3 3" xfId="36619" xr:uid="{00000000-0005-0000-0000-0000B20C0000}"/>
    <cellStyle name="20% - Accent2 10 4 2 4" xfId="17203" xr:uid="{00000000-0005-0000-0000-0000B30C0000}"/>
    <cellStyle name="20% - Accent2 10 4 2 4 2" xfId="43077" xr:uid="{00000000-0005-0000-0000-0000B40C0000}"/>
    <cellStyle name="20% - Accent2 10 4 2 5" xfId="30129" xr:uid="{00000000-0005-0000-0000-0000B50C0000}"/>
    <cellStyle name="20% - Accent2 10 4 3" xfId="5899" xr:uid="{00000000-0005-0000-0000-0000B60C0000}"/>
    <cellStyle name="20% - Accent2 10 4 3 2" xfId="12358" xr:uid="{00000000-0005-0000-0000-0000B70C0000}"/>
    <cellStyle name="20% - Accent2 10 4 3 2 2" xfId="25275" xr:uid="{00000000-0005-0000-0000-0000B80C0000}"/>
    <cellStyle name="20% - Accent2 10 4 3 2 2 2" xfId="51149" xr:uid="{00000000-0005-0000-0000-0000B90C0000}"/>
    <cellStyle name="20% - Accent2 10 4 3 2 3" xfId="38233" xr:uid="{00000000-0005-0000-0000-0000BA0C0000}"/>
    <cellStyle name="20% - Accent2 10 4 3 3" xfId="18817" xr:uid="{00000000-0005-0000-0000-0000BB0C0000}"/>
    <cellStyle name="20% - Accent2 10 4 3 3 2" xfId="44691" xr:uid="{00000000-0005-0000-0000-0000BC0C0000}"/>
    <cellStyle name="20% - Accent2 10 4 3 4" xfId="31775" xr:uid="{00000000-0005-0000-0000-0000BD0C0000}"/>
    <cellStyle name="20% - Accent2 10 4 4" xfId="9130" xr:uid="{00000000-0005-0000-0000-0000BE0C0000}"/>
    <cellStyle name="20% - Accent2 10 4 4 2" xfId="22047" xr:uid="{00000000-0005-0000-0000-0000BF0C0000}"/>
    <cellStyle name="20% - Accent2 10 4 4 2 2" xfId="47921" xr:uid="{00000000-0005-0000-0000-0000C00C0000}"/>
    <cellStyle name="20% - Accent2 10 4 4 3" xfId="35005" xr:uid="{00000000-0005-0000-0000-0000C10C0000}"/>
    <cellStyle name="20% - Accent2 10 4 5" xfId="15589" xr:uid="{00000000-0005-0000-0000-0000C20C0000}"/>
    <cellStyle name="20% - Accent2 10 4 5 2" xfId="41463" xr:uid="{00000000-0005-0000-0000-0000C30C0000}"/>
    <cellStyle name="20% - Accent2 10 4 6" xfId="28515" xr:uid="{00000000-0005-0000-0000-0000C40C0000}"/>
    <cellStyle name="20% - Accent2 10 5" xfId="3452" xr:uid="{00000000-0005-0000-0000-0000C50C0000}"/>
    <cellStyle name="20% - Accent2 10 5 2" xfId="6706" xr:uid="{00000000-0005-0000-0000-0000C60C0000}"/>
    <cellStyle name="20% - Accent2 10 5 2 2" xfId="13165" xr:uid="{00000000-0005-0000-0000-0000C70C0000}"/>
    <cellStyle name="20% - Accent2 10 5 2 2 2" xfId="26082" xr:uid="{00000000-0005-0000-0000-0000C80C0000}"/>
    <cellStyle name="20% - Accent2 10 5 2 2 2 2" xfId="51956" xr:uid="{00000000-0005-0000-0000-0000C90C0000}"/>
    <cellStyle name="20% - Accent2 10 5 2 2 3" xfId="39040" xr:uid="{00000000-0005-0000-0000-0000CA0C0000}"/>
    <cellStyle name="20% - Accent2 10 5 2 3" xfId="19624" xr:uid="{00000000-0005-0000-0000-0000CB0C0000}"/>
    <cellStyle name="20% - Accent2 10 5 2 3 2" xfId="45498" xr:uid="{00000000-0005-0000-0000-0000CC0C0000}"/>
    <cellStyle name="20% - Accent2 10 5 2 4" xfId="32582" xr:uid="{00000000-0005-0000-0000-0000CD0C0000}"/>
    <cellStyle name="20% - Accent2 10 5 3" xfId="9937" xr:uid="{00000000-0005-0000-0000-0000CE0C0000}"/>
    <cellStyle name="20% - Accent2 10 5 3 2" xfId="22854" xr:uid="{00000000-0005-0000-0000-0000CF0C0000}"/>
    <cellStyle name="20% - Accent2 10 5 3 2 2" xfId="48728" xr:uid="{00000000-0005-0000-0000-0000D00C0000}"/>
    <cellStyle name="20% - Accent2 10 5 3 3" xfId="35812" xr:uid="{00000000-0005-0000-0000-0000D10C0000}"/>
    <cellStyle name="20% - Accent2 10 5 4" xfId="16396" xr:uid="{00000000-0005-0000-0000-0000D20C0000}"/>
    <cellStyle name="20% - Accent2 10 5 4 2" xfId="42270" xr:uid="{00000000-0005-0000-0000-0000D30C0000}"/>
    <cellStyle name="20% - Accent2 10 5 5" xfId="29322" xr:uid="{00000000-0005-0000-0000-0000D40C0000}"/>
    <cellStyle name="20% - Accent2 10 6" xfId="5092" xr:uid="{00000000-0005-0000-0000-0000D50C0000}"/>
    <cellStyle name="20% - Accent2 10 6 2" xfId="11551" xr:uid="{00000000-0005-0000-0000-0000D60C0000}"/>
    <cellStyle name="20% - Accent2 10 6 2 2" xfId="24468" xr:uid="{00000000-0005-0000-0000-0000D70C0000}"/>
    <cellStyle name="20% - Accent2 10 6 2 2 2" xfId="50342" xr:uid="{00000000-0005-0000-0000-0000D80C0000}"/>
    <cellStyle name="20% - Accent2 10 6 2 3" xfId="37426" xr:uid="{00000000-0005-0000-0000-0000D90C0000}"/>
    <cellStyle name="20% - Accent2 10 6 3" xfId="18010" xr:uid="{00000000-0005-0000-0000-0000DA0C0000}"/>
    <cellStyle name="20% - Accent2 10 6 3 2" xfId="43884" xr:uid="{00000000-0005-0000-0000-0000DB0C0000}"/>
    <cellStyle name="20% - Accent2 10 6 4" xfId="30968" xr:uid="{00000000-0005-0000-0000-0000DC0C0000}"/>
    <cellStyle name="20% - Accent2 10 7" xfId="8322" xr:uid="{00000000-0005-0000-0000-0000DD0C0000}"/>
    <cellStyle name="20% - Accent2 10 7 2" xfId="21239" xr:uid="{00000000-0005-0000-0000-0000DE0C0000}"/>
    <cellStyle name="20% - Accent2 10 7 2 2" xfId="47113" xr:uid="{00000000-0005-0000-0000-0000DF0C0000}"/>
    <cellStyle name="20% - Accent2 10 7 3" xfId="34197" xr:uid="{00000000-0005-0000-0000-0000E00C0000}"/>
    <cellStyle name="20% - Accent2 10 8" xfId="14781" xr:uid="{00000000-0005-0000-0000-0000E10C0000}"/>
    <cellStyle name="20% - Accent2 10 8 2" xfId="40655" xr:uid="{00000000-0005-0000-0000-0000E20C0000}"/>
    <cellStyle name="20% - Accent2 10 9" xfId="27705" xr:uid="{00000000-0005-0000-0000-0000E30C0000}"/>
    <cellStyle name="20% - Accent2 11" xfId="1759" xr:uid="{00000000-0005-0000-0000-0000E40C0000}"/>
    <cellStyle name="20% - Accent2 11 2" xfId="2253" xr:uid="{00000000-0005-0000-0000-0000E50C0000}"/>
    <cellStyle name="20% - Accent2 11 2 2" xfId="3067" xr:uid="{00000000-0005-0000-0000-0000E60C0000}"/>
    <cellStyle name="20% - Accent2 11 2 2 2" xfId="4724" xr:uid="{00000000-0005-0000-0000-0000E70C0000}"/>
    <cellStyle name="20% - Accent2 11 2 2 2 2" xfId="7955" xr:uid="{00000000-0005-0000-0000-0000E80C0000}"/>
    <cellStyle name="20% - Accent2 11 2 2 2 2 2" xfId="14414" xr:uid="{00000000-0005-0000-0000-0000E90C0000}"/>
    <cellStyle name="20% - Accent2 11 2 2 2 2 2 2" xfId="27331" xr:uid="{00000000-0005-0000-0000-0000EA0C0000}"/>
    <cellStyle name="20% - Accent2 11 2 2 2 2 2 2 2" xfId="53205" xr:uid="{00000000-0005-0000-0000-0000EB0C0000}"/>
    <cellStyle name="20% - Accent2 11 2 2 2 2 2 3" xfId="40289" xr:uid="{00000000-0005-0000-0000-0000EC0C0000}"/>
    <cellStyle name="20% - Accent2 11 2 2 2 2 3" xfId="20873" xr:uid="{00000000-0005-0000-0000-0000ED0C0000}"/>
    <cellStyle name="20% - Accent2 11 2 2 2 2 3 2" xfId="46747" xr:uid="{00000000-0005-0000-0000-0000EE0C0000}"/>
    <cellStyle name="20% - Accent2 11 2 2 2 2 4" xfId="33831" xr:uid="{00000000-0005-0000-0000-0000EF0C0000}"/>
    <cellStyle name="20% - Accent2 11 2 2 2 3" xfId="11186" xr:uid="{00000000-0005-0000-0000-0000F00C0000}"/>
    <cellStyle name="20% - Accent2 11 2 2 2 3 2" xfId="24103" xr:uid="{00000000-0005-0000-0000-0000F10C0000}"/>
    <cellStyle name="20% - Accent2 11 2 2 2 3 2 2" xfId="49977" xr:uid="{00000000-0005-0000-0000-0000F20C0000}"/>
    <cellStyle name="20% - Accent2 11 2 2 2 3 3" xfId="37061" xr:uid="{00000000-0005-0000-0000-0000F30C0000}"/>
    <cellStyle name="20% - Accent2 11 2 2 2 4" xfId="17645" xr:uid="{00000000-0005-0000-0000-0000F40C0000}"/>
    <cellStyle name="20% - Accent2 11 2 2 2 4 2" xfId="43519" xr:uid="{00000000-0005-0000-0000-0000F50C0000}"/>
    <cellStyle name="20% - Accent2 11 2 2 2 5" xfId="30571" xr:uid="{00000000-0005-0000-0000-0000F60C0000}"/>
    <cellStyle name="20% - Accent2 11 2 2 3" xfId="6341" xr:uid="{00000000-0005-0000-0000-0000F70C0000}"/>
    <cellStyle name="20% - Accent2 11 2 2 3 2" xfId="12800" xr:uid="{00000000-0005-0000-0000-0000F80C0000}"/>
    <cellStyle name="20% - Accent2 11 2 2 3 2 2" xfId="25717" xr:uid="{00000000-0005-0000-0000-0000F90C0000}"/>
    <cellStyle name="20% - Accent2 11 2 2 3 2 2 2" xfId="51591" xr:uid="{00000000-0005-0000-0000-0000FA0C0000}"/>
    <cellStyle name="20% - Accent2 11 2 2 3 2 3" xfId="38675" xr:uid="{00000000-0005-0000-0000-0000FB0C0000}"/>
    <cellStyle name="20% - Accent2 11 2 2 3 3" xfId="19259" xr:uid="{00000000-0005-0000-0000-0000FC0C0000}"/>
    <cellStyle name="20% - Accent2 11 2 2 3 3 2" xfId="45133" xr:uid="{00000000-0005-0000-0000-0000FD0C0000}"/>
    <cellStyle name="20% - Accent2 11 2 2 3 4" xfId="32217" xr:uid="{00000000-0005-0000-0000-0000FE0C0000}"/>
    <cellStyle name="20% - Accent2 11 2 2 4" xfId="9572" xr:uid="{00000000-0005-0000-0000-0000FF0C0000}"/>
    <cellStyle name="20% - Accent2 11 2 2 4 2" xfId="22489" xr:uid="{00000000-0005-0000-0000-0000000D0000}"/>
    <cellStyle name="20% - Accent2 11 2 2 4 2 2" xfId="48363" xr:uid="{00000000-0005-0000-0000-0000010D0000}"/>
    <cellStyle name="20% - Accent2 11 2 2 4 3" xfId="35447" xr:uid="{00000000-0005-0000-0000-0000020D0000}"/>
    <cellStyle name="20% - Accent2 11 2 2 5" xfId="16031" xr:uid="{00000000-0005-0000-0000-0000030D0000}"/>
    <cellStyle name="20% - Accent2 11 2 2 5 2" xfId="41905" xr:uid="{00000000-0005-0000-0000-0000040D0000}"/>
    <cellStyle name="20% - Accent2 11 2 2 6" xfId="28957" xr:uid="{00000000-0005-0000-0000-0000050D0000}"/>
    <cellStyle name="20% - Accent2 11 2 3" xfId="3894" xr:uid="{00000000-0005-0000-0000-0000060D0000}"/>
    <cellStyle name="20% - Accent2 11 2 3 2" xfId="7148" xr:uid="{00000000-0005-0000-0000-0000070D0000}"/>
    <cellStyle name="20% - Accent2 11 2 3 2 2" xfId="13607" xr:uid="{00000000-0005-0000-0000-0000080D0000}"/>
    <cellStyle name="20% - Accent2 11 2 3 2 2 2" xfId="26524" xr:uid="{00000000-0005-0000-0000-0000090D0000}"/>
    <cellStyle name="20% - Accent2 11 2 3 2 2 2 2" xfId="52398" xr:uid="{00000000-0005-0000-0000-00000A0D0000}"/>
    <cellStyle name="20% - Accent2 11 2 3 2 2 3" xfId="39482" xr:uid="{00000000-0005-0000-0000-00000B0D0000}"/>
    <cellStyle name="20% - Accent2 11 2 3 2 3" xfId="20066" xr:uid="{00000000-0005-0000-0000-00000C0D0000}"/>
    <cellStyle name="20% - Accent2 11 2 3 2 3 2" xfId="45940" xr:uid="{00000000-0005-0000-0000-00000D0D0000}"/>
    <cellStyle name="20% - Accent2 11 2 3 2 4" xfId="33024" xr:uid="{00000000-0005-0000-0000-00000E0D0000}"/>
    <cellStyle name="20% - Accent2 11 2 3 3" xfId="10379" xr:uid="{00000000-0005-0000-0000-00000F0D0000}"/>
    <cellStyle name="20% - Accent2 11 2 3 3 2" xfId="23296" xr:uid="{00000000-0005-0000-0000-0000100D0000}"/>
    <cellStyle name="20% - Accent2 11 2 3 3 2 2" xfId="49170" xr:uid="{00000000-0005-0000-0000-0000110D0000}"/>
    <cellStyle name="20% - Accent2 11 2 3 3 3" xfId="36254" xr:uid="{00000000-0005-0000-0000-0000120D0000}"/>
    <cellStyle name="20% - Accent2 11 2 3 4" xfId="16838" xr:uid="{00000000-0005-0000-0000-0000130D0000}"/>
    <cellStyle name="20% - Accent2 11 2 3 4 2" xfId="42712" xr:uid="{00000000-0005-0000-0000-0000140D0000}"/>
    <cellStyle name="20% - Accent2 11 2 3 5" xfId="29764" xr:uid="{00000000-0005-0000-0000-0000150D0000}"/>
    <cellStyle name="20% - Accent2 11 2 4" xfId="5534" xr:uid="{00000000-0005-0000-0000-0000160D0000}"/>
    <cellStyle name="20% - Accent2 11 2 4 2" xfId="11993" xr:uid="{00000000-0005-0000-0000-0000170D0000}"/>
    <cellStyle name="20% - Accent2 11 2 4 2 2" xfId="24910" xr:uid="{00000000-0005-0000-0000-0000180D0000}"/>
    <cellStyle name="20% - Accent2 11 2 4 2 2 2" xfId="50784" xr:uid="{00000000-0005-0000-0000-0000190D0000}"/>
    <cellStyle name="20% - Accent2 11 2 4 2 3" xfId="37868" xr:uid="{00000000-0005-0000-0000-00001A0D0000}"/>
    <cellStyle name="20% - Accent2 11 2 4 3" xfId="18452" xr:uid="{00000000-0005-0000-0000-00001B0D0000}"/>
    <cellStyle name="20% - Accent2 11 2 4 3 2" xfId="44326" xr:uid="{00000000-0005-0000-0000-00001C0D0000}"/>
    <cellStyle name="20% - Accent2 11 2 4 4" xfId="31410" xr:uid="{00000000-0005-0000-0000-00001D0D0000}"/>
    <cellStyle name="20% - Accent2 11 2 5" xfId="8765" xr:uid="{00000000-0005-0000-0000-00001E0D0000}"/>
    <cellStyle name="20% - Accent2 11 2 5 2" xfId="21682" xr:uid="{00000000-0005-0000-0000-00001F0D0000}"/>
    <cellStyle name="20% - Accent2 11 2 5 2 2" xfId="47556" xr:uid="{00000000-0005-0000-0000-0000200D0000}"/>
    <cellStyle name="20% - Accent2 11 2 5 3" xfId="34640" xr:uid="{00000000-0005-0000-0000-0000210D0000}"/>
    <cellStyle name="20% - Accent2 11 2 6" xfId="15224" xr:uid="{00000000-0005-0000-0000-0000220D0000}"/>
    <cellStyle name="20% - Accent2 11 2 6 2" xfId="41098" xr:uid="{00000000-0005-0000-0000-0000230D0000}"/>
    <cellStyle name="20% - Accent2 11 2 7" xfId="28150" xr:uid="{00000000-0005-0000-0000-0000240D0000}"/>
    <cellStyle name="20% - Accent2 11 2 8" xfId="54012" xr:uid="{00000000-0005-0000-0000-0000250D0000}"/>
    <cellStyle name="20% - Accent2 11 3" xfId="2664" xr:uid="{00000000-0005-0000-0000-0000260D0000}"/>
    <cellStyle name="20% - Accent2 11 3 2" xfId="4321" xr:uid="{00000000-0005-0000-0000-0000270D0000}"/>
    <cellStyle name="20% - Accent2 11 3 2 2" xfId="7552" xr:uid="{00000000-0005-0000-0000-0000280D0000}"/>
    <cellStyle name="20% - Accent2 11 3 2 2 2" xfId="14011" xr:uid="{00000000-0005-0000-0000-0000290D0000}"/>
    <cellStyle name="20% - Accent2 11 3 2 2 2 2" xfId="26928" xr:uid="{00000000-0005-0000-0000-00002A0D0000}"/>
    <cellStyle name="20% - Accent2 11 3 2 2 2 2 2" xfId="52802" xr:uid="{00000000-0005-0000-0000-00002B0D0000}"/>
    <cellStyle name="20% - Accent2 11 3 2 2 2 3" xfId="39886" xr:uid="{00000000-0005-0000-0000-00002C0D0000}"/>
    <cellStyle name="20% - Accent2 11 3 2 2 3" xfId="20470" xr:uid="{00000000-0005-0000-0000-00002D0D0000}"/>
    <cellStyle name="20% - Accent2 11 3 2 2 3 2" xfId="46344" xr:uid="{00000000-0005-0000-0000-00002E0D0000}"/>
    <cellStyle name="20% - Accent2 11 3 2 2 4" xfId="33428" xr:uid="{00000000-0005-0000-0000-00002F0D0000}"/>
    <cellStyle name="20% - Accent2 11 3 2 3" xfId="10783" xr:uid="{00000000-0005-0000-0000-0000300D0000}"/>
    <cellStyle name="20% - Accent2 11 3 2 3 2" xfId="23700" xr:uid="{00000000-0005-0000-0000-0000310D0000}"/>
    <cellStyle name="20% - Accent2 11 3 2 3 2 2" xfId="49574" xr:uid="{00000000-0005-0000-0000-0000320D0000}"/>
    <cellStyle name="20% - Accent2 11 3 2 3 3" xfId="36658" xr:uid="{00000000-0005-0000-0000-0000330D0000}"/>
    <cellStyle name="20% - Accent2 11 3 2 4" xfId="17242" xr:uid="{00000000-0005-0000-0000-0000340D0000}"/>
    <cellStyle name="20% - Accent2 11 3 2 4 2" xfId="43116" xr:uid="{00000000-0005-0000-0000-0000350D0000}"/>
    <cellStyle name="20% - Accent2 11 3 2 5" xfId="30168" xr:uid="{00000000-0005-0000-0000-0000360D0000}"/>
    <cellStyle name="20% - Accent2 11 3 3" xfId="5938" xr:uid="{00000000-0005-0000-0000-0000370D0000}"/>
    <cellStyle name="20% - Accent2 11 3 3 2" xfId="12397" xr:uid="{00000000-0005-0000-0000-0000380D0000}"/>
    <cellStyle name="20% - Accent2 11 3 3 2 2" xfId="25314" xr:uid="{00000000-0005-0000-0000-0000390D0000}"/>
    <cellStyle name="20% - Accent2 11 3 3 2 2 2" xfId="51188" xr:uid="{00000000-0005-0000-0000-00003A0D0000}"/>
    <cellStyle name="20% - Accent2 11 3 3 2 3" xfId="38272" xr:uid="{00000000-0005-0000-0000-00003B0D0000}"/>
    <cellStyle name="20% - Accent2 11 3 3 3" xfId="18856" xr:uid="{00000000-0005-0000-0000-00003C0D0000}"/>
    <cellStyle name="20% - Accent2 11 3 3 3 2" xfId="44730" xr:uid="{00000000-0005-0000-0000-00003D0D0000}"/>
    <cellStyle name="20% - Accent2 11 3 3 4" xfId="31814" xr:uid="{00000000-0005-0000-0000-00003E0D0000}"/>
    <cellStyle name="20% - Accent2 11 3 4" xfId="9169" xr:uid="{00000000-0005-0000-0000-00003F0D0000}"/>
    <cellStyle name="20% - Accent2 11 3 4 2" xfId="22086" xr:uid="{00000000-0005-0000-0000-0000400D0000}"/>
    <cellStyle name="20% - Accent2 11 3 4 2 2" xfId="47960" xr:uid="{00000000-0005-0000-0000-0000410D0000}"/>
    <cellStyle name="20% - Accent2 11 3 4 3" xfId="35044" xr:uid="{00000000-0005-0000-0000-0000420D0000}"/>
    <cellStyle name="20% - Accent2 11 3 5" xfId="15628" xr:uid="{00000000-0005-0000-0000-0000430D0000}"/>
    <cellStyle name="20% - Accent2 11 3 5 2" xfId="41502" xr:uid="{00000000-0005-0000-0000-0000440D0000}"/>
    <cellStyle name="20% - Accent2 11 3 6" xfId="28554" xr:uid="{00000000-0005-0000-0000-0000450D0000}"/>
    <cellStyle name="20% - Accent2 11 4" xfId="3491" xr:uid="{00000000-0005-0000-0000-0000460D0000}"/>
    <cellStyle name="20% - Accent2 11 4 2" xfId="6745" xr:uid="{00000000-0005-0000-0000-0000470D0000}"/>
    <cellStyle name="20% - Accent2 11 4 2 2" xfId="13204" xr:uid="{00000000-0005-0000-0000-0000480D0000}"/>
    <cellStyle name="20% - Accent2 11 4 2 2 2" xfId="26121" xr:uid="{00000000-0005-0000-0000-0000490D0000}"/>
    <cellStyle name="20% - Accent2 11 4 2 2 2 2" xfId="51995" xr:uid="{00000000-0005-0000-0000-00004A0D0000}"/>
    <cellStyle name="20% - Accent2 11 4 2 2 3" xfId="39079" xr:uid="{00000000-0005-0000-0000-00004B0D0000}"/>
    <cellStyle name="20% - Accent2 11 4 2 3" xfId="19663" xr:uid="{00000000-0005-0000-0000-00004C0D0000}"/>
    <cellStyle name="20% - Accent2 11 4 2 3 2" xfId="45537" xr:uid="{00000000-0005-0000-0000-00004D0D0000}"/>
    <cellStyle name="20% - Accent2 11 4 2 4" xfId="32621" xr:uid="{00000000-0005-0000-0000-00004E0D0000}"/>
    <cellStyle name="20% - Accent2 11 4 3" xfId="9976" xr:uid="{00000000-0005-0000-0000-00004F0D0000}"/>
    <cellStyle name="20% - Accent2 11 4 3 2" xfId="22893" xr:uid="{00000000-0005-0000-0000-0000500D0000}"/>
    <cellStyle name="20% - Accent2 11 4 3 2 2" xfId="48767" xr:uid="{00000000-0005-0000-0000-0000510D0000}"/>
    <cellStyle name="20% - Accent2 11 4 3 3" xfId="35851" xr:uid="{00000000-0005-0000-0000-0000520D0000}"/>
    <cellStyle name="20% - Accent2 11 4 4" xfId="16435" xr:uid="{00000000-0005-0000-0000-0000530D0000}"/>
    <cellStyle name="20% - Accent2 11 4 4 2" xfId="42309" xr:uid="{00000000-0005-0000-0000-0000540D0000}"/>
    <cellStyle name="20% - Accent2 11 4 5" xfId="29361" xr:uid="{00000000-0005-0000-0000-0000550D0000}"/>
    <cellStyle name="20% - Accent2 11 5" xfId="5131" xr:uid="{00000000-0005-0000-0000-0000560D0000}"/>
    <cellStyle name="20% - Accent2 11 5 2" xfId="11590" xr:uid="{00000000-0005-0000-0000-0000570D0000}"/>
    <cellStyle name="20% - Accent2 11 5 2 2" xfId="24507" xr:uid="{00000000-0005-0000-0000-0000580D0000}"/>
    <cellStyle name="20% - Accent2 11 5 2 2 2" xfId="50381" xr:uid="{00000000-0005-0000-0000-0000590D0000}"/>
    <cellStyle name="20% - Accent2 11 5 2 3" xfId="37465" xr:uid="{00000000-0005-0000-0000-00005A0D0000}"/>
    <cellStyle name="20% - Accent2 11 5 3" xfId="18049" xr:uid="{00000000-0005-0000-0000-00005B0D0000}"/>
    <cellStyle name="20% - Accent2 11 5 3 2" xfId="43923" xr:uid="{00000000-0005-0000-0000-00005C0D0000}"/>
    <cellStyle name="20% - Accent2 11 5 4" xfId="31007" xr:uid="{00000000-0005-0000-0000-00005D0D0000}"/>
    <cellStyle name="20% - Accent2 11 6" xfId="8361" xr:uid="{00000000-0005-0000-0000-00005E0D0000}"/>
    <cellStyle name="20% - Accent2 11 6 2" xfId="21278" xr:uid="{00000000-0005-0000-0000-00005F0D0000}"/>
    <cellStyle name="20% - Accent2 11 6 2 2" xfId="47152" xr:uid="{00000000-0005-0000-0000-0000600D0000}"/>
    <cellStyle name="20% - Accent2 11 6 3" xfId="34236" xr:uid="{00000000-0005-0000-0000-0000610D0000}"/>
    <cellStyle name="20% - Accent2 11 7" xfId="14820" xr:uid="{00000000-0005-0000-0000-0000620D0000}"/>
    <cellStyle name="20% - Accent2 11 7 2" xfId="40694" xr:uid="{00000000-0005-0000-0000-0000630D0000}"/>
    <cellStyle name="20% - Accent2 11 8" xfId="27746" xr:uid="{00000000-0005-0000-0000-0000640D0000}"/>
    <cellStyle name="20% - Accent2 11 9" xfId="53609" xr:uid="{00000000-0005-0000-0000-0000650D0000}"/>
    <cellStyle name="20% - Accent2 12" xfId="2040" xr:uid="{00000000-0005-0000-0000-0000660D0000}"/>
    <cellStyle name="20% - Accent2 12 2" xfId="2449" xr:uid="{00000000-0005-0000-0000-0000670D0000}"/>
    <cellStyle name="20% - Accent2 12 2 2" xfId="3262" xr:uid="{00000000-0005-0000-0000-0000680D0000}"/>
    <cellStyle name="20% - Accent2 12 2 2 2" xfId="4919" xr:uid="{00000000-0005-0000-0000-0000690D0000}"/>
    <cellStyle name="20% - Accent2 12 2 2 2 2" xfId="8150" xr:uid="{00000000-0005-0000-0000-00006A0D0000}"/>
    <cellStyle name="20% - Accent2 12 2 2 2 2 2" xfId="14609" xr:uid="{00000000-0005-0000-0000-00006B0D0000}"/>
    <cellStyle name="20% - Accent2 12 2 2 2 2 2 2" xfId="27526" xr:uid="{00000000-0005-0000-0000-00006C0D0000}"/>
    <cellStyle name="20% - Accent2 12 2 2 2 2 2 2 2" xfId="53400" xr:uid="{00000000-0005-0000-0000-00006D0D0000}"/>
    <cellStyle name="20% - Accent2 12 2 2 2 2 2 3" xfId="40484" xr:uid="{00000000-0005-0000-0000-00006E0D0000}"/>
    <cellStyle name="20% - Accent2 12 2 2 2 2 3" xfId="21068" xr:uid="{00000000-0005-0000-0000-00006F0D0000}"/>
    <cellStyle name="20% - Accent2 12 2 2 2 2 3 2" xfId="46942" xr:uid="{00000000-0005-0000-0000-0000700D0000}"/>
    <cellStyle name="20% - Accent2 12 2 2 2 2 4" xfId="34026" xr:uid="{00000000-0005-0000-0000-0000710D0000}"/>
    <cellStyle name="20% - Accent2 12 2 2 2 3" xfId="11381" xr:uid="{00000000-0005-0000-0000-0000720D0000}"/>
    <cellStyle name="20% - Accent2 12 2 2 2 3 2" xfId="24298" xr:uid="{00000000-0005-0000-0000-0000730D0000}"/>
    <cellStyle name="20% - Accent2 12 2 2 2 3 2 2" xfId="50172" xr:uid="{00000000-0005-0000-0000-0000740D0000}"/>
    <cellStyle name="20% - Accent2 12 2 2 2 3 3" xfId="37256" xr:uid="{00000000-0005-0000-0000-0000750D0000}"/>
    <cellStyle name="20% - Accent2 12 2 2 2 4" xfId="17840" xr:uid="{00000000-0005-0000-0000-0000760D0000}"/>
    <cellStyle name="20% - Accent2 12 2 2 2 4 2" xfId="43714" xr:uid="{00000000-0005-0000-0000-0000770D0000}"/>
    <cellStyle name="20% - Accent2 12 2 2 2 5" xfId="30766" xr:uid="{00000000-0005-0000-0000-0000780D0000}"/>
    <cellStyle name="20% - Accent2 12 2 2 3" xfId="6536" xr:uid="{00000000-0005-0000-0000-0000790D0000}"/>
    <cellStyle name="20% - Accent2 12 2 2 3 2" xfId="12995" xr:uid="{00000000-0005-0000-0000-00007A0D0000}"/>
    <cellStyle name="20% - Accent2 12 2 2 3 2 2" xfId="25912" xr:uid="{00000000-0005-0000-0000-00007B0D0000}"/>
    <cellStyle name="20% - Accent2 12 2 2 3 2 2 2" xfId="51786" xr:uid="{00000000-0005-0000-0000-00007C0D0000}"/>
    <cellStyle name="20% - Accent2 12 2 2 3 2 3" xfId="38870" xr:uid="{00000000-0005-0000-0000-00007D0D0000}"/>
    <cellStyle name="20% - Accent2 12 2 2 3 3" xfId="19454" xr:uid="{00000000-0005-0000-0000-00007E0D0000}"/>
    <cellStyle name="20% - Accent2 12 2 2 3 3 2" xfId="45328" xr:uid="{00000000-0005-0000-0000-00007F0D0000}"/>
    <cellStyle name="20% - Accent2 12 2 2 3 4" xfId="32412" xr:uid="{00000000-0005-0000-0000-0000800D0000}"/>
    <cellStyle name="20% - Accent2 12 2 2 4" xfId="9767" xr:uid="{00000000-0005-0000-0000-0000810D0000}"/>
    <cellStyle name="20% - Accent2 12 2 2 4 2" xfId="22684" xr:uid="{00000000-0005-0000-0000-0000820D0000}"/>
    <cellStyle name="20% - Accent2 12 2 2 4 2 2" xfId="48558" xr:uid="{00000000-0005-0000-0000-0000830D0000}"/>
    <cellStyle name="20% - Accent2 12 2 2 4 3" xfId="35642" xr:uid="{00000000-0005-0000-0000-0000840D0000}"/>
    <cellStyle name="20% - Accent2 12 2 2 5" xfId="16226" xr:uid="{00000000-0005-0000-0000-0000850D0000}"/>
    <cellStyle name="20% - Accent2 12 2 2 5 2" xfId="42100" xr:uid="{00000000-0005-0000-0000-0000860D0000}"/>
    <cellStyle name="20% - Accent2 12 2 2 6" xfId="29152" xr:uid="{00000000-0005-0000-0000-0000870D0000}"/>
    <cellStyle name="20% - Accent2 12 2 3" xfId="4089" xr:uid="{00000000-0005-0000-0000-0000880D0000}"/>
    <cellStyle name="20% - Accent2 12 2 3 2" xfId="7343" xr:uid="{00000000-0005-0000-0000-0000890D0000}"/>
    <cellStyle name="20% - Accent2 12 2 3 2 2" xfId="13802" xr:uid="{00000000-0005-0000-0000-00008A0D0000}"/>
    <cellStyle name="20% - Accent2 12 2 3 2 2 2" xfId="26719" xr:uid="{00000000-0005-0000-0000-00008B0D0000}"/>
    <cellStyle name="20% - Accent2 12 2 3 2 2 2 2" xfId="52593" xr:uid="{00000000-0005-0000-0000-00008C0D0000}"/>
    <cellStyle name="20% - Accent2 12 2 3 2 2 3" xfId="39677" xr:uid="{00000000-0005-0000-0000-00008D0D0000}"/>
    <cellStyle name="20% - Accent2 12 2 3 2 3" xfId="20261" xr:uid="{00000000-0005-0000-0000-00008E0D0000}"/>
    <cellStyle name="20% - Accent2 12 2 3 2 3 2" xfId="46135" xr:uid="{00000000-0005-0000-0000-00008F0D0000}"/>
    <cellStyle name="20% - Accent2 12 2 3 2 4" xfId="33219" xr:uid="{00000000-0005-0000-0000-0000900D0000}"/>
    <cellStyle name="20% - Accent2 12 2 3 3" xfId="10574" xr:uid="{00000000-0005-0000-0000-0000910D0000}"/>
    <cellStyle name="20% - Accent2 12 2 3 3 2" xfId="23491" xr:uid="{00000000-0005-0000-0000-0000920D0000}"/>
    <cellStyle name="20% - Accent2 12 2 3 3 2 2" xfId="49365" xr:uid="{00000000-0005-0000-0000-0000930D0000}"/>
    <cellStyle name="20% - Accent2 12 2 3 3 3" xfId="36449" xr:uid="{00000000-0005-0000-0000-0000940D0000}"/>
    <cellStyle name="20% - Accent2 12 2 3 4" xfId="17033" xr:uid="{00000000-0005-0000-0000-0000950D0000}"/>
    <cellStyle name="20% - Accent2 12 2 3 4 2" xfId="42907" xr:uid="{00000000-0005-0000-0000-0000960D0000}"/>
    <cellStyle name="20% - Accent2 12 2 3 5" xfId="29959" xr:uid="{00000000-0005-0000-0000-0000970D0000}"/>
    <cellStyle name="20% - Accent2 12 2 4" xfId="5729" xr:uid="{00000000-0005-0000-0000-0000980D0000}"/>
    <cellStyle name="20% - Accent2 12 2 4 2" xfId="12188" xr:uid="{00000000-0005-0000-0000-0000990D0000}"/>
    <cellStyle name="20% - Accent2 12 2 4 2 2" xfId="25105" xr:uid="{00000000-0005-0000-0000-00009A0D0000}"/>
    <cellStyle name="20% - Accent2 12 2 4 2 2 2" xfId="50979" xr:uid="{00000000-0005-0000-0000-00009B0D0000}"/>
    <cellStyle name="20% - Accent2 12 2 4 2 3" xfId="38063" xr:uid="{00000000-0005-0000-0000-00009C0D0000}"/>
    <cellStyle name="20% - Accent2 12 2 4 3" xfId="18647" xr:uid="{00000000-0005-0000-0000-00009D0D0000}"/>
    <cellStyle name="20% - Accent2 12 2 4 3 2" xfId="44521" xr:uid="{00000000-0005-0000-0000-00009E0D0000}"/>
    <cellStyle name="20% - Accent2 12 2 4 4" xfId="31605" xr:uid="{00000000-0005-0000-0000-00009F0D0000}"/>
    <cellStyle name="20% - Accent2 12 2 5" xfId="8960" xr:uid="{00000000-0005-0000-0000-0000A00D0000}"/>
    <cellStyle name="20% - Accent2 12 2 5 2" xfId="21877" xr:uid="{00000000-0005-0000-0000-0000A10D0000}"/>
    <cellStyle name="20% - Accent2 12 2 5 2 2" xfId="47751" xr:uid="{00000000-0005-0000-0000-0000A20D0000}"/>
    <cellStyle name="20% - Accent2 12 2 5 3" xfId="34835" xr:uid="{00000000-0005-0000-0000-0000A30D0000}"/>
    <cellStyle name="20% - Accent2 12 2 6" xfId="15419" xr:uid="{00000000-0005-0000-0000-0000A40D0000}"/>
    <cellStyle name="20% - Accent2 12 2 6 2" xfId="41293" xr:uid="{00000000-0005-0000-0000-0000A50D0000}"/>
    <cellStyle name="20% - Accent2 12 2 7" xfId="28345" xr:uid="{00000000-0005-0000-0000-0000A60D0000}"/>
    <cellStyle name="20% - Accent2 12 2 8" xfId="54207" xr:uid="{00000000-0005-0000-0000-0000A70D0000}"/>
    <cellStyle name="20% - Accent2 12 3" xfId="2858" xr:uid="{00000000-0005-0000-0000-0000A80D0000}"/>
    <cellStyle name="20% - Accent2 12 3 2" xfId="4515" xr:uid="{00000000-0005-0000-0000-0000A90D0000}"/>
    <cellStyle name="20% - Accent2 12 3 2 2" xfId="7746" xr:uid="{00000000-0005-0000-0000-0000AA0D0000}"/>
    <cellStyle name="20% - Accent2 12 3 2 2 2" xfId="14205" xr:uid="{00000000-0005-0000-0000-0000AB0D0000}"/>
    <cellStyle name="20% - Accent2 12 3 2 2 2 2" xfId="27122" xr:uid="{00000000-0005-0000-0000-0000AC0D0000}"/>
    <cellStyle name="20% - Accent2 12 3 2 2 2 2 2" xfId="52996" xr:uid="{00000000-0005-0000-0000-0000AD0D0000}"/>
    <cellStyle name="20% - Accent2 12 3 2 2 2 3" xfId="40080" xr:uid="{00000000-0005-0000-0000-0000AE0D0000}"/>
    <cellStyle name="20% - Accent2 12 3 2 2 3" xfId="20664" xr:uid="{00000000-0005-0000-0000-0000AF0D0000}"/>
    <cellStyle name="20% - Accent2 12 3 2 2 3 2" xfId="46538" xr:uid="{00000000-0005-0000-0000-0000B00D0000}"/>
    <cellStyle name="20% - Accent2 12 3 2 2 4" xfId="33622" xr:uid="{00000000-0005-0000-0000-0000B10D0000}"/>
    <cellStyle name="20% - Accent2 12 3 2 3" xfId="10977" xr:uid="{00000000-0005-0000-0000-0000B20D0000}"/>
    <cellStyle name="20% - Accent2 12 3 2 3 2" xfId="23894" xr:uid="{00000000-0005-0000-0000-0000B30D0000}"/>
    <cellStyle name="20% - Accent2 12 3 2 3 2 2" xfId="49768" xr:uid="{00000000-0005-0000-0000-0000B40D0000}"/>
    <cellStyle name="20% - Accent2 12 3 2 3 3" xfId="36852" xr:uid="{00000000-0005-0000-0000-0000B50D0000}"/>
    <cellStyle name="20% - Accent2 12 3 2 4" xfId="17436" xr:uid="{00000000-0005-0000-0000-0000B60D0000}"/>
    <cellStyle name="20% - Accent2 12 3 2 4 2" xfId="43310" xr:uid="{00000000-0005-0000-0000-0000B70D0000}"/>
    <cellStyle name="20% - Accent2 12 3 2 5" xfId="30362" xr:uid="{00000000-0005-0000-0000-0000B80D0000}"/>
    <cellStyle name="20% - Accent2 12 3 3" xfId="6132" xr:uid="{00000000-0005-0000-0000-0000B90D0000}"/>
    <cellStyle name="20% - Accent2 12 3 3 2" xfId="12591" xr:uid="{00000000-0005-0000-0000-0000BA0D0000}"/>
    <cellStyle name="20% - Accent2 12 3 3 2 2" xfId="25508" xr:uid="{00000000-0005-0000-0000-0000BB0D0000}"/>
    <cellStyle name="20% - Accent2 12 3 3 2 2 2" xfId="51382" xr:uid="{00000000-0005-0000-0000-0000BC0D0000}"/>
    <cellStyle name="20% - Accent2 12 3 3 2 3" xfId="38466" xr:uid="{00000000-0005-0000-0000-0000BD0D0000}"/>
    <cellStyle name="20% - Accent2 12 3 3 3" xfId="19050" xr:uid="{00000000-0005-0000-0000-0000BE0D0000}"/>
    <cellStyle name="20% - Accent2 12 3 3 3 2" xfId="44924" xr:uid="{00000000-0005-0000-0000-0000BF0D0000}"/>
    <cellStyle name="20% - Accent2 12 3 3 4" xfId="32008" xr:uid="{00000000-0005-0000-0000-0000C00D0000}"/>
    <cellStyle name="20% - Accent2 12 3 4" xfId="9363" xr:uid="{00000000-0005-0000-0000-0000C10D0000}"/>
    <cellStyle name="20% - Accent2 12 3 4 2" xfId="22280" xr:uid="{00000000-0005-0000-0000-0000C20D0000}"/>
    <cellStyle name="20% - Accent2 12 3 4 2 2" xfId="48154" xr:uid="{00000000-0005-0000-0000-0000C30D0000}"/>
    <cellStyle name="20% - Accent2 12 3 4 3" xfId="35238" xr:uid="{00000000-0005-0000-0000-0000C40D0000}"/>
    <cellStyle name="20% - Accent2 12 3 5" xfId="15822" xr:uid="{00000000-0005-0000-0000-0000C50D0000}"/>
    <cellStyle name="20% - Accent2 12 3 5 2" xfId="41696" xr:uid="{00000000-0005-0000-0000-0000C60D0000}"/>
    <cellStyle name="20% - Accent2 12 3 6" xfId="28748" xr:uid="{00000000-0005-0000-0000-0000C70D0000}"/>
    <cellStyle name="20% - Accent2 12 4" xfId="3685" xr:uid="{00000000-0005-0000-0000-0000C80D0000}"/>
    <cellStyle name="20% - Accent2 12 4 2" xfId="6939" xr:uid="{00000000-0005-0000-0000-0000C90D0000}"/>
    <cellStyle name="20% - Accent2 12 4 2 2" xfId="13398" xr:uid="{00000000-0005-0000-0000-0000CA0D0000}"/>
    <cellStyle name="20% - Accent2 12 4 2 2 2" xfId="26315" xr:uid="{00000000-0005-0000-0000-0000CB0D0000}"/>
    <cellStyle name="20% - Accent2 12 4 2 2 2 2" xfId="52189" xr:uid="{00000000-0005-0000-0000-0000CC0D0000}"/>
    <cellStyle name="20% - Accent2 12 4 2 2 3" xfId="39273" xr:uid="{00000000-0005-0000-0000-0000CD0D0000}"/>
    <cellStyle name="20% - Accent2 12 4 2 3" xfId="19857" xr:uid="{00000000-0005-0000-0000-0000CE0D0000}"/>
    <cellStyle name="20% - Accent2 12 4 2 3 2" xfId="45731" xr:uid="{00000000-0005-0000-0000-0000CF0D0000}"/>
    <cellStyle name="20% - Accent2 12 4 2 4" xfId="32815" xr:uid="{00000000-0005-0000-0000-0000D00D0000}"/>
    <cellStyle name="20% - Accent2 12 4 3" xfId="10170" xr:uid="{00000000-0005-0000-0000-0000D10D0000}"/>
    <cellStyle name="20% - Accent2 12 4 3 2" xfId="23087" xr:uid="{00000000-0005-0000-0000-0000D20D0000}"/>
    <cellStyle name="20% - Accent2 12 4 3 2 2" xfId="48961" xr:uid="{00000000-0005-0000-0000-0000D30D0000}"/>
    <cellStyle name="20% - Accent2 12 4 3 3" xfId="36045" xr:uid="{00000000-0005-0000-0000-0000D40D0000}"/>
    <cellStyle name="20% - Accent2 12 4 4" xfId="16629" xr:uid="{00000000-0005-0000-0000-0000D50D0000}"/>
    <cellStyle name="20% - Accent2 12 4 4 2" xfId="42503" xr:uid="{00000000-0005-0000-0000-0000D60D0000}"/>
    <cellStyle name="20% - Accent2 12 4 5" xfId="29555" xr:uid="{00000000-0005-0000-0000-0000D70D0000}"/>
    <cellStyle name="20% - Accent2 12 5" xfId="5325" xr:uid="{00000000-0005-0000-0000-0000D80D0000}"/>
    <cellStyle name="20% - Accent2 12 5 2" xfId="11784" xr:uid="{00000000-0005-0000-0000-0000D90D0000}"/>
    <cellStyle name="20% - Accent2 12 5 2 2" xfId="24701" xr:uid="{00000000-0005-0000-0000-0000DA0D0000}"/>
    <cellStyle name="20% - Accent2 12 5 2 2 2" xfId="50575" xr:uid="{00000000-0005-0000-0000-0000DB0D0000}"/>
    <cellStyle name="20% - Accent2 12 5 2 3" xfId="37659" xr:uid="{00000000-0005-0000-0000-0000DC0D0000}"/>
    <cellStyle name="20% - Accent2 12 5 3" xfId="18243" xr:uid="{00000000-0005-0000-0000-0000DD0D0000}"/>
    <cellStyle name="20% - Accent2 12 5 3 2" xfId="44117" xr:uid="{00000000-0005-0000-0000-0000DE0D0000}"/>
    <cellStyle name="20% - Accent2 12 5 4" xfId="31201" xr:uid="{00000000-0005-0000-0000-0000DF0D0000}"/>
    <cellStyle name="20% - Accent2 12 6" xfId="8556" xr:uid="{00000000-0005-0000-0000-0000E00D0000}"/>
    <cellStyle name="20% - Accent2 12 6 2" xfId="21473" xr:uid="{00000000-0005-0000-0000-0000E10D0000}"/>
    <cellStyle name="20% - Accent2 12 6 2 2" xfId="47347" xr:uid="{00000000-0005-0000-0000-0000E20D0000}"/>
    <cellStyle name="20% - Accent2 12 6 3" xfId="34431" xr:uid="{00000000-0005-0000-0000-0000E30D0000}"/>
    <cellStyle name="20% - Accent2 12 7" xfId="15015" xr:uid="{00000000-0005-0000-0000-0000E40D0000}"/>
    <cellStyle name="20% - Accent2 12 7 2" xfId="40889" xr:uid="{00000000-0005-0000-0000-0000E50D0000}"/>
    <cellStyle name="20% - Accent2 12 8" xfId="27941" xr:uid="{00000000-0005-0000-0000-0000E60D0000}"/>
    <cellStyle name="20% - Accent2 12 9" xfId="53803" xr:uid="{00000000-0005-0000-0000-0000E70D0000}"/>
    <cellStyle name="20% - Accent2 13" xfId="2054" xr:uid="{00000000-0005-0000-0000-0000E80D0000}"/>
    <cellStyle name="20% - Accent2 13 2" xfId="2872" xr:uid="{00000000-0005-0000-0000-0000E90D0000}"/>
    <cellStyle name="20% - Accent2 13 2 2" xfId="4529" xr:uid="{00000000-0005-0000-0000-0000EA0D0000}"/>
    <cellStyle name="20% - Accent2 13 2 2 2" xfId="7760" xr:uid="{00000000-0005-0000-0000-0000EB0D0000}"/>
    <cellStyle name="20% - Accent2 13 2 2 2 2" xfId="14219" xr:uid="{00000000-0005-0000-0000-0000EC0D0000}"/>
    <cellStyle name="20% - Accent2 13 2 2 2 2 2" xfId="27136" xr:uid="{00000000-0005-0000-0000-0000ED0D0000}"/>
    <cellStyle name="20% - Accent2 13 2 2 2 2 2 2" xfId="53010" xr:uid="{00000000-0005-0000-0000-0000EE0D0000}"/>
    <cellStyle name="20% - Accent2 13 2 2 2 2 3" xfId="40094" xr:uid="{00000000-0005-0000-0000-0000EF0D0000}"/>
    <cellStyle name="20% - Accent2 13 2 2 2 3" xfId="20678" xr:uid="{00000000-0005-0000-0000-0000F00D0000}"/>
    <cellStyle name="20% - Accent2 13 2 2 2 3 2" xfId="46552" xr:uid="{00000000-0005-0000-0000-0000F10D0000}"/>
    <cellStyle name="20% - Accent2 13 2 2 2 4" xfId="33636" xr:uid="{00000000-0005-0000-0000-0000F20D0000}"/>
    <cellStyle name="20% - Accent2 13 2 2 3" xfId="10991" xr:uid="{00000000-0005-0000-0000-0000F30D0000}"/>
    <cellStyle name="20% - Accent2 13 2 2 3 2" xfId="23908" xr:uid="{00000000-0005-0000-0000-0000F40D0000}"/>
    <cellStyle name="20% - Accent2 13 2 2 3 2 2" xfId="49782" xr:uid="{00000000-0005-0000-0000-0000F50D0000}"/>
    <cellStyle name="20% - Accent2 13 2 2 3 3" xfId="36866" xr:uid="{00000000-0005-0000-0000-0000F60D0000}"/>
    <cellStyle name="20% - Accent2 13 2 2 4" xfId="17450" xr:uid="{00000000-0005-0000-0000-0000F70D0000}"/>
    <cellStyle name="20% - Accent2 13 2 2 4 2" xfId="43324" xr:uid="{00000000-0005-0000-0000-0000F80D0000}"/>
    <cellStyle name="20% - Accent2 13 2 2 5" xfId="30376" xr:uid="{00000000-0005-0000-0000-0000F90D0000}"/>
    <cellStyle name="20% - Accent2 13 2 3" xfId="6146" xr:uid="{00000000-0005-0000-0000-0000FA0D0000}"/>
    <cellStyle name="20% - Accent2 13 2 3 2" xfId="12605" xr:uid="{00000000-0005-0000-0000-0000FB0D0000}"/>
    <cellStyle name="20% - Accent2 13 2 3 2 2" xfId="25522" xr:uid="{00000000-0005-0000-0000-0000FC0D0000}"/>
    <cellStyle name="20% - Accent2 13 2 3 2 2 2" xfId="51396" xr:uid="{00000000-0005-0000-0000-0000FD0D0000}"/>
    <cellStyle name="20% - Accent2 13 2 3 2 3" xfId="38480" xr:uid="{00000000-0005-0000-0000-0000FE0D0000}"/>
    <cellStyle name="20% - Accent2 13 2 3 3" xfId="19064" xr:uid="{00000000-0005-0000-0000-0000FF0D0000}"/>
    <cellStyle name="20% - Accent2 13 2 3 3 2" xfId="44938" xr:uid="{00000000-0005-0000-0000-0000000E0000}"/>
    <cellStyle name="20% - Accent2 13 2 3 4" xfId="32022" xr:uid="{00000000-0005-0000-0000-0000010E0000}"/>
    <cellStyle name="20% - Accent2 13 2 4" xfId="9377" xr:uid="{00000000-0005-0000-0000-0000020E0000}"/>
    <cellStyle name="20% - Accent2 13 2 4 2" xfId="22294" xr:uid="{00000000-0005-0000-0000-0000030E0000}"/>
    <cellStyle name="20% - Accent2 13 2 4 2 2" xfId="48168" xr:uid="{00000000-0005-0000-0000-0000040E0000}"/>
    <cellStyle name="20% - Accent2 13 2 4 3" xfId="35252" xr:uid="{00000000-0005-0000-0000-0000050E0000}"/>
    <cellStyle name="20% - Accent2 13 2 5" xfId="15836" xr:uid="{00000000-0005-0000-0000-0000060E0000}"/>
    <cellStyle name="20% - Accent2 13 2 5 2" xfId="41710" xr:uid="{00000000-0005-0000-0000-0000070E0000}"/>
    <cellStyle name="20% - Accent2 13 2 6" xfId="28762" xr:uid="{00000000-0005-0000-0000-0000080E0000}"/>
    <cellStyle name="20% - Accent2 13 3" xfId="3699" xr:uid="{00000000-0005-0000-0000-0000090E0000}"/>
    <cellStyle name="20% - Accent2 13 3 2" xfId="6953" xr:uid="{00000000-0005-0000-0000-00000A0E0000}"/>
    <cellStyle name="20% - Accent2 13 3 2 2" xfId="13412" xr:uid="{00000000-0005-0000-0000-00000B0E0000}"/>
    <cellStyle name="20% - Accent2 13 3 2 2 2" xfId="26329" xr:uid="{00000000-0005-0000-0000-00000C0E0000}"/>
    <cellStyle name="20% - Accent2 13 3 2 2 2 2" xfId="52203" xr:uid="{00000000-0005-0000-0000-00000D0E0000}"/>
    <cellStyle name="20% - Accent2 13 3 2 2 3" xfId="39287" xr:uid="{00000000-0005-0000-0000-00000E0E0000}"/>
    <cellStyle name="20% - Accent2 13 3 2 3" xfId="19871" xr:uid="{00000000-0005-0000-0000-00000F0E0000}"/>
    <cellStyle name="20% - Accent2 13 3 2 3 2" xfId="45745" xr:uid="{00000000-0005-0000-0000-0000100E0000}"/>
    <cellStyle name="20% - Accent2 13 3 2 4" xfId="32829" xr:uid="{00000000-0005-0000-0000-0000110E0000}"/>
    <cellStyle name="20% - Accent2 13 3 3" xfId="10184" xr:uid="{00000000-0005-0000-0000-0000120E0000}"/>
    <cellStyle name="20% - Accent2 13 3 3 2" xfId="23101" xr:uid="{00000000-0005-0000-0000-0000130E0000}"/>
    <cellStyle name="20% - Accent2 13 3 3 2 2" xfId="48975" xr:uid="{00000000-0005-0000-0000-0000140E0000}"/>
    <cellStyle name="20% - Accent2 13 3 3 3" xfId="36059" xr:uid="{00000000-0005-0000-0000-0000150E0000}"/>
    <cellStyle name="20% - Accent2 13 3 4" xfId="16643" xr:uid="{00000000-0005-0000-0000-0000160E0000}"/>
    <cellStyle name="20% - Accent2 13 3 4 2" xfId="42517" xr:uid="{00000000-0005-0000-0000-0000170E0000}"/>
    <cellStyle name="20% - Accent2 13 3 5" xfId="29569" xr:uid="{00000000-0005-0000-0000-0000180E0000}"/>
    <cellStyle name="20% - Accent2 13 4" xfId="5339" xr:uid="{00000000-0005-0000-0000-0000190E0000}"/>
    <cellStyle name="20% - Accent2 13 4 2" xfId="11798" xr:uid="{00000000-0005-0000-0000-00001A0E0000}"/>
    <cellStyle name="20% - Accent2 13 4 2 2" xfId="24715" xr:uid="{00000000-0005-0000-0000-00001B0E0000}"/>
    <cellStyle name="20% - Accent2 13 4 2 2 2" xfId="50589" xr:uid="{00000000-0005-0000-0000-00001C0E0000}"/>
    <cellStyle name="20% - Accent2 13 4 2 3" xfId="37673" xr:uid="{00000000-0005-0000-0000-00001D0E0000}"/>
    <cellStyle name="20% - Accent2 13 4 3" xfId="18257" xr:uid="{00000000-0005-0000-0000-00001E0E0000}"/>
    <cellStyle name="20% - Accent2 13 4 3 2" xfId="44131" xr:uid="{00000000-0005-0000-0000-00001F0E0000}"/>
    <cellStyle name="20% - Accent2 13 4 4" xfId="31215" xr:uid="{00000000-0005-0000-0000-0000200E0000}"/>
    <cellStyle name="20% - Accent2 13 5" xfId="8570" xr:uid="{00000000-0005-0000-0000-0000210E0000}"/>
    <cellStyle name="20% - Accent2 13 5 2" xfId="21487" xr:uid="{00000000-0005-0000-0000-0000220E0000}"/>
    <cellStyle name="20% - Accent2 13 5 2 2" xfId="47361" xr:uid="{00000000-0005-0000-0000-0000230E0000}"/>
    <cellStyle name="20% - Accent2 13 5 3" xfId="34445" xr:uid="{00000000-0005-0000-0000-0000240E0000}"/>
    <cellStyle name="20% - Accent2 13 6" xfId="15029" xr:uid="{00000000-0005-0000-0000-0000250E0000}"/>
    <cellStyle name="20% - Accent2 13 6 2" xfId="40903" xr:uid="{00000000-0005-0000-0000-0000260E0000}"/>
    <cellStyle name="20% - Accent2 13 7" xfId="27955" xr:uid="{00000000-0005-0000-0000-0000270E0000}"/>
    <cellStyle name="20% - Accent2 13 8" xfId="53817" xr:uid="{00000000-0005-0000-0000-0000280E0000}"/>
    <cellStyle name="20% - Accent2 14" xfId="2469" xr:uid="{00000000-0005-0000-0000-0000290E0000}"/>
    <cellStyle name="20% - Accent2 14 2" xfId="4126" xr:uid="{00000000-0005-0000-0000-00002A0E0000}"/>
    <cellStyle name="20% - Accent2 14 2 2" xfId="7357" xr:uid="{00000000-0005-0000-0000-00002B0E0000}"/>
    <cellStyle name="20% - Accent2 14 2 2 2" xfId="13816" xr:uid="{00000000-0005-0000-0000-00002C0E0000}"/>
    <cellStyle name="20% - Accent2 14 2 2 2 2" xfId="26733" xr:uid="{00000000-0005-0000-0000-00002D0E0000}"/>
    <cellStyle name="20% - Accent2 14 2 2 2 2 2" xfId="52607" xr:uid="{00000000-0005-0000-0000-00002E0E0000}"/>
    <cellStyle name="20% - Accent2 14 2 2 2 3" xfId="39691" xr:uid="{00000000-0005-0000-0000-00002F0E0000}"/>
    <cellStyle name="20% - Accent2 14 2 2 3" xfId="20275" xr:uid="{00000000-0005-0000-0000-0000300E0000}"/>
    <cellStyle name="20% - Accent2 14 2 2 3 2" xfId="46149" xr:uid="{00000000-0005-0000-0000-0000310E0000}"/>
    <cellStyle name="20% - Accent2 14 2 2 4" xfId="33233" xr:uid="{00000000-0005-0000-0000-0000320E0000}"/>
    <cellStyle name="20% - Accent2 14 2 3" xfId="10588" xr:uid="{00000000-0005-0000-0000-0000330E0000}"/>
    <cellStyle name="20% - Accent2 14 2 3 2" xfId="23505" xr:uid="{00000000-0005-0000-0000-0000340E0000}"/>
    <cellStyle name="20% - Accent2 14 2 3 2 2" xfId="49379" xr:uid="{00000000-0005-0000-0000-0000350E0000}"/>
    <cellStyle name="20% - Accent2 14 2 3 3" xfId="36463" xr:uid="{00000000-0005-0000-0000-0000360E0000}"/>
    <cellStyle name="20% - Accent2 14 2 4" xfId="17047" xr:uid="{00000000-0005-0000-0000-0000370E0000}"/>
    <cellStyle name="20% - Accent2 14 2 4 2" xfId="42921" xr:uid="{00000000-0005-0000-0000-0000380E0000}"/>
    <cellStyle name="20% - Accent2 14 2 5" xfId="29973" xr:uid="{00000000-0005-0000-0000-0000390E0000}"/>
    <cellStyle name="20% - Accent2 14 3" xfId="5743" xr:uid="{00000000-0005-0000-0000-00003A0E0000}"/>
    <cellStyle name="20% - Accent2 14 3 2" xfId="12202" xr:uid="{00000000-0005-0000-0000-00003B0E0000}"/>
    <cellStyle name="20% - Accent2 14 3 2 2" xfId="25119" xr:uid="{00000000-0005-0000-0000-00003C0E0000}"/>
    <cellStyle name="20% - Accent2 14 3 2 2 2" xfId="50993" xr:uid="{00000000-0005-0000-0000-00003D0E0000}"/>
    <cellStyle name="20% - Accent2 14 3 2 3" xfId="38077" xr:uid="{00000000-0005-0000-0000-00003E0E0000}"/>
    <cellStyle name="20% - Accent2 14 3 3" xfId="18661" xr:uid="{00000000-0005-0000-0000-00003F0E0000}"/>
    <cellStyle name="20% - Accent2 14 3 3 2" xfId="44535" xr:uid="{00000000-0005-0000-0000-0000400E0000}"/>
    <cellStyle name="20% - Accent2 14 3 4" xfId="31619" xr:uid="{00000000-0005-0000-0000-0000410E0000}"/>
    <cellStyle name="20% - Accent2 14 4" xfId="8974" xr:uid="{00000000-0005-0000-0000-0000420E0000}"/>
    <cellStyle name="20% - Accent2 14 4 2" xfId="21891" xr:uid="{00000000-0005-0000-0000-0000430E0000}"/>
    <cellStyle name="20% - Accent2 14 4 2 2" xfId="47765" xr:uid="{00000000-0005-0000-0000-0000440E0000}"/>
    <cellStyle name="20% - Accent2 14 4 3" xfId="34849" xr:uid="{00000000-0005-0000-0000-0000450E0000}"/>
    <cellStyle name="20% - Accent2 14 5" xfId="15433" xr:uid="{00000000-0005-0000-0000-0000460E0000}"/>
    <cellStyle name="20% - Accent2 14 5 2" xfId="41307" xr:uid="{00000000-0005-0000-0000-0000470E0000}"/>
    <cellStyle name="20% - Accent2 14 6" xfId="28359" xr:uid="{00000000-0005-0000-0000-0000480E0000}"/>
    <cellStyle name="20% - Accent2 15" xfId="3278" xr:uid="{00000000-0005-0000-0000-0000490E0000}"/>
    <cellStyle name="20% - Accent2 15 2" xfId="6550" xr:uid="{00000000-0005-0000-0000-00004A0E0000}"/>
    <cellStyle name="20% - Accent2 15 2 2" xfId="13009" xr:uid="{00000000-0005-0000-0000-00004B0E0000}"/>
    <cellStyle name="20% - Accent2 15 2 2 2" xfId="25926" xr:uid="{00000000-0005-0000-0000-00004C0E0000}"/>
    <cellStyle name="20% - Accent2 15 2 2 2 2" xfId="51800" xr:uid="{00000000-0005-0000-0000-00004D0E0000}"/>
    <cellStyle name="20% - Accent2 15 2 2 3" xfId="38884" xr:uid="{00000000-0005-0000-0000-00004E0E0000}"/>
    <cellStyle name="20% - Accent2 15 2 3" xfId="19468" xr:uid="{00000000-0005-0000-0000-00004F0E0000}"/>
    <cellStyle name="20% - Accent2 15 2 3 2" xfId="45342" xr:uid="{00000000-0005-0000-0000-0000500E0000}"/>
    <cellStyle name="20% - Accent2 15 2 4" xfId="32426" xr:uid="{00000000-0005-0000-0000-0000510E0000}"/>
    <cellStyle name="20% - Accent2 15 3" xfId="9781" xr:uid="{00000000-0005-0000-0000-0000520E0000}"/>
    <cellStyle name="20% - Accent2 15 3 2" xfId="22698" xr:uid="{00000000-0005-0000-0000-0000530E0000}"/>
    <cellStyle name="20% - Accent2 15 3 2 2" xfId="48572" xr:uid="{00000000-0005-0000-0000-0000540E0000}"/>
    <cellStyle name="20% - Accent2 15 3 3" xfId="35656" xr:uid="{00000000-0005-0000-0000-0000550E0000}"/>
    <cellStyle name="20% - Accent2 15 4" xfId="16240" xr:uid="{00000000-0005-0000-0000-0000560E0000}"/>
    <cellStyle name="20% - Accent2 15 4 2" xfId="42114" xr:uid="{00000000-0005-0000-0000-0000570E0000}"/>
    <cellStyle name="20% - Accent2 15 5" xfId="29166" xr:uid="{00000000-0005-0000-0000-0000580E0000}"/>
    <cellStyle name="20% - Accent2 16" xfId="4936" xr:uid="{00000000-0005-0000-0000-0000590E0000}"/>
    <cellStyle name="20% - Accent2 16 2" xfId="11395" xr:uid="{00000000-0005-0000-0000-00005A0E0000}"/>
    <cellStyle name="20% - Accent2 16 2 2" xfId="24312" xr:uid="{00000000-0005-0000-0000-00005B0E0000}"/>
    <cellStyle name="20% - Accent2 16 2 2 2" xfId="50186" xr:uid="{00000000-0005-0000-0000-00005C0E0000}"/>
    <cellStyle name="20% - Accent2 16 2 3" xfId="37270" xr:uid="{00000000-0005-0000-0000-00005D0E0000}"/>
    <cellStyle name="20% - Accent2 16 3" xfId="17854" xr:uid="{00000000-0005-0000-0000-00005E0E0000}"/>
    <cellStyle name="20% - Accent2 16 3 2" xfId="43728" xr:uid="{00000000-0005-0000-0000-00005F0E0000}"/>
    <cellStyle name="20% - Accent2 16 4" xfId="30812" xr:uid="{00000000-0005-0000-0000-0000600E0000}"/>
    <cellStyle name="20% - Accent2 17" xfId="8164" xr:uid="{00000000-0005-0000-0000-0000610E0000}"/>
    <cellStyle name="20% - Accent2 17 2" xfId="21082" xr:uid="{00000000-0005-0000-0000-0000620E0000}"/>
    <cellStyle name="20% - Accent2 17 2 2" xfId="46956" xr:uid="{00000000-0005-0000-0000-0000630E0000}"/>
    <cellStyle name="20% - Accent2 17 3" xfId="34040" xr:uid="{00000000-0005-0000-0000-0000640E0000}"/>
    <cellStyle name="20% - Accent2 18" xfId="14624" xr:uid="{00000000-0005-0000-0000-0000650E0000}"/>
    <cellStyle name="20% - Accent2 18 2" xfId="40498" xr:uid="{00000000-0005-0000-0000-0000660E0000}"/>
    <cellStyle name="20% - Accent2 19" xfId="27542" xr:uid="{00000000-0005-0000-0000-0000670E0000}"/>
    <cellStyle name="20% - Accent2 2" xfId="21" xr:uid="{00000000-0005-0000-0000-0000680E0000}"/>
    <cellStyle name="20% - Accent2 2 10" xfId="8175" xr:uid="{00000000-0005-0000-0000-0000690E0000}"/>
    <cellStyle name="20% - Accent2 2 10 2" xfId="21093" xr:uid="{00000000-0005-0000-0000-00006A0E0000}"/>
    <cellStyle name="20% - Accent2 2 10 2 2" xfId="46967" xr:uid="{00000000-0005-0000-0000-00006B0E0000}"/>
    <cellStyle name="20% - Accent2 2 10 3" xfId="34051" xr:uid="{00000000-0005-0000-0000-00006C0E0000}"/>
    <cellStyle name="20% - Accent2 2 11" xfId="14635" xr:uid="{00000000-0005-0000-0000-00006D0E0000}"/>
    <cellStyle name="20% - Accent2 2 11 2" xfId="40509" xr:uid="{00000000-0005-0000-0000-00006E0E0000}"/>
    <cellStyle name="20% - Accent2 2 12" xfId="27553" xr:uid="{00000000-0005-0000-0000-00006F0E0000}"/>
    <cellStyle name="20% - Accent2 2 13" xfId="53425" xr:uid="{00000000-0005-0000-0000-0000700E0000}"/>
    <cellStyle name="20% - Accent2 2 14" xfId="1043" xr:uid="{00000000-0005-0000-0000-0000710E0000}"/>
    <cellStyle name="20% - Accent2 2 2" xfId="275" xr:uid="{00000000-0005-0000-0000-0000720E0000}"/>
    <cellStyle name="20% - Accent2 2 3" xfId="229" xr:uid="{00000000-0005-0000-0000-0000730E0000}"/>
    <cellStyle name="20% - Accent2 2 3 10" xfId="27579" xr:uid="{00000000-0005-0000-0000-0000740E0000}"/>
    <cellStyle name="20% - Accent2 2 3 11" xfId="53445" xr:uid="{00000000-0005-0000-0000-0000750E0000}"/>
    <cellStyle name="20% - Accent2 2 3 12" xfId="1044" xr:uid="{00000000-0005-0000-0000-0000760E0000}"/>
    <cellStyle name="20% - Accent2 2 3 2" xfId="419" xr:uid="{00000000-0005-0000-0000-0000770E0000}"/>
    <cellStyle name="20% - Accent2 2 3 2 10" xfId="53530" xr:uid="{00000000-0005-0000-0000-0000780E0000}"/>
    <cellStyle name="20% - Accent2 2 3 2 11" xfId="1614" xr:uid="{00000000-0005-0000-0000-0000790E0000}"/>
    <cellStyle name="20% - Accent2 2 3 2 2" xfId="523" xr:uid="{00000000-0005-0000-0000-00007A0E0000}"/>
    <cellStyle name="20% - Accent2 2 3 2 2 10" xfId="1939" xr:uid="{00000000-0005-0000-0000-00007B0E0000}"/>
    <cellStyle name="20% - Accent2 2 3 2 2 2" xfId="2370" xr:uid="{00000000-0005-0000-0000-00007C0E0000}"/>
    <cellStyle name="20% - Accent2 2 3 2 2 2 2" xfId="3183" xr:uid="{00000000-0005-0000-0000-00007D0E0000}"/>
    <cellStyle name="20% - Accent2 2 3 2 2 2 2 2" xfId="4840" xr:uid="{00000000-0005-0000-0000-00007E0E0000}"/>
    <cellStyle name="20% - Accent2 2 3 2 2 2 2 2 2" xfId="8071" xr:uid="{00000000-0005-0000-0000-00007F0E0000}"/>
    <cellStyle name="20% - Accent2 2 3 2 2 2 2 2 2 2" xfId="14530" xr:uid="{00000000-0005-0000-0000-0000800E0000}"/>
    <cellStyle name="20% - Accent2 2 3 2 2 2 2 2 2 2 2" xfId="27447" xr:uid="{00000000-0005-0000-0000-0000810E0000}"/>
    <cellStyle name="20% - Accent2 2 3 2 2 2 2 2 2 2 2 2" xfId="53321" xr:uid="{00000000-0005-0000-0000-0000820E0000}"/>
    <cellStyle name="20% - Accent2 2 3 2 2 2 2 2 2 2 3" xfId="40405" xr:uid="{00000000-0005-0000-0000-0000830E0000}"/>
    <cellStyle name="20% - Accent2 2 3 2 2 2 2 2 2 3" xfId="20989" xr:uid="{00000000-0005-0000-0000-0000840E0000}"/>
    <cellStyle name="20% - Accent2 2 3 2 2 2 2 2 2 3 2" xfId="46863" xr:uid="{00000000-0005-0000-0000-0000850E0000}"/>
    <cellStyle name="20% - Accent2 2 3 2 2 2 2 2 2 4" xfId="33947" xr:uid="{00000000-0005-0000-0000-0000860E0000}"/>
    <cellStyle name="20% - Accent2 2 3 2 2 2 2 2 3" xfId="11302" xr:uid="{00000000-0005-0000-0000-0000870E0000}"/>
    <cellStyle name="20% - Accent2 2 3 2 2 2 2 2 3 2" xfId="24219" xr:uid="{00000000-0005-0000-0000-0000880E0000}"/>
    <cellStyle name="20% - Accent2 2 3 2 2 2 2 2 3 2 2" xfId="50093" xr:uid="{00000000-0005-0000-0000-0000890E0000}"/>
    <cellStyle name="20% - Accent2 2 3 2 2 2 2 2 3 3" xfId="37177" xr:uid="{00000000-0005-0000-0000-00008A0E0000}"/>
    <cellStyle name="20% - Accent2 2 3 2 2 2 2 2 4" xfId="17761" xr:uid="{00000000-0005-0000-0000-00008B0E0000}"/>
    <cellStyle name="20% - Accent2 2 3 2 2 2 2 2 4 2" xfId="43635" xr:uid="{00000000-0005-0000-0000-00008C0E0000}"/>
    <cellStyle name="20% - Accent2 2 3 2 2 2 2 2 5" xfId="30687" xr:uid="{00000000-0005-0000-0000-00008D0E0000}"/>
    <cellStyle name="20% - Accent2 2 3 2 2 2 2 3" xfId="6457" xr:uid="{00000000-0005-0000-0000-00008E0E0000}"/>
    <cellStyle name="20% - Accent2 2 3 2 2 2 2 3 2" xfId="12916" xr:uid="{00000000-0005-0000-0000-00008F0E0000}"/>
    <cellStyle name="20% - Accent2 2 3 2 2 2 2 3 2 2" xfId="25833" xr:uid="{00000000-0005-0000-0000-0000900E0000}"/>
    <cellStyle name="20% - Accent2 2 3 2 2 2 2 3 2 2 2" xfId="51707" xr:uid="{00000000-0005-0000-0000-0000910E0000}"/>
    <cellStyle name="20% - Accent2 2 3 2 2 2 2 3 2 3" xfId="38791" xr:uid="{00000000-0005-0000-0000-0000920E0000}"/>
    <cellStyle name="20% - Accent2 2 3 2 2 2 2 3 3" xfId="19375" xr:uid="{00000000-0005-0000-0000-0000930E0000}"/>
    <cellStyle name="20% - Accent2 2 3 2 2 2 2 3 3 2" xfId="45249" xr:uid="{00000000-0005-0000-0000-0000940E0000}"/>
    <cellStyle name="20% - Accent2 2 3 2 2 2 2 3 4" xfId="32333" xr:uid="{00000000-0005-0000-0000-0000950E0000}"/>
    <cellStyle name="20% - Accent2 2 3 2 2 2 2 4" xfId="9688" xr:uid="{00000000-0005-0000-0000-0000960E0000}"/>
    <cellStyle name="20% - Accent2 2 3 2 2 2 2 4 2" xfId="22605" xr:uid="{00000000-0005-0000-0000-0000970E0000}"/>
    <cellStyle name="20% - Accent2 2 3 2 2 2 2 4 2 2" xfId="48479" xr:uid="{00000000-0005-0000-0000-0000980E0000}"/>
    <cellStyle name="20% - Accent2 2 3 2 2 2 2 4 3" xfId="35563" xr:uid="{00000000-0005-0000-0000-0000990E0000}"/>
    <cellStyle name="20% - Accent2 2 3 2 2 2 2 5" xfId="16147" xr:uid="{00000000-0005-0000-0000-00009A0E0000}"/>
    <cellStyle name="20% - Accent2 2 3 2 2 2 2 5 2" xfId="42021" xr:uid="{00000000-0005-0000-0000-00009B0E0000}"/>
    <cellStyle name="20% - Accent2 2 3 2 2 2 2 6" xfId="29073" xr:uid="{00000000-0005-0000-0000-00009C0E0000}"/>
    <cellStyle name="20% - Accent2 2 3 2 2 2 3" xfId="4010" xr:uid="{00000000-0005-0000-0000-00009D0E0000}"/>
    <cellStyle name="20% - Accent2 2 3 2 2 2 3 2" xfId="7264" xr:uid="{00000000-0005-0000-0000-00009E0E0000}"/>
    <cellStyle name="20% - Accent2 2 3 2 2 2 3 2 2" xfId="13723" xr:uid="{00000000-0005-0000-0000-00009F0E0000}"/>
    <cellStyle name="20% - Accent2 2 3 2 2 2 3 2 2 2" xfId="26640" xr:uid="{00000000-0005-0000-0000-0000A00E0000}"/>
    <cellStyle name="20% - Accent2 2 3 2 2 2 3 2 2 2 2" xfId="52514" xr:uid="{00000000-0005-0000-0000-0000A10E0000}"/>
    <cellStyle name="20% - Accent2 2 3 2 2 2 3 2 2 3" xfId="39598" xr:uid="{00000000-0005-0000-0000-0000A20E0000}"/>
    <cellStyle name="20% - Accent2 2 3 2 2 2 3 2 3" xfId="20182" xr:uid="{00000000-0005-0000-0000-0000A30E0000}"/>
    <cellStyle name="20% - Accent2 2 3 2 2 2 3 2 3 2" xfId="46056" xr:uid="{00000000-0005-0000-0000-0000A40E0000}"/>
    <cellStyle name="20% - Accent2 2 3 2 2 2 3 2 4" xfId="33140" xr:uid="{00000000-0005-0000-0000-0000A50E0000}"/>
    <cellStyle name="20% - Accent2 2 3 2 2 2 3 3" xfId="10495" xr:uid="{00000000-0005-0000-0000-0000A60E0000}"/>
    <cellStyle name="20% - Accent2 2 3 2 2 2 3 3 2" xfId="23412" xr:uid="{00000000-0005-0000-0000-0000A70E0000}"/>
    <cellStyle name="20% - Accent2 2 3 2 2 2 3 3 2 2" xfId="49286" xr:uid="{00000000-0005-0000-0000-0000A80E0000}"/>
    <cellStyle name="20% - Accent2 2 3 2 2 2 3 3 3" xfId="36370" xr:uid="{00000000-0005-0000-0000-0000A90E0000}"/>
    <cellStyle name="20% - Accent2 2 3 2 2 2 3 4" xfId="16954" xr:uid="{00000000-0005-0000-0000-0000AA0E0000}"/>
    <cellStyle name="20% - Accent2 2 3 2 2 2 3 4 2" xfId="42828" xr:uid="{00000000-0005-0000-0000-0000AB0E0000}"/>
    <cellStyle name="20% - Accent2 2 3 2 2 2 3 5" xfId="29880" xr:uid="{00000000-0005-0000-0000-0000AC0E0000}"/>
    <cellStyle name="20% - Accent2 2 3 2 2 2 4" xfId="5650" xr:uid="{00000000-0005-0000-0000-0000AD0E0000}"/>
    <cellStyle name="20% - Accent2 2 3 2 2 2 4 2" xfId="12109" xr:uid="{00000000-0005-0000-0000-0000AE0E0000}"/>
    <cellStyle name="20% - Accent2 2 3 2 2 2 4 2 2" xfId="25026" xr:uid="{00000000-0005-0000-0000-0000AF0E0000}"/>
    <cellStyle name="20% - Accent2 2 3 2 2 2 4 2 2 2" xfId="50900" xr:uid="{00000000-0005-0000-0000-0000B00E0000}"/>
    <cellStyle name="20% - Accent2 2 3 2 2 2 4 2 3" xfId="37984" xr:uid="{00000000-0005-0000-0000-0000B10E0000}"/>
    <cellStyle name="20% - Accent2 2 3 2 2 2 4 3" xfId="18568" xr:uid="{00000000-0005-0000-0000-0000B20E0000}"/>
    <cellStyle name="20% - Accent2 2 3 2 2 2 4 3 2" xfId="44442" xr:uid="{00000000-0005-0000-0000-0000B30E0000}"/>
    <cellStyle name="20% - Accent2 2 3 2 2 2 4 4" xfId="31526" xr:uid="{00000000-0005-0000-0000-0000B40E0000}"/>
    <cellStyle name="20% - Accent2 2 3 2 2 2 5" xfId="8881" xr:uid="{00000000-0005-0000-0000-0000B50E0000}"/>
    <cellStyle name="20% - Accent2 2 3 2 2 2 5 2" xfId="21798" xr:uid="{00000000-0005-0000-0000-0000B60E0000}"/>
    <cellStyle name="20% - Accent2 2 3 2 2 2 5 2 2" xfId="47672" xr:uid="{00000000-0005-0000-0000-0000B70E0000}"/>
    <cellStyle name="20% - Accent2 2 3 2 2 2 5 3" xfId="34756" xr:uid="{00000000-0005-0000-0000-0000B80E0000}"/>
    <cellStyle name="20% - Accent2 2 3 2 2 2 6" xfId="15340" xr:uid="{00000000-0005-0000-0000-0000B90E0000}"/>
    <cellStyle name="20% - Accent2 2 3 2 2 2 6 2" xfId="41214" xr:uid="{00000000-0005-0000-0000-0000BA0E0000}"/>
    <cellStyle name="20% - Accent2 2 3 2 2 2 7" xfId="28266" xr:uid="{00000000-0005-0000-0000-0000BB0E0000}"/>
    <cellStyle name="20% - Accent2 2 3 2 2 2 8" xfId="54128" xr:uid="{00000000-0005-0000-0000-0000BC0E0000}"/>
    <cellStyle name="20% - Accent2 2 3 2 2 3" xfId="2779" xr:uid="{00000000-0005-0000-0000-0000BD0E0000}"/>
    <cellStyle name="20% - Accent2 2 3 2 2 3 2" xfId="4436" xr:uid="{00000000-0005-0000-0000-0000BE0E0000}"/>
    <cellStyle name="20% - Accent2 2 3 2 2 3 2 2" xfId="7667" xr:uid="{00000000-0005-0000-0000-0000BF0E0000}"/>
    <cellStyle name="20% - Accent2 2 3 2 2 3 2 2 2" xfId="14126" xr:uid="{00000000-0005-0000-0000-0000C00E0000}"/>
    <cellStyle name="20% - Accent2 2 3 2 2 3 2 2 2 2" xfId="27043" xr:uid="{00000000-0005-0000-0000-0000C10E0000}"/>
    <cellStyle name="20% - Accent2 2 3 2 2 3 2 2 2 2 2" xfId="52917" xr:uid="{00000000-0005-0000-0000-0000C20E0000}"/>
    <cellStyle name="20% - Accent2 2 3 2 2 3 2 2 2 3" xfId="40001" xr:uid="{00000000-0005-0000-0000-0000C30E0000}"/>
    <cellStyle name="20% - Accent2 2 3 2 2 3 2 2 3" xfId="20585" xr:uid="{00000000-0005-0000-0000-0000C40E0000}"/>
    <cellStyle name="20% - Accent2 2 3 2 2 3 2 2 3 2" xfId="46459" xr:uid="{00000000-0005-0000-0000-0000C50E0000}"/>
    <cellStyle name="20% - Accent2 2 3 2 2 3 2 2 4" xfId="33543" xr:uid="{00000000-0005-0000-0000-0000C60E0000}"/>
    <cellStyle name="20% - Accent2 2 3 2 2 3 2 3" xfId="10898" xr:uid="{00000000-0005-0000-0000-0000C70E0000}"/>
    <cellStyle name="20% - Accent2 2 3 2 2 3 2 3 2" xfId="23815" xr:uid="{00000000-0005-0000-0000-0000C80E0000}"/>
    <cellStyle name="20% - Accent2 2 3 2 2 3 2 3 2 2" xfId="49689" xr:uid="{00000000-0005-0000-0000-0000C90E0000}"/>
    <cellStyle name="20% - Accent2 2 3 2 2 3 2 3 3" xfId="36773" xr:uid="{00000000-0005-0000-0000-0000CA0E0000}"/>
    <cellStyle name="20% - Accent2 2 3 2 2 3 2 4" xfId="17357" xr:uid="{00000000-0005-0000-0000-0000CB0E0000}"/>
    <cellStyle name="20% - Accent2 2 3 2 2 3 2 4 2" xfId="43231" xr:uid="{00000000-0005-0000-0000-0000CC0E0000}"/>
    <cellStyle name="20% - Accent2 2 3 2 2 3 2 5" xfId="30283" xr:uid="{00000000-0005-0000-0000-0000CD0E0000}"/>
    <cellStyle name="20% - Accent2 2 3 2 2 3 3" xfId="6053" xr:uid="{00000000-0005-0000-0000-0000CE0E0000}"/>
    <cellStyle name="20% - Accent2 2 3 2 2 3 3 2" xfId="12512" xr:uid="{00000000-0005-0000-0000-0000CF0E0000}"/>
    <cellStyle name="20% - Accent2 2 3 2 2 3 3 2 2" xfId="25429" xr:uid="{00000000-0005-0000-0000-0000D00E0000}"/>
    <cellStyle name="20% - Accent2 2 3 2 2 3 3 2 2 2" xfId="51303" xr:uid="{00000000-0005-0000-0000-0000D10E0000}"/>
    <cellStyle name="20% - Accent2 2 3 2 2 3 3 2 3" xfId="38387" xr:uid="{00000000-0005-0000-0000-0000D20E0000}"/>
    <cellStyle name="20% - Accent2 2 3 2 2 3 3 3" xfId="18971" xr:uid="{00000000-0005-0000-0000-0000D30E0000}"/>
    <cellStyle name="20% - Accent2 2 3 2 2 3 3 3 2" xfId="44845" xr:uid="{00000000-0005-0000-0000-0000D40E0000}"/>
    <cellStyle name="20% - Accent2 2 3 2 2 3 3 4" xfId="31929" xr:uid="{00000000-0005-0000-0000-0000D50E0000}"/>
    <cellStyle name="20% - Accent2 2 3 2 2 3 4" xfId="9284" xr:uid="{00000000-0005-0000-0000-0000D60E0000}"/>
    <cellStyle name="20% - Accent2 2 3 2 2 3 4 2" xfId="22201" xr:uid="{00000000-0005-0000-0000-0000D70E0000}"/>
    <cellStyle name="20% - Accent2 2 3 2 2 3 4 2 2" xfId="48075" xr:uid="{00000000-0005-0000-0000-0000D80E0000}"/>
    <cellStyle name="20% - Accent2 2 3 2 2 3 4 3" xfId="35159" xr:uid="{00000000-0005-0000-0000-0000D90E0000}"/>
    <cellStyle name="20% - Accent2 2 3 2 2 3 5" xfId="15743" xr:uid="{00000000-0005-0000-0000-0000DA0E0000}"/>
    <cellStyle name="20% - Accent2 2 3 2 2 3 5 2" xfId="41617" xr:uid="{00000000-0005-0000-0000-0000DB0E0000}"/>
    <cellStyle name="20% - Accent2 2 3 2 2 3 6" xfId="28669" xr:uid="{00000000-0005-0000-0000-0000DC0E0000}"/>
    <cellStyle name="20% - Accent2 2 3 2 2 4" xfId="3606" xr:uid="{00000000-0005-0000-0000-0000DD0E0000}"/>
    <cellStyle name="20% - Accent2 2 3 2 2 4 2" xfId="6860" xr:uid="{00000000-0005-0000-0000-0000DE0E0000}"/>
    <cellStyle name="20% - Accent2 2 3 2 2 4 2 2" xfId="13319" xr:uid="{00000000-0005-0000-0000-0000DF0E0000}"/>
    <cellStyle name="20% - Accent2 2 3 2 2 4 2 2 2" xfId="26236" xr:uid="{00000000-0005-0000-0000-0000E00E0000}"/>
    <cellStyle name="20% - Accent2 2 3 2 2 4 2 2 2 2" xfId="52110" xr:uid="{00000000-0005-0000-0000-0000E10E0000}"/>
    <cellStyle name="20% - Accent2 2 3 2 2 4 2 2 3" xfId="39194" xr:uid="{00000000-0005-0000-0000-0000E20E0000}"/>
    <cellStyle name="20% - Accent2 2 3 2 2 4 2 3" xfId="19778" xr:uid="{00000000-0005-0000-0000-0000E30E0000}"/>
    <cellStyle name="20% - Accent2 2 3 2 2 4 2 3 2" xfId="45652" xr:uid="{00000000-0005-0000-0000-0000E40E0000}"/>
    <cellStyle name="20% - Accent2 2 3 2 2 4 2 4" xfId="32736" xr:uid="{00000000-0005-0000-0000-0000E50E0000}"/>
    <cellStyle name="20% - Accent2 2 3 2 2 4 3" xfId="10091" xr:uid="{00000000-0005-0000-0000-0000E60E0000}"/>
    <cellStyle name="20% - Accent2 2 3 2 2 4 3 2" xfId="23008" xr:uid="{00000000-0005-0000-0000-0000E70E0000}"/>
    <cellStyle name="20% - Accent2 2 3 2 2 4 3 2 2" xfId="48882" xr:uid="{00000000-0005-0000-0000-0000E80E0000}"/>
    <cellStyle name="20% - Accent2 2 3 2 2 4 3 3" xfId="35966" xr:uid="{00000000-0005-0000-0000-0000E90E0000}"/>
    <cellStyle name="20% - Accent2 2 3 2 2 4 4" xfId="16550" xr:uid="{00000000-0005-0000-0000-0000EA0E0000}"/>
    <cellStyle name="20% - Accent2 2 3 2 2 4 4 2" xfId="42424" xr:uid="{00000000-0005-0000-0000-0000EB0E0000}"/>
    <cellStyle name="20% - Accent2 2 3 2 2 4 5" xfId="29476" xr:uid="{00000000-0005-0000-0000-0000EC0E0000}"/>
    <cellStyle name="20% - Accent2 2 3 2 2 5" xfId="5246" xr:uid="{00000000-0005-0000-0000-0000ED0E0000}"/>
    <cellStyle name="20% - Accent2 2 3 2 2 5 2" xfId="11705" xr:uid="{00000000-0005-0000-0000-0000EE0E0000}"/>
    <cellStyle name="20% - Accent2 2 3 2 2 5 2 2" xfId="24622" xr:uid="{00000000-0005-0000-0000-0000EF0E0000}"/>
    <cellStyle name="20% - Accent2 2 3 2 2 5 2 2 2" xfId="50496" xr:uid="{00000000-0005-0000-0000-0000F00E0000}"/>
    <cellStyle name="20% - Accent2 2 3 2 2 5 2 3" xfId="37580" xr:uid="{00000000-0005-0000-0000-0000F10E0000}"/>
    <cellStyle name="20% - Accent2 2 3 2 2 5 3" xfId="18164" xr:uid="{00000000-0005-0000-0000-0000F20E0000}"/>
    <cellStyle name="20% - Accent2 2 3 2 2 5 3 2" xfId="44038" xr:uid="{00000000-0005-0000-0000-0000F30E0000}"/>
    <cellStyle name="20% - Accent2 2 3 2 2 5 4" xfId="31122" xr:uid="{00000000-0005-0000-0000-0000F40E0000}"/>
    <cellStyle name="20% - Accent2 2 3 2 2 6" xfId="8477" xr:uid="{00000000-0005-0000-0000-0000F50E0000}"/>
    <cellStyle name="20% - Accent2 2 3 2 2 6 2" xfId="21394" xr:uid="{00000000-0005-0000-0000-0000F60E0000}"/>
    <cellStyle name="20% - Accent2 2 3 2 2 6 2 2" xfId="47268" xr:uid="{00000000-0005-0000-0000-0000F70E0000}"/>
    <cellStyle name="20% - Accent2 2 3 2 2 6 3" xfId="34352" xr:uid="{00000000-0005-0000-0000-0000F80E0000}"/>
    <cellStyle name="20% - Accent2 2 3 2 2 7" xfId="14936" xr:uid="{00000000-0005-0000-0000-0000F90E0000}"/>
    <cellStyle name="20% - Accent2 2 3 2 2 7 2" xfId="40810" xr:uid="{00000000-0005-0000-0000-0000FA0E0000}"/>
    <cellStyle name="20% - Accent2 2 3 2 2 8" xfId="27861" xr:uid="{00000000-0005-0000-0000-0000FB0E0000}"/>
    <cellStyle name="20% - Accent2 2 3 2 2 9" xfId="53724" xr:uid="{00000000-0005-0000-0000-0000FC0E0000}"/>
    <cellStyle name="20% - Accent2 2 3 2 3" xfId="522" xr:uid="{00000000-0005-0000-0000-0000FD0E0000}"/>
    <cellStyle name="20% - Accent2 2 3 2 3 2" xfId="2988" xr:uid="{00000000-0005-0000-0000-0000FE0E0000}"/>
    <cellStyle name="20% - Accent2 2 3 2 3 2 2" xfId="4645" xr:uid="{00000000-0005-0000-0000-0000FF0E0000}"/>
    <cellStyle name="20% - Accent2 2 3 2 3 2 2 2" xfId="7876" xr:uid="{00000000-0005-0000-0000-0000000F0000}"/>
    <cellStyle name="20% - Accent2 2 3 2 3 2 2 2 2" xfId="14335" xr:uid="{00000000-0005-0000-0000-0000010F0000}"/>
    <cellStyle name="20% - Accent2 2 3 2 3 2 2 2 2 2" xfId="27252" xr:uid="{00000000-0005-0000-0000-0000020F0000}"/>
    <cellStyle name="20% - Accent2 2 3 2 3 2 2 2 2 2 2" xfId="53126" xr:uid="{00000000-0005-0000-0000-0000030F0000}"/>
    <cellStyle name="20% - Accent2 2 3 2 3 2 2 2 2 3" xfId="40210" xr:uid="{00000000-0005-0000-0000-0000040F0000}"/>
    <cellStyle name="20% - Accent2 2 3 2 3 2 2 2 3" xfId="20794" xr:uid="{00000000-0005-0000-0000-0000050F0000}"/>
    <cellStyle name="20% - Accent2 2 3 2 3 2 2 2 3 2" xfId="46668" xr:uid="{00000000-0005-0000-0000-0000060F0000}"/>
    <cellStyle name="20% - Accent2 2 3 2 3 2 2 2 4" xfId="33752" xr:uid="{00000000-0005-0000-0000-0000070F0000}"/>
    <cellStyle name="20% - Accent2 2 3 2 3 2 2 3" xfId="11107" xr:uid="{00000000-0005-0000-0000-0000080F0000}"/>
    <cellStyle name="20% - Accent2 2 3 2 3 2 2 3 2" xfId="24024" xr:uid="{00000000-0005-0000-0000-0000090F0000}"/>
    <cellStyle name="20% - Accent2 2 3 2 3 2 2 3 2 2" xfId="49898" xr:uid="{00000000-0005-0000-0000-00000A0F0000}"/>
    <cellStyle name="20% - Accent2 2 3 2 3 2 2 3 3" xfId="36982" xr:uid="{00000000-0005-0000-0000-00000B0F0000}"/>
    <cellStyle name="20% - Accent2 2 3 2 3 2 2 4" xfId="17566" xr:uid="{00000000-0005-0000-0000-00000C0F0000}"/>
    <cellStyle name="20% - Accent2 2 3 2 3 2 2 4 2" xfId="43440" xr:uid="{00000000-0005-0000-0000-00000D0F0000}"/>
    <cellStyle name="20% - Accent2 2 3 2 3 2 2 5" xfId="30492" xr:uid="{00000000-0005-0000-0000-00000E0F0000}"/>
    <cellStyle name="20% - Accent2 2 3 2 3 2 3" xfId="6262" xr:uid="{00000000-0005-0000-0000-00000F0F0000}"/>
    <cellStyle name="20% - Accent2 2 3 2 3 2 3 2" xfId="12721" xr:uid="{00000000-0005-0000-0000-0000100F0000}"/>
    <cellStyle name="20% - Accent2 2 3 2 3 2 3 2 2" xfId="25638" xr:uid="{00000000-0005-0000-0000-0000110F0000}"/>
    <cellStyle name="20% - Accent2 2 3 2 3 2 3 2 2 2" xfId="51512" xr:uid="{00000000-0005-0000-0000-0000120F0000}"/>
    <cellStyle name="20% - Accent2 2 3 2 3 2 3 2 3" xfId="38596" xr:uid="{00000000-0005-0000-0000-0000130F0000}"/>
    <cellStyle name="20% - Accent2 2 3 2 3 2 3 3" xfId="19180" xr:uid="{00000000-0005-0000-0000-0000140F0000}"/>
    <cellStyle name="20% - Accent2 2 3 2 3 2 3 3 2" xfId="45054" xr:uid="{00000000-0005-0000-0000-0000150F0000}"/>
    <cellStyle name="20% - Accent2 2 3 2 3 2 3 4" xfId="32138" xr:uid="{00000000-0005-0000-0000-0000160F0000}"/>
    <cellStyle name="20% - Accent2 2 3 2 3 2 4" xfId="9493" xr:uid="{00000000-0005-0000-0000-0000170F0000}"/>
    <cellStyle name="20% - Accent2 2 3 2 3 2 4 2" xfId="22410" xr:uid="{00000000-0005-0000-0000-0000180F0000}"/>
    <cellStyle name="20% - Accent2 2 3 2 3 2 4 2 2" xfId="48284" xr:uid="{00000000-0005-0000-0000-0000190F0000}"/>
    <cellStyle name="20% - Accent2 2 3 2 3 2 4 3" xfId="35368" xr:uid="{00000000-0005-0000-0000-00001A0F0000}"/>
    <cellStyle name="20% - Accent2 2 3 2 3 2 5" xfId="15952" xr:uid="{00000000-0005-0000-0000-00001B0F0000}"/>
    <cellStyle name="20% - Accent2 2 3 2 3 2 5 2" xfId="41826" xr:uid="{00000000-0005-0000-0000-00001C0F0000}"/>
    <cellStyle name="20% - Accent2 2 3 2 3 2 6" xfId="28878" xr:uid="{00000000-0005-0000-0000-00001D0F0000}"/>
    <cellStyle name="20% - Accent2 2 3 2 3 3" xfId="3815" xr:uid="{00000000-0005-0000-0000-00001E0F0000}"/>
    <cellStyle name="20% - Accent2 2 3 2 3 3 2" xfId="7069" xr:uid="{00000000-0005-0000-0000-00001F0F0000}"/>
    <cellStyle name="20% - Accent2 2 3 2 3 3 2 2" xfId="13528" xr:uid="{00000000-0005-0000-0000-0000200F0000}"/>
    <cellStyle name="20% - Accent2 2 3 2 3 3 2 2 2" xfId="26445" xr:uid="{00000000-0005-0000-0000-0000210F0000}"/>
    <cellStyle name="20% - Accent2 2 3 2 3 3 2 2 2 2" xfId="52319" xr:uid="{00000000-0005-0000-0000-0000220F0000}"/>
    <cellStyle name="20% - Accent2 2 3 2 3 3 2 2 3" xfId="39403" xr:uid="{00000000-0005-0000-0000-0000230F0000}"/>
    <cellStyle name="20% - Accent2 2 3 2 3 3 2 3" xfId="19987" xr:uid="{00000000-0005-0000-0000-0000240F0000}"/>
    <cellStyle name="20% - Accent2 2 3 2 3 3 2 3 2" xfId="45861" xr:uid="{00000000-0005-0000-0000-0000250F0000}"/>
    <cellStyle name="20% - Accent2 2 3 2 3 3 2 4" xfId="32945" xr:uid="{00000000-0005-0000-0000-0000260F0000}"/>
    <cellStyle name="20% - Accent2 2 3 2 3 3 3" xfId="10300" xr:uid="{00000000-0005-0000-0000-0000270F0000}"/>
    <cellStyle name="20% - Accent2 2 3 2 3 3 3 2" xfId="23217" xr:uid="{00000000-0005-0000-0000-0000280F0000}"/>
    <cellStyle name="20% - Accent2 2 3 2 3 3 3 2 2" xfId="49091" xr:uid="{00000000-0005-0000-0000-0000290F0000}"/>
    <cellStyle name="20% - Accent2 2 3 2 3 3 3 3" xfId="36175" xr:uid="{00000000-0005-0000-0000-00002A0F0000}"/>
    <cellStyle name="20% - Accent2 2 3 2 3 3 4" xfId="16759" xr:uid="{00000000-0005-0000-0000-00002B0F0000}"/>
    <cellStyle name="20% - Accent2 2 3 2 3 3 4 2" xfId="42633" xr:uid="{00000000-0005-0000-0000-00002C0F0000}"/>
    <cellStyle name="20% - Accent2 2 3 2 3 3 5" xfId="29685" xr:uid="{00000000-0005-0000-0000-00002D0F0000}"/>
    <cellStyle name="20% - Accent2 2 3 2 3 4" xfId="5455" xr:uid="{00000000-0005-0000-0000-00002E0F0000}"/>
    <cellStyle name="20% - Accent2 2 3 2 3 4 2" xfId="11914" xr:uid="{00000000-0005-0000-0000-00002F0F0000}"/>
    <cellStyle name="20% - Accent2 2 3 2 3 4 2 2" xfId="24831" xr:uid="{00000000-0005-0000-0000-0000300F0000}"/>
    <cellStyle name="20% - Accent2 2 3 2 3 4 2 2 2" xfId="50705" xr:uid="{00000000-0005-0000-0000-0000310F0000}"/>
    <cellStyle name="20% - Accent2 2 3 2 3 4 2 3" xfId="37789" xr:uid="{00000000-0005-0000-0000-0000320F0000}"/>
    <cellStyle name="20% - Accent2 2 3 2 3 4 3" xfId="18373" xr:uid="{00000000-0005-0000-0000-0000330F0000}"/>
    <cellStyle name="20% - Accent2 2 3 2 3 4 3 2" xfId="44247" xr:uid="{00000000-0005-0000-0000-0000340F0000}"/>
    <cellStyle name="20% - Accent2 2 3 2 3 4 4" xfId="31331" xr:uid="{00000000-0005-0000-0000-0000350F0000}"/>
    <cellStyle name="20% - Accent2 2 3 2 3 5" xfId="8686" xr:uid="{00000000-0005-0000-0000-0000360F0000}"/>
    <cellStyle name="20% - Accent2 2 3 2 3 5 2" xfId="21603" xr:uid="{00000000-0005-0000-0000-0000370F0000}"/>
    <cellStyle name="20% - Accent2 2 3 2 3 5 2 2" xfId="47477" xr:uid="{00000000-0005-0000-0000-0000380F0000}"/>
    <cellStyle name="20% - Accent2 2 3 2 3 5 3" xfId="34561" xr:uid="{00000000-0005-0000-0000-0000390F0000}"/>
    <cellStyle name="20% - Accent2 2 3 2 3 6" xfId="15145" xr:uid="{00000000-0005-0000-0000-00003A0F0000}"/>
    <cellStyle name="20% - Accent2 2 3 2 3 6 2" xfId="41019" xr:uid="{00000000-0005-0000-0000-00003B0F0000}"/>
    <cellStyle name="20% - Accent2 2 3 2 3 7" xfId="28071" xr:uid="{00000000-0005-0000-0000-00003C0F0000}"/>
    <cellStyle name="20% - Accent2 2 3 2 3 8" xfId="53933" xr:uid="{00000000-0005-0000-0000-00003D0F0000}"/>
    <cellStyle name="20% - Accent2 2 3 2 3 9" xfId="2174" xr:uid="{00000000-0005-0000-0000-00003E0F0000}"/>
    <cellStyle name="20% - Accent2 2 3 2 4" xfId="2585" xr:uid="{00000000-0005-0000-0000-00003F0F0000}"/>
    <cellStyle name="20% - Accent2 2 3 2 4 2" xfId="4242" xr:uid="{00000000-0005-0000-0000-0000400F0000}"/>
    <cellStyle name="20% - Accent2 2 3 2 4 2 2" xfId="7473" xr:uid="{00000000-0005-0000-0000-0000410F0000}"/>
    <cellStyle name="20% - Accent2 2 3 2 4 2 2 2" xfId="13932" xr:uid="{00000000-0005-0000-0000-0000420F0000}"/>
    <cellStyle name="20% - Accent2 2 3 2 4 2 2 2 2" xfId="26849" xr:uid="{00000000-0005-0000-0000-0000430F0000}"/>
    <cellStyle name="20% - Accent2 2 3 2 4 2 2 2 2 2" xfId="52723" xr:uid="{00000000-0005-0000-0000-0000440F0000}"/>
    <cellStyle name="20% - Accent2 2 3 2 4 2 2 2 3" xfId="39807" xr:uid="{00000000-0005-0000-0000-0000450F0000}"/>
    <cellStyle name="20% - Accent2 2 3 2 4 2 2 3" xfId="20391" xr:uid="{00000000-0005-0000-0000-0000460F0000}"/>
    <cellStyle name="20% - Accent2 2 3 2 4 2 2 3 2" xfId="46265" xr:uid="{00000000-0005-0000-0000-0000470F0000}"/>
    <cellStyle name="20% - Accent2 2 3 2 4 2 2 4" xfId="33349" xr:uid="{00000000-0005-0000-0000-0000480F0000}"/>
    <cellStyle name="20% - Accent2 2 3 2 4 2 3" xfId="10704" xr:uid="{00000000-0005-0000-0000-0000490F0000}"/>
    <cellStyle name="20% - Accent2 2 3 2 4 2 3 2" xfId="23621" xr:uid="{00000000-0005-0000-0000-00004A0F0000}"/>
    <cellStyle name="20% - Accent2 2 3 2 4 2 3 2 2" xfId="49495" xr:uid="{00000000-0005-0000-0000-00004B0F0000}"/>
    <cellStyle name="20% - Accent2 2 3 2 4 2 3 3" xfId="36579" xr:uid="{00000000-0005-0000-0000-00004C0F0000}"/>
    <cellStyle name="20% - Accent2 2 3 2 4 2 4" xfId="17163" xr:uid="{00000000-0005-0000-0000-00004D0F0000}"/>
    <cellStyle name="20% - Accent2 2 3 2 4 2 4 2" xfId="43037" xr:uid="{00000000-0005-0000-0000-00004E0F0000}"/>
    <cellStyle name="20% - Accent2 2 3 2 4 2 5" xfId="30089" xr:uid="{00000000-0005-0000-0000-00004F0F0000}"/>
    <cellStyle name="20% - Accent2 2 3 2 4 3" xfId="5859" xr:uid="{00000000-0005-0000-0000-0000500F0000}"/>
    <cellStyle name="20% - Accent2 2 3 2 4 3 2" xfId="12318" xr:uid="{00000000-0005-0000-0000-0000510F0000}"/>
    <cellStyle name="20% - Accent2 2 3 2 4 3 2 2" xfId="25235" xr:uid="{00000000-0005-0000-0000-0000520F0000}"/>
    <cellStyle name="20% - Accent2 2 3 2 4 3 2 2 2" xfId="51109" xr:uid="{00000000-0005-0000-0000-0000530F0000}"/>
    <cellStyle name="20% - Accent2 2 3 2 4 3 2 3" xfId="38193" xr:uid="{00000000-0005-0000-0000-0000540F0000}"/>
    <cellStyle name="20% - Accent2 2 3 2 4 3 3" xfId="18777" xr:uid="{00000000-0005-0000-0000-0000550F0000}"/>
    <cellStyle name="20% - Accent2 2 3 2 4 3 3 2" xfId="44651" xr:uid="{00000000-0005-0000-0000-0000560F0000}"/>
    <cellStyle name="20% - Accent2 2 3 2 4 3 4" xfId="31735" xr:uid="{00000000-0005-0000-0000-0000570F0000}"/>
    <cellStyle name="20% - Accent2 2 3 2 4 4" xfId="9090" xr:uid="{00000000-0005-0000-0000-0000580F0000}"/>
    <cellStyle name="20% - Accent2 2 3 2 4 4 2" xfId="22007" xr:uid="{00000000-0005-0000-0000-0000590F0000}"/>
    <cellStyle name="20% - Accent2 2 3 2 4 4 2 2" xfId="47881" xr:uid="{00000000-0005-0000-0000-00005A0F0000}"/>
    <cellStyle name="20% - Accent2 2 3 2 4 4 3" xfId="34965" xr:uid="{00000000-0005-0000-0000-00005B0F0000}"/>
    <cellStyle name="20% - Accent2 2 3 2 4 5" xfId="15549" xr:uid="{00000000-0005-0000-0000-00005C0F0000}"/>
    <cellStyle name="20% - Accent2 2 3 2 4 5 2" xfId="41423" xr:uid="{00000000-0005-0000-0000-00005D0F0000}"/>
    <cellStyle name="20% - Accent2 2 3 2 4 6" xfId="28475" xr:uid="{00000000-0005-0000-0000-00005E0F0000}"/>
    <cellStyle name="20% - Accent2 2 3 2 5" xfId="3412" xr:uid="{00000000-0005-0000-0000-00005F0F0000}"/>
    <cellStyle name="20% - Accent2 2 3 2 5 2" xfId="6666" xr:uid="{00000000-0005-0000-0000-0000600F0000}"/>
    <cellStyle name="20% - Accent2 2 3 2 5 2 2" xfId="13125" xr:uid="{00000000-0005-0000-0000-0000610F0000}"/>
    <cellStyle name="20% - Accent2 2 3 2 5 2 2 2" xfId="26042" xr:uid="{00000000-0005-0000-0000-0000620F0000}"/>
    <cellStyle name="20% - Accent2 2 3 2 5 2 2 2 2" xfId="51916" xr:uid="{00000000-0005-0000-0000-0000630F0000}"/>
    <cellStyle name="20% - Accent2 2 3 2 5 2 2 3" xfId="39000" xr:uid="{00000000-0005-0000-0000-0000640F0000}"/>
    <cellStyle name="20% - Accent2 2 3 2 5 2 3" xfId="19584" xr:uid="{00000000-0005-0000-0000-0000650F0000}"/>
    <cellStyle name="20% - Accent2 2 3 2 5 2 3 2" xfId="45458" xr:uid="{00000000-0005-0000-0000-0000660F0000}"/>
    <cellStyle name="20% - Accent2 2 3 2 5 2 4" xfId="32542" xr:uid="{00000000-0005-0000-0000-0000670F0000}"/>
    <cellStyle name="20% - Accent2 2 3 2 5 3" xfId="9897" xr:uid="{00000000-0005-0000-0000-0000680F0000}"/>
    <cellStyle name="20% - Accent2 2 3 2 5 3 2" xfId="22814" xr:uid="{00000000-0005-0000-0000-0000690F0000}"/>
    <cellStyle name="20% - Accent2 2 3 2 5 3 2 2" xfId="48688" xr:uid="{00000000-0005-0000-0000-00006A0F0000}"/>
    <cellStyle name="20% - Accent2 2 3 2 5 3 3" xfId="35772" xr:uid="{00000000-0005-0000-0000-00006B0F0000}"/>
    <cellStyle name="20% - Accent2 2 3 2 5 4" xfId="16356" xr:uid="{00000000-0005-0000-0000-00006C0F0000}"/>
    <cellStyle name="20% - Accent2 2 3 2 5 4 2" xfId="42230" xr:uid="{00000000-0005-0000-0000-00006D0F0000}"/>
    <cellStyle name="20% - Accent2 2 3 2 5 5" xfId="29282" xr:uid="{00000000-0005-0000-0000-00006E0F0000}"/>
    <cellStyle name="20% - Accent2 2 3 2 6" xfId="5052" xr:uid="{00000000-0005-0000-0000-00006F0F0000}"/>
    <cellStyle name="20% - Accent2 2 3 2 6 2" xfId="11511" xr:uid="{00000000-0005-0000-0000-0000700F0000}"/>
    <cellStyle name="20% - Accent2 2 3 2 6 2 2" xfId="24428" xr:uid="{00000000-0005-0000-0000-0000710F0000}"/>
    <cellStyle name="20% - Accent2 2 3 2 6 2 2 2" xfId="50302" xr:uid="{00000000-0005-0000-0000-0000720F0000}"/>
    <cellStyle name="20% - Accent2 2 3 2 6 2 3" xfId="37386" xr:uid="{00000000-0005-0000-0000-0000730F0000}"/>
    <cellStyle name="20% - Accent2 2 3 2 6 3" xfId="17970" xr:uid="{00000000-0005-0000-0000-0000740F0000}"/>
    <cellStyle name="20% - Accent2 2 3 2 6 3 2" xfId="43844" xr:uid="{00000000-0005-0000-0000-0000750F0000}"/>
    <cellStyle name="20% - Accent2 2 3 2 6 4" xfId="30928" xr:uid="{00000000-0005-0000-0000-0000760F0000}"/>
    <cellStyle name="20% - Accent2 2 3 2 7" xfId="8282" xr:uid="{00000000-0005-0000-0000-0000770F0000}"/>
    <cellStyle name="20% - Accent2 2 3 2 7 2" xfId="21199" xr:uid="{00000000-0005-0000-0000-0000780F0000}"/>
    <cellStyle name="20% - Accent2 2 3 2 7 2 2" xfId="47073" xr:uid="{00000000-0005-0000-0000-0000790F0000}"/>
    <cellStyle name="20% - Accent2 2 3 2 7 3" xfId="34157" xr:uid="{00000000-0005-0000-0000-00007A0F0000}"/>
    <cellStyle name="20% - Accent2 2 3 2 8" xfId="14741" xr:uid="{00000000-0005-0000-0000-00007B0F0000}"/>
    <cellStyle name="20% - Accent2 2 3 2 8 2" xfId="40615" xr:uid="{00000000-0005-0000-0000-00007C0F0000}"/>
    <cellStyle name="20% - Accent2 2 3 2 9" xfId="27665" xr:uid="{00000000-0005-0000-0000-00007D0F0000}"/>
    <cellStyle name="20% - Accent2 2 3 3" xfId="524" xr:uid="{00000000-0005-0000-0000-00007E0F0000}"/>
    <cellStyle name="20% - Accent2 2 3 3 10" xfId="1842" xr:uid="{00000000-0005-0000-0000-00007F0F0000}"/>
    <cellStyle name="20% - Accent2 2 3 3 2" xfId="2284" xr:uid="{00000000-0005-0000-0000-0000800F0000}"/>
    <cellStyle name="20% - Accent2 2 3 3 2 2" xfId="3098" xr:uid="{00000000-0005-0000-0000-0000810F0000}"/>
    <cellStyle name="20% - Accent2 2 3 3 2 2 2" xfId="4755" xr:uid="{00000000-0005-0000-0000-0000820F0000}"/>
    <cellStyle name="20% - Accent2 2 3 3 2 2 2 2" xfId="7986" xr:uid="{00000000-0005-0000-0000-0000830F0000}"/>
    <cellStyle name="20% - Accent2 2 3 3 2 2 2 2 2" xfId="14445" xr:uid="{00000000-0005-0000-0000-0000840F0000}"/>
    <cellStyle name="20% - Accent2 2 3 3 2 2 2 2 2 2" xfId="27362" xr:uid="{00000000-0005-0000-0000-0000850F0000}"/>
    <cellStyle name="20% - Accent2 2 3 3 2 2 2 2 2 2 2" xfId="53236" xr:uid="{00000000-0005-0000-0000-0000860F0000}"/>
    <cellStyle name="20% - Accent2 2 3 3 2 2 2 2 2 3" xfId="40320" xr:uid="{00000000-0005-0000-0000-0000870F0000}"/>
    <cellStyle name="20% - Accent2 2 3 3 2 2 2 2 3" xfId="20904" xr:uid="{00000000-0005-0000-0000-0000880F0000}"/>
    <cellStyle name="20% - Accent2 2 3 3 2 2 2 2 3 2" xfId="46778" xr:uid="{00000000-0005-0000-0000-0000890F0000}"/>
    <cellStyle name="20% - Accent2 2 3 3 2 2 2 2 4" xfId="33862" xr:uid="{00000000-0005-0000-0000-00008A0F0000}"/>
    <cellStyle name="20% - Accent2 2 3 3 2 2 2 3" xfId="11217" xr:uid="{00000000-0005-0000-0000-00008B0F0000}"/>
    <cellStyle name="20% - Accent2 2 3 3 2 2 2 3 2" xfId="24134" xr:uid="{00000000-0005-0000-0000-00008C0F0000}"/>
    <cellStyle name="20% - Accent2 2 3 3 2 2 2 3 2 2" xfId="50008" xr:uid="{00000000-0005-0000-0000-00008D0F0000}"/>
    <cellStyle name="20% - Accent2 2 3 3 2 2 2 3 3" xfId="37092" xr:uid="{00000000-0005-0000-0000-00008E0F0000}"/>
    <cellStyle name="20% - Accent2 2 3 3 2 2 2 4" xfId="17676" xr:uid="{00000000-0005-0000-0000-00008F0F0000}"/>
    <cellStyle name="20% - Accent2 2 3 3 2 2 2 4 2" xfId="43550" xr:uid="{00000000-0005-0000-0000-0000900F0000}"/>
    <cellStyle name="20% - Accent2 2 3 3 2 2 2 5" xfId="30602" xr:uid="{00000000-0005-0000-0000-0000910F0000}"/>
    <cellStyle name="20% - Accent2 2 3 3 2 2 3" xfId="6372" xr:uid="{00000000-0005-0000-0000-0000920F0000}"/>
    <cellStyle name="20% - Accent2 2 3 3 2 2 3 2" xfId="12831" xr:uid="{00000000-0005-0000-0000-0000930F0000}"/>
    <cellStyle name="20% - Accent2 2 3 3 2 2 3 2 2" xfId="25748" xr:uid="{00000000-0005-0000-0000-0000940F0000}"/>
    <cellStyle name="20% - Accent2 2 3 3 2 2 3 2 2 2" xfId="51622" xr:uid="{00000000-0005-0000-0000-0000950F0000}"/>
    <cellStyle name="20% - Accent2 2 3 3 2 2 3 2 3" xfId="38706" xr:uid="{00000000-0005-0000-0000-0000960F0000}"/>
    <cellStyle name="20% - Accent2 2 3 3 2 2 3 3" xfId="19290" xr:uid="{00000000-0005-0000-0000-0000970F0000}"/>
    <cellStyle name="20% - Accent2 2 3 3 2 2 3 3 2" xfId="45164" xr:uid="{00000000-0005-0000-0000-0000980F0000}"/>
    <cellStyle name="20% - Accent2 2 3 3 2 2 3 4" xfId="32248" xr:uid="{00000000-0005-0000-0000-0000990F0000}"/>
    <cellStyle name="20% - Accent2 2 3 3 2 2 4" xfId="9603" xr:uid="{00000000-0005-0000-0000-00009A0F0000}"/>
    <cellStyle name="20% - Accent2 2 3 3 2 2 4 2" xfId="22520" xr:uid="{00000000-0005-0000-0000-00009B0F0000}"/>
    <cellStyle name="20% - Accent2 2 3 3 2 2 4 2 2" xfId="48394" xr:uid="{00000000-0005-0000-0000-00009C0F0000}"/>
    <cellStyle name="20% - Accent2 2 3 3 2 2 4 3" xfId="35478" xr:uid="{00000000-0005-0000-0000-00009D0F0000}"/>
    <cellStyle name="20% - Accent2 2 3 3 2 2 5" xfId="16062" xr:uid="{00000000-0005-0000-0000-00009E0F0000}"/>
    <cellStyle name="20% - Accent2 2 3 3 2 2 5 2" xfId="41936" xr:uid="{00000000-0005-0000-0000-00009F0F0000}"/>
    <cellStyle name="20% - Accent2 2 3 3 2 2 6" xfId="28988" xr:uid="{00000000-0005-0000-0000-0000A00F0000}"/>
    <cellStyle name="20% - Accent2 2 3 3 2 3" xfId="3925" xr:uid="{00000000-0005-0000-0000-0000A10F0000}"/>
    <cellStyle name="20% - Accent2 2 3 3 2 3 2" xfId="7179" xr:uid="{00000000-0005-0000-0000-0000A20F0000}"/>
    <cellStyle name="20% - Accent2 2 3 3 2 3 2 2" xfId="13638" xr:uid="{00000000-0005-0000-0000-0000A30F0000}"/>
    <cellStyle name="20% - Accent2 2 3 3 2 3 2 2 2" xfId="26555" xr:uid="{00000000-0005-0000-0000-0000A40F0000}"/>
    <cellStyle name="20% - Accent2 2 3 3 2 3 2 2 2 2" xfId="52429" xr:uid="{00000000-0005-0000-0000-0000A50F0000}"/>
    <cellStyle name="20% - Accent2 2 3 3 2 3 2 2 3" xfId="39513" xr:uid="{00000000-0005-0000-0000-0000A60F0000}"/>
    <cellStyle name="20% - Accent2 2 3 3 2 3 2 3" xfId="20097" xr:uid="{00000000-0005-0000-0000-0000A70F0000}"/>
    <cellStyle name="20% - Accent2 2 3 3 2 3 2 3 2" xfId="45971" xr:uid="{00000000-0005-0000-0000-0000A80F0000}"/>
    <cellStyle name="20% - Accent2 2 3 3 2 3 2 4" xfId="33055" xr:uid="{00000000-0005-0000-0000-0000A90F0000}"/>
    <cellStyle name="20% - Accent2 2 3 3 2 3 3" xfId="10410" xr:uid="{00000000-0005-0000-0000-0000AA0F0000}"/>
    <cellStyle name="20% - Accent2 2 3 3 2 3 3 2" xfId="23327" xr:uid="{00000000-0005-0000-0000-0000AB0F0000}"/>
    <cellStyle name="20% - Accent2 2 3 3 2 3 3 2 2" xfId="49201" xr:uid="{00000000-0005-0000-0000-0000AC0F0000}"/>
    <cellStyle name="20% - Accent2 2 3 3 2 3 3 3" xfId="36285" xr:uid="{00000000-0005-0000-0000-0000AD0F0000}"/>
    <cellStyle name="20% - Accent2 2 3 3 2 3 4" xfId="16869" xr:uid="{00000000-0005-0000-0000-0000AE0F0000}"/>
    <cellStyle name="20% - Accent2 2 3 3 2 3 4 2" xfId="42743" xr:uid="{00000000-0005-0000-0000-0000AF0F0000}"/>
    <cellStyle name="20% - Accent2 2 3 3 2 3 5" xfId="29795" xr:uid="{00000000-0005-0000-0000-0000B00F0000}"/>
    <cellStyle name="20% - Accent2 2 3 3 2 4" xfId="5565" xr:uid="{00000000-0005-0000-0000-0000B10F0000}"/>
    <cellStyle name="20% - Accent2 2 3 3 2 4 2" xfId="12024" xr:uid="{00000000-0005-0000-0000-0000B20F0000}"/>
    <cellStyle name="20% - Accent2 2 3 3 2 4 2 2" xfId="24941" xr:uid="{00000000-0005-0000-0000-0000B30F0000}"/>
    <cellStyle name="20% - Accent2 2 3 3 2 4 2 2 2" xfId="50815" xr:uid="{00000000-0005-0000-0000-0000B40F0000}"/>
    <cellStyle name="20% - Accent2 2 3 3 2 4 2 3" xfId="37899" xr:uid="{00000000-0005-0000-0000-0000B50F0000}"/>
    <cellStyle name="20% - Accent2 2 3 3 2 4 3" xfId="18483" xr:uid="{00000000-0005-0000-0000-0000B60F0000}"/>
    <cellStyle name="20% - Accent2 2 3 3 2 4 3 2" xfId="44357" xr:uid="{00000000-0005-0000-0000-0000B70F0000}"/>
    <cellStyle name="20% - Accent2 2 3 3 2 4 4" xfId="31441" xr:uid="{00000000-0005-0000-0000-0000B80F0000}"/>
    <cellStyle name="20% - Accent2 2 3 3 2 5" xfId="8796" xr:uid="{00000000-0005-0000-0000-0000B90F0000}"/>
    <cellStyle name="20% - Accent2 2 3 3 2 5 2" xfId="21713" xr:uid="{00000000-0005-0000-0000-0000BA0F0000}"/>
    <cellStyle name="20% - Accent2 2 3 3 2 5 2 2" xfId="47587" xr:uid="{00000000-0005-0000-0000-0000BB0F0000}"/>
    <cellStyle name="20% - Accent2 2 3 3 2 5 3" xfId="34671" xr:uid="{00000000-0005-0000-0000-0000BC0F0000}"/>
    <cellStyle name="20% - Accent2 2 3 3 2 6" xfId="15255" xr:uid="{00000000-0005-0000-0000-0000BD0F0000}"/>
    <cellStyle name="20% - Accent2 2 3 3 2 6 2" xfId="41129" xr:uid="{00000000-0005-0000-0000-0000BE0F0000}"/>
    <cellStyle name="20% - Accent2 2 3 3 2 7" xfId="28181" xr:uid="{00000000-0005-0000-0000-0000BF0F0000}"/>
    <cellStyle name="20% - Accent2 2 3 3 2 8" xfId="54043" xr:uid="{00000000-0005-0000-0000-0000C00F0000}"/>
    <cellStyle name="20% - Accent2 2 3 3 3" xfId="2695" xr:uid="{00000000-0005-0000-0000-0000C10F0000}"/>
    <cellStyle name="20% - Accent2 2 3 3 3 2" xfId="4352" xr:uid="{00000000-0005-0000-0000-0000C20F0000}"/>
    <cellStyle name="20% - Accent2 2 3 3 3 2 2" xfId="7583" xr:uid="{00000000-0005-0000-0000-0000C30F0000}"/>
    <cellStyle name="20% - Accent2 2 3 3 3 2 2 2" xfId="14042" xr:uid="{00000000-0005-0000-0000-0000C40F0000}"/>
    <cellStyle name="20% - Accent2 2 3 3 3 2 2 2 2" xfId="26959" xr:uid="{00000000-0005-0000-0000-0000C50F0000}"/>
    <cellStyle name="20% - Accent2 2 3 3 3 2 2 2 2 2" xfId="52833" xr:uid="{00000000-0005-0000-0000-0000C60F0000}"/>
    <cellStyle name="20% - Accent2 2 3 3 3 2 2 2 3" xfId="39917" xr:uid="{00000000-0005-0000-0000-0000C70F0000}"/>
    <cellStyle name="20% - Accent2 2 3 3 3 2 2 3" xfId="20501" xr:uid="{00000000-0005-0000-0000-0000C80F0000}"/>
    <cellStyle name="20% - Accent2 2 3 3 3 2 2 3 2" xfId="46375" xr:uid="{00000000-0005-0000-0000-0000C90F0000}"/>
    <cellStyle name="20% - Accent2 2 3 3 3 2 2 4" xfId="33459" xr:uid="{00000000-0005-0000-0000-0000CA0F0000}"/>
    <cellStyle name="20% - Accent2 2 3 3 3 2 3" xfId="10814" xr:uid="{00000000-0005-0000-0000-0000CB0F0000}"/>
    <cellStyle name="20% - Accent2 2 3 3 3 2 3 2" xfId="23731" xr:uid="{00000000-0005-0000-0000-0000CC0F0000}"/>
    <cellStyle name="20% - Accent2 2 3 3 3 2 3 2 2" xfId="49605" xr:uid="{00000000-0005-0000-0000-0000CD0F0000}"/>
    <cellStyle name="20% - Accent2 2 3 3 3 2 3 3" xfId="36689" xr:uid="{00000000-0005-0000-0000-0000CE0F0000}"/>
    <cellStyle name="20% - Accent2 2 3 3 3 2 4" xfId="17273" xr:uid="{00000000-0005-0000-0000-0000CF0F0000}"/>
    <cellStyle name="20% - Accent2 2 3 3 3 2 4 2" xfId="43147" xr:uid="{00000000-0005-0000-0000-0000D00F0000}"/>
    <cellStyle name="20% - Accent2 2 3 3 3 2 5" xfId="30199" xr:uid="{00000000-0005-0000-0000-0000D10F0000}"/>
    <cellStyle name="20% - Accent2 2 3 3 3 3" xfId="5969" xr:uid="{00000000-0005-0000-0000-0000D20F0000}"/>
    <cellStyle name="20% - Accent2 2 3 3 3 3 2" xfId="12428" xr:uid="{00000000-0005-0000-0000-0000D30F0000}"/>
    <cellStyle name="20% - Accent2 2 3 3 3 3 2 2" xfId="25345" xr:uid="{00000000-0005-0000-0000-0000D40F0000}"/>
    <cellStyle name="20% - Accent2 2 3 3 3 3 2 2 2" xfId="51219" xr:uid="{00000000-0005-0000-0000-0000D50F0000}"/>
    <cellStyle name="20% - Accent2 2 3 3 3 3 2 3" xfId="38303" xr:uid="{00000000-0005-0000-0000-0000D60F0000}"/>
    <cellStyle name="20% - Accent2 2 3 3 3 3 3" xfId="18887" xr:uid="{00000000-0005-0000-0000-0000D70F0000}"/>
    <cellStyle name="20% - Accent2 2 3 3 3 3 3 2" xfId="44761" xr:uid="{00000000-0005-0000-0000-0000D80F0000}"/>
    <cellStyle name="20% - Accent2 2 3 3 3 3 4" xfId="31845" xr:uid="{00000000-0005-0000-0000-0000D90F0000}"/>
    <cellStyle name="20% - Accent2 2 3 3 3 4" xfId="9200" xr:uid="{00000000-0005-0000-0000-0000DA0F0000}"/>
    <cellStyle name="20% - Accent2 2 3 3 3 4 2" xfId="22117" xr:uid="{00000000-0005-0000-0000-0000DB0F0000}"/>
    <cellStyle name="20% - Accent2 2 3 3 3 4 2 2" xfId="47991" xr:uid="{00000000-0005-0000-0000-0000DC0F0000}"/>
    <cellStyle name="20% - Accent2 2 3 3 3 4 3" xfId="35075" xr:uid="{00000000-0005-0000-0000-0000DD0F0000}"/>
    <cellStyle name="20% - Accent2 2 3 3 3 5" xfId="15659" xr:uid="{00000000-0005-0000-0000-0000DE0F0000}"/>
    <cellStyle name="20% - Accent2 2 3 3 3 5 2" xfId="41533" xr:uid="{00000000-0005-0000-0000-0000DF0F0000}"/>
    <cellStyle name="20% - Accent2 2 3 3 3 6" xfId="28585" xr:uid="{00000000-0005-0000-0000-0000E00F0000}"/>
    <cellStyle name="20% - Accent2 2 3 3 4" xfId="3522" xr:uid="{00000000-0005-0000-0000-0000E10F0000}"/>
    <cellStyle name="20% - Accent2 2 3 3 4 2" xfId="6776" xr:uid="{00000000-0005-0000-0000-0000E20F0000}"/>
    <cellStyle name="20% - Accent2 2 3 3 4 2 2" xfId="13235" xr:uid="{00000000-0005-0000-0000-0000E30F0000}"/>
    <cellStyle name="20% - Accent2 2 3 3 4 2 2 2" xfId="26152" xr:uid="{00000000-0005-0000-0000-0000E40F0000}"/>
    <cellStyle name="20% - Accent2 2 3 3 4 2 2 2 2" xfId="52026" xr:uid="{00000000-0005-0000-0000-0000E50F0000}"/>
    <cellStyle name="20% - Accent2 2 3 3 4 2 2 3" xfId="39110" xr:uid="{00000000-0005-0000-0000-0000E60F0000}"/>
    <cellStyle name="20% - Accent2 2 3 3 4 2 3" xfId="19694" xr:uid="{00000000-0005-0000-0000-0000E70F0000}"/>
    <cellStyle name="20% - Accent2 2 3 3 4 2 3 2" xfId="45568" xr:uid="{00000000-0005-0000-0000-0000E80F0000}"/>
    <cellStyle name="20% - Accent2 2 3 3 4 2 4" xfId="32652" xr:uid="{00000000-0005-0000-0000-0000E90F0000}"/>
    <cellStyle name="20% - Accent2 2 3 3 4 3" xfId="10007" xr:uid="{00000000-0005-0000-0000-0000EA0F0000}"/>
    <cellStyle name="20% - Accent2 2 3 3 4 3 2" xfId="22924" xr:uid="{00000000-0005-0000-0000-0000EB0F0000}"/>
    <cellStyle name="20% - Accent2 2 3 3 4 3 2 2" xfId="48798" xr:uid="{00000000-0005-0000-0000-0000EC0F0000}"/>
    <cellStyle name="20% - Accent2 2 3 3 4 3 3" xfId="35882" xr:uid="{00000000-0005-0000-0000-0000ED0F0000}"/>
    <cellStyle name="20% - Accent2 2 3 3 4 4" xfId="16466" xr:uid="{00000000-0005-0000-0000-0000EE0F0000}"/>
    <cellStyle name="20% - Accent2 2 3 3 4 4 2" xfId="42340" xr:uid="{00000000-0005-0000-0000-0000EF0F0000}"/>
    <cellStyle name="20% - Accent2 2 3 3 4 5" xfId="29392" xr:uid="{00000000-0005-0000-0000-0000F00F0000}"/>
    <cellStyle name="20% - Accent2 2 3 3 5" xfId="5162" xr:uid="{00000000-0005-0000-0000-0000F10F0000}"/>
    <cellStyle name="20% - Accent2 2 3 3 5 2" xfId="11621" xr:uid="{00000000-0005-0000-0000-0000F20F0000}"/>
    <cellStyle name="20% - Accent2 2 3 3 5 2 2" xfId="24538" xr:uid="{00000000-0005-0000-0000-0000F30F0000}"/>
    <cellStyle name="20% - Accent2 2 3 3 5 2 2 2" xfId="50412" xr:uid="{00000000-0005-0000-0000-0000F40F0000}"/>
    <cellStyle name="20% - Accent2 2 3 3 5 2 3" xfId="37496" xr:uid="{00000000-0005-0000-0000-0000F50F0000}"/>
    <cellStyle name="20% - Accent2 2 3 3 5 3" xfId="18080" xr:uid="{00000000-0005-0000-0000-0000F60F0000}"/>
    <cellStyle name="20% - Accent2 2 3 3 5 3 2" xfId="43954" xr:uid="{00000000-0005-0000-0000-0000F70F0000}"/>
    <cellStyle name="20% - Accent2 2 3 3 5 4" xfId="31038" xr:uid="{00000000-0005-0000-0000-0000F80F0000}"/>
    <cellStyle name="20% - Accent2 2 3 3 6" xfId="8392" xr:uid="{00000000-0005-0000-0000-0000F90F0000}"/>
    <cellStyle name="20% - Accent2 2 3 3 6 2" xfId="21309" xr:uid="{00000000-0005-0000-0000-0000FA0F0000}"/>
    <cellStyle name="20% - Accent2 2 3 3 6 2 2" xfId="47183" xr:uid="{00000000-0005-0000-0000-0000FB0F0000}"/>
    <cellStyle name="20% - Accent2 2 3 3 6 3" xfId="34267" xr:uid="{00000000-0005-0000-0000-0000FC0F0000}"/>
    <cellStyle name="20% - Accent2 2 3 3 7" xfId="14851" xr:uid="{00000000-0005-0000-0000-0000FD0F0000}"/>
    <cellStyle name="20% - Accent2 2 3 3 7 2" xfId="40725" xr:uid="{00000000-0005-0000-0000-0000FE0F0000}"/>
    <cellStyle name="20% - Accent2 2 3 3 8" xfId="27777" xr:uid="{00000000-0005-0000-0000-0000FF0F0000}"/>
    <cellStyle name="20% - Accent2 2 3 3 9" xfId="53640" xr:uid="{00000000-0005-0000-0000-000000100000}"/>
    <cellStyle name="20% - Accent2 2 3 4" xfId="521" xr:uid="{00000000-0005-0000-0000-000001100000}"/>
    <cellStyle name="20% - Accent2 2 3 4 2" xfId="2884" xr:uid="{00000000-0005-0000-0000-000002100000}"/>
    <cellStyle name="20% - Accent2 2 3 4 2 2" xfId="4541" xr:uid="{00000000-0005-0000-0000-000003100000}"/>
    <cellStyle name="20% - Accent2 2 3 4 2 2 2" xfId="7772" xr:uid="{00000000-0005-0000-0000-000004100000}"/>
    <cellStyle name="20% - Accent2 2 3 4 2 2 2 2" xfId="14231" xr:uid="{00000000-0005-0000-0000-000005100000}"/>
    <cellStyle name="20% - Accent2 2 3 4 2 2 2 2 2" xfId="27148" xr:uid="{00000000-0005-0000-0000-000006100000}"/>
    <cellStyle name="20% - Accent2 2 3 4 2 2 2 2 2 2" xfId="53022" xr:uid="{00000000-0005-0000-0000-000007100000}"/>
    <cellStyle name="20% - Accent2 2 3 4 2 2 2 2 3" xfId="40106" xr:uid="{00000000-0005-0000-0000-000008100000}"/>
    <cellStyle name="20% - Accent2 2 3 4 2 2 2 3" xfId="20690" xr:uid="{00000000-0005-0000-0000-000009100000}"/>
    <cellStyle name="20% - Accent2 2 3 4 2 2 2 3 2" xfId="46564" xr:uid="{00000000-0005-0000-0000-00000A100000}"/>
    <cellStyle name="20% - Accent2 2 3 4 2 2 2 4" xfId="33648" xr:uid="{00000000-0005-0000-0000-00000B100000}"/>
    <cellStyle name="20% - Accent2 2 3 4 2 2 3" xfId="11003" xr:uid="{00000000-0005-0000-0000-00000C100000}"/>
    <cellStyle name="20% - Accent2 2 3 4 2 2 3 2" xfId="23920" xr:uid="{00000000-0005-0000-0000-00000D100000}"/>
    <cellStyle name="20% - Accent2 2 3 4 2 2 3 2 2" xfId="49794" xr:uid="{00000000-0005-0000-0000-00000E100000}"/>
    <cellStyle name="20% - Accent2 2 3 4 2 2 3 3" xfId="36878" xr:uid="{00000000-0005-0000-0000-00000F100000}"/>
    <cellStyle name="20% - Accent2 2 3 4 2 2 4" xfId="17462" xr:uid="{00000000-0005-0000-0000-000010100000}"/>
    <cellStyle name="20% - Accent2 2 3 4 2 2 4 2" xfId="43336" xr:uid="{00000000-0005-0000-0000-000011100000}"/>
    <cellStyle name="20% - Accent2 2 3 4 2 2 5" xfId="30388" xr:uid="{00000000-0005-0000-0000-000012100000}"/>
    <cellStyle name="20% - Accent2 2 3 4 2 3" xfId="6158" xr:uid="{00000000-0005-0000-0000-000013100000}"/>
    <cellStyle name="20% - Accent2 2 3 4 2 3 2" xfId="12617" xr:uid="{00000000-0005-0000-0000-000014100000}"/>
    <cellStyle name="20% - Accent2 2 3 4 2 3 2 2" xfId="25534" xr:uid="{00000000-0005-0000-0000-000015100000}"/>
    <cellStyle name="20% - Accent2 2 3 4 2 3 2 2 2" xfId="51408" xr:uid="{00000000-0005-0000-0000-000016100000}"/>
    <cellStyle name="20% - Accent2 2 3 4 2 3 2 3" xfId="38492" xr:uid="{00000000-0005-0000-0000-000017100000}"/>
    <cellStyle name="20% - Accent2 2 3 4 2 3 3" xfId="19076" xr:uid="{00000000-0005-0000-0000-000018100000}"/>
    <cellStyle name="20% - Accent2 2 3 4 2 3 3 2" xfId="44950" xr:uid="{00000000-0005-0000-0000-000019100000}"/>
    <cellStyle name="20% - Accent2 2 3 4 2 3 4" xfId="32034" xr:uid="{00000000-0005-0000-0000-00001A100000}"/>
    <cellStyle name="20% - Accent2 2 3 4 2 4" xfId="9389" xr:uid="{00000000-0005-0000-0000-00001B100000}"/>
    <cellStyle name="20% - Accent2 2 3 4 2 4 2" xfId="22306" xr:uid="{00000000-0005-0000-0000-00001C100000}"/>
    <cellStyle name="20% - Accent2 2 3 4 2 4 2 2" xfId="48180" xr:uid="{00000000-0005-0000-0000-00001D100000}"/>
    <cellStyle name="20% - Accent2 2 3 4 2 4 3" xfId="35264" xr:uid="{00000000-0005-0000-0000-00001E100000}"/>
    <cellStyle name="20% - Accent2 2 3 4 2 5" xfId="15848" xr:uid="{00000000-0005-0000-0000-00001F100000}"/>
    <cellStyle name="20% - Accent2 2 3 4 2 5 2" xfId="41722" xr:uid="{00000000-0005-0000-0000-000020100000}"/>
    <cellStyle name="20% - Accent2 2 3 4 2 6" xfId="28774" xr:uid="{00000000-0005-0000-0000-000021100000}"/>
    <cellStyle name="20% - Accent2 2 3 4 3" xfId="3711" xr:uid="{00000000-0005-0000-0000-000022100000}"/>
    <cellStyle name="20% - Accent2 2 3 4 3 2" xfId="6965" xr:uid="{00000000-0005-0000-0000-000023100000}"/>
    <cellStyle name="20% - Accent2 2 3 4 3 2 2" xfId="13424" xr:uid="{00000000-0005-0000-0000-000024100000}"/>
    <cellStyle name="20% - Accent2 2 3 4 3 2 2 2" xfId="26341" xr:uid="{00000000-0005-0000-0000-000025100000}"/>
    <cellStyle name="20% - Accent2 2 3 4 3 2 2 2 2" xfId="52215" xr:uid="{00000000-0005-0000-0000-000026100000}"/>
    <cellStyle name="20% - Accent2 2 3 4 3 2 2 3" xfId="39299" xr:uid="{00000000-0005-0000-0000-000027100000}"/>
    <cellStyle name="20% - Accent2 2 3 4 3 2 3" xfId="19883" xr:uid="{00000000-0005-0000-0000-000028100000}"/>
    <cellStyle name="20% - Accent2 2 3 4 3 2 3 2" xfId="45757" xr:uid="{00000000-0005-0000-0000-000029100000}"/>
    <cellStyle name="20% - Accent2 2 3 4 3 2 4" xfId="32841" xr:uid="{00000000-0005-0000-0000-00002A100000}"/>
    <cellStyle name="20% - Accent2 2 3 4 3 3" xfId="10196" xr:uid="{00000000-0005-0000-0000-00002B100000}"/>
    <cellStyle name="20% - Accent2 2 3 4 3 3 2" xfId="23113" xr:uid="{00000000-0005-0000-0000-00002C100000}"/>
    <cellStyle name="20% - Accent2 2 3 4 3 3 2 2" xfId="48987" xr:uid="{00000000-0005-0000-0000-00002D100000}"/>
    <cellStyle name="20% - Accent2 2 3 4 3 3 3" xfId="36071" xr:uid="{00000000-0005-0000-0000-00002E100000}"/>
    <cellStyle name="20% - Accent2 2 3 4 3 4" xfId="16655" xr:uid="{00000000-0005-0000-0000-00002F100000}"/>
    <cellStyle name="20% - Accent2 2 3 4 3 4 2" xfId="42529" xr:uid="{00000000-0005-0000-0000-000030100000}"/>
    <cellStyle name="20% - Accent2 2 3 4 3 5" xfId="29581" xr:uid="{00000000-0005-0000-0000-000031100000}"/>
    <cellStyle name="20% - Accent2 2 3 4 4" xfId="5351" xr:uid="{00000000-0005-0000-0000-000032100000}"/>
    <cellStyle name="20% - Accent2 2 3 4 4 2" xfId="11810" xr:uid="{00000000-0005-0000-0000-000033100000}"/>
    <cellStyle name="20% - Accent2 2 3 4 4 2 2" xfId="24727" xr:uid="{00000000-0005-0000-0000-000034100000}"/>
    <cellStyle name="20% - Accent2 2 3 4 4 2 2 2" xfId="50601" xr:uid="{00000000-0005-0000-0000-000035100000}"/>
    <cellStyle name="20% - Accent2 2 3 4 4 2 3" xfId="37685" xr:uid="{00000000-0005-0000-0000-000036100000}"/>
    <cellStyle name="20% - Accent2 2 3 4 4 3" xfId="18269" xr:uid="{00000000-0005-0000-0000-000037100000}"/>
    <cellStyle name="20% - Accent2 2 3 4 4 3 2" xfId="44143" xr:uid="{00000000-0005-0000-0000-000038100000}"/>
    <cellStyle name="20% - Accent2 2 3 4 4 4" xfId="31227" xr:uid="{00000000-0005-0000-0000-000039100000}"/>
    <cellStyle name="20% - Accent2 2 3 4 5" xfId="8582" xr:uid="{00000000-0005-0000-0000-00003A100000}"/>
    <cellStyle name="20% - Accent2 2 3 4 5 2" xfId="21499" xr:uid="{00000000-0005-0000-0000-00003B100000}"/>
    <cellStyle name="20% - Accent2 2 3 4 5 2 2" xfId="47373" xr:uid="{00000000-0005-0000-0000-00003C100000}"/>
    <cellStyle name="20% - Accent2 2 3 4 5 3" xfId="34457" xr:uid="{00000000-0005-0000-0000-00003D100000}"/>
    <cellStyle name="20% - Accent2 2 3 4 6" xfId="15041" xr:uid="{00000000-0005-0000-0000-00003E100000}"/>
    <cellStyle name="20% - Accent2 2 3 4 6 2" xfId="40915" xr:uid="{00000000-0005-0000-0000-00003F100000}"/>
    <cellStyle name="20% - Accent2 2 3 4 7" xfId="27967" xr:uid="{00000000-0005-0000-0000-000040100000}"/>
    <cellStyle name="20% - Accent2 2 3 4 8" xfId="53829" xr:uid="{00000000-0005-0000-0000-000041100000}"/>
    <cellStyle name="20% - Accent2 2 3 4 9" xfId="2066" xr:uid="{00000000-0005-0000-0000-000042100000}"/>
    <cellStyle name="20% - Accent2 2 3 5" xfId="2500" xr:uid="{00000000-0005-0000-0000-000043100000}"/>
    <cellStyle name="20% - Accent2 2 3 5 2" xfId="4157" xr:uid="{00000000-0005-0000-0000-000044100000}"/>
    <cellStyle name="20% - Accent2 2 3 5 2 2" xfId="7388" xr:uid="{00000000-0005-0000-0000-000045100000}"/>
    <cellStyle name="20% - Accent2 2 3 5 2 2 2" xfId="13847" xr:uid="{00000000-0005-0000-0000-000046100000}"/>
    <cellStyle name="20% - Accent2 2 3 5 2 2 2 2" xfId="26764" xr:uid="{00000000-0005-0000-0000-000047100000}"/>
    <cellStyle name="20% - Accent2 2 3 5 2 2 2 2 2" xfId="52638" xr:uid="{00000000-0005-0000-0000-000048100000}"/>
    <cellStyle name="20% - Accent2 2 3 5 2 2 2 3" xfId="39722" xr:uid="{00000000-0005-0000-0000-000049100000}"/>
    <cellStyle name="20% - Accent2 2 3 5 2 2 3" xfId="20306" xr:uid="{00000000-0005-0000-0000-00004A100000}"/>
    <cellStyle name="20% - Accent2 2 3 5 2 2 3 2" xfId="46180" xr:uid="{00000000-0005-0000-0000-00004B100000}"/>
    <cellStyle name="20% - Accent2 2 3 5 2 2 4" xfId="33264" xr:uid="{00000000-0005-0000-0000-00004C100000}"/>
    <cellStyle name="20% - Accent2 2 3 5 2 3" xfId="10619" xr:uid="{00000000-0005-0000-0000-00004D100000}"/>
    <cellStyle name="20% - Accent2 2 3 5 2 3 2" xfId="23536" xr:uid="{00000000-0005-0000-0000-00004E100000}"/>
    <cellStyle name="20% - Accent2 2 3 5 2 3 2 2" xfId="49410" xr:uid="{00000000-0005-0000-0000-00004F100000}"/>
    <cellStyle name="20% - Accent2 2 3 5 2 3 3" xfId="36494" xr:uid="{00000000-0005-0000-0000-000050100000}"/>
    <cellStyle name="20% - Accent2 2 3 5 2 4" xfId="17078" xr:uid="{00000000-0005-0000-0000-000051100000}"/>
    <cellStyle name="20% - Accent2 2 3 5 2 4 2" xfId="42952" xr:uid="{00000000-0005-0000-0000-000052100000}"/>
    <cellStyle name="20% - Accent2 2 3 5 2 5" xfId="30004" xr:uid="{00000000-0005-0000-0000-000053100000}"/>
    <cellStyle name="20% - Accent2 2 3 5 3" xfId="5774" xr:uid="{00000000-0005-0000-0000-000054100000}"/>
    <cellStyle name="20% - Accent2 2 3 5 3 2" xfId="12233" xr:uid="{00000000-0005-0000-0000-000055100000}"/>
    <cellStyle name="20% - Accent2 2 3 5 3 2 2" xfId="25150" xr:uid="{00000000-0005-0000-0000-000056100000}"/>
    <cellStyle name="20% - Accent2 2 3 5 3 2 2 2" xfId="51024" xr:uid="{00000000-0005-0000-0000-000057100000}"/>
    <cellStyle name="20% - Accent2 2 3 5 3 2 3" xfId="38108" xr:uid="{00000000-0005-0000-0000-000058100000}"/>
    <cellStyle name="20% - Accent2 2 3 5 3 3" xfId="18692" xr:uid="{00000000-0005-0000-0000-000059100000}"/>
    <cellStyle name="20% - Accent2 2 3 5 3 3 2" xfId="44566" xr:uid="{00000000-0005-0000-0000-00005A100000}"/>
    <cellStyle name="20% - Accent2 2 3 5 3 4" xfId="31650" xr:uid="{00000000-0005-0000-0000-00005B100000}"/>
    <cellStyle name="20% - Accent2 2 3 5 4" xfId="9005" xr:uid="{00000000-0005-0000-0000-00005C100000}"/>
    <cellStyle name="20% - Accent2 2 3 5 4 2" xfId="21922" xr:uid="{00000000-0005-0000-0000-00005D100000}"/>
    <cellStyle name="20% - Accent2 2 3 5 4 2 2" xfId="47796" xr:uid="{00000000-0005-0000-0000-00005E100000}"/>
    <cellStyle name="20% - Accent2 2 3 5 4 3" xfId="34880" xr:uid="{00000000-0005-0000-0000-00005F100000}"/>
    <cellStyle name="20% - Accent2 2 3 5 5" xfId="15464" xr:uid="{00000000-0005-0000-0000-000060100000}"/>
    <cellStyle name="20% - Accent2 2 3 5 5 2" xfId="41338" xr:uid="{00000000-0005-0000-0000-000061100000}"/>
    <cellStyle name="20% - Accent2 2 3 5 6" xfId="28390" xr:uid="{00000000-0005-0000-0000-000062100000}"/>
    <cellStyle name="20% - Accent2 2 3 6" xfId="3320" xr:uid="{00000000-0005-0000-0000-000063100000}"/>
    <cellStyle name="20% - Accent2 2 3 6 2" xfId="6581" xr:uid="{00000000-0005-0000-0000-000064100000}"/>
    <cellStyle name="20% - Accent2 2 3 6 2 2" xfId="13040" xr:uid="{00000000-0005-0000-0000-000065100000}"/>
    <cellStyle name="20% - Accent2 2 3 6 2 2 2" xfId="25957" xr:uid="{00000000-0005-0000-0000-000066100000}"/>
    <cellStyle name="20% - Accent2 2 3 6 2 2 2 2" xfId="51831" xr:uid="{00000000-0005-0000-0000-000067100000}"/>
    <cellStyle name="20% - Accent2 2 3 6 2 2 3" xfId="38915" xr:uid="{00000000-0005-0000-0000-000068100000}"/>
    <cellStyle name="20% - Accent2 2 3 6 2 3" xfId="19499" xr:uid="{00000000-0005-0000-0000-000069100000}"/>
    <cellStyle name="20% - Accent2 2 3 6 2 3 2" xfId="45373" xr:uid="{00000000-0005-0000-0000-00006A100000}"/>
    <cellStyle name="20% - Accent2 2 3 6 2 4" xfId="32457" xr:uid="{00000000-0005-0000-0000-00006B100000}"/>
    <cellStyle name="20% - Accent2 2 3 6 3" xfId="9812" xr:uid="{00000000-0005-0000-0000-00006C100000}"/>
    <cellStyle name="20% - Accent2 2 3 6 3 2" xfId="22729" xr:uid="{00000000-0005-0000-0000-00006D100000}"/>
    <cellStyle name="20% - Accent2 2 3 6 3 2 2" xfId="48603" xr:uid="{00000000-0005-0000-0000-00006E100000}"/>
    <cellStyle name="20% - Accent2 2 3 6 3 3" xfId="35687" xr:uid="{00000000-0005-0000-0000-00006F100000}"/>
    <cellStyle name="20% - Accent2 2 3 6 4" xfId="16271" xr:uid="{00000000-0005-0000-0000-000070100000}"/>
    <cellStyle name="20% - Accent2 2 3 6 4 2" xfId="42145" xr:uid="{00000000-0005-0000-0000-000071100000}"/>
    <cellStyle name="20% - Accent2 2 3 6 5" xfId="29197" xr:uid="{00000000-0005-0000-0000-000072100000}"/>
    <cellStyle name="20% - Accent2 2 3 7" xfId="4967" xr:uid="{00000000-0005-0000-0000-000073100000}"/>
    <cellStyle name="20% - Accent2 2 3 7 2" xfId="11426" xr:uid="{00000000-0005-0000-0000-000074100000}"/>
    <cellStyle name="20% - Accent2 2 3 7 2 2" xfId="24343" xr:uid="{00000000-0005-0000-0000-000075100000}"/>
    <cellStyle name="20% - Accent2 2 3 7 2 2 2" xfId="50217" xr:uid="{00000000-0005-0000-0000-000076100000}"/>
    <cellStyle name="20% - Accent2 2 3 7 2 3" xfId="37301" xr:uid="{00000000-0005-0000-0000-000077100000}"/>
    <cellStyle name="20% - Accent2 2 3 7 3" xfId="17885" xr:uid="{00000000-0005-0000-0000-000078100000}"/>
    <cellStyle name="20% - Accent2 2 3 7 3 2" xfId="43759" xr:uid="{00000000-0005-0000-0000-000079100000}"/>
    <cellStyle name="20% - Accent2 2 3 7 4" xfId="30843" xr:uid="{00000000-0005-0000-0000-00007A100000}"/>
    <cellStyle name="20% - Accent2 2 3 8" xfId="8198" xr:uid="{00000000-0005-0000-0000-00007B100000}"/>
    <cellStyle name="20% - Accent2 2 3 8 2" xfId="21115" xr:uid="{00000000-0005-0000-0000-00007C100000}"/>
    <cellStyle name="20% - Accent2 2 3 8 2 2" xfId="46989" xr:uid="{00000000-0005-0000-0000-00007D100000}"/>
    <cellStyle name="20% - Accent2 2 3 8 3" xfId="34073" xr:uid="{00000000-0005-0000-0000-00007E100000}"/>
    <cellStyle name="20% - Accent2 2 3 9" xfId="14657" xr:uid="{00000000-0005-0000-0000-00007F100000}"/>
    <cellStyle name="20% - Accent2 2 3 9 2" xfId="40531" xr:uid="{00000000-0005-0000-0000-000080100000}"/>
    <cellStyle name="20% - Accent2 2 4" xfId="1534" xr:uid="{00000000-0005-0000-0000-000081100000}"/>
    <cellStyle name="20% - Accent2 2 4 10" xfId="53482" xr:uid="{00000000-0005-0000-0000-000082100000}"/>
    <cellStyle name="20% - Accent2 2 4 2" xfId="1891" xr:uid="{00000000-0005-0000-0000-000083100000}"/>
    <cellStyle name="20% - Accent2 2 4 2 2" xfId="2322" xr:uid="{00000000-0005-0000-0000-000084100000}"/>
    <cellStyle name="20% - Accent2 2 4 2 2 2" xfId="3135" xr:uid="{00000000-0005-0000-0000-000085100000}"/>
    <cellStyle name="20% - Accent2 2 4 2 2 2 2" xfId="4792" xr:uid="{00000000-0005-0000-0000-000086100000}"/>
    <cellStyle name="20% - Accent2 2 4 2 2 2 2 2" xfId="8023" xr:uid="{00000000-0005-0000-0000-000087100000}"/>
    <cellStyle name="20% - Accent2 2 4 2 2 2 2 2 2" xfId="14482" xr:uid="{00000000-0005-0000-0000-000088100000}"/>
    <cellStyle name="20% - Accent2 2 4 2 2 2 2 2 2 2" xfId="27399" xr:uid="{00000000-0005-0000-0000-000089100000}"/>
    <cellStyle name="20% - Accent2 2 4 2 2 2 2 2 2 2 2" xfId="53273" xr:uid="{00000000-0005-0000-0000-00008A100000}"/>
    <cellStyle name="20% - Accent2 2 4 2 2 2 2 2 2 3" xfId="40357" xr:uid="{00000000-0005-0000-0000-00008B100000}"/>
    <cellStyle name="20% - Accent2 2 4 2 2 2 2 2 3" xfId="20941" xr:uid="{00000000-0005-0000-0000-00008C100000}"/>
    <cellStyle name="20% - Accent2 2 4 2 2 2 2 2 3 2" xfId="46815" xr:uid="{00000000-0005-0000-0000-00008D100000}"/>
    <cellStyle name="20% - Accent2 2 4 2 2 2 2 2 4" xfId="33899" xr:uid="{00000000-0005-0000-0000-00008E100000}"/>
    <cellStyle name="20% - Accent2 2 4 2 2 2 2 3" xfId="11254" xr:uid="{00000000-0005-0000-0000-00008F100000}"/>
    <cellStyle name="20% - Accent2 2 4 2 2 2 2 3 2" xfId="24171" xr:uid="{00000000-0005-0000-0000-000090100000}"/>
    <cellStyle name="20% - Accent2 2 4 2 2 2 2 3 2 2" xfId="50045" xr:uid="{00000000-0005-0000-0000-000091100000}"/>
    <cellStyle name="20% - Accent2 2 4 2 2 2 2 3 3" xfId="37129" xr:uid="{00000000-0005-0000-0000-000092100000}"/>
    <cellStyle name="20% - Accent2 2 4 2 2 2 2 4" xfId="17713" xr:uid="{00000000-0005-0000-0000-000093100000}"/>
    <cellStyle name="20% - Accent2 2 4 2 2 2 2 4 2" xfId="43587" xr:uid="{00000000-0005-0000-0000-000094100000}"/>
    <cellStyle name="20% - Accent2 2 4 2 2 2 2 5" xfId="30639" xr:uid="{00000000-0005-0000-0000-000095100000}"/>
    <cellStyle name="20% - Accent2 2 4 2 2 2 3" xfId="6409" xr:uid="{00000000-0005-0000-0000-000096100000}"/>
    <cellStyle name="20% - Accent2 2 4 2 2 2 3 2" xfId="12868" xr:uid="{00000000-0005-0000-0000-000097100000}"/>
    <cellStyle name="20% - Accent2 2 4 2 2 2 3 2 2" xfId="25785" xr:uid="{00000000-0005-0000-0000-000098100000}"/>
    <cellStyle name="20% - Accent2 2 4 2 2 2 3 2 2 2" xfId="51659" xr:uid="{00000000-0005-0000-0000-000099100000}"/>
    <cellStyle name="20% - Accent2 2 4 2 2 2 3 2 3" xfId="38743" xr:uid="{00000000-0005-0000-0000-00009A100000}"/>
    <cellStyle name="20% - Accent2 2 4 2 2 2 3 3" xfId="19327" xr:uid="{00000000-0005-0000-0000-00009B100000}"/>
    <cellStyle name="20% - Accent2 2 4 2 2 2 3 3 2" xfId="45201" xr:uid="{00000000-0005-0000-0000-00009C100000}"/>
    <cellStyle name="20% - Accent2 2 4 2 2 2 3 4" xfId="32285" xr:uid="{00000000-0005-0000-0000-00009D100000}"/>
    <cellStyle name="20% - Accent2 2 4 2 2 2 4" xfId="9640" xr:uid="{00000000-0005-0000-0000-00009E100000}"/>
    <cellStyle name="20% - Accent2 2 4 2 2 2 4 2" xfId="22557" xr:uid="{00000000-0005-0000-0000-00009F100000}"/>
    <cellStyle name="20% - Accent2 2 4 2 2 2 4 2 2" xfId="48431" xr:uid="{00000000-0005-0000-0000-0000A0100000}"/>
    <cellStyle name="20% - Accent2 2 4 2 2 2 4 3" xfId="35515" xr:uid="{00000000-0005-0000-0000-0000A1100000}"/>
    <cellStyle name="20% - Accent2 2 4 2 2 2 5" xfId="16099" xr:uid="{00000000-0005-0000-0000-0000A2100000}"/>
    <cellStyle name="20% - Accent2 2 4 2 2 2 5 2" xfId="41973" xr:uid="{00000000-0005-0000-0000-0000A3100000}"/>
    <cellStyle name="20% - Accent2 2 4 2 2 2 6" xfId="29025" xr:uid="{00000000-0005-0000-0000-0000A4100000}"/>
    <cellStyle name="20% - Accent2 2 4 2 2 3" xfId="3962" xr:uid="{00000000-0005-0000-0000-0000A5100000}"/>
    <cellStyle name="20% - Accent2 2 4 2 2 3 2" xfId="7216" xr:uid="{00000000-0005-0000-0000-0000A6100000}"/>
    <cellStyle name="20% - Accent2 2 4 2 2 3 2 2" xfId="13675" xr:uid="{00000000-0005-0000-0000-0000A7100000}"/>
    <cellStyle name="20% - Accent2 2 4 2 2 3 2 2 2" xfId="26592" xr:uid="{00000000-0005-0000-0000-0000A8100000}"/>
    <cellStyle name="20% - Accent2 2 4 2 2 3 2 2 2 2" xfId="52466" xr:uid="{00000000-0005-0000-0000-0000A9100000}"/>
    <cellStyle name="20% - Accent2 2 4 2 2 3 2 2 3" xfId="39550" xr:uid="{00000000-0005-0000-0000-0000AA100000}"/>
    <cellStyle name="20% - Accent2 2 4 2 2 3 2 3" xfId="20134" xr:uid="{00000000-0005-0000-0000-0000AB100000}"/>
    <cellStyle name="20% - Accent2 2 4 2 2 3 2 3 2" xfId="46008" xr:uid="{00000000-0005-0000-0000-0000AC100000}"/>
    <cellStyle name="20% - Accent2 2 4 2 2 3 2 4" xfId="33092" xr:uid="{00000000-0005-0000-0000-0000AD100000}"/>
    <cellStyle name="20% - Accent2 2 4 2 2 3 3" xfId="10447" xr:uid="{00000000-0005-0000-0000-0000AE100000}"/>
    <cellStyle name="20% - Accent2 2 4 2 2 3 3 2" xfId="23364" xr:uid="{00000000-0005-0000-0000-0000AF100000}"/>
    <cellStyle name="20% - Accent2 2 4 2 2 3 3 2 2" xfId="49238" xr:uid="{00000000-0005-0000-0000-0000B0100000}"/>
    <cellStyle name="20% - Accent2 2 4 2 2 3 3 3" xfId="36322" xr:uid="{00000000-0005-0000-0000-0000B1100000}"/>
    <cellStyle name="20% - Accent2 2 4 2 2 3 4" xfId="16906" xr:uid="{00000000-0005-0000-0000-0000B2100000}"/>
    <cellStyle name="20% - Accent2 2 4 2 2 3 4 2" xfId="42780" xr:uid="{00000000-0005-0000-0000-0000B3100000}"/>
    <cellStyle name="20% - Accent2 2 4 2 2 3 5" xfId="29832" xr:uid="{00000000-0005-0000-0000-0000B4100000}"/>
    <cellStyle name="20% - Accent2 2 4 2 2 4" xfId="5602" xr:uid="{00000000-0005-0000-0000-0000B5100000}"/>
    <cellStyle name="20% - Accent2 2 4 2 2 4 2" xfId="12061" xr:uid="{00000000-0005-0000-0000-0000B6100000}"/>
    <cellStyle name="20% - Accent2 2 4 2 2 4 2 2" xfId="24978" xr:uid="{00000000-0005-0000-0000-0000B7100000}"/>
    <cellStyle name="20% - Accent2 2 4 2 2 4 2 2 2" xfId="50852" xr:uid="{00000000-0005-0000-0000-0000B8100000}"/>
    <cellStyle name="20% - Accent2 2 4 2 2 4 2 3" xfId="37936" xr:uid="{00000000-0005-0000-0000-0000B9100000}"/>
    <cellStyle name="20% - Accent2 2 4 2 2 4 3" xfId="18520" xr:uid="{00000000-0005-0000-0000-0000BA100000}"/>
    <cellStyle name="20% - Accent2 2 4 2 2 4 3 2" xfId="44394" xr:uid="{00000000-0005-0000-0000-0000BB100000}"/>
    <cellStyle name="20% - Accent2 2 4 2 2 4 4" xfId="31478" xr:uid="{00000000-0005-0000-0000-0000BC100000}"/>
    <cellStyle name="20% - Accent2 2 4 2 2 5" xfId="8833" xr:uid="{00000000-0005-0000-0000-0000BD100000}"/>
    <cellStyle name="20% - Accent2 2 4 2 2 5 2" xfId="21750" xr:uid="{00000000-0005-0000-0000-0000BE100000}"/>
    <cellStyle name="20% - Accent2 2 4 2 2 5 2 2" xfId="47624" xr:uid="{00000000-0005-0000-0000-0000BF100000}"/>
    <cellStyle name="20% - Accent2 2 4 2 2 5 3" xfId="34708" xr:uid="{00000000-0005-0000-0000-0000C0100000}"/>
    <cellStyle name="20% - Accent2 2 4 2 2 6" xfId="15292" xr:uid="{00000000-0005-0000-0000-0000C1100000}"/>
    <cellStyle name="20% - Accent2 2 4 2 2 6 2" xfId="41166" xr:uid="{00000000-0005-0000-0000-0000C2100000}"/>
    <cellStyle name="20% - Accent2 2 4 2 2 7" xfId="28218" xr:uid="{00000000-0005-0000-0000-0000C3100000}"/>
    <cellStyle name="20% - Accent2 2 4 2 2 8" xfId="54080" xr:uid="{00000000-0005-0000-0000-0000C4100000}"/>
    <cellStyle name="20% - Accent2 2 4 2 3" xfId="2731" xr:uid="{00000000-0005-0000-0000-0000C5100000}"/>
    <cellStyle name="20% - Accent2 2 4 2 3 2" xfId="4388" xr:uid="{00000000-0005-0000-0000-0000C6100000}"/>
    <cellStyle name="20% - Accent2 2 4 2 3 2 2" xfId="7619" xr:uid="{00000000-0005-0000-0000-0000C7100000}"/>
    <cellStyle name="20% - Accent2 2 4 2 3 2 2 2" xfId="14078" xr:uid="{00000000-0005-0000-0000-0000C8100000}"/>
    <cellStyle name="20% - Accent2 2 4 2 3 2 2 2 2" xfId="26995" xr:uid="{00000000-0005-0000-0000-0000C9100000}"/>
    <cellStyle name="20% - Accent2 2 4 2 3 2 2 2 2 2" xfId="52869" xr:uid="{00000000-0005-0000-0000-0000CA100000}"/>
    <cellStyle name="20% - Accent2 2 4 2 3 2 2 2 3" xfId="39953" xr:uid="{00000000-0005-0000-0000-0000CB100000}"/>
    <cellStyle name="20% - Accent2 2 4 2 3 2 2 3" xfId="20537" xr:uid="{00000000-0005-0000-0000-0000CC100000}"/>
    <cellStyle name="20% - Accent2 2 4 2 3 2 2 3 2" xfId="46411" xr:uid="{00000000-0005-0000-0000-0000CD100000}"/>
    <cellStyle name="20% - Accent2 2 4 2 3 2 2 4" xfId="33495" xr:uid="{00000000-0005-0000-0000-0000CE100000}"/>
    <cellStyle name="20% - Accent2 2 4 2 3 2 3" xfId="10850" xr:uid="{00000000-0005-0000-0000-0000CF100000}"/>
    <cellStyle name="20% - Accent2 2 4 2 3 2 3 2" xfId="23767" xr:uid="{00000000-0005-0000-0000-0000D0100000}"/>
    <cellStyle name="20% - Accent2 2 4 2 3 2 3 2 2" xfId="49641" xr:uid="{00000000-0005-0000-0000-0000D1100000}"/>
    <cellStyle name="20% - Accent2 2 4 2 3 2 3 3" xfId="36725" xr:uid="{00000000-0005-0000-0000-0000D2100000}"/>
    <cellStyle name="20% - Accent2 2 4 2 3 2 4" xfId="17309" xr:uid="{00000000-0005-0000-0000-0000D3100000}"/>
    <cellStyle name="20% - Accent2 2 4 2 3 2 4 2" xfId="43183" xr:uid="{00000000-0005-0000-0000-0000D4100000}"/>
    <cellStyle name="20% - Accent2 2 4 2 3 2 5" xfId="30235" xr:uid="{00000000-0005-0000-0000-0000D5100000}"/>
    <cellStyle name="20% - Accent2 2 4 2 3 3" xfId="6005" xr:uid="{00000000-0005-0000-0000-0000D6100000}"/>
    <cellStyle name="20% - Accent2 2 4 2 3 3 2" xfId="12464" xr:uid="{00000000-0005-0000-0000-0000D7100000}"/>
    <cellStyle name="20% - Accent2 2 4 2 3 3 2 2" xfId="25381" xr:uid="{00000000-0005-0000-0000-0000D8100000}"/>
    <cellStyle name="20% - Accent2 2 4 2 3 3 2 2 2" xfId="51255" xr:uid="{00000000-0005-0000-0000-0000D9100000}"/>
    <cellStyle name="20% - Accent2 2 4 2 3 3 2 3" xfId="38339" xr:uid="{00000000-0005-0000-0000-0000DA100000}"/>
    <cellStyle name="20% - Accent2 2 4 2 3 3 3" xfId="18923" xr:uid="{00000000-0005-0000-0000-0000DB100000}"/>
    <cellStyle name="20% - Accent2 2 4 2 3 3 3 2" xfId="44797" xr:uid="{00000000-0005-0000-0000-0000DC100000}"/>
    <cellStyle name="20% - Accent2 2 4 2 3 3 4" xfId="31881" xr:uid="{00000000-0005-0000-0000-0000DD100000}"/>
    <cellStyle name="20% - Accent2 2 4 2 3 4" xfId="9236" xr:uid="{00000000-0005-0000-0000-0000DE100000}"/>
    <cellStyle name="20% - Accent2 2 4 2 3 4 2" xfId="22153" xr:uid="{00000000-0005-0000-0000-0000DF100000}"/>
    <cellStyle name="20% - Accent2 2 4 2 3 4 2 2" xfId="48027" xr:uid="{00000000-0005-0000-0000-0000E0100000}"/>
    <cellStyle name="20% - Accent2 2 4 2 3 4 3" xfId="35111" xr:uid="{00000000-0005-0000-0000-0000E1100000}"/>
    <cellStyle name="20% - Accent2 2 4 2 3 5" xfId="15695" xr:uid="{00000000-0005-0000-0000-0000E2100000}"/>
    <cellStyle name="20% - Accent2 2 4 2 3 5 2" xfId="41569" xr:uid="{00000000-0005-0000-0000-0000E3100000}"/>
    <cellStyle name="20% - Accent2 2 4 2 3 6" xfId="28621" xr:uid="{00000000-0005-0000-0000-0000E4100000}"/>
    <cellStyle name="20% - Accent2 2 4 2 4" xfId="3558" xr:uid="{00000000-0005-0000-0000-0000E5100000}"/>
    <cellStyle name="20% - Accent2 2 4 2 4 2" xfId="6812" xr:uid="{00000000-0005-0000-0000-0000E6100000}"/>
    <cellStyle name="20% - Accent2 2 4 2 4 2 2" xfId="13271" xr:uid="{00000000-0005-0000-0000-0000E7100000}"/>
    <cellStyle name="20% - Accent2 2 4 2 4 2 2 2" xfId="26188" xr:uid="{00000000-0005-0000-0000-0000E8100000}"/>
    <cellStyle name="20% - Accent2 2 4 2 4 2 2 2 2" xfId="52062" xr:uid="{00000000-0005-0000-0000-0000E9100000}"/>
    <cellStyle name="20% - Accent2 2 4 2 4 2 2 3" xfId="39146" xr:uid="{00000000-0005-0000-0000-0000EA100000}"/>
    <cellStyle name="20% - Accent2 2 4 2 4 2 3" xfId="19730" xr:uid="{00000000-0005-0000-0000-0000EB100000}"/>
    <cellStyle name="20% - Accent2 2 4 2 4 2 3 2" xfId="45604" xr:uid="{00000000-0005-0000-0000-0000EC100000}"/>
    <cellStyle name="20% - Accent2 2 4 2 4 2 4" xfId="32688" xr:uid="{00000000-0005-0000-0000-0000ED100000}"/>
    <cellStyle name="20% - Accent2 2 4 2 4 3" xfId="10043" xr:uid="{00000000-0005-0000-0000-0000EE100000}"/>
    <cellStyle name="20% - Accent2 2 4 2 4 3 2" xfId="22960" xr:uid="{00000000-0005-0000-0000-0000EF100000}"/>
    <cellStyle name="20% - Accent2 2 4 2 4 3 2 2" xfId="48834" xr:uid="{00000000-0005-0000-0000-0000F0100000}"/>
    <cellStyle name="20% - Accent2 2 4 2 4 3 3" xfId="35918" xr:uid="{00000000-0005-0000-0000-0000F1100000}"/>
    <cellStyle name="20% - Accent2 2 4 2 4 4" xfId="16502" xr:uid="{00000000-0005-0000-0000-0000F2100000}"/>
    <cellStyle name="20% - Accent2 2 4 2 4 4 2" xfId="42376" xr:uid="{00000000-0005-0000-0000-0000F3100000}"/>
    <cellStyle name="20% - Accent2 2 4 2 4 5" xfId="29428" xr:uid="{00000000-0005-0000-0000-0000F4100000}"/>
    <cellStyle name="20% - Accent2 2 4 2 5" xfId="5198" xr:uid="{00000000-0005-0000-0000-0000F5100000}"/>
    <cellStyle name="20% - Accent2 2 4 2 5 2" xfId="11657" xr:uid="{00000000-0005-0000-0000-0000F6100000}"/>
    <cellStyle name="20% - Accent2 2 4 2 5 2 2" xfId="24574" xr:uid="{00000000-0005-0000-0000-0000F7100000}"/>
    <cellStyle name="20% - Accent2 2 4 2 5 2 2 2" xfId="50448" xr:uid="{00000000-0005-0000-0000-0000F8100000}"/>
    <cellStyle name="20% - Accent2 2 4 2 5 2 3" xfId="37532" xr:uid="{00000000-0005-0000-0000-0000F9100000}"/>
    <cellStyle name="20% - Accent2 2 4 2 5 3" xfId="18116" xr:uid="{00000000-0005-0000-0000-0000FA100000}"/>
    <cellStyle name="20% - Accent2 2 4 2 5 3 2" xfId="43990" xr:uid="{00000000-0005-0000-0000-0000FB100000}"/>
    <cellStyle name="20% - Accent2 2 4 2 5 4" xfId="31074" xr:uid="{00000000-0005-0000-0000-0000FC100000}"/>
    <cellStyle name="20% - Accent2 2 4 2 6" xfId="8429" xr:uid="{00000000-0005-0000-0000-0000FD100000}"/>
    <cellStyle name="20% - Accent2 2 4 2 6 2" xfId="21346" xr:uid="{00000000-0005-0000-0000-0000FE100000}"/>
    <cellStyle name="20% - Accent2 2 4 2 6 2 2" xfId="47220" xr:uid="{00000000-0005-0000-0000-0000FF100000}"/>
    <cellStyle name="20% - Accent2 2 4 2 6 3" xfId="34304" xr:uid="{00000000-0005-0000-0000-000000110000}"/>
    <cellStyle name="20% - Accent2 2 4 2 7" xfId="14888" xr:uid="{00000000-0005-0000-0000-000001110000}"/>
    <cellStyle name="20% - Accent2 2 4 2 7 2" xfId="40762" xr:uid="{00000000-0005-0000-0000-000002110000}"/>
    <cellStyle name="20% - Accent2 2 4 2 8" xfId="27813" xr:uid="{00000000-0005-0000-0000-000003110000}"/>
    <cellStyle name="20% - Accent2 2 4 2 9" xfId="53676" xr:uid="{00000000-0005-0000-0000-000004110000}"/>
    <cellStyle name="20% - Accent2 2 4 3" xfId="2126" xr:uid="{00000000-0005-0000-0000-000005110000}"/>
    <cellStyle name="20% - Accent2 2 4 3 2" xfId="2940" xr:uid="{00000000-0005-0000-0000-000006110000}"/>
    <cellStyle name="20% - Accent2 2 4 3 2 2" xfId="4597" xr:uid="{00000000-0005-0000-0000-000007110000}"/>
    <cellStyle name="20% - Accent2 2 4 3 2 2 2" xfId="7828" xr:uid="{00000000-0005-0000-0000-000008110000}"/>
    <cellStyle name="20% - Accent2 2 4 3 2 2 2 2" xfId="14287" xr:uid="{00000000-0005-0000-0000-000009110000}"/>
    <cellStyle name="20% - Accent2 2 4 3 2 2 2 2 2" xfId="27204" xr:uid="{00000000-0005-0000-0000-00000A110000}"/>
    <cellStyle name="20% - Accent2 2 4 3 2 2 2 2 2 2" xfId="53078" xr:uid="{00000000-0005-0000-0000-00000B110000}"/>
    <cellStyle name="20% - Accent2 2 4 3 2 2 2 2 3" xfId="40162" xr:uid="{00000000-0005-0000-0000-00000C110000}"/>
    <cellStyle name="20% - Accent2 2 4 3 2 2 2 3" xfId="20746" xr:uid="{00000000-0005-0000-0000-00000D110000}"/>
    <cellStyle name="20% - Accent2 2 4 3 2 2 2 3 2" xfId="46620" xr:uid="{00000000-0005-0000-0000-00000E110000}"/>
    <cellStyle name="20% - Accent2 2 4 3 2 2 2 4" xfId="33704" xr:uid="{00000000-0005-0000-0000-00000F110000}"/>
    <cellStyle name="20% - Accent2 2 4 3 2 2 3" xfId="11059" xr:uid="{00000000-0005-0000-0000-000010110000}"/>
    <cellStyle name="20% - Accent2 2 4 3 2 2 3 2" xfId="23976" xr:uid="{00000000-0005-0000-0000-000011110000}"/>
    <cellStyle name="20% - Accent2 2 4 3 2 2 3 2 2" xfId="49850" xr:uid="{00000000-0005-0000-0000-000012110000}"/>
    <cellStyle name="20% - Accent2 2 4 3 2 2 3 3" xfId="36934" xr:uid="{00000000-0005-0000-0000-000013110000}"/>
    <cellStyle name="20% - Accent2 2 4 3 2 2 4" xfId="17518" xr:uid="{00000000-0005-0000-0000-000014110000}"/>
    <cellStyle name="20% - Accent2 2 4 3 2 2 4 2" xfId="43392" xr:uid="{00000000-0005-0000-0000-000015110000}"/>
    <cellStyle name="20% - Accent2 2 4 3 2 2 5" xfId="30444" xr:uid="{00000000-0005-0000-0000-000016110000}"/>
    <cellStyle name="20% - Accent2 2 4 3 2 3" xfId="6214" xr:uid="{00000000-0005-0000-0000-000017110000}"/>
    <cellStyle name="20% - Accent2 2 4 3 2 3 2" xfId="12673" xr:uid="{00000000-0005-0000-0000-000018110000}"/>
    <cellStyle name="20% - Accent2 2 4 3 2 3 2 2" xfId="25590" xr:uid="{00000000-0005-0000-0000-000019110000}"/>
    <cellStyle name="20% - Accent2 2 4 3 2 3 2 2 2" xfId="51464" xr:uid="{00000000-0005-0000-0000-00001A110000}"/>
    <cellStyle name="20% - Accent2 2 4 3 2 3 2 3" xfId="38548" xr:uid="{00000000-0005-0000-0000-00001B110000}"/>
    <cellStyle name="20% - Accent2 2 4 3 2 3 3" xfId="19132" xr:uid="{00000000-0005-0000-0000-00001C110000}"/>
    <cellStyle name="20% - Accent2 2 4 3 2 3 3 2" xfId="45006" xr:uid="{00000000-0005-0000-0000-00001D110000}"/>
    <cellStyle name="20% - Accent2 2 4 3 2 3 4" xfId="32090" xr:uid="{00000000-0005-0000-0000-00001E110000}"/>
    <cellStyle name="20% - Accent2 2 4 3 2 4" xfId="9445" xr:uid="{00000000-0005-0000-0000-00001F110000}"/>
    <cellStyle name="20% - Accent2 2 4 3 2 4 2" xfId="22362" xr:uid="{00000000-0005-0000-0000-000020110000}"/>
    <cellStyle name="20% - Accent2 2 4 3 2 4 2 2" xfId="48236" xr:uid="{00000000-0005-0000-0000-000021110000}"/>
    <cellStyle name="20% - Accent2 2 4 3 2 4 3" xfId="35320" xr:uid="{00000000-0005-0000-0000-000022110000}"/>
    <cellStyle name="20% - Accent2 2 4 3 2 5" xfId="15904" xr:uid="{00000000-0005-0000-0000-000023110000}"/>
    <cellStyle name="20% - Accent2 2 4 3 2 5 2" xfId="41778" xr:uid="{00000000-0005-0000-0000-000024110000}"/>
    <cellStyle name="20% - Accent2 2 4 3 2 6" xfId="28830" xr:uid="{00000000-0005-0000-0000-000025110000}"/>
    <cellStyle name="20% - Accent2 2 4 3 3" xfId="3767" xr:uid="{00000000-0005-0000-0000-000026110000}"/>
    <cellStyle name="20% - Accent2 2 4 3 3 2" xfId="7021" xr:uid="{00000000-0005-0000-0000-000027110000}"/>
    <cellStyle name="20% - Accent2 2 4 3 3 2 2" xfId="13480" xr:uid="{00000000-0005-0000-0000-000028110000}"/>
    <cellStyle name="20% - Accent2 2 4 3 3 2 2 2" xfId="26397" xr:uid="{00000000-0005-0000-0000-000029110000}"/>
    <cellStyle name="20% - Accent2 2 4 3 3 2 2 2 2" xfId="52271" xr:uid="{00000000-0005-0000-0000-00002A110000}"/>
    <cellStyle name="20% - Accent2 2 4 3 3 2 2 3" xfId="39355" xr:uid="{00000000-0005-0000-0000-00002B110000}"/>
    <cellStyle name="20% - Accent2 2 4 3 3 2 3" xfId="19939" xr:uid="{00000000-0005-0000-0000-00002C110000}"/>
    <cellStyle name="20% - Accent2 2 4 3 3 2 3 2" xfId="45813" xr:uid="{00000000-0005-0000-0000-00002D110000}"/>
    <cellStyle name="20% - Accent2 2 4 3 3 2 4" xfId="32897" xr:uid="{00000000-0005-0000-0000-00002E110000}"/>
    <cellStyle name="20% - Accent2 2 4 3 3 3" xfId="10252" xr:uid="{00000000-0005-0000-0000-00002F110000}"/>
    <cellStyle name="20% - Accent2 2 4 3 3 3 2" xfId="23169" xr:uid="{00000000-0005-0000-0000-000030110000}"/>
    <cellStyle name="20% - Accent2 2 4 3 3 3 2 2" xfId="49043" xr:uid="{00000000-0005-0000-0000-000031110000}"/>
    <cellStyle name="20% - Accent2 2 4 3 3 3 3" xfId="36127" xr:uid="{00000000-0005-0000-0000-000032110000}"/>
    <cellStyle name="20% - Accent2 2 4 3 3 4" xfId="16711" xr:uid="{00000000-0005-0000-0000-000033110000}"/>
    <cellStyle name="20% - Accent2 2 4 3 3 4 2" xfId="42585" xr:uid="{00000000-0005-0000-0000-000034110000}"/>
    <cellStyle name="20% - Accent2 2 4 3 3 5" xfId="29637" xr:uid="{00000000-0005-0000-0000-000035110000}"/>
    <cellStyle name="20% - Accent2 2 4 3 4" xfId="5407" xr:uid="{00000000-0005-0000-0000-000036110000}"/>
    <cellStyle name="20% - Accent2 2 4 3 4 2" xfId="11866" xr:uid="{00000000-0005-0000-0000-000037110000}"/>
    <cellStyle name="20% - Accent2 2 4 3 4 2 2" xfId="24783" xr:uid="{00000000-0005-0000-0000-000038110000}"/>
    <cellStyle name="20% - Accent2 2 4 3 4 2 2 2" xfId="50657" xr:uid="{00000000-0005-0000-0000-000039110000}"/>
    <cellStyle name="20% - Accent2 2 4 3 4 2 3" xfId="37741" xr:uid="{00000000-0005-0000-0000-00003A110000}"/>
    <cellStyle name="20% - Accent2 2 4 3 4 3" xfId="18325" xr:uid="{00000000-0005-0000-0000-00003B110000}"/>
    <cellStyle name="20% - Accent2 2 4 3 4 3 2" xfId="44199" xr:uid="{00000000-0005-0000-0000-00003C110000}"/>
    <cellStyle name="20% - Accent2 2 4 3 4 4" xfId="31283" xr:uid="{00000000-0005-0000-0000-00003D110000}"/>
    <cellStyle name="20% - Accent2 2 4 3 5" xfId="8638" xr:uid="{00000000-0005-0000-0000-00003E110000}"/>
    <cellStyle name="20% - Accent2 2 4 3 5 2" xfId="21555" xr:uid="{00000000-0005-0000-0000-00003F110000}"/>
    <cellStyle name="20% - Accent2 2 4 3 5 2 2" xfId="47429" xr:uid="{00000000-0005-0000-0000-000040110000}"/>
    <cellStyle name="20% - Accent2 2 4 3 5 3" xfId="34513" xr:uid="{00000000-0005-0000-0000-000041110000}"/>
    <cellStyle name="20% - Accent2 2 4 3 6" xfId="15097" xr:uid="{00000000-0005-0000-0000-000042110000}"/>
    <cellStyle name="20% - Accent2 2 4 3 6 2" xfId="40971" xr:uid="{00000000-0005-0000-0000-000043110000}"/>
    <cellStyle name="20% - Accent2 2 4 3 7" xfId="28023" xr:uid="{00000000-0005-0000-0000-000044110000}"/>
    <cellStyle name="20% - Accent2 2 4 3 8" xfId="53885" xr:uid="{00000000-0005-0000-0000-000045110000}"/>
    <cellStyle name="20% - Accent2 2 4 4" xfId="2537" xr:uid="{00000000-0005-0000-0000-000046110000}"/>
    <cellStyle name="20% - Accent2 2 4 4 2" xfId="4194" xr:uid="{00000000-0005-0000-0000-000047110000}"/>
    <cellStyle name="20% - Accent2 2 4 4 2 2" xfId="7425" xr:uid="{00000000-0005-0000-0000-000048110000}"/>
    <cellStyle name="20% - Accent2 2 4 4 2 2 2" xfId="13884" xr:uid="{00000000-0005-0000-0000-000049110000}"/>
    <cellStyle name="20% - Accent2 2 4 4 2 2 2 2" xfId="26801" xr:uid="{00000000-0005-0000-0000-00004A110000}"/>
    <cellStyle name="20% - Accent2 2 4 4 2 2 2 2 2" xfId="52675" xr:uid="{00000000-0005-0000-0000-00004B110000}"/>
    <cellStyle name="20% - Accent2 2 4 4 2 2 2 3" xfId="39759" xr:uid="{00000000-0005-0000-0000-00004C110000}"/>
    <cellStyle name="20% - Accent2 2 4 4 2 2 3" xfId="20343" xr:uid="{00000000-0005-0000-0000-00004D110000}"/>
    <cellStyle name="20% - Accent2 2 4 4 2 2 3 2" xfId="46217" xr:uid="{00000000-0005-0000-0000-00004E110000}"/>
    <cellStyle name="20% - Accent2 2 4 4 2 2 4" xfId="33301" xr:uid="{00000000-0005-0000-0000-00004F110000}"/>
    <cellStyle name="20% - Accent2 2 4 4 2 3" xfId="10656" xr:uid="{00000000-0005-0000-0000-000050110000}"/>
    <cellStyle name="20% - Accent2 2 4 4 2 3 2" xfId="23573" xr:uid="{00000000-0005-0000-0000-000051110000}"/>
    <cellStyle name="20% - Accent2 2 4 4 2 3 2 2" xfId="49447" xr:uid="{00000000-0005-0000-0000-000052110000}"/>
    <cellStyle name="20% - Accent2 2 4 4 2 3 3" xfId="36531" xr:uid="{00000000-0005-0000-0000-000053110000}"/>
    <cellStyle name="20% - Accent2 2 4 4 2 4" xfId="17115" xr:uid="{00000000-0005-0000-0000-000054110000}"/>
    <cellStyle name="20% - Accent2 2 4 4 2 4 2" xfId="42989" xr:uid="{00000000-0005-0000-0000-000055110000}"/>
    <cellStyle name="20% - Accent2 2 4 4 2 5" xfId="30041" xr:uid="{00000000-0005-0000-0000-000056110000}"/>
    <cellStyle name="20% - Accent2 2 4 4 3" xfId="5811" xr:uid="{00000000-0005-0000-0000-000057110000}"/>
    <cellStyle name="20% - Accent2 2 4 4 3 2" xfId="12270" xr:uid="{00000000-0005-0000-0000-000058110000}"/>
    <cellStyle name="20% - Accent2 2 4 4 3 2 2" xfId="25187" xr:uid="{00000000-0005-0000-0000-000059110000}"/>
    <cellStyle name="20% - Accent2 2 4 4 3 2 2 2" xfId="51061" xr:uid="{00000000-0005-0000-0000-00005A110000}"/>
    <cellStyle name="20% - Accent2 2 4 4 3 2 3" xfId="38145" xr:uid="{00000000-0005-0000-0000-00005B110000}"/>
    <cellStyle name="20% - Accent2 2 4 4 3 3" xfId="18729" xr:uid="{00000000-0005-0000-0000-00005C110000}"/>
    <cellStyle name="20% - Accent2 2 4 4 3 3 2" xfId="44603" xr:uid="{00000000-0005-0000-0000-00005D110000}"/>
    <cellStyle name="20% - Accent2 2 4 4 3 4" xfId="31687" xr:uid="{00000000-0005-0000-0000-00005E110000}"/>
    <cellStyle name="20% - Accent2 2 4 4 4" xfId="9042" xr:uid="{00000000-0005-0000-0000-00005F110000}"/>
    <cellStyle name="20% - Accent2 2 4 4 4 2" xfId="21959" xr:uid="{00000000-0005-0000-0000-000060110000}"/>
    <cellStyle name="20% - Accent2 2 4 4 4 2 2" xfId="47833" xr:uid="{00000000-0005-0000-0000-000061110000}"/>
    <cellStyle name="20% - Accent2 2 4 4 4 3" xfId="34917" xr:uid="{00000000-0005-0000-0000-000062110000}"/>
    <cellStyle name="20% - Accent2 2 4 4 5" xfId="15501" xr:uid="{00000000-0005-0000-0000-000063110000}"/>
    <cellStyle name="20% - Accent2 2 4 4 5 2" xfId="41375" xr:uid="{00000000-0005-0000-0000-000064110000}"/>
    <cellStyle name="20% - Accent2 2 4 4 6" xfId="28427" xr:uid="{00000000-0005-0000-0000-000065110000}"/>
    <cellStyle name="20% - Accent2 2 4 5" xfId="3359" xr:uid="{00000000-0005-0000-0000-000066110000}"/>
    <cellStyle name="20% - Accent2 2 4 5 2" xfId="6618" xr:uid="{00000000-0005-0000-0000-000067110000}"/>
    <cellStyle name="20% - Accent2 2 4 5 2 2" xfId="13077" xr:uid="{00000000-0005-0000-0000-000068110000}"/>
    <cellStyle name="20% - Accent2 2 4 5 2 2 2" xfId="25994" xr:uid="{00000000-0005-0000-0000-000069110000}"/>
    <cellStyle name="20% - Accent2 2 4 5 2 2 2 2" xfId="51868" xr:uid="{00000000-0005-0000-0000-00006A110000}"/>
    <cellStyle name="20% - Accent2 2 4 5 2 2 3" xfId="38952" xr:uid="{00000000-0005-0000-0000-00006B110000}"/>
    <cellStyle name="20% - Accent2 2 4 5 2 3" xfId="19536" xr:uid="{00000000-0005-0000-0000-00006C110000}"/>
    <cellStyle name="20% - Accent2 2 4 5 2 3 2" xfId="45410" xr:uid="{00000000-0005-0000-0000-00006D110000}"/>
    <cellStyle name="20% - Accent2 2 4 5 2 4" xfId="32494" xr:uid="{00000000-0005-0000-0000-00006E110000}"/>
    <cellStyle name="20% - Accent2 2 4 5 3" xfId="9849" xr:uid="{00000000-0005-0000-0000-00006F110000}"/>
    <cellStyle name="20% - Accent2 2 4 5 3 2" xfId="22766" xr:uid="{00000000-0005-0000-0000-000070110000}"/>
    <cellStyle name="20% - Accent2 2 4 5 3 2 2" xfId="48640" xr:uid="{00000000-0005-0000-0000-000071110000}"/>
    <cellStyle name="20% - Accent2 2 4 5 3 3" xfId="35724" xr:uid="{00000000-0005-0000-0000-000072110000}"/>
    <cellStyle name="20% - Accent2 2 4 5 4" xfId="16308" xr:uid="{00000000-0005-0000-0000-000073110000}"/>
    <cellStyle name="20% - Accent2 2 4 5 4 2" xfId="42182" xr:uid="{00000000-0005-0000-0000-000074110000}"/>
    <cellStyle name="20% - Accent2 2 4 5 5" xfId="29234" xr:uid="{00000000-0005-0000-0000-000075110000}"/>
    <cellStyle name="20% - Accent2 2 4 6" xfId="5004" xr:uid="{00000000-0005-0000-0000-000076110000}"/>
    <cellStyle name="20% - Accent2 2 4 6 2" xfId="11463" xr:uid="{00000000-0005-0000-0000-000077110000}"/>
    <cellStyle name="20% - Accent2 2 4 6 2 2" xfId="24380" xr:uid="{00000000-0005-0000-0000-000078110000}"/>
    <cellStyle name="20% - Accent2 2 4 6 2 2 2" xfId="50254" xr:uid="{00000000-0005-0000-0000-000079110000}"/>
    <cellStyle name="20% - Accent2 2 4 6 2 3" xfId="37338" xr:uid="{00000000-0005-0000-0000-00007A110000}"/>
    <cellStyle name="20% - Accent2 2 4 6 3" xfId="17922" xr:uid="{00000000-0005-0000-0000-00007B110000}"/>
    <cellStyle name="20% - Accent2 2 4 6 3 2" xfId="43796" xr:uid="{00000000-0005-0000-0000-00007C110000}"/>
    <cellStyle name="20% - Accent2 2 4 6 4" xfId="30880" xr:uid="{00000000-0005-0000-0000-00007D110000}"/>
    <cellStyle name="20% - Accent2 2 4 7" xfId="8234" xr:uid="{00000000-0005-0000-0000-00007E110000}"/>
    <cellStyle name="20% - Accent2 2 4 7 2" xfId="21151" xr:uid="{00000000-0005-0000-0000-00007F110000}"/>
    <cellStyle name="20% - Accent2 2 4 7 2 2" xfId="47025" xr:uid="{00000000-0005-0000-0000-000080110000}"/>
    <cellStyle name="20% - Accent2 2 4 7 3" xfId="34109" xr:uid="{00000000-0005-0000-0000-000081110000}"/>
    <cellStyle name="20% - Accent2 2 4 8" xfId="14693" xr:uid="{00000000-0005-0000-0000-000082110000}"/>
    <cellStyle name="20% - Accent2 2 4 8 2" xfId="40567" xr:uid="{00000000-0005-0000-0000-000083110000}"/>
    <cellStyle name="20% - Accent2 2 4 9" xfId="27617" xr:uid="{00000000-0005-0000-0000-000084110000}"/>
    <cellStyle name="20% - Accent2 2 5" xfId="1770" xr:uid="{00000000-0005-0000-0000-000085110000}"/>
    <cellStyle name="20% - Accent2 2 5 2" xfId="2264" xr:uid="{00000000-0005-0000-0000-000086110000}"/>
    <cellStyle name="20% - Accent2 2 5 2 2" xfId="3078" xr:uid="{00000000-0005-0000-0000-000087110000}"/>
    <cellStyle name="20% - Accent2 2 5 2 2 2" xfId="4735" xr:uid="{00000000-0005-0000-0000-000088110000}"/>
    <cellStyle name="20% - Accent2 2 5 2 2 2 2" xfId="7966" xr:uid="{00000000-0005-0000-0000-000089110000}"/>
    <cellStyle name="20% - Accent2 2 5 2 2 2 2 2" xfId="14425" xr:uid="{00000000-0005-0000-0000-00008A110000}"/>
    <cellStyle name="20% - Accent2 2 5 2 2 2 2 2 2" xfId="27342" xr:uid="{00000000-0005-0000-0000-00008B110000}"/>
    <cellStyle name="20% - Accent2 2 5 2 2 2 2 2 2 2" xfId="53216" xr:uid="{00000000-0005-0000-0000-00008C110000}"/>
    <cellStyle name="20% - Accent2 2 5 2 2 2 2 2 3" xfId="40300" xr:uid="{00000000-0005-0000-0000-00008D110000}"/>
    <cellStyle name="20% - Accent2 2 5 2 2 2 2 3" xfId="20884" xr:uid="{00000000-0005-0000-0000-00008E110000}"/>
    <cellStyle name="20% - Accent2 2 5 2 2 2 2 3 2" xfId="46758" xr:uid="{00000000-0005-0000-0000-00008F110000}"/>
    <cellStyle name="20% - Accent2 2 5 2 2 2 2 4" xfId="33842" xr:uid="{00000000-0005-0000-0000-000090110000}"/>
    <cellStyle name="20% - Accent2 2 5 2 2 2 3" xfId="11197" xr:uid="{00000000-0005-0000-0000-000091110000}"/>
    <cellStyle name="20% - Accent2 2 5 2 2 2 3 2" xfId="24114" xr:uid="{00000000-0005-0000-0000-000092110000}"/>
    <cellStyle name="20% - Accent2 2 5 2 2 2 3 2 2" xfId="49988" xr:uid="{00000000-0005-0000-0000-000093110000}"/>
    <cellStyle name="20% - Accent2 2 5 2 2 2 3 3" xfId="37072" xr:uid="{00000000-0005-0000-0000-000094110000}"/>
    <cellStyle name="20% - Accent2 2 5 2 2 2 4" xfId="17656" xr:uid="{00000000-0005-0000-0000-000095110000}"/>
    <cellStyle name="20% - Accent2 2 5 2 2 2 4 2" xfId="43530" xr:uid="{00000000-0005-0000-0000-000096110000}"/>
    <cellStyle name="20% - Accent2 2 5 2 2 2 5" xfId="30582" xr:uid="{00000000-0005-0000-0000-000097110000}"/>
    <cellStyle name="20% - Accent2 2 5 2 2 3" xfId="6352" xr:uid="{00000000-0005-0000-0000-000098110000}"/>
    <cellStyle name="20% - Accent2 2 5 2 2 3 2" xfId="12811" xr:uid="{00000000-0005-0000-0000-000099110000}"/>
    <cellStyle name="20% - Accent2 2 5 2 2 3 2 2" xfId="25728" xr:uid="{00000000-0005-0000-0000-00009A110000}"/>
    <cellStyle name="20% - Accent2 2 5 2 2 3 2 2 2" xfId="51602" xr:uid="{00000000-0005-0000-0000-00009B110000}"/>
    <cellStyle name="20% - Accent2 2 5 2 2 3 2 3" xfId="38686" xr:uid="{00000000-0005-0000-0000-00009C110000}"/>
    <cellStyle name="20% - Accent2 2 5 2 2 3 3" xfId="19270" xr:uid="{00000000-0005-0000-0000-00009D110000}"/>
    <cellStyle name="20% - Accent2 2 5 2 2 3 3 2" xfId="45144" xr:uid="{00000000-0005-0000-0000-00009E110000}"/>
    <cellStyle name="20% - Accent2 2 5 2 2 3 4" xfId="32228" xr:uid="{00000000-0005-0000-0000-00009F110000}"/>
    <cellStyle name="20% - Accent2 2 5 2 2 4" xfId="9583" xr:uid="{00000000-0005-0000-0000-0000A0110000}"/>
    <cellStyle name="20% - Accent2 2 5 2 2 4 2" xfId="22500" xr:uid="{00000000-0005-0000-0000-0000A1110000}"/>
    <cellStyle name="20% - Accent2 2 5 2 2 4 2 2" xfId="48374" xr:uid="{00000000-0005-0000-0000-0000A2110000}"/>
    <cellStyle name="20% - Accent2 2 5 2 2 4 3" xfId="35458" xr:uid="{00000000-0005-0000-0000-0000A3110000}"/>
    <cellStyle name="20% - Accent2 2 5 2 2 5" xfId="16042" xr:uid="{00000000-0005-0000-0000-0000A4110000}"/>
    <cellStyle name="20% - Accent2 2 5 2 2 5 2" xfId="41916" xr:uid="{00000000-0005-0000-0000-0000A5110000}"/>
    <cellStyle name="20% - Accent2 2 5 2 2 6" xfId="28968" xr:uid="{00000000-0005-0000-0000-0000A6110000}"/>
    <cellStyle name="20% - Accent2 2 5 2 3" xfId="3905" xr:uid="{00000000-0005-0000-0000-0000A7110000}"/>
    <cellStyle name="20% - Accent2 2 5 2 3 2" xfId="7159" xr:uid="{00000000-0005-0000-0000-0000A8110000}"/>
    <cellStyle name="20% - Accent2 2 5 2 3 2 2" xfId="13618" xr:uid="{00000000-0005-0000-0000-0000A9110000}"/>
    <cellStyle name="20% - Accent2 2 5 2 3 2 2 2" xfId="26535" xr:uid="{00000000-0005-0000-0000-0000AA110000}"/>
    <cellStyle name="20% - Accent2 2 5 2 3 2 2 2 2" xfId="52409" xr:uid="{00000000-0005-0000-0000-0000AB110000}"/>
    <cellStyle name="20% - Accent2 2 5 2 3 2 2 3" xfId="39493" xr:uid="{00000000-0005-0000-0000-0000AC110000}"/>
    <cellStyle name="20% - Accent2 2 5 2 3 2 3" xfId="20077" xr:uid="{00000000-0005-0000-0000-0000AD110000}"/>
    <cellStyle name="20% - Accent2 2 5 2 3 2 3 2" xfId="45951" xr:uid="{00000000-0005-0000-0000-0000AE110000}"/>
    <cellStyle name="20% - Accent2 2 5 2 3 2 4" xfId="33035" xr:uid="{00000000-0005-0000-0000-0000AF110000}"/>
    <cellStyle name="20% - Accent2 2 5 2 3 3" xfId="10390" xr:uid="{00000000-0005-0000-0000-0000B0110000}"/>
    <cellStyle name="20% - Accent2 2 5 2 3 3 2" xfId="23307" xr:uid="{00000000-0005-0000-0000-0000B1110000}"/>
    <cellStyle name="20% - Accent2 2 5 2 3 3 2 2" xfId="49181" xr:uid="{00000000-0005-0000-0000-0000B2110000}"/>
    <cellStyle name="20% - Accent2 2 5 2 3 3 3" xfId="36265" xr:uid="{00000000-0005-0000-0000-0000B3110000}"/>
    <cellStyle name="20% - Accent2 2 5 2 3 4" xfId="16849" xr:uid="{00000000-0005-0000-0000-0000B4110000}"/>
    <cellStyle name="20% - Accent2 2 5 2 3 4 2" xfId="42723" xr:uid="{00000000-0005-0000-0000-0000B5110000}"/>
    <cellStyle name="20% - Accent2 2 5 2 3 5" xfId="29775" xr:uid="{00000000-0005-0000-0000-0000B6110000}"/>
    <cellStyle name="20% - Accent2 2 5 2 4" xfId="5545" xr:uid="{00000000-0005-0000-0000-0000B7110000}"/>
    <cellStyle name="20% - Accent2 2 5 2 4 2" xfId="12004" xr:uid="{00000000-0005-0000-0000-0000B8110000}"/>
    <cellStyle name="20% - Accent2 2 5 2 4 2 2" xfId="24921" xr:uid="{00000000-0005-0000-0000-0000B9110000}"/>
    <cellStyle name="20% - Accent2 2 5 2 4 2 2 2" xfId="50795" xr:uid="{00000000-0005-0000-0000-0000BA110000}"/>
    <cellStyle name="20% - Accent2 2 5 2 4 2 3" xfId="37879" xr:uid="{00000000-0005-0000-0000-0000BB110000}"/>
    <cellStyle name="20% - Accent2 2 5 2 4 3" xfId="18463" xr:uid="{00000000-0005-0000-0000-0000BC110000}"/>
    <cellStyle name="20% - Accent2 2 5 2 4 3 2" xfId="44337" xr:uid="{00000000-0005-0000-0000-0000BD110000}"/>
    <cellStyle name="20% - Accent2 2 5 2 4 4" xfId="31421" xr:uid="{00000000-0005-0000-0000-0000BE110000}"/>
    <cellStyle name="20% - Accent2 2 5 2 5" xfId="8776" xr:uid="{00000000-0005-0000-0000-0000BF110000}"/>
    <cellStyle name="20% - Accent2 2 5 2 5 2" xfId="21693" xr:uid="{00000000-0005-0000-0000-0000C0110000}"/>
    <cellStyle name="20% - Accent2 2 5 2 5 2 2" xfId="47567" xr:uid="{00000000-0005-0000-0000-0000C1110000}"/>
    <cellStyle name="20% - Accent2 2 5 2 5 3" xfId="34651" xr:uid="{00000000-0005-0000-0000-0000C2110000}"/>
    <cellStyle name="20% - Accent2 2 5 2 6" xfId="15235" xr:uid="{00000000-0005-0000-0000-0000C3110000}"/>
    <cellStyle name="20% - Accent2 2 5 2 6 2" xfId="41109" xr:uid="{00000000-0005-0000-0000-0000C4110000}"/>
    <cellStyle name="20% - Accent2 2 5 2 7" xfId="28161" xr:uid="{00000000-0005-0000-0000-0000C5110000}"/>
    <cellStyle name="20% - Accent2 2 5 2 8" xfId="54023" xr:uid="{00000000-0005-0000-0000-0000C6110000}"/>
    <cellStyle name="20% - Accent2 2 5 3" xfId="2675" xr:uid="{00000000-0005-0000-0000-0000C7110000}"/>
    <cellStyle name="20% - Accent2 2 5 3 2" xfId="4332" xr:uid="{00000000-0005-0000-0000-0000C8110000}"/>
    <cellStyle name="20% - Accent2 2 5 3 2 2" xfId="7563" xr:uid="{00000000-0005-0000-0000-0000C9110000}"/>
    <cellStyle name="20% - Accent2 2 5 3 2 2 2" xfId="14022" xr:uid="{00000000-0005-0000-0000-0000CA110000}"/>
    <cellStyle name="20% - Accent2 2 5 3 2 2 2 2" xfId="26939" xr:uid="{00000000-0005-0000-0000-0000CB110000}"/>
    <cellStyle name="20% - Accent2 2 5 3 2 2 2 2 2" xfId="52813" xr:uid="{00000000-0005-0000-0000-0000CC110000}"/>
    <cellStyle name="20% - Accent2 2 5 3 2 2 2 3" xfId="39897" xr:uid="{00000000-0005-0000-0000-0000CD110000}"/>
    <cellStyle name="20% - Accent2 2 5 3 2 2 3" xfId="20481" xr:uid="{00000000-0005-0000-0000-0000CE110000}"/>
    <cellStyle name="20% - Accent2 2 5 3 2 2 3 2" xfId="46355" xr:uid="{00000000-0005-0000-0000-0000CF110000}"/>
    <cellStyle name="20% - Accent2 2 5 3 2 2 4" xfId="33439" xr:uid="{00000000-0005-0000-0000-0000D0110000}"/>
    <cellStyle name="20% - Accent2 2 5 3 2 3" xfId="10794" xr:uid="{00000000-0005-0000-0000-0000D1110000}"/>
    <cellStyle name="20% - Accent2 2 5 3 2 3 2" xfId="23711" xr:uid="{00000000-0005-0000-0000-0000D2110000}"/>
    <cellStyle name="20% - Accent2 2 5 3 2 3 2 2" xfId="49585" xr:uid="{00000000-0005-0000-0000-0000D3110000}"/>
    <cellStyle name="20% - Accent2 2 5 3 2 3 3" xfId="36669" xr:uid="{00000000-0005-0000-0000-0000D4110000}"/>
    <cellStyle name="20% - Accent2 2 5 3 2 4" xfId="17253" xr:uid="{00000000-0005-0000-0000-0000D5110000}"/>
    <cellStyle name="20% - Accent2 2 5 3 2 4 2" xfId="43127" xr:uid="{00000000-0005-0000-0000-0000D6110000}"/>
    <cellStyle name="20% - Accent2 2 5 3 2 5" xfId="30179" xr:uid="{00000000-0005-0000-0000-0000D7110000}"/>
    <cellStyle name="20% - Accent2 2 5 3 3" xfId="5949" xr:uid="{00000000-0005-0000-0000-0000D8110000}"/>
    <cellStyle name="20% - Accent2 2 5 3 3 2" xfId="12408" xr:uid="{00000000-0005-0000-0000-0000D9110000}"/>
    <cellStyle name="20% - Accent2 2 5 3 3 2 2" xfId="25325" xr:uid="{00000000-0005-0000-0000-0000DA110000}"/>
    <cellStyle name="20% - Accent2 2 5 3 3 2 2 2" xfId="51199" xr:uid="{00000000-0005-0000-0000-0000DB110000}"/>
    <cellStyle name="20% - Accent2 2 5 3 3 2 3" xfId="38283" xr:uid="{00000000-0005-0000-0000-0000DC110000}"/>
    <cellStyle name="20% - Accent2 2 5 3 3 3" xfId="18867" xr:uid="{00000000-0005-0000-0000-0000DD110000}"/>
    <cellStyle name="20% - Accent2 2 5 3 3 3 2" xfId="44741" xr:uid="{00000000-0005-0000-0000-0000DE110000}"/>
    <cellStyle name="20% - Accent2 2 5 3 3 4" xfId="31825" xr:uid="{00000000-0005-0000-0000-0000DF110000}"/>
    <cellStyle name="20% - Accent2 2 5 3 4" xfId="9180" xr:uid="{00000000-0005-0000-0000-0000E0110000}"/>
    <cellStyle name="20% - Accent2 2 5 3 4 2" xfId="22097" xr:uid="{00000000-0005-0000-0000-0000E1110000}"/>
    <cellStyle name="20% - Accent2 2 5 3 4 2 2" xfId="47971" xr:uid="{00000000-0005-0000-0000-0000E2110000}"/>
    <cellStyle name="20% - Accent2 2 5 3 4 3" xfId="35055" xr:uid="{00000000-0005-0000-0000-0000E3110000}"/>
    <cellStyle name="20% - Accent2 2 5 3 5" xfId="15639" xr:uid="{00000000-0005-0000-0000-0000E4110000}"/>
    <cellStyle name="20% - Accent2 2 5 3 5 2" xfId="41513" xr:uid="{00000000-0005-0000-0000-0000E5110000}"/>
    <cellStyle name="20% - Accent2 2 5 3 6" xfId="28565" xr:uid="{00000000-0005-0000-0000-0000E6110000}"/>
    <cellStyle name="20% - Accent2 2 5 4" xfId="3502" xr:uid="{00000000-0005-0000-0000-0000E7110000}"/>
    <cellStyle name="20% - Accent2 2 5 4 2" xfId="6756" xr:uid="{00000000-0005-0000-0000-0000E8110000}"/>
    <cellStyle name="20% - Accent2 2 5 4 2 2" xfId="13215" xr:uid="{00000000-0005-0000-0000-0000E9110000}"/>
    <cellStyle name="20% - Accent2 2 5 4 2 2 2" xfId="26132" xr:uid="{00000000-0005-0000-0000-0000EA110000}"/>
    <cellStyle name="20% - Accent2 2 5 4 2 2 2 2" xfId="52006" xr:uid="{00000000-0005-0000-0000-0000EB110000}"/>
    <cellStyle name="20% - Accent2 2 5 4 2 2 3" xfId="39090" xr:uid="{00000000-0005-0000-0000-0000EC110000}"/>
    <cellStyle name="20% - Accent2 2 5 4 2 3" xfId="19674" xr:uid="{00000000-0005-0000-0000-0000ED110000}"/>
    <cellStyle name="20% - Accent2 2 5 4 2 3 2" xfId="45548" xr:uid="{00000000-0005-0000-0000-0000EE110000}"/>
    <cellStyle name="20% - Accent2 2 5 4 2 4" xfId="32632" xr:uid="{00000000-0005-0000-0000-0000EF110000}"/>
    <cellStyle name="20% - Accent2 2 5 4 3" xfId="9987" xr:uid="{00000000-0005-0000-0000-0000F0110000}"/>
    <cellStyle name="20% - Accent2 2 5 4 3 2" xfId="22904" xr:uid="{00000000-0005-0000-0000-0000F1110000}"/>
    <cellStyle name="20% - Accent2 2 5 4 3 2 2" xfId="48778" xr:uid="{00000000-0005-0000-0000-0000F2110000}"/>
    <cellStyle name="20% - Accent2 2 5 4 3 3" xfId="35862" xr:uid="{00000000-0005-0000-0000-0000F3110000}"/>
    <cellStyle name="20% - Accent2 2 5 4 4" xfId="16446" xr:uid="{00000000-0005-0000-0000-0000F4110000}"/>
    <cellStyle name="20% - Accent2 2 5 4 4 2" xfId="42320" xr:uid="{00000000-0005-0000-0000-0000F5110000}"/>
    <cellStyle name="20% - Accent2 2 5 4 5" xfId="29372" xr:uid="{00000000-0005-0000-0000-0000F6110000}"/>
    <cellStyle name="20% - Accent2 2 5 5" xfId="5142" xr:uid="{00000000-0005-0000-0000-0000F7110000}"/>
    <cellStyle name="20% - Accent2 2 5 5 2" xfId="11601" xr:uid="{00000000-0005-0000-0000-0000F8110000}"/>
    <cellStyle name="20% - Accent2 2 5 5 2 2" xfId="24518" xr:uid="{00000000-0005-0000-0000-0000F9110000}"/>
    <cellStyle name="20% - Accent2 2 5 5 2 2 2" xfId="50392" xr:uid="{00000000-0005-0000-0000-0000FA110000}"/>
    <cellStyle name="20% - Accent2 2 5 5 2 3" xfId="37476" xr:uid="{00000000-0005-0000-0000-0000FB110000}"/>
    <cellStyle name="20% - Accent2 2 5 5 3" xfId="18060" xr:uid="{00000000-0005-0000-0000-0000FC110000}"/>
    <cellStyle name="20% - Accent2 2 5 5 3 2" xfId="43934" xr:uid="{00000000-0005-0000-0000-0000FD110000}"/>
    <cellStyle name="20% - Accent2 2 5 5 4" xfId="31018" xr:uid="{00000000-0005-0000-0000-0000FE110000}"/>
    <cellStyle name="20% - Accent2 2 5 6" xfId="8372" xr:uid="{00000000-0005-0000-0000-0000FF110000}"/>
    <cellStyle name="20% - Accent2 2 5 6 2" xfId="21289" xr:uid="{00000000-0005-0000-0000-000000120000}"/>
    <cellStyle name="20% - Accent2 2 5 6 2 2" xfId="47163" xr:uid="{00000000-0005-0000-0000-000001120000}"/>
    <cellStyle name="20% - Accent2 2 5 6 3" xfId="34247" xr:uid="{00000000-0005-0000-0000-000002120000}"/>
    <cellStyle name="20% - Accent2 2 5 7" xfId="14831" xr:uid="{00000000-0005-0000-0000-000003120000}"/>
    <cellStyle name="20% - Accent2 2 5 7 2" xfId="40705" xr:uid="{00000000-0005-0000-0000-000004120000}"/>
    <cellStyle name="20% - Accent2 2 5 8" xfId="27757" xr:uid="{00000000-0005-0000-0000-000005120000}"/>
    <cellStyle name="20% - Accent2 2 5 9" xfId="53620" xr:uid="{00000000-0005-0000-0000-000006120000}"/>
    <cellStyle name="20% - Accent2 2 6" xfId="2069" xr:uid="{00000000-0005-0000-0000-000007120000}"/>
    <cellStyle name="20% - Accent2 2 6 2" xfId="2887" xr:uid="{00000000-0005-0000-0000-000008120000}"/>
    <cellStyle name="20% - Accent2 2 6 2 2" xfId="4544" xr:uid="{00000000-0005-0000-0000-000009120000}"/>
    <cellStyle name="20% - Accent2 2 6 2 2 2" xfId="7775" xr:uid="{00000000-0005-0000-0000-00000A120000}"/>
    <cellStyle name="20% - Accent2 2 6 2 2 2 2" xfId="14234" xr:uid="{00000000-0005-0000-0000-00000B120000}"/>
    <cellStyle name="20% - Accent2 2 6 2 2 2 2 2" xfId="27151" xr:uid="{00000000-0005-0000-0000-00000C120000}"/>
    <cellStyle name="20% - Accent2 2 6 2 2 2 2 2 2" xfId="53025" xr:uid="{00000000-0005-0000-0000-00000D120000}"/>
    <cellStyle name="20% - Accent2 2 6 2 2 2 2 3" xfId="40109" xr:uid="{00000000-0005-0000-0000-00000E120000}"/>
    <cellStyle name="20% - Accent2 2 6 2 2 2 3" xfId="20693" xr:uid="{00000000-0005-0000-0000-00000F120000}"/>
    <cellStyle name="20% - Accent2 2 6 2 2 2 3 2" xfId="46567" xr:uid="{00000000-0005-0000-0000-000010120000}"/>
    <cellStyle name="20% - Accent2 2 6 2 2 2 4" xfId="33651" xr:uid="{00000000-0005-0000-0000-000011120000}"/>
    <cellStyle name="20% - Accent2 2 6 2 2 3" xfId="11006" xr:uid="{00000000-0005-0000-0000-000012120000}"/>
    <cellStyle name="20% - Accent2 2 6 2 2 3 2" xfId="23923" xr:uid="{00000000-0005-0000-0000-000013120000}"/>
    <cellStyle name="20% - Accent2 2 6 2 2 3 2 2" xfId="49797" xr:uid="{00000000-0005-0000-0000-000014120000}"/>
    <cellStyle name="20% - Accent2 2 6 2 2 3 3" xfId="36881" xr:uid="{00000000-0005-0000-0000-000015120000}"/>
    <cellStyle name="20% - Accent2 2 6 2 2 4" xfId="17465" xr:uid="{00000000-0005-0000-0000-000016120000}"/>
    <cellStyle name="20% - Accent2 2 6 2 2 4 2" xfId="43339" xr:uid="{00000000-0005-0000-0000-000017120000}"/>
    <cellStyle name="20% - Accent2 2 6 2 2 5" xfId="30391" xr:uid="{00000000-0005-0000-0000-000018120000}"/>
    <cellStyle name="20% - Accent2 2 6 2 3" xfId="6161" xr:uid="{00000000-0005-0000-0000-000019120000}"/>
    <cellStyle name="20% - Accent2 2 6 2 3 2" xfId="12620" xr:uid="{00000000-0005-0000-0000-00001A120000}"/>
    <cellStyle name="20% - Accent2 2 6 2 3 2 2" xfId="25537" xr:uid="{00000000-0005-0000-0000-00001B120000}"/>
    <cellStyle name="20% - Accent2 2 6 2 3 2 2 2" xfId="51411" xr:uid="{00000000-0005-0000-0000-00001C120000}"/>
    <cellStyle name="20% - Accent2 2 6 2 3 2 3" xfId="38495" xr:uid="{00000000-0005-0000-0000-00001D120000}"/>
    <cellStyle name="20% - Accent2 2 6 2 3 3" xfId="19079" xr:uid="{00000000-0005-0000-0000-00001E120000}"/>
    <cellStyle name="20% - Accent2 2 6 2 3 3 2" xfId="44953" xr:uid="{00000000-0005-0000-0000-00001F120000}"/>
    <cellStyle name="20% - Accent2 2 6 2 3 4" xfId="32037" xr:uid="{00000000-0005-0000-0000-000020120000}"/>
    <cellStyle name="20% - Accent2 2 6 2 4" xfId="9392" xr:uid="{00000000-0005-0000-0000-000021120000}"/>
    <cellStyle name="20% - Accent2 2 6 2 4 2" xfId="22309" xr:uid="{00000000-0005-0000-0000-000022120000}"/>
    <cellStyle name="20% - Accent2 2 6 2 4 2 2" xfId="48183" xr:uid="{00000000-0005-0000-0000-000023120000}"/>
    <cellStyle name="20% - Accent2 2 6 2 4 3" xfId="35267" xr:uid="{00000000-0005-0000-0000-000024120000}"/>
    <cellStyle name="20% - Accent2 2 6 2 5" xfId="15851" xr:uid="{00000000-0005-0000-0000-000025120000}"/>
    <cellStyle name="20% - Accent2 2 6 2 5 2" xfId="41725" xr:uid="{00000000-0005-0000-0000-000026120000}"/>
    <cellStyle name="20% - Accent2 2 6 2 6" xfId="28777" xr:uid="{00000000-0005-0000-0000-000027120000}"/>
    <cellStyle name="20% - Accent2 2 6 3" xfId="3714" xr:uid="{00000000-0005-0000-0000-000028120000}"/>
    <cellStyle name="20% - Accent2 2 6 3 2" xfId="6968" xr:uid="{00000000-0005-0000-0000-000029120000}"/>
    <cellStyle name="20% - Accent2 2 6 3 2 2" xfId="13427" xr:uid="{00000000-0005-0000-0000-00002A120000}"/>
    <cellStyle name="20% - Accent2 2 6 3 2 2 2" xfId="26344" xr:uid="{00000000-0005-0000-0000-00002B120000}"/>
    <cellStyle name="20% - Accent2 2 6 3 2 2 2 2" xfId="52218" xr:uid="{00000000-0005-0000-0000-00002C120000}"/>
    <cellStyle name="20% - Accent2 2 6 3 2 2 3" xfId="39302" xr:uid="{00000000-0005-0000-0000-00002D120000}"/>
    <cellStyle name="20% - Accent2 2 6 3 2 3" xfId="19886" xr:uid="{00000000-0005-0000-0000-00002E120000}"/>
    <cellStyle name="20% - Accent2 2 6 3 2 3 2" xfId="45760" xr:uid="{00000000-0005-0000-0000-00002F120000}"/>
    <cellStyle name="20% - Accent2 2 6 3 2 4" xfId="32844" xr:uid="{00000000-0005-0000-0000-000030120000}"/>
    <cellStyle name="20% - Accent2 2 6 3 3" xfId="10199" xr:uid="{00000000-0005-0000-0000-000031120000}"/>
    <cellStyle name="20% - Accent2 2 6 3 3 2" xfId="23116" xr:uid="{00000000-0005-0000-0000-000032120000}"/>
    <cellStyle name="20% - Accent2 2 6 3 3 2 2" xfId="48990" xr:uid="{00000000-0005-0000-0000-000033120000}"/>
    <cellStyle name="20% - Accent2 2 6 3 3 3" xfId="36074" xr:uid="{00000000-0005-0000-0000-000034120000}"/>
    <cellStyle name="20% - Accent2 2 6 3 4" xfId="16658" xr:uid="{00000000-0005-0000-0000-000035120000}"/>
    <cellStyle name="20% - Accent2 2 6 3 4 2" xfId="42532" xr:uid="{00000000-0005-0000-0000-000036120000}"/>
    <cellStyle name="20% - Accent2 2 6 3 5" xfId="29584" xr:uid="{00000000-0005-0000-0000-000037120000}"/>
    <cellStyle name="20% - Accent2 2 6 4" xfId="5354" xr:uid="{00000000-0005-0000-0000-000038120000}"/>
    <cellStyle name="20% - Accent2 2 6 4 2" xfId="11813" xr:uid="{00000000-0005-0000-0000-000039120000}"/>
    <cellStyle name="20% - Accent2 2 6 4 2 2" xfId="24730" xr:uid="{00000000-0005-0000-0000-00003A120000}"/>
    <cellStyle name="20% - Accent2 2 6 4 2 2 2" xfId="50604" xr:uid="{00000000-0005-0000-0000-00003B120000}"/>
    <cellStyle name="20% - Accent2 2 6 4 2 3" xfId="37688" xr:uid="{00000000-0005-0000-0000-00003C120000}"/>
    <cellStyle name="20% - Accent2 2 6 4 3" xfId="18272" xr:uid="{00000000-0005-0000-0000-00003D120000}"/>
    <cellStyle name="20% - Accent2 2 6 4 3 2" xfId="44146" xr:uid="{00000000-0005-0000-0000-00003E120000}"/>
    <cellStyle name="20% - Accent2 2 6 4 4" xfId="31230" xr:uid="{00000000-0005-0000-0000-00003F120000}"/>
    <cellStyle name="20% - Accent2 2 6 5" xfId="8585" xr:uid="{00000000-0005-0000-0000-000040120000}"/>
    <cellStyle name="20% - Accent2 2 6 5 2" xfId="21502" xr:uid="{00000000-0005-0000-0000-000041120000}"/>
    <cellStyle name="20% - Accent2 2 6 5 2 2" xfId="47376" xr:uid="{00000000-0005-0000-0000-000042120000}"/>
    <cellStyle name="20% - Accent2 2 6 5 3" xfId="34460" xr:uid="{00000000-0005-0000-0000-000043120000}"/>
    <cellStyle name="20% - Accent2 2 6 6" xfId="15044" xr:uid="{00000000-0005-0000-0000-000044120000}"/>
    <cellStyle name="20% - Accent2 2 6 6 2" xfId="40918" xr:uid="{00000000-0005-0000-0000-000045120000}"/>
    <cellStyle name="20% - Accent2 2 6 7" xfId="27970" xr:uid="{00000000-0005-0000-0000-000046120000}"/>
    <cellStyle name="20% - Accent2 2 6 8" xfId="53832" xr:uid="{00000000-0005-0000-0000-000047120000}"/>
    <cellStyle name="20% - Accent2 2 7" xfId="2480" xr:uid="{00000000-0005-0000-0000-000048120000}"/>
    <cellStyle name="20% - Accent2 2 7 2" xfId="4137" xr:uid="{00000000-0005-0000-0000-000049120000}"/>
    <cellStyle name="20% - Accent2 2 7 2 2" xfId="7368" xr:uid="{00000000-0005-0000-0000-00004A120000}"/>
    <cellStyle name="20% - Accent2 2 7 2 2 2" xfId="13827" xr:uid="{00000000-0005-0000-0000-00004B120000}"/>
    <cellStyle name="20% - Accent2 2 7 2 2 2 2" xfId="26744" xr:uid="{00000000-0005-0000-0000-00004C120000}"/>
    <cellStyle name="20% - Accent2 2 7 2 2 2 2 2" xfId="52618" xr:uid="{00000000-0005-0000-0000-00004D120000}"/>
    <cellStyle name="20% - Accent2 2 7 2 2 2 3" xfId="39702" xr:uid="{00000000-0005-0000-0000-00004E120000}"/>
    <cellStyle name="20% - Accent2 2 7 2 2 3" xfId="20286" xr:uid="{00000000-0005-0000-0000-00004F120000}"/>
    <cellStyle name="20% - Accent2 2 7 2 2 3 2" xfId="46160" xr:uid="{00000000-0005-0000-0000-000050120000}"/>
    <cellStyle name="20% - Accent2 2 7 2 2 4" xfId="33244" xr:uid="{00000000-0005-0000-0000-000051120000}"/>
    <cellStyle name="20% - Accent2 2 7 2 3" xfId="10599" xr:uid="{00000000-0005-0000-0000-000052120000}"/>
    <cellStyle name="20% - Accent2 2 7 2 3 2" xfId="23516" xr:uid="{00000000-0005-0000-0000-000053120000}"/>
    <cellStyle name="20% - Accent2 2 7 2 3 2 2" xfId="49390" xr:uid="{00000000-0005-0000-0000-000054120000}"/>
    <cellStyle name="20% - Accent2 2 7 2 3 3" xfId="36474" xr:uid="{00000000-0005-0000-0000-000055120000}"/>
    <cellStyle name="20% - Accent2 2 7 2 4" xfId="17058" xr:uid="{00000000-0005-0000-0000-000056120000}"/>
    <cellStyle name="20% - Accent2 2 7 2 4 2" xfId="42932" xr:uid="{00000000-0005-0000-0000-000057120000}"/>
    <cellStyle name="20% - Accent2 2 7 2 5" xfId="29984" xr:uid="{00000000-0005-0000-0000-000058120000}"/>
    <cellStyle name="20% - Accent2 2 7 3" xfId="5754" xr:uid="{00000000-0005-0000-0000-000059120000}"/>
    <cellStyle name="20% - Accent2 2 7 3 2" xfId="12213" xr:uid="{00000000-0005-0000-0000-00005A120000}"/>
    <cellStyle name="20% - Accent2 2 7 3 2 2" xfId="25130" xr:uid="{00000000-0005-0000-0000-00005B120000}"/>
    <cellStyle name="20% - Accent2 2 7 3 2 2 2" xfId="51004" xr:uid="{00000000-0005-0000-0000-00005C120000}"/>
    <cellStyle name="20% - Accent2 2 7 3 2 3" xfId="38088" xr:uid="{00000000-0005-0000-0000-00005D120000}"/>
    <cellStyle name="20% - Accent2 2 7 3 3" xfId="18672" xr:uid="{00000000-0005-0000-0000-00005E120000}"/>
    <cellStyle name="20% - Accent2 2 7 3 3 2" xfId="44546" xr:uid="{00000000-0005-0000-0000-00005F120000}"/>
    <cellStyle name="20% - Accent2 2 7 3 4" xfId="31630" xr:uid="{00000000-0005-0000-0000-000060120000}"/>
    <cellStyle name="20% - Accent2 2 7 4" xfId="8985" xr:uid="{00000000-0005-0000-0000-000061120000}"/>
    <cellStyle name="20% - Accent2 2 7 4 2" xfId="21902" xr:uid="{00000000-0005-0000-0000-000062120000}"/>
    <cellStyle name="20% - Accent2 2 7 4 2 2" xfId="47776" xr:uid="{00000000-0005-0000-0000-000063120000}"/>
    <cellStyle name="20% - Accent2 2 7 4 3" xfId="34860" xr:uid="{00000000-0005-0000-0000-000064120000}"/>
    <cellStyle name="20% - Accent2 2 7 5" xfId="15444" xr:uid="{00000000-0005-0000-0000-000065120000}"/>
    <cellStyle name="20% - Accent2 2 7 5 2" xfId="41318" xr:uid="{00000000-0005-0000-0000-000066120000}"/>
    <cellStyle name="20% - Accent2 2 7 6" xfId="28370" xr:uid="{00000000-0005-0000-0000-000067120000}"/>
    <cellStyle name="20% - Accent2 2 8" xfId="3289" xr:uid="{00000000-0005-0000-0000-000068120000}"/>
    <cellStyle name="20% - Accent2 2 8 2" xfId="6561" xr:uid="{00000000-0005-0000-0000-000069120000}"/>
    <cellStyle name="20% - Accent2 2 8 2 2" xfId="13020" xr:uid="{00000000-0005-0000-0000-00006A120000}"/>
    <cellStyle name="20% - Accent2 2 8 2 2 2" xfId="25937" xr:uid="{00000000-0005-0000-0000-00006B120000}"/>
    <cellStyle name="20% - Accent2 2 8 2 2 2 2" xfId="51811" xr:uid="{00000000-0005-0000-0000-00006C120000}"/>
    <cellStyle name="20% - Accent2 2 8 2 2 3" xfId="38895" xr:uid="{00000000-0005-0000-0000-00006D120000}"/>
    <cellStyle name="20% - Accent2 2 8 2 3" xfId="19479" xr:uid="{00000000-0005-0000-0000-00006E120000}"/>
    <cellStyle name="20% - Accent2 2 8 2 3 2" xfId="45353" xr:uid="{00000000-0005-0000-0000-00006F120000}"/>
    <cellStyle name="20% - Accent2 2 8 2 4" xfId="32437" xr:uid="{00000000-0005-0000-0000-000070120000}"/>
    <cellStyle name="20% - Accent2 2 8 3" xfId="9792" xr:uid="{00000000-0005-0000-0000-000071120000}"/>
    <cellStyle name="20% - Accent2 2 8 3 2" xfId="22709" xr:uid="{00000000-0005-0000-0000-000072120000}"/>
    <cellStyle name="20% - Accent2 2 8 3 2 2" xfId="48583" xr:uid="{00000000-0005-0000-0000-000073120000}"/>
    <cellStyle name="20% - Accent2 2 8 3 3" xfId="35667" xr:uid="{00000000-0005-0000-0000-000074120000}"/>
    <cellStyle name="20% - Accent2 2 8 4" xfId="16251" xr:uid="{00000000-0005-0000-0000-000075120000}"/>
    <cellStyle name="20% - Accent2 2 8 4 2" xfId="42125" xr:uid="{00000000-0005-0000-0000-000076120000}"/>
    <cellStyle name="20% - Accent2 2 8 5" xfId="29177" xr:uid="{00000000-0005-0000-0000-000077120000}"/>
    <cellStyle name="20% - Accent2 2 9" xfId="4947" xr:uid="{00000000-0005-0000-0000-000078120000}"/>
    <cellStyle name="20% - Accent2 2 9 2" xfId="11406" xr:uid="{00000000-0005-0000-0000-000079120000}"/>
    <cellStyle name="20% - Accent2 2 9 2 2" xfId="24323" xr:uid="{00000000-0005-0000-0000-00007A120000}"/>
    <cellStyle name="20% - Accent2 2 9 2 2 2" xfId="50197" xr:uid="{00000000-0005-0000-0000-00007B120000}"/>
    <cellStyle name="20% - Accent2 2 9 2 3" xfId="37281" xr:uid="{00000000-0005-0000-0000-00007C120000}"/>
    <cellStyle name="20% - Accent2 2 9 3" xfId="17865" xr:uid="{00000000-0005-0000-0000-00007D120000}"/>
    <cellStyle name="20% - Accent2 2 9 3 2" xfId="43739" xr:uid="{00000000-0005-0000-0000-00007E120000}"/>
    <cellStyle name="20% - Accent2 2 9 4" xfId="30823" xr:uid="{00000000-0005-0000-0000-00007F120000}"/>
    <cellStyle name="20% - Accent2 20" xfId="30798" xr:uid="{00000000-0005-0000-0000-000080120000}"/>
    <cellStyle name="20% - Accent2 21" xfId="53414" xr:uid="{00000000-0005-0000-0000-000081120000}"/>
    <cellStyle name="20% - Accent2 22" xfId="191" xr:uid="{00000000-0005-0000-0000-000082120000}"/>
    <cellStyle name="20% - Accent2 3" xfId="75" xr:uid="{00000000-0005-0000-0000-000083120000}"/>
    <cellStyle name="20% - Accent2 3 2" xfId="268" xr:uid="{00000000-0005-0000-0000-000084120000}"/>
    <cellStyle name="20% - Accent2 3 2 10" xfId="53553" xr:uid="{00000000-0005-0000-0000-000085120000}"/>
    <cellStyle name="20% - Accent2 3 2 11" xfId="1637" xr:uid="{00000000-0005-0000-0000-000086120000}"/>
    <cellStyle name="20% - Accent2 3 2 2" xfId="442" xr:uid="{00000000-0005-0000-0000-000087120000}"/>
    <cellStyle name="20% - Accent2 3 2 2 10" xfId="1962" xr:uid="{00000000-0005-0000-0000-000088120000}"/>
    <cellStyle name="20% - Accent2 3 2 2 2" xfId="528" xr:uid="{00000000-0005-0000-0000-000089120000}"/>
    <cellStyle name="20% - Accent2 3 2 2 2 2" xfId="3206" xr:uid="{00000000-0005-0000-0000-00008A120000}"/>
    <cellStyle name="20% - Accent2 3 2 2 2 2 2" xfId="4863" xr:uid="{00000000-0005-0000-0000-00008B120000}"/>
    <cellStyle name="20% - Accent2 3 2 2 2 2 2 2" xfId="8094" xr:uid="{00000000-0005-0000-0000-00008C120000}"/>
    <cellStyle name="20% - Accent2 3 2 2 2 2 2 2 2" xfId="14553" xr:uid="{00000000-0005-0000-0000-00008D120000}"/>
    <cellStyle name="20% - Accent2 3 2 2 2 2 2 2 2 2" xfId="27470" xr:uid="{00000000-0005-0000-0000-00008E120000}"/>
    <cellStyle name="20% - Accent2 3 2 2 2 2 2 2 2 2 2" xfId="53344" xr:uid="{00000000-0005-0000-0000-00008F120000}"/>
    <cellStyle name="20% - Accent2 3 2 2 2 2 2 2 2 3" xfId="40428" xr:uid="{00000000-0005-0000-0000-000090120000}"/>
    <cellStyle name="20% - Accent2 3 2 2 2 2 2 2 3" xfId="21012" xr:uid="{00000000-0005-0000-0000-000091120000}"/>
    <cellStyle name="20% - Accent2 3 2 2 2 2 2 2 3 2" xfId="46886" xr:uid="{00000000-0005-0000-0000-000092120000}"/>
    <cellStyle name="20% - Accent2 3 2 2 2 2 2 2 4" xfId="33970" xr:uid="{00000000-0005-0000-0000-000093120000}"/>
    <cellStyle name="20% - Accent2 3 2 2 2 2 2 3" xfId="11325" xr:uid="{00000000-0005-0000-0000-000094120000}"/>
    <cellStyle name="20% - Accent2 3 2 2 2 2 2 3 2" xfId="24242" xr:uid="{00000000-0005-0000-0000-000095120000}"/>
    <cellStyle name="20% - Accent2 3 2 2 2 2 2 3 2 2" xfId="50116" xr:uid="{00000000-0005-0000-0000-000096120000}"/>
    <cellStyle name="20% - Accent2 3 2 2 2 2 2 3 3" xfId="37200" xr:uid="{00000000-0005-0000-0000-000097120000}"/>
    <cellStyle name="20% - Accent2 3 2 2 2 2 2 4" xfId="17784" xr:uid="{00000000-0005-0000-0000-000098120000}"/>
    <cellStyle name="20% - Accent2 3 2 2 2 2 2 4 2" xfId="43658" xr:uid="{00000000-0005-0000-0000-000099120000}"/>
    <cellStyle name="20% - Accent2 3 2 2 2 2 2 5" xfId="30710" xr:uid="{00000000-0005-0000-0000-00009A120000}"/>
    <cellStyle name="20% - Accent2 3 2 2 2 2 3" xfId="6480" xr:uid="{00000000-0005-0000-0000-00009B120000}"/>
    <cellStyle name="20% - Accent2 3 2 2 2 2 3 2" xfId="12939" xr:uid="{00000000-0005-0000-0000-00009C120000}"/>
    <cellStyle name="20% - Accent2 3 2 2 2 2 3 2 2" xfId="25856" xr:uid="{00000000-0005-0000-0000-00009D120000}"/>
    <cellStyle name="20% - Accent2 3 2 2 2 2 3 2 2 2" xfId="51730" xr:uid="{00000000-0005-0000-0000-00009E120000}"/>
    <cellStyle name="20% - Accent2 3 2 2 2 2 3 2 3" xfId="38814" xr:uid="{00000000-0005-0000-0000-00009F120000}"/>
    <cellStyle name="20% - Accent2 3 2 2 2 2 3 3" xfId="19398" xr:uid="{00000000-0005-0000-0000-0000A0120000}"/>
    <cellStyle name="20% - Accent2 3 2 2 2 2 3 3 2" xfId="45272" xr:uid="{00000000-0005-0000-0000-0000A1120000}"/>
    <cellStyle name="20% - Accent2 3 2 2 2 2 3 4" xfId="32356" xr:uid="{00000000-0005-0000-0000-0000A2120000}"/>
    <cellStyle name="20% - Accent2 3 2 2 2 2 4" xfId="9711" xr:uid="{00000000-0005-0000-0000-0000A3120000}"/>
    <cellStyle name="20% - Accent2 3 2 2 2 2 4 2" xfId="22628" xr:uid="{00000000-0005-0000-0000-0000A4120000}"/>
    <cellStyle name="20% - Accent2 3 2 2 2 2 4 2 2" xfId="48502" xr:uid="{00000000-0005-0000-0000-0000A5120000}"/>
    <cellStyle name="20% - Accent2 3 2 2 2 2 4 3" xfId="35586" xr:uid="{00000000-0005-0000-0000-0000A6120000}"/>
    <cellStyle name="20% - Accent2 3 2 2 2 2 5" xfId="16170" xr:uid="{00000000-0005-0000-0000-0000A7120000}"/>
    <cellStyle name="20% - Accent2 3 2 2 2 2 5 2" xfId="42044" xr:uid="{00000000-0005-0000-0000-0000A8120000}"/>
    <cellStyle name="20% - Accent2 3 2 2 2 2 6" xfId="29096" xr:uid="{00000000-0005-0000-0000-0000A9120000}"/>
    <cellStyle name="20% - Accent2 3 2 2 2 3" xfId="4033" xr:uid="{00000000-0005-0000-0000-0000AA120000}"/>
    <cellStyle name="20% - Accent2 3 2 2 2 3 2" xfId="7287" xr:uid="{00000000-0005-0000-0000-0000AB120000}"/>
    <cellStyle name="20% - Accent2 3 2 2 2 3 2 2" xfId="13746" xr:uid="{00000000-0005-0000-0000-0000AC120000}"/>
    <cellStyle name="20% - Accent2 3 2 2 2 3 2 2 2" xfId="26663" xr:uid="{00000000-0005-0000-0000-0000AD120000}"/>
    <cellStyle name="20% - Accent2 3 2 2 2 3 2 2 2 2" xfId="52537" xr:uid="{00000000-0005-0000-0000-0000AE120000}"/>
    <cellStyle name="20% - Accent2 3 2 2 2 3 2 2 3" xfId="39621" xr:uid="{00000000-0005-0000-0000-0000AF120000}"/>
    <cellStyle name="20% - Accent2 3 2 2 2 3 2 3" xfId="20205" xr:uid="{00000000-0005-0000-0000-0000B0120000}"/>
    <cellStyle name="20% - Accent2 3 2 2 2 3 2 3 2" xfId="46079" xr:uid="{00000000-0005-0000-0000-0000B1120000}"/>
    <cellStyle name="20% - Accent2 3 2 2 2 3 2 4" xfId="33163" xr:uid="{00000000-0005-0000-0000-0000B2120000}"/>
    <cellStyle name="20% - Accent2 3 2 2 2 3 3" xfId="10518" xr:uid="{00000000-0005-0000-0000-0000B3120000}"/>
    <cellStyle name="20% - Accent2 3 2 2 2 3 3 2" xfId="23435" xr:uid="{00000000-0005-0000-0000-0000B4120000}"/>
    <cellStyle name="20% - Accent2 3 2 2 2 3 3 2 2" xfId="49309" xr:uid="{00000000-0005-0000-0000-0000B5120000}"/>
    <cellStyle name="20% - Accent2 3 2 2 2 3 3 3" xfId="36393" xr:uid="{00000000-0005-0000-0000-0000B6120000}"/>
    <cellStyle name="20% - Accent2 3 2 2 2 3 4" xfId="16977" xr:uid="{00000000-0005-0000-0000-0000B7120000}"/>
    <cellStyle name="20% - Accent2 3 2 2 2 3 4 2" xfId="42851" xr:uid="{00000000-0005-0000-0000-0000B8120000}"/>
    <cellStyle name="20% - Accent2 3 2 2 2 3 5" xfId="29903" xr:uid="{00000000-0005-0000-0000-0000B9120000}"/>
    <cellStyle name="20% - Accent2 3 2 2 2 4" xfId="5673" xr:uid="{00000000-0005-0000-0000-0000BA120000}"/>
    <cellStyle name="20% - Accent2 3 2 2 2 4 2" xfId="12132" xr:uid="{00000000-0005-0000-0000-0000BB120000}"/>
    <cellStyle name="20% - Accent2 3 2 2 2 4 2 2" xfId="25049" xr:uid="{00000000-0005-0000-0000-0000BC120000}"/>
    <cellStyle name="20% - Accent2 3 2 2 2 4 2 2 2" xfId="50923" xr:uid="{00000000-0005-0000-0000-0000BD120000}"/>
    <cellStyle name="20% - Accent2 3 2 2 2 4 2 3" xfId="38007" xr:uid="{00000000-0005-0000-0000-0000BE120000}"/>
    <cellStyle name="20% - Accent2 3 2 2 2 4 3" xfId="18591" xr:uid="{00000000-0005-0000-0000-0000BF120000}"/>
    <cellStyle name="20% - Accent2 3 2 2 2 4 3 2" xfId="44465" xr:uid="{00000000-0005-0000-0000-0000C0120000}"/>
    <cellStyle name="20% - Accent2 3 2 2 2 4 4" xfId="31549" xr:uid="{00000000-0005-0000-0000-0000C1120000}"/>
    <cellStyle name="20% - Accent2 3 2 2 2 5" xfId="8904" xr:uid="{00000000-0005-0000-0000-0000C2120000}"/>
    <cellStyle name="20% - Accent2 3 2 2 2 5 2" xfId="21821" xr:uid="{00000000-0005-0000-0000-0000C3120000}"/>
    <cellStyle name="20% - Accent2 3 2 2 2 5 2 2" xfId="47695" xr:uid="{00000000-0005-0000-0000-0000C4120000}"/>
    <cellStyle name="20% - Accent2 3 2 2 2 5 3" xfId="34779" xr:uid="{00000000-0005-0000-0000-0000C5120000}"/>
    <cellStyle name="20% - Accent2 3 2 2 2 6" xfId="15363" xr:uid="{00000000-0005-0000-0000-0000C6120000}"/>
    <cellStyle name="20% - Accent2 3 2 2 2 6 2" xfId="41237" xr:uid="{00000000-0005-0000-0000-0000C7120000}"/>
    <cellStyle name="20% - Accent2 3 2 2 2 7" xfId="28289" xr:uid="{00000000-0005-0000-0000-0000C8120000}"/>
    <cellStyle name="20% - Accent2 3 2 2 2 8" xfId="54151" xr:uid="{00000000-0005-0000-0000-0000C9120000}"/>
    <cellStyle name="20% - Accent2 3 2 2 2 9" xfId="2393" xr:uid="{00000000-0005-0000-0000-0000CA120000}"/>
    <cellStyle name="20% - Accent2 3 2 2 3" xfId="527" xr:uid="{00000000-0005-0000-0000-0000CB120000}"/>
    <cellStyle name="20% - Accent2 3 2 2 3 2" xfId="4459" xr:uid="{00000000-0005-0000-0000-0000CC120000}"/>
    <cellStyle name="20% - Accent2 3 2 2 3 2 2" xfId="7690" xr:uid="{00000000-0005-0000-0000-0000CD120000}"/>
    <cellStyle name="20% - Accent2 3 2 2 3 2 2 2" xfId="14149" xr:uid="{00000000-0005-0000-0000-0000CE120000}"/>
    <cellStyle name="20% - Accent2 3 2 2 3 2 2 2 2" xfId="27066" xr:uid="{00000000-0005-0000-0000-0000CF120000}"/>
    <cellStyle name="20% - Accent2 3 2 2 3 2 2 2 2 2" xfId="52940" xr:uid="{00000000-0005-0000-0000-0000D0120000}"/>
    <cellStyle name="20% - Accent2 3 2 2 3 2 2 2 3" xfId="40024" xr:uid="{00000000-0005-0000-0000-0000D1120000}"/>
    <cellStyle name="20% - Accent2 3 2 2 3 2 2 3" xfId="20608" xr:uid="{00000000-0005-0000-0000-0000D2120000}"/>
    <cellStyle name="20% - Accent2 3 2 2 3 2 2 3 2" xfId="46482" xr:uid="{00000000-0005-0000-0000-0000D3120000}"/>
    <cellStyle name="20% - Accent2 3 2 2 3 2 2 4" xfId="33566" xr:uid="{00000000-0005-0000-0000-0000D4120000}"/>
    <cellStyle name="20% - Accent2 3 2 2 3 2 3" xfId="10921" xr:uid="{00000000-0005-0000-0000-0000D5120000}"/>
    <cellStyle name="20% - Accent2 3 2 2 3 2 3 2" xfId="23838" xr:uid="{00000000-0005-0000-0000-0000D6120000}"/>
    <cellStyle name="20% - Accent2 3 2 2 3 2 3 2 2" xfId="49712" xr:uid="{00000000-0005-0000-0000-0000D7120000}"/>
    <cellStyle name="20% - Accent2 3 2 2 3 2 3 3" xfId="36796" xr:uid="{00000000-0005-0000-0000-0000D8120000}"/>
    <cellStyle name="20% - Accent2 3 2 2 3 2 4" xfId="17380" xr:uid="{00000000-0005-0000-0000-0000D9120000}"/>
    <cellStyle name="20% - Accent2 3 2 2 3 2 4 2" xfId="43254" xr:uid="{00000000-0005-0000-0000-0000DA120000}"/>
    <cellStyle name="20% - Accent2 3 2 2 3 2 5" xfId="30306" xr:uid="{00000000-0005-0000-0000-0000DB120000}"/>
    <cellStyle name="20% - Accent2 3 2 2 3 3" xfId="6076" xr:uid="{00000000-0005-0000-0000-0000DC120000}"/>
    <cellStyle name="20% - Accent2 3 2 2 3 3 2" xfId="12535" xr:uid="{00000000-0005-0000-0000-0000DD120000}"/>
    <cellStyle name="20% - Accent2 3 2 2 3 3 2 2" xfId="25452" xr:uid="{00000000-0005-0000-0000-0000DE120000}"/>
    <cellStyle name="20% - Accent2 3 2 2 3 3 2 2 2" xfId="51326" xr:uid="{00000000-0005-0000-0000-0000DF120000}"/>
    <cellStyle name="20% - Accent2 3 2 2 3 3 2 3" xfId="38410" xr:uid="{00000000-0005-0000-0000-0000E0120000}"/>
    <cellStyle name="20% - Accent2 3 2 2 3 3 3" xfId="18994" xr:uid="{00000000-0005-0000-0000-0000E1120000}"/>
    <cellStyle name="20% - Accent2 3 2 2 3 3 3 2" xfId="44868" xr:uid="{00000000-0005-0000-0000-0000E2120000}"/>
    <cellStyle name="20% - Accent2 3 2 2 3 3 4" xfId="31952" xr:uid="{00000000-0005-0000-0000-0000E3120000}"/>
    <cellStyle name="20% - Accent2 3 2 2 3 4" xfId="9307" xr:uid="{00000000-0005-0000-0000-0000E4120000}"/>
    <cellStyle name="20% - Accent2 3 2 2 3 4 2" xfId="22224" xr:uid="{00000000-0005-0000-0000-0000E5120000}"/>
    <cellStyle name="20% - Accent2 3 2 2 3 4 2 2" xfId="48098" xr:uid="{00000000-0005-0000-0000-0000E6120000}"/>
    <cellStyle name="20% - Accent2 3 2 2 3 4 3" xfId="35182" xr:uid="{00000000-0005-0000-0000-0000E7120000}"/>
    <cellStyle name="20% - Accent2 3 2 2 3 5" xfId="15766" xr:uid="{00000000-0005-0000-0000-0000E8120000}"/>
    <cellStyle name="20% - Accent2 3 2 2 3 5 2" xfId="41640" xr:uid="{00000000-0005-0000-0000-0000E9120000}"/>
    <cellStyle name="20% - Accent2 3 2 2 3 6" xfId="28692" xr:uid="{00000000-0005-0000-0000-0000EA120000}"/>
    <cellStyle name="20% - Accent2 3 2 2 3 7" xfId="2802" xr:uid="{00000000-0005-0000-0000-0000EB120000}"/>
    <cellStyle name="20% - Accent2 3 2 2 4" xfId="3629" xr:uid="{00000000-0005-0000-0000-0000EC120000}"/>
    <cellStyle name="20% - Accent2 3 2 2 4 2" xfId="6883" xr:uid="{00000000-0005-0000-0000-0000ED120000}"/>
    <cellStyle name="20% - Accent2 3 2 2 4 2 2" xfId="13342" xr:uid="{00000000-0005-0000-0000-0000EE120000}"/>
    <cellStyle name="20% - Accent2 3 2 2 4 2 2 2" xfId="26259" xr:uid="{00000000-0005-0000-0000-0000EF120000}"/>
    <cellStyle name="20% - Accent2 3 2 2 4 2 2 2 2" xfId="52133" xr:uid="{00000000-0005-0000-0000-0000F0120000}"/>
    <cellStyle name="20% - Accent2 3 2 2 4 2 2 3" xfId="39217" xr:uid="{00000000-0005-0000-0000-0000F1120000}"/>
    <cellStyle name="20% - Accent2 3 2 2 4 2 3" xfId="19801" xr:uid="{00000000-0005-0000-0000-0000F2120000}"/>
    <cellStyle name="20% - Accent2 3 2 2 4 2 3 2" xfId="45675" xr:uid="{00000000-0005-0000-0000-0000F3120000}"/>
    <cellStyle name="20% - Accent2 3 2 2 4 2 4" xfId="32759" xr:uid="{00000000-0005-0000-0000-0000F4120000}"/>
    <cellStyle name="20% - Accent2 3 2 2 4 3" xfId="10114" xr:uid="{00000000-0005-0000-0000-0000F5120000}"/>
    <cellStyle name="20% - Accent2 3 2 2 4 3 2" xfId="23031" xr:uid="{00000000-0005-0000-0000-0000F6120000}"/>
    <cellStyle name="20% - Accent2 3 2 2 4 3 2 2" xfId="48905" xr:uid="{00000000-0005-0000-0000-0000F7120000}"/>
    <cellStyle name="20% - Accent2 3 2 2 4 3 3" xfId="35989" xr:uid="{00000000-0005-0000-0000-0000F8120000}"/>
    <cellStyle name="20% - Accent2 3 2 2 4 4" xfId="16573" xr:uid="{00000000-0005-0000-0000-0000F9120000}"/>
    <cellStyle name="20% - Accent2 3 2 2 4 4 2" xfId="42447" xr:uid="{00000000-0005-0000-0000-0000FA120000}"/>
    <cellStyle name="20% - Accent2 3 2 2 4 5" xfId="29499" xr:uid="{00000000-0005-0000-0000-0000FB120000}"/>
    <cellStyle name="20% - Accent2 3 2 2 5" xfId="5269" xr:uid="{00000000-0005-0000-0000-0000FC120000}"/>
    <cellStyle name="20% - Accent2 3 2 2 5 2" xfId="11728" xr:uid="{00000000-0005-0000-0000-0000FD120000}"/>
    <cellStyle name="20% - Accent2 3 2 2 5 2 2" xfId="24645" xr:uid="{00000000-0005-0000-0000-0000FE120000}"/>
    <cellStyle name="20% - Accent2 3 2 2 5 2 2 2" xfId="50519" xr:uid="{00000000-0005-0000-0000-0000FF120000}"/>
    <cellStyle name="20% - Accent2 3 2 2 5 2 3" xfId="37603" xr:uid="{00000000-0005-0000-0000-000000130000}"/>
    <cellStyle name="20% - Accent2 3 2 2 5 3" xfId="18187" xr:uid="{00000000-0005-0000-0000-000001130000}"/>
    <cellStyle name="20% - Accent2 3 2 2 5 3 2" xfId="44061" xr:uid="{00000000-0005-0000-0000-000002130000}"/>
    <cellStyle name="20% - Accent2 3 2 2 5 4" xfId="31145" xr:uid="{00000000-0005-0000-0000-000003130000}"/>
    <cellStyle name="20% - Accent2 3 2 2 6" xfId="8500" xr:uid="{00000000-0005-0000-0000-000004130000}"/>
    <cellStyle name="20% - Accent2 3 2 2 6 2" xfId="21417" xr:uid="{00000000-0005-0000-0000-000005130000}"/>
    <cellStyle name="20% - Accent2 3 2 2 6 2 2" xfId="47291" xr:uid="{00000000-0005-0000-0000-000006130000}"/>
    <cellStyle name="20% - Accent2 3 2 2 6 3" xfId="34375" xr:uid="{00000000-0005-0000-0000-000007130000}"/>
    <cellStyle name="20% - Accent2 3 2 2 7" xfId="14959" xr:uid="{00000000-0005-0000-0000-000008130000}"/>
    <cellStyle name="20% - Accent2 3 2 2 7 2" xfId="40833" xr:uid="{00000000-0005-0000-0000-000009130000}"/>
    <cellStyle name="20% - Accent2 3 2 2 8" xfId="27884" xr:uid="{00000000-0005-0000-0000-00000A130000}"/>
    <cellStyle name="20% - Accent2 3 2 2 9" xfId="53747" xr:uid="{00000000-0005-0000-0000-00000B130000}"/>
    <cellStyle name="20% - Accent2 3 2 3" xfId="529" xr:uid="{00000000-0005-0000-0000-00000C130000}"/>
    <cellStyle name="20% - Accent2 3 2 3 2" xfId="3011" xr:uid="{00000000-0005-0000-0000-00000D130000}"/>
    <cellStyle name="20% - Accent2 3 2 3 2 2" xfId="4668" xr:uid="{00000000-0005-0000-0000-00000E130000}"/>
    <cellStyle name="20% - Accent2 3 2 3 2 2 2" xfId="7899" xr:uid="{00000000-0005-0000-0000-00000F130000}"/>
    <cellStyle name="20% - Accent2 3 2 3 2 2 2 2" xfId="14358" xr:uid="{00000000-0005-0000-0000-000010130000}"/>
    <cellStyle name="20% - Accent2 3 2 3 2 2 2 2 2" xfId="27275" xr:uid="{00000000-0005-0000-0000-000011130000}"/>
    <cellStyle name="20% - Accent2 3 2 3 2 2 2 2 2 2" xfId="53149" xr:uid="{00000000-0005-0000-0000-000012130000}"/>
    <cellStyle name="20% - Accent2 3 2 3 2 2 2 2 3" xfId="40233" xr:uid="{00000000-0005-0000-0000-000013130000}"/>
    <cellStyle name="20% - Accent2 3 2 3 2 2 2 3" xfId="20817" xr:uid="{00000000-0005-0000-0000-000014130000}"/>
    <cellStyle name="20% - Accent2 3 2 3 2 2 2 3 2" xfId="46691" xr:uid="{00000000-0005-0000-0000-000015130000}"/>
    <cellStyle name="20% - Accent2 3 2 3 2 2 2 4" xfId="33775" xr:uid="{00000000-0005-0000-0000-000016130000}"/>
    <cellStyle name="20% - Accent2 3 2 3 2 2 3" xfId="11130" xr:uid="{00000000-0005-0000-0000-000017130000}"/>
    <cellStyle name="20% - Accent2 3 2 3 2 2 3 2" xfId="24047" xr:uid="{00000000-0005-0000-0000-000018130000}"/>
    <cellStyle name="20% - Accent2 3 2 3 2 2 3 2 2" xfId="49921" xr:uid="{00000000-0005-0000-0000-000019130000}"/>
    <cellStyle name="20% - Accent2 3 2 3 2 2 3 3" xfId="37005" xr:uid="{00000000-0005-0000-0000-00001A130000}"/>
    <cellStyle name="20% - Accent2 3 2 3 2 2 4" xfId="17589" xr:uid="{00000000-0005-0000-0000-00001B130000}"/>
    <cellStyle name="20% - Accent2 3 2 3 2 2 4 2" xfId="43463" xr:uid="{00000000-0005-0000-0000-00001C130000}"/>
    <cellStyle name="20% - Accent2 3 2 3 2 2 5" xfId="30515" xr:uid="{00000000-0005-0000-0000-00001D130000}"/>
    <cellStyle name="20% - Accent2 3 2 3 2 3" xfId="6285" xr:uid="{00000000-0005-0000-0000-00001E130000}"/>
    <cellStyle name="20% - Accent2 3 2 3 2 3 2" xfId="12744" xr:uid="{00000000-0005-0000-0000-00001F130000}"/>
    <cellStyle name="20% - Accent2 3 2 3 2 3 2 2" xfId="25661" xr:uid="{00000000-0005-0000-0000-000020130000}"/>
    <cellStyle name="20% - Accent2 3 2 3 2 3 2 2 2" xfId="51535" xr:uid="{00000000-0005-0000-0000-000021130000}"/>
    <cellStyle name="20% - Accent2 3 2 3 2 3 2 3" xfId="38619" xr:uid="{00000000-0005-0000-0000-000022130000}"/>
    <cellStyle name="20% - Accent2 3 2 3 2 3 3" xfId="19203" xr:uid="{00000000-0005-0000-0000-000023130000}"/>
    <cellStyle name="20% - Accent2 3 2 3 2 3 3 2" xfId="45077" xr:uid="{00000000-0005-0000-0000-000024130000}"/>
    <cellStyle name="20% - Accent2 3 2 3 2 3 4" xfId="32161" xr:uid="{00000000-0005-0000-0000-000025130000}"/>
    <cellStyle name="20% - Accent2 3 2 3 2 4" xfId="9516" xr:uid="{00000000-0005-0000-0000-000026130000}"/>
    <cellStyle name="20% - Accent2 3 2 3 2 4 2" xfId="22433" xr:uid="{00000000-0005-0000-0000-000027130000}"/>
    <cellStyle name="20% - Accent2 3 2 3 2 4 2 2" xfId="48307" xr:uid="{00000000-0005-0000-0000-000028130000}"/>
    <cellStyle name="20% - Accent2 3 2 3 2 4 3" xfId="35391" xr:uid="{00000000-0005-0000-0000-000029130000}"/>
    <cellStyle name="20% - Accent2 3 2 3 2 5" xfId="15975" xr:uid="{00000000-0005-0000-0000-00002A130000}"/>
    <cellStyle name="20% - Accent2 3 2 3 2 5 2" xfId="41849" xr:uid="{00000000-0005-0000-0000-00002B130000}"/>
    <cellStyle name="20% - Accent2 3 2 3 2 6" xfId="28901" xr:uid="{00000000-0005-0000-0000-00002C130000}"/>
    <cellStyle name="20% - Accent2 3 2 3 3" xfId="3838" xr:uid="{00000000-0005-0000-0000-00002D130000}"/>
    <cellStyle name="20% - Accent2 3 2 3 3 2" xfId="7092" xr:uid="{00000000-0005-0000-0000-00002E130000}"/>
    <cellStyle name="20% - Accent2 3 2 3 3 2 2" xfId="13551" xr:uid="{00000000-0005-0000-0000-00002F130000}"/>
    <cellStyle name="20% - Accent2 3 2 3 3 2 2 2" xfId="26468" xr:uid="{00000000-0005-0000-0000-000030130000}"/>
    <cellStyle name="20% - Accent2 3 2 3 3 2 2 2 2" xfId="52342" xr:uid="{00000000-0005-0000-0000-000031130000}"/>
    <cellStyle name="20% - Accent2 3 2 3 3 2 2 3" xfId="39426" xr:uid="{00000000-0005-0000-0000-000032130000}"/>
    <cellStyle name="20% - Accent2 3 2 3 3 2 3" xfId="20010" xr:uid="{00000000-0005-0000-0000-000033130000}"/>
    <cellStyle name="20% - Accent2 3 2 3 3 2 3 2" xfId="45884" xr:uid="{00000000-0005-0000-0000-000034130000}"/>
    <cellStyle name="20% - Accent2 3 2 3 3 2 4" xfId="32968" xr:uid="{00000000-0005-0000-0000-000035130000}"/>
    <cellStyle name="20% - Accent2 3 2 3 3 3" xfId="10323" xr:uid="{00000000-0005-0000-0000-000036130000}"/>
    <cellStyle name="20% - Accent2 3 2 3 3 3 2" xfId="23240" xr:uid="{00000000-0005-0000-0000-000037130000}"/>
    <cellStyle name="20% - Accent2 3 2 3 3 3 2 2" xfId="49114" xr:uid="{00000000-0005-0000-0000-000038130000}"/>
    <cellStyle name="20% - Accent2 3 2 3 3 3 3" xfId="36198" xr:uid="{00000000-0005-0000-0000-000039130000}"/>
    <cellStyle name="20% - Accent2 3 2 3 3 4" xfId="16782" xr:uid="{00000000-0005-0000-0000-00003A130000}"/>
    <cellStyle name="20% - Accent2 3 2 3 3 4 2" xfId="42656" xr:uid="{00000000-0005-0000-0000-00003B130000}"/>
    <cellStyle name="20% - Accent2 3 2 3 3 5" xfId="29708" xr:uid="{00000000-0005-0000-0000-00003C130000}"/>
    <cellStyle name="20% - Accent2 3 2 3 4" xfId="5478" xr:uid="{00000000-0005-0000-0000-00003D130000}"/>
    <cellStyle name="20% - Accent2 3 2 3 4 2" xfId="11937" xr:uid="{00000000-0005-0000-0000-00003E130000}"/>
    <cellStyle name="20% - Accent2 3 2 3 4 2 2" xfId="24854" xr:uid="{00000000-0005-0000-0000-00003F130000}"/>
    <cellStyle name="20% - Accent2 3 2 3 4 2 2 2" xfId="50728" xr:uid="{00000000-0005-0000-0000-000040130000}"/>
    <cellStyle name="20% - Accent2 3 2 3 4 2 3" xfId="37812" xr:uid="{00000000-0005-0000-0000-000041130000}"/>
    <cellStyle name="20% - Accent2 3 2 3 4 3" xfId="18396" xr:uid="{00000000-0005-0000-0000-000042130000}"/>
    <cellStyle name="20% - Accent2 3 2 3 4 3 2" xfId="44270" xr:uid="{00000000-0005-0000-0000-000043130000}"/>
    <cellStyle name="20% - Accent2 3 2 3 4 4" xfId="31354" xr:uid="{00000000-0005-0000-0000-000044130000}"/>
    <cellStyle name="20% - Accent2 3 2 3 5" xfId="8709" xr:uid="{00000000-0005-0000-0000-000045130000}"/>
    <cellStyle name="20% - Accent2 3 2 3 5 2" xfId="21626" xr:uid="{00000000-0005-0000-0000-000046130000}"/>
    <cellStyle name="20% - Accent2 3 2 3 5 2 2" xfId="47500" xr:uid="{00000000-0005-0000-0000-000047130000}"/>
    <cellStyle name="20% - Accent2 3 2 3 5 3" xfId="34584" xr:uid="{00000000-0005-0000-0000-000048130000}"/>
    <cellStyle name="20% - Accent2 3 2 3 6" xfId="15168" xr:uid="{00000000-0005-0000-0000-000049130000}"/>
    <cellStyle name="20% - Accent2 3 2 3 6 2" xfId="41042" xr:uid="{00000000-0005-0000-0000-00004A130000}"/>
    <cellStyle name="20% - Accent2 3 2 3 7" xfId="28094" xr:uid="{00000000-0005-0000-0000-00004B130000}"/>
    <cellStyle name="20% - Accent2 3 2 3 8" xfId="53956" xr:uid="{00000000-0005-0000-0000-00004C130000}"/>
    <cellStyle name="20% - Accent2 3 2 3 9" xfId="2197" xr:uid="{00000000-0005-0000-0000-00004D130000}"/>
    <cellStyle name="20% - Accent2 3 2 4" xfId="526" xr:uid="{00000000-0005-0000-0000-00004E130000}"/>
    <cellStyle name="20% - Accent2 3 2 4 2" xfId="4265" xr:uid="{00000000-0005-0000-0000-00004F130000}"/>
    <cellStyle name="20% - Accent2 3 2 4 2 2" xfId="7496" xr:uid="{00000000-0005-0000-0000-000050130000}"/>
    <cellStyle name="20% - Accent2 3 2 4 2 2 2" xfId="13955" xr:uid="{00000000-0005-0000-0000-000051130000}"/>
    <cellStyle name="20% - Accent2 3 2 4 2 2 2 2" xfId="26872" xr:uid="{00000000-0005-0000-0000-000052130000}"/>
    <cellStyle name="20% - Accent2 3 2 4 2 2 2 2 2" xfId="52746" xr:uid="{00000000-0005-0000-0000-000053130000}"/>
    <cellStyle name="20% - Accent2 3 2 4 2 2 2 3" xfId="39830" xr:uid="{00000000-0005-0000-0000-000054130000}"/>
    <cellStyle name="20% - Accent2 3 2 4 2 2 3" xfId="20414" xr:uid="{00000000-0005-0000-0000-000055130000}"/>
    <cellStyle name="20% - Accent2 3 2 4 2 2 3 2" xfId="46288" xr:uid="{00000000-0005-0000-0000-000056130000}"/>
    <cellStyle name="20% - Accent2 3 2 4 2 2 4" xfId="33372" xr:uid="{00000000-0005-0000-0000-000057130000}"/>
    <cellStyle name="20% - Accent2 3 2 4 2 3" xfId="10727" xr:uid="{00000000-0005-0000-0000-000058130000}"/>
    <cellStyle name="20% - Accent2 3 2 4 2 3 2" xfId="23644" xr:uid="{00000000-0005-0000-0000-000059130000}"/>
    <cellStyle name="20% - Accent2 3 2 4 2 3 2 2" xfId="49518" xr:uid="{00000000-0005-0000-0000-00005A130000}"/>
    <cellStyle name="20% - Accent2 3 2 4 2 3 3" xfId="36602" xr:uid="{00000000-0005-0000-0000-00005B130000}"/>
    <cellStyle name="20% - Accent2 3 2 4 2 4" xfId="17186" xr:uid="{00000000-0005-0000-0000-00005C130000}"/>
    <cellStyle name="20% - Accent2 3 2 4 2 4 2" xfId="43060" xr:uid="{00000000-0005-0000-0000-00005D130000}"/>
    <cellStyle name="20% - Accent2 3 2 4 2 5" xfId="30112" xr:uid="{00000000-0005-0000-0000-00005E130000}"/>
    <cellStyle name="20% - Accent2 3 2 4 3" xfId="5882" xr:uid="{00000000-0005-0000-0000-00005F130000}"/>
    <cellStyle name="20% - Accent2 3 2 4 3 2" xfId="12341" xr:uid="{00000000-0005-0000-0000-000060130000}"/>
    <cellStyle name="20% - Accent2 3 2 4 3 2 2" xfId="25258" xr:uid="{00000000-0005-0000-0000-000061130000}"/>
    <cellStyle name="20% - Accent2 3 2 4 3 2 2 2" xfId="51132" xr:uid="{00000000-0005-0000-0000-000062130000}"/>
    <cellStyle name="20% - Accent2 3 2 4 3 2 3" xfId="38216" xr:uid="{00000000-0005-0000-0000-000063130000}"/>
    <cellStyle name="20% - Accent2 3 2 4 3 3" xfId="18800" xr:uid="{00000000-0005-0000-0000-000064130000}"/>
    <cellStyle name="20% - Accent2 3 2 4 3 3 2" xfId="44674" xr:uid="{00000000-0005-0000-0000-000065130000}"/>
    <cellStyle name="20% - Accent2 3 2 4 3 4" xfId="31758" xr:uid="{00000000-0005-0000-0000-000066130000}"/>
    <cellStyle name="20% - Accent2 3 2 4 4" xfId="9113" xr:uid="{00000000-0005-0000-0000-000067130000}"/>
    <cellStyle name="20% - Accent2 3 2 4 4 2" xfId="22030" xr:uid="{00000000-0005-0000-0000-000068130000}"/>
    <cellStyle name="20% - Accent2 3 2 4 4 2 2" xfId="47904" xr:uid="{00000000-0005-0000-0000-000069130000}"/>
    <cellStyle name="20% - Accent2 3 2 4 4 3" xfId="34988" xr:uid="{00000000-0005-0000-0000-00006A130000}"/>
    <cellStyle name="20% - Accent2 3 2 4 5" xfId="15572" xr:uid="{00000000-0005-0000-0000-00006B130000}"/>
    <cellStyle name="20% - Accent2 3 2 4 5 2" xfId="41446" xr:uid="{00000000-0005-0000-0000-00006C130000}"/>
    <cellStyle name="20% - Accent2 3 2 4 6" xfId="28498" xr:uid="{00000000-0005-0000-0000-00006D130000}"/>
    <cellStyle name="20% - Accent2 3 2 4 7" xfId="2608" xr:uid="{00000000-0005-0000-0000-00006E130000}"/>
    <cellStyle name="20% - Accent2 3 2 5" xfId="3435" xr:uid="{00000000-0005-0000-0000-00006F130000}"/>
    <cellStyle name="20% - Accent2 3 2 5 2" xfId="6689" xr:uid="{00000000-0005-0000-0000-000070130000}"/>
    <cellStyle name="20% - Accent2 3 2 5 2 2" xfId="13148" xr:uid="{00000000-0005-0000-0000-000071130000}"/>
    <cellStyle name="20% - Accent2 3 2 5 2 2 2" xfId="26065" xr:uid="{00000000-0005-0000-0000-000072130000}"/>
    <cellStyle name="20% - Accent2 3 2 5 2 2 2 2" xfId="51939" xr:uid="{00000000-0005-0000-0000-000073130000}"/>
    <cellStyle name="20% - Accent2 3 2 5 2 2 3" xfId="39023" xr:uid="{00000000-0005-0000-0000-000074130000}"/>
    <cellStyle name="20% - Accent2 3 2 5 2 3" xfId="19607" xr:uid="{00000000-0005-0000-0000-000075130000}"/>
    <cellStyle name="20% - Accent2 3 2 5 2 3 2" xfId="45481" xr:uid="{00000000-0005-0000-0000-000076130000}"/>
    <cellStyle name="20% - Accent2 3 2 5 2 4" xfId="32565" xr:uid="{00000000-0005-0000-0000-000077130000}"/>
    <cellStyle name="20% - Accent2 3 2 5 3" xfId="9920" xr:uid="{00000000-0005-0000-0000-000078130000}"/>
    <cellStyle name="20% - Accent2 3 2 5 3 2" xfId="22837" xr:uid="{00000000-0005-0000-0000-000079130000}"/>
    <cellStyle name="20% - Accent2 3 2 5 3 2 2" xfId="48711" xr:uid="{00000000-0005-0000-0000-00007A130000}"/>
    <cellStyle name="20% - Accent2 3 2 5 3 3" xfId="35795" xr:uid="{00000000-0005-0000-0000-00007B130000}"/>
    <cellStyle name="20% - Accent2 3 2 5 4" xfId="16379" xr:uid="{00000000-0005-0000-0000-00007C130000}"/>
    <cellStyle name="20% - Accent2 3 2 5 4 2" xfId="42253" xr:uid="{00000000-0005-0000-0000-00007D130000}"/>
    <cellStyle name="20% - Accent2 3 2 5 5" xfId="29305" xr:uid="{00000000-0005-0000-0000-00007E130000}"/>
    <cellStyle name="20% - Accent2 3 2 6" xfId="5075" xr:uid="{00000000-0005-0000-0000-00007F130000}"/>
    <cellStyle name="20% - Accent2 3 2 6 2" xfId="11534" xr:uid="{00000000-0005-0000-0000-000080130000}"/>
    <cellStyle name="20% - Accent2 3 2 6 2 2" xfId="24451" xr:uid="{00000000-0005-0000-0000-000081130000}"/>
    <cellStyle name="20% - Accent2 3 2 6 2 2 2" xfId="50325" xr:uid="{00000000-0005-0000-0000-000082130000}"/>
    <cellStyle name="20% - Accent2 3 2 6 2 3" xfId="37409" xr:uid="{00000000-0005-0000-0000-000083130000}"/>
    <cellStyle name="20% - Accent2 3 2 6 3" xfId="17993" xr:uid="{00000000-0005-0000-0000-000084130000}"/>
    <cellStyle name="20% - Accent2 3 2 6 3 2" xfId="43867" xr:uid="{00000000-0005-0000-0000-000085130000}"/>
    <cellStyle name="20% - Accent2 3 2 6 4" xfId="30951" xr:uid="{00000000-0005-0000-0000-000086130000}"/>
    <cellStyle name="20% - Accent2 3 2 7" xfId="8305" xr:uid="{00000000-0005-0000-0000-000087130000}"/>
    <cellStyle name="20% - Accent2 3 2 7 2" xfId="21222" xr:uid="{00000000-0005-0000-0000-000088130000}"/>
    <cellStyle name="20% - Accent2 3 2 7 2 2" xfId="47096" xr:uid="{00000000-0005-0000-0000-000089130000}"/>
    <cellStyle name="20% - Accent2 3 2 7 3" xfId="34180" xr:uid="{00000000-0005-0000-0000-00008A130000}"/>
    <cellStyle name="20% - Accent2 3 2 8" xfId="14764" xr:uid="{00000000-0005-0000-0000-00008B130000}"/>
    <cellStyle name="20% - Accent2 3 2 8 2" xfId="40638" xr:uid="{00000000-0005-0000-0000-00008C130000}"/>
    <cellStyle name="20% - Accent2 3 2 9" xfId="27688" xr:uid="{00000000-0005-0000-0000-00008D130000}"/>
    <cellStyle name="20% - Accent2 3 3" xfId="323" xr:uid="{00000000-0005-0000-0000-00008E130000}"/>
    <cellStyle name="20% - Accent2 3 3 10" xfId="53519" xr:uid="{00000000-0005-0000-0000-00008F130000}"/>
    <cellStyle name="20% - Accent2 3 3 11" xfId="1602" xr:uid="{00000000-0005-0000-0000-000090130000}"/>
    <cellStyle name="20% - Accent2 3 3 2" xfId="460" xr:uid="{00000000-0005-0000-0000-000091130000}"/>
    <cellStyle name="20% - Accent2 3 3 2 10" xfId="1928" xr:uid="{00000000-0005-0000-0000-000092130000}"/>
    <cellStyle name="20% - Accent2 3 3 2 2" xfId="532" xr:uid="{00000000-0005-0000-0000-000093130000}"/>
    <cellStyle name="20% - Accent2 3 3 2 2 2" xfId="3172" xr:uid="{00000000-0005-0000-0000-000094130000}"/>
    <cellStyle name="20% - Accent2 3 3 2 2 2 2" xfId="4829" xr:uid="{00000000-0005-0000-0000-000095130000}"/>
    <cellStyle name="20% - Accent2 3 3 2 2 2 2 2" xfId="8060" xr:uid="{00000000-0005-0000-0000-000096130000}"/>
    <cellStyle name="20% - Accent2 3 3 2 2 2 2 2 2" xfId="14519" xr:uid="{00000000-0005-0000-0000-000097130000}"/>
    <cellStyle name="20% - Accent2 3 3 2 2 2 2 2 2 2" xfId="27436" xr:uid="{00000000-0005-0000-0000-000098130000}"/>
    <cellStyle name="20% - Accent2 3 3 2 2 2 2 2 2 2 2" xfId="53310" xr:uid="{00000000-0005-0000-0000-000099130000}"/>
    <cellStyle name="20% - Accent2 3 3 2 2 2 2 2 2 3" xfId="40394" xr:uid="{00000000-0005-0000-0000-00009A130000}"/>
    <cellStyle name="20% - Accent2 3 3 2 2 2 2 2 3" xfId="20978" xr:uid="{00000000-0005-0000-0000-00009B130000}"/>
    <cellStyle name="20% - Accent2 3 3 2 2 2 2 2 3 2" xfId="46852" xr:uid="{00000000-0005-0000-0000-00009C130000}"/>
    <cellStyle name="20% - Accent2 3 3 2 2 2 2 2 4" xfId="33936" xr:uid="{00000000-0005-0000-0000-00009D130000}"/>
    <cellStyle name="20% - Accent2 3 3 2 2 2 2 3" xfId="11291" xr:uid="{00000000-0005-0000-0000-00009E130000}"/>
    <cellStyle name="20% - Accent2 3 3 2 2 2 2 3 2" xfId="24208" xr:uid="{00000000-0005-0000-0000-00009F130000}"/>
    <cellStyle name="20% - Accent2 3 3 2 2 2 2 3 2 2" xfId="50082" xr:uid="{00000000-0005-0000-0000-0000A0130000}"/>
    <cellStyle name="20% - Accent2 3 3 2 2 2 2 3 3" xfId="37166" xr:uid="{00000000-0005-0000-0000-0000A1130000}"/>
    <cellStyle name="20% - Accent2 3 3 2 2 2 2 4" xfId="17750" xr:uid="{00000000-0005-0000-0000-0000A2130000}"/>
    <cellStyle name="20% - Accent2 3 3 2 2 2 2 4 2" xfId="43624" xr:uid="{00000000-0005-0000-0000-0000A3130000}"/>
    <cellStyle name="20% - Accent2 3 3 2 2 2 2 5" xfId="30676" xr:uid="{00000000-0005-0000-0000-0000A4130000}"/>
    <cellStyle name="20% - Accent2 3 3 2 2 2 3" xfId="6446" xr:uid="{00000000-0005-0000-0000-0000A5130000}"/>
    <cellStyle name="20% - Accent2 3 3 2 2 2 3 2" xfId="12905" xr:uid="{00000000-0005-0000-0000-0000A6130000}"/>
    <cellStyle name="20% - Accent2 3 3 2 2 2 3 2 2" xfId="25822" xr:uid="{00000000-0005-0000-0000-0000A7130000}"/>
    <cellStyle name="20% - Accent2 3 3 2 2 2 3 2 2 2" xfId="51696" xr:uid="{00000000-0005-0000-0000-0000A8130000}"/>
    <cellStyle name="20% - Accent2 3 3 2 2 2 3 2 3" xfId="38780" xr:uid="{00000000-0005-0000-0000-0000A9130000}"/>
    <cellStyle name="20% - Accent2 3 3 2 2 2 3 3" xfId="19364" xr:uid="{00000000-0005-0000-0000-0000AA130000}"/>
    <cellStyle name="20% - Accent2 3 3 2 2 2 3 3 2" xfId="45238" xr:uid="{00000000-0005-0000-0000-0000AB130000}"/>
    <cellStyle name="20% - Accent2 3 3 2 2 2 3 4" xfId="32322" xr:uid="{00000000-0005-0000-0000-0000AC130000}"/>
    <cellStyle name="20% - Accent2 3 3 2 2 2 4" xfId="9677" xr:uid="{00000000-0005-0000-0000-0000AD130000}"/>
    <cellStyle name="20% - Accent2 3 3 2 2 2 4 2" xfId="22594" xr:uid="{00000000-0005-0000-0000-0000AE130000}"/>
    <cellStyle name="20% - Accent2 3 3 2 2 2 4 2 2" xfId="48468" xr:uid="{00000000-0005-0000-0000-0000AF130000}"/>
    <cellStyle name="20% - Accent2 3 3 2 2 2 4 3" xfId="35552" xr:uid="{00000000-0005-0000-0000-0000B0130000}"/>
    <cellStyle name="20% - Accent2 3 3 2 2 2 5" xfId="16136" xr:uid="{00000000-0005-0000-0000-0000B1130000}"/>
    <cellStyle name="20% - Accent2 3 3 2 2 2 5 2" xfId="42010" xr:uid="{00000000-0005-0000-0000-0000B2130000}"/>
    <cellStyle name="20% - Accent2 3 3 2 2 2 6" xfId="29062" xr:uid="{00000000-0005-0000-0000-0000B3130000}"/>
    <cellStyle name="20% - Accent2 3 3 2 2 3" xfId="3999" xr:uid="{00000000-0005-0000-0000-0000B4130000}"/>
    <cellStyle name="20% - Accent2 3 3 2 2 3 2" xfId="7253" xr:uid="{00000000-0005-0000-0000-0000B5130000}"/>
    <cellStyle name="20% - Accent2 3 3 2 2 3 2 2" xfId="13712" xr:uid="{00000000-0005-0000-0000-0000B6130000}"/>
    <cellStyle name="20% - Accent2 3 3 2 2 3 2 2 2" xfId="26629" xr:uid="{00000000-0005-0000-0000-0000B7130000}"/>
    <cellStyle name="20% - Accent2 3 3 2 2 3 2 2 2 2" xfId="52503" xr:uid="{00000000-0005-0000-0000-0000B8130000}"/>
    <cellStyle name="20% - Accent2 3 3 2 2 3 2 2 3" xfId="39587" xr:uid="{00000000-0005-0000-0000-0000B9130000}"/>
    <cellStyle name="20% - Accent2 3 3 2 2 3 2 3" xfId="20171" xr:uid="{00000000-0005-0000-0000-0000BA130000}"/>
    <cellStyle name="20% - Accent2 3 3 2 2 3 2 3 2" xfId="46045" xr:uid="{00000000-0005-0000-0000-0000BB130000}"/>
    <cellStyle name="20% - Accent2 3 3 2 2 3 2 4" xfId="33129" xr:uid="{00000000-0005-0000-0000-0000BC130000}"/>
    <cellStyle name="20% - Accent2 3 3 2 2 3 3" xfId="10484" xr:uid="{00000000-0005-0000-0000-0000BD130000}"/>
    <cellStyle name="20% - Accent2 3 3 2 2 3 3 2" xfId="23401" xr:uid="{00000000-0005-0000-0000-0000BE130000}"/>
    <cellStyle name="20% - Accent2 3 3 2 2 3 3 2 2" xfId="49275" xr:uid="{00000000-0005-0000-0000-0000BF130000}"/>
    <cellStyle name="20% - Accent2 3 3 2 2 3 3 3" xfId="36359" xr:uid="{00000000-0005-0000-0000-0000C0130000}"/>
    <cellStyle name="20% - Accent2 3 3 2 2 3 4" xfId="16943" xr:uid="{00000000-0005-0000-0000-0000C1130000}"/>
    <cellStyle name="20% - Accent2 3 3 2 2 3 4 2" xfId="42817" xr:uid="{00000000-0005-0000-0000-0000C2130000}"/>
    <cellStyle name="20% - Accent2 3 3 2 2 3 5" xfId="29869" xr:uid="{00000000-0005-0000-0000-0000C3130000}"/>
    <cellStyle name="20% - Accent2 3 3 2 2 4" xfId="5639" xr:uid="{00000000-0005-0000-0000-0000C4130000}"/>
    <cellStyle name="20% - Accent2 3 3 2 2 4 2" xfId="12098" xr:uid="{00000000-0005-0000-0000-0000C5130000}"/>
    <cellStyle name="20% - Accent2 3 3 2 2 4 2 2" xfId="25015" xr:uid="{00000000-0005-0000-0000-0000C6130000}"/>
    <cellStyle name="20% - Accent2 3 3 2 2 4 2 2 2" xfId="50889" xr:uid="{00000000-0005-0000-0000-0000C7130000}"/>
    <cellStyle name="20% - Accent2 3 3 2 2 4 2 3" xfId="37973" xr:uid="{00000000-0005-0000-0000-0000C8130000}"/>
    <cellStyle name="20% - Accent2 3 3 2 2 4 3" xfId="18557" xr:uid="{00000000-0005-0000-0000-0000C9130000}"/>
    <cellStyle name="20% - Accent2 3 3 2 2 4 3 2" xfId="44431" xr:uid="{00000000-0005-0000-0000-0000CA130000}"/>
    <cellStyle name="20% - Accent2 3 3 2 2 4 4" xfId="31515" xr:uid="{00000000-0005-0000-0000-0000CB130000}"/>
    <cellStyle name="20% - Accent2 3 3 2 2 5" xfId="8870" xr:uid="{00000000-0005-0000-0000-0000CC130000}"/>
    <cellStyle name="20% - Accent2 3 3 2 2 5 2" xfId="21787" xr:uid="{00000000-0005-0000-0000-0000CD130000}"/>
    <cellStyle name="20% - Accent2 3 3 2 2 5 2 2" xfId="47661" xr:uid="{00000000-0005-0000-0000-0000CE130000}"/>
    <cellStyle name="20% - Accent2 3 3 2 2 5 3" xfId="34745" xr:uid="{00000000-0005-0000-0000-0000CF130000}"/>
    <cellStyle name="20% - Accent2 3 3 2 2 6" xfId="15329" xr:uid="{00000000-0005-0000-0000-0000D0130000}"/>
    <cellStyle name="20% - Accent2 3 3 2 2 6 2" xfId="41203" xr:uid="{00000000-0005-0000-0000-0000D1130000}"/>
    <cellStyle name="20% - Accent2 3 3 2 2 7" xfId="28255" xr:uid="{00000000-0005-0000-0000-0000D2130000}"/>
    <cellStyle name="20% - Accent2 3 3 2 2 8" xfId="54117" xr:uid="{00000000-0005-0000-0000-0000D3130000}"/>
    <cellStyle name="20% - Accent2 3 3 2 2 9" xfId="2359" xr:uid="{00000000-0005-0000-0000-0000D4130000}"/>
    <cellStyle name="20% - Accent2 3 3 2 3" xfId="531" xr:uid="{00000000-0005-0000-0000-0000D5130000}"/>
    <cellStyle name="20% - Accent2 3 3 2 3 2" xfId="4425" xr:uid="{00000000-0005-0000-0000-0000D6130000}"/>
    <cellStyle name="20% - Accent2 3 3 2 3 2 2" xfId="7656" xr:uid="{00000000-0005-0000-0000-0000D7130000}"/>
    <cellStyle name="20% - Accent2 3 3 2 3 2 2 2" xfId="14115" xr:uid="{00000000-0005-0000-0000-0000D8130000}"/>
    <cellStyle name="20% - Accent2 3 3 2 3 2 2 2 2" xfId="27032" xr:uid="{00000000-0005-0000-0000-0000D9130000}"/>
    <cellStyle name="20% - Accent2 3 3 2 3 2 2 2 2 2" xfId="52906" xr:uid="{00000000-0005-0000-0000-0000DA130000}"/>
    <cellStyle name="20% - Accent2 3 3 2 3 2 2 2 3" xfId="39990" xr:uid="{00000000-0005-0000-0000-0000DB130000}"/>
    <cellStyle name="20% - Accent2 3 3 2 3 2 2 3" xfId="20574" xr:uid="{00000000-0005-0000-0000-0000DC130000}"/>
    <cellStyle name="20% - Accent2 3 3 2 3 2 2 3 2" xfId="46448" xr:uid="{00000000-0005-0000-0000-0000DD130000}"/>
    <cellStyle name="20% - Accent2 3 3 2 3 2 2 4" xfId="33532" xr:uid="{00000000-0005-0000-0000-0000DE130000}"/>
    <cellStyle name="20% - Accent2 3 3 2 3 2 3" xfId="10887" xr:uid="{00000000-0005-0000-0000-0000DF130000}"/>
    <cellStyle name="20% - Accent2 3 3 2 3 2 3 2" xfId="23804" xr:uid="{00000000-0005-0000-0000-0000E0130000}"/>
    <cellStyle name="20% - Accent2 3 3 2 3 2 3 2 2" xfId="49678" xr:uid="{00000000-0005-0000-0000-0000E1130000}"/>
    <cellStyle name="20% - Accent2 3 3 2 3 2 3 3" xfId="36762" xr:uid="{00000000-0005-0000-0000-0000E2130000}"/>
    <cellStyle name="20% - Accent2 3 3 2 3 2 4" xfId="17346" xr:uid="{00000000-0005-0000-0000-0000E3130000}"/>
    <cellStyle name="20% - Accent2 3 3 2 3 2 4 2" xfId="43220" xr:uid="{00000000-0005-0000-0000-0000E4130000}"/>
    <cellStyle name="20% - Accent2 3 3 2 3 2 5" xfId="30272" xr:uid="{00000000-0005-0000-0000-0000E5130000}"/>
    <cellStyle name="20% - Accent2 3 3 2 3 3" xfId="6042" xr:uid="{00000000-0005-0000-0000-0000E6130000}"/>
    <cellStyle name="20% - Accent2 3 3 2 3 3 2" xfId="12501" xr:uid="{00000000-0005-0000-0000-0000E7130000}"/>
    <cellStyle name="20% - Accent2 3 3 2 3 3 2 2" xfId="25418" xr:uid="{00000000-0005-0000-0000-0000E8130000}"/>
    <cellStyle name="20% - Accent2 3 3 2 3 3 2 2 2" xfId="51292" xr:uid="{00000000-0005-0000-0000-0000E9130000}"/>
    <cellStyle name="20% - Accent2 3 3 2 3 3 2 3" xfId="38376" xr:uid="{00000000-0005-0000-0000-0000EA130000}"/>
    <cellStyle name="20% - Accent2 3 3 2 3 3 3" xfId="18960" xr:uid="{00000000-0005-0000-0000-0000EB130000}"/>
    <cellStyle name="20% - Accent2 3 3 2 3 3 3 2" xfId="44834" xr:uid="{00000000-0005-0000-0000-0000EC130000}"/>
    <cellStyle name="20% - Accent2 3 3 2 3 3 4" xfId="31918" xr:uid="{00000000-0005-0000-0000-0000ED130000}"/>
    <cellStyle name="20% - Accent2 3 3 2 3 4" xfId="9273" xr:uid="{00000000-0005-0000-0000-0000EE130000}"/>
    <cellStyle name="20% - Accent2 3 3 2 3 4 2" xfId="22190" xr:uid="{00000000-0005-0000-0000-0000EF130000}"/>
    <cellStyle name="20% - Accent2 3 3 2 3 4 2 2" xfId="48064" xr:uid="{00000000-0005-0000-0000-0000F0130000}"/>
    <cellStyle name="20% - Accent2 3 3 2 3 4 3" xfId="35148" xr:uid="{00000000-0005-0000-0000-0000F1130000}"/>
    <cellStyle name="20% - Accent2 3 3 2 3 5" xfId="15732" xr:uid="{00000000-0005-0000-0000-0000F2130000}"/>
    <cellStyle name="20% - Accent2 3 3 2 3 5 2" xfId="41606" xr:uid="{00000000-0005-0000-0000-0000F3130000}"/>
    <cellStyle name="20% - Accent2 3 3 2 3 6" xfId="28658" xr:uid="{00000000-0005-0000-0000-0000F4130000}"/>
    <cellStyle name="20% - Accent2 3 3 2 3 7" xfId="2768" xr:uid="{00000000-0005-0000-0000-0000F5130000}"/>
    <cellStyle name="20% - Accent2 3 3 2 4" xfId="3595" xr:uid="{00000000-0005-0000-0000-0000F6130000}"/>
    <cellStyle name="20% - Accent2 3 3 2 4 2" xfId="6849" xr:uid="{00000000-0005-0000-0000-0000F7130000}"/>
    <cellStyle name="20% - Accent2 3 3 2 4 2 2" xfId="13308" xr:uid="{00000000-0005-0000-0000-0000F8130000}"/>
    <cellStyle name="20% - Accent2 3 3 2 4 2 2 2" xfId="26225" xr:uid="{00000000-0005-0000-0000-0000F9130000}"/>
    <cellStyle name="20% - Accent2 3 3 2 4 2 2 2 2" xfId="52099" xr:uid="{00000000-0005-0000-0000-0000FA130000}"/>
    <cellStyle name="20% - Accent2 3 3 2 4 2 2 3" xfId="39183" xr:uid="{00000000-0005-0000-0000-0000FB130000}"/>
    <cellStyle name="20% - Accent2 3 3 2 4 2 3" xfId="19767" xr:uid="{00000000-0005-0000-0000-0000FC130000}"/>
    <cellStyle name="20% - Accent2 3 3 2 4 2 3 2" xfId="45641" xr:uid="{00000000-0005-0000-0000-0000FD130000}"/>
    <cellStyle name="20% - Accent2 3 3 2 4 2 4" xfId="32725" xr:uid="{00000000-0005-0000-0000-0000FE130000}"/>
    <cellStyle name="20% - Accent2 3 3 2 4 3" xfId="10080" xr:uid="{00000000-0005-0000-0000-0000FF130000}"/>
    <cellStyle name="20% - Accent2 3 3 2 4 3 2" xfId="22997" xr:uid="{00000000-0005-0000-0000-000000140000}"/>
    <cellStyle name="20% - Accent2 3 3 2 4 3 2 2" xfId="48871" xr:uid="{00000000-0005-0000-0000-000001140000}"/>
    <cellStyle name="20% - Accent2 3 3 2 4 3 3" xfId="35955" xr:uid="{00000000-0005-0000-0000-000002140000}"/>
    <cellStyle name="20% - Accent2 3 3 2 4 4" xfId="16539" xr:uid="{00000000-0005-0000-0000-000003140000}"/>
    <cellStyle name="20% - Accent2 3 3 2 4 4 2" xfId="42413" xr:uid="{00000000-0005-0000-0000-000004140000}"/>
    <cellStyle name="20% - Accent2 3 3 2 4 5" xfId="29465" xr:uid="{00000000-0005-0000-0000-000005140000}"/>
    <cellStyle name="20% - Accent2 3 3 2 5" xfId="5235" xr:uid="{00000000-0005-0000-0000-000006140000}"/>
    <cellStyle name="20% - Accent2 3 3 2 5 2" xfId="11694" xr:uid="{00000000-0005-0000-0000-000007140000}"/>
    <cellStyle name="20% - Accent2 3 3 2 5 2 2" xfId="24611" xr:uid="{00000000-0005-0000-0000-000008140000}"/>
    <cellStyle name="20% - Accent2 3 3 2 5 2 2 2" xfId="50485" xr:uid="{00000000-0005-0000-0000-000009140000}"/>
    <cellStyle name="20% - Accent2 3 3 2 5 2 3" xfId="37569" xr:uid="{00000000-0005-0000-0000-00000A140000}"/>
    <cellStyle name="20% - Accent2 3 3 2 5 3" xfId="18153" xr:uid="{00000000-0005-0000-0000-00000B140000}"/>
    <cellStyle name="20% - Accent2 3 3 2 5 3 2" xfId="44027" xr:uid="{00000000-0005-0000-0000-00000C140000}"/>
    <cellStyle name="20% - Accent2 3 3 2 5 4" xfId="31111" xr:uid="{00000000-0005-0000-0000-00000D140000}"/>
    <cellStyle name="20% - Accent2 3 3 2 6" xfId="8466" xr:uid="{00000000-0005-0000-0000-00000E140000}"/>
    <cellStyle name="20% - Accent2 3 3 2 6 2" xfId="21383" xr:uid="{00000000-0005-0000-0000-00000F140000}"/>
    <cellStyle name="20% - Accent2 3 3 2 6 2 2" xfId="47257" xr:uid="{00000000-0005-0000-0000-000010140000}"/>
    <cellStyle name="20% - Accent2 3 3 2 6 3" xfId="34341" xr:uid="{00000000-0005-0000-0000-000011140000}"/>
    <cellStyle name="20% - Accent2 3 3 2 7" xfId="14925" xr:uid="{00000000-0005-0000-0000-000012140000}"/>
    <cellStyle name="20% - Accent2 3 3 2 7 2" xfId="40799" xr:uid="{00000000-0005-0000-0000-000013140000}"/>
    <cellStyle name="20% - Accent2 3 3 2 8" xfId="27850" xr:uid="{00000000-0005-0000-0000-000014140000}"/>
    <cellStyle name="20% - Accent2 3 3 2 9" xfId="53713" xr:uid="{00000000-0005-0000-0000-000015140000}"/>
    <cellStyle name="20% - Accent2 3 3 3" xfId="533" xr:uid="{00000000-0005-0000-0000-000016140000}"/>
    <cellStyle name="20% - Accent2 3 3 3 2" xfId="2977" xr:uid="{00000000-0005-0000-0000-000017140000}"/>
    <cellStyle name="20% - Accent2 3 3 3 2 2" xfId="4634" xr:uid="{00000000-0005-0000-0000-000018140000}"/>
    <cellStyle name="20% - Accent2 3 3 3 2 2 2" xfId="7865" xr:uid="{00000000-0005-0000-0000-000019140000}"/>
    <cellStyle name="20% - Accent2 3 3 3 2 2 2 2" xfId="14324" xr:uid="{00000000-0005-0000-0000-00001A140000}"/>
    <cellStyle name="20% - Accent2 3 3 3 2 2 2 2 2" xfId="27241" xr:uid="{00000000-0005-0000-0000-00001B140000}"/>
    <cellStyle name="20% - Accent2 3 3 3 2 2 2 2 2 2" xfId="53115" xr:uid="{00000000-0005-0000-0000-00001C140000}"/>
    <cellStyle name="20% - Accent2 3 3 3 2 2 2 2 3" xfId="40199" xr:uid="{00000000-0005-0000-0000-00001D140000}"/>
    <cellStyle name="20% - Accent2 3 3 3 2 2 2 3" xfId="20783" xr:uid="{00000000-0005-0000-0000-00001E140000}"/>
    <cellStyle name="20% - Accent2 3 3 3 2 2 2 3 2" xfId="46657" xr:uid="{00000000-0005-0000-0000-00001F140000}"/>
    <cellStyle name="20% - Accent2 3 3 3 2 2 2 4" xfId="33741" xr:uid="{00000000-0005-0000-0000-000020140000}"/>
    <cellStyle name="20% - Accent2 3 3 3 2 2 3" xfId="11096" xr:uid="{00000000-0005-0000-0000-000021140000}"/>
    <cellStyle name="20% - Accent2 3 3 3 2 2 3 2" xfId="24013" xr:uid="{00000000-0005-0000-0000-000022140000}"/>
    <cellStyle name="20% - Accent2 3 3 3 2 2 3 2 2" xfId="49887" xr:uid="{00000000-0005-0000-0000-000023140000}"/>
    <cellStyle name="20% - Accent2 3 3 3 2 2 3 3" xfId="36971" xr:uid="{00000000-0005-0000-0000-000024140000}"/>
    <cellStyle name="20% - Accent2 3 3 3 2 2 4" xfId="17555" xr:uid="{00000000-0005-0000-0000-000025140000}"/>
    <cellStyle name="20% - Accent2 3 3 3 2 2 4 2" xfId="43429" xr:uid="{00000000-0005-0000-0000-000026140000}"/>
    <cellStyle name="20% - Accent2 3 3 3 2 2 5" xfId="30481" xr:uid="{00000000-0005-0000-0000-000027140000}"/>
    <cellStyle name="20% - Accent2 3 3 3 2 3" xfId="6251" xr:uid="{00000000-0005-0000-0000-000028140000}"/>
    <cellStyle name="20% - Accent2 3 3 3 2 3 2" xfId="12710" xr:uid="{00000000-0005-0000-0000-000029140000}"/>
    <cellStyle name="20% - Accent2 3 3 3 2 3 2 2" xfId="25627" xr:uid="{00000000-0005-0000-0000-00002A140000}"/>
    <cellStyle name="20% - Accent2 3 3 3 2 3 2 2 2" xfId="51501" xr:uid="{00000000-0005-0000-0000-00002B140000}"/>
    <cellStyle name="20% - Accent2 3 3 3 2 3 2 3" xfId="38585" xr:uid="{00000000-0005-0000-0000-00002C140000}"/>
    <cellStyle name="20% - Accent2 3 3 3 2 3 3" xfId="19169" xr:uid="{00000000-0005-0000-0000-00002D140000}"/>
    <cellStyle name="20% - Accent2 3 3 3 2 3 3 2" xfId="45043" xr:uid="{00000000-0005-0000-0000-00002E140000}"/>
    <cellStyle name="20% - Accent2 3 3 3 2 3 4" xfId="32127" xr:uid="{00000000-0005-0000-0000-00002F140000}"/>
    <cellStyle name="20% - Accent2 3 3 3 2 4" xfId="9482" xr:uid="{00000000-0005-0000-0000-000030140000}"/>
    <cellStyle name="20% - Accent2 3 3 3 2 4 2" xfId="22399" xr:uid="{00000000-0005-0000-0000-000031140000}"/>
    <cellStyle name="20% - Accent2 3 3 3 2 4 2 2" xfId="48273" xr:uid="{00000000-0005-0000-0000-000032140000}"/>
    <cellStyle name="20% - Accent2 3 3 3 2 4 3" xfId="35357" xr:uid="{00000000-0005-0000-0000-000033140000}"/>
    <cellStyle name="20% - Accent2 3 3 3 2 5" xfId="15941" xr:uid="{00000000-0005-0000-0000-000034140000}"/>
    <cellStyle name="20% - Accent2 3 3 3 2 5 2" xfId="41815" xr:uid="{00000000-0005-0000-0000-000035140000}"/>
    <cellStyle name="20% - Accent2 3 3 3 2 6" xfId="28867" xr:uid="{00000000-0005-0000-0000-000036140000}"/>
    <cellStyle name="20% - Accent2 3 3 3 3" xfId="3804" xr:uid="{00000000-0005-0000-0000-000037140000}"/>
    <cellStyle name="20% - Accent2 3 3 3 3 2" xfId="7058" xr:uid="{00000000-0005-0000-0000-000038140000}"/>
    <cellStyle name="20% - Accent2 3 3 3 3 2 2" xfId="13517" xr:uid="{00000000-0005-0000-0000-000039140000}"/>
    <cellStyle name="20% - Accent2 3 3 3 3 2 2 2" xfId="26434" xr:uid="{00000000-0005-0000-0000-00003A140000}"/>
    <cellStyle name="20% - Accent2 3 3 3 3 2 2 2 2" xfId="52308" xr:uid="{00000000-0005-0000-0000-00003B140000}"/>
    <cellStyle name="20% - Accent2 3 3 3 3 2 2 3" xfId="39392" xr:uid="{00000000-0005-0000-0000-00003C140000}"/>
    <cellStyle name="20% - Accent2 3 3 3 3 2 3" xfId="19976" xr:uid="{00000000-0005-0000-0000-00003D140000}"/>
    <cellStyle name="20% - Accent2 3 3 3 3 2 3 2" xfId="45850" xr:uid="{00000000-0005-0000-0000-00003E140000}"/>
    <cellStyle name="20% - Accent2 3 3 3 3 2 4" xfId="32934" xr:uid="{00000000-0005-0000-0000-00003F140000}"/>
    <cellStyle name="20% - Accent2 3 3 3 3 3" xfId="10289" xr:uid="{00000000-0005-0000-0000-000040140000}"/>
    <cellStyle name="20% - Accent2 3 3 3 3 3 2" xfId="23206" xr:uid="{00000000-0005-0000-0000-000041140000}"/>
    <cellStyle name="20% - Accent2 3 3 3 3 3 2 2" xfId="49080" xr:uid="{00000000-0005-0000-0000-000042140000}"/>
    <cellStyle name="20% - Accent2 3 3 3 3 3 3" xfId="36164" xr:uid="{00000000-0005-0000-0000-000043140000}"/>
    <cellStyle name="20% - Accent2 3 3 3 3 4" xfId="16748" xr:uid="{00000000-0005-0000-0000-000044140000}"/>
    <cellStyle name="20% - Accent2 3 3 3 3 4 2" xfId="42622" xr:uid="{00000000-0005-0000-0000-000045140000}"/>
    <cellStyle name="20% - Accent2 3 3 3 3 5" xfId="29674" xr:uid="{00000000-0005-0000-0000-000046140000}"/>
    <cellStyle name="20% - Accent2 3 3 3 4" xfId="5444" xr:uid="{00000000-0005-0000-0000-000047140000}"/>
    <cellStyle name="20% - Accent2 3 3 3 4 2" xfId="11903" xr:uid="{00000000-0005-0000-0000-000048140000}"/>
    <cellStyle name="20% - Accent2 3 3 3 4 2 2" xfId="24820" xr:uid="{00000000-0005-0000-0000-000049140000}"/>
    <cellStyle name="20% - Accent2 3 3 3 4 2 2 2" xfId="50694" xr:uid="{00000000-0005-0000-0000-00004A140000}"/>
    <cellStyle name="20% - Accent2 3 3 3 4 2 3" xfId="37778" xr:uid="{00000000-0005-0000-0000-00004B140000}"/>
    <cellStyle name="20% - Accent2 3 3 3 4 3" xfId="18362" xr:uid="{00000000-0005-0000-0000-00004C140000}"/>
    <cellStyle name="20% - Accent2 3 3 3 4 3 2" xfId="44236" xr:uid="{00000000-0005-0000-0000-00004D140000}"/>
    <cellStyle name="20% - Accent2 3 3 3 4 4" xfId="31320" xr:uid="{00000000-0005-0000-0000-00004E140000}"/>
    <cellStyle name="20% - Accent2 3 3 3 5" xfId="8675" xr:uid="{00000000-0005-0000-0000-00004F140000}"/>
    <cellStyle name="20% - Accent2 3 3 3 5 2" xfId="21592" xr:uid="{00000000-0005-0000-0000-000050140000}"/>
    <cellStyle name="20% - Accent2 3 3 3 5 2 2" xfId="47466" xr:uid="{00000000-0005-0000-0000-000051140000}"/>
    <cellStyle name="20% - Accent2 3 3 3 5 3" xfId="34550" xr:uid="{00000000-0005-0000-0000-000052140000}"/>
    <cellStyle name="20% - Accent2 3 3 3 6" xfId="15134" xr:uid="{00000000-0005-0000-0000-000053140000}"/>
    <cellStyle name="20% - Accent2 3 3 3 6 2" xfId="41008" xr:uid="{00000000-0005-0000-0000-000054140000}"/>
    <cellStyle name="20% - Accent2 3 3 3 7" xfId="28060" xr:uid="{00000000-0005-0000-0000-000055140000}"/>
    <cellStyle name="20% - Accent2 3 3 3 8" xfId="53922" xr:uid="{00000000-0005-0000-0000-000056140000}"/>
    <cellStyle name="20% - Accent2 3 3 3 9" xfId="2163" xr:uid="{00000000-0005-0000-0000-000057140000}"/>
    <cellStyle name="20% - Accent2 3 3 4" xfId="530" xr:uid="{00000000-0005-0000-0000-000058140000}"/>
    <cellStyle name="20% - Accent2 3 3 4 2" xfId="4231" xr:uid="{00000000-0005-0000-0000-000059140000}"/>
    <cellStyle name="20% - Accent2 3 3 4 2 2" xfId="7462" xr:uid="{00000000-0005-0000-0000-00005A140000}"/>
    <cellStyle name="20% - Accent2 3 3 4 2 2 2" xfId="13921" xr:uid="{00000000-0005-0000-0000-00005B140000}"/>
    <cellStyle name="20% - Accent2 3 3 4 2 2 2 2" xfId="26838" xr:uid="{00000000-0005-0000-0000-00005C140000}"/>
    <cellStyle name="20% - Accent2 3 3 4 2 2 2 2 2" xfId="52712" xr:uid="{00000000-0005-0000-0000-00005D140000}"/>
    <cellStyle name="20% - Accent2 3 3 4 2 2 2 3" xfId="39796" xr:uid="{00000000-0005-0000-0000-00005E140000}"/>
    <cellStyle name="20% - Accent2 3 3 4 2 2 3" xfId="20380" xr:uid="{00000000-0005-0000-0000-00005F140000}"/>
    <cellStyle name="20% - Accent2 3 3 4 2 2 3 2" xfId="46254" xr:uid="{00000000-0005-0000-0000-000060140000}"/>
    <cellStyle name="20% - Accent2 3 3 4 2 2 4" xfId="33338" xr:uid="{00000000-0005-0000-0000-000061140000}"/>
    <cellStyle name="20% - Accent2 3 3 4 2 3" xfId="10693" xr:uid="{00000000-0005-0000-0000-000062140000}"/>
    <cellStyle name="20% - Accent2 3 3 4 2 3 2" xfId="23610" xr:uid="{00000000-0005-0000-0000-000063140000}"/>
    <cellStyle name="20% - Accent2 3 3 4 2 3 2 2" xfId="49484" xr:uid="{00000000-0005-0000-0000-000064140000}"/>
    <cellStyle name="20% - Accent2 3 3 4 2 3 3" xfId="36568" xr:uid="{00000000-0005-0000-0000-000065140000}"/>
    <cellStyle name="20% - Accent2 3 3 4 2 4" xfId="17152" xr:uid="{00000000-0005-0000-0000-000066140000}"/>
    <cellStyle name="20% - Accent2 3 3 4 2 4 2" xfId="43026" xr:uid="{00000000-0005-0000-0000-000067140000}"/>
    <cellStyle name="20% - Accent2 3 3 4 2 5" xfId="30078" xr:uid="{00000000-0005-0000-0000-000068140000}"/>
    <cellStyle name="20% - Accent2 3 3 4 3" xfId="5848" xr:uid="{00000000-0005-0000-0000-000069140000}"/>
    <cellStyle name="20% - Accent2 3 3 4 3 2" xfId="12307" xr:uid="{00000000-0005-0000-0000-00006A140000}"/>
    <cellStyle name="20% - Accent2 3 3 4 3 2 2" xfId="25224" xr:uid="{00000000-0005-0000-0000-00006B140000}"/>
    <cellStyle name="20% - Accent2 3 3 4 3 2 2 2" xfId="51098" xr:uid="{00000000-0005-0000-0000-00006C140000}"/>
    <cellStyle name="20% - Accent2 3 3 4 3 2 3" xfId="38182" xr:uid="{00000000-0005-0000-0000-00006D140000}"/>
    <cellStyle name="20% - Accent2 3 3 4 3 3" xfId="18766" xr:uid="{00000000-0005-0000-0000-00006E140000}"/>
    <cellStyle name="20% - Accent2 3 3 4 3 3 2" xfId="44640" xr:uid="{00000000-0005-0000-0000-00006F140000}"/>
    <cellStyle name="20% - Accent2 3 3 4 3 4" xfId="31724" xr:uid="{00000000-0005-0000-0000-000070140000}"/>
    <cellStyle name="20% - Accent2 3 3 4 4" xfId="9079" xr:uid="{00000000-0005-0000-0000-000071140000}"/>
    <cellStyle name="20% - Accent2 3 3 4 4 2" xfId="21996" xr:uid="{00000000-0005-0000-0000-000072140000}"/>
    <cellStyle name="20% - Accent2 3 3 4 4 2 2" xfId="47870" xr:uid="{00000000-0005-0000-0000-000073140000}"/>
    <cellStyle name="20% - Accent2 3 3 4 4 3" xfId="34954" xr:uid="{00000000-0005-0000-0000-000074140000}"/>
    <cellStyle name="20% - Accent2 3 3 4 5" xfId="15538" xr:uid="{00000000-0005-0000-0000-000075140000}"/>
    <cellStyle name="20% - Accent2 3 3 4 5 2" xfId="41412" xr:uid="{00000000-0005-0000-0000-000076140000}"/>
    <cellStyle name="20% - Accent2 3 3 4 6" xfId="28464" xr:uid="{00000000-0005-0000-0000-000077140000}"/>
    <cellStyle name="20% - Accent2 3 3 4 7" xfId="2574" xr:uid="{00000000-0005-0000-0000-000078140000}"/>
    <cellStyle name="20% - Accent2 3 3 5" xfId="3400" xr:uid="{00000000-0005-0000-0000-000079140000}"/>
    <cellStyle name="20% - Accent2 3 3 5 2" xfId="6655" xr:uid="{00000000-0005-0000-0000-00007A140000}"/>
    <cellStyle name="20% - Accent2 3 3 5 2 2" xfId="13114" xr:uid="{00000000-0005-0000-0000-00007B140000}"/>
    <cellStyle name="20% - Accent2 3 3 5 2 2 2" xfId="26031" xr:uid="{00000000-0005-0000-0000-00007C140000}"/>
    <cellStyle name="20% - Accent2 3 3 5 2 2 2 2" xfId="51905" xr:uid="{00000000-0005-0000-0000-00007D140000}"/>
    <cellStyle name="20% - Accent2 3 3 5 2 2 3" xfId="38989" xr:uid="{00000000-0005-0000-0000-00007E140000}"/>
    <cellStyle name="20% - Accent2 3 3 5 2 3" xfId="19573" xr:uid="{00000000-0005-0000-0000-00007F140000}"/>
    <cellStyle name="20% - Accent2 3 3 5 2 3 2" xfId="45447" xr:uid="{00000000-0005-0000-0000-000080140000}"/>
    <cellStyle name="20% - Accent2 3 3 5 2 4" xfId="32531" xr:uid="{00000000-0005-0000-0000-000081140000}"/>
    <cellStyle name="20% - Accent2 3 3 5 3" xfId="9886" xr:uid="{00000000-0005-0000-0000-000082140000}"/>
    <cellStyle name="20% - Accent2 3 3 5 3 2" xfId="22803" xr:uid="{00000000-0005-0000-0000-000083140000}"/>
    <cellStyle name="20% - Accent2 3 3 5 3 2 2" xfId="48677" xr:uid="{00000000-0005-0000-0000-000084140000}"/>
    <cellStyle name="20% - Accent2 3 3 5 3 3" xfId="35761" xr:uid="{00000000-0005-0000-0000-000085140000}"/>
    <cellStyle name="20% - Accent2 3 3 5 4" xfId="16345" xr:uid="{00000000-0005-0000-0000-000086140000}"/>
    <cellStyle name="20% - Accent2 3 3 5 4 2" xfId="42219" xr:uid="{00000000-0005-0000-0000-000087140000}"/>
    <cellStyle name="20% - Accent2 3 3 5 5" xfId="29271" xr:uid="{00000000-0005-0000-0000-000088140000}"/>
    <cellStyle name="20% - Accent2 3 3 6" xfId="5041" xr:uid="{00000000-0005-0000-0000-000089140000}"/>
    <cellStyle name="20% - Accent2 3 3 6 2" xfId="11500" xr:uid="{00000000-0005-0000-0000-00008A140000}"/>
    <cellStyle name="20% - Accent2 3 3 6 2 2" xfId="24417" xr:uid="{00000000-0005-0000-0000-00008B140000}"/>
    <cellStyle name="20% - Accent2 3 3 6 2 2 2" xfId="50291" xr:uid="{00000000-0005-0000-0000-00008C140000}"/>
    <cellStyle name="20% - Accent2 3 3 6 2 3" xfId="37375" xr:uid="{00000000-0005-0000-0000-00008D140000}"/>
    <cellStyle name="20% - Accent2 3 3 6 3" xfId="17959" xr:uid="{00000000-0005-0000-0000-00008E140000}"/>
    <cellStyle name="20% - Accent2 3 3 6 3 2" xfId="43833" xr:uid="{00000000-0005-0000-0000-00008F140000}"/>
    <cellStyle name="20% - Accent2 3 3 6 4" xfId="30917" xr:uid="{00000000-0005-0000-0000-000090140000}"/>
    <cellStyle name="20% - Accent2 3 3 7" xfId="8271" xr:uid="{00000000-0005-0000-0000-000091140000}"/>
    <cellStyle name="20% - Accent2 3 3 7 2" xfId="21188" xr:uid="{00000000-0005-0000-0000-000092140000}"/>
    <cellStyle name="20% - Accent2 3 3 7 2 2" xfId="47062" xr:uid="{00000000-0005-0000-0000-000093140000}"/>
    <cellStyle name="20% - Accent2 3 3 7 3" xfId="34146" xr:uid="{00000000-0005-0000-0000-000094140000}"/>
    <cellStyle name="20% - Accent2 3 3 8" xfId="14730" xr:uid="{00000000-0005-0000-0000-000095140000}"/>
    <cellStyle name="20% - Accent2 3 3 8 2" xfId="40604" xr:uid="{00000000-0005-0000-0000-000096140000}"/>
    <cellStyle name="20% - Accent2 3 3 9" xfId="27654" xr:uid="{00000000-0005-0000-0000-000097140000}"/>
    <cellStyle name="20% - Accent2 3 4" xfId="220" xr:uid="{00000000-0005-0000-0000-000098140000}"/>
    <cellStyle name="20% - Accent2 3 4 2" xfId="411" xr:uid="{00000000-0005-0000-0000-000099140000}"/>
    <cellStyle name="20% - Accent2 3 4 2 2" xfId="536" xr:uid="{00000000-0005-0000-0000-00009A140000}"/>
    <cellStyle name="20% - Accent2 3 4 2 3" xfId="535" xr:uid="{00000000-0005-0000-0000-00009B140000}"/>
    <cellStyle name="20% - Accent2 3 4 3" xfId="537" xr:uid="{00000000-0005-0000-0000-00009C140000}"/>
    <cellStyle name="20% - Accent2 3 4 4" xfId="534" xr:uid="{00000000-0005-0000-0000-00009D140000}"/>
    <cellStyle name="20% - Accent2 3 4 5" xfId="1663" xr:uid="{00000000-0005-0000-0000-00009E140000}"/>
    <cellStyle name="20% - Accent2 3 5" xfId="374" xr:uid="{00000000-0005-0000-0000-00009F140000}"/>
    <cellStyle name="20% - Accent2 3 5 10" xfId="53501" xr:uid="{00000000-0005-0000-0000-0000A0140000}"/>
    <cellStyle name="20% - Accent2 3 5 11" xfId="1573" xr:uid="{00000000-0005-0000-0000-0000A1140000}"/>
    <cellStyle name="20% - Accent2 3 5 2" xfId="539" xr:uid="{00000000-0005-0000-0000-0000A2140000}"/>
    <cellStyle name="20% - Accent2 3 5 2 10" xfId="1910" xr:uid="{00000000-0005-0000-0000-0000A3140000}"/>
    <cellStyle name="20% - Accent2 3 5 2 2" xfId="2341" xr:uid="{00000000-0005-0000-0000-0000A4140000}"/>
    <cellStyle name="20% - Accent2 3 5 2 2 2" xfId="3154" xr:uid="{00000000-0005-0000-0000-0000A5140000}"/>
    <cellStyle name="20% - Accent2 3 5 2 2 2 2" xfId="4811" xr:uid="{00000000-0005-0000-0000-0000A6140000}"/>
    <cellStyle name="20% - Accent2 3 5 2 2 2 2 2" xfId="8042" xr:uid="{00000000-0005-0000-0000-0000A7140000}"/>
    <cellStyle name="20% - Accent2 3 5 2 2 2 2 2 2" xfId="14501" xr:uid="{00000000-0005-0000-0000-0000A8140000}"/>
    <cellStyle name="20% - Accent2 3 5 2 2 2 2 2 2 2" xfId="27418" xr:uid="{00000000-0005-0000-0000-0000A9140000}"/>
    <cellStyle name="20% - Accent2 3 5 2 2 2 2 2 2 2 2" xfId="53292" xr:uid="{00000000-0005-0000-0000-0000AA140000}"/>
    <cellStyle name="20% - Accent2 3 5 2 2 2 2 2 2 3" xfId="40376" xr:uid="{00000000-0005-0000-0000-0000AB140000}"/>
    <cellStyle name="20% - Accent2 3 5 2 2 2 2 2 3" xfId="20960" xr:uid="{00000000-0005-0000-0000-0000AC140000}"/>
    <cellStyle name="20% - Accent2 3 5 2 2 2 2 2 3 2" xfId="46834" xr:uid="{00000000-0005-0000-0000-0000AD140000}"/>
    <cellStyle name="20% - Accent2 3 5 2 2 2 2 2 4" xfId="33918" xr:uid="{00000000-0005-0000-0000-0000AE140000}"/>
    <cellStyle name="20% - Accent2 3 5 2 2 2 2 3" xfId="11273" xr:uid="{00000000-0005-0000-0000-0000AF140000}"/>
    <cellStyle name="20% - Accent2 3 5 2 2 2 2 3 2" xfId="24190" xr:uid="{00000000-0005-0000-0000-0000B0140000}"/>
    <cellStyle name="20% - Accent2 3 5 2 2 2 2 3 2 2" xfId="50064" xr:uid="{00000000-0005-0000-0000-0000B1140000}"/>
    <cellStyle name="20% - Accent2 3 5 2 2 2 2 3 3" xfId="37148" xr:uid="{00000000-0005-0000-0000-0000B2140000}"/>
    <cellStyle name="20% - Accent2 3 5 2 2 2 2 4" xfId="17732" xr:uid="{00000000-0005-0000-0000-0000B3140000}"/>
    <cellStyle name="20% - Accent2 3 5 2 2 2 2 4 2" xfId="43606" xr:uid="{00000000-0005-0000-0000-0000B4140000}"/>
    <cellStyle name="20% - Accent2 3 5 2 2 2 2 5" xfId="30658" xr:uid="{00000000-0005-0000-0000-0000B5140000}"/>
    <cellStyle name="20% - Accent2 3 5 2 2 2 3" xfId="6428" xr:uid="{00000000-0005-0000-0000-0000B6140000}"/>
    <cellStyle name="20% - Accent2 3 5 2 2 2 3 2" xfId="12887" xr:uid="{00000000-0005-0000-0000-0000B7140000}"/>
    <cellStyle name="20% - Accent2 3 5 2 2 2 3 2 2" xfId="25804" xr:uid="{00000000-0005-0000-0000-0000B8140000}"/>
    <cellStyle name="20% - Accent2 3 5 2 2 2 3 2 2 2" xfId="51678" xr:uid="{00000000-0005-0000-0000-0000B9140000}"/>
    <cellStyle name="20% - Accent2 3 5 2 2 2 3 2 3" xfId="38762" xr:uid="{00000000-0005-0000-0000-0000BA140000}"/>
    <cellStyle name="20% - Accent2 3 5 2 2 2 3 3" xfId="19346" xr:uid="{00000000-0005-0000-0000-0000BB140000}"/>
    <cellStyle name="20% - Accent2 3 5 2 2 2 3 3 2" xfId="45220" xr:uid="{00000000-0005-0000-0000-0000BC140000}"/>
    <cellStyle name="20% - Accent2 3 5 2 2 2 3 4" xfId="32304" xr:uid="{00000000-0005-0000-0000-0000BD140000}"/>
    <cellStyle name="20% - Accent2 3 5 2 2 2 4" xfId="9659" xr:uid="{00000000-0005-0000-0000-0000BE140000}"/>
    <cellStyle name="20% - Accent2 3 5 2 2 2 4 2" xfId="22576" xr:uid="{00000000-0005-0000-0000-0000BF140000}"/>
    <cellStyle name="20% - Accent2 3 5 2 2 2 4 2 2" xfId="48450" xr:uid="{00000000-0005-0000-0000-0000C0140000}"/>
    <cellStyle name="20% - Accent2 3 5 2 2 2 4 3" xfId="35534" xr:uid="{00000000-0005-0000-0000-0000C1140000}"/>
    <cellStyle name="20% - Accent2 3 5 2 2 2 5" xfId="16118" xr:uid="{00000000-0005-0000-0000-0000C2140000}"/>
    <cellStyle name="20% - Accent2 3 5 2 2 2 5 2" xfId="41992" xr:uid="{00000000-0005-0000-0000-0000C3140000}"/>
    <cellStyle name="20% - Accent2 3 5 2 2 2 6" xfId="29044" xr:uid="{00000000-0005-0000-0000-0000C4140000}"/>
    <cellStyle name="20% - Accent2 3 5 2 2 3" xfId="3981" xr:uid="{00000000-0005-0000-0000-0000C5140000}"/>
    <cellStyle name="20% - Accent2 3 5 2 2 3 2" xfId="7235" xr:uid="{00000000-0005-0000-0000-0000C6140000}"/>
    <cellStyle name="20% - Accent2 3 5 2 2 3 2 2" xfId="13694" xr:uid="{00000000-0005-0000-0000-0000C7140000}"/>
    <cellStyle name="20% - Accent2 3 5 2 2 3 2 2 2" xfId="26611" xr:uid="{00000000-0005-0000-0000-0000C8140000}"/>
    <cellStyle name="20% - Accent2 3 5 2 2 3 2 2 2 2" xfId="52485" xr:uid="{00000000-0005-0000-0000-0000C9140000}"/>
    <cellStyle name="20% - Accent2 3 5 2 2 3 2 2 3" xfId="39569" xr:uid="{00000000-0005-0000-0000-0000CA140000}"/>
    <cellStyle name="20% - Accent2 3 5 2 2 3 2 3" xfId="20153" xr:uid="{00000000-0005-0000-0000-0000CB140000}"/>
    <cellStyle name="20% - Accent2 3 5 2 2 3 2 3 2" xfId="46027" xr:uid="{00000000-0005-0000-0000-0000CC140000}"/>
    <cellStyle name="20% - Accent2 3 5 2 2 3 2 4" xfId="33111" xr:uid="{00000000-0005-0000-0000-0000CD140000}"/>
    <cellStyle name="20% - Accent2 3 5 2 2 3 3" xfId="10466" xr:uid="{00000000-0005-0000-0000-0000CE140000}"/>
    <cellStyle name="20% - Accent2 3 5 2 2 3 3 2" xfId="23383" xr:uid="{00000000-0005-0000-0000-0000CF140000}"/>
    <cellStyle name="20% - Accent2 3 5 2 2 3 3 2 2" xfId="49257" xr:uid="{00000000-0005-0000-0000-0000D0140000}"/>
    <cellStyle name="20% - Accent2 3 5 2 2 3 3 3" xfId="36341" xr:uid="{00000000-0005-0000-0000-0000D1140000}"/>
    <cellStyle name="20% - Accent2 3 5 2 2 3 4" xfId="16925" xr:uid="{00000000-0005-0000-0000-0000D2140000}"/>
    <cellStyle name="20% - Accent2 3 5 2 2 3 4 2" xfId="42799" xr:uid="{00000000-0005-0000-0000-0000D3140000}"/>
    <cellStyle name="20% - Accent2 3 5 2 2 3 5" xfId="29851" xr:uid="{00000000-0005-0000-0000-0000D4140000}"/>
    <cellStyle name="20% - Accent2 3 5 2 2 4" xfId="5621" xr:uid="{00000000-0005-0000-0000-0000D5140000}"/>
    <cellStyle name="20% - Accent2 3 5 2 2 4 2" xfId="12080" xr:uid="{00000000-0005-0000-0000-0000D6140000}"/>
    <cellStyle name="20% - Accent2 3 5 2 2 4 2 2" xfId="24997" xr:uid="{00000000-0005-0000-0000-0000D7140000}"/>
    <cellStyle name="20% - Accent2 3 5 2 2 4 2 2 2" xfId="50871" xr:uid="{00000000-0005-0000-0000-0000D8140000}"/>
    <cellStyle name="20% - Accent2 3 5 2 2 4 2 3" xfId="37955" xr:uid="{00000000-0005-0000-0000-0000D9140000}"/>
    <cellStyle name="20% - Accent2 3 5 2 2 4 3" xfId="18539" xr:uid="{00000000-0005-0000-0000-0000DA140000}"/>
    <cellStyle name="20% - Accent2 3 5 2 2 4 3 2" xfId="44413" xr:uid="{00000000-0005-0000-0000-0000DB140000}"/>
    <cellStyle name="20% - Accent2 3 5 2 2 4 4" xfId="31497" xr:uid="{00000000-0005-0000-0000-0000DC140000}"/>
    <cellStyle name="20% - Accent2 3 5 2 2 5" xfId="8852" xr:uid="{00000000-0005-0000-0000-0000DD140000}"/>
    <cellStyle name="20% - Accent2 3 5 2 2 5 2" xfId="21769" xr:uid="{00000000-0005-0000-0000-0000DE140000}"/>
    <cellStyle name="20% - Accent2 3 5 2 2 5 2 2" xfId="47643" xr:uid="{00000000-0005-0000-0000-0000DF140000}"/>
    <cellStyle name="20% - Accent2 3 5 2 2 5 3" xfId="34727" xr:uid="{00000000-0005-0000-0000-0000E0140000}"/>
    <cellStyle name="20% - Accent2 3 5 2 2 6" xfId="15311" xr:uid="{00000000-0005-0000-0000-0000E1140000}"/>
    <cellStyle name="20% - Accent2 3 5 2 2 6 2" xfId="41185" xr:uid="{00000000-0005-0000-0000-0000E2140000}"/>
    <cellStyle name="20% - Accent2 3 5 2 2 7" xfId="28237" xr:uid="{00000000-0005-0000-0000-0000E3140000}"/>
    <cellStyle name="20% - Accent2 3 5 2 2 8" xfId="54099" xr:uid="{00000000-0005-0000-0000-0000E4140000}"/>
    <cellStyle name="20% - Accent2 3 5 2 3" xfId="2750" xr:uid="{00000000-0005-0000-0000-0000E5140000}"/>
    <cellStyle name="20% - Accent2 3 5 2 3 2" xfId="4407" xr:uid="{00000000-0005-0000-0000-0000E6140000}"/>
    <cellStyle name="20% - Accent2 3 5 2 3 2 2" xfId="7638" xr:uid="{00000000-0005-0000-0000-0000E7140000}"/>
    <cellStyle name="20% - Accent2 3 5 2 3 2 2 2" xfId="14097" xr:uid="{00000000-0005-0000-0000-0000E8140000}"/>
    <cellStyle name="20% - Accent2 3 5 2 3 2 2 2 2" xfId="27014" xr:uid="{00000000-0005-0000-0000-0000E9140000}"/>
    <cellStyle name="20% - Accent2 3 5 2 3 2 2 2 2 2" xfId="52888" xr:uid="{00000000-0005-0000-0000-0000EA140000}"/>
    <cellStyle name="20% - Accent2 3 5 2 3 2 2 2 3" xfId="39972" xr:uid="{00000000-0005-0000-0000-0000EB140000}"/>
    <cellStyle name="20% - Accent2 3 5 2 3 2 2 3" xfId="20556" xr:uid="{00000000-0005-0000-0000-0000EC140000}"/>
    <cellStyle name="20% - Accent2 3 5 2 3 2 2 3 2" xfId="46430" xr:uid="{00000000-0005-0000-0000-0000ED140000}"/>
    <cellStyle name="20% - Accent2 3 5 2 3 2 2 4" xfId="33514" xr:uid="{00000000-0005-0000-0000-0000EE140000}"/>
    <cellStyle name="20% - Accent2 3 5 2 3 2 3" xfId="10869" xr:uid="{00000000-0005-0000-0000-0000EF140000}"/>
    <cellStyle name="20% - Accent2 3 5 2 3 2 3 2" xfId="23786" xr:uid="{00000000-0005-0000-0000-0000F0140000}"/>
    <cellStyle name="20% - Accent2 3 5 2 3 2 3 2 2" xfId="49660" xr:uid="{00000000-0005-0000-0000-0000F1140000}"/>
    <cellStyle name="20% - Accent2 3 5 2 3 2 3 3" xfId="36744" xr:uid="{00000000-0005-0000-0000-0000F2140000}"/>
    <cellStyle name="20% - Accent2 3 5 2 3 2 4" xfId="17328" xr:uid="{00000000-0005-0000-0000-0000F3140000}"/>
    <cellStyle name="20% - Accent2 3 5 2 3 2 4 2" xfId="43202" xr:uid="{00000000-0005-0000-0000-0000F4140000}"/>
    <cellStyle name="20% - Accent2 3 5 2 3 2 5" xfId="30254" xr:uid="{00000000-0005-0000-0000-0000F5140000}"/>
    <cellStyle name="20% - Accent2 3 5 2 3 3" xfId="6024" xr:uid="{00000000-0005-0000-0000-0000F6140000}"/>
    <cellStyle name="20% - Accent2 3 5 2 3 3 2" xfId="12483" xr:uid="{00000000-0005-0000-0000-0000F7140000}"/>
    <cellStyle name="20% - Accent2 3 5 2 3 3 2 2" xfId="25400" xr:uid="{00000000-0005-0000-0000-0000F8140000}"/>
    <cellStyle name="20% - Accent2 3 5 2 3 3 2 2 2" xfId="51274" xr:uid="{00000000-0005-0000-0000-0000F9140000}"/>
    <cellStyle name="20% - Accent2 3 5 2 3 3 2 3" xfId="38358" xr:uid="{00000000-0005-0000-0000-0000FA140000}"/>
    <cellStyle name="20% - Accent2 3 5 2 3 3 3" xfId="18942" xr:uid="{00000000-0005-0000-0000-0000FB140000}"/>
    <cellStyle name="20% - Accent2 3 5 2 3 3 3 2" xfId="44816" xr:uid="{00000000-0005-0000-0000-0000FC140000}"/>
    <cellStyle name="20% - Accent2 3 5 2 3 3 4" xfId="31900" xr:uid="{00000000-0005-0000-0000-0000FD140000}"/>
    <cellStyle name="20% - Accent2 3 5 2 3 4" xfId="9255" xr:uid="{00000000-0005-0000-0000-0000FE140000}"/>
    <cellStyle name="20% - Accent2 3 5 2 3 4 2" xfId="22172" xr:uid="{00000000-0005-0000-0000-0000FF140000}"/>
    <cellStyle name="20% - Accent2 3 5 2 3 4 2 2" xfId="48046" xr:uid="{00000000-0005-0000-0000-000000150000}"/>
    <cellStyle name="20% - Accent2 3 5 2 3 4 3" xfId="35130" xr:uid="{00000000-0005-0000-0000-000001150000}"/>
    <cellStyle name="20% - Accent2 3 5 2 3 5" xfId="15714" xr:uid="{00000000-0005-0000-0000-000002150000}"/>
    <cellStyle name="20% - Accent2 3 5 2 3 5 2" xfId="41588" xr:uid="{00000000-0005-0000-0000-000003150000}"/>
    <cellStyle name="20% - Accent2 3 5 2 3 6" xfId="28640" xr:uid="{00000000-0005-0000-0000-000004150000}"/>
    <cellStyle name="20% - Accent2 3 5 2 4" xfId="3577" xr:uid="{00000000-0005-0000-0000-000005150000}"/>
    <cellStyle name="20% - Accent2 3 5 2 4 2" xfId="6831" xr:uid="{00000000-0005-0000-0000-000006150000}"/>
    <cellStyle name="20% - Accent2 3 5 2 4 2 2" xfId="13290" xr:uid="{00000000-0005-0000-0000-000007150000}"/>
    <cellStyle name="20% - Accent2 3 5 2 4 2 2 2" xfId="26207" xr:uid="{00000000-0005-0000-0000-000008150000}"/>
    <cellStyle name="20% - Accent2 3 5 2 4 2 2 2 2" xfId="52081" xr:uid="{00000000-0005-0000-0000-000009150000}"/>
    <cellStyle name="20% - Accent2 3 5 2 4 2 2 3" xfId="39165" xr:uid="{00000000-0005-0000-0000-00000A150000}"/>
    <cellStyle name="20% - Accent2 3 5 2 4 2 3" xfId="19749" xr:uid="{00000000-0005-0000-0000-00000B150000}"/>
    <cellStyle name="20% - Accent2 3 5 2 4 2 3 2" xfId="45623" xr:uid="{00000000-0005-0000-0000-00000C150000}"/>
    <cellStyle name="20% - Accent2 3 5 2 4 2 4" xfId="32707" xr:uid="{00000000-0005-0000-0000-00000D150000}"/>
    <cellStyle name="20% - Accent2 3 5 2 4 3" xfId="10062" xr:uid="{00000000-0005-0000-0000-00000E150000}"/>
    <cellStyle name="20% - Accent2 3 5 2 4 3 2" xfId="22979" xr:uid="{00000000-0005-0000-0000-00000F150000}"/>
    <cellStyle name="20% - Accent2 3 5 2 4 3 2 2" xfId="48853" xr:uid="{00000000-0005-0000-0000-000010150000}"/>
    <cellStyle name="20% - Accent2 3 5 2 4 3 3" xfId="35937" xr:uid="{00000000-0005-0000-0000-000011150000}"/>
    <cellStyle name="20% - Accent2 3 5 2 4 4" xfId="16521" xr:uid="{00000000-0005-0000-0000-000012150000}"/>
    <cellStyle name="20% - Accent2 3 5 2 4 4 2" xfId="42395" xr:uid="{00000000-0005-0000-0000-000013150000}"/>
    <cellStyle name="20% - Accent2 3 5 2 4 5" xfId="29447" xr:uid="{00000000-0005-0000-0000-000014150000}"/>
    <cellStyle name="20% - Accent2 3 5 2 5" xfId="5217" xr:uid="{00000000-0005-0000-0000-000015150000}"/>
    <cellStyle name="20% - Accent2 3 5 2 5 2" xfId="11676" xr:uid="{00000000-0005-0000-0000-000016150000}"/>
    <cellStyle name="20% - Accent2 3 5 2 5 2 2" xfId="24593" xr:uid="{00000000-0005-0000-0000-000017150000}"/>
    <cellStyle name="20% - Accent2 3 5 2 5 2 2 2" xfId="50467" xr:uid="{00000000-0005-0000-0000-000018150000}"/>
    <cellStyle name="20% - Accent2 3 5 2 5 2 3" xfId="37551" xr:uid="{00000000-0005-0000-0000-000019150000}"/>
    <cellStyle name="20% - Accent2 3 5 2 5 3" xfId="18135" xr:uid="{00000000-0005-0000-0000-00001A150000}"/>
    <cellStyle name="20% - Accent2 3 5 2 5 3 2" xfId="44009" xr:uid="{00000000-0005-0000-0000-00001B150000}"/>
    <cellStyle name="20% - Accent2 3 5 2 5 4" xfId="31093" xr:uid="{00000000-0005-0000-0000-00001C150000}"/>
    <cellStyle name="20% - Accent2 3 5 2 6" xfId="8448" xr:uid="{00000000-0005-0000-0000-00001D150000}"/>
    <cellStyle name="20% - Accent2 3 5 2 6 2" xfId="21365" xr:uid="{00000000-0005-0000-0000-00001E150000}"/>
    <cellStyle name="20% - Accent2 3 5 2 6 2 2" xfId="47239" xr:uid="{00000000-0005-0000-0000-00001F150000}"/>
    <cellStyle name="20% - Accent2 3 5 2 6 3" xfId="34323" xr:uid="{00000000-0005-0000-0000-000020150000}"/>
    <cellStyle name="20% - Accent2 3 5 2 7" xfId="14907" xr:uid="{00000000-0005-0000-0000-000021150000}"/>
    <cellStyle name="20% - Accent2 3 5 2 7 2" xfId="40781" xr:uid="{00000000-0005-0000-0000-000022150000}"/>
    <cellStyle name="20% - Accent2 3 5 2 8" xfId="27832" xr:uid="{00000000-0005-0000-0000-000023150000}"/>
    <cellStyle name="20% - Accent2 3 5 2 9" xfId="53695" xr:uid="{00000000-0005-0000-0000-000024150000}"/>
    <cellStyle name="20% - Accent2 3 5 3" xfId="538" xr:uid="{00000000-0005-0000-0000-000025150000}"/>
    <cellStyle name="20% - Accent2 3 5 3 2" xfId="2959" xr:uid="{00000000-0005-0000-0000-000026150000}"/>
    <cellStyle name="20% - Accent2 3 5 3 2 2" xfId="4616" xr:uid="{00000000-0005-0000-0000-000027150000}"/>
    <cellStyle name="20% - Accent2 3 5 3 2 2 2" xfId="7847" xr:uid="{00000000-0005-0000-0000-000028150000}"/>
    <cellStyle name="20% - Accent2 3 5 3 2 2 2 2" xfId="14306" xr:uid="{00000000-0005-0000-0000-000029150000}"/>
    <cellStyle name="20% - Accent2 3 5 3 2 2 2 2 2" xfId="27223" xr:uid="{00000000-0005-0000-0000-00002A150000}"/>
    <cellStyle name="20% - Accent2 3 5 3 2 2 2 2 2 2" xfId="53097" xr:uid="{00000000-0005-0000-0000-00002B150000}"/>
    <cellStyle name="20% - Accent2 3 5 3 2 2 2 2 3" xfId="40181" xr:uid="{00000000-0005-0000-0000-00002C150000}"/>
    <cellStyle name="20% - Accent2 3 5 3 2 2 2 3" xfId="20765" xr:uid="{00000000-0005-0000-0000-00002D150000}"/>
    <cellStyle name="20% - Accent2 3 5 3 2 2 2 3 2" xfId="46639" xr:uid="{00000000-0005-0000-0000-00002E150000}"/>
    <cellStyle name="20% - Accent2 3 5 3 2 2 2 4" xfId="33723" xr:uid="{00000000-0005-0000-0000-00002F150000}"/>
    <cellStyle name="20% - Accent2 3 5 3 2 2 3" xfId="11078" xr:uid="{00000000-0005-0000-0000-000030150000}"/>
    <cellStyle name="20% - Accent2 3 5 3 2 2 3 2" xfId="23995" xr:uid="{00000000-0005-0000-0000-000031150000}"/>
    <cellStyle name="20% - Accent2 3 5 3 2 2 3 2 2" xfId="49869" xr:uid="{00000000-0005-0000-0000-000032150000}"/>
    <cellStyle name="20% - Accent2 3 5 3 2 2 3 3" xfId="36953" xr:uid="{00000000-0005-0000-0000-000033150000}"/>
    <cellStyle name="20% - Accent2 3 5 3 2 2 4" xfId="17537" xr:uid="{00000000-0005-0000-0000-000034150000}"/>
    <cellStyle name="20% - Accent2 3 5 3 2 2 4 2" xfId="43411" xr:uid="{00000000-0005-0000-0000-000035150000}"/>
    <cellStyle name="20% - Accent2 3 5 3 2 2 5" xfId="30463" xr:uid="{00000000-0005-0000-0000-000036150000}"/>
    <cellStyle name="20% - Accent2 3 5 3 2 3" xfId="6233" xr:uid="{00000000-0005-0000-0000-000037150000}"/>
    <cellStyle name="20% - Accent2 3 5 3 2 3 2" xfId="12692" xr:uid="{00000000-0005-0000-0000-000038150000}"/>
    <cellStyle name="20% - Accent2 3 5 3 2 3 2 2" xfId="25609" xr:uid="{00000000-0005-0000-0000-000039150000}"/>
    <cellStyle name="20% - Accent2 3 5 3 2 3 2 2 2" xfId="51483" xr:uid="{00000000-0005-0000-0000-00003A150000}"/>
    <cellStyle name="20% - Accent2 3 5 3 2 3 2 3" xfId="38567" xr:uid="{00000000-0005-0000-0000-00003B150000}"/>
    <cellStyle name="20% - Accent2 3 5 3 2 3 3" xfId="19151" xr:uid="{00000000-0005-0000-0000-00003C150000}"/>
    <cellStyle name="20% - Accent2 3 5 3 2 3 3 2" xfId="45025" xr:uid="{00000000-0005-0000-0000-00003D150000}"/>
    <cellStyle name="20% - Accent2 3 5 3 2 3 4" xfId="32109" xr:uid="{00000000-0005-0000-0000-00003E150000}"/>
    <cellStyle name="20% - Accent2 3 5 3 2 4" xfId="9464" xr:uid="{00000000-0005-0000-0000-00003F150000}"/>
    <cellStyle name="20% - Accent2 3 5 3 2 4 2" xfId="22381" xr:uid="{00000000-0005-0000-0000-000040150000}"/>
    <cellStyle name="20% - Accent2 3 5 3 2 4 2 2" xfId="48255" xr:uid="{00000000-0005-0000-0000-000041150000}"/>
    <cellStyle name="20% - Accent2 3 5 3 2 4 3" xfId="35339" xr:uid="{00000000-0005-0000-0000-000042150000}"/>
    <cellStyle name="20% - Accent2 3 5 3 2 5" xfId="15923" xr:uid="{00000000-0005-0000-0000-000043150000}"/>
    <cellStyle name="20% - Accent2 3 5 3 2 5 2" xfId="41797" xr:uid="{00000000-0005-0000-0000-000044150000}"/>
    <cellStyle name="20% - Accent2 3 5 3 2 6" xfId="28849" xr:uid="{00000000-0005-0000-0000-000045150000}"/>
    <cellStyle name="20% - Accent2 3 5 3 3" xfId="3786" xr:uid="{00000000-0005-0000-0000-000046150000}"/>
    <cellStyle name="20% - Accent2 3 5 3 3 2" xfId="7040" xr:uid="{00000000-0005-0000-0000-000047150000}"/>
    <cellStyle name="20% - Accent2 3 5 3 3 2 2" xfId="13499" xr:uid="{00000000-0005-0000-0000-000048150000}"/>
    <cellStyle name="20% - Accent2 3 5 3 3 2 2 2" xfId="26416" xr:uid="{00000000-0005-0000-0000-000049150000}"/>
    <cellStyle name="20% - Accent2 3 5 3 3 2 2 2 2" xfId="52290" xr:uid="{00000000-0005-0000-0000-00004A150000}"/>
    <cellStyle name="20% - Accent2 3 5 3 3 2 2 3" xfId="39374" xr:uid="{00000000-0005-0000-0000-00004B150000}"/>
    <cellStyle name="20% - Accent2 3 5 3 3 2 3" xfId="19958" xr:uid="{00000000-0005-0000-0000-00004C150000}"/>
    <cellStyle name="20% - Accent2 3 5 3 3 2 3 2" xfId="45832" xr:uid="{00000000-0005-0000-0000-00004D150000}"/>
    <cellStyle name="20% - Accent2 3 5 3 3 2 4" xfId="32916" xr:uid="{00000000-0005-0000-0000-00004E150000}"/>
    <cellStyle name="20% - Accent2 3 5 3 3 3" xfId="10271" xr:uid="{00000000-0005-0000-0000-00004F150000}"/>
    <cellStyle name="20% - Accent2 3 5 3 3 3 2" xfId="23188" xr:uid="{00000000-0005-0000-0000-000050150000}"/>
    <cellStyle name="20% - Accent2 3 5 3 3 3 2 2" xfId="49062" xr:uid="{00000000-0005-0000-0000-000051150000}"/>
    <cellStyle name="20% - Accent2 3 5 3 3 3 3" xfId="36146" xr:uid="{00000000-0005-0000-0000-000052150000}"/>
    <cellStyle name="20% - Accent2 3 5 3 3 4" xfId="16730" xr:uid="{00000000-0005-0000-0000-000053150000}"/>
    <cellStyle name="20% - Accent2 3 5 3 3 4 2" xfId="42604" xr:uid="{00000000-0005-0000-0000-000054150000}"/>
    <cellStyle name="20% - Accent2 3 5 3 3 5" xfId="29656" xr:uid="{00000000-0005-0000-0000-000055150000}"/>
    <cellStyle name="20% - Accent2 3 5 3 4" xfId="5426" xr:uid="{00000000-0005-0000-0000-000056150000}"/>
    <cellStyle name="20% - Accent2 3 5 3 4 2" xfId="11885" xr:uid="{00000000-0005-0000-0000-000057150000}"/>
    <cellStyle name="20% - Accent2 3 5 3 4 2 2" xfId="24802" xr:uid="{00000000-0005-0000-0000-000058150000}"/>
    <cellStyle name="20% - Accent2 3 5 3 4 2 2 2" xfId="50676" xr:uid="{00000000-0005-0000-0000-000059150000}"/>
    <cellStyle name="20% - Accent2 3 5 3 4 2 3" xfId="37760" xr:uid="{00000000-0005-0000-0000-00005A150000}"/>
    <cellStyle name="20% - Accent2 3 5 3 4 3" xfId="18344" xr:uid="{00000000-0005-0000-0000-00005B150000}"/>
    <cellStyle name="20% - Accent2 3 5 3 4 3 2" xfId="44218" xr:uid="{00000000-0005-0000-0000-00005C150000}"/>
    <cellStyle name="20% - Accent2 3 5 3 4 4" xfId="31302" xr:uid="{00000000-0005-0000-0000-00005D150000}"/>
    <cellStyle name="20% - Accent2 3 5 3 5" xfId="8657" xr:uid="{00000000-0005-0000-0000-00005E150000}"/>
    <cellStyle name="20% - Accent2 3 5 3 5 2" xfId="21574" xr:uid="{00000000-0005-0000-0000-00005F150000}"/>
    <cellStyle name="20% - Accent2 3 5 3 5 2 2" xfId="47448" xr:uid="{00000000-0005-0000-0000-000060150000}"/>
    <cellStyle name="20% - Accent2 3 5 3 5 3" xfId="34532" xr:uid="{00000000-0005-0000-0000-000061150000}"/>
    <cellStyle name="20% - Accent2 3 5 3 6" xfId="15116" xr:uid="{00000000-0005-0000-0000-000062150000}"/>
    <cellStyle name="20% - Accent2 3 5 3 6 2" xfId="40990" xr:uid="{00000000-0005-0000-0000-000063150000}"/>
    <cellStyle name="20% - Accent2 3 5 3 7" xfId="28042" xr:uid="{00000000-0005-0000-0000-000064150000}"/>
    <cellStyle name="20% - Accent2 3 5 3 8" xfId="53904" xr:uid="{00000000-0005-0000-0000-000065150000}"/>
    <cellStyle name="20% - Accent2 3 5 3 9" xfId="2145" xr:uid="{00000000-0005-0000-0000-000066150000}"/>
    <cellStyle name="20% - Accent2 3 5 4" xfId="2556" xr:uid="{00000000-0005-0000-0000-000067150000}"/>
    <cellStyle name="20% - Accent2 3 5 4 2" xfId="4213" xr:uid="{00000000-0005-0000-0000-000068150000}"/>
    <cellStyle name="20% - Accent2 3 5 4 2 2" xfId="7444" xr:uid="{00000000-0005-0000-0000-000069150000}"/>
    <cellStyle name="20% - Accent2 3 5 4 2 2 2" xfId="13903" xr:uid="{00000000-0005-0000-0000-00006A150000}"/>
    <cellStyle name="20% - Accent2 3 5 4 2 2 2 2" xfId="26820" xr:uid="{00000000-0005-0000-0000-00006B150000}"/>
    <cellStyle name="20% - Accent2 3 5 4 2 2 2 2 2" xfId="52694" xr:uid="{00000000-0005-0000-0000-00006C150000}"/>
    <cellStyle name="20% - Accent2 3 5 4 2 2 2 3" xfId="39778" xr:uid="{00000000-0005-0000-0000-00006D150000}"/>
    <cellStyle name="20% - Accent2 3 5 4 2 2 3" xfId="20362" xr:uid="{00000000-0005-0000-0000-00006E150000}"/>
    <cellStyle name="20% - Accent2 3 5 4 2 2 3 2" xfId="46236" xr:uid="{00000000-0005-0000-0000-00006F150000}"/>
    <cellStyle name="20% - Accent2 3 5 4 2 2 4" xfId="33320" xr:uid="{00000000-0005-0000-0000-000070150000}"/>
    <cellStyle name="20% - Accent2 3 5 4 2 3" xfId="10675" xr:uid="{00000000-0005-0000-0000-000071150000}"/>
    <cellStyle name="20% - Accent2 3 5 4 2 3 2" xfId="23592" xr:uid="{00000000-0005-0000-0000-000072150000}"/>
    <cellStyle name="20% - Accent2 3 5 4 2 3 2 2" xfId="49466" xr:uid="{00000000-0005-0000-0000-000073150000}"/>
    <cellStyle name="20% - Accent2 3 5 4 2 3 3" xfId="36550" xr:uid="{00000000-0005-0000-0000-000074150000}"/>
    <cellStyle name="20% - Accent2 3 5 4 2 4" xfId="17134" xr:uid="{00000000-0005-0000-0000-000075150000}"/>
    <cellStyle name="20% - Accent2 3 5 4 2 4 2" xfId="43008" xr:uid="{00000000-0005-0000-0000-000076150000}"/>
    <cellStyle name="20% - Accent2 3 5 4 2 5" xfId="30060" xr:uid="{00000000-0005-0000-0000-000077150000}"/>
    <cellStyle name="20% - Accent2 3 5 4 3" xfId="5830" xr:uid="{00000000-0005-0000-0000-000078150000}"/>
    <cellStyle name="20% - Accent2 3 5 4 3 2" xfId="12289" xr:uid="{00000000-0005-0000-0000-000079150000}"/>
    <cellStyle name="20% - Accent2 3 5 4 3 2 2" xfId="25206" xr:uid="{00000000-0005-0000-0000-00007A150000}"/>
    <cellStyle name="20% - Accent2 3 5 4 3 2 2 2" xfId="51080" xr:uid="{00000000-0005-0000-0000-00007B150000}"/>
    <cellStyle name="20% - Accent2 3 5 4 3 2 3" xfId="38164" xr:uid="{00000000-0005-0000-0000-00007C150000}"/>
    <cellStyle name="20% - Accent2 3 5 4 3 3" xfId="18748" xr:uid="{00000000-0005-0000-0000-00007D150000}"/>
    <cellStyle name="20% - Accent2 3 5 4 3 3 2" xfId="44622" xr:uid="{00000000-0005-0000-0000-00007E150000}"/>
    <cellStyle name="20% - Accent2 3 5 4 3 4" xfId="31706" xr:uid="{00000000-0005-0000-0000-00007F150000}"/>
    <cellStyle name="20% - Accent2 3 5 4 4" xfId="9061" xr:uid="{00000000-0005-0000-0000-000080150000}"/>
    <cellStyle name="20% - Accent2 3 5 4 4 2" xfId="21978" xr:uid="{00000000-0005-0000-0000-000081150000}"/>
    <cellStyle name="20% - Accent2 3 5 4 4 2 2" xfId="47852" xr:uid="{00000000-0005-0000-0000-000082150000}"/>
    <cellStyle name="20% - Accent2 3 5 4 4 3" xfId="34936" xr:uid="{00000000-0005-0000-0000-000083150000}"/>
    <cellStyle name="20% - Accent2 3 5 4 5" xfId="15520" xr:uid="{00000000-0005-0000-0000-000084150000}"/>
    <cellStyle name="20% - Accent2 3 5 4 5 2" xfId="41394" xr:uid="{00000000-0005-0000-0000-000085150000}"/>
    <cellStyle name="20% - Accent2 3 5 4 6" xfId="28446" xr:uid="{00000000-0005-0000-0000-000086150000}"/>
    <cellStyle name="20% - Accent2 3 5 5" xfId="3381" xr:uid="{00000000-0005-0000-0000-000087150000}"/>
    <cellStyle name="20% - Accent2 3 5 5 2" xfId="6637" xr:uid="{00000000-0005-0000-0000-000088150000}"/>
    <cellStyle name="20% - Accent2 3 5 5 2 2" xfId="13096" xr:uid="{00000000-0005-0000-0000-000089150000}"/>
    <cellStyle name="20% - Accent2 3 5 5 2 2 2" xfId="26013" xr:uid="{00000000-0005-0000-0000-00008A150000}"/>
    <cellStyle name="20% - Accent2 3 5 5 2 2 2 2" xfId="51887" xr:uid="{00000000-0005-0000-0000-00008B150000}"/>
    <cellStyle name="20% - Accent2 3 5 5 2 2 3" xfId="38971" xr:uid="{00000000-0005-0000-0000-00008C150000}"/>
    <cellStyle name="20% - Accent2 3 5 5 2 3" xfId="19555" xr:uid="{00000000-0005-0000-0000-00008D150000}"/>
    <cellStyle name="20% - Accent2 3 5 5 2 3 2" xfId="45429" xr:uid="{00000000-0005-0000-0000-00008E150000}"/>
    <cellStyle name="20% - Accent2 3 5 5 2 4" xfId="32513" xr:uid="{00000000-0005-0000-0000-00008F150000}"/>
    <cellStyle name="20% - Accent2 3 5 5 3" xfId="9868" xr:uid="{00000000-0005-0000-0000-000090150000}"/>
    <cellStyle name="20% - Accent2 3 5 5 3 2" xfId="22785" xr:uid="{00000000-0005-0000-0000-000091150000}"/>
    <cellStyle name="20% - Accent2 3 5 5 3 2 2" xfId="48659" xr:uid="{00000000-0005-0000-0000-000092150000}"/>
    <cellStyle name="20% - Accent2 3 5 5 3 3" xfId="35743" xr:uid="{00000000-0005-0000-0000-000093150000}"/>
    <cellStyle name="20% - Accent2 3 5 5 4" xfId="16327" xr:uid="{00000000-0005-0000-0000-000094150000}"/>
    <cellStyle name="20% - Accent2 3 5 5 4 2" xfId="42201" xr:uid="{00000000-0005-0000-0000-000095150000}"/>
    <cellStyle name="20% - Accent2 3 5 5 5" xfId="29253" xr:uid="{00000000-0005-0000-0000-000096150000}"/>
    <cellStyle name="20% - Accent2 3 5 6" xfId="5023" xr:uid="{00000000-0005-0000-0000-000097150000}"/>
    <cellStyle name="20% - Accent2 3 5 6 2" xfId="11482" xr:uid="{00000000-0005-0000-0000-000098150000}"/>
    <cellStyle name="20% - Accent2 3 5 6 2 2" xfId="24399" xr:uid="{00000000-0005-0000-0000-000099150000}"/>
    <cellStyle name="20% - Accent2 3 5 6 2 2 2" xfId="50273" xr:uid="{00000000-0005-0000-0000-00009A150000}"/>
    <cellStyle name="20% - Accent2 3 5 6 2 3" xfId="37357" xr:uid="{00000000-0005-0000-0000-00009B150000}"/>
    <cellStyle name="20% - Accent2 3 5 6 3" xfId="17941" xr:uid="{00000000-0005-0000-0000-00009C150000}"/>
    <cellStyle name="20% - Accent2 3 5 6 3 2" xfId="43815" xr:uid="{00000000-0005-0000-0000-00009D150000}"/>
    <cellStyle name="20% - Accent2 3 5 6 4" xfId="30899" xr:uid="{00000000-0005-0000-0000-00009E150000}"/>
    <cellStyle name="20% - Accent2 3 5 7" xfId="8253" xr:uid="{00000000-0005-0000-0000-00009F150000}"/>
    <cellStyle name="20% - Accent2 3 5 7 2" xfId="21170" xr:uid="{00000000-0005-0000-0000-0000A0150000}"/>
    <cellStyle name="20% - Accent2 3 5 7 2 2" xfId="47044" xr:uid="{00000000-0005-0000-0000-0000A1150000}"/>
    <cellStyle name="20% - Accent2 3 5 7 3" xfId="34128" xr:uid="{00000000-0005-0000-0000-0000A2150000}"/>
    <cellStyle name="20% - Accent2 3 5 8" xfId="14712" xr:uid="{00000000-0005-0000-0000-0000A3150000}"/>
    <cellStyle name="20% - Accent2 3 5 8 2" xfId="40586" xr:uid="{00000000-0005-0000-0000-0000A4150000}"/>
    <cellStyle name="20% - Accent2 3 5 9" xfId="27636" xr:uid="{00000000-0005-0000-0000-0000A5150000}"/>
    <cellStyle name="20% - Accent2 3 6" xfId="540" xr:uid="{00000000-0005-0000-0000-0000A6150000}"/>
    <cellStyle name="20% - Accent2 3 7" xfId="525" xr:uid="{00000000-0005-0000-0000-0000A7150000}"/>
    <cellStyle name="20% - Accent2 3 8" xfId="1045" xr:uid="{00000000-0005-0000-0000-0000A8150000}"/>
    <cellStyle name="20% - Accent2 4" xfId="482" xr:uid="{00000000-0005-0000-0000-0000A9150000}"/>
    <cellStyle name="20% - Accent2 4 2" xfId="542" xr:uid="{00000000-0005-0000-0000-0000AA150000}"/>
    <cellStyle name="20% - Accent2 4 3" xfId="541" xr:uid="{00000000-0005-0000-0000-0000AB150000}"/>
    <cellStyle name="20% - Accent2 4 4" xfId="1046" xr:uid="{00000000-0005-0000-0000-0000AC150000}"/>
    <cellStyle name="20% - Accent2 5" xfId="393" xr:uid="{00000000-0005-0000-0000-0000AD150000}"/>
    <cellStyle name="20% - Accent2 5 2" xfId="544" xr:uid="{00000000-0005-0000-0000-0000AE150000}"/>
    <cellStyle name="20% - Accent2 5 3" xfId="543" xr:uid="{00000000-0005-0000-0000-0000AF150000}"/>
    <cellStyle name="20% - Accent2 5 4" xfId="1047" xr:uid="{00000000-0005-0000-0000-0000B0150000}"/>
    <cellStyle name="20% - Accent2 6" xfId="545" xr:uid="{00000000-0005-0000-0000-0000B1150000}"/>
    <cellStyle name="20% - Accent2 6 2" xfId="1048" xr:uid="{00000000-0005-0000-0000-0000B2150000}"/>
    <cellStyle name="20% - Accent2 7" xfId="520" xr:uid="{00000000-0005-0000-0000-0000B3150000}"/>
    <cellStyle name="20% - Accent2 7 2" xfId="1050" xr:uid="{00000000-0005-0000-0000-0000B4150000}"/>
    <cellStyle name="20% - Accent2 7 3" xfId="1051" xr:uid="{00000000-0005-0000-0000-0000B5150000}"/>
    <cellStyle name="20% - Accent2 7 3 10" xfId="27580" xr:uid="{00000000-0005-0000-0000-0000B6150000}"/>
    <cellStyle name="20% - Accent2 7 3 11" xfId="53446" xr:uid="{00000000-0005-0000-0000-0000B7150000}"/>
    <cellStyle name="20% - Accent2 7 3 2" xfId="1739" xr:uid="{00000000-0005-0000-0000-0000B8150000}"/>
    <cellStyle name="20% - Accent2 7 3 2 10" xfId="53596" xr:uid="{00000000-0005-0000-0000-0000B9150000}"/>
    <cellStyle name="20% - Accent2 7 3 2 2" xfId="2005" xr:uid="{00000000-0005-0000-0000-0000BA150000}"/>
    <cellStyle name="20% - Accent2 7 3 2 2 2" xfId="2436" xr:uid="{00000000-0005-0000-0000-0000BB150000}"/>
    <cellStyle name="20% - Accent2 7 3 2 2 2 2" xfId="3249" xr:uid="{00000000-0005-0000-0000-0000BC150000}"/>
    <cellStyle name="20% - Accent2 7 3 2 2 2 2 2" xfId="4906" xr:uid="{00000000-0005-0000-0000-0000BD150000}"/>
    <cellStyle name="20% - Accent2 7 3 2 2 2 2 2 2" xfId="8137" xr:uid="{00000000-0005-0000-0000-0000BE150000}"/>
    <cellStyle name="20% - Accent2 7 3 2 2 2 2 2 2 2" xfId="14596" xr:uid="{00000000-0005-0000-0000-0000BF150000}"/>
    <cellStyle name="20% - Accent2 7 3 2 2 2 2 2 2 2 2" xfId="27513" xr:uid="{00000000-0005-0000-0000-0000C0150000}"/>
    <cellStyle name="20% - Accent2 7 3 2 2 2 2 2 2 2 2 2" xfId="53387" xr:uid="{00000000-0005-0000-0000-0000C1150000}"/>
    <cellStyle name="20% - Accent2 7 3 2 2 2 2 2 2 2 3" xfId="40471" xr:uid="{00000000-0005-0000-0000-0000C2150000}"/>
    <cellStyle name="20% - Accent2 7 3 2 2 2 2 2 2 3" xfId="21055" xr:uid="{00000000-0005-0000-0000-0000C3150000}"/>
    <cellStyle name="20% - Accent2 7 3 2 2 2 2 2 2 3 2" xfId="46929" xr:uid="{00000000-0005-0000-0000-0000C4150000}"/>
    <cellStyle name="20% - Accent2 7 3 2 2 2 2 2 2 4" xfId="34013" xr:uid="{00000000-0005-0000-0000-0000C5150000}"/>
    <cellStyle name="20% - Accent2 7 3 2 2 2 2 2 3" xfId="11368" xr:uid="{00000000-0005-0000-0000-0000C6150000}"/>
    <cellStyle name="20% - Accent2 7 3 2 2 2 2 2 3 2" xfId="24285" xr:uid="{00000000-0005-0000-0000-0000C7150000}"/>
    <cellStyle name="20% - Accent2 7 3 2 2 2 2 2 3 2 2" xfId="50159" xr:uid="{00000000-0005-0000-0000-0000C8150000}"/>
    <cellStyle name="20% - Accent2 7 3 2 2 2 2 2 3 3" xfId="37243" xr:uid="{00000000-0005-0000-0000-0000C9150000}"/>
    <cellStyle name="20% - Accent2 7 3 2 2 2 2 2 4" xfId="17827" xr:uid="{00000000-0005-0000-0000-0000CA150000}"/>
    <cellStyle name="20% - Accent2 7 3 2 2 2 2 2 4 2" xfId="43701" xr:uid="{00000000-0005-0000-0000-0000CB150000}"/>
    <cellStyle name="20% - Accent2 7 3 2 2 2 2 2 5" xfId="30753" xr:uid="{00000000-0005-0000-0000-0000CC150000}"/>
    <cellStyle name="20% - Accent2 7 3 2 2 2 2 3" xfId="6523" xr:uid="{00000000-0005-0000-0000-0000CD150000}"/>
    <cellStyle name="20% - Accent2 7 3 2 2 2 2 3 2" xfId="12982" xr:uid="{00000000-0005-0000-0000-0000CE150000}"/>
    <cellStyle name="20% - Accent2 7 3 2 2 2 2 3 2 2" xfId="25899" xr:uid="{00000000-0005-0000-0000-0000CF150000}"/>
    <cellStyle name="20% - Accent2 7 3 2 2 2 2 3 2 2 2" xfId="51773" xr:uid="{00000000-0005-0000-0000-0000D0150000}"/>
    <cellStyle name="20% - Accent2 7 3 2 2 2 2 3 2 3" xfId="38857" xr:uid="{00000000-0005-0000-0000-0000D1150000}"/>
    <cellStyle name="20% - Accent2 7 3 2 2 2 2 3 3" xfId="19441" xr:uid="{00000000-0005-0000-0000-0000D2150000}"/>
    <cellStyle name="20% - Accent2 7 3 2 2 2 2 3 3 2" xfId="45315" xr:uid="{00000000-0005-0000-0000-0000D3150000}"/>
    <cellStyle name="20% - Accent2 7 3 2 2 2 2 3 4" xfId="32399" xr:uid="{00000000-0005-0000-0000-0000D4150000}"/>
    <cellStyle name="20% - Accent2 7 3 2 2 2 2 4" xfId="9754" xr:uid="{00000000-0005-0000-0000-0000D5150000}"/>
    <cellStyle name="20% - Accent2 7 3 2 2 2 2 4 2" xfId="22671" xr:uid="{00000000-0005-0000-0000-0000D6150000}"/>
    <cellStyle name="20% - Accent2 7 3 2 2 2 2 4 2 2" xfId="48545" xr:uid="{00000000-0005-0000-0000-0000D7150000}"/>
    <cellStyle name="20% - Accent2 7 3 2 2 2 2 4 3" xfId="35629" xr:uid="{00000000-0005-0000-0000-0000D8150000}"/>
    <cellStyle name="20% - Accent2 7 3 2 2 2 2 5" xfId="16213" xr:uid="{00000000-0005-0000-0000-0000D9150000}"/>
    <cellStyle name="20% - Accent2 7 3 2 2 2 2 5 2" xfId="42087" xr:uid="{00000000-0005-0000-0000-0000DA150000}"/>
    <cellStyle name="20% - Accent2 7 3 2 2 2 2 6" xfId="29139" xr:uid="{00000000-0005-0000-0000-0000DB150000}"/>
    <cellStyle name="20% - Accent2 7 3 2 2 2 3" xfId="4076" xr:uid="{00000000-0005-0000-0000-0000DC150000}"/>
    <cellStyle name="20% - Accent2 7 3 2 2 2 3 2" xfId="7330" xr:uid="{00000000-0005-0000-0000-0000DD150000}"/>
    <cellStyle name="20% - Accent2 7 3 2 2 2 3 2 2" xfId="13789" xr:uid="{00000000-0005-0000-0000-0000DE150000}"/>
    <cellStyle name="20% - Accent2 7 3 2 2 2 3 2 2 2" xfId="26706" xr:uid="{00000000-0005-0000-0000-0000DF150000}"/>
    <cellStyle name="20% - Accent2 7 3 2 2 2 3 2 2 2 2" xfId="52580" xr:uid="{00000000-0005-0000-0000-0000E0150000}"/>
    <cellStyle name="20% - Accent2 7 3 2 2 2 3 2 2 3" xfId="39664" xr:uid="{00000000-0005-0000-0000-0000E1150000}"/>
    <cellStyle name="20% - Accent2 7 3 2 2 2 3 2 3" xfId="20248" xr:uid="{00000000-0005-0000-0000-0000E2150000}"/>
    <cellStyle name="20% - Accent2 7 3 2 2 2 3 2 3 2" xfId="46122" xr:uid="{00000000-0005-0000-0000-0000E3150000}"/>
    <cellStyle name="20% - Accent2 7 3 2 2 2 3 2 4" xfId="33206" xr:uid="{00000000-0005-0000-0000-0000E4150000}"/>
    <cellStyle name="20% - Accent2 7 3 2 2 2 3 3" xfId="10561" xr:uid="{00000000-0005-0000-0000-0000E5150000}"/>
    <cellStyle name="20% - Accent2 7 3 2 2 2 3 3 2" xfId="23478" xr:uid="{00000000-0005-0000-0000-0000E6150000}"/>
    <cellStyle name="20% - Accent2 7 3 2 2 2 3 3 2 2" xfId="49352" xr:uid="{00000000-0005-0000-0000-0000E7150000}"/>
    <cellStyle name="20% - Accent2 7 3 2 2 2 3 3 3" xfId="36436" xr:uid="{00000000-0005-0000-0000-0000E8150000}"/>
    <cellStyle name="20% - Accent2 7 3 2 2 2 3 4" xfId="17020" xr:uid="{00000000-0005-0000-0000-0000E9150000}"/>
    <cellStyle name="20% - Accent2 7 3 2 2 2 3 4 2" xfId="42894" xr:uid="{00000000-0005-0000-0000-0000EA150000}"/>
    <cellStyle name="20% - Accent2 7 3 2 2 2 3 5" xfId="29946" xr:uid="{00000000-0005-0000-0000-0000EB150000}"/>
    <cellStyle name="20% - Accent2 7 3 2 2 2 4" xfId="5716" xr:uid="{00000000-0005-0000-0000-0000EC150000}"/>
    <cellStyle name="20% - Accent2 7 3 2 2 2 4 2" xfId="12175" xr:uid="{00000000-0005-0000-0000-0000ED150000}"/>
    <cellStyle name="20% - Accent2 7 3 2 2 2 4 2 2" xfId="25092" xr:uid="{00000000-0005-0000-0000-0000EE150000}"/>
    <cellStyle name="20% - Accent2 7 3 2 2 2 4 2 2 2" xfId="50966" xr:uid="{00000000-0005-0000-0000-0000EF150000}"/>
    <cellStyle name="20% - Accent2 7 3 2 2 2 4 2 3" xfId="38050" xr:uid="{00000000-0005-0000-0000-0000F0150000}"/>
    <cellStyle name="20% - Accent2 7 3 2 2 2 4 3" xfId="18634" xr:uid="{00000000-0005-0000-0000-0000F1150000}"/>
    <cellStyle name="20% - Accent2 7 3 2 2 2 4 3 2" xfId="44508" xr:uid="{00000000-0005-0000-0000-0000F2150000}"/>
    <cellStyle name="20% - Accent2 7 3 2 2 2 4 4" xfId="31592" xr:uid="{00000000-0005-0000-0000-0000F3150000}"/>
    <cellStyle name="20% - Accent2 7 3 2 2 2 5" xfId="8947" xr:uid="{00000000-0005-0000-0000-0000F4150000}"/>
    <cellStyle name="20% - Accent2 7 3 2 2 2 5 2" xfId="21864" xr:uid="{00000000-0005-0000-0000-0000F5150000}"/>
    <cellStyle name="20% - Accent2 7 3 2 2 2 5 2 2" xfId="47738" xr:uid="{00000000-0005-0000-0000-0000F6150000}"/>
    <cellStyle name="20% - Accent2 7 3 2 2 2 5 3" xfId="34822" xr:uid="{00000000-0005-0000-0000-0000F7150000}"/>
    <cellStyle name="20% - Accent2 7 3 2 2 2 6" xfId="15406" xr:uid="{00000000-0005-0000-0000-0000F8150000}"/>
    <cellStyle name="20% - Accent2 7 3 2 2 2 6 2" xfId="41280" xr:uid="{00000000-0005-0000-0000-0000F9150000}"/>
    <cellStyle name="20% - Accent2 7 3 2 2 2 7" xfId="28332" xr:uid="{00000000-0005-0000-0000-0000FA150000}"/>
    <cellStyle name="20% - Accent2 7 3 2 2 2 8" xfId="54194" xr:uid="{00000000-0005-0000-0000-0000FB150000}"/>
    <cellStyle name="20% - Accent2 7 3 2 2 3" xfId="2845" xr:uid="{00000000-0005-0000-0000-0000FC150000}"/>
    <cellStyle name="20% - Accent2 7 3 2 2 3 2" xfId="4502" xr:uid="{00000000-0005-0000-0000-0000FD150000}"/>
    <cellStyle name="20% - Accent2 7 3 2 2 3 2 2" xfId="7733" xr:uid="{00000000-0005-0000-0000-0000FE150000}"/>
    <cellStyle name="20% - Accent2 7 3 2 2 3 2 2 2" xfId="14192" xr:uid="{00000000-0005-0000-0000-0000FF150000}"/>
    <cellStyle name="20% - Accent2 7 3 2 2 3 2 2 2 2" xfId="27109" xr:uid="{00000000-0005-0000-0000-000000160000}"/>
    <cellStyle name="20% - Accent2 7 3 2 2 3 2 2 2 2 2" xfId="52983" xr:uid="{00000000-0005-0000-0000-000001160000}"/>
    <cellStyle name="20% - Accent2 7 3 2 2 3 2 2 2 3" xfId="40067" xr:uid="{00000000-0005-0000-0000-000002160000}"/>
    <cellStyle name="20% - Accent2 7 3 2 2 3 2 2 3" xfId="20651" xr:uid="{00000000-0005-0000-0000-000003160000}"/>
    <cellStyle name="20% - Accent2 7 3 2 2 3 2 2 3 2" xfId="46525" xr:uid="{00000000-0005-0000-0000-000004160000}"/>
    <cellStyle name="20% - Accent2 7 3 2 2 3 2 2 4" xfId="33609" xr:uid="{00000000-0005-0000-0000-000005160000}"/>
    <cellStyle name="20% - Accent2 7 3 2 2 3 2 3" xfId="10964" xr:uid="{00000000-0005-0000-0000-000006160000}"/>
    <cellStyle name="20% - Accent2 7 3 2 2 3 2 3 2" xfId="23881" xr:uid="{00000000-0005-0000-0000-000007160000}"/>
    <cellStyle name="20% - Accent2 7 3 2 2 3 2 3 2 2" xfId="49755" xr:uid="{00000000-0005-0000-0000-000008160000}"/>
    <cellStyle name="20% - Accent2 7 3 2 2 3 2 3 3" xfId="36839" xr:uid="{00000000-0005-0000-0000-000009160000}"/>
    <cellStyle name="20% - Accent2 7 3 2 2 3 2 4" xfId="17423" xr:uid="{00000000-0005-0000-0000-00000A160000}"/>
    <cellStyle name="20% - Accent2 7 3 2 2 3 2 4 2" xfId="43297" xr:uid="{00000000-0005-0000-0000-00000B160000}"/>
    <cellStyle name="20% - Accent2 7 3 2 2 3 2 5" xfId="30349" xr:uid="{00000000-0005-0000-0000-00000C160000}"/>
    <cellStyle name="20% - Accent2 7 3 2 2 3 3" xfId="6119" xr:uid="{00000000-0005-0000-0000-00000D160000}"/>
    <cellStyle name="20% - Accent2 7 3 2 2 3 3 2" xfId="12578" xr:uid="{00000000-0005-0000-0000-00000E160000}"/>
    <cellStyle name="20% - Accent2 7 3 2 2 3 3 2 2" xfId="25495" xr:uid="{00000000-0005-0000-0000-00000F160000}"/>
    <cellStyle name="20% - Accent2 7 3 2 2 3 3 2 2 2" xfId="51369" xr:uid="{00000000-0005-0000-0000-000010160000}"/>
    <cellStyle name="20% - Accent2 7 3 2 2 3 3 2 3" xfId="38453" xr:uid="{00000000-0005-0000-0000-000011160000}"/>
    <cellStyle name="20% - Accent2 7 3 2 2 3 3 3" xfId="19037" xr:uid="{00000000-0005-0000-0000-000012160000}"/>
    <cellStyle name="20% - Accent2 7 3 2 2 3 3 3 2" xfId="44911" xr:uid="{00000000-0005-0000-0000-000013160000}"/>
    <cellStyle name="20% - Accent2 7 3 2 2 3 3 4" xfId="31995" xr:uid="{00000000-0005-0000-0000-000014160000}"/>
    <cellStyle name="20% - Accent2 7 3 2 2 3 4" xfId="9350" xr:uid="{00000000-0005-0000-0000-000015160000}"/>
    <cellStyle name="20% - Accent2 7 3 2 2 3 4 2" xfId="22267" xr:uid="{00000000-0005-0000-0000-000016160000}"/>
    <cellStyle name="20% - Accent2 7 3 2 2 3 4 2 2" xfId="48141" xr:uid="{00000000-0005-0000-0000-000017160000}"/>
    <cellStyle name="20% - Accent2 7 3 2 2 3 4 3" xfId="35225" xr:uid="{00000000-0005-0000-0000-000018160000}"/>
    <cellStyle name="20% - Accent2 7 3 2 2 3 5" xfId="15809" xr:uid="{00000000-0005-0000-0000-000019160000}"/>
    <cellStyle name="20% - Accent2 7 3 2 2 3 5 2" xfId="41683" xr:uid="{00000000-0005-0000-0000-00001A160000}"/>
    <cellStyle name="20% - Accent2 7 3 2 2 3 6" xfId="28735" xr:uid="{00000000-0005-0000-0000-00001B160000}"/>
    <cellStyle name="20% - Accent2 7 3 2 2 4" xfId="3672" xr:uid="{00000000-0005-0000-0000-00001C160000}"/>
    <cellStyle name="20% - Accent2 7 3 2 2 4 2" xfId="6926" xr:uid="{00000000-0005-0000-0000-00001D160000}"/>
    <cellStyle name="20% - Accent2 7 3 2 2 4 2 2" xfId="13385" xr:uid="{00000000-0005-0000-0000-00001E160000}"/>
    <cellStyle name="20% - Accent2 7 3 2 2 4 2 2 2" xfId="26302" xr:uid="{00000000-0005-0000-0000-00001F160000}"/>
    <cellStyle name="20% - Accent2 7 3 2 2 4 2 2 2 2" xfId="52176" xr:uid="{00000000-0005-0000-0000-000020160000}"/>
    <cellStyle name="20% - Accent2 7 3 2 2 4 2 2 3" xfId="39260" xr:uid="{00000000-0005-0000-0000-000021160000}"/>
    <cellStyle name="20% - Accent2 7 3 2 2 4 2 3" xfId="19844" xr:uid="{00000000-0005-0000-0000-000022160000}"/>
    <cellStyle name="20% - Accent2 7 3 2 2 4 2 3 2" xfId="45718" xr:uid="{00000000-0005-0000-0000-000023160000}"/>
    <cellStyle name="20% - Accent2 7 3 2 2 4 2 4" xfId="32802" xr:uid="{00000000-0005-0000-0000-000024160000}"/>
    <cellStyle name="20% - Accent2 7 3 2 2 4 3" xfId="10157" xr:uid="{00000000-0005-0000-0000-000025160000}"/>
    <cellStyle name="20% - Accent2 7 3 2 2 4 3 2" xfId="23074" xr:uid="{00000000-0005-0000-0000-000026160000}"/>
    <cellStyle name="20% - Accent2 7 3 2 2 4 3 2 2" xfId="48948" xr:uid="{00000000-0005-0000-0000-000027160000}"/>
    <cellStyle name="20% - Accent2 7 3 2 2 4 3 3" xfId="36032" xr:uid="{00000000-0005-0000-0000-000028160000}"/>
    <cellStyle name="20% - Accent2 7 3 2 2 4 4" xfId="16616" xr:uid="{00000000-0005-0000-0000-000029160000}"/>
    <cellStyle name="20% - Accent2 7 3 2 2 4 4 2" xfId="42490" xr:uid="{00000000-0005-0000-0000-00002A160000}"/>
    <cellStyle name="20% - Accent2 7 3 2 2 4 5" xfId="29542" xr:uid="{00000000-0005-0000-0000-00002B160000}"/>
    <cellStyle name="20% - Accent2 7 3 2 2 5" xfId="5312" xr:uid="{00000000-0005-0000-0000-00002C160000}"/>
    <cellStyle name="20% - Accent2 7 3 2 2 5 2" xfId="11771" xr:uid="{00000000-0005-0000-0000-00002D160000}"/>
    <cellStyle name="20% - Accent2 7 3 2 2 5 2 2" xfId="24688" xr:uid="{00000000-0005-0000-0000-00002E160000}"/>
    <cellStyle name="20% - Accent2 7 3 2 2 5 2 2 2" xfId="50562" xr:uid="{00000000-0005-0000-0000-00002F160000}"/>
    <cellStyle name="20% - Accent2 7 3 2 2 5 2 3" xfId="37646" xr:uid="{00000000-0005-0000-0000-000030160000}"/>
    <cellStyle name="20% - Accent2 7 3 2 2 5 3" xfId="18230" xr:uid="{00000000-0005-0000-0000-000031160000}"/>
    <cellStyle name="20% - Accent2 7 3 2 2 5 3 2" xfId="44104" xr:uid="{00000000-0005-0000-0000-000032160000}"/>
    <cellStyle name="20% - Accent2 7 3 2 2 5 4" xfId="31188" xr:uid="{00000000-0005-0000-0000-000033160000}"/>
    <cellStyle name="20% - Accent2 7 3 2 2 6" xfId="8543" xr:uid="{00000000-0005-0000-0000-000034160000}"/>
    <cellStyle name="20% - Accent2 7 3 2 2 6 2" xfId="21460" xr:uid="{00000000-0005-0000-0000-000035160000}"/>
    <cellStyle name="20% - Accent2 7 3 2 2 6 2 2" xfId="47334" xr:uid="{00000000-0005-0000-0000-000036160000}"/>
    <cellStyle name="20% - Accent2 7 3 2 2 6 3" xfId="34418" xr:uid="{00000000-0005-0000-0000-000037160000}"/>
    <cellStyle name="20% - Accent2 7 3 2 2 7" xfId="15002" xr:uid="{00000000-0005-0000-0000-000038160000}"/>
    <cellStyle name="20% - Accent2 7 3 2 2 7 2" xfId="40876" xr:uid="{00000000-0005-0000-0000-000039160000}"/>
    <cellStyle name="20% - Accent2 7 3 2 2 8" xfId="27927" xr:uid="{00000000-0005-0000-0000-00003A160000}"/>
    <cellStyle name="20% - Accent2 7 3 2 2 9" xfId="53790" xr:uid="{00000000-0005-0000-0000-00003B160000}"/>
    <cellStyle name="20% - Accent2 7 3 2 3" xfId="2240" xr:uid="{00000000-0005-0000-0000-00003C160000}"/>
    <cellStyle name="20% - Accent2 7 3 2 3 2" xfId="3054" xr:uid="{00000000-0005-0000-0000-00003D160000}"/>
    <cellStyle name="20% - Accent2 7 3 2 3 2 2" xfId="4711" xr:uid="{00000000-0005-0000-0000-00003E160000}"/>
    <cellStyle name="20% - Accent2 7 3 2 3 2 2 2" xfId="7942" xr:uid="{00000000-0005-0000-0000-00003F160000}"/>
    <cellStyle name="20% - Accent2 7 3 2 3 2 2 2 2" xfId="14401" xr:uid="{00000000-0005-0000-0000-000040160000}"/>
    <cellStyle name="20% - Accent2 7 3 2 3 2 2 2 2 2" xfId="27318" xr:uid="{00000000-0005-0000-0000-000041160000}"/>
    <cellStyle name="20% - Accent2 7 3 2 3 2 2 2 2 2 2" xfId="53192" xr:uid="{00000000-0005-0000-0000-000042160000}"/>
    <cellStyle name="20% - Accent2 7 3 2 3 2 2 2 2 3" xfId="40276" xr:uid="{00000000-0005-0000-0000-000043160000}"/>
    <cellStyle name="20% - Accent2 7 3 2 3 2 2 2 3" xfId="20860" xr:uid="{00000000-0005-0000-0000-000044160000}"/>
    <cellStyle name="20% - Accent2 7 3 2 3 2 2 2 3 2" xfId="46734" xr:uid="{00000000-0005-0000-0000-000045160000}"/>
    <cellStyle name="20% - Accent2 7 3 2 3 2 2 2 4" xfId="33818" xr:uid="{00000000-0005-0000-0000-000046160000}"/>
    <cellStyle name="20% - Accent2 7 3 2 3 2 2 3" xfId="11173" xr:uid="{00000000-0005-0000-0000-000047160000}"/>
    <cellStyle name="20% - Accent2 7 3 2 3 2 2 3 2" xfId="24090" xr:uid="{00000000-0005-0000-0000-000048160000}"/>
    <cellStyle name="20% - Accent2 7 3 2 3 2 2 3 2 2" xfId="49964" xr:uid="{00000000-0005-0000-0000-000049160000}"/>
    <cellStyle name="20% - Accent2 7 3 2 3 2 2 3 3" xfId="37048" xr:uid="{00000000-0005-0000-0000-00004A160000}"/>
    <cellStyle name="20% - Accent2 7 3 2 3 2 2 4" xfId="17632" xr:uid="{00000000-0005-0000-0000-00004B160000}"/>
    <cellStyle name="20% - Accent2 7 3 2 3 2 2 4 2" xfId="43506" xr:uid="{00000000-0005-0000-0000-00004C160000}"/>
    <cellStyle name="20% - Accent2 7 3 2 3 2 2 5" xfId="30558" xr:uid="{00000000-0005-0000-0000-00004D160000}"/>
    <cellStyle name="20% - Accent2 7 3 2 3 2 3" xfId="6328" xr:uid="{00000000-0005-0000-0000-00004E160000}"/>
    <cellStyle name="20% - Accent2 7 3 2 3 2 3 2" xfId="12787" xr:uid="{00000000-0005-0000-0000-00004F160000}"/>
    <cellStyle name="20% - Accent2 7 3 2 3 2 3 2 2" xfId="25704" xr:uid="{00000000-0005-0000-0000-000050160000}"/>
    <cellStyle name="20% - Accent2 7 3 2 3 2 3 2 2 2" xfId="51578" xr:uid="{00000000-0005-0000-0000-000051160000}"/>
    <cellStyle name="20% - Accent2 7 3 2 3 2 3 2 3" xfId="38662" xr:uid="{00000000-0005-0000-0000-000052160000}"/>
    <cellStyle name="20% - Accent2 7 3 2 3 2 3 3" xfId="19246" xr:uid="{00000000-0005-0000-0000-000053160000}"/>
    <cellStyle name="20% - Accent2 7 3 2 3 2 3 3 2" xfId="45120" xr:uid="{00000000-0005-0000-0000-000054160000}"/>
    <cellStyle name="20% - Accent2 7 3 2 3 2 3 4" xfId="32204" xr:uid="{00000000-0005-0000-0000-000055160000}"/>
    <cellStyle name="20% - Accent2 7 3 2 3 2 4" xfId="9559" xr:uid="{00000000-0005-0000-0000-000056160000}"/>
    <cellStyle name="20% - Accent2 7 3 2 3 2 4 2" xfId="22476" xr:uid="{00000000-0005-0000-0000-000057160000}"/>
    <cellStyle name="20% - Accent2 7 3 2 3 2 4 2 2" xfId="48350" xr:uid="{00000000-0005-0000-0000-000058160000}"/>
    <cellStyle name="20% - Accent2 7 3 2 3 2 4 3" xfId="35434" xr:uid="{00000000-0005-0000-0000-000059160000}"/>
    <cellStyle name="20% - Accent2 7 3 2 3 2 5" xfId="16018" xr:uid="{00000000-0005-0000-0000-00005A160000}"/>
    <cellStyle name="20% - Accent2 7 3 2 3 2 5 2" xfId="41892" xr:uid="{00000000-0005-0000-0000-00005B160000}"/>
    <cellStyle name="20% - Accent2 7 3 2 3 2 6" xfId="28944" xr:uid="{00000000-0005-0000-0000-00005C160000}"/>
    <cellStyle name="20% - Accent2 7 3 2 3 3" xfId="3881" xr:uid="{00000000-0005-0000-0000-00005D160000}"/>
    <cellStyle name="20% - Accent2 7 3 2 3 3 2" xfId="7135" xr:uid="{00000000-0005-0000-0000-00005E160000}"/>
    <cellStyle name="20% - Accent2 7 3 2 3 3 2 2" xfId="13594" xr:uid="{00000000-0005-0000-0000-00005F160000}"/>
    <cellStyle name="20% - Accent2 7 3 2 3 3 2 2 2" xfId="26511" xr:uid="{00000000-0005-0000-0000-000060160000}"/>
    <cellStyle name="20% - Accent2 7 3 2 3 3 2 2 2 2" xfId="52385" xr:uid="{00000000-0005-0000-0000-000061160000}"/>
    <cellStyle name="20% - Accent2 7 3 2 3 3 2 2 3" xfId="39469" xr:uid="{00000000-0005-0000-0000-000062160000}"/>
    <cellStyle name="20% - Accent2 7 3 2 3 3 2 3" xfId="20053" xr:uid="{00000000-0005-0000-0000-000063160000}"/>
    <cellStyle name="20% - Accent2 7 3 2 3 3 2 3 2" xfId="45927" xr:uid="{00000000-0005-0000-0000-000064160000}"/>
    <cellStyle name="20% - Accent2 7 3 2 3 3 2 4" xfId="33011" xr:uid="{00000000-0005-0000-0000-000065160000}"/>
    <cellStyle name="20% - Accent2 7 3 2 3 3 3" xfId="10366" xr:uid="{00000000-0005-0000-0000-000066160000}"/>
    <cellStyle name="20% - Accent2 7 3 2 3 3 3 2" xfId="23283" xr:uid="{00000000-0005-0000-0000-000067160000}"/>
    <cellStyle name="20% - Accent2 7 3 2 3 3 3 2 2" xfId="49157" xr:uid="{00000000-0005-0000-0000-000068160000}"/>
    <cellStyle name="20% - Accent2 7 3 2 3 3 3 3" xfId="36241" xr:uid="{00000000-0005-0000-0000-000069160000}"/>
    <cellStyle name="20% - Accent2 7 3 2 3 3 4" xfId="16825" xr:uid="{00000000-0005-0000-0000-00006A160000}"/>
    <cellStyle name="20% - Accent2 7 3 2 3 3 4 2" xfId="42699" xr:uid="{00000000-0005-0000-0000-00006B160000}"/>
    <cellStyle name="20% - Accent2 7 3 2 3 3 5" xfId="29751" xr:uid="{00000000-0005-0000-0000-00006C160000}"/>
    <cellStyle name="20% - Accent2 7 3 2 3 4" xfId="5521" xr:uid="{00000000-0005-0000-0000-00006D160000}"/>
    <cellStyle name="20% - Accent2 7 3 2 3 4 2" xfId="11980" xr:uid="{00000000-0005-0000-0000-00006E160000}"/>
    <cellStyle name="20% - Accent2 7 3 2 3 4 2 2" xfId="24897" xr:uid="{00000000-0005-0000-0000-00006F160000}"/>
    <cellStyle name="20% - Accent2 7 3 2 3 4 2 2 2" xfId="50771" xr:uid="{00000000-0005-0000-0000-000070160000}"/>
    <cellStyle name="20% - Accent2 7 3 2 3 4 2 3" xfId="37855" xr:uid="{00000000-0005-0000-0000-000071160000}"/>
    <cellStyle name="20% - Accent2 7 3 2 3 4 3" xfId="18439" xr:uid="{00000000-0005-0000-0000-000072160000}"/>
    <cellStyle name="20% - Accent2 7 3 2 3 4 3 2" xfId="44313" xr:uid="{00000000-0005-0000-0000-000073160000}"/>
    <cellStyle name="20% - Accent2 7 3 2 3 4 4" xfId="31397" xr:uid="{00000000-0005-0000-0000-000074160000}"/>
    <cellStyle name="20% - Accent2 7 3 2 3 5" xfId="8752" xr:uid="{00000000-0005-0000-0000-000075160000}"/>
    <cellStyle name="20% - Accent2 7 3 2 3 5 2" xfId="21669" xr:uid="{00000000-0005-0000-0000-000076160000}"/>
    <cellStyle name="20% - Accent2 7 3 2 3 5 2 2" xfId="47543" xr:uid="{00000000-0005-0000-0000-000077160000}"/>
    <cellStyle name="20% - Accent2 7 3 2 3 5 3" xfId="34627" xr:uid="{00000000-0005-0000-0000-000078160000}"/>
    <cellStyle name="20% - Accent2 7 3 2 3 6" xfId="15211" xr:uid="{00000000-0005-0000-0000-000079160000}"/>
    <cellStyle name="20% - Accent2 7 3 2 3 6 2" xfId="41085" xr:uid="{00000000-0005-0000-0000-00007A160000}"/>
    <cellStyle name="20% - Accent2 7 3 2 3 7" xfId="28137" xr:uid="{00000000-0005-0000-0000-00007B160000}"/>
    <cellStyle name="20% - Accent2 7 3 2 3 8" xfId="53999" xr:uid="{00000000-0005-0000-0000-00007C160000}"/>
    <cellStyle name="20% - Accent2 7 3 2 4" xfId="2651" xr:uid="{00000000-0005-0000-0000-00007D160000}"/>
    <cellStyle name="20% - Accent2 7 3 2 4 2" xfId="4308" xr:uid="{00000000-0005-0000-0000-00007E160000}"/>
    <cellStyle name="20% - Accent2 7 3 2 4 2 2" xfId="7539" xr:uid="{00000000-0005-0000-0000-00007F160000}"/>
    <cellStyle name="20% - Accent2 7 3 2 4 2 2 2" xfId="13998" xr:uid="{00000000-0005-0000-0000-000080160000}"/>
    <cellStyle name="20% - Accent2 7 3 2 4 2 2 2 2" xfId="26915" xr:uid="{00000000-0005-0000-0000-000081160000}"/>
    <cellStyle name="20% - Accent2 7 3 2 4 2 2 2 2 2" xfId="52789" xr:uid="{00000000-0005-0000-0000-000082160000}"/>
    <cellStyle name="20% - Accent2 7 3 2 4 2 2 2 3" xfId="39873" xr:uid="{00000000-0005-0000-0000-000083160000}"/>
    <cellStyle name="20% - Accent2 7 3 2 4 2 2 3" xfId="20457" xr:uid="{00000000-0005-0000-0000-000084160000}"/>
    <cellStyle name="20% - Accent2 7 3 2 4 2 2 3 2" xfId="46331" xr:uid="{00000000-0005-0000-0000-000085160000}"/>
    <cellStyle name="20% - Accent2 7 3 2 4 2 2 4" xfId="33415" xr:uid="{00000000-0005-0000-0000-000086160000}"/>
    <cellStyle name="20% - Accent2 7 3 2 4 2 3" xfId="10770" xr:uid="{00000000-0005-0000-0000-000087160000}"/>
    <cellStyle name="20% - Accent2 7 3 2 4 2 3 2" xfId="23687" xr:uid="{00000000-0005-0000-0000-000088160000}"/>
    <cellStyle name="20% - Accent2 7 3 2 4 2 3 2 2" xfId="49561" xr:uid="{00000000-0005-0000-0000-000089160000}"/>
    <cellStyle name="20% - Accent2 7 3 2 4 2 3 3" xfId="36645" xr:uid="{00000000-0005-0000-0000-00008A160000}"/>
    <cellStyle name="20% - Accent2 7 3 2 4 2 4" xfId="17229" xr:uid="{00000000-0005-0000-0000-00008B160000}"/>
    <cellStyle name="20% - Accent2 7 3 2 4 2 4 2" xfId="43103" xr:uid="{00000000-0005-0000-0000-00008C160000}"/>
    <cellStyle name="20% - Accent2 7 3 2 4 2 5" xfId="30155" xr:uid="{00000000-0005-0000-0000-00008D160000}"/>
    <cellStyle name="20% - Accent2 7 3 2 4 3" xfId="5925" xr:uid="{00000000-0005-0000-0000-00008E160000}"/>
    <cellStyle name="20% - Accent2 7 3 2 4 3 2" xfId="12384" xr:uid="{00000000-0005-0000-0000-00008F160000}"/>
    <cellStyle name="20% - Accent2 7 3 2 4 3 2 2" xfId="25301" xr:uid="{00000000-0005-0000-0000-000090160000}"/>
    <cellStyle name="20% - Accent2 7 3 2 4 3 2 2 2" xfId="51175" xr:uid="{00000000-0005-0000-0000-000091160000}"/>
    <cellStyle name="20% - Accent2 7 3 2 4 3 2 3" xfId="38259" xr:uid="{00000000-0005-0000-0000-000092160000}"/>
    <cellStyle name="20% - Accent2 7 3 2 4 3 3" xfId="18843" xr:uid="{00000000-0005-0000-0000-000093160000}"/>
    <cellStyle name="20% - Accent2 7 3 2 4 3 3 2" xfId="44717" xr:uid="{00000000-0005-0000-0000-000094160000}"/>
    <cellStyle name="20% - Accent2 7 3 2 4 3 4" xfId="31801" xr:uid="{00000000-0005-0000-0000-000095160000}"/>
    <cellStyle name="20% - Accent2 7 3 2 4 4" xfId="9156" xr:uid="{00000000-0005-0000-0000-000096160000}"/>
    <cellStyle name="20% - Accent2 7 3 2 4 4 2" xfId="22073" xr:uid="{00000000-0005-0000-0000-000097160000}"/>
    <cellStyle name="20% - Accent2 7 3 2 4 4 2 2" xfId="47947" xr:uid="{00000000-0005-0000-0000-000098160000}"/>
    <cellStyle name="20% - Accent2 7 3 2 4 4 3" xfId="35031" xr:uid="{00000000-0005-0000-0000-000099160000}"/>
    <cellStyle name="20% - Accent2 7 3 2 4 5" xfId="15615" xr:uid="{00000000-0005-0000-0000-00009A160000}"/>
    <cellStyle name="20% - Accent2 7 3 2 4 5 2" xfId="41489" xr:uid="{00000000-0005-0000-0000-00009B160000}"/>
    <cellStyle name="20% - Accent2 7 3 2 4 6" xfId="28541" xr:uid="{00000000-0005-0000-0000-00009C160000}"/>
    <cellStyle name="20% - Accent2 7 3 2 5" xfId="3478" xr:uid="{00000000-0005-0000-0000-00009D160000}"/>
    <cellStyle name="20% - Accent2 7 3 2 5 2" xfId="6732" xr:uid="{00000000-0005-0000-0000-00009E160000}"/>
    <cellStyle name="20% - Accent2 7 3 2 5 2 2" xfId="13191" xr:uid="{00000000-0005-0000-0000-00009F160000}"/>
    <cellStyle name="20% - Accent2 7 3 2 5 2 2 2" xfId="26108" xr:uid="{00000000-0005-0000-0000-0000A0160000}"/>
    <cellStyle name="20% - Accent2 7 3 2 5 2 2 2 2" xfId="51982" xr:uid="{00000000-0005-0000-0000-0000A1160000}"/>
    <cellStyle name="20% - Accent2 7 3 2 5 2 2 3" xfId="39066" xr:uid="{00000000-0005-0000-0000-0000A2160000}"/>
    <cellStyle name="20% - Accent2 7 3 2 5 2 3" xfId="19650" xr:uid="{00000000-0005-0000-0000-0000A3160000}"/>
    <cellStyle name="20% - Accent2 7 3 2 5 2 3 2" xfId="45524" xr:uid="{00000000-0005-0000-0000-0000A4160000}"/>
    <cellStyle name="20% - Accent2 7 3 2 5 2 4" xfId="32608" xr:uid="{00000000-0005-0000-0000-0000A5160000}"/>
    <cellStyle name="20% - Accent2 7 3 2 5 3" xfId="9963" xr:uid="{00000000-0005-0000-0000-0000A6160000}"/>
    <cellStyle name="20% - Accent2 7 3 2 5 3 2" xfId="22880" xr:uid="{00000000-0005-0000-0000-0000A7160000}"/>
    <cellStyle name="20% - Accent2 7 3 2 5 3 2 2" xfId="48754" xr:uid="{00000000-0005-0000-0000-0000A8160000}"/>
    <cellStyle name="20% - Accent2 7 3 2 5 3 3" xfId="35838" xr:uid="{00000000-0005-0000-0000-0000A9160000}"/>
    <cellStyle name="20% - Accent2 7 3 2 5 4" xfId="16422" xr:uid="{00000000-0005-0000-0000-0000AA160000}"/>
    <cellStyle name="20% - Accent2 7 3 2 5 4 2" xfId="42296" xr:uid="{00000000-0005-0000-0000-0000AB160000}"/>
    <cellStyle name="20% - Accent2 7 3 2 5 5" xfId="29348" xr:uid="{00000000-0005-0000-0000-0000AC160000}"/>
    <cellStyle name="20% - Accent2 7 3 2 6" xfId="5118" xr:uid="{00000000-0005-0000-0000-0000AD160000}"/>
    <cellStyle name="20% - Accent2 7 3 2 6 2" xfId="11577" xr:uid="{00000000-0005-0000-0000-0000AE160000}"/>
    <cellStyle name="20% - Accent2 7 3 2 6 2 2" xfId="24494" xr:uid="{00000000-0005-0000-0000-0000AF160000}"/>
    <cellStyle name="20% - Accent2 7 3 2 6 2 2 2" xfId="50368" xr:uid="{00000000-0005-0000-0000-0000B0160000}"/>
    <cellStyle name="20% - Accent2 7 3 2 6 2 3" xfId="37452" xr:uid="{00000000-0005-0000-0000-0000B1160000}"/>
    <cellStyle name="20% - Accent2 7 3 2 6 3" xfId="18036" xr:uid="{00000000-0005-0000-0000-0000B2160000}"/>
    <cellStyle name="20% - Accent2 7 3 2 6 3 2" xfId="43910" xr:uid="{00000000-0005-0000-0000-0000B3160000}"/>
    <cellStyle name="20% - Accent2 7 3 2 6 4" xfId="30994" xr:uid="{00000000-0005-0000-0000-0000B4160000}"/>
    <cellStyle name="20% - Accent2 7 3 2 7" xfId="8348" xr:uid="{00000000-0005-0000-0000-0000B5160000}"/>
    <cellStyle name="20% - Accent2 7 3 2 7 2" xfId="21265" xr:uid="{00000000-0005-0000-0000-0000B6160000}"/>
    <cellStyle name="20% - Accent2 7 3 2 7 2 2" xfId="47139" xr:uid="{00000000-0005-0000-0000-0000B7160000}"/>
    <cellStyle name="20% - Accent2 7 3 2 7 3" xfId="34223" xr:uid="{00000000-0005-0000-0000-0000B8160000}"/>
    <cellStyle name="20% - Accent2 7 3 2 8" xfId="14807" xr:uid="{00000000-0005-0000-0000-0000B9160000}"/>
    <cellStyle name="20% - Accent2 7 3 2 8 2" xfId="40681" xr:uid="{00000000-0005-0000-0000-0000BA160000}"/>
    <cellStyle name="20% - Accent2 7 3 2 9" xfId="27733" xr:uid="{00000000-0005-0000-0000-0000BB160000}"/>
    <cellStyle name="20% - Accent2 7 3 3" xfId="1843" xr:uid="{00000000-0005-0000-0000-0000BC160000}"/>
    <cellStyle name="20% - Accent2 7 3 3 2" xfId="2285" xr:uid="{00000000-0005-0000-0000-0000BD160000}"/>
    <cellStyle name="20% - Accent2 7 3 3 2 2" xfId="3099" xr:uid="{00000000-0005-0000-0000-0000BE160000}"/>
    <cellStyle name="20% - Accent2 7 3 3 2 2 2" xfId="4756" xr:uid="{00000000-0005-0000-0000-0000BF160000}"/>
    <cellStyle name="20% - Accent2 7 3 3 2 2 2 2" xfId="7987" xr:uid="{00000000-0005-0000-0000-0000C0160000}"/>
    <cellStyle name="20% - Accent2 7 3 3 2 2 2 2 2" xfId="14446" xr:uid="{00000000-0005-0000-0000-0000C1160000}"/>
    <cellStyle name="20% - Accent2 7 3 3 2 2 2 2 2 2" xfId="27363" xr:uid="{00000000-0005-0000-0000-0000C2160000}"/>
    <cellStyle name="20% - Accent2 7 3 3 2 2 2 2 2 2 2" xfId="53237" xr:uid="{00000000-0005-0000-0000-0000C3160000}"/>
    <cellStyle name="20% - Accent2 7 3 3 2 2 2 2 2 3" xfId="40321" xr:uid="{00000000-0005-0000-0000-0000C4160000}"/>
    <cellStyle name="20% - Accent2 7 3 3 2 2 2 2 3" xfId="20905" xr:uid="{00000000-0005-0000-0000-0000C5160000}"/>
    <cellStyle name="20% - Accent2 7 3 3 2 2 2 2 3 2" xfId="46779" xr:uid="{00000000-0005-0000-0000-0000C6160000}"/>
    <cellStyle name="20% - Accent2 7 3 3 2 2 2 2 4" xfId="33863" xr:uid="{00000000-0005-0000-0000-0000C7160000}"/>
    <cellStyle name="20% - Accent2 7 3 3 2 2 2 3" xfId="11218" xr:uid="{00000000-0005-0000-0000-0000C8160000}"/>
    <cellStyle name="20% - Accent2 7 3 3 2 2 2 3 2" xfId="24135" xr:uid="{00000000-0005-0000-0000-0000C9160000}"/>
    <cellStyle name="20% - Accent2 7 3 3 2 2 2 3 2 2" xfId="50009" xr:uid="{00000000-0005-0000-0000-0000CA160000}"/>
    <cellStyle name="20% - Accent2 7 3 3 2 2 2 3 3" xfId="37093" xr:uid="{00000000-0005-0000-0000-0000CB160000}"/>
    <cellStyle name="20% - Accent2 7 3 3 2 2 2 4" xfId="17677" xr:uid="{00000000-0005-0000-0000-0000CC160000}"/>
    <cellStyle name="20% - Accent2 7 3 3 2 2 2 4 2" xfId="43551" xr:uid="{00000000-0005-0000-0000-0000CD160000}"/>
    <cellStyle name="20% - Accent2 7 3 3 2 2 2 5" xfId="30603" xr:uid="{00000000-0005-0000-0000-0000CE160000}"/>
    <cellStyle name="20% - Accent2 7 3 3 2 2 3" xfId="6373" xr:uid="{00000000-0005-0000-0000-0000CF160000}"/>
    <cellStyle name="20% - Accent2 7 3 3 2 2 3 2" xfId="12832" xr:uid="{00000000-0005-0000-0000-0000D0160000}"/>
    <cellStyle name="20% - Accent2 7 3 3 2 2 3 2 2" xfId="25749" xr:uid="{00000000-0005-0000-0000-0000D1160000}"/>
    <cellStyle name="20% - Accent2 7 3 3 2 2 3 2 2 2" xfId="51623" xr:uid="{00000000-0005-0000-0000-0000D2160000}"/>
    <cellStyle name="20% - Accent2 7 3 3 2 2 3 2 3" xfId="38707" xr:uid="{00000000-0005-0000-0000-0000D3160000}"/>
    <cellStyle name="20% - Accent2 7 3 3 2 2 3 3" xfId="19291" xr:uid="{00000000-0005-0000-0000-0000D4160000}"/>
    <cellStyle name="20% - Accent2 7 3 3 2 2 3 3 2" xfId="45165" xr:uid="{00000000-0005-0000-0000-0000D5160000}"/>
    <cellStyle name="20% - Accent2 7 3 3 2 2 3 4" xfId="32249" xr:uid="{00000000-0005-0000-0000-0000D6160000}"/>
    <cellStyle name="20% - Accent2 7 3 3 2 2 4" xfId="9604" xr:uid="{00000000-0005-0000-0000-0000D7160000}"/>
    <cellStyle name="20% - Accent2 7 3 3 2 2 4 2" xfId="22521" xr:uid="{00000000-0005-0000-0000-0000D8160000}"/>
    <cellStyle name="20% - Accent2 7 3 3 2 2 4 2 2" xfId="48395" xr:uid="{00000000-0005-0000-0000-0000D9160000}"/>
    <cellStyle name="20% - Accent2 7 3 3 2 2 4 3" xfId="35479" xr:uid="{00000000-0005-0000-0000-0000DA160000}"/>
    <cellStyle name="20% - Accent2 7 3 3 2 2 5" xfId="16063" xr:uid="{00000000-0005-0000-0000-0000DB160000}"/>
    <cellStyle name="20% - Accent2 7 3 3 2 2 5 2" xfId="41937" xr:uid="{00000000-0005-0000-0000-0000DC160000}"/>
    <cellStyle name="20% - Accent2 7 3 3 2 2 6" xfId="28989" xr:uid="{00000000-0005-0000-0000-0000DD160000}"/>
    <cellStyle name="20% - Accent2 7 3 3 2 3" xfId="3926" xr:uid="{00000000-0005-0000-0000-0000DE160000}"/>
    <cellStyle name="20% - Accent2 7 3 3 2 3 2" xfId="7180" xr:uid="{00000000-0005-0000-0000-0000DF160000}"/>
    <cellStyle name="20% - Accent2 7 3 3 2 3 2 2" xfId="13639" xr:uid="{00000000-0005-0000-0000-0000E0160000}"/>
    <cellStyle name="20% - Accent2 7 3 3 2 3 2 2 2" xfId="26556" xr:uid="{00000000-0005-0000-0000-0000E1160000}"/>
    <cellStyle name="20% - Accent2 7 3 3 2 3 2 2 2 2" xfId="52430" xr:uid="{00000000-0005-0000-0000-0000E2160000}"/>
    <cellStyle name="20% - Accent2 7 3 3 2 3 2 2 3" xfId="39514" xr:uid="{00000000-0005-0000-0000-0000E3160000}"/>
    <cellStyle name="20% - Accent2 7 3 3 2 3 2 3" xfId="20098" xr:uid="{00000000-0005-0000-0000-0000E4160000}"/>
    <cellStyle name="20% - Accent2 7 3 3 2 3 2 3 2" xfId="45972" xr:uid="{00000000-0005-0000-0000-0000E5160000}"/>
    <cellStyle name="20% - Accent2 7 3 3 2 3 2 4" xfId="33056" xr:uid="{00000000-0005-0000-0000-0000E6160000}"/>
    <cellStyle name="20% - Accent2 7 3 3 2 3 3" xfId="10411" xr:uid="{00000000-0005-0000-0000-0000E7160000}"/>
    <cellStyle name="20% - Accent2 7 3 3 2 3 3 2" xfId="23328" xr:uid="{00000000-0005-0000-0000-0000E8160000}"/>
    <cellStyle name="20% - Accent2 7 3 3 2 3 3 2 2" xfId="49202" xr:uid="{00000000-0005-0000-0000-0000E9160000}"/>
    <cellStyle name="20% - Accent2 7 3 3 2 3 3 3" xfId="36286" xr:uid="{00000000-0005-0000-0000-0000EA160000}"/>
    <cellStyle name="20% - Accent2 7 3 3 2 3 4" xfId="16870" xr:uid="{00000000-0005-0000-0000-0000EB160000}"/>
    <cellStyle name="20% - Accent2 7 3 3 2 3 4 2" xfId="42744" xr:uid="{00000000-0005-0000-0000-0000EC160000}"/>
    <cellStyle name="20% - Accent2 7 3 3 2 3 5" xfId="29796" xr:uid="{00000000-0005-0000-0000-0000ED160000}"/>
    <cellStyle name="20% - Accent2 7 3 3 2 4" xfId="5566" xr:uid="{00000000-0005-0000-0000-0000EE160000}"/>
    <cellStyle name="20% - Accent2 7 3 3 2 4 2" xfId="12025" xr:uid="{00000000-0005-0000-0000-0000EF160000}"/>
    <cellStyle name="20% - Accent2 7 3 3 2 4 2 2" xfId="24942" xr:uid="{00000000-0005-0000-0000-0000F0160000}"/>
    <cellStyle name="20% - Accent2 7 3 3 2 4 2 2 2" xfId="50816" xr:uid="{00000000-0005-0000-0000-0000F1160000}"/>
    <cellStyle name="20% - Accent2 7 3 3 2 4 2 3" xfId="37900" xr:uid="{00000000-0005-0000-0000-0000F2160000}"/>
    <cellStyle name="20% - Accent2 7 3 3 2 4 3" xfId="18484" xr:uid="{00000000-0005-0000-0000-0000F3160000}"/>
    <cellStyle name="20% - Accent2 7 3 3 2 4 3 2" xfId="44358" xr:uid="{00000000-0005-0000-0000-0000F4160000}"/>
    <cellStyle name="20% - Accent2 7 3 3 2 4 4" xfId="31442" xr:uid="{00000000-0005-0000-0000-0000F5160000}"/>
    <cellStyle name="20% - Accent2 7 3 3 2 5" xfId="8797" xr:uid="{00000000-0005-0000-0000-0000F6160000}"/>
    <cellStyle name="20% - Accent2 7 3 3 2 5 2" xfId="21714" xr:uid="{00000000-0005-0000-0000-0000F7160000}"/>
    <cellStyle name="20% - Accent2 7 3 3 2 5 2 2" xfId="47588" xr:uid="{00000000-0005-0000-0000-0000F8160000}"/>
    <cellStyle name="20% - Accent2 7 3 3 2 5 3" xfId="34672" xr:uid="{00000000-0005-0000-0000-0000F9160000}"/>
    <cellStyle name="20% - Accent2 7 3 3 2 6" xfId="15256" xr:uid="{00000000-0005-0000-0000-0000FA160000}"/>
    <cellStyle name="20% - Accent2 7 3 3 2 6 2" xfId="41130" xr:uid="{00000000-0005-0000-0000-0000FB160000}"/>
    <cellStyle name="20% - Accent2 7 3 3 2 7" xfId="28182" xr:uid="{00000000-0005-0000-0000-0000FC160000}"/>
    <cellStyle name="20% - Accent2 7 3 3 2 8" xfId="54044" xr:uid="{00000000-0005-0000-0000-0000FD160000}"/>
    <cellStyle name="20% - Accent2 7 3 3 3" xfId="2696" xr:uid="{00000000-0005-0000-0000-0000FE160000}"/>
    <cellStyle name="20% - Accent2 7 3 3 3 2" xfId="4353" xr:uid="{00000000-0005-0000-0000-0000FF160000}"/>
    <cellStyle name="20% - Accent2 7 3 3 3 2 2" xfId="7584" xr:uid="{00000000-0005-0000-0000-000000170000}"/>
    <cellStyle name="20% - Accent2 7 3 3 3 2 2 2" xfId="14043" xr:uid="{00000000-0005-0000-0000-000001170000}"/>
    <cellStyle name="20% - Accent2 7 3 3 3 2 2 2 2" xfId="26960" xr:uid="{00000000-0005-0000-0000-000002170000}"/>
    <cellStyle name="20% - Accent2 7 3 3 3 2 2 2 2 2" xfId="52834" xr:uid="{00000000-0005-0000-0000-000003170000}"/>
    <cellStyle name="20% - Accent2 7 3 3 3 2 2 2 3" xfId="39918" xr:uid="{00000000-0005-0000-0000-000004170000}"/>
    <cellStyle name="20% - Accent2 7 3 3 3 2 2 3" xfId="20502" xr:uid="{00000000-0005-0000-0000-000005170000}"/>
    <cellStyle name="20% - Accent2 7 3 3 3 2 2 3 2" xfId="46376" xr:uid="{00000000-0005-0000-0000-000006170000}"/>
    <cellStyle name="20% - Accent2 7 3 3 3 2 2 4" xfId="33460" xr:uid="{00000000-0005-0000-0000-000007170000}"/>
    <cellStyle name="20% - Accent2 7 3 3 3 2 3" xfId="10815" xr:uid="{00000000-0005-0000-0000-000008170000}"/>
    <cellStyle name="20% - Accent2 7 3 3 3 2 3 2" xfId="23732" xr:uid="{00000000-0005-0000-0000-000009170000}"/>
    <cellStyle name="20% - Accent2 7 3 3 3 2 3 2 2" xfId="49606" xr:uid="{00000000-0005-0000-0000-00000A170000}"/>
    <cellStyle name="20% - Accent2 7 3 3 3 2 3 3" xfId="36690" xr:uid="{00000000-0005-0000-0000-00000B170000}"/>
    <cellStyle name="20% - Accent2 7 3 3 3 2 4" xfId="17274" xr:uid="{00000000-0005-0000-0000-00000C170000}"/>
    <cellStyle name="20% - Accent2 7 3 3 3 2 4 2" xfId="43148" xr:uid="{00000000-0005-0000-0000-00000D170000}"/>
    <cellStyle name="20% - Accent2 7 3 3 3 2 5" xfId="30200" xr:uid="{00000000-0005-0000-0000-00000E170000}"/>
    <cellStyle name="20% - Accent2 7 3 3 3 3" xfId="5970" xr:uid="{00000000-0005-0000-0000-00000F170000}"/>
    <cellStyle name="20% - Accent2 7 3 3 3 3 2" xfId="12429" xr:uid="{00000000-0005-0000-0000-000010170000}"/>
    <cellStyle name="20% - Accent2 7 3 3 3 3 2 2" xfId="25346" xr:uid="{00000000-0005-0000-0000-000011170000}"/>
    <cellStyle name="20% - Accent2 7 3 3 3 3 2 2 2" xfId="51220" xr:uid="{00000000-0005-0000-0000-000012170000}"/>
    <cellStyle name="20% - Accent2 7 3 3 3 3 2 3" xfId="38304" xr:uid="{00000000-0005-0000-0000-000013170000}"/>
    <cellStyle name="20% - Accent2 7 3 3 3 3 3" xfId="18888" xr:uid="{00000000-0005-0000-0000-000014170000}"/>
    <cellStyle name="20% - Accent2 7 3 3 3 3 3 2" xfId="44762" xr:uid="{00000000-0005-0000-0000-000015170000}"/>
    <cellStyle name="20% - Accent2 7 3 3 3 3 4" xfId="31846" xr:uid="{00000000-0005-0000-0000-000016170000}"/>
    <cellStyle name="20% - Accent2 7 3 3 3 4" xfId="9201" xr:uid="{00000000-0005-0000-0000-000017170000}"/>
    <cellStyle name="20% - Accent2 7 3 3 3 4 2" xfId="22118" xr:uid="{00000000-0005-0000-0000-000018170000}"/>
    <cellStyle name="20% - Accent2 7 3 3 3 4 2 2" xfId="47992" xr:uid="{00000000-0005-0000-0000-000019170000}"/>
    <cellStyle name="20% - Accent2 7 3 3 3 4 3" xfId="35076" xr:uid="{00000000-0005-0000-0000-00001A170000}"/>
    <cellStyle name="20% - Accent2 7 3 3 3 5" xfId="15660" xr:uid="{00000000-0005-0000-0000-00001B170000}"/>
    <cellStyle name="20% - Accent2 7 3 3 3 5 2" xfId="41534" xr:uid="{00000000-0005-0000-0000-00001C170000}"/>
    <cellStyle name="20% - Accent2 7 3 3 3 6" xfId="28586" xr:uid="{00000000-0005-0000-0000-00001D170000}"/>
    <cellStyle name="20% - Accent2 7 3 3 4" xfId="3523" xr:uid="{00000000-0005-0000-0000-00001E170000}"/>
    <cellStyle name="20% - Accent2 7 3 3 4 2" xfId="6777" xr:uid="{00000000-0005-0000-0000-00001F170000}"/>
    <cellStyle name="20% - Accent2 7 3 3 4 2 2" xfId="13236" xr:uid="{00000000-0005-0000-0000-000020170000}"/>
    <cellStyle name="20% - Accent2 7 3 3 4 2 2 2" xfId="26153" xr:uid="{00000000-0005-0000-0000-000021170000}"/>
    <cellStyle name="20% - Accent2 7 3 3 4 2 2 2 2" xfId="52027" xr:uid="{00000000-0005-0000-0000-000022170000}"/>
    <cellStyle name="20% - Accent2 7 3 3 4 2 2 3" xfId="39111" xr:uid="{00000000-0005-0000-0000-000023170000}"/>
    <cellStyle name="20% - Accent2 7 3 3 4 2 3" xfId="19695" xr:uid="{00000000-0005-0000-0000-000024170000}"/>
    <cellStyle name="20% - Accent2 7 3 3 4 2 3 2" xfId="45569" xr:uid="{00000000-0005-0000-0000-000025170000}"/>
    <cellStyle name="20% - Accent2 7 3 3 4 2 4" xfId="32653" xr:uid="{00000000-0005-0000-0000-000026170000}"/>
    <cellStyle name="20% - Accent2 7 3 3 4 3" xfId="10008" xr:uid="{00000000-0005-0000-0000-000027170000}"/>
    <cellStyle name="20% - Accent2 7 3 3 4 3 2" xfId="22925" xr:uid="{00000000-0005-0000-0000-000028170000}"/>
    <cellStyle name="20% - Accent2 7 3 3 4 3 2 2" xfId="48799" xr:uid="{00000000-0005-0000-0000-000029170000}"/>
    <cellStyle name="20% - Accent2 7 3 3 4 3 3" xfId="35883" xr:uid="{00000000-0005-0000-0000-00002A170000}"/>
    <cellStyle name="20% - Accent2 7 3 3 4 4" xfId="16467" xr:uid="{00000000-0005-0000-0000-00002B170000}"/>
    <cellStyle name="20% - Accent2 7 3 3 4 4 2" xfId="42341" xr:uid="{00000000-0005-0000-0000-00002C170000}"/>
    <cellStyle name="20% - Accent2 7 3 3 4 5" xfId="29393" xr:uid="{00000000-0005-0000-0000-00002D170000}"/>
    <cellStyle name="20% - Accent2 7 3 3 5" xfId="5163" xr:uid="{00000000-0005-0000-0000-00002E170000}"/>
    <cellStyle name="20% - Accent2 7 3 3 5 2" xfId="11622" xr:uid="{00000000-0005-0000-0000-00002F170000}"/>
    <cellStyle name="20% - Accent2 7 3 3 5 2 2" xfId="24539" xr:uid="{00000000-0005-0000-0000-000030170000}"/>
    <cellStyle name="20% - Accent2 7 3 3 5 2 2 2" xfId="50413" xr:uid="{00000000-0005-0000-0000-000031170000}"/>
    <cellStyle name="20% - Accent2 7 3 3 5 2 3" xfId="37497" xr:uid="{00000000-0005-0000-0000-000032170000}"/>
    <cellStyle name="20% - Accent2 7 3 3 5 3" xfId="18081" xr:uid="{00000000-0005-0000-0000-000033170000}"/>
    <cellStyle name="20% - Accent2 7 3 3 5 3 2" xfId="43955" xr:uid="{00000000-0005-0000-0000-000034170000}"/>
    <cellStyle name="20% - Accent2 7 3 3 5 4" xfId="31039" xr:uid="{00000000-0005-0000-0000-000035170000}"/>
    <cellStyle name="20% - Accent2 7 3 3 6" xfId="8393" xr:uid="{00000000-0005-0000-0000-000036170000}"/>
    <cellStyle name="20% - Accent2 7 3 3 6 2" xfId="21310" xr:uid="{00000000-0005-0000-0000-000037170000}"/>
    <cellStyle name="20% - Accent2 7 3 3 6 2 2" xfId="47184" xr:uid="{00000000-0005-0000-0000-000038170000}"/>
    <cellStyle name="20% - Accent2 7 3 3 6 3" xfId="34268" xr:uid="{00000000-0005-0000-0000-000039170000}"/>
    <cellStyle name="20% - Accent2 7 3 3 7" xfId="14852" xr:uid="{00000000-0005-0000-0000-00003A170000}"/>
    <cellStyle name="20% - Accent2 7 3 3 7 2" xfId="40726" xr:uid="{00000000-0005-0000-0000-00003B170000}"/>
    <cellStyle name="20% - Accent2 7 3 3 8" xfId="27778" xr:uid="{00000000-0005-0000-0000-00003C170000}"/>
    <cellStyle name="20% - Accent2 7 3 3 9" xfId="53641" xr:uid="{00000000-0005-0000-0000-00003D170000}"/>
    <cellStyle name="20% - Accent2 7 3 4" xfId="2065" xr:uid="{00000000-0005-0000-0000-00003E170000}"/>
    <cellStyle name="20% - Accent2 7 3 4 2" xfId="2883" xr:uid="{00000000-0005-0000-0000-00003F170000}"/>
    <cellStyle name="20% - Accent2 7 3 4 2 2" xfId="4540" xr:uid="{00000000-0005-0000-0000-000040170000}"/>
    <cellStyle name="20% - Accent2 7 3 4 2 2 2" xfId="7771" xr:uid="{00000000-0005-0000-0000-000041170000}"/>
    <cellStyle name="20% - Accent2 7 3 4 2 2 2 2" xfId="14230" xr:uid="{00000000-0005-0000-0000-000042170000}"/>
    <cellStyle name="20% - Accent2 7 3 4 2 2 2 2 2" xfId="27147" xr:uid="{00000000-0005-0000-0000-000043170000}"/>
    <cellStyle name="20% - Accent2 7 3 4 2 2 2 2 2 2" xfId="53021" xr:uid="{00000000-0005-0000-0000-000044170000}"/>
    <cellStyle name="20% - Accent2 7 3 4 2 2 2 2 3" xfId="40105" xr:uid="{00000000-0005-0000-0000-000045170000}"/>
    <cellStyle name="20% - Accent2 7 3 4 2 2 2 3" xfId="20689" xr:uid="{00000000-0005-0000-0000-000046170000}"/>
    <cellStyle name="20% - Accent2 7 3 4 2 2 2 3 2" xfId="46563" xr:uid="{00000000-0005-0000-0000-000047170000}"/>
    <cellStyle name="20% - Accent2 7 3 4 2 2 2 4" xfId="33647" xr:uid="{00000000-0005-0000-0000-000048170000}"/>
    <cellStyle name="20% - Accent2 7 3 4 2 2 3" xfId="11002" xr:uid="{00000000-0005-0000-0000-000049170000}"/>
    <cellStyle name="20% - Accent2 7 3 4 2 2 3 2" xfId="23919" xr:uid="{00000000-0005-0000-0000-00004A170000}"/>
    <cellStyle name="20% - Accent2 7 3 4 2 2 3 2 2" xfId="49793" xr:uid="{00000000-0005-0000-0000-00004B170000}"/>
    <cellStyle name="20% - Accent2 7 3 4 2 2 3 3" xfId="36877" xr:uid="{00000000-0005-0000-0000-00004C170000}"/>
    <cellStyle name="20% - Accent2 7 3 4 2 2 4" xfId="17461" xr:uid="{00000000-0005-0000-0000-00004D170000}"/>
    <cellStyle name="20% - Accent2 7 3 4 2 2 4 2" xfId="43335" xr:uid="{00000000-0005-0000-0000-00004E170000}"/>
    <cellStyle name="20% - Accent2 7 3 4 2 2 5" xfId="30387" xr:uid="{00000000-0005-0000-0000-00004F170000}"/>
    <cellStyle name="20% - Accent2 7 3 4 2 3" xfId="6157" xr:uid="{00000000-0005-0000-0000-000050170000}"/>
    <cellStyle name="20% - Accent2 7 3 4 2 3 2" xfId="12616" xr:uid="{00000000-0005-0000-0000-000051170000}"/>
    <cellStyle name="20% - Accent2 7 3 4 2 3 2 2" xfId="25533" xr:uid="{00000000-0005-0000-0000-000052170000}"/>
    <cellStyle name="20% - Accent2 7 3 4 2 3 2 2 2" xfId="51407" xr:uid="{00000000-0005-0000-0000-000053170000}"/>
    <cellStyle name="20% - Accent2 7 3 4 2 3 2 3" xfId="38491" xr:uid="{00000000-0005-0000-0000-000054170000}"/>
    <cellStyle name="20% - Accent2 7 3 4 2 3 3" xfId="19075" xr:uid="{00000000-0005-0000-0000-000055170000}"/>
    <cellStyle name="20% - Accent2 7 3 4 2 3 3 2" xfId="44949" xr:uid="{00000000-0005-0000-0000-000056170000}"/>
    <cellStyle name="20% - Accent2 7 3 4 2 3 4" xfId="32033" xr:uid="{00000000-0005-0000-0000-000057170000}"/>
    <cellStyle name="20% - Accent2 7 3 4 2 4" xfId="9388" xr:uid="{00000000-0005-0000-0000-000058170000}"/>
    <cellStyle name="20% - Accent2 7 3 4 2 4 2" xfId="22305" xr:uid="{00000000-0005-0000-0000-000059170000}"/>
    <cellStyle name="20% - Accent2 7 3 4 2 4 2 2" xfId="48179" xr:uid="{00000000-0005-0000-0000-00005A170000}"/>
    <cellStyle name="20% - Accent2 7 3 4 2 4 3" xfId="35263" xr:uid="{00000000-0005-0000-0000-00005B170000}"/>
    <cellStyle name="20% - Accent2 7 3 4 2 5" xfId="15847" xr:uid="{00000000-0005-0000-0000-00005C170000}"/>
    <cellStyle name="20% - Accent2 7 3 4 2 5 2" xfId="41721" xr:uid="{00000000-0005-0000-0000-00005D170000}"/>
    <cellStyle name="20% - Accent2 7 3 4 2 6" xfId="28773" xr:uid="{00000000-0005-0000-0000-00005E170000}"/>
    <cellStyle name="20% - Accent2 7 3 4 3" xfId="3710" xr:uid="{00000000-0005-0000-0000-00005F170000}"/>
    <cellStyle name="20% - Accent2 7 3 4 3 2" xfId="6964" xr:uid="{00000000-0005-0000-0000-000060170000}"/>
    <cellStyle name="20% - Accent2 7 3 4 3 2 2" xfId="13423" xr:uid="{00000000-0005-0000-0000-000061170000}"/>
    <cellStyle name="20% - Accent2 7 3 4 3 2 2 2" xfId="26340" xr:uid="{00000000-0005-0000-0000-000062170000}"/>
    <cellStyle name="20% - Accent2 7 3 4 3 2 2 2 2" xfId="52214" xr:uid="{00000000-0005-0000-0000-000063170000}"/>
    <cellStyle name="20% - Accent2 7 3 4 3 2 2 3" xfId="39298" xr:uid="{00000000-0005-0000-0000-000064170000}"/>
    <cellStyle name="20% - Accent2 7 3 4 3 2 3" xfId="19882" xr:uid="{00000000-0005-0000-0000-000065170000}"/>
    <cellStyle name="20% - Accent2 7 3 4 3 2 3 2" xfId="45756" xr:uid="{00000000-0005-0000-0000-000066170000}"/>
    <cellStyle name="20% - Accent2 7 3 4 3 2 4" xfId="32840" xr:uid="{00000000-0005-0000-0000-000067170000}"/>
    <cellStyle name="20% - Accent2 7 3 4 3 3" xfId="10195" xr:uid="{00000000-0005-0000-0000-000068170000}"/>
    <cellStyle name="20% - Accent2 7 3 4 3 3 2" xfId="23112" xr:uid="{00000000-0005-0000-0000-000069170000}"/>
    <cellStyle name="20% - Accent2 7 3 4 3 3 2 2" xfId="48986" xr:uid="{00000000-0005-0000-0000-00006A170000}"/>
    <cellStyle name="20% - Accent2 7 3 4 3 3 3" xfId="36070" xr:uid="{00000000-0005-0000-0000-00006B170000}"/>
    <cellStyle name="20% - Accent2 7 3 4 3 4" xfId="16654" xr:uid="{00000000-0005-0000-0000-00006C170000}"/>
    <cellStyle name="20% - Accent2 7 3 4 3 4 2" xfId="42528" xr:uid="{00000000-0005-0000-0000-00006D170000}"/>
    <cellStyle name="20% - Accent2 7 3 4 3 5" xfId="29580" xr:uid="{00000000-0005-0000-0000-00006E170000}"/>
    <cellStyle name="20% - Accent2 7 3 4 4" xfId="5350" xr:uid="{00000000-0005-0000-0000-00006F170000}"/>
    <cellStyle name="20% - Accent2 7 3 4 4 2" xfId="11809" xr:uid="{00000000-0005-0000-0000-000070170000}"/>
    <cellStyle name="20% - Accent2 7 3 4 4 2 2" xfId="24726" xr:uid="{00000000-0005-0000-0000-000071170000}"/>
    <cellStyle name="20% - Accent2 7 3 4 4 2 2 2" xfId="50600" xr:uid="{00000000-0005-0000-0000-000072170000}"/>
    <cellStyle name="20% - Accent2 7 3 4 4 2 3" xfId="37684" xr:uid="{00000000-0005-0000-0000-000073170000}"/>
    <cellStyle name="20% - Accent2 7 3 4 4 3" xfId="18268" xr:uid="{00000000-0005-0000-0000-000074170000}"/>
    <cellStyle name="20% - Accent2 7 3 4 4 3 2" xfId="44142" xr:uid="{00000000-0005-0000-0000-000075170000}"/>
    <cellStyle name="20% - Accent2 7 3 4 4 4" xfId="31226" xr:uid="{00000000-0005-0000-0000-000076170000}"/>
    <cellStyle name="20% - Accent2 7 3 4 5" xfId="8581" xr:uid="{00000000-0005-0000-0000-000077170000}"/>
    <cellStyle name="20% - Accent2 7 3 4 5 2" xfId="21498" xr:uid="{00000000-0005-0000-0000-000078170000}"/>
    <cellStyle name="20% - Accent2 7 3 4 5 2 2" xfId="47372" xr:uid="{00000000-0005-0000-0000-000079170000}"/>
    <cellStyle name="20% - Accent2 7 3 4 5 3" xfId="34456" xr:uid="{00000000-0005-0000-0000-00007A170000}"/>
    <cellStyle name="20% - Accent2 7 3 4 6" xfId="15040" xr:uid="{00000000-0005-0000-0000-00007B170000}"/>
    <cellStyle name="20% - Accent2 7 3 4 6 2" xfId="40914" xr:uid="{00000000-0005-0000-0000-00007C170000}"/>
    <cellStyle name="20% - Accent2 7 3 4 7" xfId="27966" xr:uid="{00000000-0005-0000-0000-00007D170000}"/>
    <cellStyle name="20% - Accent2 7 3 4 8" xfId="53828" xr:uid="{00000000-0005-0000-0000-00007E170000}"/>
    <cellStyle name="20% - Accent2 7 3 5" xfId="2501" xr:uid="{00000000-0005-0000-0000-00007F170000}"/>
    <cellStyle name="20% - Accent2 7 3 5 2" xfId="4158" xr:uid="{00000000-0005-0000-0000-000080170000}"/>
    <cellStyle name="20% - Accent2 7 3 5 2 2" xfId="7389" xr:uid="{00000000-0005-0000-0000-000081170000}"/>
    <cellStyle name="20% - Accent2 7 3 5 2 2 2" xfId="13848" xr:uid="{00000000-0005-0000-0000-000082170000}"/>
    <cellStyle name="20% - Accent2 7 3 5 2 2 2 2" xfId="26765" xr:uid="{00000000-0005-0000-0000-000083170000}"/>
    <cellStyle name="20% - Accent2 7 3 5 2 2 2 2 2" xfId="52639" xr:uid="{00000000-0005-0000-0000-000084170000}"/>
    <cellStyle name="20% - Accent2 7 3 5 2 2 2 3" xfId="39723" xr:uid="{00000000-0005-0000-0000-000085170000}"/>
    <cellStyle name="20% - Accent2 7 3 5 2 2 3" xfId="20307" xr:uid="{00000000-0005-0000-0000-000086170000}"/>
    <cellStyle name="20% - Accent2 7 3 5 2 2 3 2" xfId="46181" xr:uid="{00000000-0005-0000-0000-000087170000}"/>
    <cellStyle name="20% - Accent2 7 3 5 2 2 4" xfId="33265" xr:uid="{00000000-0005-0000-0000-000088170000}"/>
    <cellStyle name="20% - Accent2 7 3 5 2 3" xfId="10620" xr:uid="{00000000-0005-0000-0000-000089170000}"/>
    <cellStyle name="20% - Accent2 7 3 5 2 3 2" xfId="23537" xr:uid="{00000000-0005-0000-0000-00008A170000}"/>
    <cellStyle name="20% - Accent2 7 3 5 2 3 2 2" xfId="49411" xr:uid="{00000000-0005-0000-0000-00008B170000}"/>
    <cellStyle name="20% - Accent2 7 3 5 2 3 3" xfId="36495" xr:uid="{00000000-0005-0000-0000-00008C170000}"/>
    <cellStyle name="20% - Accent2 7 3 5 2 4" xfId="17079" xr:uid="{00000000-0005-0000-0000-00008D170000}"/>
    <cellStyle name="20% - Accent2 7 3 5 2 4 2" xfId="42953" xr:uid="{00000000-0005-0000-0000-00008E170000}"/>
    <cellStyle name="20% - Accent2 7 3 5 2 5" xfId="30005" xr:uid="{00000000-0005-0000-0000-00008F170000}"/>
    <cellStyle name="20% - Accent2 7 3 5 3" xfId="5775" xr:uid="{00000000-0005-0000-0000-000090170000}"/>
    <cellStyle name="20% - Accent2 7 3 5 3 2" xfId="12234" xr:uid="{00000000-0005-0000-0000-000091170000}"/>
    <cellStyle name="20% - Accent2 7 3 5 3 2 2" xfId="25151" xr:uid="{00000000-0005-0000-0000-000092170000}"/>
    <cellStyle name="20% - Accent2 7 3 5 3 2 2 2" xfId="51025" xr:uid="{00000000-0005-0000-0000-000093170000}"/>
    <cellStyle name="20% - Accent2 7 3 5 3 2 3" xfId="38109" xr:uid="{00000000-0005-0000-0000-000094170000}"/>
    <cellStyle name="20% - Accent2 7 3 5 3 3" xfId="18693" xr:uid="{00000000-0005-0000-0000-000095170000}"/>
    <cellStyle name="20% - Accent2 7 3 5 3 3 2" xfId="44567" xr:uid="{00000000-0005-0000-0000-000096170000}"/>
    <cellStyle name="20% - Accent2 7 3 5 3 4" xfId="31651" xr:uid="{00000000-0005-0000-0000-000097170000}"/>
    <cellStyle name="20% - Accent2 7 3 5 4" xfId="9006" xr:uid="{00000000-0005-0000-0000-000098170000}"/>
    <cellStyle name="20% - Accent2 7 3 5 4 2" xfId="21923" xr:uid="{00000000-0005-0000-0000-000099170000}"/>
    <cellStyle name="20% - Accent2 7 3 5 4 2 2" xfId="47797" xr:uid="{00000000-0005-0000-0000-00009A170000}"/>
    <cellStyle name="20% - Accent2 7 3 5 4 3" xfId="34881" xr:uid="{00000000-0005-0000-0000-00009B170000}"/>
    <cellStyle name="20% - Accent2 7 3 5 5" xfId="15465" xr:uid="{00000000-0005-0000-0000-00009C170000}"/>
    <cellStyle name="20% - Accent2 7 3 5 5 2" xfId="41339" xr:uid="{00000000-0005-0000-0000-00009D170000}"/>
    <cellStyle name="20% - Accent2 7 3 5 6" xfId="28391" xr:uid="{00000000-0005-0000-0000-00009E170000}"/>
    <cellStyle name="20% - Accent2 7 3 6" xfId="3321" xr:uid="{00000000-0005-0000-0000-00009F170000}"/>
    <cellStyle name="20% - Accent2 7 3 6 2" xfId="6582" xr:uid="{00000000-0005-0000-0000-0000A0170000}"/>
    <cellStyle name="20% - Accent2 7 3 6 2 2" xfId="13041" xr:uid="{00000000-0005-0000-0000-0000A1170000}"/>
    <cellStyle name="20% - Accent2 7 3 6 2 2 2" xfId="25958" xr:uid="{00000000-0005-0000-0000-0000A2170000}"/>
    <cellStyle name="20% - Accent2 7 3 6 2 2 2 2" xfId="51832" xr:uid="{00000000-0005-0000-0000-0000A3170000}"/>
    <cellStyle name="20% - Accent2 7 3 6 2 2 3" xfId="38916" xr:uid="{00000000-0005-0000-0000-0000A4170000}"/>
    <cellStyle name="20% - Accent2 7 3 6 2 3" xfId="19500" xr:uid="{00000000-0005-0000-0000-0000A5170000}"/>
    <cellStyle name="20% - Accent2 7 3 6 2 3 2" xfId="45374" xr:uid="{00000000-0005-0000-0000-0000A6170000}"/>
    <cellStyle name="20% - Accent2 7 3 6 2 4" xfId="32458" xr:uid="{00000000-0005-0000-0000-0000A7170000}"/>
    <cellStyle name="20% - Accent2 7 3 6 3" xfId="9813" xr:uid="{00000000-0005-0000-0000-0000A8170000}"/>
    <cellStyle name="20% - Accent2 7 3 6 3 2" xfId="22730" xr:uid="{00000000-0005-0000-0000-0000A9170000}"/>
    <cellStyle name="20% - Accent2 7 3 6 3 2 2" xfId="48604" xr:uid="{00000000-0005-0000-0000-0000AA170000}"/>
    <cellStyle name="20% - Accent2 7 3 6 3 3" xfId="35688" xr:uid="{00000000-0005-0000-0000-0000AB170000}"/>
    <cellStyle name="20% - Accent2 7 3 6 4" xfId="16272" xr:uid="{00000000-0005-0000-0000-0000AC170000}"/>
    <cellStyle name="20% - Accent2 7 3 6 4 2" xfId="42146" xr:uid="{00000000-0005-0000-0000-0000AD170000}"/>
    <cellStyle name="20% - Accent2 7 3 6 5" xfId="29198" xr:uid="{00000000-0005-0000-0000-0000AE170000}"/>
    <cellStyle name="20% - Accent2 7 3 7" xfId="4968" xr:uid="{00000000-0005-0000-0000-0000AF170000}"/>
    <cellStyle name="20% - Accent2 7 3 7 2" xfId="11427" xr:uid="{00000000-0005-0000-0000-0000B0170000}"/>
    <cellStyle name="20% - Accent2 7 3 7 2 2" xfId="24344" xr:uid="{00000000-0005-0000-0000-0000B1170000}"/>
    <cellStyle name="20% - Accent2 7 3 7 2 2 2" xfId="50218" xr:uid="{00000000-0005-0000-0000-0000B2170000}"/>
    <cellStyle name="20% - Accent2 7 3 7 2 3" xfId="37302" xr:uid="{00000000-0005-0000-0000-0000B3170000}"/>
    <cellStyle name="20% - Accent2 7 3 7 3" xfId="17886" xr:uid="{00000000-0005-0000-0000-0000B4170000}"/>
    <cellStyle name="20% - Accent2 7 3 7 3 2" xfId="43760" xr:uid="{00000000-0005-0000-0000-0000B5170000}"/>
    <cellStyle name="20% - Accent2 7 3 7 4" xfId="30844" xr:uid="{00000000-0005-0000-0000-0000B6170000}"/>
    <cellStyle name="20% - Accent2 7 3 8" xfId="8199" xr:uid="{00000000-0005-0000-0000-0000B7170000}"/>
    <cellStyle name="20% - Accent2 7 3 8 2" xfId="21116" xr:uid="{00000000-0005-0000-0000-0000B8170000}"/>
    <cellStyle name="20% - Accent2 7 3 8 2 2" xfId="46990" xr:uid="{00000000-0005-0000-0000-0000B9170000}"/>
    <cellStyle name="20% - Accent2 7 3 8 3" xfId="34074" xr:uid="{00000000-0005-0000-0000-0000BA170000}"/>
    <cellStyle name="20% - Accent2 7 3 9" xfId="14658" xr:uid="{00000000-0005-0000-0000-0000BB170000}"/>
    <cellStyle name="20% - Accent2 7 3 9 2" xfId="40532" xr:uid="{00000000-0005-0000-0000-0000BC170000}"/>
    <cellStyle name="20% - Accent2 7 4" xfId="1049" xr:uid="{00000000-0005-0000-0000-0000BD170000}"/>
    <cellStyle name="20% - Accent2 8" xfId="1450" xr:uid="{00000000-0005-0000-0000-0000BE170000}"/>
    <cellStyle name="20% - Accent2 9" xfId="1398" xr:uid="{00000000-0005-0000-0000-0000BF170000}"/>
    <cellStyle name="20% - Accent3 10" xfId="1655" xr:uid="{00000000-0005-0000-0000-0000C0170000}"/>
    <cellStyle name="20% - Accent3 10 10" xfId="53571" xr:uid="{00000000-0005-0000-0000-0000C1170000}"/>
    <cellStyle name="20% - Accent3 10 2" xfId="1980" xr:uid="{00000000-0005-0000-0000-0000C2170000}"/>
    <cellStyle name="20% - Accent3 10 2 2" xfId="2411" xr:uid="{00000000-0005-0000-0000-0000C3170000}"/>
    <cellStyle name="20% - Accent3 10 2 2 2" xfId="3224" xr:uid="{00000000-0005-0000-0000-0000C4170000}"/>
    <cellStyle name="20% - Accent3 10 2 2 2 2" xfId="4881" xr:uid="{00000000-0005-0000-0000-0000C5170000}"/>
    <cellStyle name="20% - Accent3 10 2 2 2 2 2" xfId="8112" xr:uid="{00000000-0005-0000-0000-0000C6170000}"/>
    <cellStyle name="20% - Accent3 10 2 2 2 2 2 2" xfId="14571" xr:uid="{00000000-0005-0000-0000-0000C7170000}"/>
    <cellStyle name="20% - Accent3 10 2 2 2 2 2 2 2" xfId="27488" xr:uid="{00000000-0005-0000-0000-0000C8170000}"/>
    <cellStyle name="20% - Accent3 10 2 2 2 2 2 2 2 2" xfId="53362" xr:uid="{00000000-0005-0000-0000-0000C9170000}"/>
    <cellStyle name="20% - Accent3 10 2 2 2 2 2 2 3" xfId="40446" xr:uid="{00000000-0005-0000-0000-0000CA170000}"/>
    <cellStyle name="20% - Accent3 10 2 2 2 2 2 3" xfId="21030" xr:uid="{00000000-0005-0000-0000-0000CB170000}"/>
    <cellStyle name="20% - Accent3 10 2 2 2 2 2 3 2" xfId="46904" xr:uid="{00000000-0005-0000-0000-0000CC170000}"/>
    <cellStyle name="20% - Accent3 10 2 2 2 2 2 4" xfId="33988" xr:uid="{00000000-0005-0000-0000-0000CD170000}"/>
    <cellStyle name="20% - Accent3 10 2 2 2 2 3" xfId="11343" xr:uid="{00000000-0005-0000-0000-0000CE170000}"/>
    <cellStyle name="20% - Accent3 10 2 2 2 2 3 2" xfId="24260" xr:uid="{00000000-0005-0000-0000-0000CF170000}"/>
    <cellStyle name="20% - Accent3 10 2 2 2 2 3 2 2" xfId="50134" xr:uid="{00000000-0005-0000-0000-0000D0170000}"/>
    <cellStyle name="20% - Accent3 10 2 2 2 2 3 3" xfId="37218" xr:uid="{00000000-0005-0000-0000-0000D1170000}"/>
    <cellStyle name="20% - Accent3 10 2 2 2 2 4" xfId="17802" xr:uid="{00000000-0005-0000-0000-0000D2170000}"/>
    <cellStyle name="20% - Accent3 10 2 2 2 2 4 2" xfId="43676" xr:uid="{00000000-0005-0000-0000-0000D3170000}"/>
    <cellStyle name="20% - Accent3 10 2 2 2 2 5" xfId="30728" xr:uid="{00000000-0005-0000-0000-0000D4170000}"/>
    <cellStyle name="20% - Accent3 10 2 2 2 3" xfId="6498" xr:uid="{00000000-0005-0000-0000-0000D5170000}"/>
    <cellStyle name="20% - Accent3 10 2 2 2 3 2" xfId="12957" xr:uid="{00000000-0005-0000-0000-0000D6170000}"/>
    <cellStyle name="20% - Accent3 10 2 2 2 3 2 2" xfId="25874" xr:uid="{00000000-0005-0000-0000-0000D7170000}"/>
    <cellStyle name="20% - Accent3 10 2 2 2 3 2 2 2" xfId="51748" xr:uid="{00000000-0005-0000-0000-0000D8170000}"/>
    <cellStyle name="20% - Accent3 10 2 2 2 3 2 3" xfId="38832" xr:uid="{00000000-0005-0000-0000-0000D9170000}"/>
    <cellStyle name="20% - Accent3 10 2 2 2 3 3" xfId="19416" xr:uid="{00000000-0005-0000-0000-0000DA170000}"/>
    <cellStyle name="20% - Accent3 10 2 2 2 3 3 2" xfId="45290" xr:uid="{00000000-0005-0000-0000-0000DB170000}"/>
    <cellStyle name="20% - Accent3 10 2 2 2 3 4" xfId="32374" xr:uid="{00000000-0005-0000-0000-0000DC170000}"/>
    <cellStyle name="20% - Accent3 10 2 2 2 4" xfId="9729" xr:uid="{00000000-0005-0000-0000-0000DD170000}"/>
    <cellStyle name="20% - Accent3 10 2 2 2 4 2" xfId="22646" xr:uid="{00000000-0005-0000-0000-0000DE170000}"/>
    <cellStyle name="20% - Accent3 10 2 2 2 4 2 2" xfId="48520" xr:uid="{00000000-0005-0000-0000-0000DF170000}"/>
    <cellStyle name="20% - Accent3 10 2 2 2 4 3" xfId="35604" xr:uid="{00000000-0005-0000-0000-0000E0170000}"/>
    <cellStyle name="20% - Accent3 10 2 2 2 5" xfId="16188" xr:uid="{00000000-0005-0000-0000-0000E1170000}"/>
    <cellStyle name="20% - Accent3 10 2 2 2 5 2" xfId="42062" xr:uid="{00000000-0005-0000-0000-0000E2170000}"/>
    <cellStyle name="20% - Accent3 10 2 2 2 6" xfId="29114" xr:uid="{00000000-0005-0000-0000-0000E3170000}"/>
    <cellStyle name="20% - Accent3 10 2 2 3" xfId="4051" xr:uid="{00000000-0005-0000-0000-0000E4170000}"/>
    <cellStyle name="20% - Accent3 10 2 2 3 2" xfId="7305" xr:uid="{00000000-0005-0000-0000-0000E5170000}"/>
    <cellStyle name="20% - Accent3 10 2 2 3 2 2" xfId="13764" xr:uid="{00000000-0005-0000-0000-0000E6170000}"/>
    <cellStyle name="20% - Accent3 10 2 2 3 2 2 2" xfId="26681" xr:uid="{00000000-0005-0000-0000-0000E7170000}"/>
    <cellStyle name="20% - Accent3 10 2 2 3 2 2 2 2" xfId="52555" xr:uid="{00000000-0005-0000-0000-0000E8170000}"/>
    <cellStyle name="20% - Accent3 10 2 2 3 2 2 3" xfId="39639" xr:uid="{00000000-0005-0000-0000-0000E9170000}"/>
    <cellStyle name="20% - Accent3 10 2 2 3 2 3" xfId="20223" xr:uid="{00000000-0005-0000-0000-0000EA170000}"/>
    <cellStyle name="20% - Accent3 10 2 2 3 2 3 2" xfId="46097" xr:uid="{00000000-0005-0000-0000-0000EB170000}"/>
    <cellStyle name="20% - Accent3 10 2 2 3 2 4" xfId="33181" xr:uid="{00000000-0005-0000-0000-0000EC170000}"/>
    <cellStyle name="20% - Accent3 10 2 2 3 3" xfId="10536" xr:uid="{00000000-0005-0000-0000-0000ED170000}"/>
    <cellStyle name="20% - Accent3 10 2 2 3 3 2" xfId="23453" xr:uid="{00000000-0005-0000-0000-0000EE170000}"/>
    <cellStyle name="20% - Accent3 10 2 2 3 3 2 2" xfId="49327" xr:uid="{00000000-0005-0000-0000-0000EF170000}"/>
    <cellStyle name="20% - Accent3 10 2 2 3 3 3" xfId="36411" xr:uid="{00000000-0005-0000-0000-0000F0170000}"/>
    <cellStyle name="20% - Accent3 10 2 2 3 4" xfId="16995" xr:uid="{00000000-0005-0000-0000-0000F1170000}"/>
    <cellStyle name="20% - Accent3 10 2 2 3 4 2" xfId="42869" xr:uid="{00000000-0005-0000-0000-0000F2170000}"/>
    <cellStyle name="20% - Accent3 10 2 2 3 5" xfId="29921" xr:uid="{00000000-0005-0000-0000-0000F3170000}"/>
    <cellStyle name="20% - Accent3 10 2 2 4" xfId="5691" xr:uid="{00000000-0005-0000-0000-0000F4170000}"/>
    <cellStyle name="20% - Accent3 10 2 2 4 2" xfId="12150" xr:uid="{00000000-0005-0000-0000-0000F5170000}"/>
    <cellStyle name="20% - Accent3 10 2 2 4 2 2" xfId="25067" xr:uid="{00000000-0005-0000-0000-0000F6170000}"/>
    <cellStyle name="20% - Accent3 10 2 2 4 2 2 2" xfId="50941" xr:uid="{00000000-0005-0000-0000-0000F7170000}"/>
    <cellStyle name="20% - Accent3 10 2 2 4 2 3" xfId="38025" xr:uid="{00000000-0005-0000-0000-0000F8170000}"/>
    <cellStyle name="20% - Accent3 10 2 2 4 3" xfId="18609" xr:uid="{00000000-0005-0000-0000-0000F9170000}"/>
    <cellStyle name="20% - Accent3 10 2 2 4 3 2" xfId="44483" xr:uid="{00000000-0005-0000-0000-0000FA170000}"/>
    <cellStyle name="20% - Accent3 10 2 2 4 4" xfId="31567" xr:uid="{00000000-0005-0000-0000-0000FB170000}"/>
    <cellStyle name="20% - Accent3 10 2 2 5" xfId="8922" xr:uid="{00000000-0005-0000-0000-0000FC170000}"/>
    <cellStyle name="20% - Accent3 10 2 2 5 2" xfId="21839" xr:uid="{00000000-0005-0000-0000-0000FD170000}"/>
    <cellStyle name="20% - Accent3 10 2 2 5 2 2" xfId="47713" xr:uid="{00000000-0005-0000-0000-0000FE170000}"/>
    <cellStyle name="20% - Accent3 10 2 2 5 3" xfId="34797" xr:uid="{00000000-0005-0000-0000-0000FF170000}"/>
    <cellStyle name="20% - Accent3 10 2 2 6" xfId="15381" xr:uid="{00000000-0005-0000-0000-000000180000}"/>
    <cellStyle name="20% - Accent3 10 2 2 6 2" xfId="41255" xr:uid="{00000000-0005-0000-0000-000001180000}"/>
    <cellStyle name="20% - Accent3 10 2 2 7" xfId="28307" xr:uid="{00000000-0005-0000-0000-000002180000}"/>
    <cellStyle name="20% - Accent3 10 2 2 8" xfId="54169" xr:uid="{00000000-0005-0000-0000-000003180000}"/>
    <cellStyle name="20% - Accent3 10 2 3" xfId="2820" xr:uid="{00000000-0005-0000-0000-000004180000}"/>
    <cellStyle name="20% - Accent3 10 2 3 2" xfId="4477" xr:uid="{00000000-0005-0000-0000-000005180000}"/>
    <cellStyle name="20% - Accent3 10 2 3 2 2" xfId="7708" xr:uid="{00000000-0005-0000-0000-000006180000}"/>
    <cellStyle name="20% - Accent3 10 2 3 2 2 2" xfId="14167" xr:uid="{00000000-0005-0000-0000-000007180000}"/>
    <cellStyle name="20% - Accent3 10 2 3 2 2 2 2" xfId="27084" xr:uid="{00000000-0005-0000-0000-000008180000}"/>
    <cellStyle name="20% - Accent3 10 2 3 2 2 2 2 2" xfId="52958" xr:uid="{00000000-0005-0000-0000-000009180000}"/>
    <cellStyle name="20% - Accent3 10 2 3 2 2 2 3" xfId="40042" xr:uid="{00000000-0005-0000-0000-00000A180000}"/>
    <cellStyle name="20% - Accent3 10 2 3 2 2 3" xfId="20626" xr:uid="{00000000-0005-0000-0000-00000B180000}"/>
    <cellStyle name="20% - Accent3 10 2 3 2 2 3 2" xfId="46500" xr:uid="{00000000-0005-0000-0000-00000C180000}"/>
    <cellStyle name="20% - Accent3 10 2 3 2 2 4" xfId="33584" xr:uid="{00000000-0005-0000-0000-00000D180000}"/>
    <cellStyle name="20% - Accent3 10 2 3 2 3" xfId="10939" xr:uid="{00000000-0005-0000-0000-00000E180000}"/>
    <cellStyle name="20% - Accent3 10 2 3 2 3 2" xfId="23856" xr:uid="{00000000-0005-0000-0000-00000F180000}"/>
    <cellStyle name="20% - Accent3 10 2 3 2 3 2 2" xfId="49730" xr:uid="{00000000-0005-0000-0000-000010180000}"/>
    <cellStyle name="20% - Accent3 10 2 3 2 3 3" xfId="36814" xr:uid="{00000000-0005-0000-0000-000011180000}"/>
    <cellStyle name="20% - Accent3 10 2 3 2 4" xfId="17398" xr:uid="{00000000-0005-0000-0000-000012180000}"/>
    <cellStyle name="20% - Accent3 10 2 3 2 4 2" xfId="43272" xr:uid="{00000000-0005-0000-0000-000013180000}"/>
    <cellStyle name="20% - Accent3 10 2 3 2 5" xfId="30324" xr:uid="{00000000-0005-0000-0000-000014180000}"/>
    <cellStyle name="20% - Accent3 10 2 3 3" xfId="6094" xr:uid="{00000000-0005-0000-0000-000015180000}"/>
    <cellStyle name="20% - Accent3 10 2 3 3 2" xfId="12553" xr:uid="{00000000-0005-0000-0000-000016180000}"/>
    <cellStyle name="20% - Accent3 10 2 3 3 2 2" xfId="25470" xr:uid="{00000000-0005-0000-0000-000017180000}"/>
    <cellStyle name="20% - Accent3 10 2 3 3 2 2 2" xfId="51344" xr:uid="{00000000-0005-0000-0000-000018180000}"/>
    <cellStyle name="20% - Accent3 10 2 3 3 2 3" xfId="38428" xr:uid="{00000000-0005-0000-0000-000019180000}"/>
    <cellStyle name="20% - Accent3 10 2 3 3 3" xfId="19012" xr:uid="{00000000-0005-0000-0000-00001A180000}"/>
    <cellStyle name="20% - Accent3 10 2 3 3 3 2" xfId="44886" xr:uid="{00000000-0005-0000-0000-00001B180000}"/>
    <cellStyle name="20% - Accent3 10 2 3 3 4" xfId="31970" xr:uid="{00000000-0005-0000-0000-00001C180000}"/>
    <cellStyle name="20% - Accent3 10 2 3 4" xfId="9325" xr:uid="{00000000-0005-0000-0000-00001D180000}"/>
    <cellStyle name="20% - Accent3 10 2 3 4 2" xfId="22242" xr:uid="{00000000-0005-0000-0000-00001E180000}"/>
    <cellStyle name="20% - Accent3 10 2 3 4 2 2" xfId="48116" xr:uid="{00000000-0005-0000-0000-00001F180000}"/>
    <cellStyle name="20% - Accent3 10 2 3 4 3" xfId="35200" xr:uid="{00000000-0005-0000-0000-000020180000}"/>
    <cellStyle name="20% - Accent3 10 2 3 5" xfId="15784" xr:uid="{00000000-0005-0000-0000-000021180000}"/>
    <cellStyle name="20% - Accent3 10 2 3 5 2" xfId="41658" xr:uid="{00000000-0005-0000-0000-000022180000}"/>
    <cellStyle name="20% - Accent3 10 2 3 6" xfId="28710" xr:uid="{00000000-0005-0000-0000-000023180000}"/>
    <cellStyle name="20% - Accent3 10 2 4" xfId="3647" xr:uid="{00000000-0005-0000-0000-000024180000}"/>
    <cellStyle name="20% - Accent3 10 2 4 2" xfId="6901" xr:uid="{00000000-0005-0000-0000-000025180000}"/>
    <cellStyle name="20% - Accent3 10 2 4 2 2" xfId="13360" xr:uid="{00000000-0005-0000-0000-000026180000}"/>
    <cellStyle name="20% - Accent3 10 2 4 2 2 2" xfId="26277" xr:uid="{00000000-0005-0000-0000-000027180000}"/>
    <cellStyle name="20% - Accent3 10 2 4 2 2 2 2" xfId="52151" xr:uid="{00000000-0005-0000-0000-000028180000}"/>
    <cellStyle name="20% - Accent3 10 2 4 2 2 3" xfId="39235" xr:uid="{00000000-0005-0000-0000-000029180000}"/>
    <cellStyle name="20% - Accent3 10 2 4 2 3" xfId="19819" xr:uid="{00000000-0005-0000-0000-00002A180000}"/>
    <cellStyle name="20% - Accent3 10 2 4 2 3 2" xfId="45693" xr:uid="{00000000-0005-0000-0000-00002B180000}"/>
    <cellStyle name="20% - Accent3 10 2 4 2 4" xfId="32777" xr:uid="{00000000-0005-0000-0000-00002C180000}"/>
    <cellStyle name="20% - Accent3 10 2 4 3" xfId="10132" xr:uid="{00000000-0005-0000-0000-00002D180000}"/>
    <cellStyle name="20% - Accent3 10 2 4 3 2" xfId="23049" xr:uid="{00000000-0005-0000-0000-00002E180000}"/>
    <cellStyle name="20% - Accent3 10 2 4 3 2 2" xfId="48923" xr:uid="{00000000-0005-0000-0000-00002F180000}"/>
    <cellStyle name="20% - Accent3 10 2 4 3 3" xfId="36007" xr:uid="{00000000-0005-0000-0000-000030180000}"/>
    <cellStyle name="20% - Accent3 10 2 4 4" xfId="16591" xr:uid="{00000000-0005-0000-0000-000031180000}"/>
    <cellStyle name="20% - Accent3 10 2 4 4 2" xfId="42465" xr:uid="{00000000-0005-0000-0000-000032180000}"/>
    <cellStyle name="20% - Accent3 10 2 4 5" xfId="29517" xr:uid="{00000000-0005-0000-0000-000033180000}"/>
    <cellStyle name="20% - Accent3 10 2 5" xfId="5287" xr:uid="{00000000-0005-0000-0000-000034180000}"/>
    <cellStyle name="20% - Accent3 10 2 5 2" xfId="11746" xr:uid="{00000000-0005-0000-0000-000035180000}"/>
    <cellStyle name="20% - Accent3 10 2 5 2 2" xfId="24663" xr:uid="{00000000-0005-0000-0000-000036180000}"/>
    <cellStyle name="20% - Accent3 10 2 5 2 2 2" xfId="50537" xr:uid="{00000000-0005-0000-0000-000037180000}"/>
    <cellStyle name="20% - Accent3 10 2 5 2 3" xfId="37621" xr:uid="{00000000-0005-0000-0000-000038180000}"/>
    <cellStyle name="20% - Accent3 10 2 5 3" xfId="18205" xr:uid="{00000000-0005-0000-0000-000039180000}"/>
    <cellStyle name="20% - Accent3 10 2 5 3 2" xfId="44079" xr:uid="{00000000-0005-0000-0000-00003A180000}"/>
    <cellStyle name="20% - Accent3 10 2 5 4" xfId="31163" xr:uid="{00000000-0005-0000-0000-00003B180000}"/>
    <cellStyle name="20% - Accent3 10 2 6" xfId="8518" xr:uid="{00000000-0005-0000-0000-00003C180000}"/>
    <cellStyle name="20% - Accent3 10 2 6 2" xfId="21435" xr:uid="{00000000-0005-0000-0000-00003D180000}"/>
    <cellStyle name="20% - Accent3 10 2 6 2 2" xfId="47309" xr:uid="{00000000-0005-0000-0000-00003E180000}"/>
    <cellStyle name="20% - Accent3 10 2 6 3" xfId="34393" xr:uid="{00000000-0005-0000-0000-00003F180000}"/>
    <cellStyle name="20% - Accent3 10 2 7" xfId="14977" xr:uid="{00000000-0005-0000-0000-000040180000}"/>
    <cellStyle name="20% - Accent3 10 2 7 2" xfId="40851" xr:uid="{00000000-0005-0000-0000-000041180000}"/>
    <cellStyle name="20% - Accent3 10 2 8" xfId="27902" xr:uid="{00000000-0005-0000-0000-000042180000}"/>
    <cellStyle name="20% - Accent3 10 2 9" xfId="53765" xr:uid="{00000000-0005-0000-0000-000043180000}"/>
    <cellStyle name="20% - Accent3 10 3" xfId="2215" xr:uid="{00000000-0005-0000-0000-000044180000}"/>
    <cellStyle name="20% - Accent3 10 3 2" xfId="3029" xr:uid="{00000000-0005-0000-0000-000045180000}"/>
    <cellStyle name="20% - Accent3 10 3 2 2" xfId="4686" xr:uid="{00000000-0005-0000-0000-000046180000}"/>
    <cellStyle name="20% - Accent3 10 3 2 2 2" xfId="7917" xr:uid="{00000000-0005-0000-0000-000047180000}"/>
    <cellStyle name="20% - Accent3 10 3 2 2 2 2" xfId="14376" xr:uid="{00000000-0005-0000-0000-000048180000}"/>
    <cellStyle name="20% - Accent3 10 3 2 2 2 2 2" xfId="27293" xr:uid="{00000000-0005-0000-0000-000049180000}"/>
    <cellStyle name="20% - Accent3 10 3 2 2 2 2 2 2" xfId="53167" xr:uid="{00000000-0005-0000-0000-00004A180000}"/>
    <cellStyle name="20% - Accent3 10 3 2 2 2 2 3" xfId="40251" xr:uid="{00000000-0005-0000-0000-00004B180000}"/>
    <cellStyle name="20% - Accent3 10 3 2 2 2 3" xfId="20835" xr:uid="{00000000-0005-0000-0000-00004C180000}"/>
    <cellStyle name="20% - Accent3 10 3 2 2 2 3 2" xfId="46709" xr:uid="{00000000-0005-0000-0000-00004D180000}"/>
    <cellStyle name="20% - Accent3 10 3 2 2 2 4" xfId="33793" xr:uid="{00000000-0005-0000-0000-00004E180000}"/>
    <cellStyle name="20% - Accent3 10 3 2 2 3" xfId="11148" xr:uid="{00000000-0005-0000-0000-00004F180000}"/>
    <cellStyle name="20% - Accent3 10 3 2 2 3 2" xfId="24065" xr:uid="{00000000-0005-0000-0000-000050180000}"/>
    <cellStyle name="20% - Accent3 10 3 2 2 3 2 2" xfId="49939" xr:uid="{00000000-0005-0000-0000-000051180000}"/>
    <cellStyle name="20% - Accent3 10 3 2 2 3 3" xfId="37023" xr:uid="{00000000-0005-0000-0000-000052180000}"/>
    <cellStyle name="20% - Accent3 10 3 2 2 4" xfId="17607" xr:uid="{00000000-0005-0000-0000-000053180000}"/>
    <cellStyle name="20% - Accent3 10 3 2 2 4 2" xfId="43481" xr:uid="{00000000-0005-0000-0000-000054180000}"/>
    <cellStyle name="20% - Accent3 10 3 2 2 5" xfId="30533" xr:uid="{00000000-0005-0000-0000-000055180000}"/>
    <cellStyle name="20% - Accent3 10 3 2 3" xfId="6303" xr:uid="{00000000-0005-0000-0000-000056180000}"/>
    <cellStyle name="20% - Accent3 10 3 2 3 2" xfId="12762" xr:uid="{00000000-0005-0000-0000-000057180000}"/>
    <cellStyle name="20% - Accent3 10 3 2 3 2 2" xfId="25679" xr:uid="{00000000-0005-0000-0000-000058180000}"/>
    <cellStyle name="20% - Accent3 10 3 2 3 2 2 2" xfId="51553" xr:uid="{00000000-0005-0000-0000-000059180000}"/>
    <cellStyle name="20% - Accent3 10 3 2 3 2 3" xfId="38637" xr:uid="{00000000-0005-0000-0000-00005A180000}"/>
    <cellStyle name="20% - Accent3 10 3 2 3 3" xfId="19221" xr:uid="{00000000-0005-0000-0000-00005B180000}"/>
    <cellStyle name="20% - Accent3 10 3 2 3 3 2" xfId="45095" xr:uid="{00000000-0005-0000-0000-00005C180000}"/>
    <cellStyle name="20% - Accent3 10 3 2 3 4" xfId="32179" xr:uid="{00000000-0005-0000-0000-00005D180000}"/>
    <cellStyle name="20% - Accent3 10 3 2 4" xfId="9534" xr:uid="{00000000-0005-0000-0000-00005E180000}"/>
    <cellStyle name="20% - Accent3 10 3 2 4 2" xfId="22451" xr:uid="{00000000-0005-0000-0000-00005F180000}"/>
    <cellStyle name="20% - Accent3 10 3 2 4 2 2" xfId="48325" xr:uid="{00000000-0005-0000-0000-000060180000}"/>
    <cellStyle name="20% - Accent3 10 3 2 4 3" xfId="35409" xr:uid="{00000000-0005-0000-0000-000061180000}"/>
    <cellStyle name="20% - Accent3 10 3 2 5" xfId="15993" xr:uid="{00000000-0005-0000-0000-000062180000}"/>
    <cellStyle name="20% - Accent3 10 3 2 5 2" xfId="41867" xr:uid="{00000000-0005-0000-0000-000063180000}"/>
    <cellStyle name="20% - Accent3 10 3 2 6" xfId="28919" xr:uid="{00000000-0005-0000-0000-000064180000}"/>
    <cellStyle name="20% - Accent3 10 3 3" xfId="3856" xr:uid="{00000000-0005-0000-0000-000065180000}"/>
    <cellStyle name="20% - Accent3 10 3 3 2" xfId="7110" xr:uid="{00000000-0005-0000-0000-000066180000}"/>
    <cellStyle name="20% - Accent3 10 3 3 2 2" xfId="13569" xr:uid="{00000000-0005-0000-0000-000067180000}"/>
    <cellStyle name="20% - Accent3 10 3 3 2 2 2" xfId="26486" xr:uid="{00000000-0005-0000-0000-000068180000}"/>
    <cellStyle name="20% - Accent3 10 3 3 2 2 2 2" xfId="52360" xr:uid="{00000000-0005-0000-0000-000069180000}"/>
    <cellStyle name="20% - Accent3 10 3 3 2 2 3" xfId="39444" xr:uid="{00000000-0005-0000-0000-00006A180000}"/>
    <cellStyle name="20% - Accent3 10 3 3 2 3" xfId="20028" xr:uid="{00000000-0005-0000-0000-00006B180000}"/>
    <cellStyle name="20% - Accent3 10 3 3 2 3 2" xfId="45902" xr:uid="{00000000-0005-0000-0000-00006C180000}"/>
    <cellStyle name="20% - Accent3 10 3 3 2 4" xfId="32986" xr:uid="{00000000-0005-0000-0000-00006D180000}"/>
    <cellStyle name="20% - Accent3 10 3 3 3" xfId="10341" xr:uid="{00000000-0005-0000-0000-00006E180000}"/>
    <cellStyle name="20% - Accent3 10 3 3 3 2" xfId="23258" xr:uid="{00000000-0005-0000-0000-00006F180000}"/>
    <cellStyle name="20% - Accent3 10 3 3 3 2 2" xfId="49132" xr:uid="{00000000-0005-0000-0000-000070180000}"/>
    <cellStyle name="20% - Accent3 10 3 3 3 3" xfId="36216" xr:uid="{00000000-0005-0000-0000-000071180000}"/>
    <cellStyle name="20% - Accent3 10 3 3 4" xfId="16800" xr:uid="{00000000-0005-0000-0000-000072180000}"/>
    <cellStyle name="20% - Accent3 10 3 3 4 2" xfId="42674" xr:uid="{00000000-0005-0000-0000-000073180000}"/>
    <cellStyle name="20% - Accent3 10 3 3 5" xfId="29726" xr:uid="{00000000-0005-0000-0000-000074180000}"/>
    <cellStyle name="20% - Accent3 10 3 4" xfId="5496" xr:uid="{00000000-0005-0000-0000-000075180000}"/>
    <cellStyle name="20% - Accent3 10 3 4 2" xfId="11955" xr:uid="{00000000-0005-0000-0000-000076180000}"/>
    <cellStyle name="20% - Accent3 10 3 4 2 2" xfId="24872" xr:uid="{00000000-0005-0000-0000-000077180000}"/>
    <cellStyle name="20% - Accent3 10 3 4 2 2 2" xfId="50746" xr:uid="{00000000-0005-0000-0000-000078180000}"/>
    <cellStyle name="20% - Accent3 10 3 4 2 3" xfId="37830" xr:uid="{00000000-0005-0000-0000-000079180000}"/>
    <cellStyle name="20% - Accent3 10 3 4 3" xfId="18414" xr:uid="{00000000-0005-0000-0000-00007A180000}"/>
    <cellStyle name="20% - Accent3 10 3 4 3 2" xfId="44288" xr:uid="{00000000-0005-0000-0000-00007B180000}"/>
    <cellStyle name="20% - Accent3 10 3 4 4" xfId="31372" xr:uid="{00000000-0005-0000-0000-00007C180000}"/>
    <cellStyle name="20% - Accent3 10 3 5" xfId="8727" xr:uid="{00000000-0005-0000-0000-00007D180000}"/>
    <cellStyle name="20% - Accent3 10 3 5 2" xfId="21644" xr:uid="{00000000-0005-0000-0000-00007E180000}"/>
    <cellStyle name="20% - Accent3 10 3 5 2 2" xfId="47518" xr:uid="{00000000-0005-0000-0000-00007F180000}"/>
    <cellStyle name="20% - Accent3 10 3 5 3" xfId="34602" xr:uid="{00000000-0005-0000-0000-000080180000}"/>
    <cellStyle name="20% - Accent3 10 3 6" xfId="15186" xr:uid="{00000000-0005-0000-0000-000081180000}"/>
    <cellStyle name="20% - Accent3 10 3 6 2" xfId="41060" xr:uid="{00000000-0005-0000-0000-000082180000}"/>
    <cellStyle name="20% - Accent3 10 3 7" xfId="28112" xr:uid="{00000000-0005-0000-0000-000083180000}"/>
    <cellStyle name="20% - Accent3 10 3 8" xfId="53974" xr:uid="{00000000-0005-0000-0000-000084180000}"/>
    <cellStyle name="20% - Accent3 10 4" xfId="2626" xr:uid="{00000000-0005-0000-0000-000085180000}"/>
    <cellStyle name="20% - Accent3 10 4 2" xfId="4283" xr:uid="{00000000-0005-0000-0000-000086180000}"/>
    <cellStyle name="20% - Accent3 10 4 2 2" xfId="7514" xr:uid="{00000000-0005-0000-0000-000087180000}"/>
    <cellStyle name="20% - Accent3 10 4 2 2 2" xfId="13973" xr:uid="{00000000-0005-0000-0000-000088180000}"/>
    <cellStyle name="20% - Accent3 10 4 2 2 2 2" xfId="26890" xr:uid="{00000000-0005-0000-0000-000089180000}"/>
    <cellStyle name="20% - Accent3 10 4 2 2 2 2 2" xfId="52764" xr:uid="{00000000-0005-0000-0000-00008A180000}"/>
    <cellStyle name="20% - Accent3 10 4 2 2 2 3" xfId="39848" xr:uid="{00000000-0005-0000-0000-00008B180000}"/>
    <cellStyle name="20% - Accent3 10 4 2 2 3" xfId="20432" xr:uid="{00000000-0005-0000-0000-00008C180000}"/>
    <cellStyle name="20% - Accent3 10 4 2 2 3 2" xfId="46306" xr:uid="{00000000-0005-0000-0000-00008D180000}"/>
    <cellStyle name="20% - Accent3 10 4 2 2 4" xfId="33390" xr:uid="{00000000-0005-0000-0000-00008E180000}"/>
    <cellStyle name="20% - Accent3 10 4 2 3" xfId="10745" xr:uid="{00000000-0005-0000-0000-00008F180000}"/>
    <cellStyle name="20% - Accent3 10 4 2 3 2" xfId="23662" xr:uid="{00000000-0005-0000-0000-000090180000}"/>
    <cellStyle name="20% - Accent3 10 4 2 3 2 2" xfId="49536" xr:uid="{00000000-0005-0000-0000-000091180000}"/>
    <cellStyle name="20% - Accent3 10 4 2 3 3" xfId="36620" xr:uid="{00000000-0005-0000-0000-000092180000}"/>
    <cellStyle name="20% - Accent3 10 4 2 4" xfId="17204" xr:uid="{00000000-0005-0000-0000-000093180000}"/>
    <cellStyle name="20% - Accent3 10 4 2 4 2" xfId="43078" xr:uid="{00000000-0005-0000-0000-000094180000}"/>
    <cellStyle name="20% - Accent3 10 4 2 5" xfId="30130" xr:uid="{00000000-0005-0000-0000-000095180000}"/>
    <cellStyle name="20% - Accent3 10 4 3" xfId="5900" xr:uid="{00000000-0005-0000-0000-000096180000}"/>
    <cellStyle name="20% - Accent3 10 4 3 2" xfId="12359" xr:uid="{00000000-0005-0000-0000-000097180000}"/>
    <cellStyle name="20% - Accent3 10 4 3 2 2" xfId="25276" xr:uid="{00000000-0005-0000-0000-000098180000}"/>
    <cellStyle name="20% - Accent3 10 4 3 2 2 2" xfId="51150" xr:uid="{00000000-0005-0000-0000-000099180000}"/>
    <cellStyle name="20% - Accent3 10 4 3 2 3" xfId="38234" xr:uid="{00000000-0005-0000-0000-00009A180000}"/>
    <cellStyle name="20% - Accent3 10 4 3 3" xfId="18818" xr:uid="{00000000-0005-0000-0000-00009B180000}"/>
    <cellStyle name="20% - Accent3 10 4 3 3 2" xfId="44692" xr:uid="{00000000-0005-0000-0000-00009C180000}"/>
    <cellStyle name="20% - Accent3 10 4 3 4" xfId="31776" xr:uid="{00000000-0005-0000-0000-00009D180000}"/>
    <cellStyle name="20% - Accent3 10 4 4" xfId="9131" xr:uid="{00000000-0005-0000-0000-00009E180000}"/>
    <cellStyle name="20% - Accent3 10 4 4 2" xfId="22048" xr:uid="{00000000-0005-0000-0000-00009F180000}"/>
    <cellStyle name="20% - Accent3 10 4 4 2 2" xfId="47922" xr:uid="{00000000-0005-0000-0000-0000A0180000}"/>
    <cellStyle name="20% - Accent3 10 4 4 3" xfId="35006" xr:uid="{00000000-0005-0000-0000-0000A1180000}"/>
    <cellStyle name="20% - Accent3 10 4 5" xfId="15590" xr:uid="{00000000-0005-0000-0000-0000A2180000}"/>
    <cellStyle name="20% - Accent3 10 4 5 2" xfId="41464" xr:uid="{00000000-0005-0000-0000-0000A3180000}"/>
    <cellStyle name="20% - Accent3 10 4 6" xfId="28516" xr:uid="{00000000-0005-0000-0000-0000A4180000}"/>
    <cellStyle name="20% - Accent3 10 5" xfId="3453" xr:uid="{00000000-0005-0000-0000-0000A5180000}"/>
    <cellStyle name="20% - Accent3 10 5 2" xfId="6707" xr:uid="{00000000-0005-0000-0000-0000A6180000}"/>
    <cellStyle name="20% - Accent3 10 5 2 2" xfId="13166" xr:uid="{00000000-0005-0000-0000-0000A7180000}"/>
    <cellStyle name="20% - Accent3 10 5 2 2 2" xfId="26083" xr:uid="{00000000-0005-0000-0000-0000A8180000}"/>
    <cellStyle name="20% - Accent3 10 5 2 2 2 2" xfId="51957" xr:uid="{00000000-0005-0000-0000-0000A9180000}"/>
    <cellStyle name="20% - Accent3 10 5 2 2 3" xfId="39041" xr:uid="{00000000-0005-0000-0000-0000AA180000}"/>
    <cellStyle name="20% - Accent3 10 5 2 3" xfId="19625" xr:uid="{00000000-0005-0000-0000-0000AB180000}"/>
    <cellStyle name="20% - Accent3 10 5 2 3 2" xfId="45499" xr:uid="{00000000-0005-0000-0000-0000AC180000}"/>
    <cellStyle name="20% - Accent3 10 5 2 4" xfId="32583" xr:uid="{00000000-0005-0000-0000-0000AD180000}"/>
    <cellStyle name="20% - Accent3 10 5 3" xfId="9938" xr:uid="{00000000-0005-0000-0000-0000AE180000}"/>
    <cellStyle name="20% - Accent3 10 5 3 2" xfId="22855" xr:uid="{00000000-0005-0000-0000-0000AF180000}"/>
    <cellStyle name="20% - Accent3 10 5 3 2 2" xfId="48729" xr:uid="{00000000-0005-0000-0000-0000B0180000}"/>
    <cellStyle name="20% - Accent3 10 5 3 3" xfId="35813" xr:uid="{00000000-0005-0000-0000-0000B1180000}"/>
    <cellStyle name="20% - Accent3 10 5 4" xfId="16397" xr:uid="{00000000-0005-0000-0000-0000B2180000}"/>
    <cellStyle name="20% - Accent3 10 5 4 2" xfId="42271" xr:uid="{00000000-0005-0000-0000-0000B3180000}"/>
    <cellStyle name="20% - Accent3 10 5 5" xfId="29323" xr:uid="{00000000-0005-0000-0000-0000B4180000}"/>
    <cellStyle name="20% - Accent3 10 6" xfId="5093" xr:uid="{00000000-0005-0000-0000-0000B5180000}"/>
    <cellStyle name="20% - Accent3 10 6 2" xfId="11552" xr:uid="{00000000-0005-0000-0000-0000B6180000}"/>
    <cellStyle name="20% - Accent3 10 6 2 2" xfId="24469" xr:uid="{00000000-0005-0000-0000-0000B7180000}"/>
    <cellStyle name="20% - Accent3 10 6 2 2 2" xfId="50343" xr:uid="{00000000-0005-0000-0000-0000B8180000}"/>
    <cellStyle name="20% - Accent3 10 6 2 3" xfId="37427" xr:uid="{00000000-0005-0000-0000-0000B9180000}"/>
    <cellStyle name="20% - Accent3 10 6 3" xfId="18011" xr:uid="{00000000-0005-0000-0000-0000BA180000}"/>
    <cellStyle name="20% - Accent3 10 6 3 2" xfId="43885" xr:uid="{00000000-0005-0000-0000-0000BB180000}"/>
    <cellStyle name="20% - Accent3 10 6 4" xfId="30969" xr:uid="{00000000-0005-0000-0000-0000BC180000}"/>
    <cellStyle name="20% - Accent3 10 7" xfId="8323" xr:uid="{00000000-0005-0000-0000-0000BD180000}"/>
    <cellStyle name="20% - Accent3 10 7 2" xfId="21240" xr:uid="{00000000-0005-0000-0000-0000BE180000}"/>
    <cellStyle name="20% - Accent3 10 7 2 2" xfId="47114" xr:uid="{00000000-0005-0000-0000-0000BF180000}"/>
    <cellStyle name="20% - Accent3 10 7 3" xfId="34198" xr:uid="{00000000-0005-0000-0000-0000C0180000}"/>
    <cellStyle name="20% - Accent3 10 8" xfId="14782" xr:uid="{00000000-0005-0000-0000-0000C1180000}"/>
    <cellStyle name="20% - Accent3 10 8 2" xfId="40656" xr:uid="{00000000-0005-0000-0000-0000C2180000}"/>
    <cellStyle name="20% - Accent3 10 9" xfId="27706" xr:uid="{00000000-0005-0000-0000-0000C3180000}"/>
    <cellStyle name="20% - Accent3 11" xfId="1761" xr:uid="{00000000-0005-0000-0000-0000C4180000}"/>
    <cellStyle name="20% - Accent3 11 2" xfId="2255" xr:uid="{00000000-0005-0000-0000-0000C5180000}"/>
    <cellStyle name="20% - Accent3 11 2 2" xfId="3069" xr:uid="{00000000-0005-0000-0000-0000C6180000}"/>
    <cellStyle name="20% - Accent3 11 2 2 2" xfId="4726" xr:uid="{00000000-0005-0000-0000-0000C7180000}"/>
    <cellStyle name="20% - Accent3 11 2 2 2 2" xfId="7957" xr:uid="{00000000-0005-0000-0000-0000C8180000}"/>
    <cellStyle name="20% - Accent3 11 2 2 2 2 2" xfId="14416" xr:uid="{00000000-0005-0000-0000-0000C9180000}"/>
    <cellStyle name="20% - Accent3 11 2 2 2 2 2 2" xfId="27333" xr:uid="{00000000-0005-0000-0000-0000CA180000}"/>
    <cellStyle name="20% - Accent3 11 2 2 2 2 2 2 2" xfId="53207" xr:uid="{00000000-0005-0000-0000-0000CB180000}"/>
    <cellStyle name="20% - Accent3 11 2 2 2 2 2 3" xfId="40291" xr:uid="{00000000-0005-0000-0000-0000CC180000}"/>
    <cellStyle name="20% - Accent3 11 2 2 2 2 3" xfId="20875" xr:uid="{00000000-0005-0000-0000-0000CD180000}"/>
    <cellStyle name="20% - Accent3 11 2 2 2 2 3 2" xfId="46749" xr:uid="{00000000-0005-0000-0000-0000CE180000}"/>
    <cellStyle name="20% - Accent3 11 2 2 2 2 4" xfId="33833" xr:uid="{00000000-0005-0000-0000-0000CF180000}"/>
    <cellStyle name="20% - Accent3 11 2 2 2 3" xfId="11188" xr:uid="{00000000-0005-0000-0000-0000D0180000}"/>
    <cellStyle name="20% - Accent3 11 2 2 2 3 2" xfId="24105" xr:uid="{00000000-0005-0000-0000-0000D1180000}"/>
    <cellStyle name="20% - Accent3 11 2 2 2 3 2 2" xfId="49979" xr:uid="{00000000-0005-0000-0000-0000D2180000}"/>
    <cellStyle name="20% - Accent3 11 2 2 2 3 3" xfId="37063" xr:uid="{00000000-0005-0000-0000-0000D3180000}"/>
    <cellStyle name="20% - Accent3 11 2 2 2 4" xfId="17647" xr:uid="{00000000-0005-0000-0000-0000D4180000}"/>
    <cellStyle name="20% - Accent3 11 2 2 2 4 2" xfId="43521" xr:uid="{00000000-0005-0000-0000-0000D5180000}"/>
    <cellStyle name="20% - Accent3 11 2 2 2 5" xfId="30573" xr:uid="{00000000-0005-0000-0000-0000D6180000}"/>
    <cellStyle name="20% - Accent3 11 2 2 3" xfId="6343" xr:uid="{00000000-0005-0000-0000-0000D7180000}"/>
    <cellStyle name="20% - Accent3 11 2 2 3 2" xfId="12802" xr:uid="{00000000-0005-0000-0000-0000D8180000}"/>
    <cellStyle name="20% - Accent3 11 2 2 3 2 2" xfId="25719" xr:uid="{00000000-0005-0000-0000-0000D9180000}"/>
    <cellStyle name="20% - Accent3 11 2 2 3 2 2 2" xfId="51593" xr:uid="{00000000-0005-0000-0000-0000DA180000}"/>
    <cellStyle name="20% - Accent3 11 2 2 3 2 3" xfId="38677" xr:uid="{00000000-0005-0000-0000-0000DB180000}"/>
    <cellStyle name="20% - Accent3 11 2 2 3 3" xfId="19261" xr:uid="{00000000-0005-0000-0000-0000DC180000}"/>
    <cellStyle name="20% - Accent3 11 2 2 3 3 2" xfId="45135" xr:uid="{00000000-0005-0000-0000-0000DD180000}"/>
    <cellStyle name="20% - Accent3 11 2 2 3 4" xfId="32219" xr:uid="{00000000-0005-0000-0000-0000DE180000}"/>
    <cellStyle name="20% - Accent3 11 2 2 4" xfId="9574" xr:uid="{00000000-0005-0000-0000-0000DF180000}"/>
    <cellStyle name="20% - Accent3 11 2 2 4 2" xfId="22491" xr:uid="{00000000-0005-0000-0000-0000E0180000}"/>
    <cellStyle name="20% - Accent3 11 2 2 4 2 2" xfId="48365" xr:uid="{00000000-0005-0000-0000-0000E1180000}"/>
    <cellStyle name="20% - Accent3 11 2 2 4 3" xfId="35449" xr:uid="{00000000-0005-0000-0000-0000E2180000}"/>
    <cellStyle name="20% - Accent3 11 2 2 5" xfId="16033" xr:uid="{00000000-0005-0000-0000-0000E3180000}"/>
    <cellStyle name="20% - Accent3 11 2 2 5 2" xfId="41907" xr:uid="{00000000-0005-0000-0000-0000E4180000}"/>
    <cellStyle name="20% - Accent3 11 2 2 6" xfId="28959" xr:uid="{00000000-0005-0000-0000-0000E5180000}"/>
    <cellStyle name="20% - Accent3 11 2 3" xfId="3896" xr:uid="{00000000-0005-0000-0000-0000E6180000}"/>
    <cellStyle name="20% - Accent3 11 2 3 2" xfId="7150" xr:uid="{00000000-0005-0000-0000-0000E7180000}"/>
    <cellStyle name="20% - Accent3 11 2 3 2 2" xfId="13609" xr:uid="{00000000-0005-0000-0000-0000E8180000}"/>
    <cellStyle name="20% - Accent3 11 2 3 2 2 2" xfId="26526" xr:uid="{00000000-0005-0000-0000-0000E9180000}"/>
    <cellStyle name="20% - Accent3 11 2 3 2 2 2 2" xfId="52400" xr:uid="{00000000-0005-0000-0000-0000EA180000}"/>
    <cellStyle name="20% - Accent3 11 2 3 2 2 3" xfId="39484" xr:uid="{00000000-0005-0000-0000-0000EB180000}"/>
    <cellStyle name="20% - Accent3 11 2 3 2 3" xfId="20068" xr:uid="{00000000-0005-0000-0000-0000EC180000}"/>
    <cellStyle name="20% - Accent3 11 2 3 2 3 2" xfId="45942" xr:uid="{00000000-0005-0000-0000-0000ED180000}"/>
    <cellStyle name="20% - Accent3 11 2 3 2 4" xfId="33026" xr:uid="{00000000-0005-0000-0000-0000EE180000}"/>
    <cellStyle name="20% - Accent3 11 2 3 3" xfId="10381" xr:uid="{00000000-0005-0000-0000-0000EF180000}"/>
    <cellStyle name="20% - Accent3 11 2 3 3 2" xfId="23298" xr:uid="{00000000-0005-0000-0000-0000F0180000}"/>
    <cellStyle name="20% - Accent3 11 2 3 3 2 2" xfId="49172" xr:uid="{00000000-0005-0000-0000-0000F1180000}"/>
    <cellStyle name="20% - Accent3 11 2 3 3 3" xfId="36256" xr:uid="{00000000-0005-0000-0000-0000F2180000}"/>
    <cellStyle name="20% - Accent3 11 2 3 4" xfId="16840" xr:uid="{00000000-0005-0000-0000-0000F3180000}"/>
    <cellStyle name="20% - Accent3 11 2 3 4 2" xfId="42714" xr:uid="{00000000-0005-0000-0000-0000F4180000}"/>
    <cellStyle name="20% - Accent3 11 2 3 5" xfId="29766" xr:uid="{00000000-0005-0000-0000-0000F5180000}"/>
    <cellStyle name="20% - Accent3 11 2 4" xfId="5536" xr:uid="{00000000-0005-0000-0000-0000F6180000}"/>
    <cellStyle name="20% - Accent3 11 2 4 2" xfId="11995" xr:uid="{00000000-0005-0000-0000-0000F7180000}"/>
    <cellStyle name="20% - Accent3 11 2 4 2 2" xfId="24912" xr:uid="{00000000-0005-0000-0000-0000F8180000}"/>
    <cellStyle name="20% - Accent3 11 2 4 2 2 2" xfId="50786" xr:uid="{00000000-0005-0000-0000-0000F9180000}"/>
    <cellStyle name="20% - Accent3 11 2 4 2 3" xfId="37870" xr:uid="{00000000-0005-0000-0000-0000FA180000}"/>
    <cellStyle name="20% - Accent3 11 2 4 3" xfId="18454" xr:uid="{00000000-0005-0000-0000-0000FB180000}"/>
    <cellStyle name="20% - Accent3 11 2 4 3 2" xfId="44328" xr:uid="{00000000-0005-0000-0000-0000FC180000}"/>
    <cellStyle name="20% - Accent3 11 2 4 4" xfId="31412" xr:uid="{00000000-0005-0000-0000-0000FD180000}"/>
    <cellStyle name="20% - Accent3 11 2 5" xfId="8767" xr:uid="{00000000-0005-0000-0000-0000FE180000}"/>
    <cellStyle name="20% - Accent3 11 2 5 2" xfId="21684" xr:uid="{00000000-0005-0000-0000-0000FF180000}"/>
    <cellStyle name="20% - Accent3 11 2 5 2 2" xfId="47558" xr:uid="{00000000-0005-0000-0000-000000190000}"/>
    <cellStyle name="20% - Accent3 11 2 5 3" xfId="34642" xr:uid="{00000000-0005-0000-0000-000001190000}"/>
    <cellStyle name="20% - Accent3 11 2 6" xfId="15226" xr:uid="{00000000-0005-0000-0000-000002190000}"/>
    <cellStyle name="20% - Accent3 11 2 6 2" xfId="41100" xr:uid="{00000000-0005-0000-0000-000003190000}"/>
    <cellStyle name="20% - Accent3 11 2 7" xfId="28152" xr:uid="{00000000-0005-0000-0000-000004190000}"/>
    <cellStyle name="20% - Accent3 11 2 8" xfId="54014" xr:uid="{00000000-0005-0000-0000-000005190000}"/>
    <cellStyle name="20% - Accent3 11 3" xfId="2666" xr:uid="{00000000-0005-0000-0000-000006190000}"/>
    <cellStyle name="20% - Accent3 11 3 2" xfId="4323" xr:uid="{00000000-0005-0000-0000-000007190000}"/>
    <cellStyle name="20% - Accent3 11 3 2 2" xfId="7554" xr:uid="{00000000-0005-0000-0000-000008190000}"/>
    <cellStyle name="20% - Accent3 11 3 2 2 2" xfId="14013" xr:uid="{00000000-0005-0000-0000-000009190000}"/>
    <cellStyle name="20% - Accent3 11 3 2 2 2 2" xfId="26930" xr:uid="{00000000-0005-0000-0000-00000A190000}"/>
    <cellStyle name="20% - Accent3 11 3 2 2 2 2 2" xfId="52804" xr:uid="{00000000-0005-0000-0000-00000B190000}"/>
    <cellStyle name="20% - Accent3 11 3 2 2 2 3" xfId="39888" xr:uid="{00000000-0005-0000-0000-00000C190000}"/>
    <cellStyle name="20% - Accent3 11 3 2 2 3" xfId="20472" xr:uid="{00000000-0005-0000-0000-00000D190000}"/>
    <cellStyle name="20% - Accent3 11 3 2 2 3 2" xfId="46346" xr:uid="{00000000-0005-0000-0000-00000E190000}"/>
    <cellStyle name="20% - Accent3 11 3 2 2 4" xfId="33430" xr:uid="{00000000-0005-0000-0000-00000F190000}"/>
    <cellStyle name="20% - Accent3 11 3 2 3" xfId="10785" xr:uid="{00000000-0005-0000-0000-000010190000}"/>
    <cellStyle name="20% - Accent3 11 3 2 3 2" xfId="23702" xr:uid="{00000000-0005-0000-0000-000011190000}"/>
    <cellStyle name="20% - Accent3 11 3 2 3 2 2" xfId="49576" xr:uid="{00000000-0005-0000-0000-000012190000}"/>
    <cellStyle name="20% - Accent3 11 3 2 3 3" xfId="36660" xr:uid="{00000000-0005-0000-0000-000013190000}"/>
    <cellStyle name="20% - Accent3 11 3 2 4" xfId="17244" xr:uid="{00000000-0005-0000-0000-000014190000}"/>
    <cellStyle name="20% - Accent3 11 3 2 4 2" xfId="43118" xr:uid="{00000000-0005-0000-0000-000015190000}"/>
    <cellStyle name="20% - Accent3 11 3 2 5" xfId="30170" xr:uid="{00000000-0005-0000-0000-000016190000}"/>
    <cellStyle name="20% - Accent3 11 3 3" xfId="5940" xr:uid="{00000000-0005-0000-0000-000017190000}"/>
    <cellStyle name="20% - Accent3 11 3 3 2" xfId="12399" xr:uid="{00000000-0005-0000-0000-000018190000}"/>
    <cellStyle name="20% - Accent3 11 3 3 2 2" xfId="25316" xr:uid="{00000000-0005-0000-0000-000019190000}"/>
    <cellStyle name="20% - Accent3 11 3 3 2 2 2" xfId="51190" xr:uid="{00000000-0005-0000-0000-00001A190000}"/>
    <cellStyle name="20% - Accent3 11 3 3 2 3" xfId="38274" xr:uid="{00000000-0005-0000-0000-00001B190000}"/>
    <cellStyle name="20% - Accent3 11 3 3 3" xfId="18858" xr:uid="{00000000-0005-0000-0000-00001C190000}"/>
    <cellStyle name="20% - Accent3 11 3 3 3 2" xfId="44732" xr:uid="{00000000-0005-0000-0000-00001D190000}"/>
    <cellStyle name="20% - Accent3 11 3 3 4" xfId="31816" xr:uid="{00000000-0005-0000-0000-00001E190000}"/>
    <cellStyle name="20% - Accent3 11 3 4" xfId="9171" xr:uid="{00000000-0005-0000-0000-00001F190000}"/>
    <cellStyle name="20% - Accent3 11 3 4 2" xfId="22088" xr:uid="{00000000-0005-0000-0000-000020190000}"/>
    <cellStyle name="20% - Accent3 11 3 4 2 2" xfId="47962" xr:uid="{00000000-0005-0000-0000-000021190000}"/>
    <cellStyle name="20% - Accent3 11 3 4 3" xfId="35046" xr:uid="{00000000-0005-0000-0000-000022190000}"/>
    <cellStyle name="20% - Accent3 11 3 5" xfId="15630" xr:uid="{00000000-0005-0000-0000-000023190000}"/>
    <cellStyle name="20% - Accent3 11 3 5 2" xfId="41504" xr:uid="{00000000-0005-0000-0000-000024190000}"/>
    <cellStyle name="20% - Accent3 11 3 6" xfId="28556" xr:uid="{00000000-0005-0000-0000-000025190000}"/>
    <cellStyle name="20% - Accent3 11 4" xfId="3493" xr:uid="{00000000-0005-0000-0000-000026190000}"/>
    <cellStyle name="20% - Accent3 11 4 2" xfId="6747" xr:uid="{00000000-0005-0000-0000-000027190000}"/>
    <cellStyle name="20% - Accent3 11 4 2 2" xfId="13206" xr:uid="{00000000-0005-0000-0000-000028190000}"/>
    <cellStyle name="20% - Accent3 11 4 2 2 2" xfId="26123" xr:uid="{00000000-0005-0000-0000-000029190000}"/>
    <cellStyle name="20% - Accent3 11 4 2 2 2 2" xfId="51997" xr:uid="{00000000-0005-0000-0000-00002A190000}"/>
    <cellStyle name="20% - Accent3 11 4 2 2 3" xfId="39081" xr:uid="{00000000-0005-0000-0000-00002B190000}"/>
    <cellStyle name="20% - Accent3 11 4 2 3" xfId="19665" xr:uid="{00000000-0005-0000-0000-00002C190000}"/>
    <cellStyle name="20% - Accent3 11 4 2 3 2" xfId="45539" xr:uid="{00000000-0005-0000-0000-00002D190000}"/>
    <cellStyle name="20% - Accent3 11 4 2 4" xfId="32623" xr:uid="{00000000-0005-0000-0000-00002E190000}"/>
    <cellStyle name="20% - Accent3 11 4 3" xfId="9978" xr:uid="{00000000-0005-0000-0000-00002F190000}"/>
    <cellStyle name="20% - Accent3 11 4 3 2" xfId="22895" xr:uid="{00000000-0005-0000-0000-000030190000}"/>
    <cellStyle name="20% - Accent3 11 4 3 2 2" xfId="48769" xr:uid="{00000000-0005-0000-0000-000031190000}"/>
    <cellStyle name="20% - Accent3 11 4 3 3" xfId="35853" xr:uid="{00000000-0005-0000-0000-000032190000}"/>
    <cellStyle name="20% - Accent3 11 4 4" xfId="16437" xr:uid="{00000000-0005-0000-0000-000033190000}"/>
    <cellStyle name="20% - Accent3 11 4 4 2" xfId="42311" xr:uid="{00000000-0005-0000-0000-000034190000}"/>
    <cellStyle name="20% - Accent3 11 4 5" xfId="29363" xr:uid="{00000000-0005-0000-0000-000035190000}"/>
    <cellStyle name="20% - Accent3 11 5" xfId="5133" xr:uid="{00000000-0005-0000-0000-000036190000}"/>
    <cellStyle name="20% - Accent3 11 5 2" xfId="11592" xr:uid="{00000000-0005-0000-0000-000037190000}"/>
    <cellStyle name="20% - Accent3 11 5 2 2" xfId="24509" xr:uid="{00000000-0005-0000-0000-000038190000}"/>
    <cellStyle name="20% - Accent3 11 5 2 2 2" xfId="50383" xr:uid="{00000000-0005-0000-0000-000039190000}"/>
    <cellStyle name="20% - Accent3 11 5 2 3" xfId="37467" xr:uid="{00000000-0005-0000-0000-00003A190000}"/>
    <cellStyle name="20% - Accent3 11 5 3" xfId="18051" xr:uid="{00000000-0005-0000-0000-00003B190000}"/>
    <cellStyle name="20% - Accent3 11 5 3 2" xfId="43925" xr:uid="{00000000-0005-0000-0000-00003C190000}"/>
    <cellStyle name="20% - Accent3 11 5 4" xfId="31009" xr:uid="{00000000-0005-0000-0000-00003D190000}"/>
    <cellStyle name="20% - Accent3 11 6" xfId="8363" xr:uid="{00000000-0005-0000-0000-00003E190000}"/>
    <cellStyle name="20% - Accent3 11 6 2" xfId="21280" xr:uid="{00000000-0005-0000-0000-00003F190000}"/>
    <cellStyle name="20% - Accent3 11 6 2 2" xfId="47154" xr:uid="{00000000-0005-0000-0000-000040190000}"/>
    <cellStyle name="20% - Accent3 11 6 3" xfId="34238" xr:uid="{00000000-0005-0000-0000-000041190000}"/>
    <cellStyle name="20% - Accent3 11 7" xfId="14822" xr:uid="{00000000-0005-0000-0000-000042190000}"/>
    <cellStyle name="20% - Accent3 11 7 2" xfId="40696" xr:uid="{00000000-0005-0000-0000-000043190000}"/>
    <cellStyle name="20% - Accent3 11 8" xfId="27748" xr:uid="{00000000-0005-0000-0000-000044190000}"/>
    <cellStyle name="20% - Accent3 11 9" xfId="53611" xr:uid="{00000000-0005-0000-0000-000045190000}"/>
    <cellStyle name="20% - Accent3 12" xfId="2042" xr:uid="{00000000-0005-0000-0000-000046190000}"/>
    <cellStyle name="20% - Accent3 12 2" xfId="2451" xr:uid="{00000000-0005-0000-0000-000047190000}"/>
    <cellStyle name="20% - Accent3 12 2 2" xfId="3264" xr:uid="{00000000-0005-0000-0000-000048190000}"/>
    <cellStyle name="20% - Accent3 12 2 2 2" xfId="4921" xr:uid="{00000000-0005-0000-0000-000049190000}"/>
    <cellStyle name="20% - Accent3 12 2 2 2 2" xfId="8152" xr:uid="{00000000-0005-0000-0000-00004A190000}"/>
    <cellStyle name="20% - Accent3 12 2 2 2 2 2" xfId="14611" xr:uid="{00000000-0005-0000-0000-00004B190000}"/>
    <cellStyle name="20% - Accent3 12 2 2 2 2 2 2" xfId="27528" xr:uid="{00000000-0005-0000-0000-00004C190000}"/>
    <cellStyle name="20% - Accent3 12 2 2 2 2 2 2 2" xfId="53402" xr:uid="{00000000-0005-0000-0000-00004D190000}"/>
    <cellStyle name="20% - Accent3 12 2 2 2 2 2 3" xfId="40486" xr:uid="{00000000-0005-0000-0000-00004E190000}"/>
    <cellStyle name="20% - Accent3 12 2 2 2 2 3" xfId="21070" xr:uid="{00000000-0005-0000-0000-00004F190000}"/>
    <cellStyle name="20% - Accent3 12 2 2 2 2 3 2" xfId="46944" xr:uid="{00000000-0005-0000-0000-000050190000}"/>
    <cellStyle name="20% - Accent3 12 2 2 2 2 4" xfId="34028" xr:uid="{00000000-0005-0000-0000-000051190000}"/>
    <cellStyle name="20% - Accent3 12 2 2 2 3" xfId="11383" xr:uid="{00000000-0005-0000-0000-000052190000}"/>
    <cellStyle name="20% - Accent3 12 2 2 2 3 2" xfId="24300" xr:uid="{00000000-0005-0000-0000-000053190000}"/>
    <cellStyle name="20% - Accent3 12 2 2 2 3 2 2" xfId="50174" xr:uid="{00000000-0005-0000-0000-000054190000}"/>
    <cellStyle name="20% - Accent3 12 2 2 2 3 3" xfId="37258" xr:uid="{00000000-0005-0000-0000-000055190000}"/>
    <cellStyle name="20% - Accent3 12 2 2 2 4" xfId="17842" xr:uid="{00000000-0005-0000-0000-000056190000}"/>
    <cellStyle name="20% - Accent3 12 2 2 2 4 2" xfId="43716" xr:uid="{00000000-0005-0000-0000-000057190000}"/>
    <cellStyle name="20% - Accent3 12 2 2 2 5" xfId="30768" xr:uid="{00000000-0005-0000-0000-000058190000}"/>
    <cellStyle name="20% - Accent3 12 2 2 3" xfId="6538" xr:uid="{00000000-0005-0000-0000-000059190000}"/>
    <cellStyle name="20% - Accent3 12 2 2 3 2" xfId="12997" xr:uid="{00000000-0005-0000-0000-00005A190000}"/>
    <cellStyle name="20% - Accent3 12 2 2 3 2 2" xfId="25914" xr:uid="{00000000-0005-0000-0000-00005B190000}"/>
    <cellStyle name="20% - Accent3 12 2 2 3 2 2 2" xfId="51788" xr:uid="{00000000-0005-0000-0000-00005C190000}"/>
    <cellStyle name="20% - Accent3 12 2 2 3 2 3" xfId="38872" xr:uid="{00000000-0005-0000-0000-00005D190000}"/>
    <cellStyle name="20% - Accent3 12 2 2 3 3" xfId="19456" xr:uid="{00000000-0005-0000-0000-00005E190000}"/>
    <cellStyle name="20% - Accent3 12 2 2 3 3 2" xfId="45330" xr:uid="{00000000-0005-0000-0000-00005F190000}"/>
    <cellStyle name="20% - Accent3 12 2 2 3 4" xfId="32414" xr:uid="{00000000-0005-0000-0000-000060190000}"/>
    <cellStyle name="20% - Accent3 12 2 2 4" xfId="9769" xr:uid="{00000000-0005-0000-0000-000061190000}"/>
    <cellStyle name="20% - Accent3 12 2 2 4 2" xfId="22686" xr:uid="{00000000-0005-0000-0000-000062190000}"/>
    <cellStyle name="20% - Accent3 12 2 2 4 2 2" xfId="48560" xr:uid="{00000000-0005-0000-0000-000063190000}"/>
    <cellStyle name="20% - Accent3 12 2 2 4 3" xfId="35644" xr:uid="{00000000-0005-0000-0000-000064190000}"/>
    <cellStyle name="20% - Accent3 12 2 2 5" xfId="16228" xr:uid="{00000000-0005-0000-0000-000065190000}"/>
    <cellStyle name="20% - Accent3 12 2 2 5 2" xfId="42102" xr:uid="{00000000-0005-0000-0000-000066190000}"/>
    <cellStyle name="20% - Accent3 12 2 2 6" xfId="29154" xr:uid="{00000000-0005-0000-0000-000067190000}"/>
    <cellStyle name="20% - Accent3 12 2 3" xfId="4091" xr:uid="{00000000-0005-0000-0000-000068190000}"/>
    <cellStyle name="20% - Accent3 12 2 3 2" xfId="7345" xr:uid="{00000000-0005-0000-0000-000069190000}"/>
    <cellStyle name="20% - Accent3 12 2 3 2 2" xfId="13804" xr:uid="{00000000-0005-0000-0000-00006A190000}"/>
    <cellStyle name="20% - Accent3 12 2 3 2 2 2" xfId="26721" xr:uid="{00000000-0005-0000-0000-00006B190000}"/>
    <cellStyle name="20% - Accent3 12 2 3 2 2 2 2" xfId="52595" xr:uid="{00000000-0005-0000-0000-00006C190000}"/>
    <cellStyle name="20% - Accent3 12 2 3 2 2 3" xfId="39679" xr:uid="{00000000-0005-0000-0000-00006D190000}"/>
    <cellStyle name="20% - Accent3 12 2 3 2 3" xfId="20263" xr:uid="{00000000-0005-0000-0000-00006E190000}"/>
    <cellStyle name="20% - Accent3 12 2 3 2 3 2" xfId="46137" xr:uid="{00000000-0005-0000-0000-00006F190000}"/>
    <cellStyle name="20% - Accent3 12 2 3 2 4" xfId="33221" xr:uid="{00000000-0005-0000-0000-000070190000}"/>
    <cellStyle name="20% - Accent3 12 2 3 3" xfId="10576" xr:uid="{00000000-0005-0000-0000-000071190000}"/>
    <cellStyle name="20% - Accent3 12 2 3 3 2" xfId="23493" xr:uid="{00000000-0005-0000-0000-000072190000}"/>
    <cellStyle name="20% - Accent3 12 2 3 3 2 2" xfId="49367" xr:uid="{00000000-0005-0000-0000-000073190000}"/>
    <cellStyle name="20% - Accent3 12 2 3 3 3" xfId="36451" xr:uid="{00000000-0005-0000-0000-000074190000}"/>
    <cellStyle name="20% - Accent3 12 2 3 4" xfId="17035" xr:uid="{00000000-0005-0000-0000-000075190000}"/>
    <cellStyle name="20% - Accent3 12 2 3 4 2" xfId="42909" xr:uid="{00000000-0005-0000-0000-000076190000}"/>
    <cellStyle name="20% - Accent3 12 2 3 5" xfId="29961" xr:uid="{00000000-0005-0000-0000-000077190000}"/>
    <cellStyle name="20% - Accent3 12 2 4" xfId="5731" xr:uid="{00000000-0005-0000-0000-000078190000}"/>
    <cellStyle name="20% - Accent3 12 2 4 2" xfId="12190" xr:uid="{00000000-0005-0000-0000-000079190000}"/>
    <cellStyle name="20% - Accent3 12 2 4 2 2" xfId="25107" xr:uid="{00000000-0005-0000-0000-00007A190000}"/>
    <cellStyle name="20% - Accent3 12 2 4 2 2 2" xfId="50981" xr:uid="{00000000-0005-0000-0000-00007B190000}"/>
    <cellStyle name="20% - Accent3 12 2 4 2 3" xfId="38065" xr:uid="{00000000-0005-0000-0000-00007C190000}"/>
    <cellStyle name="20% - Accent3 12 2 4 3" xfId="18649" xr:uid="{00000000-0005-0000-0000-00007D190000}"/>
    <cellStyle name="20% - Accent3 12 2 4 3 2" xfId="44523" xr:uid="{00000000-0005-0000-0000-00007E190000}"/>
    <cellStyle name="20% - Accent3 12 2 4 4" xfId="31607" xr:uid="{00000000-0005-0000-0000-00007F190000}"/>
    <cellStyle name="20% - Accent3 12 2 5" xfId="8962" xr:uid="{00000000-0005-0000-0000-000080190000}"/>
    <cellStyle name="20% - Accent3 12 2 5 2" xfId="21879" xr:uid="{00000000-0005-0000-0000-000081190000}"/>
    <cellStyle name="20% - Accent3 12 2 5 2 2" xfId="47753" xr:uid="{00000000-0005-0000-0000-000082190000}"/>
    <cellStyle name="20% - Accent3 12 2 5 3" xfId="34837" xr:uid="{00000000-0005-0000-0000-000083190000}"/>
    <cellStyle name="20% - Accent3 12 2 6" xfId="15421" xr:uid="{00000000-0005-0000-0000-000084190000}"/>
    <cellStyle name="20% - Accent3 12 2 6 2" xfId="41295" xr:uid="{00000000-0005-0000-0000-000085190000}"/>
    <cellStyle name="20% - Accent3 12 2 7" xfId="28347" xr:uid="{00000000-0005-0000-0000-000086190000}"/>
    <cellStyle name="20% - Accent3 12 2 8" xfId="54209" xr:uid="{00000000-0005-0000-0000-000087190000}"/>
    <cellStyle name="20% - Accent3 12 3" xfId="2860" xr:uid="{00000000-0005-0000-0000-000088190000}"/>
    <cellStyle name="20% - Accent3 12 3 2" xfId="4517" xr:uid="{00000000-0005-0000-0000-000089190000}"/>
    <cellStyle name="20% - Accent3 12 3 2 2" xfId="7748" xr:uid="{00000000-0005-0000-0000-00008A190000}"/>
    <cellStyle name="20% - Accent3 12 3 2 2 2" xfId="14207" xr:uid="{00000000-0005-0000-0000-00008B190000}"/>
    <cellStyle name="20% - Accent3 12 3 2 2 2 2" xfId="27124" xr:uid="{00000000-0005-0000-0000-00008C190000}"/>
    <cellStyle name="20% - Accent3 12 3 2 2 2 2 2" xfId="52998" xr:uid="{00000000-0005-0000-0000-00008D190000}"/>
    <cellStyle name="20% - Accent3 12 3 2 2 2 3" xfId="40082" xr:uid="{00000000-0005-0000-0000-00008E190000}"/>
    <cellStyle name="20% - Accent3 12 3 2 2 3" xfId="20666" xr:uid="{00000000-0005-0000-0000-00008F190000}"/>
    <cellStyle name="20% - Accent3 12 3 2 2 3 2" xfId="46540" xr:uid="{00000000-0005-0000-0000-000090190000}"/>
    <cellStyle name="20% - Accent3 12 3 2 2 4" xfId="33624" xr:uid="{00000000-0005-0000-0000-000091190000}"/>
    <cellStyle name="20% - Accent3 12 3 2 3" xfId="10979" xr:uid="{00000000-0005-0000-0000-000092190000}"/>
    <cellStyle name="20% - Accent3 12 3 2 3 2" xfId="23896" xr:uid="{00000000-0005-0000-0000-000093190000}"/>
    <cellStyle name="20% - Accent3 12 3 2 3 2 2" xfId="49770" xr:uid="{00000000-0005-0000-0000-000094190000}"/>
    <cellStyle name="20% - Accent3 12 3 2 3 3" xfId="36854" xr:uid="{00000000-0005-0000-0000-000095190000}"/>
    <cellStyle name="20% - Accent3 12 3 2 4" xfId="17438" xr:uid="{00000000-0005-0000-0000-000096190000}"/>
    <cellStyle name="20% - Accent3 12 3 2 4 2" xfId="43312" xr:uid="{00000000-0005-0000-0000-000097190000}"/>
    <cellStyle name="20% - Accent3 12 3 2 5" xfId="30364" xr:uid="{00000000-0005-0000-0000-000098190000}"/>
    <cellStyle name="20% - Accent3 12 3 3" xfId="6134" xr:uid="{00000000-0005-0000-0000-000099190000}"/>
    <cellStyle name="20% - Accent3 12 3 3 2" xfId="12593" xr:uid="{00000000-0005-0000-0000-00009A190000}"/>
    <cellStyle name="20% - Accent3 12 3 3 2 2" xfId="25510" xr:uid="{00000000-0005-0000-0000-00009B190000}"/>
    <cellStyle name="20% - Accent3 12 3 3 2 2 2" xfId="51384" xr:uid="{00000000-0005-0000-0000-00009C190000}"/>
    <cellStyle name="20% - Accent3 12 3 3 2 3" xfId="38468" xr:uid="{00000000-0005-0000-0000-00009D190000}"/>
    <cellStyle name="20% - Accent3 12 3 3 3" xfId="19052" xr:uid="{00000000-0005-0000-0000-00009E190000}"/>
    <cellStyle name="20% - Accent3 12 3 3 3 2" xfId="44926" xr:uid="{00000000-0005-0000-0000-00009F190000}"/>
    <cellStyle name="20% - Accent3 12 3 3 4" xfId="32010" xr:uid="{00000000-0005-0000-0000-0000A0190000}"/>
    <cellStyle name="20% - Accent3 12 3 4" xfId="9365" xr:uid="{00000000-0005-0000-0000-0000A1190000}"/>
    <cellStyle name="20% - Accent3 12 3 4 2" xfId="22282" xr:uid="{00000000-0005-0000-0000-0000A2190000}"/>
    <cellStyle name="20% - Accent3 12 3 4 2 2" xfId="48156" xr:uid="{00000000-0005-0000-0000-0000A3190000}"/>
    <cellStyle name="20% - Accent3 12 3 4 3" xfId="35240" xr:uid="{00000000-0005-0000-0000-0000A4190000}"/>
    <cellStyle name="20% - Accent3 12 3 5" xfId="15824" xr:uid="{00000000-0005-0000-0000-0000A5190000}"/>
    <cellStyle name="20% - Accent3 12 3 5 2" xfId="41698" xr:uid="{00000000-0005-0000-0000-0000A6190000}"/>
    <cellStyle name="20% - Accent3 12 3 6" xfId="28750" xr:uid="{00000000-0005-0000-0000-0000A7190000}"/>
    <cellStyle name="20% - Accent3 12 4" xfId="3687" xr:uid="{00000000-0005-0000-0000-0000A8190000}"/>
    <cellStyle name="20% - Accent3 12 4 2" xfId="6941" xr:uid="{00000000-0005-0000-0000-0000A9190000}"/>
    <cellStyle name="20% - Accent3 12 4 2 2" xfId="13400" xr:uid="{00000000-0005-0000-0000-0000AA190000}"/>
    <cellStyle name="20% - Accent3 12 4 2 2 2" xfId="26317" xr:uid="{00000000-0005-0000-0000-0000AB190000}"/>
    <cellStyle name="20% - Accent3 12 4 2 2 2 2" xfId="52191" xr:uid="{00000000-0005-0000-0000-0000AC190000}"/>
    <cellStyle name="20% - Accent3 12 4 2 2 3" xfId="39275" xr:uid="{00000000-0005-0000-0000-0000AD190000}"/>
    <cellStyle name="20% - Accent3 12 4 2 3" xfId="19859" xr:uid="{00000000-0005-0000-0000-0000AE190000}"/>
    <cellStyle name="20% - Accent3 12 4 2 3 2" xfId="45733" xr:uid="{00000000-0005-0000-0000-0000AF190000}"/>
    <cellStyle name="20% - Accent3 12 4 2 4" xfId="32817" xr:uid="{00000000-0005-0000-0000-0000B0190000}"/>
    <cellStyle name="20% - Accent3 12 4 3" xfId="10172" xr:uid="{00000000-0005-0000-0000-0000B1190000}"/>
    <cellStyle name="20% - Accent3 12 4 3 2" xfId="23089" xr:uid="{00000000-0005-0000-0000-0000B2190000}"/>
    <cellStyle name="20% - Accent3 12 4 3 2 2" xfId="48963" xr:uid="{00000000-0005-0000-0000-0000B3190000}"/>
    <cellStyle name="20% - Accent3 12 4 3 3" xfId="36047" xr:uid="{00000000-0005-0000-0000-0000B4190000}"/>
    <cellStyle name="20% - Accent3 12 4 4" xfId="16631" xr:uid="{00000000-0005-0000-0000-0000B5190000}"/>
    <cellStyle name="20% - Accent3 12 4 4 2" xfId="42505" xr:uid="{00000000-0005-0000-0000-0000B6190000}"/>
    <cellStyle name="20% - Accent3 12 4 5" xfId="29557" xr:uid="{00000000-0005-0000-0000-0000B7190000}"/>
    <cellStyle name="20% - Accent3 12 5" xfId="5327" xr:uid="{00000000-0005-0000-0000-0000B8190000}"/>
    <cellStyle name="20% - Accent3 12 5 2" xfId="11786" xr:uid="{00000000-0005-0000-0000-0000B9190000}"/>
    <cellStyle name="20% - Accent3 12 5 2 2" xfId="24703" xr:uid="{00000000-0005-0000-0000-0000BA190000}"/>
    <cellStyle name="20% - Accent3 12 5 2 2 2" xfId="50577" xr:uid="{00000000-0005-0000-0000-0000BB190000}"/>
    <cellStyle name="20% - Accent3 12 5 2 3" xfId="37661" xr:uid="{00000000-0005-0000-0000-0000BC190000}"/>
    <cellStyle name="20% - Accent3 12 5 3" xfId="18245" xr:uid="{00000000-0005-0000-0000-0000BD190000}"/>
    <cellStyle name="20% - Accent3 12 5 3 2" xfId="44119" xr:uid="{00000000-0005-0000-0000-0000BE190000}"/>
    <cellStyle name="20% - Accent3 12 5 4" xfId="31203" xr:uid="{00000000-0005-0000-0000-0000BF190000}"/>
    <cellStyle name="20% - Accent3 12 6" xfId="8558" xr:uid="{00000000-0005-0000-0000-0000C0190000}"/>
    <cellStyle name="20% - Accent3 12 6 2" xfId="21475" xr:uid="{00000000-0005-0000-0000-0000C1190000}"/>
    <cellStyle name="20% - Accent3 12 6 2 2" xfId="47349" xr:uid="{00000000-0005-0000-0000-0000C2190000}"/>
    <cellStyle name="20% - Accent3 12 6 3" xfId="34433" xr:uid="{00000000-0005-0000-0000-0000C3190000}"/>
    <cellStyle name="20% - Accent3 12 7" xfId="15017" xr:uid="{00000000-0005-0000-0000-0000C4190000}"/>
    <cellStyle name="20% - Accent3 12 7 2" xfId="40891" xr:uid="{00000000-0005-0000-0000-0000C5190000}"/>
    <cellStyle name="20% - Accent3 12 8" xfId="27943" xr:uid="{00000000-0005-0000-0000-0000C6190000}"/>
    <cellStyle name="20% - Accent3 12 9" xfId="53805" xr:uid="{00000000-0005-0000-0000-0000C7190000}"/>
    <cellStyle name="20% - Accent3 13" xfId="2056" xr:uid="{00000000-0005-0000-0000-0000C8190000}"/>
    <cellStyle name="20% - Accent3 13 2" xfId="2874" xr:uid="{00000000-0005-0000-0000-0000C9190000}"/>
    <cellStyle name="20% - Accent3 13 2 2" xfId="4531" xr:uid="{00000000-0005-0000-0000-0000CA190000}"/>
    <cellStyle name="20% - Accent3 13 2 2 2" xfId="7762" xr:uid="{00000000-0005-0000-0000-0000CB190000}"/>
    <cellStyle name="20% - Accent3 13 2 2 2 2" xfId="14221" xr:uid="{00000000-0005-0000-0000-0000CC190000}"/>
    <cellStyle name="20% - Accent3 13 2 2 2 2 2" xfId="27138" xr:uid="{00000000-0005-0000-0000-0000CD190000}"/>
    <cellStyle name="20% - Accent3 13 2 2 2 2 2 2" xfId="53012" xr:uid="{00000000-0005-0000-0000-0000CE190000}"/>
    <cellStyle name="20% - Accent3 13 2 2 2 2 3" xfId="40096" xr:uid="{00000000-0005-0000-0000-0000CF190000}"/>
    <cellStyle name="20% - Accent3 13 2 2 2 3" xfId="20680" xr:uid="{00000000-0005-0000-0000-0000D0190000}"/>
    <cellStyle name="20% - Accent3 13 2 2 2 3 2" xfId="46554" xr:uid="{00000000-0005-0000-0000-0000D1190000}"/>
    <cellStyle name="20% - Accent3 13 2 2 2 4" xfId="33638" xr:uid="{00000000-0005-0000-0000-0000D2190000}"/>
    <cellStyle name="20% - Accent3 13 2 2 3" xfId="10993" xr:uid="{00000000-0005-0000-0000-0000D3190000}"/>
    <cellStyle name="20% - Accent3 13 2 2 3 2" xfId="23910" xr:uid="{00000000-0005-0000-0000-0000D4190000}"/>
    <cellStyle name="20% - Accent3 13 2 2 3 2 2" xfId="49784" xr:uid="{00000000-0005-0000-0000-0000D5190000}"/>
    <cellStyle name="20% - Accent3 13 2 2 3 3" xfId="36868" xr:uid="{00000000-0005-0000-0000-0000D6190000}"/>
    <cellStyle name="20% - Accent3 13 2 2 4" xfId="17452" xr:uid="{00000000-0005-0000-0000-0000D7190000}"/>
    <cellStyle name="20% - Accent3 13 2 2 4 2" xfId="43326" xr:uid="{00000000-0005-0000-0000-0000D8190000}"/>
    <cellStyle name="20% - Accent3 13 2 2 5" xfId="30378" xr:uid="{00000000-0005-0000-0000-0000D9190000}"/>
    <cellStyle name="20% - Accent3 13 2 3" xfId="6148" xr:uid="{00000000-0005-0000-0000-0000DA190000}"/>
    <cellStyle name="20% - Accent3 13 2 3 2" xfId="12607" xr:uid="{00000000-0005-0000-0000-0000DB190000}"/>
    <cellStyle name="20% - Accent3 13 2 3 2 2" xfId="25524" xr:uid="{00000000-0005-0000-0000-0000DC190000}"/>
    <cellStyle name="20% - Accent3 13 2 3 2 2 2" xfId="51398" xr:uid="{00000000-0005-0000-0000-0000DD190000}"/>
    <cellStyle name="20% - Accent3 13 2 3 2 3" xfId="38482" xr:uid="{00000000-0005-0000-0000-0000DE190000}"/>
    <cellStyle name="20% - Accent3 13 2 3 3" xfId="19066" xr:uid="{00000000-0005-0000-0000-0000DF190000}"/>
    <cellStyle name="20% - Accent3 13 2 3 3 2" xfId="44940" xr:uid="{00000000-0005-0000-0000-0000E0190000}"/>
    <cellStyle name="20% - Accent3 13 2 3 4" xfId="32024" xr:uid="{00000000-0005-0000-0000-0000E1190000}"/>
    <cellStyle name="20% - Accent3 13 2 4" xfId="9379" xr:uid="{00000000-0005-0000-0000-0000E2190000}"/>
    <cellStyle name="20% - Accent3 13 2 4 2" xfId="22296" xr:uid="{00000000-0005-0000-0000-0000E3190000}"/>
    <cellStyle name="20% - Accent3 13 2 4 2 2" xfId="48170" xr:uid="{00000000-0005-0000-0000-0000E4190000}"/>
    <cellStyle name="20% - Accent3 13 2 4 3" xfId="35254" xr:uid="{00000000-0005-0000-0000-0000E5190000}"/>
    <cellStyle name="20% - Accent3 13 2 5" xfId="15838" xr:uid="{00000000-0005-0000-0000-0000E6190000}"/>
    <cellStyle name="20% - Accent3 13 2 5 2" xfId="41712" xr:uid="{00000000-0005-0000-0000-0000E7190000}"/>
    <cellStyle name="20% - Accent3 13 2 6" xfId="28764" xr:uid="{00000000-0005-0000-0000-0000E8190000}"/>
    <cellStyle name="20% - Accent3 13 3" xfId="3701" xr:uid="{00000000-0005-0000-0000-0000E9190000}"/>
    <cellStyle name="20% - Accent3 13 3 2" xfId="6955" xr:uid="{00000000-0005-0000-0000-0000EA190000}"/>
    <cellStyle name="20% - Accent3 13 3 2 2" xfId="13414" xr:uid="{00000000-0005-0000-0000-0000EB190000}"/>
    <cellStyle name="20% - Accent3 13 3 2 2 2" xfId="26331" xr:uid="{00000000-0005-0000-0000-0000EC190000}"/>
    <cellStyle name="20% - Accent3 13 3 2 2 2 2" xfId="52205" xr:uid="{00000000-0005-0000-0000-0000ED190000}"/>
    <cellStyle name="20% - Accent3 13 3 2 2 3" xfId="39289" xr:uid="{00000000-0005-0000-0000-0000EE190000}"/>
    <cellStyle name="20% - Accent3 13 3 2 3" xfId="19873" xr:uid="{00000000-0005-0000-0000-0000EF190000}"/>
    <cellStyle name="20% - Accent3 13 3 2 3 2" xfId="45747" xr:uid="{00000000-0005-0000-0000-0000F0190000}"/>
    <cellStyle name="20% - Accent3 13 3 2 4" xfId="32831" xr:uid="{00000000-0005-0000-0000-0000F1190000}"/>
    <cellStyle name="20% - Accent3 13 3 3" xfId="10186" xr:uid="{00000000-0005-0000-0000-0000F2190000}"/>
    <cellStyle name="20% - Accent3 13 3 3 2" xfId="23103" xr:uid="{00000000-0005-0000-0000-0000F3190000}"/>
    <cellStyle name="20% - Accent3 13 3 3 2 2" xfId="48977" xr:uid="{00000000-0005-0000-0000-0000F4190000}"/>
    <cellStyle name="20% - Accent3 13 3 3 3" xfId="36061" xr:uid="{00000000-0005-0000-0000-0000F5190000}"/>
    <cellStyle name="20% - Accent3 13 3 4" xfId="16645" xr:uid="{00000000-0005-0000-0000-0000F6190000}"/>
    <cellStyle name="20% - Accent3 13 3 4 2" xfId="42519" xr:uid="{00000000-0005-0000-0000-0000F7190000}"/>
    <cellStyle name="20% - Accent3 13 3 5" xfId="29571" xr:uid="{00000000-0005-0000-0000-0000F8190000}"/>
    <cellStyle name="20% - Accent3 13 4" xfId="5341" xr:uid="{00000000-0005-0000-0000-0000F9190000}"/>
    <cellStyle name="20% - Accent3 13 4 2" xfId="11800" xr:uid="{00000000-0005-0000-0000-0000FA190000}"/>
    <cellStyle name="20% - Accent3 13 4 2 2" xfId="24717" xr:uid="{00000000-0005-0000-0000-0000FB190000}"/>
    <cellStyle name="20% - Accent3 13 4 2 2 2" xfId="50591" xr:uid="{00000000-0005-0000-0000-0000FC190000}"/>
    <cellStyle name="20% - Accent3 13 4 2 3" xfId="37675" xr:uid="{00000000-0005-0000-0000-0000FD190000}"/>
    <cellStyle name="20% - Accent3 13 4 3" xfId="18259" xr:uid="{00000000-0005-0000-0000-0000FE190000}"/>
    <cellStyle name="20% - Accent3 13 4 3 2" xfId="44133" xr:uid="{00000000-0005-0000-0000-0000FF190000}"/>
    <cellStyle name="20% - Accent3 13 4 4" xfId="31217" xr:uid="{00000000-0005-0000-0000-0000001A0000}"/>
    <cellStyle name="20% - Accent3 13 5" xfId="8572" xr:uid="{00000000-0005-0000-0000-0000011A0000}"/>
    <cellStyle name="20% - Accent3 13 5 2" xfId="21489" xr:uid="{00000000-0005-0000-0000-0000021A0000}"/>
    <cellStyle name="20% - Accent3 13 5 2 2" xfId="47363" xr:uid="{00000000-0005-0000-0000-0000031A0000}"/>
    <cellStyle name="20% - Accent3 13 5 3" xfId="34447" xr:uid="{00000000-0005-0000-0000-0000041A0000}"/>
    <cellStyle name="20% - Accent3 13 6" xfId="15031" xr:uid="{00000000-0005-0000-0000-0000051A0000}"/>
    <cellStyle name="20% - Accent3 13 6 2" xfId="40905" xr:uid="{00000000-0005-0000-0000-0000061A0000}"/>
    <cellStyle name="20% - Accent3 13 7" xfId="27957" xr:uid="{00000000-0005-0000-0000-0000071A0000}"/>
    <cellStyle name="20% - Accent3 13 8" xfId="53819" xr:uid="{00000000-0005-0000-0000-0000081A0000}"/>
    <cellStyle name="20% - Accent3 14" xfId="2471" xr:uid="{00000000-0005-0000-0000-0000091A0000}"/>
    <cellStyle name="20% - Accent3 14 2" xfId="4128" xr:uid="{00000000-0005-0000-0000-00000A1A0000}"/>
    <cellStyle name="20% - Accent3 14 2 2" xfId="7359" xr:uid="{00000000-0005-0000-0000-00000B1A0000}"/>
    <cellStyle name="20% - Accent3 14 2 2 2" xfId="13818" xr:uid="{00000000-0005-0000-0000-00000C1A0000}"/>
    <cellStyle name="20% - Accent3 14 2 2 2 2" xfId="26735" xr:uid="{00000000-0005-0000-0000-00000D1A0000}"/>
    <cellStyle name="20% - Accent3 14 2 2 2 2 2" xfId="52609" xr:uid="{00000000-0005-0000-0000-00000E1A0000}"/>
    <cellStyle name="20% - Accent3 14 2 2 2 3" xfId="39693" xr:uid="{00000000-0005-0000-0000-00000F1A0000}"/>
    <cellStyle name="20% - Accent3 14 2 2 3" xfId="20277" xr:uid="{00000000-0005-0000-0000-0000101A0000}"/>
    <cellStyle name="20% - Accent3 14 2 2 3 2" xfId="46151" xr:uid="{00000000-0005-0000-0000-0000111A0000}"/>
    <cellStyle name="20% - Accent3 14 2 2 4" xfId="33235" xr:uid="{00000000-0005-0000-0000-0000121A0000}"/>
    <cellStyle name="20% - Accent3 14 2 3" xfId="10590" xr:uid="{00000000-0005-0000-0000-0000131A0000}"/>
    <cellStyle name="20% - Accent3 14 2 3 2" xfId="23507" xr:uid="{00000000-0005-0000-0000-0000141A0000}"/>
    <cellStyle name="20% - Accent3 14 2 3 2 2" xfId="49381" xr:uid="{00000000-0005-0000-0000-0000151A0000}"/>
    <cellStyle name="20% - Accent3 14 2 3 3" xfId="36465" xr:uid="{00000000-0005-0000-0000-0000161A0000}"/>
    <cellStyle name="20% - Accent3 14 2 4" xfId="17049" xr:uid="{00000000-0005-0000-0000-0000171A0000}"/>
    <cellStyle name="20% - Accent3 14 2 4 2" xfId="42923" xr:uid="{00000000-0005-0000-0000-0000181A0000}"/>
    <cellStyle name="20% - Accent3 14 2 5" xfId="29975" xr:uid="{00000000-0005-0000-0000-0000191A0000}"/>
    <cellStyle name="20% - Accent3 14 3" xfId="5745" xr:uid="{00000000-0005-0000-0000-00001A1A0000}"/>
    <cellStyle name="20% - Accent3 14 3 2" xfId="12204" xr:uid="{00000000-0005-0000-0000-00001B1A0000}"/>
    <cellStyle name="20% - Accent3 14 3 2 2" xfId="25121" xr:uid="{00000000-0005-0000-0000-00001C1A0000}"/>
    <cellStyle name="20% - Accent3 14 3 2 2 2" xfId="50995" xr:uid="{00000000-0005-0000-0000-00001D1A0000}"/>
    <cellStyle name="20% - Accent3 14 3 2 3" xfId="38079" xr:uid="{00000000-0005-0000-0000-00001E1A0000}"/>
    <cellStyle name="20% - Accent3 14 3 3" xfId="18663" xr:uid="{00000000-0005-0000-0000-00001F1A0000}"/>
    <cellStyle name="20% - Accent3 14 3 3 2" xfId="44537" xr:uid="{00000000-0005-0000-0000-0000201A0000}"/>
    <cellStyle name="20% - Accent3 14 3 4" xfId="31621" xr:uid="{00000000-0005-0000-0000-0000211A0000}"/>
    <cellStyle name="20% - Accent3 14 4" xfId="8976" xr:uid="{00000000-0005-0000-0000-0000221A0000}"/>
    <cellStyle name="20% - Accent3 14 4 2" xfId="21893" xr:uid="{00000000-0005-0000-0000-0000231A0000}"/>
    <cellStyle name="20% - Accent3 14 4 2 2" xfId="47767" xr:uid="{00000000-0005-0000-0000-0000241A0000}"/>
    <cellStyle name="20% - Accent3 14 4 3" xfId="34851" xr:uid="{00000000-0005-0000-0000-0000251A0000}"/>
    <cellStyle name="20% - Accent3 14 5" xfId="15435" xr:uid="{00000000-0005-0000-0000-0000261A0000}"/>
    <cellStyle name="20% - Accent3 14 5 2" xfId="41309" xr:uid="{00000000-0005-0000-0000-0000271A0000}"/>
    <cellStyle name="20% - Accent3 14 6" xfId="28361" xr:uid="{00000000-0005-0000-0000-0000281A0000}"/>
    <cellStyle name="20% - Accent3 15" xfId="3280" xr:uid="{00000000-0005-0000-0000-0000291A0000}"/>
    <cellStyle name="20% - Accent3 15 2" xfId="6552" xr:uid="{00000000-0005-0000-0000-00002A1A0000}"/>
    <cellStyle name="20% - Accent3 15 2 2" xfId="13011" xr:uid="{00000000-0005-0000-0000-00002B1A0000}"/>
    <cellStyle name="20% - Accent3 15 2 2 2" xfId="25928" xr:uid="{00000000-0005-0000-0000-00002C1A0000}"/>
    <cellStyle name="20% - Accent3 15 2 2 2 2" xfId="51802" xr:uid="{00000000-0005-0000-0000-00002D1A0000}"/>
    <cellStyle name="20% - Accent3 15 2 2 3" xfId="38886" xr:uid="{00000000-0005-0000-0000-00002E1A0000}"/>
    <cellStyle name="20% - Accent3 15 2 3" xfId="19470" xr:uid="{00000000-0005-0000-0000-00002F1A0000}"/>
    <cellStyle name="20% - Accent3 15 2 3 2" xfId="45344" xr:uid="{00000000-0005-0000-0000-0000301A0000}"/>
    <cellStyle name="20% - Accent3 15 2 4" xfId="32428" xr:uid="{00000000-0005-0000-0000-0000311A0000}"/>
    <cellStyle name="20% - Accent3 15 3" xfId="9783" xr:uid="{00000000-0005-0000-0000-0000321A0000}"/>
    <cellStyle name="20% - Accent3 15 3 2" xfId="22700" xr:uid="{00000000-0005-0000-0000-0000331A0000}"/>
    <cellStyle name="20% - Accent3 15 3 2 2" xfId="48574" xr:uid="{00000000-0005-0000-0000-0000341A0000}"/>
    <cellStyle name="20% - Accent3 15 3 3" xfId="35658" xr:uid="{00000000-0005-0000-0000-0000351A0000}"/>
    <cellStyle name="20% - Accent3 15 4" xfId="16242" xr:uid="{00000000-0005-0000-0000-0000361A0000}"/>
    <cellStyle name="20% - Accent3 15 4 2" xfId="42116" xr:uid="{00000000-0005-0000-0000-0000371A0000}"/>
    <cellStyle name="20% - Accent3 15 5" xfId="29168" xr:uid="{00000000-0005-0000-0000-0000381A0000}"/>
    <cellStyle name="20% - Accent3 16" xfId="4938" xr:uid="{00000000-0005-0000-0000-0000391A0000}"/>
    <cellStyle name="20% - Accent3 16 2" xfId="11397" xr:uid="{00000000-0005-0000-0000-00003A1A0000}"/>
    <cellStyle name="20% - Accent3 16 2 2" xfId="24314" xr:uid="{00000000-0005-0000-0000-00003B1A0000}"/>
    <cellStyle name="20% - Accent3 16 2 2 2" xfId="50188" xr:uid="{00000000-0005-0000-0000-00003C1A0000}"/>
    <cellStyle name="20% - Accent3 16 2 3" xfId="37272" xr:uid="{00000000-0005-0000-0000-00003D1A0000}"/>
    <cellStyle name="20% - Accent3 16 3" xfId="17856" xr:uid="{00000000-0005-0000-0000-00003E1A0000}"/>
    <cellStyle name="20% - Accent3 16 3 2" xfId="43730" xr:uid="{00000000-0005-0000-0000-00003F1A0000}"/>
    <cellStyle name="20% - Accent3 16 4" xfId="30814" xr:uid="{00000000-0005-0000-0000-0000401A0000}"/>
    <cellStyle name="20% - Accent3 17" xfId="8166" xr:uid="{00000000-0005-0000-0000-0000411A0000}"/>
    <cellStyle name="20% - Accent3 17 2" xfId="21084" xr:uid="{00000000-0005-0000-0000-0000421A0000}"/>
    <cellStyle name="20% - Accent3 17 2 2" xfId="46958" xr:uid="{00000000-0005-0000-0000-0000431A0000}"/>
    <cellStyle name="20% - Accent3 17 3" xfId="34042" xr:uid="{00000000-0005-0000-0000-0000441A0000}"/>
    <cellStyle name="20% - Accent3 18" xfId="14626" xr:uid="{00000000-0005-0000-0000-0000451A0000}"/>
    <cellStyle name="20% - Accent3 18 2" xfId="40500" xr:uid="{00000000-0005-0000-0000-0000461A0000}"/>
    <cellStyle name="20% - Accent3 19" xfId="27544" xr:uid="{00000000-0005-0000-0000-0000471A0000}"/>
    <cellStyle name="20% - Accent3 2" xfId="22" xr:uid="{00000000-0005-0000-0000-0000481A0000}"/>
    <cellStyle name="20% - Accent3 2 10" xfId="8176" xr:uid="{00000000-0005-0000-0000-0000491A0000}"/>
    <cellStyle name="20% - Accent3 2 10 2" xfId="21094" xr:uid="{00000000-0005-0000-0000-00004A1A0000}"/>
    <cellStyle name="20% - Accent3 2 10 2 2" xfId="46968" xr:uid="{00000000-0005-0000-0000-00004B1A0000}"/>
    <cellStyle name="20% - Accent3 2 10 3" xfId="34052" xr:uid="{00000000-0005-0000-0000-00004C1A0000}"/>
    <cellStyle name="20% - Accent3 2 11" xfId="14636" xr:uid="{00000000-0005-0000-0000-00004D1A0000}"/>
    <cellStyle name="20% - Accent3 2 11 2" xfId="40510" xr:uid="{00000000-0005-0000-0000-00004E1A0000}"/>
    <cellStyle name="20% - Accent3 2 12" xfId="27554" xr:uid="{00000000-0005-0000-0000-00004F1A0000}"/>
    <cellStyle name="20% - Accent3 2 13" xfId="53426" xr:uid="{00000000-0005-0000-0000-0000501A0000}"/>
    <cellStyle name="20% - Accent3 2 14" xfId="1052" xr:uid="{00000000-0005-0000-0000-0000511A0000}"/>
    <cellStyle name="20% - Accent3 2 2" xfId="276" xr:uid="{00000000-0005-0000-0000-0000521A0000}"/>
    <cellStyle name="20% - Accent3 2 3" xfId="230" xr:uid="{00000000-0005-0000-0000-0000531A0000}"/>
    <cellStyle name="20% - Accent3 2 3 10" xfId="27581" xr:uid="{00000000-0005-0000-0000-0000541A0000}"/>
    <cellStyle name="20% - Accent3 2 3 11" xfId="53447" xr:uid="{00000000-0005-0000-0000-0000551A0000}"/>
    <cellStyle name="20% - Accent3 2 3 12" xfId="1053" xr:uid="{00000000-0005-0000-0000-0000561A0000}"/>
    <cellStyle name="20% - Accent3 2 3 2" xfId="420" xr:uid="{00000000-0005-0000-0000-0000571A0000}"/>
    <cellStyle name="20% - Accent3 2 3 2 10" xfId="53531" xr:uid="{00000000-0005-0000-0000-0000581A0000}"/>
    <cellStyle name="20% - Accent3 2 3 2 11" xfId="1615" xr:uid="{00000000-0005-0000-0000-0000591A0000}"/>
    <cellStyle name="20% - Accent3 2 3 2 2" xfId="549" xr:uid="{00000000-0005-0000-0000-00005A1A0000}"/>
    <cellStyle name="20% - Accent3 2 3 2 2 10" xfId="1940" xr:uid="{00000000-0005-0000-0000-00005B1A0000}"/>
    <cellStyle name="20% - Accent3 2 3 2 2 2" xfId="2371" xr:uid="{00000000-0005-0000-0000-00005C1A0000}"/>
    <cellStyle name="20% - Accent3 2 3 2 2 2 2" xfId="3184" xr:uid="{00000000-0005-0000-0000-00005D1A0000}"/>
    <cellStyle name="20% - Accent3 2 3 2 2 2 2 2" xfId="4841" xr:uid="{00000000-0005-0000-0000-00005E1A0000}"/>
    <cellStyle name="20% - Accent3 2 3 2 2 2 2 2 2" xfId="8072" xr:uid="{00000000-0005-0000-0000-00005F1A0000}"/>
    <cellStyle name="20% - Accent3 2 3 2 2 2 2 2 2 2" xfId="14531" xr:uid="{00000000-0005-0000-0000-0000601A0000}"/>
    <cellStyle name="20% - Accent3 2 3 2 2 2 2 2 2 2 2" xfId="27448" xr:uid="{00000000-0005-0000-0000-0000611A0000}"/>
    <cellStyle name="20% - Accent3 2 3 2 2 2 2 2 2 2 2 2" xfId="53322" xr:uid="{00000000-0005-0000-0000-0000621A0000}"/>
    <cellStyle name="20% - Accent3 2 3 2 2 2 2 2 2 2 3" xfId="40406" xr:uid="{00000000-0005-0000-0000-0000631A0000}"/>
    <cellStyle name="20% - Accent3 2 3 2 2 2 2 2 2 3" xfId="20990" xr:uid="{00000000-0005-0000-0000-0000641A0000}"/>
    <cellStyle name="20% - Accent3 2 3 2 2 2 2 2 2 3 2" xfId="46864" xr:uid="{00000000-0005-0000-0000-0000651A0000}"/>
    <cellStyle name="20% - Accent3 2 3 2 2 2 2 2 2 4" xfId="33948" xr:uid="{00000000-0005-0000-0000-0000661A0000}"/>
    <cellStyle name="20% - Accent3 2 3 2 2 2 2 2 3" xfId="11303" xr:uid="{00000000-0005-0000-0000-0000671A0000}"/>
    <cellStyle name="20% - Accent3 2 3 2 2 2 2 2 3 2" xfId="24220" xr:uid="{00000000-0005-0000-0000-0000681A0000}"/>
    <cellStyle name="20% - Accent3 2 3 2 2 2 2 2 3 2 2" xfId="50094" xr:uid="{00000000-0005-0000-0000-0000691A0000}"/>
    <cellStyle name="20% - Accent3 2 3 2 2 2 2 2 3 3" xfId="37178" xr:uid="{00000000-0005-0000-0000-00006A1A0000}"/>
    <cellStyle name="20% - Accent3 2 3 2 2 2 2 2 4" xfId="17762" xr:uid="{00000000-0005-0000-0000-00006B1A0000}"/>
    <cellStyle name="20% - Accent3 2 3 2 2 2 2 2 4 2" xfId="43636" xr:uid="{00000000-0005-0000-0000-00006C1A0000}"/>
    <cellStyle name="20% - Accent3 2 3 2 2 2 2 2 5" xfId="30688" xr:uid="{00000000-0005-0000-0000-00006D1A0000}"/>
    <cellStyle name="20% - Accent3 2 3 2 2 2 2 3" xfId="6458" xr:uid="{00000000-0005-0000-0000-00006E1A0000}"/>
    <cellStyle name="20% - Accent3 2 3 2 2 2 2 3 2" xfId="12917" xr:uid="{00000000-0005-0000-0000-00006F1A0000}"/>
    <cellStyle name="20% - Accent3 2 3 2 2 2 2 3 2 2" xfId="25834" xr:uid="{00000000-0005-0000-0000-0000701A0000}"/>
    <cellStyle name="20% - Accent3 2 3 2 2 2 2 3 2 2 2" xfId="51708" xr:uid="{00000000-0005-0000-0000-0000711A0000}"/>
    <cellStyle name="20% - Accent3 2 3 2 2 2 2 3 2 3" xfId="38792" xr:uid="{00000000-0005-0000-0000-0000721A0000}"/>
    <cellStyle name="20% - Accent3 2 3 2 2 2 2 3 3" xfId="19376" xr:uid="{00000000-0005-0000-0000-0000731A0000}"/>
    <cellStyle name="20% - Accent3 2 3 2 2 2 2 3 3 2" xfId="45250" xr:uid="{00000000-0005-0000-0000-0000741A0000}"/>
    <cellStyle name="20% - Accent3 2 3 2 2 2 2 3 4" xfId="32334" xr:uid="{00000000-0005-0000-0000-0000751A0000}"/>
    <cellStyle name="20% - Accent3 2 3 2 2 2 2 4" xfId="9689" xr:uid="{00000000-0005-0000-0000-0000761A0000}"/>
    <cellStyle name="20% - Accent3 2 3 2 2 2 2 4 2" xfId="22606" xr:uid="{00000000-0005-0000-0000-0000771A0000}"/>
    <cellStyle name="20% - Accent3 2 3 2 2 2 2 4 2 2" xfId="48480" xr:uid="{00000000-0005-0000-0000-0000781A0000}"/>
    <cellStyle name="20% - Accent3 2 3 2 2 2 2 4 3" xfId="35564" xr:uid="{00000000-0005-0000-0000-0000791A0000}"/>
    <cellStyle name="20% - Accent3 2 3 2 2 2 2 5" xfId="16148" xr:uid="{00000000-0005-0000-0000-00007A1A0000}"/>
    <cellStyle name="20% - Accent3 2 3 2 2 2 2 5 2" xfId="42022" xr:uid="{00000000-0005-0000-0000-00007B1A0000}"/>
    <cellStyle name="20% - Accent3 2 3 2 2 2 2 6" xfId="29074" xr:uid="{00000000-0005-0000-0000-00007C1A0000}"/>
    <cellStyle name="20% - Accent3 2 3 2 2 2 3" xfId="4011" xr:uid="{00000000-0005-0000-0000-00007D1A0000}"/>
    <cellStyle name="20% - Accent3 2 3 2 2 2 3 2" xfId="7265" xr:uid="{00000000-0005-0000-0000-00007E1A0000}"/>
    <cellStyle name="20% - Accent3 2 3 2 2 2 3 2 2" xfId="13724" xr:uid="{00000000-0005-0000-0000-00007F1A0000}"/>
    <cellStyle name="20% - Accent3 2 3 2 2 2 3 2 2 2" xfId="26641" xr:uid="{00000000-0005-0000-0000-0000801A0000}"/>
    <cellStyle name="20% - Accent3 2 3 2 2 2 3 2 2 2 2" xfId="52515" xr:uid="{00000000-0005-0000-0000-0000811A0000}"/>
    <cellStyle name="20% - Accent3 2 3 2 2 2 3 2 2 3" xfId="39599" xr:uid="{00000000-0005-0000-0000-0000821A0000}"/>
    <cellStyle name="20% - Accent3 2 3 2 2 2 3 2 3" xfId="20183" xr:uid="{00000000-0005-0000-0000-0000831A0000}"/>
    <cellStyle name="20% - Accent3 2 3 2 2 2 3 2 3 2" xfId="46057" xr:uid="{00000000-0005-0000-0000-0000841A0000}"/>
    <cellStyle name="20% - Accent3 2 3 2 2 2 3 2 4" xfId="33141" xr:uid="{00000000-0005-0000-0000-0000851A0000}"/>
    <cellStyle name="20% - Accent3 2 3 2 2 2 3 3" xfId="10496" xr:uid="{00000000-0005-0000-0000-0000861A0000}"/>
    <cellStyle name="20% - Accent3 2 3 2 2 2 3 3 2" xfId="23413" xr:uid="{00000000-0005-0000-0000-0000871A0000}"/>
    <cellStyle name="20% - Accent3 2 3 2 2 2 3 3 2 2" xfId="49287" xr:uid="{00000000-0005-0000-0000-0000881A0000}"/>
    <cellStyle name="20% - Accent3 2 3 2 2 2 3 3 3" xfId="36371" xr:uid="{00000000-0005-0000-0000-0000891A0000}"/>
    <cellStyle name="20% - Accent3 2 3 2 2 2 3 4" xfId="16955" xr:uid="{00000000-0005-0000-0000-00008A1A0000}"/>
    <cellStyle name="20% - Accent3 2 3 2 2 2 3 4 2" xfId="42829" xr:uid="{00000000-0005-0000-0000-00008B1A0000}"/>
    <cellStyle name="20% - Accent3 2 3 2 2 2 3 5" xfId="29881" xr:uid="{00000000-0005-0000-0000-00008C1A0000}"/>
    <cellStyle name="20% - Accent3 2 3 2 2 2 4" xfId="5651" xr:uid="{00000000-0005-0000-0000-00008D1A0000}"/>
    <cellStyle name="20% - Accent3 2 3 2 2 2 4 2" xfId="12110" xr:uid="{00000000-0005-0000-0000-00008E1A0000}"/>
    <cellStyle name="20% - Accent3 2 3 2 2 2 4 2 2" xfId="25027" xr:uid="{00000000-0005-0000-0000-00008F1A0000}"/>
    <cellStyle name="20% - Accent3 2 3 2 2 2 4 2 2 2" xfId="50901" xr:uid="{00000000-0005-0000-0000-0000901A0000}"/>
    <cellStyle name="20% - Accent3 2 3 2 2 2 4 2 3" xfId="37985" xr:uid="{00000000-0005-0000-0000-0000911A0000}"/>
    <cellStyle name="20% - Accent3 2 3 2 2 2 4 3" xfId="18569" xr:uid="{00000000-0005-0000-0000-0000921A0000}"/>
    <cellStyle name="20% - Accent3 2 3 2 2 2 4 3 2" xfId="44443" xr:uid="{00000000-0005-0000-0000-0000931A0000}"/>
    <cellStyle name="20% - Accent3 2 3 2 2 2 4 4" xfId="31527" xr:uid="{00000000-0005-0000-0000-0000941A0000}"/>
    <cellStyle name="20% - Accent3 2 3 2 2 2 5" xfId="8882" xr:uid="{00000000-0005-0000-0000-0000951A0000}"/>
    <cellStyle name="20% - Accent3 2 3 2 2 2 5 2" xfId="21799" xr:uid="{00000000-0005-0000-0000-0000961A0000}"/>
    <cellStyle name="20% - Accent3 2 3 2 2 2 5 2 2" xfId="47673" xr:uid="{00000000-0005-0000-0000-0000971A0000}"/>
    <cellStyle name="20% - Accent3 2 3 2 2 2 5 3" xfId="34757" xr:uid="{00000000-0005-0000-0000-0000981A0000}"/>
    <cellStyle name="20% - Accent3 2 3 2 2 2 6" xfId="15341" xr:uid="{00000000-0005-0000-0000-0000991A0000}"/>
    <cellStyle name="20% - Accent3 2 3 2 2 2 6 2" xfId="41215" xr:uid="{00000000-0005-0000-0000-00009A1A0000}"/>
    <cellStyle name="20% - Accent3 2 3 2 2 2 7" xfId="28267" xr:uid="{00000000-0005-0000-0000-00009B1A0000}"/>
    <cellStyle name="20% - Accent3 2 3 2 2 2 8" xfId="54129" xr:uid="{00000000-0005-0000-0000-00009C1A0000}"/>
    <cellStyle name="20% - Accent3 2 3 2 2 3" xfId="2780" xr:uid="{00000000-0005-0000-0000-00009D1A0000}"/>
    <cellStyle name="20% - Accent3 2 3 2 2 3 2" xfId="4437" xr:uid="{00000000-0005-0000-0000-00009E1A0000}"/>
    <cellStyle name="20% - Accent3 2 3 2 2 3 2 2" xfId="7668" xr:uid="{00000000-0005-0000-0000-00009F1A0000}"/>
    <cellStyle name="20% - Accent3 2 3 2 2 3 2 2 2" xfId="14127" xr:uid="{00000000-0005-0000-0000-0000A01A0000}"/>
    <cellStyle name="20% - Accent3 2 3 2 2 3 2 2 2 2" xfId="27044" xr:uid="{00000000-0005-0000-0000-0000A11A0000}"/>
    <cellStyle name="20% - Accent3 2 3 2 2 3 2 2 2 2 2" xfId="52918" xr:uid="{00000000-0005-0000-0000-0000A21A0000}"/>
    <cellStyle name="20% - Accent3 2 3 2 2 3 2 2 2 3" xfId="40002" xr:uid="{00000000-0005-0000-0000-0000A31A0000}"/>
    <cellStyle name="20% - Accent3 2 3 2 2 3 2 2 3" xfId="20586" xr:uid="{00000000-0005-0000-0000-0000A41A0000}"/>
    <cellStyle name="20% - Accent3 2 3 2 2 3 2 2 3 2" xfId="46460" xr:uid="{00000000-0005-0000-0000-0000A51A0000}"/>
    <cellStyle name="20% - Accent3 2 3 2 2 3 2 2 4" xfId="33544" xr:uid="{00000000-0005-0000-0000-0000A61A0000}"/>
    <cellStyle name="20% - Accent3 2 3 2 2 3 2 3" xfId="10899" xr:uid="{00000000-0005-0000-0000-0000A71A0000}"/>
    <cellStyle name="20% - Accent3 2 3 2 2 3 2 3 2" xfId="23816" xr:uid="{00000000-0005-0000-0000-0000A81A0000}"/>
    <cellStyle name="20% - Accent3 2 3 2 2 3 2 3 2 2" xfId="49690" xr:uid="{00000000-0005-0000-0000-0000A91A0000}"/>
    <cellStyle name="20% - Accent3 2 3 2 2 3 2 3 3" xfId="36774" xr:uid="{00000000-0005-0000-0000-0000AA1A0000}"/>
    <cellStyle name="20% - Accent3 2 3 2 2 3 2 4" xfId="17358" xr:uid="{00000000-0005-0000-0000-0000AB1A0000}"/>
    <cellStyle name="20% - Accent3 2 3 2 2 3 2 4 2" xfId="43232" xr:uid="{00000000-0005-0000-0000-0000AC1A0000}"/>
    <cellStyle name="20% - Accent3 2 3 2 2 3 2 5" xfId="30284" xr:uid="{00000000-0005-0000-0000-0000AD1A0000}"/>
    <cellStyle name="20% - Accent3 2 3 2 2 3 3" xfId="6054" xr:uid="{00000000-0005-0000-0000-0000AE1A0000}"/>
    <cellStyle name="20% - Accent3 2 3 2 2 3 3 2" xfId="12513" xr:uid="{00000000-0005-0000-0000-0000AF1A0000}"/>
    <cellStyle name="20% - Accent3 2 3 2 2 3 3 2 2" xfId="25430" xr:uid="{00000000-0005-0000-0000-0000B01A0000}"/>
    <cellStyle name="20% - Accent3 2 3 2 2 3 3 2 2 2" xfId="51304" xr:uid="{00000000-0005-0000-0000-0000B11A0000}"/>
    <cellStyle name="20% - Accent3 2 3 2 2 3 3 2 3" xfId="38388" xr:uid="{00000000-0005-0000-0000-0000B21A0000}"/>
    <cellStyle name="20% - Accent3 2 3 2 2 3 3 3" xfId="18972" xr:uid="{00000000-0005-0000-0000-0000B31A0000}"/>
    <cellStyle name="20% - Accent3 2 3 2 2 3 3 3 2" xfId="44846" xr:uid="{00000000-0005-0000-0000-0000B41A0000}"/>
    <cellStyle name="20% - Accent3 2 3 2 2 3 3 4" xfId="31930" xr:uid="{00000000-0005-0000-0000-0000B51A0000}"/>
    <cellStyle name="20% - Accent3 2 3 2 2 3 4" xfId="9285" xr:uid="{00000000-0005-0000-0000-0000B61A0000}"/>
    <cellStyle name="20% - Accent3 2 3 2 2 3 4 2" xfId="22202" xr:uid="{00000000-0005-0000-0000-0000B71A0000}"/>
    <cellStyle name="20% - Accent3 2 3 2 2 3 4 2 2" xfId="48076" xr:uid="{00000000-0005-0000-0000-0000B81A0000}"/>
    <cellStyle name="20% - Accent3 2 3 2 2 3 4 3" xfId="35160" xr:uid="{00000000-0005-0000-0000-0000B91A0000}"/>
    <cellStyle name="20% - Accent3 2 3 2 2 3 5" xfId="15744" xr:uid="{00000000-0005-0000-0000-0000BA1A0000}"/>
    <cellStyle name="20% - Accent3 2 3 2 2 3 5 2" xfId="41618" xr:uid="{00000000-0005-0000-0000-0000BB1A0000}"/>
    <cellStyle name="20% - Accent3 2 3 2 2 3 6" xfId="28670" xr:uid="{00000000-0005-0000-0000-0000BC1A0000}"/>
    <cellStyle name="20% - Accent3 2 3 2 2 4" xfId="3607" xr:uid="{00000000-0005-0000-0000-0000BD1A0000}"/>
    <cellStyle name="20% - Accent3 2 3 2 2 4 2" xfId="6861" xr:uid="{00000000-0005-0000-0000-0000BE1A0000}"/>
    <cellStyle name="20% - Accent3 2 3 2 2 4 2 2" xfId="13320" xr:uid="{00000000-0005-0000-0000-0000BF1A0000}"/>
    <cellStyle name="20% - Accent3 2 3 2 2 4 2 2 2" xfId="26237" xr:uid="{00000000-0005-0000-0000-0000C01A0000}"/>
    <cellStyle name="20% - Accent3 2 3 2 2 4 2 2 2 2" xfId="52111" xr:uid="{00000000-0005-0000-0000-0000C11A0000}"/>
    <cellStyle name="20% - Accent3 2 3 2 2 4 2 2 3" xfId="39195" xr:uid="{00000000-0005-0000-0000-0000C21A0000}"/>
    <cellStyle name="20% - Accent3 2 3 2 2 4 2 3" xfId="19779" xr:uid="{00000000-0005-0000-0000-0000C31A0000}"/>
    <cellStyle name="20% - Accent3 2 3 2 2 4 2 3 2" xfId="45653" xr:uid="{00000000-0005-0000-0000-0000C41A0000}"/>
    <cellStyle name="20% - Accent3 2 3 2 2 4 2 4" xfId="32737" xr:uid="{00000000-0005-0000-0000-0000C51A0000}"/>
    <cellStyle name="20% - Accent3 2 3 2 2 4 3" xfId="10092" xr:uid="{00000000-0005-0000-0000-0000C61A0000}"/>
    <cellStyle name="20% - Accent3 2 3 2 2 4 3 2" xfId="23009" xr:uid="{00000000-0005-0000-0000-0000C71A0000}"/>
    <cellStyle name="20% - Accent3 2 3 2 2 4 3 2 2" xfId="48883" xr:uid="{00000000-0005-0000-0000-0000C81A0000}"/>
    <cellStyle name="20% - Accent3 2 3 2 2 4 3 3" xfId="35967" xr:uid="{00000000-0005-0000-0000-0000C91A0000}"/>
    <cellStyle name="20% - Accent3 2 3 2 2 4 4" xfId="16551" xr:uid="{00000000-0005-0000-0000-0000CA1A0000}"/>
    <cellStyle name="20% - Accent3 2 3 2 2 4 4 2" xfId="42425" xr:uid="{00000000-0005-0000-0000-0000CB1A0000}"/>
    <cellStyle name="20% - Accent3 2 3 2 2 4 5" xfId="29477" xr:uid="{00000000-0005-0000-0000-0000CC1A0000}"/>
    <cellStyle name="20% - Accent3 2 3 2 2 5" xfId="5247" xr:uid="{00000000-0005-0000-0000-0000CD1A0000}"/>
    <cellStyle name="20% - Accent3 2 3 2 2 5 2" xfId="11706" xr:uid="{00000000-0005-0000-0000-0000CE1A0000}"/>
    <cellStyle name="20% - Accent3 2 3 2 2 5 2 2" xfId="24623" xr:uid="{00000000-0005-0000-0000-0000CF1A0000}"/>
    <cellStyle name="20% - Accent3 2 3 2 2 5 2 2 2" xfId="50497" xr:uid="{00000000-0005-0000-0000-0000D01A0000}"/>
    <cellStyle name="20% - Accent3 2 3 2 2 5 2 3" xfId="37581" xr:uid="{00000000-0005-0000-0000-0000D11A0000}"/>
    <cellStyle name="20% - Accent3 2 3 2 2 5 3" xfId="18165" xr:uid="{00000000-0005-0000-0000-0000D21A0000}"/>
    <cellStyle name="20% - Accent3 2 3 2 2 5 3 2" xfId="44039" xr:uid="{00000000-0005-0000-0000-0000D31A0000}"/>
    <cellStyle name="20% - Accent3 2 3 2 2 5 4" xfId="31123" xr:uid="{00000000-0005-0000-0000-0000D41A0000}"/>
    <cellStyle name="20% - Accent3 2 3 2 2 6" xfId="8478" xr:uid="{00000000-0005-0000-0000-0000D51A0000}"/>
    <cellStyle name="20% - Accent3 2 3 2 2 6 2" xfId="21395" xr:uid="{00000000-0005-0000-0000-0000D61A0000}"/>
    <cellStyle name="20% - Accent3 2 3 2 2 6 2 2" xfId="47269" xr:uid="{00000000-0005-0000-0000-0000D71A0000}"/>
    <cellStyle name="20% - Accent3 2 3 2 2 6 3" xfId="34353" xr:uid="{00000000-0005-0000-0000-0000D81A0000}"/>
    <cellStyle name="20% - Accent3 2 3 2 2 7" xfId="14937" xr:uid="{00000000-0005-0000-0000-0000D91A0000}"/>
    <cellStyle name="20% - Accent3 2 3 2 2 7 2" xfId="40811" xr:uid="{00000000-0005-0000-0000-0000DA1A0000}"/>
    <cellStyle name="20% - Accent3 2 3 2 2 8" xfId="27862" xr:uid="{00000000-0005-0000-0000-0000DB1A0000}"/>
    <cellStyle name="20% - Accent3 2 3 2 2 9" xfId="53725" xr:uid="{00000000-0005-0000-0000-0000DC1A0000}"/>
    <cellStyle name="20% - Accent3 2 3 2 3" xfId="548" xr:uid="{00000000-0005-0000-0000-0000DD1A0000}"/>
    <cellStyle name="20% - Accent3 2 3 2 3 2" xfId="2989" xr:uid="{00000000-0005-0000-0000-0000DE1A0000}"/>
    <cellStyle name="20% - Accent3 2 3 2 3 2 2" xfId="4646" xr:uid="{00000000-0005-0000-0000-0000DF1A0000}"/>
    <cellStyle name="20% - Accent3 2 3 2 3 2 2 2" xfId="7877" xr:uid="{00000000-0005-0000-0000-0000E01A0000}"/>
    <cellStyle name="20% - Accent3 2 3 2 3 2 2 2 2" xfId="14336" xr:uid="{00000000-0005-0000-0000-0000E11A0000}"/>
    <cellStyle name="20% - Accent3 2 3 2 3 2 2 2 2 2" xfId="27253" xr:uid="{00000000-0005-0000-0000-0000E21A0000}"/>
    <cellStyle name="20% - Accent3 2 3 2 3 2 2 2 2 2 2" xfId="53127" xr:uid="{00000000-0005-0000-0000-0000E31A0000}"/>
    <cellStyle name="20% - Accent3 2 3 2 3 2 2 2 2 3" xfId="40211" xr:uid="{00000000-0005-0000-0000-0000E41A0000}"/>
    <cellStyle name="20% - Accent3 2 3 2 3 2 2 2 3" xfId="20795" xr:uid="{00000000-0005-0000-0000-0000E51A0000}"/>
    <cellStyle name="20% - Accent3 2 3 2 3 2 2 2 3 2" xfId="46669" xr:uid="{00000000-0005-0000-0000-0000E61A0000}"/>
    <cellStyle name="20% - Accent3 2 3 2 3 2 2 2 4" xfId="33753" xr:uid="{00000000-0005-0000-0000-0000E71A0000}"/>
    <cellStyle name="20% - Accent3 2 3 2 3 2 2 3" xfId="11108" xr:uid="{00000000-0005-0000-0000-0000E81A0000}"/>
    <cellStyle name="20% - Accent3 2 3 2 3 2 2 3 2" xfId="24025" xr:uid="{00000000-0005-0000-0000-0000E91A0000}"/>
    <cellStyle name="20% - Accent3 2 3 2 3 2 2 3 2 2" xfId="49899" xr:uid="{00000000-0005-0000-0000-0000EA1A0000}"/>
    <cellStyle name="20% - Accent3 2 3 2 3 2 2 3 3" xfId="36983" xr:uid="{00000000-0005-0000-0000-0000EB1A0000}"/>
    <cellStyle name="20% - Accent3 2 3 2 3 2 2 4" xfId="17567" xr:uid="{00000000-0005-0000-0000-0000EC1A0000}"/>
    <cellStyle name="20% - Accent3 2 3 2 3 2 2 4 2" xfId="43441" xr:uid="{00000000-0005-0000-0000-0000ED1A0000}"/>
    <cellStyle name="20% - Accent3 2 3 2 3 2 2 5" xfId="30493" xr:uid="{00000000-0005-0000-0000-0000EE1A0000}"/>
    <cellStyle name="20% - Accent3 2 3 2 3 2 3" xfId="6263" xr:uid="{00000000-0005-0000-0000-0000EF1A0000}"/>
    <cellStyle name="20% - Accent3 2 3 2 3 2 3 2" xfId="12722" xr:uid="{00000000-0005-0000-0000-0000F01A0000}"/>
    <cellStyle name="20% - Accent3 2 3 2 3 2 3 2 2" xfId="25639" xr:uid="{00000000-0005-0000-0000-0000F11A0000}"/>
    <cellStyle name="20% - Accent3 2 3 2 3 2 3 2 2 2" xfId="51513" xr:uid="{00000000-0005-0000-0000-0000F21A0000}"/>
    <cellStyle name="20% - Accent3 2 3 2 3 2 3 2 3" xfId="38597" xr:uid="{00000000-0005-0000-0000-0000F31A0000}"/>
    <cellStyle name="20% - Accent3 2 3 2 3 2 3 3" xfId="19181" xr:uid="{00000000-0005-0000-0000-0000F41A0000}"/>
    <cellStyle name="20% - Accent3 2 3 2 3 2 3 3 2" xfId="45055" xr:uid="{00000000-0005-0000-0000-0000F51A0000}"/>
    <cellStyle name="20% - Accent3 2 3 2 3 2 3 4" xfId="32139" xr:uid="{00000000-0005-0000-0000-0000F61A0000}"/>
    <cellStyle name="20% - Accent3 2 3 2 3 2 4" xfId="9494" xr:uid="{00000000-0005-0000-0000-0000F71A0000}"/>
    <cellStyle name="20% - Accent3 2 3 2 3 2 4 2" xfId="22411" xr:uid="{00000000-0005-0000-0000-0000F81A0000}"/>
    <cellStyle name="20% - Accent3 2 3 2 3 2 4 2 2" xfId="48285" xr:uid="{00000000-0005-0000-0000-0000F91A0000}"/>
    <cellStyle name="20% - Accent3 2 3 2 3 2 4 3" xfId="35369" xr:uid="{00000000-0005-0000-0000-0000FA1A0000}"/>
    <cellStyle name="20% - Accent3 2 3 2 3 2 5" xfId="15953" xr:uid="{00000000-0005-0000-0000-0000FB1A0000}"/>
    <cellStyle name="20% - Accent3 2 3 2 3 2 5 2" xfId="41827" xr:uid="{00000000-0005-0000-0000-0000FC1A0000}"/>
    <cellStyle name="20% - Accent3 2 3 2 3 2 6" xfId="28879" xr:uid="{00000000-0005-0000-0000-0000FD1A0000}"/>
    <cellStyle name="20% - Accent3 2 3 2 3 3" xfId="3816" xr:uid="{00000000-0005-0000-0000-0000FE1A0000}"/>
    <cellStyle name="20% - Accent3 2 3 2 3 3 2" xfId="7070" xr:uid="{00000000-0005-0000-0000-0000FF1A0000}"/>
    <cellStyle name="20% - Accent3 2 3 2 3 3 2 2" xfId="13529" xr:uid="{00000000-0005-0000-0000-0000001B0000}"/>
    <cellStyle name="20% - Accent3 2 3 2 3 3 2 2 2" xfId="26446" xr:uid="{00000000-0005-0000-0000-0000011B0000}"/>
    <cellStyle name="20% - Accent3 2 3 2 3 3 2 2 2 2" xfId="52320" xr:uid="{00000000-0005-0000-0000-0000021B0000}"/>
    <cellStyle name="20% - Accent3 2 3 2 3 3 2 2 3" xfId="39404" xr:uid="{00000000-0005-0000-0000-0000031B0000}"/>
    <cellStyle name="20% - Accent3 2 3 2 3 3 2 3" xfId="19988" xr:uid="{00000000-0005-0000-0000-0000041B0000}"/>
    <cellStyle name="20% - Accent3 2 3 2 3 3 2 3 2" xfId="45862" xr:uid="{00000000-0005-0000-0000-0000051B0000}"/>
    <cellStyle name="20% - Accent3 2 3 2 3 3 2 4" xfId="32946" xr:uid="{00000000-0005-0000-0000-0000061B0000}"/>
    <cellStyle name="20% - Accent3 2 3 2 3 3 3" xfId="10301" xr:uid="{00000000-0005-0000-0000-0000071B0000}"/>
    <cellStyle name="20% - Accent3 2 3 2 3 3 3 2" xfId="23218" xr:uid="{00000000-0005-0000-0000-0000081B0000}"/>
    <cellStyle name="20% - Accent3 2 3 2 3 3 3 2 2" xfId="49092" xr:uid="{00000000-0005-0000-0000-0000091B0000}"/>
    <cellStyle name="20% - Accent3 2 3 2 3 3 3 3" xfId="36176" xr:uid="{00000000-0005-0000-0000-00000A1B0000}"/>
    <cellStyle name="20% - Accent3 2 3 2 3 3 4" xfId="16760" xr:uid="{00000000-0005-0000-0000-00000B1B0000}"/>
    <cellStyle name="20% - Accent3 2 3 2 3 3 4 2" xfId="42634" xr:uid="{00000000-0005-0000-0000-00000C1B0000}"/>
    <cellStyle name="20% - Accent3 2 3 2 3 3 5" xfId="29686" xr:uid="{00000000-0005-0000-0000-00000D1B0000}"/>
    <cellStyle name="20% - Accent3 2 3 2 3 4" xfId="5456" xr:uid="{00000000-0005-0000-0000-00000E1B0000}"/>
    <cellStyle name="20% - Accent3 2 3 2 3 4 2" xfId="11915" xr:uid="{00000000-0005-0000-0000-00000F1B0000}"/>
    <cellStyle name="20% - Accent3 2 3 2 3 4 2 2" xfId="24832" xr:uid="{00000000-0005-0000-0000-0000101B0000}"/>
    <cellStyle name="20% - Accent3 2 3 2 3 4 2 2 2" xfId="50706" xr:uid="{00000000-0005-0000-0000-0000111B0000}"/>
    <cellStyle name="20% - Accent3 2 3 2 3 4 2 3" xfId="37790" xr:uid="{00000000-0005-0000-0000-0000121B0000}"/>
    <cellStyle name="20% - Accent3 2 3 2 3 4 3" xfId="18374" xr:uid="{00000000-0005-0000-0000-0000131B0000}"/>
    <cellStyle name="20% - Accent3 2 3 2 3 4 3 2" xfId="44248" xr:uid="{00000000-0005-0000-0000-0000141B0000}"/>
    <cellStyle name="20% - Accent3 2 3 2 3 4 4" xfId="31332" xr:uid="{00000000-0005-0000-0000-0000151B0000}"/>
    <cellStyle name="20% - Accent3 2 3 2 3 5" xfId="8687" xr:uid="{00000000-0005-0000-0000-0000161B0000}"/>
    <cellStyle name="20% - Accent3 2 3 2 3 5 2" xfId="21604" xr:uid="{00000000-0005-0000-0000-0000171B0000}"/>
    <cellStyle name="20% - Accent3 2 3 2 3 5 2 2" xfId="47478" xr:uid="{00000000-0005-0000-0000-0000181B0000}"/>
    <cellStyle name="20% - Accent3 2 3 2 3 5 3" xfId="34562" xr:uid="{00000000-0005-0000-0000-0000191B0000}"/>
    <cellStyle name="20% - Accent3 2 3 2 3 6" xfId="15146" xr:uid="{00000000-0005-0000-0000-00001A1B0000}"/>
    <cellStyle name="20% - Accent3 2 3 2 3 6 2" xfId="41020" xr:uid="{00000000-0005-0000-0000-00001B1B0000}"/>
    <cellStyle name="20% - Accent3 2 3 2 3 7" xfId="28072" xr:uid="{00000000-0005-0000-0000-00001C1B0000}"/>
    <cellStyle name="20% - Accent3 2 3 2 3 8" xfId="53934" xr:uid="{00000000-0005-0000-0000-00001D1B0000}"/>
    <cellStyle name="20% - Accent3 2 3 2 3 9" xfId="2175" xr:uid="{00000000-0005-0000-0000-00001E1B0000}"/>
    <cellStyle name="20% - Accent3 2 3 2 4" xfId="2586" xr:uid="{00000000-0005-0000-0000-00001F1B0000}"/>
    <cellStyle name="20% - Accent3 2 3 2 4 2" xfId="4243" xr:uid="{00000000-0005-0000-0000-0000201B0000}"/>
    <cellStyle name="20% - Accent3 2 3 2 4 2 2" xfId="7474" xr:uid="{00000000-0005-0000-0000-0000211B0000}"/>
    <cellStyle name="20% - Accent3 2 3 2 4 2 2 2" xfId="13933" xr:uid="{00000000-0005-0000-0000-0000221B0000}"/>
    <cellStyle name="20% - Accent3 2 3 2 4 2 2 2 2" xfId="26850" xr:uid="{00000000-0005-0000-0000-0000231B0000}"/>
    <cellStyle name="20% - Accent3 2 3 2 4 2 2 2 2 2" xfId="52724" xr:uid="{00000000-0005-0000-0000-0000241B0000}"/>
    <cellStyle name="20% - Accent3 2 3 2 4 2 2 2 3" xfId="39808" xr:uid="{00000000-0005-0000-0000-0000251B0000}"/>
    <cellStyle name="20% - Accent3 2 3 2 4 2 2 3" xfId="20392" xr:uid="{00000000-0005-0000-0000-0000261B0000}"/>
    <cellStyle name="20% - Accent3 2 3 2 4 2 2 3 2" xfId="46266" xr:uid="{00000000-0005-0000-0000-0000271B0000}"/>
    <cellStyle name="20% - Accent3 2 3 2 4 2 2 4" xfId="33350" xr:uid="{00000000-0005-0000-0000-0000281B0000}"/>
    <cellStyle name="20% - Accent3 2 3 2 4 2 3" xfId="10705" xr:uid="{00000000-0005-0000-0000-0000291B0000}"/>
    <cellStyle name="20% - Accent3 2 3 2 4 2 3 2" xfId="23622" xr:uid="{00000000-0005-0000-0000-00002A1B0000}"/>
    <cellStyle name="20% - Accent3 2 3 2 4 2 3 2 2" xfId="49496" xr:uid="{00000000-0005-0000-0000-00002B1B0000}"/>
    <cellStyle name="20% - Accent3 2 3 2 4 2 3 3" xfId="36580" xr:uid="{00000000-0005-0000-0000-00002C1B0000}"/>
    <cellStyle name="20% - Accent3 2 3 2 4 2 4" xfId="17164" xr:uid="{00000000-0005-0000-0000-00002D1B0000}"/>
    <cellStyle name="20% - Accent3 2 3 2 4 2 4 2" xfId="43038" xr:uid="{00000000-0005-0000-0000-00002E1B0000}"/>
    <cellStyle name="20% - Accent3 2 3 2 4 2 5" xfId="30090" xr:uid="{00000000-0005-0000-0000-00002F1B0000}"/>
    <cellStyle name="20% - Accent3 2 3 2 4 3" xfId="5860" xr:uid="{00000000-0005-0000-0000-0000301B0000}"/>
    <cellStyle name="20% - Accent3 2 3 2 4 3 2" xfId="12319" xr:uid="{00000000-0005-0000-0000-0000311B0000}"/>
    <cellStyle name="20% - Accent3 2 3 2 4 3 2 2" xfId="25236" xr:uid="{00000000-0005-0000-0000-0000321B0000}"/>
    <cellStyle name="20% - Accent3 2 3 2 4 3 2 2 2" xfId="51110" xr:uid="{00000000-0005-0000-0000-0000331B0000}"/>
    <cellStyle name="20% - Accent3 2 3 2 4 3 2 3" xfId="38194" xr:uid="{00000000-0005-0000-0000-0000341B0000}"/>
    <cellStyle name="20% - Accent3 2 3 2 4 3 3" xfId="18778" xr:uid="{00000000-0005-0000-0000-0000351B0000}"/>
    <cellStyle name="20% - Accent3 2 3 2 4 3 3 2" xfId="44652" xr:uid="{00000000-0005-0000-0000-0000361B0000}"/>
    <cellStyle name="20% - Accent3 2 3 2 4 3 4" xfId="31736" xr:uid="{00000000-0005-0000-0000-0000371B0000}"/>
    <cellStyle name="20% - Accent3 2 3 2 4 4" xfId="9091" xr:uid="{00000000-0005-0000-0000-0000381B0000}"/>
    <cellStyle name="20% - Accent3 2 3 2 4 4 2" xfId="22008" xr:uid="{00000000-0005-0000-0000-0000391B0000}"/>
    <cellStyle name="20% - Accent3 2 3 2 4 4 2 2" xfId="47882" xr:uid="{00000000-0005-0000-0000-00003A1B0000}"/>
    <cellStyle name="20% - Accent3 2 3 2 4 4 3" xfId="34966" xr:uid="{00000000-0005-0000-0000-00003B1B0000}"/>
    <cellStyle name="20% - Accent3 2 3 2 4 5" xfId="15550" xr:uid="{00000000-0005-0000-0000-00003C1B0000}"/>
    <cellStyle name="20% - Accent3 2 3 2 4 5 2" xfId="41424" xr:uid="{00000000-0005-0000-0000-00003D1B0000}"/>
    <cellStyle name="20% - Accent3 2 3 2 4 6" xfId="28476" xr:uid="{00000000-0005-0000-0000-00003E1B0000}"/>
    <cellStyle name="20% - Accent3 2 3 2 5" xfId="3413" xr:uid="{00000000-0005-0000-0000-00003F1B0000}"/>
    <cellStyle name="20% - Accent3 2 3 2 5 2" xfId="6667" xr:uid="{00000000-0005-0000-0000-0000401B0000}"/>
    <cellStyle name="20% - Accent3 2 3 2 5 2 2" xfId="13126" xr:uid="{00000000-0005-0000-0000-0000411B0000}"/>
    <cellStyle name="20% - Accent3 2 3 2 5 2 2 2" xfId="26043" xr:uid="{00000000-0005-0000-0000-0000421B0000}"/>
    <cellStyle name="20% - Accent3 2 3 2 5 2 2 2 2" xfId="51917" xr:uid="{00000000-0005-0000-0000-0000431B0000}"/>
    <cellStyle name="20% - Accent3 2 3 2 5 2 2 3" xfId="39001" xr:uid="{00000000-0005-0000-0000-0000441B0000}"/>
    <cellStyle name="20% - Accent3 2 3 2 5 2 3" xfId="19585" xr:uid="{00000000-0005-0000-0000-0000451B0000}"/>
    <cellStyle name="20% - Accent3 2 3 2 5 2 3 2" xfId="45459" xr:uid="{00000000-0005-0000-0000-0000461B0000}"/>
    <cellStyle name="20% - Accent3 2 3 2 5 2 4" xfId="32543" xr:uid="{00000000-0005-0000-0000-0000471B0000}"/>
    <cellStyle name="20% - Accent3 2 3 2 5 3" xfId="9898" xr:uid="{00000000-0005-0000-0000-0000481B0000}"/>
    <cellStyle name="20% - Accent3 2 3 2 5 3 2" xfId="22815" xr:uid="{00000000-0005-0000-0000-0000491B0000}"/>
    <cellStyle name="20% - Accent3 2 3 2 5 3 2 2" xfId="48689" xr:uid="{00000000-0005-0000-0000-00004A1B0000}"/>
    <cellStyle name="20% - Accent3 2 3 2 5 3 3" xfId="35773" xr:uid="{00000000-0005-0000-0000-00004B1B0000}"/>
    <cellStyle name="20% - Accent3 2 3 2 5 4" xfId="16357" xr:uid="{00000000-0005-0000-0000-00004C1B0000}"/>
    <cellStyle name="20% - Accent3 2 3 2 5 4 2" xfId="42231" xr:uid="{00000000-0005-0000-0000-00004D1B0000}"/>
    <cellStyle name="20% - Accent3 2 3 2 5 5" xfId="29283" xr:uid="{00000000-0005-0000-0000-00004E1B0000}"/>
    <cellStyle name="20% - Accent3 2 3 2 6" xfId="5053" xr:uid="{00000000-0005-0000-0000-00004F1B0000}"/>
    <cellStyle name="20% - Accent3 2 3 2 6 2" xfId="11512" xr:uid="{00000000-0005-0000-0000-0000501B0000}"/>
    <cellStyle name="20% - Accent3 2 3 2 6 2 2" xfId="24429" xr:uid="{00000000-0005-0000-0000-0000511B0000}"/>
    <cellStyle name="20% - Accent3 2 3 2 6 2 2 2" xfId="50303" xr:uid="{00000000-0005-0000-0000-0000521B0000}"/>
    <cellStyle name="20% - Accent3 2 3 2 6 2 3" xfId="37387" xr:uid="{00000000-0005-0000-0000-0000531B0000}"/>
    <cellStyle name="20% - Accent3 2 3 2 6 3" xfId="17971" xr:uid="{00000000-0005-0000-0000-0000541B0000}"/>
    <cellStyle name="20% - Accent3 2 3 2 6 3 2" xfId="43845" xr:uid="{00000000-0005-0000-0000-0000551B0000}"/>
    <cellStyle name="20% - Accent3 2 3 2 6 4" xfId="30929" xr:uid="{00000000-0005-0000-0000-0000561B0000}"/>
    <cellStyle name="20% - Accent3 2 3 2 7" xfId="8283" xr:uid="{00000000-0005-0000-0000-0000571B0000}"/>
    <cellStyle name="20% - Accent3 2 3 2 7 2" xfId="21200" xr:uid="{00000000-0005-0000-0000-0000581B0000}"/>
    <cellStyle name="20% - Accent3 2 3 2 7 2 2" xfId="47074" xr:uid="{00000000-0005-0000-0000-0000591B0000}"/>
    <cellStyle name="20% - Accent3 2 3 2 7 3" xfId="34158" xr:uid="{00000000-0005-0000-0000-00005A1B0000}"/>
    <cellStyle name="20% - Accent3 2 3 2 8" xfId="14742" xr:uid="{00000000-0005-0000-0000-00005B1B0000}"/>
    <cellStyle name="20% - Accent3 2 3 2 8 2" xfId="40616" xr:uid="{00000000-0005-0000-0000-00005C1B0000}"/>
    <cellStyle name="20% - Accent3 2 3 2 9" xfId="27666" xr:uid="{00000000-0005-0000-0000-00005D1B0000}"/>
    <cellStyle name="20% - Accent3 2 3 3" xfId="550" xr:uid="{00000000-0005-0000-0000-00005E1B0000}"/>
    <cellStyle name="20% - Accent3 2 3 3 10" xfId="1844" xr:uid="{00000000-0005-0000-0000-00005F1B0000}"/>
    <cellStyle name="20% - Accent3 2 3 3 2" xfId="2286" xr:uid="{00000000-0005-0000-0000-0000601B0000}"/>
    <cellStyle name="20% - Accent3 2 3 3 2 2" xfId="3100" xr:uid="{00000000-0005-0000-0000-0000611B0000}"/>
    <cellStyle name="20% - Accent3 2 3 3 2 2 2" xfId="4757" xr:uid="{00000000-0005-0000-0000-0000621B0000}"/>
    <cellStyle name="20% - Accent3 2 3 3 2 2 2 2" xfId="7988" xr:uid="{00000000-0005-0000-0000-0000631B0000}"/>
    <cellStyle name="20% - Accent3 2 3 3 2 2 2 2 2" xfId="14447" xr:uid="{00000000-0005-0000-0000-0000641B0000}"/>
    <cellStyle name="20% - Accent3 2 3 3 2 2 2 2 2 2" xfId="27364" xr:uid="{00000000-0005-0000-0000-0000651B0000}"/>
    <cellStyle name="20% - Accent3 2 3 3 2 2 2 2 2 2 2" xfId="53238" xr:uid="{00000000-0005-0000-0000-0000661B0000}"/>
    <cellStyle name="20% - Accent3 2 3 3 2 2 2 2 2 3" xfId="40322" xr:uid="{00000000-0005-0000-0000-0000671B0000}"/>
    <cellStyle name="20% - Accent3 2 3 3 2 2 2 2 3" xfId="20906" xr:uid="{00000000-0005-0000-0000-0000681B0000}"/>
    <cellStyle name="20% - Accent3 2 3 3 2 2 2 2 3 2" xfId="46780" xr:uid="{00000000-0005-0000-0000-0000691B0000}"/>
    <cellStyle name="20% - Accent3 2 3 3 2 2 2 2 4" xfId="33864" xr:uid="{00000000-0005-0000-0000-00006A1B0000}"/>
    <cellStyle name="20% - Accent3 2 3 3 2 2 2 3" xfId="11219" xr:uid="{00000000-0005-0000-0000-00006B1B0000}"/>
    <cellStyle name="20% - Accent3 2 3 3 2 2 2 3 2" xfId="24136" xr:uid="{00000000-0005-0000-0000-00006C1B0000}"/>
    <cellStyle name="20% - Accent3 2 3 3 2 2 2 3 2 2" xfId="50010" xr:uid="{00000000-0005-0000-0000-00006D1B0000}"/>
    <cellStyle name="20% - Accent3 2 3 3 2 2 2 3 3" xfId="37094" xr:uid="{00000000-0005-0000-0000-00006E1B0000}"/>
    <cellStyle name="20% - Accent3 2 3 3 2 2 2 4" xfId="17678" xr:uid="{00000000-0005-0000-0000-00006F1B0000}"/>
    <cellStyle name="20% - Accent3 2 3 3 2 2 2 4 2" xfId="43552" xr:uid="{00000000-0005-0000-0000-0000701B0000}"/>
    <cellStyle name="20% - Accent3 2 3 3 2 2 2 5" xfId="30604" xr:uid="{00000000-0005-0000-0000-0000711B0000}"/>
    <cellStyle name="20% - Accent3 2 3 3 2 2 3" xfId="6374" xr:uid="{00000000-0005-0000-0000-0000721B0000}"/>
    <cellStyle name="20% - Accent3 2 3 3 2 2 3 2" xfId="12833" xr:uid="{00000000-0005-0000-0000-0000731B0000}"/>
    <cellStyle name="20% - Accent3 2 3 3 2 2 3 2 2" xfId="25750" xr:uid="{00000000-0005-0000-0000-0000741B0000}"/>
    <cellStyle name="20% - Accent3 2 3 3 2 2 3 2 2 2" xfId="51624" xr:uid="{00000000-0005-0000-0000-0000751B0000}"/>
    <cellStyle name="20% - Accent3 2 3 3 2 2 3 2 3" xfId="38708" xr:uid="{00000000-0005-0000-0000-0000761B0000}"/>
    <cellStyle name="20% - Accent3 2 3 3 2 2 3 3" xfId="19292" xr:uid="{00000000-0005-0000-0000-0000771B0000}"/>
    <cellStyle name="20% - Accent3 2 3 3 2 2 3 3 2" xfId="45166" xr:uid="{00000000-0005-0000-0000-0000781B0000}"/>
    <cellStyle name="20% - Accent3 2 3 3 2 2 3 4" xfId="32250" xr:uid="{00000000-0005-0000-0000-0000791B0000}"/>
    <cellStyle name="20% - Accent3 2 3 3 2 2 4" xfId="9605" xr:uid="{00000000-0005-0000-0000-00007A1B0000}"/>
    <cellStyle name="20% - Accent3 2 3 3 2 2 4 2" xfId="22522" xr:uid="{00000000-0005-0000-0000-00007B1B0000}"/>
    <cellStyle name="20% - Accent3 2 3 3 2 2 4 2 2" xfId="48396" xr:uid="{00000000-0005-0000-0000-00007C1B0000}"/>
    <cellStyle name="20% - Accent3 2 3 3 2 2 4 3" xfId="35480" xr:uid="{00000000-0005-0000-0000-00007D1B0000}"/>
    <cellStyle name="20% - Accent3 2 3 3 2 2 5" xfId="16064" xr:uid="{00000000-0005-0000-0000-00007E1B0000}"/>
    <cellStyle name="20% - Accent3 2 3 3 2 2 5 2" xfId="41938" xr:uid="{00000000-0005-0000-0000-00007F1B0000}"/>
    <cellStyle name="20% - Accent3 2 3 3 2 2 6" xfId="28990" xr:uid="{00000000-0005-0000-0000-0000801B0000}"/>
    <cellStyle name="20% - Accent3 2 3 3 2 3" xfId="3927" xr:uid="{00000000-0005-0000-0000-0000811B0000}"/>
    <cellStyle name="20% - Accent3 2 3 3 2 3 2" xfId="7181" xr:uid="{00000000-0005-0000-0000-0000821B0000}"/>
    <cellStyle name="20% - Accent3 2 3 3 2 3 2 2" xfId="13640" xr:uid="{00000000-0005-0000-0000-0000831B0000}"/>
    <cellStyle name="20% - Accent3 2 3 3 2 3 2 2 2" xfId="26557" xr:uid="{00000000-0005-0000-0000-0000841B0000}"/>
    <cellStyle name="20% - Accent3 2 3 3 2 3 2 2 2 2" xfId="52431" xr:uid="{00000000-0005-0000-0000-0000851B0000}"/>
    <cellStyle name="20% - Accent3 2 3 3 2 3 2 2 3" xfId="39515" xr:uid="{00000000-0005-0000-0000-0000861B0000}"/>
    <cellStyle name="20% - Accent3 2 3 3 2 3 2 3" xfId="20099" xr:uid="{00000000-0005-0000-0000-0000871B0000}"/>
    <cellStyle name="20% - Accent3 2 3 3 2 3 2 3 2" xfId="45973" xr:uid="{00000000-0005-0000-0000-0000881B0000}"/>
    <cellStyle name="20% - Accent3 2 3 3 2 3 2 4" xfId="33057" xr:uid="{00000000-0005-0000-0000-0000891B0000}"/>
    <cellStyle name="20% - Accent3 2 3 3 2 3 3" xfId="10412" xr:uid="{00000000-0005-0000-0000-00008A1B0000}"/>
    <cellStyle name="20% - Accent3 2 3 3 2 3 3 2" xfId="23329" xr:uid="{00000000-0005-0000-0000-00008B1B0000}"/>
    <cellStyle name="20% - Accent3 2 3 3 2 3 3 2 2" xfId="49203" xr:uid="{00000000-0005-0000-0000-00008C1B0000}"/>
    <cellStyle name="20% - Accent3 2 3 3 2 3 3 3" xfId="36287" xr:uid="{00000000-0005-0000-0000-00008D1B0000}"/>
    <cellStyle name="20% - Accent3 2 3 3 2 3 4" xfId="16871" xr:uid="{00000000-0005-0000-0000-00008E1B0000}"/>
    <cellStyle name="20% - Accent3 2 3 3 2 3 4 2" xfId="42745" xr:uid="{00000000-0005-0000-0000-00008F1B0000}"/>
    <cellStyle name="20% - Accent3 2 3 3 2 3 5" xfId="29797" xr:uid="{00000000-0005-0000-0000-0000901B0000}"/>
    <cellStyle name="20% - Accent3 2 3 3 2 4" xfId="5567" xr:uid="{00000000-0005-0000-0000-0000911B0000}"/>
    <cellStyle name="20% - Accent3 2 3 3 2 4 2" xfId="12026" xr:uid="{00000000-0005-0000-0000-0000921B0000}"/>
    <cellStyle name="20% - Accent3 2 3 3 2 4 2 2" xfId="24943" xr:uid="{00000000-0005-0000-0000-0000931B0000}"/>
    <cellStyle name="20% - Accent3 2 3 3 2 4 2 2 2" xfId="50817" xr:uid="{00000000-0005-0000-0000-0000941B0000}"/>
    <cellStyle name="20% - Accent3 2 3 3 2 4 2 3" xfId="37901" xr:uid="{00000000-0005-0000-0000-0000951B0000}"/>
    <cellStyle name="20% - Accent3 2 3 3 2 4 3" xfId="18485" xr:uid="{00000000-0005-0000-0000-0000961B0000}"/>
    <cellStyle name="20% - Accent3 2 3 3 2 4 3 2" xfId="44359" xr:uid="{00000000-0005-0000-0000-0000971B0000}"/>
    <cellStyle name="20% - Accent3 2 3 3 2 4 4" xfId="31443" xr:uid="{00000000-0005-0000-0000-0000981B0000}"/>
    <cellStyle name="20% - Accent3 2 3 3 2 5" xfId="8798" xr:uid="{00000000-0005-0000-0000-0000991B0000}"/>
    <cellStyle name="20% - Accent3 2 3 3 2 5 2" xfId="21715" xr:uid="{00000000-0005-0000-0000-00009A1B0000}"/>
    <cellStyle name="20% - Accent3 2 3 3 2 5 2 2" xfId="47589" xr:uid="{00000000-0005-0000-0000-00009B1B0000}"/>
    <cellStyle name="20% - Accent3 2 3 3 2 5 3" xfId="34673" xr:uid="{00000000-0005-0000-0000-00009C1B0000}"/>
    <cellStyle name="20% - Accent3 2 3 3 2 6" xfId="15257" xr:uid="{00000000-0005-0000-0000-00009D1B0000}"/>
    <cellStyle name="20% - Accent3 2 3 3 2 6 2" xfId="41131" xr:uid="{00000000-0005-0000-0000-00009E1B0000}"/>
    <cellStyle name="20% - Accent3 2 3 3 2 7" xfId="28183" xr:uid="{00000000-0005-0000-0000-00009F1B0000}"/>
    <cellStyle name="20% - Accent3 2 3 3 2 8" xfId="54045" xr:uid="{00000000-0005-0000-0000-0000A01B0000}"/>
    <cellStyle name="20% - Accent3 2 3 3 3" xfId="2697" xr:uid="{00000000-0005-0000-0000-0000A11B0000}"/>
    <cellStyle name="20% - Accent3 2 3 3 3 2" xfId="4354" xr:uid="{00000000-0005-0000-0000-0000A21B0000}"/>
    <cellStyle name="20% - Accent3 2 3 3 3 2 2" xfId="7585" xr:uid="{00000000-0005-0000-0000-0000A31B0000}"/>
    <cellStyle name="20% - Accent3 2 3 3 3 2 2 2" xfId="14044" xr:uid="{00000000-0005-0000-0000-0000A41B0000}"/>
    <cellStyle name="20% - Accent3 2 3 3 3 2 2 2 2" xfId="26961" xr:uid="{00000000-0005-0000-0000-0000A51B0000}"/>
    <cellStyle name="20% - Accent3 2 3 3 3 2 2 2 2 2" xfId="52835" xr:uid="{00000000-0005-0000-0000-0000A61B0000}"/>
    <cellStyle name="20% - Accent3 2 3 3 3 2 2 2 3" xfId="39919" xr:uid="{00000000-0005-0000-0000-0000A71B0000}"/>
    <cellStyle name="20% - Accent3 2 3 3 3 2 2 3" xfId="20503" xr:uid="{00000000-0005-0000-0000-0000A81B0000}"/>
    <cellStyle name="20% - Accent3 2 3 3 3 2 2 3 2" xfId="46377" xr:uid="{00000000-0005-0000-0000-0000A91B0000}"/>
    <cellStyle name="20% - Accent3 2 3 3 3 2 2 4" xfId="33461" xr:uid="{00000000-0005-0000-0000-0000AA1B0000}"/>
    <cellStyle name="20% - Accent3 2 3 3 3 2 3" xfId="10816" xr:uid="{00000000-0005-0000-0000-0000AB1B0000}"/>
    <cellStyle name="20% - Accent3 2 3 3 3 2 3 2" xfId="23733" xr:uid="{00000000-0005-0000-0000-0000AC1B0000}"/>
    <cellStyle name="20% - Accent3 2 3 3 3 2 3 2 2" xfId="49607" xr:uid="{00000000-0005-0000-0000-0000AD1B0000}"/>
    <cellStyle name="20% - Accent3 2 3 3 3 2 3 3" xfId="36691" xr:uid="{00000000-0005-0000-0000-0000AE1B0000}"/>
    <cellStyle name="20% - Accent3 2 3 3 3 2 4" xfId="17275" xr:uid="{00000000-0005-0000-0000-0000AF1B0000}"/>
    <cellStyle name="20% - Accent3 2 3 3 3 2 4 2" xfId="43149" xr:uid="{00000000-0005-0000-0000-0000B01B0000}"/>
    <cellStyle name="20% - Accent3 2 3 3 3 2 5" xfId="30201" xr:uid="{00000000-0005-0000-0000-0000B11B0000}"/>
    <cellStyle name="20% - Accent3 2 3 3 3 3" xfId="5971" xr:uid="{00000000-0005-0000-0000-0000B21B0000}"/>
    <cellStyle name="20% - Accent3 2 3 3 3 3 2" xfId="12430" xr:uid="{00000000-0005-0000-0000-0000B31B0000}"/>
    <cellStyle name="20% - Accent3 2 3 3 3 3 2 2" xfId="25347" xr:uid="{00000000-0005-0000-0000-0000B41B0000}"/>
    <cellStyle name="20% - Accent3 2 3 3 3 3 2 2 2" xfId="51221" xr:uid="{00000000-0005-0000-0000-0000B51B0000}"/>
    <cellStyle name="20% - Accent3 2 3 3 3 3 2 3" xfId="38305" xr:uid="{00000000-0005-0000-0000-0000B61B0000}"/>
    <cellStyle name="20% - Accent3 2 3 3 3 3 3" xfId="18889" xr:uid="{00000000-0005-0000-0000-0000B71B0000}"/>
    <cellStyle name="20% - Accent3 2 3 3 3 3 3 2" xfId="44763" xr:uid="{00000000-0005-0000-0000-0000B81B0000}"/>
    <cellStyle name="20% - Accent3 2 3 3 3 3 4" xfId="31847" xr:uid="{00000000-0005-0000-0000-0000B91B0000}"/>
    <cellStyle name="20% - Accent3 2 3 3 3 4" xfId="9202" xr:uid="{00000000-0005-0000-0000-0000BA1B0000}"/>
    <cellStyle name="20% - Accent3 2 3 3 3 4 2" xfId="22119" xr:uid="{00000000-0005-0000-0000-0000BB1B0000}"/>
    <cellStyle name="20% - Accent3 2 3 3 3 4 2 2" xfId="47993" xr:uid="{00000000-0005-0000-0000-0000BC1B0000}"/>
    <cellStyle name="20% - Accent3 2 3 3 3 4 3" xfId="35077" xr:uid="{00000000-0005-0000-0000-0000BD1B0000}"/>
    <cellStyle name="20% - Accent3 2 3 3 3 5" xfId="15661" xr:uid="{00000000-0005-0000-0000-0000BE1B0000}"/>
    <cellStyle name="20% - Accent3 2 3 3 3 5 2" xfId="41535" xr:uid="{00000000-0005-0000-0000-0000BF1B0000}"/>
    <cellStyle name="20% - Accent3 2 3 3 3 6" xfId="28587" xr:uid="{00000000-0005-0000-0000-0000C01B0000}"/>
    <cellStyle name="20% - Accent3 2 3 3 4" xfId="3524" xr:uid="{00000000-0005-0000-0000-0000C11B0000}"/>
    <cellStyle name="20% - Accent3 2 3 3 4 2" xfId="6778" xr:uid="{00000000-0005-0000-0000-0000C21B0000}"/>
    <cellStyle name="20% - Accent3 2 3 3 4 2 2" xfId="13237" xr:uid="{00000000-0005-0000-0000-0000C31B0000}"/>
    <cellStyle name="20% - Accent3 2 3 3 4 2 2 2" xfId="26154" xr:uid="{00000000-0005-0000-0000-0000C41B0000}"/>
    <cellStyle name="20% - Accent3 2 3 3 4 2 2 2 2" xfId="52028" xr:uid="{00000000-0005-0000-0000-0000C51B0000}"/>
    <cellStyle name="20% - Accent3 2 3 3 4 2 2 3" xfId="39112" xr:uid="{00000000-0005-0000-0000-0000C61B0000}"/>
    <cellStyle name="20% - Accent3 2 3 3 4 2 3" xfId="19696" xr:uid="{00000000-0005-0000-0000-0000C71B0000}"/>
    <cellStyle name="20% - Accent3 2 3 3 4 2 3 2" xfId="45570" xr:uid="{00000000-0005-0000-0000-0000C81B0000}"/>
    <cellStyle name="20% - Accent3 2 3 3 4 2 4" xfId="32654" xr:uid="{00000000-0005-0000-0000-0000C91B0000}"/>
    <cellStyle name="20% - Accent3 2 3 3 4 3" xfId="10009" xr:uid="{00000000-0005-0000-0000-0000CA1B0000}"/>
    <cellStyle name="20% - Accent3 2 3 3 4 3 2" xfId="22926" xr:uid="{00000000-0005-0000-0000-0000CB1B0000}"/>
    <cellStyle name="20% - Accent3 2 3 3 4 3 2 2" xfId="48800" xr:uid="{00000000-0005-0000-0000-0000CC1B0000}"/>
    <cellStyle name="20% - Accent3 2 3 3 4 3 3" xfId="35884" xr:uid="{00000000-0005-0000-0000-0000CD1B0000}"/>
    <cellStyle name="20% - Accent3 2 3 3 4 4" xfId="16468" xr:uid="{00000000-0005-0000-0000-0000CE1B0000}"/>
    <cellStyle name="20% - Accent3 2 3 3 4 4 2" xfId="42342" xr:uid="{00000000-0005-0000-0000-0000CF1B0000}"/>
    <cellStyle name="20% - Accent3 2 3 3 4 5" xfId="29394" xr:uid="{00000000-0005-0000-0000-0000D01B0000}"/>
    <cellStyle name="20% - Accent3 2 3 3 5" xfId="5164" xr:uid="{00000000-0005-0000-0000-0000D11B0000}"/>
    <cellStyle name="20% - Accent3 2 3 3 5 2" xfId="11623" xr:uid="{00000000-0005-0000-0000-0000D21B0000}"/>
    <cellStyle name="20% - Accent3 2 3 3 5 2 2" xfId="24540" xr:uid="{00000000-0005-0000-0000-0000D31B0000}"/>
    <cellStyle name="20% - Accent3 2 3 3 5 2 2 2" xfId="50414" xr:uid="{00000000-0005-0000-0000-0000D41B0000}"/>
    <cellStyle name="20% - Accent3 2 3 3 5 2 3" xfId="37498" xr:uid="{00000000-0005-0000-0000-0000D51B0000}"/>
    <cellStyle name="20% - Accent3 2 3 3 5 3" xfId="18082" xr:uid="{00000000-0005-0000-0000-0000D61B0000}"/>
    <cellStyle name="20% - Accent3 2 3 3 5 3 2" xfId="43956" xr:uid="{00000000-0005-0000-0000-0000D71B0000}"/>
    <cellStyle name="20% - Accent3 2 3 3 5 4" xfId="31040" xr:uid="{00000000-0005-0000-0000-0000D81B0000}"/>
    <cellStyle name="20% - Accent3 2 3 3 6" xfId="8394" xr:uid="{00000000-0005-0000-0000-0000D91B0000}"/>
    <cellStyle name="20% - Accent3 2 3 3 6 2" xfId="21311" xr:uid="{00000000-0005-0000-0000-0000DA1B0000}"/>
    <cellStyle name="20% - Accent3 2 3 3 6 2 2" xfId="47185" xr:uid="{00000000-0005-0000-0000-0000DB1B0000}"/>
    <cellStyle name="20% - Accent3 2 3 3 6 3" xfId="34269" xr:uid="{00000000-0005-0000-0000-0000DC1B0000}"/>
    <cellStyle name="20% - Accent3 2 3 3 7" xfId="14853" xr:uid="{00000000-0005-0000-0000-0000DD1B0000}"/>
    <cellStyle name="20% - Accent3 2 3 3 7 2" xfId="40727" xr:uid="{00000000-0005-0000-0000-0000DE1B0000}"/>
    <cellStyle name="20% - Accent3 2 3 3 8" xfId="27779" xr:uid="{00000000-0005-0000-0000-0000DF1B0000}"/>
    <cellStyle name="20% - Accent3 2 3 3 9" xfId="53642" xr:uid="{00000000-0005-0000-0000-0000E01B0000}"/>
    <cellStyle name="20% - Accent3 2 3 4" xfId="547" xr:uid="{00000000-0005-0000-0000-0000E11B0000}"/>
    <cellStyle name="20% - Accent3 2 3 4 2" xfId="2904" xr:uid="{00000000-0005-0000-0000-0000E21B0000}"/>
    <cellStyle name="20% - Accent3 2 3 4 2 2" xfId="4561" xr:uid="{00000000-0005-0000-0000-0000E31B0000}"/>
    <cellStyle name="20% - Accent3 2 3 4 2 2 2" xfId="7792" xr:uid="{00000000-0005-0000-0000-0000E41B0000}"/>
    <cellStyle name="20% - Accent3 2 3 4 2 2 2 2" xfId="14251" xr:uid="{00000000-0005-0000-0000-0000E51B0000}"/>
    <cellStyle name="20% - Accent3 2 3 4 2 2 2 2 2" xfId="27168" xr:uid="{00000000-0005-0000-0000-0000E61B0000}"/>
    <cellStyle name="20% - Accent3 2 3 4 2 2 2 2 2 2" xfId="53042" xr:uid="{00000000-0005-0000-0000-0000E71B0000}"/>
    <cellStyle name="20% - Accent3 2 3 4 2 2 2 2 3" xfId="40126" xr:uid="{00000000-0005-0000-0000-0000E81B0000}"/>
    <cellStyle name="20% - Accent3 2 3 4 2 2 2 3" xfId="20710" xr:uid="{00000000-0005-0000-0000-0000E91B0000}"/>
    <cellStyle name="20% - Accent3 2 3 4 2 2 2 3 2" xfId="46584" xr:uid="{00000000-0005-0000-0000-0000EA1B0000}"/>
    <cellStyle name="20% - Accent3 2 3 4 2 2 2 4" xfId="33668" xr:uid="{00000000-0005-0000-0000-0000EB1B0000}"/>
    <cellStyle name="20% - Accent3 2 3 4 2 2 3" xfId="11023" xr:uid="{00000000-0005-0000-0000-0000EC1B0000}"/>
    <cellStyle name="20% - Accent3 2 3 4 2 2 3 2" xfId="23940" xr:uid="{00000000-0005-0000-0000-0000ED1B0000}"/>
    <cellStyle name="20% - Accent3 2 3 4 2 2 3 2 2" xfId="49814" xr:uid="{00000000-0005-0000-0000-0000EE1B0000}"/>
    <cellStyle name="20% - Accent3 2 3 4 2 2 3 3" xfId="36898" xr:uid="{00000000-0005-0000-0000-0000EF1B0000}"/>
    <cellStyle name="20% - Accent3 2 3 4 2 2 4" xfId="17482" xr:uid="{00000000-0005-0000-0000-0000F01B0000}"/>
    <cellStyle name="20% - Accent3 2 3 4 2 2 4 2" xfId="43356" xr:uid="{00000000-0005-0000-0000-0000F11B0000}"/>
    <cellStyle name="20% - Accent3 2 3 4 2 2 5" xfId="30408" xr:uid="{00000000-0005-0000-0000-0000F21B0000}"/>
    <cellStyle name="20% - Accent3 2 3 4 2 3" xfId="6178" xr:uid="{00000000-0005-0000-0000-0000F31B0000}"/>
    <cellStyle name="20% - Accent3 2 3 4 2 3 2" xfId="12637" xr:uid="{00000000-0005-0000-0000-0000F41B0000}"/>
    <cellStyle name="20% - Accent3 2 3 4 2 3 2 2" xfId="25554" xr:uid="{00000000-0005-0000-0000-0000F51B0000}"/>
    <cellStyle name="20% - Accent3 2 3 4 2 3 2 2 2" xfId="51428" xr:uid="{00000000-0005-0000-0000-0000F61B0000}"/>
    <cellStyle name="20% - Accent3 2 3 4 2 3 2 3" xfId="38512" xr:uid="{00000000-0005-0000-0000-0000F71B0000}"/>
    <cellStyle name="20% - Accent3 2 3 4 2 3 3" xfId="19096" xr:uid="{00000000-0005-0000-0000-0000F81B0000}"/>
    <cellStyle name="20% - Accent3 2 3 4 2 3 3 2" xfId="44970" xr:uid="{00000000-0005-0000-0000-0000F91B0000}"/>
    <cellStyle name="20% - Accent3 2 3 4 2 3 4" xfId="32054" xr:uid="{00000000-0005-0000-0000-0000FA1B0000}"/>
    <cellStyle name="20% - Accent3 2 3 4 2 4" xfId="9409" xr:uid="{00000000-0005-0000-0000-0000FB1B0000}"/>
    <cellStyle name="20% - Accent3 2 3 4 2 4 2" xfId="22326" xr:uid="{00000000-0005-0000-0000-0000FC1B0000}"/>
    <cellStyle name="20% - Accent3 2 3 4 2 4 2 2" xfId="48200" xr:uid="{00000000-0005-0000-0000-0000FD1B0000}"/>
    <cellStyle name="20% - Accent3 2 3 4 2 4 3" xfId="35284" xr:uid="{00000000-0005-0000-0000-0000FE1B0000}"/>
    <cellStyle name="20% - Accent3 2 3 4 2 5" xfId="15868" xr:uid="{00000000-0005-0000-0000-0000FF1B0000}"/>
    <cellStyle name="20% - Accent3 2 3 4 2 5 2" xfId="41742" xr:uid="{00000000-0005-0000-0000-0000001C0000}"/>
    <cellStyle name="20% - Accent3 2 3 4 2 6" xfId="28794" xr:uid="{00000000-0005-0000-0000-0000011C0000}"/>
    <cellStyle name="20% - Accent3 2 3 4 3" xfId="3731" xr:uid="{00000000-0005-0000-0000-0000021C0000}"/>
    <cellStyle name="20% - Accent3 2 3 4 3 2" xfId="6985" xr:uid="{00000000-0005-0000-0000-0000031C0000}"/>
    <cellStyle name="20% - Accent3 2 3 4 3 2 2" xfId="13444" xr:uid="{00000000-0005-0000-0000-0000041C0000}"/>
    <cellStyle name="20% - Accent3 2 3 4 3 2 2 2" xfId="26361" xr:uid="{00000000-0005-0000-0000-0000051C0000}"/>
    <cellStyle name="20% - Accent3 2 3 4 3 2 2 2 2" xfId="52235" xr:uid="{00000000-0005-0000-0000-0000061C0000}"/>
    <cellStyle name="20% - Accent3 2 3 4 3 2 2 3" xfId="39319" xr:uid="{00000000-0005-0000-0000-0000071C0000}"/>
    <cellStyle name="20% - Accent3 2 3 4 3 2 3" xfId="19903" xr:uid="{00000000-0005-0000-0000-0000081C0000}"/>
    <cellStyle name="20% - Accent3 2 3 4 3 2 3 2" xfId="45777" xr:uid="{00000000-0005-0000-0000-0000091C0000}"/>
    <cellStyle name="20% - Accent3 2 3 4 3 2 4" xfId="32861" xr:uid="{00000000-0005-0000-0000-00000A1C0000}"/>
    <cellStyle name="20% - Accent3 2 3 4 3 3" xfId="10216" xr:uid="{00000000-0005-0000-0000-00000B1C0000}"/>
    <cellStyle name="20% - Accent3 2 3 4 3 3 2" xfId="23133" xr:uid="{00000000-0005-0000-0000-00000C1C0000}"/>
    <cellStyle name="20% - Accent3 2 3 4 3 3 2 2" xfId="49007" xr:uid="{00000000-0005-0000-0000-00000D1C0000}"/>
    <cellStyle name="20% - Accent3 2 3 4 3 3 3" xfId="36091" xr:uid="{00000000-0005-0000-0000-00000E1C0000}"/>
    <cellStyle name="20% - Accent3 2 3 4 3 4" xfId="16675" xr:uid="{00000000-0005-0000-0000-00000F1C0000}"/>
    <cellStyle name="20% - Accent3 2 3 4 3 4 2" xfId="42549" xr:uid="{00000000-0005-0000-0000-0000101C0000}"/>
    <cellStyle name="20% - Accent3 2 3 4 3 5" xfId="29601" xr:uid="{00000000-0005-0000-0000-0000111C0000}"/>
    <cellStyle name="20% - Accent3 2 3 4 4" xfId="5371" xr:uid="{00000000-0005-0000-0000-0000121C0000}"/>
    <cellStyle name="20% - Accent3 2 3 4 4 2" xfId="11830" xr:uid="{00000000-0005-0000-0000-0000131C0000}"/>
    <cellStyle name="20% - Accent3 2 3 4 4 2 2" xfId="24747" xr:uid="{00000000-0005-0000-0000-0000141C0000}"/>
    <cellStyle name="20% - Accent3 2 3 4 4 2 2 2" xfId="50621" xr:uid="{00000000-0005-0000-0000-0000151C0000}"/>
    <cellStyle name="20% - Accent3 2 3 4 4 2 3" xfId="37705" xr:uid="{00000000-0005-0000-0000-0000161C0000}"/>
    <cellStyle name="20% - Accent3 2 3 4 4 3" xfId="18289" xr:uid="{00000000-0005-0000-0000-0000171C0000}"/>
    <cellStyle name="20% - Accent3 2 3 4 4 3 2" xfId="44163" xr:uid="{00000000-0005-0000-0000-0000181C0000}"/>
    <cellStyle name="20% - Accent3 2 3 4 4 4" xfId="31247" xr:uid="{00000000-0005-0000-0000-0000191C0000}"/>
    <cellStyle name="20% - Accent3 2 3 4 5" xfId="8602" xr:uid="{00000000-0005-0000-0000-00001A1C0000}"/>
    <cellStyle name="20% - Accent3 2 3 4 5 2" xfId="21519" xr:uid="{00000000-0005-0000-0000-00001B1C0000}"/>
    <cellStyle name="20% - Accent3 2 3 4 5 2 2" xfId="47393" xr:uid="{00000000-0005-0000-0000-00001C1C0000}"/>
    <cellStyle name="20% - Accent3 2 3 4 5 3" xfId="34477" xr:uid="{00000000-0005-0000-0000-00001D1C0000}"/>
    <cellStyle name="20% - Accent3 2 3 4 6" xfId="15061" xr:uid="{00000000-0005-0000-0000-00001E1C0000}"/>
    <cellStyle name="20% - Accent3 2 3 4 6 2" xfId="40935" xr:uid="{00000000-0005-0000-0000-00001F1C0000}"/>
    <cellStyle name="20% - Accent3 2 3 4 7" xfId="27987" xr:uid="{00000000-0005-0000-0000-0000201C0000}"/>
    <cellStyle name="20% - Accent3 2 3 4 8" xfId="53849" xr:uid="{00000000-0005-0000-0000-0000211C0000}"/>
    <cellStyle name="20% - Accent3 2 3 4 9" xfId="2087" xr:uid="{00000000-0005-0000-0000-0000221C0000}"/>
    <cellStyle name="20% - Accent3 2 3 5" xfId="2502" xr:uid="{00000000-0005-0000-0000-0000231C0000}"/>
    <cellStyle name="20% - Accent3 2 3 5 2" xfId="4159" xr:uid="{00000000-0005-0000-0000-0000241C0000}"/>
    <cellStyle name="20% - Accent3 2 3 5 2 2" xfId="7390" xr:uid="{00000000-0005-0000-0000-0000251C0000}"/>
    <cellStyle name="20% - Accent3 2 3 5 2 2 2" xfId="13849" xr:uid="{00000000-0005-0000-0000-0000261C0000}"/>
    <cellStyle name="20% - Accent3 2 3 5 2 2 2 2" xfId="26766" xr:uid="{00000000-0005-0000-0000-0000271C0000}"/>
    <cellStyle name="20% - Accent3 2 3 5 2 2 2 2 2" xfId="52640" xr:uid="{00000000-0005-0000-0000-0000281C0000}"/>
    <cellStyle name="20% - Accent3 2 3 5 2 2 2 3" xfId="39724" xr:uid="{00000000-0005-0000-0000-0000291C0000}"/>
    <cellStyle name="20% - Accent3 2 3 5 2 2 3" xfId="20308" xr:uid="{00000000-0005-0000-0000-00002A1C0000}"/>
    <cellStyle name="20% - Accent3 2 3 5 2 2 3 2" xfId="46182" xr:uid="{00000000-0005-0000-0000-00002B1C0000}"/>
    <cellStyle name="20% - Accent3 2 3 5 2 2 4" xfId="33266" xr:uid="{00000000-0005-0000-0000-00002C1C0000}"/>
    <cellStyle name="20% - Accent3 2 3 5 2 3" xfId="10621" xr:uid="{00000000-0005-0000-0000-00002D1C0000}"/>
    <cellStyle name="20% - Accent3 2 3 5 2 3 2" xfId="23538" xr:uid="{00000000-0005-0000-0000-00002E1C0000}"/>
    <cellStyle name="20% - Accent3 2 3 5 2 3 2 2" xfId="49412" xr:uid="{00000000-0005-0000-0000-00002F1C0000}"/>
    <cellStyle name="20% - Accent3 2 3 5 2 3 3" xfId="36496" xr:uid="{00000000-0005-0000-0000-0000301C0000}"/>
    <cellStyle name="20% - Accent3 2 3 5 2 4" xfId="17080" xr:uid="{00000000-0005-0000-0000-0000311C0000}"/>
    <cellStyle name="20% - Accent3 2 3 5 2 4 2" xfId="42954" xr:uid="{00000000-0005-0000-0000-0000321C0000}"/>
    <cellStyle name="20% - Accent3 2 3 5 2 5" xfId="30006" xr:uid="{00000000-0005-0000-0000-0000331C0000}"/>
    <cellStyle name="20% - Accent3 2 3 5 3" xfId="5776" xr:uid="{00000000-0005-0000-0000-0000341C0000}"/>
    <cellStyle name="20% - Accent3 2 3 5 3 2" xfId="12235" xr:uid="{00000000-0005-0000-0000-0000351C0000}"/>
    <cellStyle name="20% - Accent3 2 3 5 3 2 2" xfId="25152" xr:uid="{00000000-0005-0000-0000-0000361C0000}"/>
    <cellStyle name="20% - Accent3 2 3 5 3 2 2 2" xfId="51026" xr:uid="{00000000-0005-0000-0000-0000371C0000}"/>
    <cellStyle name="20% - Accent3 2 3 5 3 2 3" xfId="38110" xr:uid="{00000000-0005-0000-0000-0000381C0000}"/>
    <cellStyle name="20% - Accent3 2 3 5 3 3" xfId="18694" xr:uid="{00000000-0005-0000-0000-0000391C0000}"/>
    <cellStyle name="20% - Accent3 2 3 5 3 3 2" xfId="44568" xr:uid="{00000000-0005-0000-0000-00003A1C0000}"/>
    <cellStyle name="20% - Accent3 2 3 5 3 4" xfId="31652" xr:uid="{00000000-0005-0000-0000-00003B1C0000}"/>
    <cellStyle name="20% - Accent3 2 3 5 4" xfId="9007" xr:uid="{00000000-0005-0000-0000-00003C1C0000}"/>
    <cellStyle name="20% - Accent3 2 3 5 4 2" xfId="21924" xr:uid="{00000000-0005-0000-0000-00003D1C0000}"/>
    <cellStyle name="20% - Accent3 2 3 5 4 2 2" xfId="47798" xr:uid="{00000000-0005-0000-0000-00003E1C0000}"/>
    <cellStyle name="20% - Accent3 2 3 5 4 3" xfId="34882" xr:uid="{00000000-0005-0000-0000-00003F1C0000}"/>
    <cellStyle name="20% - Accent3 2 3 5 5" xfId="15466" xr:uid="{00000000-0005-0000-0000-0000401C0000}"/>
    <cellStyle name="20% - Accent3 2 3 5 5 2" xfId="41340" xr:uid="{00000000-0005-0000-0000-0000411C0000}"/>
    <cellStyle name="20% - Accent3 2 3 5 6" xfId="28392" xr:uid="{00000000-0005-0000-0000-0000421C0000}"/>
    <cellStyle name="20% - Accent3 2 3 6" xfId="3322" xr:uid="{00000000-0005-0000-0000-0000431C0000}"/>
    <cellStyle name="20% - Accent3 2 3 6 2" xfId="6583" xr:uid="{00000000-0005-0000-0000-0000441C0000}"/>
    <cellStyle name="20% - Accent3 2 3 6 2 2" xfId="13042" xr:uid="{00000000-0005-0000-0000-0000451C0000}"/>
    <cellStyle name="20% - Accent3 2 3 6 2 2 2" xfId="25959" xr:uid="{00000000-0005-0000-0000-0000461C0000}"/>
    <cellStyle name="20% - Accent3 2 3 6 2 2 2 2" xfId="51833" xr:uid="{00000000-0005-0000-0000-0000471C0000}"/>
    <cellStyle name="20% - Accent3 2 3 6 2 2 3" xfId="38917" xr:uid="{00000000-0005-0000-0000-0000481C0000}"/>
    <cellStyle name="20% - Accent3 2 3 6 2 3" xfId="19501" xr:uid="{00000000-0005-0000-0000-0000491C0000}"/>
    <cellStyle name="20% - Accent3 2 3 6 2 3 2" xfId="45375" xr:uid="{00000000-0005-0000-0000-00004A1C0000}"/>
    <cellStyle name="20% - Accent3 2 3 6 2 4" xfId="32459" xr:uid="{00000000-0005-0000-0000-00004B1C0000}"/>
    <cellStyle name="20% - Accent3 2 3 6 3" xfId="9814" xr:uid="{00000000-0005-0000-0000-00004C1C0000}"/>
    <cellStyle name="20% - Accent3 2 3 6 3 2" xfId="22731" xr:uid="{00000000-0005-0000-0000-00004D1C0000}"/>
    <cellStyle name="20% - Accent3 2 3 6 3 2 2" xfId="48605" xr:uid="{00000000-0005-0000-0000-00004E1C0000}"/>
    <cellStyle name="20% - Accent3 2 3 6 3 3" xfId="35689" xr:uid="{00000000-0005-0000-0000-00004F1C0000}"/>
    <cellStyle name="20% - Accent3 2 3 6 4" xfId="16273" xr:uid="{00000000-0005-0000-0000-0000501C0000}"/>
    <cellStyle name="20% - Accent3 2 3 6 4 2" xfId="42147" xr:uid="{00000000-0005-0000-0000-0000511C0000}"/>
    <cellStyle name="20% - Accent3 2 3 6 5" xfId="29199" xr:uid="{00000000-0005-0000-0000-0000521C0000}"/>
    <cellStyle name="20% - Accent3 2 3 7" xfId="4969" xr:uid="{00000000-0005-0000-0000-0000531C0000}"/>
    <cellStyle name="20% - Accent3 2 3 7 2" xfId="11428" xr:uid="{00000000-0005-0000-0000-0000541C0000}"/>
    <cellStyle name="20% - Accent3 2 3 7 2 2" xfId="24345" xr:uid="{00000000-0005-0000-0000-0000551C0000}"/>
    <cellStyle name="20% - Accent3 2 3 7 2 2 2" xfId="50219" xr:uid="{00000000-0005-0000-0000-0000561C0000}"/>
    <cellStyle name="20% - Accent3 2 3 7 2 3" xfId="37303" xr:uid="{00000000-0005-0000-0000-0000571C0000}"/>
    <cellStyle name="20% - Accent3 2 3 7 3" xfId="17887" xr:uid="{00000000-0005-0000-0000-0000581C0000}"/>
    <cellStyle name="20% - Accent3 2 3 7 3 2" xfId="43761" xr:uid="{00000000-0005-0000-0000-0000591C0000}"/>
    <cellStyle name="20% - Accent3 2 3 7 4" xfId="30845" xr:uid="{00000000-0005-0000-0000-00005A1C0000}"/>
    <cellStyle name="20% - Accent3 2 3 8" xfId="8200" xr:uid="{00000000-0005-0000-0000-00005B1C0000}"/>
    <cellStyle name="20% - Accent3 2 3 8 2" xfId="21117" xr:uid="{00000000-0005-0000-0000-00005C1C0000}"/>
    <cellStyle name="20% - Accent3 2 3 8 2 2" xfId="46991" xr:uid="{00000000-0005-0000-0000-00005D1C0000}"/>
    <cellStyle name="20% - Accent3 2 3 8 3" xfId="34075" xr:uid="{00000000-0005-0000-0000-00005E1C0000}"/>
    <cellStyle name="20% - Accent3 2 3 9" xfId="14659" xr:uid="{00000000-0005-0000-0000-00005F1C0000}"/>
    <cellStyle name="20% - Accent3 2 3 9 2" xfId="40533" xr:uid="{00000000-0005-0000-0000-0000601C0000}"/>
    <cellStyle name="20% - Accent3 2 4" xfId="1535" xr:uid="{00000000-0005-0000-0000-0000611C0000}"/>
    <cellStyle name="20% - Accent3 2 4 10" xfId="53483" xr:uid="{00000000-0005-0000-0000-0000621C0000}"/>
    <cellStyle name="20% - Accent3 2 4 2" xfId="1892" xr:uid="{00000000-0005-0000-0000-0000631C0000}"/>
    <cellStyle name="20% - Accent3 2 4 2 2" xfId="2323" xr:uid="{00000000-0005-0000-0000-0000641C0000}"/>
    <cellStyle name="20% - Accent3 2 4 2 2 2" xfId="3136" xr:uid="{00000000-0005-0000-0000-0000651C0000}"/>
    <cellStyle name="20% - Accent3 2 4 2 2 2 2" xfId="4793" xr:uid="{00000000-0005-0000-0000-0000661C0000}"/>
    <cellStyle name="20% - Accent3 2 4 2 2 2 2 2" xfId="8024" xr:uid="{00000000-0005-0000-0000-0000671C0000}"/>
    <cellStyle name="20% - Accent3 2 4 2 2 2 2 2 2" xfId="14483" xr:uid="{00000000-0005-0000-0000-0000681C0000}"/>
    <cellStyle name="20% - Accent3 2 4 2 2 2 2 2 2 2" xfId="27400" xr:uid="{00000000-0005-0000-0000-0000691C0000}"/>
    <cellStyle name="20% - Accent3 2 4 2 2 2 2 2 2 2 2" xfId="53274" xr:uid="{00000000-0005-0000-0000-00006A1C0000}"/>
    <cellStyle name="20% - Accent3 2 4 2 2 2 2 2 2 3" xfId="40358" xr:uid="{00000000-0005-0000-0000-00006B1C0000}"/>
    <cellStyle name="20% - Accent3 2 4 2 2 2 2 2 3" xfId="20942" xr:uid="{00000000-0005-0000-0000-00006C1C0000}"/>
    <cellStyle name="20% - Accent3 2 4 2 2 2 2 2 3 2" xfId="46816" xr:uid="{00000000-0005-0000-0000-00006D1C0000}"/>
    <cellStyle name="20% - Accent3 2 4 2 2 2 2 2 4" xfId="33900" xr:uid="{00000000-0005-0000-0000-00006E1C0000}"/>
    <cellStyle name="20% - Accent3 2 4 2 2 2 2 3" xfId="11255" xr:uid="{00000000-0005-0000-0000-00006F1C0000}"/>
    <cellStyle name="20% - Accent3 2 4 2 2 2 2 3 2" xfId="24172" xr:uid="{00000000-0005-0000-0000-0000701C0000}"/>
    <cellStyle name="20% - Accent3 2 4 2 2 2 2 3 2 2" xfId="50046" xr:uid="{00000000-0005-0000-0000-0000711C0000}"/>
    <cellStyle name="20% - Accent3 2 4 2 2 2 2 3 3" xfId="37130" xr:uid="{00000000-0005-0000-0000-0000721C0000}"/>
    <cellStyle name="20% - Accent3 2 4 2 2 2 2 4" xfId="17714" xr:uid="{00000000-0005-0000-0000-0000731C0000}"/>
    <cellStyle name="20% - Accent3 2 4 2 2 2 2 4 2" xfId="43588" xr:uid="{00000000-0005-0000-0000-0000741C0000}"/>
    <cellStyle name="20% - Accent3 2 4 2 2 2 2 5" xfId="30640" xr:uid="{00000000-0005-0000-0000-0000751C0000}"/>
    <cellStyle name="20% - Accent3 2 4 2 2 2 3" xfId="6410" xr:uid="{00000000-0005-0000-0000-0000761C0000}"/>
    <cellStyle name="20% - Accent3 2 4 2 2 2 3 2" xfId="12869" xr:uid="{00000000-0005-0000-0000-0000771C0000}"/>
    <cellStyle name="20% - Accent3 2 4 2 2 2 3 2 2" xfId="25786" xr:uid="{00000000-0005-0000-0000-0000781C0000}"/>
    <cellStyle name="20% - Accent3 2 4 2 2 2 3 2 2 2" xfId="51660" xr:uid="{00000000-0005-0000-0000-0000791C0000}"/>
    <cellStyle name="20% - Accent3 2 4 2 2 2 3 2 3" xfId="38744" xr:uid="{00000000-0005-0000-0000-00007A1C0000}"/>
    <cellStyle name="20% - Accent3 2 4 2 2 2 3 3" xfId="19328" xr:uid="{00000000-0005-0000-0000-00007B1C0000}"/>
    <cellStyle name="20% - Accent3 2 4 2 2 2 3 3 2" xfId="45202" xr:uid="{00000000-0005-0000-0000-00007C1C0000}"/>
    <cellStyle name="20% - Accent3 2 4 2 2 2 3 4" xfId="32286" xr:uid="{00000000-0005-0000-0000-00007D1C0000}"/>
    <cellStyle name="20% - Accent3 2 4 2 2 2 4" xfId="9641" xr:uid="{00000000-0005-0000-0000-00007E1C0000}"/>
    <cellStyle name="20% - Accent3 2 4 2 2 2 4 2" xfId="22558" xr:uid="{00000000-0005-0000-0000-00007F1C0000}"/>
    <cellStyle name="20% - Accent3 2 4 2 2 2 4 2 2" xfId="48432" xr:uid="{00000000-0005-0000-0000-0000801C0000}"/>
    <cellStyle name="20% - Accent3 2 4 2 2 2 4 3" xfId="35516" xr:uid="{00000000-0005-0000-0000-0000811C0000}"/>
    <cellStyle name="20% - Accent3 2 4 2 2 2 5" xfId="16100" xr:uid="{00000000-0005-0000-0000-0000821C0000}"/>
    <cellStyle name="20% - Accent3 2 4 2 2 2 5 2" xfId="41974" xr:uid="{00000000-0005-0000-0000-0000831C0000}"/>
    <cellStyle name="20% - Accent3 2 4 2 2 2 6" xfId="29026" xr:uid="{00000000-0005-0000-0000-0000841C0000}"/>
    <cellStyle name="20% - Accent3 2 4 2 2 3" xfId="3963" xr:uid="{00000000-0005-0000-0000-0000851C0000}"/>
    <cellStyle name="20% - Accent3 2 4 2 2 3 2" xfId="7217" xr:uid="{00000000-0005-0000-0000-0000861C0000}"/>
    <cellStyle name="20% - Accent3 2 4 2 2 3 2 2" xfId="13676" xr:uid="{00000000-0005-0000-0000-0000871C0000}"/>
    <cellStyle name="20% - Accent3 2 4 2 2 3 2 2 2" xfId="26593" xr:uid="{00000000-0005-0000-0000-0000881C0000}"/>
    <cellStyle name="20% - Accent3 2 4 2 2 3 2 2 2 2" xfId="52467" xr:uid="{00000000-0005-0000-0000-0000891C0000}"/>
    <cellStyle name="20% - Accent3 2 4 2 2 3 2 2 3" xfId="39551" xr:uid="{00000000-0005-0000-0000-00008A1C0000}"/>
    <cellStyle name="20% - Accent3 2 4 2 2 3 2 3" xfId="20135" xr:uid="{00000000-0005-0000-0000-00008B1C0000}"/>
    <cellStyle name="20% - Accent3 2 4 2 2 3 2 3 2" xfId="46009" xr:uid="{00000000-0005-0000-0000-00008C1C0000}"/>
    <cellStyle name="20% - Accent3 2 4 2 2 3 2 4" xfId="33093" xr:uid="{00000000-0005-0000-0000-00008D1C0000}"/>
    <cellStyle name="20% - Accent3 2 4 2 2 3 3" xfId="10448" xr:uid="{00000000-0005-0000-0000-00008E1C0000}"/>
    <cellStyle name="20% - Accent3 2 4 2 2 3 3 2" xfId="23365" xr:uid="{00000000-0005-0000-0000-00008F1C0000}"/>
    <cellStyle name="20% - Accent3 2 4 2 2 3 3 2 2" xfId="49239" xr:uid="{00000000-0005-0000-0000-0000901C0000}"/>
    <cellStyle name="20% - Accent3 2 4 2 2 3 3 3" xfId="36323" xr:uid="{00000000-0005-0000-0000-0000911C0000}"/>
    <cellStyle name="20% - Accent3 2 4 2 2 3 4" xfId="16907" xr:uid="{00000000-0005-0000-0000-0000921C0000}"/>
    <cellStyle name="20% - Accent3 2 4 2 2 3 4 2" xfId="42781" xr:uid="{00000000-0005-0000-0000-0000931C0000}"/>
    <cellStyle name="20% - Accent3 2 4 2 2 3 5" xfId="29833" xr:uid="{00000000-0005-0000-0000-0000941C0000}"/>
    <cellStyle name="20% - Accent3 2 4 2 2 4" xfId="5603" xr:uid="{00000000-0005-0000-0000-0000951C0000}"/>
    <cellStyle name="20% - Accent3 2 4 2 2 4 2" xfId="12062" xr:uid="{00000000-0005-0000-0000-0000961C0000}"/>
    <cellStyle name="20% - Accent3 2 4 2 2 4 2 2" xfId="24979" xr:uid="{00000000-0005-0000-0000-0000971C0000}"/>
    <cellStyle name="20% - Accent3 2 4 2 2 4 2 2 2" xfId="50853" xr:uid="{00000000-0005-0000-0000-0000981C0000}"/>
    <cellStyle name="20% - Accent3 2 4 2 2 4 2 3" xfId="37937" xr:uid="{00000000-0005-0000-0000-0000991C0000}"/>
    <cellStyle name="20% - Accent3 2 4 2 2 4 3" xfId="18521" xr:uid="{00000000-0005-0000-0000-00009A1C0000}"/>
    <cellStyle name="20% - Accent3 2 4 2 2 4 3 2" xfId="44395" xr:uid="{00000000-0005-0000-0000-00009B1C0000}"/>
    <cellStyle name="20% - Accent3 2 4 2 2 4 4" xfId="31479" xr:uid="{00000000-0005-0000-0000-00009C1C0000}"/>
    <cellStyle name="20% - Accent3 2 4 2 2 5" xfId="8834" xr:uid="{00000000-0005-0000-0000-00009D1C0000}"/>
    <cellStyle name="20% - Accent3 2 4 2 2 5 2" xfId="21751" xr:uid="{00000000-0005-0000-0000-00009E1C0000}"/>
    <cellStyle name="20% - Accent3 2 4 2 2 5 2 2" xfId="47625" xr:uid="{00000000-0005-0000-0000-00009F1C0000}"/>
    <cellStyle name="20% - Accent3 2 4 2 2 5 3" xfId="34709" xr:uid="{00000000-0005-0000-0000-0000A01C0000}"/>
    <cellStyle name="20% - Accent3 2 4 2 2 6" xfId="15293" xr:uid="{00000000-0005-0000-0000-0000A11C0000}"/>
    <cellStyle name="20% - Accent3 2 4 2 2 6 2" xfId="41167" xr:uid="{00000000-0005-0000-0000-0000A21C0000}"/>
    <cellStyle name="20% - Accent3 2 4 2 2 7" xfId="28219" xr:uid="{00000000-0005-0000-0000-0000A31C0000}"/>
    <cellStyle name="20% - Accent3 2 4 2 2 8" xfId="54081" xr:uid="{00000000-0005-0000-0000-0000A41C0000}"/>
    <cellStyle name="20% - Accent3 2 4 2 3" xfId="2732" xr:uid="{00000000-0005-0000-0000-0000A51C0000}"/>
    <cellStyle name="20% - Accent3 2 4 2 3 2" xfId="4389" xr:uid="{00000000-0005-0000-0000-0000A61C0000}"/>
    <cellStyle name="20% - Accent3 2 4 2 3 2 2" xfId="7620" xr:uid="{00000000-0005-0000-0000-0000A71C0000}"/>
    <cellStyle name="20% - Accent3 2 4 2 3 2 2 2" xfId="14079" xr:uid="{00000000-0005-0000-0000-0000A81C0000}"/>
    <cellStyle name="20% - Accent3 2 4 2 3 2 2 2 2" xfId="26996" xr:uid="{00000000-0005-0000-0000-0000A91C0000}"/>
    <cellStyle name="20% - Accent3 2 4 2 3 2 2 2 2 2" xfId="52870" xr:uid="{00000000-0005-0000-0000-0000AA1C0000}"/>
    <cellStyle name="20% - Accent3 2 4 2 3 2 2 2 3" xfId="39954" xr:uid="{00000000-0005-0000-0000-0000AB1C0000}"/>
    <cellStyle name="20% - Accent3 2 4 2 3 2 2 3" xfId="20538" xr:uid="{00000000-0005-0000-0000-0000AC1C0000}"/>
    <cellStyle name="20% - Accent3 2 4 2 3 2 2 3 2" xfId="46412" xr:uid="{00000000-0005-0000-0000-0000AD1C0000}"/>
    <cellStyle name="20% - Accent3 2 4 2 3 2 2 4" xfId="33496" xr:uid="{00000000-0005-0000-0000-0000AE1C0000}"/>
    <cellStyle name="20% - Accent3 2 4 2 3 2 3" xfId="10851" xr:uid="{00000000-0005-0000-0000-0000AF1C0000}"/>
    <cellStyle name="20% - Accent3 2 4 2 3 2 3 2" xfId="23768" xr:uid="{00000000-0005-0000-0000-0000B01C0000}"/>
    <cellStyle name="20% - Accent3 2 4 2 3 2 3 2 2" xfId="49642" xr:uid="{00000000-0005-0000-0000-0000B11C0000}"/>
    <cellStyle name="20% - Accent3 2 4 2 3 2 3 3" xfId="36726" xr:uid="{00000000-0005-0000-0000-0000B21C0000}"/>
    <cellStyle name="20% - Accent3 2 4 2 3 2 4" xfId="17310" xr:uid="{00000000-0005-0000-0000-0000B31C0000}"/>
    <cellStyle name="20% - Accent3 2 4 2 3 2 4 2" xfId="43184" xr:uid="{00000000-0005-0000-0000-0000B41C0000}"/>
    <cellStyle name="20% - Accent3 2 4 2 3 2 5" xfId="30236" xr:uid="{00000000-0005-0000-0000-0000B51C0000}"/>
    <cellStyle name="20% - Accent3 2 4 2 3 3" xfId="6006" xr:uid="{00000000-0005-0000-0000-0000B61C0000}"/>
    <cellStyle name="20% - Accent3 2 4 2 3 3 2" xfId="12465" xr:uid="{00000000-0005-0000-0000-0000B71C0000}"/>
    <cellStyle name="20% - Accent3 2 4 2 3 3 2 2" xfId="25382" xr:uid="{00000000-0005-0000-0000-0000B81C0000}"/>
    <cellStyle name="20% - Accent3 2 4 2 3 3 2 2 2" xfId="51256" xr:uid="{00000000-0005-0000-0000-0000B91C0000}"/>
    <cellStyle name="20% - Accent3 2 4 2 3 3 2 3" xfId="38340" xr:uid="{00000000-0005-0000-0000-0000BA1C0000}"/>
    <cellStyle name="20% - Accent3 2 4 2 3 3 3" xfId="18924" xr:uid="{00000000-0005-0000-0000-0000BB1C0000}"/>
    <cellStyle name="20% - Accent3 2 4 2 3 3 3 2" xfId="44798" xr:uid="{00000000-0005-0000-0000-0000BC1C0000}"/>
    <cellStyle name="20% - Accent3 2 4 2 3 3 4" xfId="31882" xr:uid="{00000000-0005-0000-0000-0000BD1C0000}"/>
    <cellStyle name="20% - Accent3 2 4 2 3 4" xfId="9237" xr:uid="{00000000-0005-0000-0000-0000BE1C0000}"/>
    <cellStyle name="20% - Accent3 2 4 2 3 4 2" xfId="22154" xr:uid="{00000000-0005-0000-0000-0000BF1C0000}"/>
    <cellStyle name="20% - Accent3 2 4 2 3 4 2 2" xfId="48028" xr:uid="{00000000-0005-0000-0000-0000C01C0000}"/>
    <cellStyle name="20% - Accent3 2 4 2 3 4 3" xfId="35112" xr:uid="{00000000-0005-0000-0000-0000C11C0000}"/>
    <cellStyle name="20% - Accent3 2 4 2 3 5" xfId="15696" xr:uid="{00000000-0005-0000-0000-0000C21C0000}"/>
    <cellStyle name="20% - Accent3 2 4 2 3 5 2" xfId="41570" xr:uid="{00000000-0005-0000-0000-0000C31C0000}"/>
    <cellStyle name="20% - Accent3 2 4 2 3 6" xfId="28622" xr:uid="{00000000-0005-0000-0000-0000C41C0000}"/>
    <cellStyle name="20% - Accent3 2 4 2 4" xfId="3559" xr:uid="{00000000-0005-0000-0000-0000C51C0000}"/>
    <cellStyle name="20% - Accent3 2 4 2 4 2" xfId="6813" xr:uid="{00000000-0005-0000-0000-0000C61C0000}"/>
    <cellStyle name="20% - Accent3 2 4 2 4 2 2" xfId="13272" xr:uid="{00000000-0005-0000-0000-0000C71C0000}"/>
    <cellStyle name="20% - Accent3 2 4 2 4 2 2 2" xfId="26189" xr:uid="{00000000-0005-0000-0000-0000C81C0000}"/>
    <cellStyle name="20% - Accent3 2 4 2 4 2 2 2 2" xfId="52063" xr:uid="{00000000-0005-0000-0000-0000C91C0000}"/>
    <cellStyle name="20% - Accent3 2 4 2 4 2 2 3" xfId="39147" xr:uid="{00000000-0005-0000-0000-0000CA1C0000}"/>
    <cellStyle name="20% - Accent3 2 4 2 4 2 3" xfId="19731" xr:uid="{00000000-0005-0000-0000-0000CB1C0000}"/>
    <cellStyle name="20% - Accent3 2 4 2 4 2 3 2" xfId="45605" xr:uid="{00000000-0005-0000-0000-0000CC1C0000}"/>
    <cellStyle name="20% - Accent3 2 4 2 4 2 4" xfId="32689" xr:uid="{00000000-0005-0000-0000-0000CD1C0000}"/>
    <cellStyle name="20% - Accent3 2 4 2 4 3" xfId="10044" xr:uid="{00000000-0005-0000-0000-0000CE1C0000}"/>
    <cellStyle name="20% - Accent3 2 4 2 4 3 2" xfId="22961" xr:uid="{00000000-0005-0000-0000-0000CF1C0000}"/>
    <cellStyle name="20% - Accent3 2 4 2 4 3 2 2" xfId="48835" xr:uid="{00000000-0005-0000-0000-0000D01C0000}"/>
    <cellStyle name="20% - Accent3 2 4 2 4 3 3" xfId="35919" xr:uid="{00000000-0005-0000-0000-0000D11C0000}"/>
    <cellStyle name="20% - Accent3 2 4 2 4 4" xfId="16503" xr:uid="{00000000-0005-0000-0000-0000D21C0000}"/>
    <cellStyle name="20% - Accent3 2 4 2 4 4 2" xfId="42377" xr:uid="{00000000-0005-0000-0000-0000D31C0000}"/>
    <cellStyle name="20% - Accent3 2 4 2 4 5" xfId="29429" xr:uid="{00000000-0005-0000-0000-0000D41C0000}"/>
    <cellStyle name="20% - Accent3 2 4 2 5" xfId="5199" xr:uid="{00000000-0005-0000-0000-0000D51C0000}"/>
    <cellStyle name="20% - Accent3 2 4 2 5 2" xfId="11658" xr:uid="{00000000-0005-0000-0000-0000D61C0000}"/>
    <cellStyle name="20% - Accent3 2 4 2 5 2 2" xfId="24575" xr:uid="{00000000-0005-0000-0000-0000D71C0000}"/>
    <cellStyle name="20% - Accent3 2 4 2 5 2 2 2" xfId="50449" xr:uid="{00000000-0005-0000-0000-0000D81C0000}"/>
    <cellStyle name="20% - Accent3 2 4 2 5 2 3" xfId="37533" xr:uid="{00000000-0005-0000-0000-0000D91C0000}"/>
    <cellStyle name="20% - Accent3 2 4 2 5 3" xfId="18117" xr:uid="{00000000-0005-0000-0000-0000DA1C0000}"/>
    <cellStyle name="20% - Accent3 2 4 2 5 3 2" xfId="43991" xr:uid="{00000000-0005-0000-0000-0000DB1C0000}"/>
    <cellStyle name="20% - Accent3 2 4 2 5 4" xfId="31075" xr:uid="{00000000-0005-0000-0000-0000DC1C0000}"/>
    <cellStyle name="20% - Accent3 2 4 2 6" xfId="8430" xr:uid="{00000000-0005-0000-0000-0000DD1C0000}"/>
    <cellStyle name="20% - Accent3 2 4 2 6 2" xfId="21347" xr:uid="{00000000-0005-0000-0000-0000DE1C0000}"/>
    <cellStyle name="20% - Accent3 2 4 2 6 2 2" xfId="47221" xr:uid="{00000000-0005-0000-0000-0000DF1C0000}"/>
    <cellStyle name="20% - Accent3 2 4 2 6 3" xfId="34305" xr:uid="{00000000-0005-0000-0000-0000E01C0000}"/>
    <cellStyle name="20% - Accent3 2 4 2 7" xfId="14889" xr:uid="{00000000-0005-0000-0000-0000E11C0000}"/>
    <cellStyle name="20% - Accent3 2 4 2 7 2" xfId="40763" xr:uid="{00000000-0005-0000-0000-0000E21C0000}"/>
    <cellStyle name="20% - Accent3 2 4 2 8" xfId="27814" xr:uid="{00000000-0005-0000-0000-0000E31C0000}"/>
    <cellStyle name="20% - Accent3 2 4 2 9" xfId="53677" xr:uid="{00000000-0005-0000-0000-0000E41C0000}"/>
    <cellStyle name="20% - Accent3 2 4 3" xfId="2127" xr:uid="{00000000-0005-0000-0000-0000E51C0000}"/>
    <cellStyle name="20% - Accent3 2 4 3 2" xfId="2941" xr:uid="{00000000-0005-0000-0000-0000E61C0000}"/>
    <cellStyle name="20% - Accent3 2 4 3 2 2" xfId="4598" xr:uid="{00000000-0005-0000-0000-0000E71C0000}"/>
    <cellStyle name="20% - Accent3 2 4 3 2 2 2" xfId="7829" xr:uid="{00000000-0005-0000-0000-0000E81C0000}"/>
    <cellStyle name="20% - Accent3 2 4 3 2 2 2 2" xfId="14288" xr:uid="{00000000-0005-0000-0000-0000E91C0000}"/>
    <cellStyle name="20% - Accent3 2 4 3 2 2 2 2 2" xfId="27205" xr:uid="{00000000-0005-0000-0000-0000EA1C0000}"/>
    <cellStyle name="20% - Accent3 2 4 3 2 2 2 2 2 2" xfId="53079" xr:uid="{00000000-0005-0000-0000-0000EB1C0000}"/>
    <cellStyle name="20% - Accent3 2 4 3 2 2 2 2 3" xfId="40163" xr:uid="{00000000-0005-0000-0000-0000EC1C0000}"/>
    <cellStyle name="20% - Accent3 2 4 3 2 2 2 3" xfId="20747" xr:uid="{00000000-0005-0000-0000-0000ED1C0000}"/>
    <cellStyle name="20% - Accent3 2 4 3 2 2 2 3 2" xfId="46621" xr:uid="{00000000-0005-0000-0000-0000EE1C0000}"/>
    <cellStyle name="20% - Accent3 2 4 3 2 2 2 4" xfId="33705" xr:uid="{00000000-0005-0000-0000-0000EF1C0000}"/>
    <cellStyle name="20% - Accent3 2 4 3 2 2 3" xfId="11060" xr:uid="{00000000-0005-0000-0000-0000F01C0000}"/>
    <cellStyle name="20% - Accent3 2 4 3 2 2 3 2" xfId="23977" xr:uid="{00000000-0005-0000-0000-0000F11C0000}"/>
    <cellStyle name="20% - Accent3 2 4 3 2 2 3 2 2" xfId="49851" xr:uid="{00000000-0005-0000-0000-0000F21C0000}"/>
    <cellStyle name="20% - Accent3 2 4 3 2 2 3 3" xfId="36935" xr:uid="{00000000-0005-0000-0000-0000F31C0000}"/>
    <cellStyle name="20% - Accent3 2 4 3 2 2 4" xfId="17519" xr:uid="{00000000-0005-0000-0000-0000F41C0000}"/>
    <cellStyle name="20% - Accent3 2 4 3 2 2 4 2" xfId="43393" xr:uid="{00000000-0005-0000-0000-0000F51C0000}"/>
    <cellStyle name="20% - Accent3 2 4 3 2 2 5" xfId="30445" xr:uid="{00000000-0005-0000-0000-0000F61C0000}"/>
    <cellStyle name="20% - Accent3 2 4 3 2 3" xfId="6215" xr:uid="{00000000-0005-0000-0000-0000F71C0000}"/>
    <cellStyle name="20% - Accent3 2 4 3 2 3 2" xfId="12674" xr:uid="{00000000-0005-0000-0000-0000F81C0000}"/>
    <cellStyle name="20% - Accent3 2 4 3 2 3 2 2" xfId="25591" xr:uid="{00000000-0005-0000-0000-0000F91C0000}"/>
    <cellStyle name="20% - Accent3 2 4 3 2 3 2 2 2" xfId="51465" xr:uid="{00000000-0005-0000-0000-0000FA1C0000}"/>
    <cellStyle name="20% - Accent3 2 4 3 2 3 2 3" xfId="38549" xr:uid="{00000000-0005-0000-0000-0000FB1C0000}"/>
    <cellStyle name="20% - Accent3 2 4 3 2 3 3" xfId="19133" xr:uid="{00000000-0005-0000-0000-0000FC1C0000}"/>
    <cellStyle name="20% - Accent3 2 4 3 2 3 3 2" xfId="45007" xr:uid="{00000000-0005-0000-0000-0000FD1C0000}"/>
    <cellStyle name="20% - Accent3 2 4 3 2 3 4" xfId="32091" xr:uid="{00000000-0005-0000-0000-0000FE1C0000}"/>
    <cellStyle name="20% - Accent3 2 4 3 2 4" xfId="9446" xr:uid="{00000000-0005-0000-0000-0000FF1C0000}"/>
    <cellStyle name="20% - Accent3 2 4 3 2 4 2" xfId="22363" xr:uid="{00000000-0005-0000-0000-0000001D0000}"/>
    <cellStyle name="20% - Accent3 2 4 3 2 4 2 2" xfId="48237" xr:uid="{00000000-0005-0000-0000-0000011D0000}"/>
    <cellStyle name="20% - Accent3 2 4 3 2 4 3" xfId="35321" xr:uid="{00000000-0005-0000-0000-0000021D0000}"/>
    <cellStyle name="20% - Accent3 2 4 3 2 5" xfId="15905" xr:uid="{00000000-0005-0000-0000-0000031D0000}"/>
    <cellStyle name="20% - Accent3 2 4 3 2 5 2" xfId="41779" xr:uid="{00000000-0005-0000-0000-0000041D0000}"/>
    <cellStyle name="20% - Accent3 2 4 3 2 6" xfId="28831" xr:uid="{00000000-0005-0000-0000-0000051D0000}"/>
    <cellStyle name="20% - Accent3 2 4 3 3" xfId="3768" xr:uid="{00000000-0005-0000-0000-0000061D0000}"/>
    <cellStyle name="20% - Accent3 2 4 3 3 2" xfId="7022" xr:uid="{00000000-0005-0000-0000-0000071D0000}"/>
    <cellStyle name="20% - Accent3 2 4 3 3 2 2" xfId="13481" xr:uid="{00000000-0005-0000-0000-0000081D0000}"/>
    <cellStyle name="20% - Accent3 2 4 3 3 2 2 2" xfId="26398" xr:uid="{00000000-0005-0000-0000-0000091D0000}"/>
    <cellStyle name="20% - Accent3 2 4 3 3 2 2 2 2" xfId="52272" xr:uid="{00000000-0005-0000-0000-00000A1D0000}"/>
    <cellStyle name="20% - Accent3 2 4 3 3 2 2 3" xfId="39356" xr:uid="{00000000-0005-0000-0000-00000B1D0000}"/>
    <cellStyle name="20% - Accent3 2 4 3 3 2 3" xfId="19940" xr:uid="{00000000-0005-0000-0000-00000C1D0000}"/>
    <cellStyle name="20% - Accent3 2 4 3 3 2 3 2" xfId="45814" xr:uid="{00000000-0005-0000-0000-00000D1D0000}"/>
    <cellStyle name="20% - Accent3 2 4 3 3 2 4" xfId="32898" xr:uid="{00000000-0005-0000-0000-00000E1D0000}"/>
    <cellStyle name="20% - Accent3 2 4 3 3 3" xfId="10253" xr:uid="{00000000-0005-0000-0000-00000F1D0000}"/>
    <cellStyle name="20% - Accent3 2 4 3 3 3 2" xfId="23170" xr:uid="{00000000-0005-0000-0000-0000101D0000}"/>
    <cellStyle name="20% - Accent3 2 4 3 3 3 2 2" xfId="49044" xr:uid="{00000000-0005-0000-0000-0000111D0000}"/>
    <cellStyle name="20% - Accent3 2 4 3 3 3 3" xfId="36128" xr:uid="{00000000-0005-0000-0000-0000121D0000}"/>
    <cellStyle name="20% - Accent3 2 4 3 3 4" xfId="16712" xr:uid="{00000000-0005-0000-0000-0000131D0000}"/>
    <cellStyle name="20% - Accent3 2 4 3 3 4 2" xfId="42586" xr:uid="{00000000-0005-0000-0000-0000141D0000}"/>
    <cellStyle name="20% - Accent3 2 4 3 3 5" xfId="29638" xr:uid="{00000000-0005-0000-0000-0000151D0000}"/>
    <cellStyle name="20% - Accent3 2 4 3 4" xfId="5408" xr:uid="{00000000-0005-0000-0000-0000161D0000}"/>
    <cellStyle name="20% - Accent3 2 4 3 4 2" xfId="11867" xr:uid="{00000000-0005-0000-0000-0000171D0000}"/>
    <cellStyle name="20% - Accent3 2 4 3 4 2 2" xfId="24784" xr:uid="{00000000-0005-0000-0000-0000181D0000}"/>
    <cellStyle name="20% - Accent3 2 4 3 4 2 2 2" xfId="50658" xr:uid="{00000000-0005-0000-0000-0000191D0000}"/>
    <cellStyle name="20% - Accent3 2 4 3 4 2 3" xfId="37742" xr:uid="{00000000-0005-0000-0000-00001A1D0000}"/>
    <cellStyle name="20% - Accent3 2 4 3 4 3" xfId="18326" xr:uid="{00000000-0005-0000-0000-00001B1D0000}"/>
    <cellStyle name="20% - Accent3 2 4 3 4 3 2" xfId="44200" xr:uid="{00000000-0005-0000-0000-00001C1D0000}"/>
    <cellStyle name="20% - Accent3 2 4 3 4 4" xfId="31284" xr:uid="{00000000-0005-0000-0000-00001D1D0000}"/>
    <cellStyle name="20% - Accent3 2 4 3 5" xfId="8639" xr:uid="{00000000-0005-0000-0000-00001E1D0000}"/>
    <cellStyle name="20% - Accent3 2 4 3 5 2" xfId="21556" xr:uid="{00000000-0005-0000-0000-00001F1D0000}"/>
    <cellStyle name="20% - Accent3 2 4 3 5 2 2" xfId="47430" xr:uid="{00000000-0005-0000-0000-0000201D0000}"/>
    <cellStyle name="20% - Accent3 2 4 3 5 3" xfId="34514" xr:uid="{00000000-0005-0000-0000-0000211D0000}"/>
    <cellStyle name="20% - Accent3 2 4 3 6" xfId="15098" xr:uid="{00000000-0005-0000-0000-0000221D0000}"/>
    <cellStyle name="20% - Accent3 2 4 3 6 2" xfId="40972" xr:uid="{00000000-0005-0000-0000-0000231D0000}"/>
    <cellStyle name="20% - Accent3 2 4 3 7" xfId="28024" xr:uid="{00000000-0005-0000-0000-0000241D0000}"/>
    <cellStyle name="20% - Accent3 2 4 3 8" xfId="53886" xr:uid="{00000000-0005-0000-0000-0000251D0000}"/>
    <cellStyle name="20% - Accent3 2 4 4" xfId="2538" xr:uid="{00000000-0005-0000-0000-0000261D0000}"/>
    <cellStyle name="20% - Accent3 2 4 4 2" xfId="4195" xr:uid="{00000000-0005-0000-0000-0000271D0000}"/>
    <cellStyle name="20% - Accent3 2 4 4 2 2" xfId="7426" xr:uid="{00000000-0005-0000-0000-0000281D0000}"/>
    <cellStyle name="20% - Accent3 2 4 4 2 2 2" xfId="13885" xr:uid="{00000000-0005-0000-0000-0000291D0000}"/>
    <cellStyle name="20% - Accent3 2 4 4 2 2 2 2" xfId="26802" xr:uid="{00000000-0005-0000-0000-00002A1D0000}"/>
    <cellStyle name="20% - Accent3 2 4 4 2 2 2 2 2" xfId="52676" xr:uid="{00000000-0005-0000-0000-00002B1D0000}"/>
    <cellStyle name="20% - Accent3 2 4 4 2 2 2 3" xfId="39760" xr:uid="{00000000-0005-0000-0000-00002C1D0000}"/>
    <cellStyle name="20% - Accent3 2 4 4 2 2 3" xfId="20344" xr:uid="{00000000-0005-0000-0000-00002D1D0000}"/>
    <cellStyle name="20% - Accent3 2 4 4 2 2 3 2" xfId="46218" xr:uid="{00000000-0005-0000-0000-00002E1D0000}"/>
    <cellStyle name="20% - Accent3 2 4 4 2 2 4" xfId="33302" xr:uid="{00000000-0005-0000-0000-00002F1D0000}"/>
    <cellStyle name="20% - Accent3 2 4 4 2 3" xfId="10657" xr:uid="{00000000-0005-0000-0000-0000301D0000}"/>
    <cellStyle name="20% - Accent3 2 4 4 2 3 2" xfId="23574" xr:uid="{00000000-0005-0000-0000-0000311D0000}"/>
    <cellStyle name="20% - Accent3 2 4 4 2 3 2 2" xfId="49448" xr:uid="{00000000-0005-0000-0000-0000321D0000}"/>
    <cellStyle name="20% - Accent3 2 4 4 2 3 3" xfId="36532" xr:uid="{00000000-0005-0000-0000-0000331D0000}"/>
    <cellStyle name="20% - Accent3 2 4 4 2 4" xfId="17116" xr:uid="{00000000-0005-0000-0000-0000341D0000}"/>
    <cellStyle name="20% - Accent3 2 4 4 2 4 2" xfId="42990" xr:uid="{00000000-0005-0000-0000-0000351D0000}"/>
    <cellStyle name="20% - Accent3 2 4 4 2 5" xfId="30042" xr:uid="{00000000-0005-0000-0000-0000361D0000}"/>
    <cellStyle name="20% - Accent3 2 4 4 3" xfId="5812" xr:uid="{00000000-0005-0000-0000-0000371D0000}"/>
    <cellStyle name="20% - Accent3 2 4 4 3 2" xfId="12271" xr:uid="{00000000-0005-0000-0000-0000381D0000}"/>
    <cellStyle name="20% - Accent3 2 4 4 3 2 2" xfId="25188" xr:uid="{00000000-0005-0000-0000-0000391D0000}"/>
    <cellStyle name="20% - Accent3 2 4 4 3 2 2 2" xfId="51062" xr:uid="{00000000-0005-0000-0000-00003A1D0000}"/>
    <cellStyle name="20% - Accent3 2 4 4 3 2 3" xfId="38146" xr:uid="{00000000-0005-0000-0000-00003B1D0000}"/>
    <cellStyle name="20% - Accent3 2 4 4 3 3" xfId="18730" xr:uid="{00000000-0005-0000-0000-00003C1D0000}"/>
    <cellStyle name="20% - Accent3 2 4 4 3 3 2" xfId="44604" xr:uid="{00000000-0005-0000-0000-00003D1D0000}"/>
    <cellStyle name="20% - Accent3 2 4 4 3 4" xfId="31688" xr:uid="{00000000-0005-0000-0000-00003E1D0000}"/>
    <cellStyle name="20% - Accent3 2 4 4 4" xfId="9043" xr:uid="{00000000-0005-0000-0000-00003F1D0000}"/>
    <cellStyle name="20% - Accent3 2 4 4 4 2" xfId="21960" xr:uid="{00000000-0005-0000-0000-0000401D0000}"/>
    <cellStyle name="20% - Accent3 2 4 4 4 2 2" xfId="47834" xr:uid="{00000000-0005-0000-0000-0000411D0000}"/>
    <cellStyle name="20% - Accent3 2 4 4 4 3" xfId="34918" xr:uid="{00000000-0005-0000-0000-0000421D0000}"/>
    <cellStyle name="20% - Accent3 2 4 4 5" xfId="15502" xr:uid="{00000000-0005-0000-0000-0000431D0000}"/>
    <cellStyle name="20% - Accent3 2 4 4 5 2" xfId="41376" xr:uid="{00000000-0005-0000-0000-0000441D0000}"/>
    <cellStyle name="20% - Accent3 2 4 4 6" xfId="28428" xr:uid="{00000000-0005-0000-0000-0000451D0000}"/>
    <cellStyle name="20% - Accent3 2 4 5" xfId="3360" xr:uid="{00000000-0005-0000-0000-0000461D0000}"/>
    <cellStyle name="20% - Accent3 2 4 5 2" xfId="6619" xr:uid="{00000000-0005-0000-0000-0000471D0000}"/>
    <cellStyle name="20% - Accent3 2 4 5 2 2" xfId="13078" xr:uid="{00000000-0005-0000-0000-0000481D0000}"/>
    <cellStyle name="20% - Accent3 2 4 5 2 2 2" xfId="25995" xr:uid="{00000000-0005-0000-0000-0000491D0000}"/>
    <cellStyle name="20% - Accent3 2 4 5 2 2 2 2" xfId="51869" xr:uid="{00000000-0005-0000-0000-00004A1D0000}"/>
    <cellStyle name="20% - Accent3 2 4 5 2 2 3" xfId="38953" xr:uid="{00000000-0005-0000-0000-00004B1D0000}"/>
    <cellStyle name="20% - Accent3 2 4 5 2 3" xfId="19537" xr:uid="{00000000-0005-0000-0000-00004C1D0000}"/>
    <cellStyle name="20% - Accent3 2 4 5 2 3 2" xfId="45411" xr:uid="{00000000-0005-0000-0000-00004D1D0000}"/>
    <cellStyle name="20% - Accent3 2 4 5 2 4" xfId="32495" xr:uid="{00000000-0005-0000-0000-00004E1D0000}"/>
    <cellStyle name="20% - Accent3 2 4 5 3" xfId="9850" xr:uid="{00000000-0005-0000-0000-00004F1D0000}"/>
    <cellStyle name="20% - Accent3 2 4 5 3 2" xfId="22767" xr:uid="{00000000-0005-0000-0000-0000501D0000}"/>
    <cellStyle name="20% - Accent3 2 4 5 3 2 2" xfId="48641" xr:uid="{00000000-0005-0000-0000-0000511D0000}"/>
    <cellStyle name="20% - Accent3 2 4 5 3 3" xfId="35725" xr:uid="{00000000-0005-0000-0000-0000521D0000}"/>
    <cellStyle name="20% - Accent3 2 4 5 4" xfId="16309" xr:uid="{00000000-0005-0000-0000-0000531D0000}"/>
    <cellStyle name="20% - Accent3 2 4 5 4 2" xfId="42183" xr:uid="{00000000-0005-0000-0000-0000541D0000}"/>
    <cellStyle name="20% - Accent3 2 4 5 5" xfId="29235" xr:uid="{00000000-0005-0000-0000-0000551D0000}"/>
    <cellStyle name="20% - Accent3 2 4 6" xfId="5005" xr:uid="{00000000-0005-0000-0000-0000561D0000}"/>
    <cellStyle name="20% - Accent3 2 4 6 2" xfId="11464" xr:uid="{00000000-0005-0000-0000-0000571D0000}"/>
    <cellStyle name="20% - Accent3 2 4 6 2 2" xfId="24381" xr:uid="{00000000-0005-0000-0000-0000581D0000}"/>
    <cellStyle name="20% - Accent3 2 4 6 2 2 2" xfId="50255" xr:uid="{00000000-0005-0000-0000-0000591D0000}"/>
    <cellStyle name="20% - Accent3 2 4 6 2 3" xfId="37339" xr:uid="{00000000-0005-0000-0000-00005A1D0000}"/>
    <cellStyle name="20% - Accent3 2 4 6 3" xfId="17923" xr:uid="{00000000-0005-0000-0000-00005B1D0000}"/>
    <cellStyle name="20% - Accent3 2 4 6 3 2" xfId="43797" xr:uid="{00000000-0005-0000-0000-00005C1D0000}"/>
    <cellStyle name="20% - Accent3 2 4 6 4" xfId="30881" xr:uid="{00000000-0005-0000-0000-00005D1D0000}"/>
    <cellStyle name="20% - Accent3 2 4 7" xfId="8235" xr:uid="{00000000-0005-0000-0000-00005E1D0000}"/>
    <cellStyle name="20% - Accent3 2 4 7 2" xfId="21152" xr:uid="{00000000-0005-0000-0000-00005F1D0000}"/>
    <cellStyle name="20% - Accent3 2 4 7 2 2" xfId="47026" xr:uid="{00000000-0005-0000-0000-0000601D0000}"/>
    <cellStyle name="20% - Accent3 2 4 7 3" xfId="34110" xr:uid="{00000000-0005-0000-0000-0000611D0000}"/>
    <cellStyle name="20% - Accent3 2 4 8" xfId="14694" xr:uid="{00000000-0005-0000-0000-0000621D0000}"/>
    <cellStyle name="20% - Accent3 2 4 8 2" xfId="40568" xr:uid="{00000000-0005-0000-0000-0000631D0000}"/>
    <cellStyle name="20% - Accent3 2 4 9" xfId="27618" xr:uid="{00000000-0005-0000-0000-0000641D0000}"/>
    <cellStyle name="20% - Accent3 2 5" xfId="1771" xr:uid="{00000000-0005-0000-0000-0000651D0000}"/>
    <cellStyle name="20% - Accent3 2 5 2" xfId="2265" xr:uid="{00000000-0005-0000-0000-0000661D0000}"/>
    <cellStyle name="20% - Accent3 2 5 2 2" xfId="3079" xr:uid="{00000000-0005-0000-0000-0000671D0000}"/>
    <cellStyle name="20% - Accent3 2 5 2 2 2" xfId="4736" xr:uid="{00000000-0005-0000-0000-0000681D0000}"/>
    <cellStyle name="20% - Accent3 2 5 2 2 2 2" xfId="7967" xr:uid="{00000000-0005-0000-0000-0000691D0000}"/>
    <cellStyle name="20% - Accent3 2 5 2 2 2 2 2" xfId="14426" xr:uid="{00000000-0005-0000-0000-00006A1D0000}"/>
    <cellStyle name="20% - Accent3 2 5 2 2 2 2 2 2" xfId="27343" xr:uid="{00000000-0005-0000-0000-00006B1D0000}"/>
    <cellStyle name="20% - Accent3 2 5 2 2 2 2 2 2 2" xfId="53217" xr:uid="{00000000-0005-0000-0000-00006C1D0000}"/>
    <cellStyle name="20% - Accent3 2 5 2 2 2 2 2 3" xfId="40301" xr:uid="{00000000-0005-0000-0000-00006D1D0000}"/>
    <cellStyle name="20% - Accent3 2 5 2 2 2 2 3" xfId="20885" xr:uid="{00000000-0005-0000-0000-00006E1D0000}"/>
    <cellStyle name="20% - Accent3 2 5 2 2 2 2 3 2" xfId="46759" xr:uid="{00000000-0005-0000-0000-00006F1D0000}"/>
    <cellStyle name="20% - Accent3 2 5 2 2 2 2 4" xfId="33843" xr:uid="{00000000-0005-0000-0000-0000701D0000}"/>
    <cellStyle name="20% - Accent3 2 5 2 2 2 3" xfId="11198" xr:uid="{00000000-0005-0000-0000-0000711D0000}"/>
    <cellStyle name="20% - Accent3 2 5 2 2 2 3 2" xfId="24115" xr:uid="{00000000-0005-0000-0000-0000721D0000}"/>
    <cellStyle name="20% - Accent3 2 5 2 2 2 3 2 2" xfId="49989" xr:uid="{00000000-0005-0000-0000-0000731D0000}"/>
    <cellStyle name="20% - Accent3 2 5 2 2 2 3 3" xfId="37073" xr:uid="{00000000-0005-0000-0000-0000741D0000}"/>
    <cellStyle name="20% - Accent3 2 5 2 2 2 4" xfId="17657" xr:uid="{00000000-0005-0000-0000-0000751D0000}"/>
    <cellStyle name="20% - Accent3 2 5 2 2 2 4 2" xfId="43531" xr:uid="{00000000-0005-0000-0000-0000761D0000}"/>
    <cellStyle name="20% - Accent3 2 5 2 2 2 5" xfId="30583" xr:uid="{00000000-0005-0000-0000-0000771D0000}"/>
    <cellStyle name="20% - Accent3 2 5 2 2 3" xfId="6353" xr:uid="{00000000-0005-0000-0000-0000781D0000}"/>
    <cellStyle name="20% - Accent3 2 5 2 2 3 2" xfId="12812" xr:uid="{00000000-0005-0000-0000-0000791D0000}"/>
    <cellStyle name="20% - Accent3 2 5 2 2 3 2 2" xfId="25729" xr:uid="{00000000-0005-0000-0000-00007A1D0000}"/>
    <cellStyle name="20% - Accent3 2 5 2 2 3 2 2 2" xfId="51603" xr:uid="{00000000-0005-0000-0000-00007B1D0000}"/>
    <cellStyle name="20% - Accent3 2 5 2 2 3 2 3" xfId="38687" xr:uid="{00000000-0005-0000-0000-00007C1D0000}"/>
    <cellStyle name="20% - Accent3 2 5 2 2 3 3" xfId="19271" xr:uid="{00000000-0005-0000-0000-00007D1D0000}"/>
    <cellStyle name="20% - Accent3 2 5 2 2 3 3 2" xfId="45145" xr:uid="{00000000-0005-0000-0000-00007E1D0000}"/>
    <cellStyle name="20% - Accent3 2 5 2 2 3 4" xfId="32229" xr:uid="{00000000-0005-0000-0000-00007F1D0000}"/>
    <cellStyle name="20% - Accent3 2 5 2 2 4" xfId="9584" xr:uid="{00000000-0005-0000-0000-0000801D0000}"/>
    <cellStyle name="20% - Accent3 2 5 2 2 4 2" xfId="22501" xr:uid="{00000000-0005-0000-0000-0000811D0000}"/>
    <cellStyle name="20% - Accent3 2 5 2 2 4 2 2" xfId="48375" xr:uid="{00000000-0005-0000-0000-0000821D0000}"/>
    <cellStyle name="20% - Accent3 2 5 2 2 4 3" xfId="35459" xr:uid="{00000000-0005-0000-0000-0000831D0000}"/>
    <cellStyle name="20% - Accent3 2 5 2 2 5" xfId="16043" xr:uid="{00000000-0005-0000-0000-0000841D0000}"/>
    <cellStyle name="20% - Accent3 2 5 2 2 5 2" xfId="41917" xr:uid="{00000000-0005-0000-0000-0000851D0000}"/>
    <cellStyle name="20% - Accent3 2 5 2 2 6" xfId="28969" xr:uid="{00000000-0005-0000-0000-0000861D0000}"/>
    <cellStyle name="20% - Accent3 2 5 2 3" xfId="3906" xr:uid="{00000000-0005-0000-0000-0000871D0000}"/>
    <cellStyle name="20% - Accent3 2 5 2 3 2" xfId="7160" xr:uid="{00000000-0005-0000-0000-0000881D0000}"/>
    <cellStyle name="20% - Accent3 2 5 2 3 2 2" xfId="13619" xr:uid="{00000000-0005-0000-0000-0000891D0000}"/>
    <cellStyle name="20% - Accent3 2 5 2 3 2 2 2" xfId="26536" xr:uid="{00000000-0005-0000-0000-00008A1D0000}"/>
    <cellStyle name="20% - Accent3 2 5 2 3 2 2 2 2" xfId="52410" xr:uid="{00000000-0005-0000-0000-00008B1D0000}"/>
    <cellStyle name="20% - Accent3 2 5 2 3 2 2 3" xfId="39494" xr:uid="{00000000-0005-0000-0000-00008C1D0000}"/>
    <cellStyle name="20% - Accent3 2 5 2 3 2 3" xfId="20078" xr:uid="{00000000-0005-0000-0000-00008D1D0000}"/>
    <cellStyle name="20% - Accent3 2 5 2 3 2 3 2" xfId="45952" xr:uid="{00000000-0005-0000-0000-00008E1D0000}"/>
    <cellStyle name="20% - Accent3 2 5 2 3 2 4" xfId="33036" xr:uid="{00000000-0005-0000-0000-00008F1D0000}"/>
    <cellStyle name="20% - Accent3 2 5 2 3 3" xfId="10391" xr:uid="{00000000-0005-0000-0000-0000901D0000}"/>
    <cellStyle name="20% - Accent3 2 5 2 3 3 2" xfId="23308" xr:uid="{00000000-0005-0000-0000-0000911D0000}"/>
    <cellStyle name="20% - Accent3 2 5 2 3 3 2 2" xfId="49182" xr:uid="{00000000-0005-0000-0000-0000921D0000}"/>
    <cellStyle name="20% - Accent3 2 5 2 3 3 3" xfId="36266" xr:uid="{00000000-0005-0000-0000-0000931D0000}"/>
    <cellStyle name="20% - Accent3 2 5 2 3 4" xfId="16850" xr:uid="{00000000-0005-0000-0000-0000941D0000}"/>
    <cellStyle name="20% - Accent3 2 5 2 3 4 2" xfId="42724" xr:uid="{00000000-0005-0000-0000-0000951D0000}"/>
    <cellStyle name="20% - Accent3 2 5 2 3 5" xfId="29776" xr:uid="{00000000-0005-0000-0000-0000961D0000}"/>
    <cellStyle name="20% - Accent3 2 5 2 4" xfId="5546" xr:uid="{00000000-0005-0000-0000-0000971D0000}"/>
    <cellStyle name="20% - Accent3 2 5 2 4 2" xfId="12005" xr:uid="{00000000-0005-0000-0000-0000981D0000}"/>
    <cellStyle name="20% - Accent3 2 5 2 4 2 2" xfId="24922" xr:uid="{00000000-0005-0000-0000-0000991D0000}"/>
    <cellStyle name="20% - Accent3 2 5 2 4 2 2 2" xfId="50796" xr:uid="{00000000-0005-0000-0000-00009A1D0000}"/>
    <cellStyle name="20% - Accent3 2 5 2 4 2 3" xfId="37880" xr:uid="{00000000-0005-0000-0000-00009B1D0000}"/>
    <cellStyle name="20% - Accent3 2 5 2 4 3" xfId="18464" xr:uid="{00000000-0005-0000-0000-00009C1D0000}"/>
    <cellStyle name="20% - Accent3 2 5 2 4 3 2" xfId="44338" xr:uid="{00000000-0005-0000-0000-00009D1D0000}"/>
    <cellStyle name="20% - Accent3 2 5 2 4 4" xfId="31422" xr:uid="{00000000-0005-0000-0000-00009E1D0000}"/>
    <cellStyle name="20% - Accent3 2 5 2 5" xfId="8777" xr:uid="{00000000-0005-0000-0000-00009F1D0000}"/>
    <cellStyle name="20% - Accent3 2 5 2 5 2" xfId="21694" xr:uid="{00000000-0005-0000-0000-0000A01D0000}"/>
    <cellStyle name="20% - Accent3 2 5 2 5 2 2" xfId="47568" xr:uid="{00000000-0005-0000-0000-0000A11D0000}"/>
    <cellStyle name="20% - Accent3 2 5 2 5 3" xfId="34652" xr:uid="{00000000-0005-0000-0000-0000A21D0000}"/>
    <cellStyle name="20% - Accent3 2 5 2 6" xfId="15236" xr:uid="{00000000-0005-0000-0000-0000A31D0000}"/>
    <cellStyle name="20% - Accent3 2 5 2 6 2" xfId="41110" xr:uid="{00000000-0005-0000-0000-0000A41D0000}"/>
    <cellStyle name="20% - Accent3 2 5 2 7" xfId="28162" xr:uid="{00000000-0005-0000-0000-0000A51D0000}"/>
    <cellStyle name="20% - Accent3 2 5 2 8" xfId="54024" xr:uid="{00000000-0005-0000-0000-0000A61D0000}"/>
    <cellStyle name="20% - Accent3 2 5 3" xfId="2676" xr:uid="{00000000-0005-0000-0000-0000A71D0000}"/>
    <cellStyle name="20% - Accent3 2 5 3 2" xfId="4333" xr:uid="{00000000-0005-0000-0000-0000A81D0000}"/>
    <cellStyle name="20% - Accent3 2 5 3 2 2" xfId="7564" xr:uid="{00000000-0005-0000-0000-0000A91D0000}"/>
    <cellStyle name="20% - Accent3 2 5 3 2 2 2" xfId="14023" xr:uid="{00000000-0005-0000-0000-0000AA1D0000}"/>
    <cellStyle name="20% - Accent3 2 5 3 2 2 2 2" xfId="26940" xr:uid="{00000000-0005-0000-0000-0000AB1D0000}"/>
    <cellStyle name="20% - Accent3 2 5 3 2 2 2 2 2" xfId="52814" xr:uid="{00000000-0005-0000-0000-0000AC1D0000}"/>
    <cellStyle name="20% - Accent3 2 5 3 2 2 2 3" xfId="39898" xr:uid="{00000000-0005-0000-0000-0000AD1D0000}"/>
    <cellStyle name="20% - Accent3 2 5 3 2 2 3" xfId="20482" xr:uid="{00000000-0005-0000-0000-0000AE1D0000}"/>
    <cellStyle name="20% - Accent3 2 5 3 2 2 3 2" xfId="46356" xr:uid="{00000000-0005-0000-0000-0000AF1D0000}"/>
    <cellStyle name="20% - Accent3 2 5 3 2 2 4" xfId="33440" xr:uid="{00000000-0005-0000-0000-0000B01D0000}"/>
    <cellStyle name="20% - Accent3 2 5 3 2 3" xfId="10795" xr:uid="{00000000-0005-0000-0000-0000B11D0000}"/>
    <cellStyle name="20% - Accent3 2 5 3 2 3 2" xfId="23712" xr:uid="{00000000-0005-0000-0000-0000B21D0000}"/>
    <cellStyle name="20% - Accent3 2 5 3 2 3 2 2" xfId="49586" xr:uid="{00000000-0005-0000-0000-0000B31D0000}"/>
    <cellStyle name="20% - Accent3 2 5 3 2 3 3" xfId="36670" xr:uid="{00000000-0005-0000-0000-0000B41D0000}"/>
    <cellStyle name="20% - Accent3 2 5 3 2 4" xfId="17254" xr:uid="{00000000-0005-0000-0000-0000B51D0000}"/>
    <cellStyle name="20% - Accent3 2 5 3 2 4 2" xfId="43128" xr:uid="{00000000-0005-0000-0000-0000B61D0000}"/>
    <cellStyle name="20% - Accent3 2 5 3 2 5" xfId="30180" xr:uid="{00000000-0005-0000-0000-0000B71D0000}"/>
    <cellStyle name="20% - Accent3 2 5 3 3" xfId="5950" xr:uid="{00000000-0005-0000-0000-0000B81D0000}"/>
    <cellStyle name="20% - Accent3 2 5 3 3 2" xfId="12409" xr:uid="{00000000-0005-0000-0000-0000B91D0000}"/>
    <cellStyle name="20% - Accent3 2 5 3 3 2 2" xfId="25326" xr:uid="{00000000-0005-0000-0000-0000BA1D0000}"/>
    <cellStyle name="20% - Accent3 2 5 3 3 2 2 2" xfId="51200" xr:uid="{00000000-0005-0000-0000-0000BB1D0000}"/>
    <cellStyle name="20% - Accent3 2 5 3 3 2 3" xfId="38284" xr:uid="{00000000-0005-0000-0000-0000BC1D0000}"/>
    <cellStyle name="20% - Accent3 2 5 3 3 3" xfId="18868" xr:uid="{00000000-0005-0000-0000-0000BD1D0000}"/>
    <cellStyle name="20% - Accent3 2 5 3 3 3 2" xfId="44742" xr:uid="{00000000-0005-0000-0000-0000BE1D0000}"/>
    <cellStyle name="20% - Accent3 2 5 3 3 4" xfId="31826" xr:uid="{00000000-0005-0000-0000-0000BF1D0000}"/>
    <cellStyle name="20% - Accent3 2 5 3 4" xfId="9181" xr:uid="{00000000-0005-0000-0000-0000C01D0000}"/>
    <cellStyle name="20% - Accent3 2 5 3 4 2" xfId="22098" xr:uid="{00000000-0005-0000-0000-0000C11D0000}"/>
    <cellStyle name="20% - Accent3 2 5 3 4 2 2" xfId="47972" xr:uid="{00000000-0005-0000-0000-0000C21D0000}"/>
    <cellStyle name="20% - Accent3 2 5 3 4 3" xfId="35056" xr:uid="{00000000-0005-0000-0000-0000C31D0000}"/>
    <cellStyle name="20% - Accent3 2 5 3 5" xfId="15640" xr:uid="{00000000-0005-0000-0000-0000C41D0000}"/>
    <cellStyle name="20% - Accent3 2 5 3 5 2" xfId="41514" xr:uid="{00000000-0005-0000-0000-0000C51D0000}"/>
    <cellStyle name="20% - Accent3 2 5 3 6" xfId="28566" xr:uid="{00000000-0005-0000-0000-0000C61D0000}"/>
    <cellStyle name="20% - Accent3 2 5 4" xfId="3503" xr:uid="{00000000-0005-0000-0000-0000C71D0000}"/>
    <cellStyle name="20% - Accent3 2 5 4 2" xfId="6757" xr:uid="{00000000-0005-0000-0000-0000C81D0000}"/>
    <cellStyle name="20% - Accent3 2 5 4 2 2" xfId="13216" xr:uid="{00000000-0005-0000-0000-0000C91D0000}"/>
    <cellStyle name="20% - Accent3 2 5 4 2 2 2" xfId="26133" xr:uid="{00000000-0005-0000-0000-0000CA1D0000}"/>
    <cellStyle name="20% - Accent3 2 5 4 2 2 2 2" xfId="52007" xr:uid="{00000000-0005-0000-0000-0000CB1D0000}"/>
    <cellStyle name="20% - Accent3 2 5 4 2 2 3" xfId="39091" xr:uid="{00000000-0005-0000-0000-0000CC1D0000}"/>
    <cellStyle name="20% - Accent3 2 5 4 2 3" xfId="19675" xr:uid="{00000000-0005-0000-0000-0000CD1D0000}"/>
    <cellStyle name="20% - Accent3 2 5 4 2 3 2" xfId="45549" xr:uid="{00000000-0005-0000-0000-0000CE1D0000}"/>
    <cellStyle name="20% - Accent3 2 5 4 2 4" xfId="32633" xr:uid="{00000000-0005-0000-0000-0000CF1D0000}"/>
    <cellStyle name="20% - Accent3 2 5 4 3" xfId="9988" xr:uid="{00000000-0005-0000-0000-0000D01D0000}"/>
    <cellStyle name="20% - Accent3 2 5 4 3 2" xfId="22905" xr:uid="{00000000-0005-0000-0000-0000D11D0000}"/>
    <cellStyle name="20% - Accent3 2 5 4 3 2 2" xfId="48779" xr:uid="{00000000-0005-0000-0000-0000D21D0000}"/>
    <cellStyle name="20% - Accent3 2 5 4 3 3" xfId="35863" xr:uid="{00000000-0005-0000-0000-0000D31D0000}"/>
    <cellStyle name="20% - Accent3 2 5 4 4" xfId="16447" xr:uid="{00000000-0005-0000-0000-0000D41D0000}"/>
    <cellStyle name="20% - Accent3 2 5 4 4 2" xfId="42321" xr:uid="{00000000-0005-0000-0000-0000D51D0000}"/>
    <cellStyle name="20% - Accent3 2 5 4 5" xfId="29373" xr:uid="{00000000-0005-0000-0000-0000D61D0000}"/>
    <cellStyle name="20% - Accent3 2 5 5" xfId="5143" xr:uid="{00000000-0005-0000-0000-0000D71D0000}"/>
    <cellStyle name="20% - Accent3 2 5 5 2" xfId="11602" xr:uid="{00000000-0005-0000-0000-0000D81D0000}"/>
    <cellStyle name="20% - Accent3 2 5 5 2 2" xfId="24519" xr:uid="{00000000-0005-0000-0000-0000D91D0000}"/>
    <cellStyle name="20% - Accent3 2 5 5 2 2 2" xfId="50393" xr:uid="{00000000-0005-0000-0000-0000DA1D0000}"/>
    <cellStyle name="20% - Accent3 2 5 5 2 3" xfId="37477" xr:uid="{00000000-0005-0000-0000-0000DB1D0000}"/>
    <cellStyle name="20% - Accent3 2 5 5 3" xfId="18061" xr:uid="{00000000-0005-0000-0000-0000DC1D0000}"/>
    <cellStyle name="20% - Accent3 2 5 5 3 2" xfId="43935" xr:uid="{00000000-0005-0000-0000-0000DD1D0000}"/>
    <cellStyle name="20% - Accent3 2 5 5 4" xfId="31019" xr:uid="{00000000-0005-0000-0000-0000DE1D0000}"/>
    <cellStyle name="20% - Accent3 2 5 6" xfId="8373" xr:uid="{00000000-0005-0000-0000-0000DF1D0000}"/>
    <cellStyle name="20% - Accent3 2 5 6 2" xfId="21290" xr:uid="{00000000-0005-0000-0000-0000E01D0000}"/>
    <cellStyle name="20% - Accent3 2 5 6 2 2" xfId="47164" xr:uid="{00000000-0005-0000-0000-0000E11D0000}"/>
    <cellStyle name="20% - Accent3 2 5 6 3" xfId="34248" xr:uid="{00000000-0005-0000-0000-0000E21D0000}"/>
    <cellStyle name="20% - Accent3 2 5 7" xfId="14832" xr:uid="{00000000-0005-0000-0000-0000E31D0000}"/>
    <cellStyle name="20% - Accent3 2 5 7 2" xfId="40706" xr:uid="{00000000-0005-0000-0000-0000E41D0000}"/>
    <cellStyle name="20% - Accent3 2 5 8" xfId="27758" xr:uid="{00000000-0005-0000-0000-0000E51D0000}"/>
    <cellStyle name="20% - Accent3 2 5 9" xfId="53621" xr:uid="{00000000-0005-0000-0000-0000E61D0000}"/>
    <cellStyle name="20% - Accent3 2 6" xfId="2070" xr:uid="{00000000-0005-0000-0000-0000E71D0000}"/>
    <cellStyle name="20% - Accent3 2 6 2" xfId="2888" xr:uid="{00000000-0005-0000-0000-0000E81D0000}"/>
    <cellStyle name="20% - Accent3 2 6 2 2" xfId="4545" xr:uid="{00000000-0005-0000-0000-0000E91D0000}"/>
    <cellStyle name="20% - Accent3 2 6 2 2 2" xfId="7776" xr:uid="{00000000-0005-0000-0000-0000EA1D0000}"/>
    <cellStyle name="20% - Accent3 2 6 2 2 2 2" xfId="14235" xr:uid="{00000000-0005-0000-0000-0000EB1D0000}"/>
    <cellStyle name="20% - Accent3 2 6 2 2 2 2 2" xfId="27152" xr:uid="{00000000-0005-0000-0000-0000EC1D0000}"/>
    <cellStyle name="20% - Accent3 2 6 2 2 2 2 2 2" xfId="53026" xr:uid="{00000000-0005-0000-0000-0000ED1D0000}"/>
    <cellStyle name="20% - Accent3 2 6 2 2 2 2 3" xfId="40110" xr:uid="{00000000-0005-0000-0000-0000EE1D0000}"/>
    <cellStyle name="20% - Accent3 2 6 2 2 2 3" xfId="20694" xr:uid="{00000000-0005-0000-0000-0000EF1D0000}"/>
    <cellStyle name="20% - Accent3 2 6 2 2 2 3 2" xfId="46568" xr:uid="{00000000-0005-0000-0000-0000F01D0000}"/>
    <cellStyle name="20% - Accent3 2 6 2 2 2 4" xfId="33652" xr:uid="{00000000-0005-0000-0000-0000F11D0000}"/>
    <cellStyle name="20% - Accent3 2 6 2 2 3" xfId="11007" xr:uid="{00000000-0005-0000-0000-0000F21D0000}"/>
    <cellStyle name="20% - Accent3 2 6 2 2 3 2" xfId="23924" xr:uid="{00000000-0005-0000-0000-0000F31D0000}"/>
    <cellStyle name="20% - Accent3 2 6 2 2 3 2 2" xfId="49798" xr:uid="{00000000-0005-0000-0000-0000F41D0000}"/>
    <cellStyle name="20% - Accent3 2 6 2 2 3 3" xfId="36882" xr:uid="{00000000-0005-0000-0000-0000F51D0000}"/>
    <cellStyle name="20% - Accent3 2 6 2 2 4" xfId="17466" xr:uid="{00000000-0005-0000-0000-0000F61D0000}"/>
    <cellStyle name="20% - Accent3 2 6 2 2 4 2" xfId="43340" xr:uid="{00000000-0005-0000-0000-0000F71D0000}"/>
    <cellStyle name="20% - Accent3 2 6 2 2 5" xfId="30392" xr:uid="{00000000-0005-0000-0000-0000F81D0000}"/>
    <cellStyle name="20% - Accent3 2 6 2 3" xfId="6162" xr:uid="{00000000-0005-0000-0000-0000F91D0000}"/>
    <cellStyle name="20% - Accent3 2 6 2 3 2" xfId="12621" xr:uid="{00000000-0005-0000-0000-0000FA1D0000}"/>
    <cellStyle name="20% - Accent3 2 6 2 3 2 2" xfId="25538" xr:uid="{00000000-0005-0000-0000-0000FB1D0000}"/>
    <cellStyle name="20% - Accent3 2 6 2 3 2 2 2" xfId="51412" xr:uid="{00000000-0005-0000-0000-0000FC1D0000}"/>
    <cellStyle name="20% - Accent3 2 6 2 3 2 3" xfId="38496" xr:uid="{00000000-0005-0000-0000-0000FD1D0000}"/>
    <cellStyle name="20% - Accent3 2 6 2 3 3" xfId="19080" xr:uid="{00000000-0005-0000-0000-0000FE1D0000}"/>
    <cellStyle name="20% - Accent3 2 6 2 3 3 2" xfId="44954" xr:uid="{00000000-0005-0000-0000-0000FF1D0000}"/>
    <cellStyle name="20% - Accent3 2 6 2 3 4" xfId="32038" xr:uid="{00000000-0005-0000-0000-0000001E0000}"/>
    <cellStyle name="20% - Accent3 2 6 2 4" xfId="9393" xr:uid="{00000000-0005-0000-0000-0000011E0000}"/>
    <cellStyle name="20% - Accent3 2 6 2 4 2" xfId="22310" xr:uid="{00000000-0005-0000-0000-0000021E0000}"/>
    <cellStyle name="20% - Accent3 2 6 2 4 2 2" xfId="48184" xr:uid="{00000000-0005-0000-0000-0000031E0000}"/>
    <cellStyle name="20% - Accent3 2 6 2 4 3" xfId="35268" xr:uid="{00000000-0005-0000-0000-0000041E0000}"/>
    <cellStyle name="20% - Accent3 2 6 2 5" xfId="15852" xr:uid="{00000000-0005-0000-0000-0000051E0000}"/>
    <cellStyle name="20% - Accent3 2 6 2 5 2" xfId="41726" xr:uid="{00000000-0005-0000-0000-0000061E0000}"/>
    <cellStyle name="20% - Accent3 2 6 2 6" xfId="28778" xr:uid="{00000000-0005-0000-0000-0000071E0000}"/>
    <cellStyle name="20% - Accent3 2 6 3" xfId="3715" xr:uid="{00000000-0005-0000-0000-0000081E0000}"/>
    <cellStyle name="20% - Accent3 2 6 3 2" xfId="6969" xr:uid="{00000000-0005-0000-0000-0000091E0000}"/>
    <cellStyle name="20% - Accent3 2 6 3 2 2" xfId="13428" xr:uid="{00000000-0005-0000-0000-00000A1E0000}"/>
    <cellStyle name="20% - Accent3 2 6 3 2 2 2" xfId="26345" xr:uid="{00000000-0005-0000-0000-00000B1E0000}"/>
    <cellStyle name="20% - Accent3 2 6 3 2 2 2 2" xfId="52219" xr:uid="{00000000-0005-0000-0000-00000C1E0000}"/>
    <cellStyle name="20% - Accent3 2 6 3 2 2 3" xfId="39303" xr:uid="{00000000-0005-0000-0000-00000D1E0000}"/>
    <cellStyle name="20% - Accent3 2 6 3 2 3" xfId="19887" xr:uid="{00000000-0005-0000-0000-00000E1E0000}"/>
    <cellStyle name="20% - Accent3 2 6 3 2 3 2" xfId="45761" xr:uid="{00000000-0005-0000-0000-00000F1E0000}"/>
    <cellStyle name="20% - Accent3 2 6 3 2 4" xfId="32845" xr:uid="{00000000-0005-0000-0000-0000101E0000}"/>
    <cellStyle name="20% - Accent3 2 6 3 3" xfId="10200" xr:uid="{00000000-0005-0000-0000-0000111E0000}"/>
    <cellStyle name="20% - Accent3 2 6 3 3 2" xfId="23117" xr:uid="{00000000-0005-0000-0000-0000121E0000}"/>
    <cellStyle name="20% - Accent3 2 6 3 3 2 2" xfId="48991" xr:uid="{00000000-0005-0000-0000-0000131E0000}"/>
    <cellStyle name="20% - Accent3 2 6 3 3 3" xfId="36075" xr:uid="{00000000-0005-0000-0000-0000141E0000}"/>
    <cellStyle name="20% - Accent3 2 6 3 4" xfId="16659" xr:uid="{00000000-0005-0000-0000-0000151E0000}"/>
    <cellStyle name="20% - Accent3 2 6 3 4 2" xfId="42533" xr:uid="{00000000-0005-0000-0000-0000161E0000}"/>
    <cellStyle name="20% - Accent3 2 6 3 5" xfId="29585" xr:uid="{00000000-0005-0000-0000-0000171E0000}"/>
    <cellStyle name="20% - Accent3 2 6 4" xfId="5355" xr:uid="{00000000-0005-0000-0000-0000181E0000}"/>
    <cellStyle name="20% - Accent3 2 6 4 2" xfId="11814" xr:uid="{00000000-0005-0000-0000-0000191E0000}"/>
    <cellStyle name="20% - Accent3 2 6 4 2 2" xfId="24731" xr:uid="{00000000-0005-0000-0000-00001A1E0000}"/>
    <cellStyle name="20% - Accent3 2 6 4 2 2 2" xfId="50605" xr:uid="{00000000-0005-0000-0000-00001B1E0000}"/>
    <cellStyle name="20% - Accent3 2 6 4 2 3" xfId="37689" xr:uid="{00000000-0005-0000-0000-00001C1E0000}"/>
    <cellStyle name="20% - Accent3 2 6 4 3" xfId="18273" xr:uid="{00000000-0005-0000-0000-00001D1E0000}"/>
    <cellStyle name="20% - Accent3 2 6 4 3 2" xfId="44147" xr:uid="{00000000-0005-0000-0000-00001E1E0000}"/>
    <cellStyle name="20% - Accent3 2 6 4 4" xfId="31231" xr:uid="{00000000-0005-0000-0000-00001F1E0000}"/>
    <cellStyle name="20% - Accent3 2 6 5" xfId="8586" xr:uid="{00000000-0005-0000-0000-0000201E0000}"/>
    <cellStyle name="20% - Accent3 2 6 5 2" xfId="21503" xr:uid="{00000000-0005-0000-0000-0000211E0000}"/>
    <cellStyle name="20% - Accent3 2 6 5 2 2" xfId="47377" xr:uid="{00000000-0005-0000-0000-0000221E0000}"/>
    <cellStyle name="20% - Accent3 2 6 5 3" xfId="34461" xr:uid="{00000000-0005-0000-0000-0000231E0000}"/>
    <cellStyle name="20% - Accent3 2 6 6" xfId="15045" xr:uid="{00000000-0005-0000-0000-0000241E0000}"/>
    <cellStyle name="20% - Accent3 2 6 6 2" xfId="40919" xr:uid="{00000000-0005-0000-0000-0000251E0000}"/>
    <cellStyle name="20% - Accent3 2 6 7" xfId="27971" xr:uid="{00000000-0005-0000-0000-0000261E0000}"/>
    <cellStyle name="20% - Accent3 2 6 8" xfId="53833" xr:uid="{00000000-0005-0000-0000-0000271E0000}"/>
    <cellStyle name="20% - Accent3 2 7" xfId="2481" xr:uid="{00000000-0005-0000-0000-0000281E0000}"/>
    <cellStyle name="20% - Accent3 2 7 2" xfId="4138" xr:uid="{00000000-0005-0000-0000-0000291E0000}"/>
    <cellStyle name="20% - Accent3 2 7 2 2" xfId="7369" xr:uid="{00000000-0005-0000-0000-00002A1E0000}"/>
    <cellStyle name="20% - Accent3 2 7 2 2 2" xfId="13828" xr:uid="{00000000-0005-0000-0000-00002B1E0000}"/>
    <cellStyle name="20% - Accent3 2 7 2 2 2 2" xfId="26745" xr:uid="{00000000-0005-0000-0000-00002C1E0000}"/>
    <cellStyle name="20% - Accent3 2 7 2 2 2 2 2" xfId="52619" xr:uid="{00000000-0005-0000-0000-00002D1E0000}"/>
    <cellStyle name="20% - Accent3 2 7 2 2 2 3" xfId="39703" xr:uid="{00000000-0005-0000-0000-00002E1E0000}"/>
    <cellStyle name="20% - Accent3 2 7 2 2 3" xfId="20287" xr:uid="{00000000-0005-0000-0000-00002F1E0000}"/>
    <cellStyle name="20% - Accent3 2 7 2 2 3 2" xfId="46161" xr:uid="{00000000-0005-0000-0000-0000301E0000}"/>
    <cellStyle name="20% - Accent3 2 7 2 2 4" xfId="33245" xr:uid="{00000000-0005-0000-0000-0000311E0000}"/>
    <cellStyle name="20% - Accent3 2 7 2 3" xfId="10600" xr:uid="{00000000-0005-0000-0000-0000321E0000}"/>
    <cellStyle name="20% - Accent3 2 7 2 3 2" xfId="23517" xr:uid="{00000000-0005-0000-0000-0000331E0000}"/>
    <cellStyle name="20% - Accent3 2 7 2 3 2 2" xfId="49391" xr:uid="{00000000-0005-0000-0000-0000341E0000}"/>
    <cellStyle name="20% - Accent3 2 7 2 3 3" xfId="36475" xr:uid="{00000000-0005-0000-0000-0000351E0000}"/>
    <cellStyle name="20% - Accent3 2 7 2 4" xfId="17059" xr:uid="{00000000-0005-0000-0000-0000361E0000}"/>
    <cellStyle name="20% - Accent3 2 7 2 4 2" xfId="42933" xr:uid="{00000000-0005-0000-0000-0000371E0000}"/>
    <cellStyle name="20% - Accent3 2 7 2 5" xfId="29985" xr:uid="{00000000-0005-0000-0000-0000381E0000}"/>
    <cellStyle name="20% - Accent3 2 7 3" xfId="5755" xr:uid="{00000000-0005-0000-0000-0000391E0000}"/>
    <cellStyle name="20% - Accent3 2 7 3 2" xfId="12214" xr:uid="{00000000-0005-0000-0000-00003A1E0000}"/>
    <cellStyle name="20% - Accent3 2 7 3 2 2" xfId="25131" xr:uid="{00000000-0005-0000-0000-00003B1E0000}"/>
    <cellStyle name="20% - Accent3 2 7 3 2 2 2" xfId="51005" xr:uid="{00000000-0005-0000-0000-00003C1E0000}"/>
    <cellStyle name="20% - Accent3 2 7 3 2 3" xfId="38089" xr:uid="{00000000-0005-0000-0000-00003D1E0000}"/>
    <cellStyle name="20% - Accent3 2 7 3 3" xfId="18673" xr:uid="{00000000-0005-0000-0000-00003E1E0000}"/>
    <cellStyle name="20% - Accent3 2 7 3 3 2" xfId="44547" xr:uid="{00000000-0005-0000-0000-00003F1E0000}"/>
    <cellStyle name="20% - Accent3 2 7 3 4" xfId="31631" xr:uid="{00000000-0005-0000-0000-0000401E0000}"/>
    <cellStyle name="20% - Accent3 2 7 4" xfId="8986" xr:uid="{00000000-0005-0000-0000-0000411E0000}"/>
    <cellStyle name="20% - Accent3 2 7 4 2" xfId="21903" xr:uid="{00000000-0005-0000-0000-0000421E0000}"/>
    <cellStyle name="20% - Accent3 2 7 4 2 2" xfId="47777" xr:uid="{00000000-0005-0000-0000-0000431E0000}"/>
    <cellStyle name="20% - Accent3 2 7 4 3" xfId="34861" xr:uid="{00000000-0005-0000-0000-0000441E0000}"/>
    <cellStyle name="20% - Accent3 2 7 5" xfId="15445" xr:uid="{00000000-0005-0000-0000-0000451E0000}"/>
    <cellStyle name="20% - Accent3 2 7 5 2" xfId="41319" xr:uid="{00000000-0005-0000-0000-0000461E0000}"/>
    <cellStyle name="20% - Accent3 2 7 6" xfId="28371" xr:uid="{00000000-0005-0000-0000-0000471E0000}"/>
    <cellStyle name="20% - Accent3 2 8" xfId="3290" xr:uid="{00000000-0005-0000-0000-0000481E0000}"/>
    <cellStyle name="20% - Accent3 2 8 2" xfId="6562" xr:uid="{00000000-0005-0000-0000-0000491E0000}"/>
    <cellStyle name="20% - Accent3 2 8 2 2" xfId="13021" xr:uid="{00000000-0005-0000-0000-00004A1E0000}"/>
    <cellStyle name="20% - Accent3 2 8 2 2 2" xfId="25938" xr:uid="{00000000-0005-0000-0000-00004B1E0000}"/>
    <cellStyle name="20% - Accent3 2 8 2 2 2 2" xfId="51812" xr:uid="{00000000-0005-0000-0000-00004C1E0000}"/>
    <cellStyle name="20% - Accent3 2 8 2 2 3" xfId="38896" xr:uid="{00000000-0005-0000-0000-00004D1E0000}"/>
    <cellStyle name="20% - Accent3 2 8 2 3" xfId="19480" xr:uid="{00000000-0005-0000-0000-00004E1E0000}"/>
    <cellStyle name="20% - Accent3 2 8 2 3 2" xfId="45354" xr:uid="{00000000-0005-0000-0000-00004F1E0000}"/>
    <cellStyle name="20% - Accent3 2 8 2 4" xfId="32438" xr:uid="{00000000-0005-0000-0000-0000501E0000}"/>
    <cellStyle name="20% - Accent3 2 8 3" xfId="9793" xr:uid="{00000000-0005-0000-0000-0000511E0000}"/>
    <cellStyle name="20% - Accent3 2 8 3 2" xfId="22710" xr:uid="{00000000-0005-0000-0000-0000521E0000}"/>
    <cellStyle name="20% - Accent3 2 8 3 2 2" xfId="48584" xr:uid="{00000000-0005-0000-0000-0000531E0000}"/>
    <cellStyle name="20% - Accent3 2 8 3 3" xfId="35668" xr:uid="{00000000-0005-0000-0000-0000541E0000}"/>
    <cellStyle name="20% - Accent3 2 8 4" xfId="16252" xr:uid="{00000000-0005-0000-0000-0000551E0000}"/>
    <cellStyle name="20% - Accent3 2 8 4 2" xfId="42126" xr:uid="{00000000-0005-0000-0000-0000561E0000}"/>
    <cellStyle name="20% - Accent3 2 8 5" xfId="29178" xr:uid="{00000000-0005-0000-0000-0000571E0000}"/>
    <cellStyle name="20% - Accent3 2 9" xfId="4948" xr:uid="{00000000-0005-0000-0000-0000581E0000}"/>
    <cellStyle name="20% - Accent3 2 9 2" xfId="11407" xr:uid="{00000000-0005-0000-0000-0000591E0000}"/>
    <cellStyle name="20% - Accent3 2 9 2 2" xfId="24324" xr:uid="{00000000-0005-0000-0000-00005A1E0000}"/>
    <cellStyle name="20% - Accent3 2 9 2 2 2" xfId="50198" xr:uid="{00000000-0005-0000-0000-00005B1E0000}"/>
    <cellStyle name="20% - Accent3 2 9 2 3" xfId="37282" xr:uid="{00000000-0005-0000-0000-00005C1E0000}"/>
    <cellStyle name="20% - Accent3 2 9 3" xfId="17866" xr:uid="{00000000-0005-0000-0000-00005D1E0000}"/>
    <cellStyle name="20% - Accent3 2 9 3 2" xfId="43740" xr:uid="{00000000-0005-0000-0000-00005E1E0000}"/>
    <cellStyle name="20% - Accent3 2 9 4" xfId="30824" xr:uid="{00000000-0005-0000-0000-00005F1E0000}"/>
    <cellStyle name="20% - Accent3 20" xfId="27936" xr:uid="{00000000-0005-0000-0000-0000601E0000}"/>
    <cellStyle name="20% - Accent3 21" xfId="53416" xr:uid="{00000000-0005-0000-0000-0000611E0000}"/>
    <cellStyle name="20% - Accent3 22" xfId="193" xr:uid="{00000000-0005-0000-0000-0000621E0000}"/>
    <cellStyle name="20% - Accent3 3" xfId="76" xr:uid="{00000000-0005-0000-0000-0000631E0000}"/>
    <cellStyle name="20% - Accent3 3 2" xfId="269" xr:uid="{00000000-0005-0000-0000-0000641E0000}"/>
    <cellStyle name="20% - Accent3 3 2 10" xfId="53554" xr:uid="{00000000-0005-0000-0000-0000651E0000}"/>
    <cellStyle name="20% - Accent3 3 2 11" xfId="1638" xr:uid="{00000000-0005-0000-0000-0000661E0000}"/>
    <cellStyle name="20% - Accent3 3 2 2" xfId="443" xr:uid="{00000000-0005-0000-0000-0000671E0000}"/>
    <cellStyle name="20% - Accent3 3 2 2 10" xfId="1963" xr:uid="{00000000-0005-0000-0000-0000681E0000}"/>
    <cellStyle name="20% - Accent3 3 2 2 2" xfId="554" xr:uid="{00000000-0005-0000-0000-0000691E0000}"/>
    <cellStyle name="20% - Accent3 3 2 2 2 2" xfId="3207" xr:uid="{00000000-0005-0000-0000-00006A1E0000}"/>
    <cellStyle name="20% - Accent3 3 2 2 2 2 2" xfId="4864" xr:uid="{00000000-0005-0000-0000-00006B1E0000}"/>
    <cellStyle name="20% - Accent3 3 2 2 2 2 2 2" xfId="8095" xr:uid="{00000000-0005-0000-0000-00006C1E0000}"/>
    <cellStyle name="20% - Accent3 3 2 2 2 2 2 2 2" xfId="14554" xr:uid="{00000000-0005-0000-0000-00006D1E0000}"/>
    <cellStyle name="20% - Accent3 3 2 2 2 2 2 2 2 2" xfId="27471" xr:uid="{00000000-0005-0000-0000-00006E1E0000}"/>
    <cellStyle name="20% - Accent3 3 2 2 2 2 2 2 2 2 2" xfId="53345" xr:uid="{00000000-0005-0000-0000-00006F1E0000}"/>
    <cellStyle name="20% - Accent3 3 2 2 2 2 2 2 2 3" xfId="40429" xr:uid="{00000000-0005-0000-0000-0000701E0000}"/>
    <cellStyle name="20% - Accent3 3 2 2 2 2 2 2 3" xfId="21013" xr:uid="{00000000-0005-0000-0000-0000711E0000}"/>
    <cellStyle name="20% - Accent3 3 2 2 2 2 2 2 3 2" xfId="46887" xr:uid="{00000000-0005-0000-0000-0000721E0000}"/>
    <cellStyle name="20% - Accent3 3 2 2 2 2 2 2 4" xfId="33971" xr:uid="{00000000-0005-0000-0000-0000731E0000}"/>
    <cellStyle name="20% - Accent3 3 2 2 2 2 2 3" xfId="11326" xr:uid="{00000000-0005-0000-0000-0000741E0000}"/>
    <cellStyle name="20% - Accent3 3 2 2 2 2 2 3 2" xfId="24243" xr:uid="{00000000-0005-0000-0000-0000751E0000}"/>
    <cellStyle name="20% - Accent3 3 2 2 2 2 2 3 2 2" xfId="50117" xr:uid="{00000000-0005-0000-0000-0000761E0000}"/>
    <cellStyle name="20% - Accent3 3 2 2 2 2 2 3 3" xfId="37201" xr:uid="{00000000-0005-0000-0000-0000771E0000}"/>
    <cellStyle name="20% - Accent3 3 2 2 2 2 2 4" xfId="17785" xr:uid="{00000000-0005-0000-0000-0000781E0000}"/>
    <cellStyle name="20% - Accent3 3 2 2 2 2 2 4 2" xfId="43659" xr:uid="{00000000-0005-0000-0000-0000791E0000}"/>
    <cellStyle name="20% - Accent3 3 2 2 2 2 2 5" xfId="30711" xr:uid="{00000000-0005-0000-0000-00007A1E0000}"/>
    <cellStyle name="20% - Accent3 3 2 2 2 2 3" xfId="6481" xr:uid="{00000000-0005-0000-0000-00007B1E0000}"/>
    <cellStyle name="20% - Accent3 3 2 2 2 2 3 2" xfId="12940" xr:uid="{00000000-0005-0000-0000-00007C1E0000}"/>
    <cellStyle name="20% - Accent3 3 2 2 2 2 3 2 2" xfId="25857" xr:uid="{00000000-0005-0000-0000-00007D1E0000}"/>
    <cellStyle name="20% - Accent3 3 2 2 2 2 3 2 2 2" xfId="51731" xr:uid="{00000000-0005-0000-0000-00007E1E0000}"/>
    <cellStyle name="20% - Accent3 3 2 2 2 2 3 2 3" xfId="38815" xr:uid="{00000000-0005-0000-0000-00007F1E0000}"/>
    <cellStyle name="20% - Accent3 3 2 2 2 2 3 3" xfId="19399" xr:uid="{00000000-0005-0000-0000-0000801E0000}"/>
    <cellStyle name="20% - Accent3 3 2 2 2 2 3 3 2" xfId="45273" xr:uid="{00000000-0005-0000-0000-0000811E0000}"/>
    <cellStyle name="20% - Accent3 3 2 2 2 2 3 4" xfId="32357" xr:uid="{00000000-0005-0000-0000-0000821E0000}"/>
    <cellStyle name="20% - Accent3 3 2 2 2 2 4" xfId="9712" xr:uid="{00000000-0005-0000-0000-0000831E0000}"/>
    <cellStyle name="20% - Accent3 3 2 2 2 2 4 2" xfId="22629" xr:uid="{00000000-0005-0000-0000-0000841E0000}"/>
    <cellStyle name="20% - Accent3 3 2 2 2 2 4 2 2" xfId="48503" xr:uid="{00000000-0005-0000-0000-0000851E0000}"/>
    <cellStyle name="20% - Accent3 3 2 2 2 2 4 3" xfId="35587" xr:uid="{00000000-0005-0000-0000-0000861E0000}"/>
    <cellStyle name="20% - Accent3 3 2 2 2 2 5" xfId="16171" xr:uid="{00000000-0005-0000-0000-0000871E0000}"/>
    <cellStyle name="20% - Accent3 3 2 2 2 2 5 2" xfId="42045" xr:uid="{00000000-0005-0000-0000-0000881E0000}"/>
    <cellStyle name="20% - Accent3 3 2 2 2 2 6" xfId="29097" xr:uid="{00000000-0005-0000-0000-0000891E0000}"/>
    <cellStyle name="20% - Accent3 3 2 2 2 3" xfId="4034" xr:uid="{00000000-0005-0000-0000-00008A1E0000}"/>
    <cellStyle name="20% - Accent3 3 2 2 2 3 2" xfId="7288" xr:uid="{00000000-0005-0000-0000-00008B1E0000}"/>
    <cellStyle name="20% - Accent3 3 2 2 2 3 2 2" xfId="13747" xr:uid="{00000000-0005-0000-0000-00008C1E0000}"/>
    <cellStyle name="20% - Accent3 3 2 2 2 3 2 2 2" xfId="26664" xr:uid="{00000000-0005-0000-0000-00008D1E0000}"/>
    <cellStyle name="20% - Accent3 3 2 2 2 3 2 2 2 2" xfId="52538" xr:uid="{00000000-0005-0000-0000-00008E1E0000}"/>
    <cellStyle name="20% - Accent3 3 2 2 2 3 2 2 3" xfId="39622" xr:uid="{00000000-0005-0000-0000-00008F1E0000}"/>
    <cellStyle name="20% - Accent3 3 2 2 2 3 2 3" xfId="20206" xr:uid="{00000000-0005-0000-0000-0000901E0000}"/>
    <cellStyle name="20% - Accent3 3 2 2 2 3 2 3 2" xfId="46080" xr:uid="{00000000-0005-0000-0000-0000911E0000}"/>
    <cellStyle name="20% - Accent3 3 2 2 2 3 2 4" xfId="33164" xr:uid="{00000000-0005-0000-0000-0000921E0000}"/>
    <cellStyle name="20% - Accent3 3 2 2 2 3 3" xfId="10519" xr:uid="{00000000-0005-0000-0000-0000931E0000}"/>
    <cellStyle name="20% - Accent3 3 2 2 2 3 3 2" xfId="23436" xr:uid="{00000000-0005-0000-0000-0000941E0000}"/>
    <cellStyle name="20% - Accent3 3 2 2 2 3 3 2 2" xfId="49310" xr:uid="{00000000-0005-0000-0000-0000951E0000}"/>
    <cellStyle name="20% - Accent3 3 2 2 2 3 3 3" xfId="36394" xr:uid="{00000000-0005-0000-0000-0000961E0000}"/>
    <cellStyle name="20% - Accent3 3 2 2 2 3 4" xfId="16978" xr:uid="{00000000-0005-0000-0000-0000971E0000}"/>
    <cellStyle name="20% - Accent3 3 2 2 2 3 4 2" xfId="42852" xr:uid="{00000000-0005-0000-0000-0000981E0000}"/>
    <cellStyle name="20% - Accent3 3 2 2 2 3 5" xfId="29904" xr:uid="{00000000-0005-0000-0000-0000991E0000}"/>
    <cellStyle name="20% - Accent3 3 2 2 2 4" xfId="5674" xr:uid="{00000000-0005-0000-0000-00009A1E0000}"/>
    <cellStyle name="20% - Accent3 3 2 2 2 4 2" xfId="12133" xr:uid="{00000000-0005-0000-0000-00009B1E0000}"/>
    <cellStyle name="20% - Accent3 3 2 2 2 4 2 2" xfId="25050" xr:uid="{00000000-0005-0000-0000-00009C1E0000}"/>
    <cellStyle name="20% - Accent3 3 2 2 2 4 2 2 2" xfId="50924" xr:uid="{00000000-0005-0000-0000-00009D1E0000}"/>
    <cellStyle name="20% - Accent3 3 2 2 2 4 2 3" xfId="38008" xr:uid="{00000000-0005-0000-0000-00009E1E0000}"/>
    <cellStyle name="20% - Accent3 3 2 2 2 4 3" xfId="18592" xr:uid="{00000000-0005-0000-0000-00009F1E0000}"/>
    <cellStyle name="20% - Accent3 3 2 2 2 4 3 2" xfId="44466" xr:uid="{00000000-0005-0000-0000-0000A01E0000}"/>
    <cellStyle name="20% - Accent3 3 2 2 2 4 4" xfId="31550" xr:uid="{00000000-0005-0000-0000-0000A11E0000}"/>
    <cellStyle name="20% - Accent3 3 2 2 2 5" xfId="8905" xr:uid="{00000000-0005-0000-0000-0000A21E0000}"/>
    <cellStyle name="20% - Accent3 3 2 2 2 5 2" xfId="21822" xr:uid="{00000000-0005-0000-0000-0000A31E0000}"/>
    <cellStyle name="20% - Accent3 3 2 2 2 5 2 2" xfId="47696" xr:uid="{00000000-0005-0000-0000-0000A41E0000}"/>
    <cellStyle name="20% - Accent3 3 2 2 2 5 3" xfId="34780" xr:uid="{00000000-0005-0000-0000-0000A51E0000}"/>
    <cellStyle name="20% - Accent3 3 2 2 2 6" xfId="15364" xr:uid="{00000000-0005-0000-0000-0000A61E0000}"/>
    <cellStyle name="20% - Accent3 3 2 2 2 6 2" xfId="41238" xr:uid="{00000000-0005-0000-0000-0000A71E0000}"/>
    <cellStyle name="20% - Accent3 3 2 2 2 7" xfId="28290" xr:uid="{00000000-0005-0000-0000-0000A81E0000}"/>
    <cellStyle name="20% - Accent3 3 2 2 2 8" xfId="54152" xr:uid="{00000000-0005-0000-0000-0000A91E0000}"/>
    <cellStyle name="20% - Accent3 3 2 2 2 9" xfId="2394" xr:uid="{00000000-0005-0000-0000-0000AA1E0000}"/>
    <cellStyle name="20% - Accent3 3 2 2 3" xfId="553" xr:uid="{00000000-0005-0000-0000-0000AB1E0000}"/>
    <cellStyle name="20% - Accent3 3 2 2 3 2" xfId="4460" xr:uid="{00000000-0005-0000-0000-0000AC1E0000}"/>
    <cellStyle name="20% - Accent3 3 2 2 3 2 2" xfId="7691" xr:uid="{00000000-0005-0000-0000-0000AD1E0000}"/>
    <cellStyle name="20% - Accent3 3 2 2 3 2 2 2" xfId="14150" xr:uid="{00000000-0005-0000-0000-0000AE1E0000}"/>
    <cellStyle name="20% - Accent3 3 2 2 3 2 2 2 2" xfId="27067" xr:uid="{00000000-0005-0000-0000-0000AF1E0000}"/>
    <cellStyle name="20% - Accent3 3 2 2 3 2 2 2 2 2" xfId="52941" xr:uid="{00000000-0005-0000-0000-0000B01E0000}"/>
    <cellStyle name="20% - Accent3 3 2 2 3 2 2 2 3" xfId="40025" xr:uid="{00000000-0005-0000-0000-0000B11E0000}"/>
    <cellStyle name="20% - Accent3 3 2 2 3 2 2 3" xfId="20609" xr:uid="{00000000-0005-0000-0000-0000B21E0000}"/>
    <cellStyle name="20% - Accent3 3 2 2 3 2 2 3 2" xfId="46483" xr:uid="{00000000-0005-0000-0000-0000B31E0000}"/>
    <cellStyle name="20% - Accent3 3 2 2 3 2 2 4" xfId="33567" xr:uid="{00000000-0005-0000-0000-0000B41E0000}"/>
    <cellStyle name="20% - Accent3 3 2 2 3 2 3" xfId="10922" xr:uid="{00000000-0005-0000-0000-0000B51E0000}"/>
    <cellStyle name="20% - Accent3 3 2 2 3 2 3 2" xfId="23839" xr:uid="{00000000-0005-0000-0000-0000B61E0000}"/>
    <cellStyle name="20% - Accent3 3 2 2 3 2 3 2 2" xfId="49713" xr:uid="{00000000-0005-0000-0000-0000B71E0000}"/>
    <cellStyle name="20% - Accent3 3 2 2 3 2 3 3" xfId="36797" xr:uid="{00000000-0005-0000-0000-0000B81E0000}"/>
    <cellStyle name="20% - Accent3 3 2 2 3 2 4" xfId="17381" xr:uid="{00000000-0005-0000-0000-0000B91E0000}"/>
    <cellStyle name="20% - Accent3 3 2 2 3 2 4 2" xfId="43255" xr:uid="{00000000-0005-0000-0000-0000BA1E0000}"/>
    <cellStyle name="20% - Accent3 3 2 2 3 2 5" xfId="30307" xr:uid="{00000000-0005-0000-0000-0000BB1E0000}"/>
    <cellStyle name="20% - Accent3 3 2 2 3 3" xfId="6077" xr:uid="{00000000-0005-0000-0000-0000BC1E0000}"/>
    <cellStyle name="20% - Accent3 3 2 2 3 3 2" xfId="12536" xr:uid="{00000000-0005-0000-0000-0000BD1E0000}"/>
    <cellStyle name="20% - Accent3 3 2 2 3 3 2 2" xfId="25453" xr:uid="{00000000-0005-0000-0000-0000BE1E0000}"/>
    <cellStyle name="20% - Accent3 3 2 2 3 3 2 2 2" xfId="51327" xr:uid="{00000000-0005-0000-0000-0000BF1E0000}"/>
    <cellStyle name="20% - Accent3 3 2 2 3 3 2 3" xfId="38411" xr:uid="{00000000-0005-0000-0000-0000C01E0000}"/>
    <cellStyle name="20% - Accent3 3 2 2 3 3 3" xfId="18995" xr:uid="{00000000-0005-0000-0000-0000C11E0000}"/>
    <cellStyle name="20% - Accent3 3 2 2 3 3 3 2" xfId="44869" xr:uid="{00000000-0005-0000-0000-0000C21E0000}"/>
    <cellStyle name="20% - Accent3 3 2 2 3 3 4" xfId="31953" xr:uid="{00000000-0005-0000-0000-0000C31E0000}"/>
    <cellStyle name="20% - Accent3 3 2 2 3 4" xfId="9308" xr:uid="{00000000-0005-0000-0000-0000C41E0000}"/>
    <cellStyle name="20% - Accent3 3 2 2 3 4 2" xfId="22225" xr:uid="{00000000-0005-0000-0000-0000C51E0000}"/>
    <cellStyle name="20% - Accent3 3 2 2 3 4 2 2" xfId="48099" xr:uid="{00000000-0005-0000-0000-0000C61E0000}"/>
    <cellStyle name="20% - Accent3 3 2 2 3 4 3" xfId="35183" xr:uid="{00000000-0005-0000-0000-0000C71E0000}"/>
    <cellStyle name="20% - Accent3 3 2 2 3 5" xfId="15767" xr:uid="{00000000-0005-0000-0000-0000C81E0000}"/>
    <cellStyle name="20% - Accent3 3 2 2 3 5 2" xfId="41641" xr:uid="{00000000-0005-0000-0000-0000C91E0000}"/>
    <cellStyle name="20% - Accent3 3 2 2 3 6" xfId="28693" xr:uid="{00000000-0005-0000-0000-0000CA1E0000}"/>
    <cellStyle name="20% - Accent3 3 2 2 3 7" xfId="2803" xr:uid="{00000000-0005-0000-0000-0000CB1E0000}"/>
    <cellStyle name="20% - Accent3 3 2 2 4" xfId="3630" xr:uid="{00000000-0005-0000-0000-0000CC1E0000}"/>
    <cellStyle name="20% - Accent3 3 2 2 4 2" xfId="6884" xr:uid="{00000000-0005-0000-0000-0000CD1E0000}"/>
    <cellStyle name="20% - Accent3 3 2 2 4 2 2" xfId="13343" xr:uid="{00000000-0005-0000-0000-0000CE1E0000}"/>
    <cellStyle name="20% - Accent3 3 2 2 4 2 2 2" xfId="26260" xr:uid="{00000000-0005-0000-0000-0000CF1E0000}"/>
    <cellStyle name="20% - Accent3 3 2 2 4 2 2 2 2" xfId="52134" xr:uid="{00000000-0005-0000-0000-0000D01E0000}"/>
    <cellStyle name="20% - Accent3 3 2 2 4 2 2 3" xfId="39218" xr:uid="{00000000-0005-0000-0000-0000D11E0000}"/>
    <cellStyle name="20% - Accent3 3 2 2 4 2 3" xfId="19802" xr:uid="{00000000-0005-0000-0000-0000D21E0000}"/>
    <cellStyle name="20% - Accent3 3 2 2 4 2 3 2" xfId="45676" xr:uid="{00000000-0005-0000-0000-0000D31E0000}"/>
    <cellStyle name="20% - Accent3 3 2 2 4 2 4" xfId="32760" xr:uid="{00000000-0005-0000-0000-0000D41E0000}"/>
    <cellStyle name="20% - Accent3 3 2 2 4 3" xfId="10115" xr:uid="{00000000-0005-0000-0000-0000D51E0000}"/>
    <cellStyle name="20% - Accent3 3 2 2 4 3 2" xfId="23032" xr:uid="{00000000-0005-0000-0000-0000D61E0000}"/>
    <cellStyle name="20% - Accent3 3 2 2 4 3 2 2" xfId="48906" xr:uid="{00000000-0005-0000-0000-0000D71E0000}"/>
    <cellStyle name="20% - Accent3 3 2 2 4 3 3" xfId="35990" xr:uid="{00000000-0005-0000-0000-0000D81E0000}"/>
    <cellStyle name="20% - Accent3 3 2 2 4 4" xfId="16574" xr:uid="{00000000-0005-0000-0000-0000D91E0000}"/>
    <cellStyle name="20% - Accent3 3 2 2 4 4 2" xfId="42448" xr:uid="{00000000-0005-0000-0000-0000DA1E0000}"/>
    <cellStyle name="20% - Accent3 3 2 2 4 5" xfId="29500" xr:uid="{00000000-0005-0000-0000-0000DB1E0000}"/>
    <cellStyle name="20% - Accent3 3 2 2 5" xfId="5270" xr:uid="{00000000-0005-0000-0000-0000DC1E0000}"/>
    <cellStyle name="20% - Accent3 3 2 2 5 2" xfId="11729" xr:uid="{00000000-0005-0000-0000-0000DD1E0000}"/>
    <cellStyle name="20% - Accent3 3 2 2 5 2 2" xfId="24646" xr:uid="{00000000-0005-0000-0000-0000DE1E0000}"/>
    <cellStyle name="20% - Accent3 3 2 2 5 2 2 2" xfId="50520" xr:uid="{00000000-0005-0000-0000-0000DF1E0000}"/>
    <cellStyle name="20% - Accent3 3 2 2 5 2 3" xfId="37604" xr:uid="{00000000-0005-0000-0000-0000E01E0000}"/>
    <cellStyle name="20% - Accent3 3 2 2 5 3" xfId="18188" xr:uid="{00000000-0005-0000-0000-0000E11E0000}"/>
    <cellStyle name="20% - Accent3 3 2 2 5 3 2" xfId="44062" xr:uid="{00000000-0005-0000-0000-0000E21E0000}"/>
    <cellStyle name="20% - Accent3 3 2 2 5 4" xfId="31146" xr:uid="{00000000-0005-0000-0000-0000E31E0000}"/>
    <cellStyle name="20% - Accent3 3 2 2 6" xfId="8501" xr:uid="{00000000-0005-0000-0000-0000E41E0000}"/>
    <cellStyle name="20% - Accent3 3 2 2 6 2" xfId="21418" xr:uid="{00000000-0005-0000-0000-0000E51E0000}"/>
    <cellStyle name="20% - Accent3 3 2 2 6 2 2" xfId="47292" xr:uid="{00000000-0005-0000-0000-0000E61E0000}"/>
    <cellStyle name="20% - Accent3 3 2 2 6 3" xfId="34376" xr:uid="{00000000-0005-0000-0000-0000E71E0000}"/>
    <cellStyle name="20% - Accent3 3 2 2 7" xfId="14960" xr:uid="{00000000-0005-0000-0000-0000E81E0000}"/>
    <cellStyle name="20% - Accent3 3 2 2 7 2" xfId="40834" xr:uid="{00000000-0005-0000-0000-0000E91E0000}"/>
    <cellStyle name="20% - Accent3 3 2 2 8" xfId="27885" xr:uid="{00000000-0005-0000-0000-0000EA1E0000}"/>
    <cellStyle name="20% - Accent3 3 2 2 9" xfId="53748" xr:uid="{00000000-0005-0000-0000-0000EB1E0000}"/>
    <cellStyle name="20% - Accent3 3 2 3" xfId="555" xr:uid="{00000000-0005-0000-0000-0000EC1E0000}"/>
    <cellStyle name="20% - Accent3 3 2 3 2" xfId="3012" xr:uid="{00000000-0005-0000-0000-0000ED1E0000}"/>
    <cellStyle name="20% - Accent3 3 2 3 2 2" xfId="4669" xr:uid="{00000000-0005-0000-0000-0000EE1E0000}"/>
    <cellStyle name="20% - Accent3 3 2 3 2 2 2" xfId="7900" xr:uid="{00000000-0005-0000-0000-0000EF1E0000}"/>
    <cellStyle name="20% - Accent3 3 2 3 2 2 2 2" xfId="14359" xr:uid="{00000000-0005-0000-0000-0000F01E0000}"/>
    <cellStyle name="20% - Accent3 3 2 3 2 2 2 2 2" xfId="27276" xr:uid="{00000000-0005-0000-0000-0000F11E0000}"/>
    <cellStyle name="20% - Accent3 3 2 3 2 2 2 2 2 2" xfId="53150" xr:uid="{00000000-0005-0000-0000-0000F21E0000}"/>
    <cellStyle name="20% - Accent3 3 2 3 2 2 2 2 3" xfId="40234" xr:uid="{00000000-0005-0000-0000-0000F31E0000}"/>
    <cellStyle name="20% - Accent3 3 2 3 2 2 2 3" xfId="20818" xr:uid="{00000000-0005-0000-0000-0000F41E0000}"/>
    <cellStyle name="20% - Accent3 3 2 3 2 2 2 3 2" xfId="46692" xr:uid="{00000000-0005-0000-0000-0000F51E0000}"/>
    <cellStyle name="20% - Accent3 3 2 3 2 2 2 4" xfId="33776" xr:uid="{00000000-0005-0000-0000-0000F61E0000}"/>
    <cellStyle name="20% - Accent3 3 2 3 2 2 3" xfId="11131" xr:uid="{00000000-0005-0000-0000-0000F71E0000}"/>
    <cellStyle name="20% - Accent3 3 2 3 2 2 3 2" xfId="24048" xr:uid="{00000000-0005-0000-0000-0000F81E0000}"/>
    <cellStyle name="20% - Accent3 3 2 3 2 2 3 2 2" xfId="49922" xr:uid="{00000000-0005-0000-0000-0000F91E0000}"/>
    <cellStyle name="20% - Accent3 3 2 3 2 2 3 3" xfId="37006" xr:uid="{00000000-0005-0000-0000-0000FA1E0000}"/>
    <cellStyle name="20% - Accent3 3 2 3 2 2 4" xfId="17590" xr:uid="{00000000-0005-0000-0000-0000FB1E0000}"/>
    <cellStyle name="20% - Accent3 3 2 3 2 2 4 2" xfId="43464" xr:uid="{00000000-0005-0000-0000-0000FC1E0000}"/>
    <cellStyle name="20% - Accent3 3 2 3 2 2 5" xfId="30516" xr:uid="{00000000-0005-0000-0000-0000FD1E0000}"/>
    <cellStyle name="20% - Accent3 3 2 3 2 3" xfId="6286" xr:uid="{00000000-0005-0000-0000-0000FE1E0000}"/>
    <cellStyle name="20% - Accent3 3 2 3 2 3 2" xfId="12745" xr:uid="{00000000-0005-0000-0000-0000FF1E0000}"/>
    <cellStyle name="20% - Accent3 3 2 3 2 3 2 2" xfId="25662" xr:uid="{00000000-0005-0000-0000-0000001F0000}"/>
    <cellStyle name="20% - Accent3 3 2 3 2 3 2 2 2" xfId="51536" xr:uid="{00000000-0005-0000-0000-0000011F0000}"/>
    <cellStyle name="20% - Accent3 3 2 3 2 3 2 3" xfId="38620" xr:uid="{00000000-0005-0000-0000-0000021F0000}"/>
    <cellStyle name="20% - Accent3 3 2 3 2 3 3" xfId="19204" xr:uid="{00000000-0005-0000-0000-0000031F0000}"/>
    <cellStyle name="20% - Accent3 3 2 3 2 3 3 2" xfId="45078" xr:uid="{00000000-0005-0000-0000-0000041F0000}"/>
    <cellStyle name="20% - Accent3 3 2 3 2 3 4" xfId="32162" xr:uid="{00000000-0005-0000-0000-0000051F0000}"/>
    <cellStyle name="20% - Accent3 3 2 3 2 4" xfId="9517" xr:uid="{00000000-0005-0000-0000-0000061F0000}"/>
    <cellStyle name="20% - Accent3 3 2 3 2 4 2" xfId="22434" xr:uid="{00000000-0005-0000-0000-0000071F0000}"/>
    <cellStyle name="20% - Accent3 3 2 3 2 4 2 2" xfId="48308" xr:uid="{00000000-0005-0000-0000-0000081F0000}"/>
    <cellStyle name="20% - Accent3 3 2 3 2 4 3" xfId="35392" xr:uid="{00000000-0005-0000-0000-0000091F0000}"/>
    <cellStyle name="20% - Accent3 3 2 3 2 5" xfId="15976" xr:uid="{00000000-0005-0000-0000-00000A1F0000}"/>
    <cellStyle name="20% - Accent3 3 2 3 2 5 2" xfId="41850" xr:uid="{00000000-0005-0000-0000-00000B1F0000}"/>
    <cellStyle name="20% - Accent3 3 2 3 2 6" xfId="28902" xr:uid="{00000000-0005-0000-0000-00000C1F0000}"/>
    <cellStyle name="20% - Accent3 3 2 3 3" xfId="3839" xr:uid="{00000000-0005-0000-0000-00000D1F0000}"/>
    <cellStyle name="20% - Accent3 3 2 3 3 2" xfId="7093" xr:uid="{00000000-0005-0000-0000-00000E1F0000}"/>
    <cellStyle name="20% - Accent3 3 2 3 3 2 2" xfId="13552" xr:uid="{00000000-0005-0000-0000-00000F1F0000}"/>
    <cellStyle name="20% - Accent3 3 2 3 3 2 2 2" xfId="26469" xr:uid="{00000000-0005-0000-0000-0000101F0000}"/>
    <cellStyle name="20% - Accent3 3 2 3 3 2 2 2 2" xfId="52343" xr:uid="{00000000-0005-0000-0000-0000111F0000}"/>
    <cellStyle name="20% - Accent3 3 2 3 3 2 2 3" xfId="39427" xr:uid="{00000000-0005-0000-0000-0000121F0000}"/>
    <cellStyle name="20% - Accent3 3 2 3 3 2 3" xfId="20011" xr:uid="{00000000-0005-0000-0000-0000131F0000}"/>
    <cellStyle name="20% - Accent3 3 2 3 3 2 3 2" xfId="45885" xr:uid="{00000000-0005-0000-0000-0000141F0000}"/>
    <cellStyle name="20% - Accent3 3 2 3 3 2 4" xfId="32969" xr:uid="{00000000-0005-0000-0000-0000151F0000}"/>
    <cellStyle name="20% - Accent3 3 2 3 3 3" xfId="10324" xr:uid="{00000000-0005-0000-0000-0000161F0000}"/>
    <cellStyle name="20% - Accent3 3 2 3 3 3 2" xfId="23241" xr:uid="{00000000-0005-0000-0000-0000171F0000}"/>
    <cellStyle name="20% - Accent3 3 2 3 3 3 2 2" xfId="49115" xr:uid="{00000000-0005-0000-0000-0000181F0000}"/>
    <cellStyle name="20% - Accent3 3 2 3 3 3 3" xfId="36199" xr:uid="{00000000-0005-0000-0000-0000191F0000}"/>
    <cellStyle name="20% - Accent3 3 2 3 3 4" xfId="16783" xr:uid="{00000000-0005-0000-0000-00001A1F0000}"/>
    <cellStyle name="20% - Accent3 3 2 3 3 4 2" xfId="42657" xr:uid="{00000000-0005-0000-0000-00001B1F0000}"/>
    <cellStyle name="20% - Accent3 3 2 3 3 5" xfId="29709" xr:uid="{00000000-0005-0000-0000-00001C1F0000}"/>
    <cellStyle name="20% - Accent3 3 2 3 4" xfId="5479" xr:uid="{00000000-0005-0000-0000-00001D1F0000}"/>
    <cellStyle name="20% - Accent3 3 2 3 4 2" xfId="11938" xr:uid="{00000000-0005-0000-0000-00001E1F0000}"/>
    <cellStyle name="20% - Accent3 3 2 3 4 2 2" xfId="24855" xr:uid="{00000000-0005-0000-0000-00001F1F0000}"/>
    <cellStyle name="20% - Accent3 3 2 3 4 2 2 2" xfId="50729" xr:uid="{00000000-0005-0000-0000-0000201F0000}"/>
    <cellStyle name="20% - Accent3 3 2 3 4 2 3" xfId="37813" xr:uid="{00000000-0005-0000-0000-0000211F0000}"/>
    <cellStyle name="20% - Accent3 3 2 3 4 3" xfId="18397" xr:uid="{00000000-0005-0000-0000-0000221F0000}"/>
    <cellStyle name="20% - Accent3 3 2 3 4 3 2" xfId="44271" xr:uid="{00000000-0005-0000-0000-0000231F0000}"/>
    <cellStyle name="20% - Accent3 3 2 3 4 4" xfId="31355" xr:uid="{00000000-0005-0000-0000-0000241F0000}"/>
    <cellStyle name="20% - Accent3 3 2 3 5" xfId="8710" xr:uid="{00000000-0005-0000-0000-0000251F0000}"/>
    <cellStyle name="20% - Accent3 3 2 3 5 2" xfId="21627" xr:uid="{00000000-0005-0000-0000-0000261F0000}"/>
    <cellStyle name="20% - Accent3 3 2 3 5 2 2" xfId="47501" xr:uid="{00000000-0005-0000-0000-0000271F0000}"/>
    <cellStyle name="20% - Accent3 3 2 3 5 3" xfId="34585" xr:uid="{00000000-0005-0000-0000-0000281F0000}"/>
    <cellStyle name="20% - Accent3 3 2 3 6" xfId="15169" xr:uid="{00000000-0005-0000-0000-0000291F0000}"/>
    <cellStyle name="20% - Accent3 3 2 3 6 2" xfId="41043" xr:uid="{00000000-0005-0000-0000-00002A1F0000}"/>
    <cellStyle name="20% - Accent3 3 2 3 7" xfId="28095" xr:uid="{00000000-0005-0000-0000-00002B1F0000}"/>
    <cellStyle name="20% - Accent3 3 2 3 8" xfId="53957" xr:uid="{00000000-0005-0000-0000-00002C1F0000}"/>
    <cellStyle name="20% - Accent3 3 2 3 9" xfId="2198" xr:uid="{00000000-0005-0000-0000-00002D1F0000}"/>
    <cellStyle name="20% - Accent3 3 2 4" xfId="552" xr:uid="{00000000-0005-0000-0000-00002E1F0000}"/>
    <cellStyle name="20% - Accent3 3 2 4 2" xfId="4266" xr:uid="{00000000-0005-0000-0000-00002F1F0000}"/>
    <cellStyle name="20% - Accent3 3 2 4 2 2" xfId="7497" xr:uid="{00000000-0005-0000-0000-0000301F0000}"/>
    <cellStyle name="20% - Accent3 3 2 4 2 2 2" xfId="13956" xr:uid="{00000000-0005-0000-0000-0000311F0000}"/>
    <cellStyle name="20% - Accent3 3 2 4 2 2 2 2" xfId="26873" xr:uid="{00000000-0005-0000-0000-0000321F0000}"/>
    <cellStyle name="20% - Accent3 3 2 4 2 2 2 2 2" xfId="52747" xr:uid="{00000000-0005-0000-0000-0000331F0000}"/>
    <cellStyle name="20% - Accent3 3 2 4 2 2 2 3" xfId="39831" xr:uid="{00000000-0005-0000-0000-0000341F0000}"/>
    <cellStyle name="20% - Accent3 3 2 4 2 2 3" xfId="20415" xr:uid="{00000000-0005-0000-0000-0000351F0000}"/>
    <cellStyle name="20% - Accent3 3 2 4 2 2 3 2" xfId="46289" xr:uid="{00000000-0005-0000-0000-0000361F0000}"/>
    <cellStyle name="20% - Accent3 3 2 4 2 2 4" xfId="33373" xr:uid="{00000000-0005-0000-0000-0000371F0000}"/>
    <cellStyle name="20% - Accent3 3 2 4 2 3" xfId="10728" xr:uid="{00000000-0005-0000-0000-0000381F0000}"/>
    <cellStyle name="20% - Accent3 3 2 4 2 3 2" xfId="23645" xr:uid="{00000000-0005-0000-0000-0000391F0000}"/>
    <cellStyle name="20% - Accent3 3 2 4 2 3 2 2" xfId="49519" xr:uid="{00000000-0005-0000-0000-00003A1F0000}"/>
    <cellStyle name="20% - Accent3 3 2 4 2 3 3" xfId="36603" xr:uid="{00000000-0005-0000-0000-00003B1F0000}"/>
    <cellStyle name="20% - Accent3 3 2 4 2 4" xfId="17187" xr:uid="{00000000-0005-0000-0000-00003C1F0000}"/>
    <cellStyle name="20% - Accent3 3 2 4 2 4 2" xfId="43061" xr:uid="{00000000-0005-0000-0000-00003D1F0000}"/>
    <cellStyle name="20% - Accent3 3 2 4 2 5" xfId="30113" xr:uid="{00000000-0005-0000-0000-00003E1F0000}"/>
    <cellStyle name="20% - Accent3 3 2 4 3" xfId="5883" xr:uid="{00000000-0005-0000-0000-00003F1F0000}"/>
    <cellStyle name="20% - Accent3 3 2 4 3 2" xfId="12342" xr:uid="{00000000-0005-0000-0000-0000401F0000}"/>
    <cellStyle name="20% - Accent3 3 2 4 3 2 2" xfId="25259" xr:uid="{00000000-0005-0000-0000-0000411F0000}"/>
    <cellStyle name="20% - Accent3 3 2 4 3 2 2 2" xfId="51133" xr:uid="{00000000-0005-0000-0000-0000421F0000}"/>
    <cellStyle name="20% - Accent3 3 2 4 3 2 3" xfId="38217" xr:uid="{00000000-0005-0000-0000-0000431F0000}"/>
    <cellStyle name="20% - Accent3 3 2 4 3 3" xfId="18801" xr:uid="{00000000-0005-0000-0000-0000441F0000}"/>
    <cellStyle name="20% - Accent3 3 2 4 3 3 2" xfId="44675" xr:uid="{00000000-0005-0000-0000-0000451F0000}"/>
    <cellStyle name="20% - Accent3 3 2 4 3 4" xfId="31759" xr:uid="{00000000-0005-0000-0000-0000461F0000}"/>
    <cellStyle name="20% - Accent3 3 2 4 4" xfId="9114" xr:uid="{00000000-0005-0000-0000-0000471F0000}"/>
    <cellStyle name="20% - Accent3 3 2 4 4 2" xfId="22031" xr:uid="{00000000-0005-0000-0000-0000481F0000}"/>
    <cellStyle name="20% - Accent3 3 2 4 4 2 2" xfId="47905" xr:uid="{00000000-0005-0000-0000-0000491F0000}"/>
    <cellStyle name="20% - Accent3 3 2 4 4 3" xfId="34989" xr:uid="{00000000-0005-0000-0000-00004A1F0000}"/>
    <cellStyle name="20% - Accent3 3 2 4 5" xfId="15573" xr:uid="{00000000-0005-0000-0000-00004B1F0000}"/>
    <cellStyle name="20% - Accent3 3 2 4 5 2" xfId="41447" xr:uid="{00000000-0005-0000-0000-00004C1F0000}"/>
    <cellStyle name="20% - Accent3 3 2 4 6" xfId="28499" xr:uid="{00000000-0005-0000-0000-00004D1F0000}"/>
    <cellStyle name="20% - Accent3 3 2 4 7" xfId="2609" xr:uid="{00000000-0005-0000-0000-00004E1F0000}"/>
    <cellStyle name="20% - Accent3 3 2 5" xfId="3436" xr:uid="{00000000-0005-0000-0000-00004F1F0000}"/>
    <cellStyle name="20% - Accent3 3 2 5 2" xfId="6690" xr:uid="{00000000-0005-0000-0000-0000501F0000}"/>
    <cellStyle name="20% - Accent3 3 2 5 2 2" xfId="13149" xr:uid="{00000000-0005-0000-0000-0000511F0000}"/>
    <cellStyle name="20% - Accent3 3 2 5 2 2 2" xfId="26066" xr:uid="{00000000-0005-0000-0000-0000521F0000}"/>
    <cellStyle name="20% - Accent3 3 2 5 2 2 2 2" xfId="51940" xr:uid="{00000000-0005-0000-0000-0000531F0000}"/>
    <cellStyle name="20% - Accent3 3 2 5 2 2 3" xfId="39024" xr:uid="{00000000-0005-0000-0000-0000541F0000}"/>
    <cellStyle name="20% - Accent3 3 2 5 2 3" xfId="19608" xr:uid="{00000000-0005-0000-0000-0000551F0000}"/>
    <cellStyle name="20% - Accent3 3 2 5 2 3 2" xfId="45482" xr:uid="{00000000-0005-0000-0000-0000561F0000}"/>
    <cellStyle name="20% - Accent3 3 2 5 2 4" xfId="32566" xr:uid="{00000000-0005-0000-0000-0000571F0000}"/>
    <cellStyle name="20% - Accent3 3 2 5 3" xfId="9921" xr:uid="{00000000-0005-0000-0000-0000581F0000}"/>
    <cellStyle name="20% - Accent3 3 2 5 3 2" xfId="22838" xr:uid="{00000000-0005-0000-0000-0000591F0000}"/>
    <cellStyle name="20% - Accent3 3 2 5 3 2 2" xfId="48712" xr:uid="{00000000-0005-0000-0000-00005A1F0000}"/>
    <cellStyle name="20% - Accent3 3 2 5 3 3" xfId="35796" xr:uid="{00000000-0005-0000-0000-00005B1F0000}"/>
    <cellStyle name="20% - Accent3 3 2 5 4" xfId="16380" xr:uid="{00000000-0005-0000-0000-00005C1F0000}"/>
    <cellStyle name="20% - Accent3 3 2 5 4 2" xfId="42254" xr:uid="{00000000-0005-0000-0000-00005D1F0000}"/>
    <cellStyle name="20% - Accent3 3 2 5 5" xfId="29306" xr:uid="{00000000-0005-0000-0000-00005E1F0000}"/>
    <cellStyle name="20% - Accent3 3 2 6" xfId="5076" xr:uid="{00000000-0005-0000-0000-00005F1F0000}"/>
    <cellStyle name="20% - Accent3 3 2 6 2" xfId="11535" xr:uid="{00000000-0005-0000-0000-0000601F0000}"/>
    <cellStyle name="20% - Accent3 3 2 6 2 2" xfId="24452" xr:uid="{00000000-0005-0000-0000-0000611F0000}"/>
    <cellStyle name="20% - Accent3 3 2 6 2 2 2" xfId="50326" xr:uid="{00000000-0005-0000-0000-0000621F0000}"/>
    <cellStyle name="20% - Accent3 3 2 6 2 3" xfId="37410" xr:uid="{00000000-0005-0000-0000-0000631F0000}"/>
    <cellStyle name="20% - Accent3 3 2 6 3" xfId="17994" xr:uid="{00000000-0005-0000-0000-0000641F0000}"/>
    <cellStyle name="20% - Accent3 3 2 6 3 2" xfId="43868" xr:uid="{00000000-0005-0000-0000-0000651F0000}"/>
    <cellStyle name="20% - Accent3 3 2 6 4" xfId="30952" xr:uid="{00000000-0005-0000-0000-0000661F0000}"/>
    <cellStyle name="20% - Accent3 3 2 7" xfId="8306" xr:uid="{00000000-0005-0000-0000-0000671F0000}"/>
    <cellStyle name="20% - Accent3 3 2 7 2" xfId="21223" xr:uid="{00000000-0005-0000-0000-0000681F0000}"/>
    <cellStyle name="20% - Accent3 3 2 7 2 2" xfId="47097" xr:uid="{00000000-0005-0000-0000-0000691F0000}"/>
    <cellStyle name="20% - Accent3 3 2 7 3" xfId="34181" xr:uid="{00000000-0005-0000-0000-00006A1F0000}"/>
    <cellStyle name="20% - Accent3 3 2 8" xfId="14765" xr:uid="{00000000-0005-0000-0000-00006B1F0000}"/>
    <cellStyle name="20% - Accent3 3 2 8 2" xfId="40639" xr:uid="{00000000-0005-0000-0000-00006C1F0000}"/>
    <cellStyle name="20% - Accent3 3 2 9" xfId="27689" xr:uid="{00000000-0005-0000-0000-00006D1F0000}"/>
    <cellStyle name="20% - Accent3 3 3" xfId="324" xr:uid="{00000000-0005-0000-0000-00006E1F0000}"/>
    <cellStyle name="20% - Accent3 3 3 10" xfId="53520" xr:uid="{00000000-0005-0000-0000-00006F1F0000}"/>
    <cellStyle name="20% - Accent3 3 3 11" xfId="1603" xr:uid="{00000000-0005-0000-0000-0000701F0000}"/>
    <cellStyle name="20% - Accent3 3 3 2" xfId="461" xr:uid="{00000000-0005-0000-0000-0000711F0000}"/>
    <cellStyle name="20% - Accent3 3 3 2 10" xfId="1929" xr:uid="{00000000-0005-0000-0000-0000721F0000}"/>
    <cellStyle name="20% - Accent3 3 3 2 2" xfId="558" xr:uid="{00000000-0005-0000-0000-0000731F0000}"/>
    <cellStyle name="20% - Accent3 3 3 2 2 2" xfId="3173" xr:uid="{00000000-0005-0000-0000-0000741F0000}"/>
    <cellStyle name="20% - Accent3 3 3 2 2 2 2" xfId="4830" xr:uid="{00000000-0005-0000-0000-0000751F0000}"/>
    <cellStyle name="20% - Accent3 3 3 2 2 2 2 2" xfId="8061" xr:uid="{00000000-0005-0000-0000-0000761F0000}"/>
    <cellStyle name="20% - Accent3 3 3 2 2 2 2 2 2" xfId="14520" xr:uid="{00000000-0005-0000-0000-0000771F0000}"/>
    <cellStyle name="20% - Accent3 3 3 2 2 2 2 2 2 2" xfId="27437" xr:uid="{00000000-0005-0000-0000-0000781F0000}"/>
    <cellStyle name="20% - Accent3 3 3 2 2 2 2 2 2 2 2" xfId="53311" xr:uid="{00000000-0005-0000-0000-0000791F0000}"/>
    <cellStyle name="20% - Accent3 3 3 2 2 2 2 2 2 3" xfId="40395" xr:uid="{00000000-0005-0000-0000-00007A1F0000}"/>
    <cellStyle name="20% - Accent3 3 3 2 2 2 2 2 3" xfId="20979" xr:uid="{00000000-0005-0000-0000-00007B1F0000}"/>
    <cellStyle name="20% - Accent3 3 3 2 2 2 2 2 3 2" xfId="46853" xr:uid="{00000000-0005-0000-0000-00007C1F0000}"/>
    <cellStyle name="20% - Accent3 3 3 2 2 2 2 2 4" xfId="33937" xr:uid="{00000000-0005-0000-0000-00007D1F0000}"/>
    <cellStyle name="20% - Accent3 3 3 2 2 2 2 3" xfId="11292" xr:uid="{00000000-0005-0000-0000-00007E1F0000}"/>
    <cellStyle name="20% - Accent3 3 3 2 2 2 2 3 2" xfId="24209" xr:uid="{00000000-0005-0000-0000-00007F1F0000}"/>
    <cellStyle name="20% - Accent3 3 3 2 2 2 2 3 2 2" xfId="50083" xr:uid="{00000000-0005-0000-0000-0000801F0000}"/>
    <cellStyle name="20% - Accent3 3 3 2 2 2 2 3 3" xfId="37167" xr:uid="{00000000-0005-0000-0000-0000811F0000}"/>
    <cellStyle name="20% - Accent3 3 3 2 2 2 2 4" xfId="17751" xr:uid="{00000000-0005-0000-0000-0000821F0000}"/>
    <cellStyle name="20% - Accent3 3 3 2 2 2 2 4 2" xfId="43625" xr:uid="{00000000-0005-0000-0000-0000831F0000}"/>
    <cellStyle name="20% - Accent3 3 3 2 2 2 2 5" xfId="30677" xr:uid="{00000000-0005-0000-0000-0000841F0000}"/>
    <cellStyle name="20% - Accent3 3 3 2 2 2 3" xfId="6447" xr:uid="{00000000-0005-0000-0000-0000851F0000}"/>
    <cellStyle name="20% - Accent3 3 3 2 2 2 3 2" xfId="12906" xr:uid="{00000000-0005-0000-0000-0000861F0000}"/>
    <cellStyle name="20% - Accent3 3 3 2 2 2 3 2 2" xfId="25823" xr:uid="{00000000-0005-0000-0000-0000871F0000}"/>
    <cellStyle name="20% - Accent3 3 3 2 2 2 3 2 2 2" xfId="51697" xr:uid="{00000000-0005-0000-0000-0000881F0000}"/>
    <cellStyle name="20% - Accent3 3 3 2 2 2 3 2 3" xfId="38781" xr:uid="{00000000-0005-0000-0000-0000891F0000}"/>
    <cellStyle name="20% - Accent3 3 3 2 2 2 3 3" xfId="19365" xr:uid="{00000000-0005-0000-0000-00008A1F0000}"/>
    <cellStyle name="20% - Accent3 3 3 2 2 2 3 3 2" xfId="45239" xr:uid="{00000000-0005-0000-0000-00008B1F0000}"/>
    <cellStyle name="20% - Accent3 3 3 2 2 2 3 4" xfId="32323" xr:uid="{00000000-0005-0000-0000-00008C1F0000}"/>
    <cellStyle name="20% - Accent3 3 3 2 2 2 4" xfId="9678" xr:uid="{00000000-0005-0000-0000-00008D1F0000}"/>
    <cellStyle name="20% - Accent3 3 3 2 2 2 4 2" xfId="22595" xr:uid="{00000000-0005-0000-0000-00008E1F0000}"/>
    <cellStyle name="20% - Accent3 3 3 2 2 2 4 2 2" xfId="48469" xr:uid="{00000000-0005-0000-0000-00008F1F0000}"/>
    <cellStyle name="20% - Accent3 3 3 2 2 2 4 3" xfId="35553" xr:uid="{00000000-0005-0000-0000-0000901F0000}"/>
    <cellStyle name="20% - Accent3 3 3 2 2 2 5" xfId="16137" xr:uid="{00000000-0005-0000-0000-0000911F0000}"/>
    <cellStyle name="20% - Accent3 3 3 2 2 2 5 2" xfId="42011" xr:uid="{00000000-0005-0000-0000-0000921F0000}"/>
    <cellStyle name="20% - Accent3 3 3 2 2 2 6" xfId="29063" xr:uid="{00000000-0005-0000-0000-0000931F0000}"/>
    <cellStyle name="20% - Accent3 3 3 2 2 3" xfId="4000" xr:uid="{00000000-0005-0000-0000-0000941F0000}"/>
    <cellStyle name="20% - Accent3 3 3 2 2 3 2" xfId="7254" xr:uid="{00000000-0005-0000-0000-0000951F0000}"/>
    <cellStyle name="20% - Accent3 3 3 2 2 3 2 2" xfId="13713" xr:uid="{00000000-0005-0000-0000-0000961F0000}"/>
    <cellStyle name="20% - Accent3 3 3 2 2 3 2 2 2" xfId="26630" xr:uid="{00000000-0005-0000-0000-0000971F0000}"/>
    <cellStyle name="20% - Accent3 3 3 2 2 3 2 2 2 2" xfId="52504" xr:uid="{00000000-0005-0000-0000-0000981F0000}"/>
    <cellStyle name="20% - Accent3 3 3 2 2 3 2 2 3" xfId="39588" xr:uid="{00000000-0005-0000-0000-0000991F0000}"/>
    <cellStyle name="20% - Accent3 3 3 2 2 3 2 3" xfId="20172" xr:uid="{00000000-0005-0000-0000-00009A1F0000}"/>
    <cellStyle name="20% - Accent3 3 3 2 2 3 2 3 2" xfId="46046" xr:uid="{00000000-0005-0000-0000-00009B1F0000}"/>
    <cellStyle name="20% - Accent3 3 3 2 2 3 2 4" xfId="33130" xr:uid="{00000000-0005-0000-0000-00009C1F0000}"/>
    <cellStyle name="20% - Accent3 3 3 2 2 3 3" xfId="10485" xr:uid="{00000000-0005-0000-0000-00009D1F0000}"/>
    <cellStyle name="20% - Accent3 3 3 2 2 3 3 2" xfId="23402" xr:uid="{00000000-0005-0000-0000-00009E1F0000}"/>
    <cellStyle name="20% - Accent3 3 3 2 2 3 3 2 2" xfId="49276" xr:uid="{00000000-0005-0000-0000-00009F1F0000}"/>
    <cellStyle name="20% - Accent3 3 3 2 2 3 3 3" xfId="36360" xr:uid="{00000000-0005-0000-0000-0000A01F0000}"/>
    <cellStyle name="20% - Accent3 3 3 2 2 3 4" xfId="16944" xr:uid="{00000000-0005-0000-0000-0000A11F0000}"/>
    <cellStyle name="20% - Accent3 3 3 2 2 3 4 2" xfId="42818" xr:uid="{00000000-0005-0000-0000-0000A21F0000}"/>
    <cellStyle name="20% - Accent3 3 3 2 2 3 5" xfId="29870" xr:uid="{00000000-0005-0000-0000-0000A31F0000}"/>
    <cellStyle name="20% - Accent3 3 3 2 2 4" xfId="5640" xr:uid="{00000000-0005-0000-0000-0000A41F0000}"/>
    <cellStyle name="20% - Accent3 3 3 2 2 4 2" xfId="12099" xr:uid="{00000000-0005-0000-0000-0000A51F0000}"/>
    <cellStyle name="20% - Accent3 3 3 2 2 4 2 2" xfId="25016" xr:uid="{00000000-0005-0000-0000-0000A61F0000}"/>
    <cellStyle name="20% - Accent3 3 3 2 2 4 2 2 2" xfId="50890" xr:uid="{00000000-0005-0000-0000-0000A71F0000}"/>
    <cellStyle name="20% - Accent3 3 3 2 2 4 2 3" xfId="37974" xr:uid="{00000000-0005-0000-0000-0000A81F0000}"/>
    <cellStyle name="20% - Accent3 3 3 2 2 4 3" xfId="18558" xr:uid="{00000000-0005-0000-0000-0000A91F0000}"/>
    <cellStyle name="20% - Accent3 3 3 2 2 4 3 2" xfId="44432" xr:uid="{00000000-0005-0000-0000-0000AA1F0000}"/>
    <cellStyle name="20% - Accent3 3 3 2 2 4 4" xfId="31516" xr:uid="{00000000-0005-0000-0000-0000AB1F0000}"/>
    <cellStyle name="20% - Accent3 3 3 2 2 5" xfId="8871" xr:uid="{00000000-0005-0000-0000-0000AC1F0000}"/>
    <cellStyle name="20% - Accent3 3 3 2 2 5 2" xfId="21788" xr:uid="{00000000-0005-0000-0000-0000AD1F0000}"/>
    <cellStyle name="20% - Accent3 3 3 2 2 5 2 2" xfId="47662" xr:uid="{00000000-0005-0000-0000-0000AE1F0000}"/>
    <cellStyle name="20% - Accent3 3 3 2 2 5 3" xfId="34746" xr:uid="{00000000-0005-0000-0000-0000AF1F0000}"/>
    <cellStyle name="20% - Accent3 3 3 2 2 6" xfId="15330" xr:uid="{00000000-0005-0000-0000-0000B01F0000}"/>
    <cellStyle name="20% - Accent3 3 3 2 2 6 2" xfId="41204" xr:uid="{00000000-0005-0000-0000-0000B11F0000}"/>
    <cellStyle name="20% - Accent3 3 3 2 2 7" xfId="28256" xr:uid="{00000000-0005-0000-0000-0000B21F0000}"/>
    <cellStyle name="20% - Accent3 3 3 2 2 8" xfId="54118" xr:uid="{00000000-0005-0000-0000-0000B31F0000}"/>
    <cellStyle name="20% - Accent3 3 3 2 2 9" xfId="2360" xr:uid="{00000000-0005-0000-0000-0000B41F0000}"/>
    <cellStyle name="20% - Accent3 3 3 2 3" xfId="557" xr:uid="{00000000-0005-0000-0000-0000B51F0000}"/>
    <cellStyle name="20% - Accent3 3 3 2 3 2" xfId="4426" xr:uid="{00000000-0005-0000-0000-0000B61F0000}"/>
    <cellStyle name="20% - Accent3 3 3 2 3 2 2" xfId="7657" xr:uid="{00000000-0005-0000-0000-0000B71F0000}"/>
    <cellStyle name="20% - Accent3 3 3 2 3 2 2 2" xfId="14116" xr:uid="{00000000-0005-0000-0000-0000B81F0000}"/>
    <cellStyle name="20% - Accent3 3 3 2 3 2 2 2 2" xfId="27033" xr:uid="{00000000-0005-0000-0000-0000B91F0000}"/>
    <cellStyle name="20% - Accent3 3 3 2 3 2 2 2 2 2" xfId="52907" xr:uid="{00000000-0005-0000-0000-0000BA1F0000}"/>
    <cellStyle name="20% - Accent3 3 3 2 3 2 2 2 3" xfId="39991" xr:uid="{00000000-0005-0000-0000-0000BB1F0000}"/>
    <cellStyle name="20% - Accent3 3 3 2 3 2 2 3" xfId="20575" xr:uid="{00000000-0005-0000-0000-0000BC1F0000}"/>
    <cellStyle name="20% - Accent3 3 3 2 3 2 2 3 2" xfId="46449" xr:uid="{00000000-0005-0000-0000-0000BD1F0000}"/>
    <cellStyle name="20% - Accent3 3 3 2 3 2 2 4" xfId="33533" xr:uid="{00000000-0005-0000-0000-0000BE1F0000}"/>
    <cellStyle name="20% - Accent3 3 3 2 3 2 3" xfId="10888" xr:uid="{00000000-0005-0000-0000-0000BF1F0000}"/>
    <cellStyle name="20% - Accent3 3 3 2 3 2 3 2" xfId="23805" xr:uid="{00000000-0005-0000-0000-0000C01F0000}"/>
    <cellStyle name="20% - Accent3 3 3 2 3 2 3 2 2" xfId="49679" xr:uid="{00000000-0005-0000-0000-0000C11F0000}"/>
    <cellStyle name="20% - Accent3 3 3 2 3 2 3 3" xfId="36763" xr:uid="{00000000-0005-0000-0000-0000C21F0000}"/>
    <cellStyle name="20% - Accent3 3 3 2 3 2 4" xfId="17347" xr:uid="{00000000-0005-0000-0000-0000C31F0000}"/>
    <cellStyle name="20% - Accent3 3 3 2 3 2 4 2" xfId="43221" xr:uid="{00000000-0005-0000-0000-0000C41F0000}"/>
    <cellStyle name="20% - Accent3 3 3 2 3 2 5" xfId="30273" xr:uid="{00000000-0005-0000-0000-0000C51F0000}"/>
    <cellStyle name="20% - Accent3 3 3 2 3 3" xfId="6043" xr:uid="{00000000-0005-0000-0000-0000C61F0000}"/>
    <cellStyle name="20% - Accent3 3 3 2 3 3 2" xfId="12502" xr:uid="{00000000-0005-0000-0000-0000C71F0000}"/>
    <cellStyle name="20% - Accent3 3 3 2 3 3 2 2" xfId="25419" xr:uid="{00000000-0005-0000-0000-0000C81F0000}"/>
    <cellStyle name="20% - Accent3 3 3 2 3 3 2 2 2" xfId="51293" xr:uid="{00000000-0005-0000-0000-0000C91F0000}"/>
    <cellStyle name="20% - Accent3 3 3 2 3 3 2 3" xfId="38377" xr:uid="{00000000-0005-0000-0000-0000CA1F0000}"/>
    <cellStyle name="20% - Accent3 3 3 2 3 3 3" xfId="18961" xr:uid="{00000000-0005-0000-0000-0000CB1F0000}"/>
    <cellStyle name="20% - Accent3 3 3 2 3 3 3 2" xfId="44835" xr:uid="{00000000-0005-0000-0000-0000CC1F0000}"/>
    <cellStyle name="20% - Accent3 3 3 2 3 3 4" xfId="31919" xr:uid="{00000000-0005-0000-0000-0000CD1F0000}"/>
    <cellStyle name="20% - Accent3 3 3 2 3 4" xfId="9274" xr:uid="{00000000-0005-0000-0000-0000CE1F0000}"/>
    <cellStyle name="20% - Accent3 3 3 2 3 4 2" xfId="22191" xr:uid="{00000000-0005-0000-0000-0000CF1F0000}"/>
    <cellStyle name="20% - Accent3 3 3 2 3 4 2 2" xfId="48065" xr:uid="{00000000-0005-0000-0000-0000D01F0000}"/>
    <cellStyle name="20% - Accent3 3 3 2 3 4 3" xfId="35149" xr:uid="{00000000-0005-0000-0000-0000D11F0000}"/>
    <cellStyle name="20% - Accent3 3 3 2 3 5" xfId="15733" xr:uid="{00000000-0005-0000-0000-0000D21F0000}"/>
    <cellStyle name="20% - Accent3 3 3 2 3 5 2" xfId="41607" xr:uid="{00000000-0005-0000-0000-0000D31F0000}"/>
    <cellStyle name="20% - Accent3 3 3 2 3 6" xfId="28659" xr:uid="{00000000-0005-0000-0000-0000D41F0000}"/>
    <cellStyle name="20% - Accent3 3 3 2 3 7" xfId="2769" xr:uid="{00000000-0005-0000-0000-0000D51F0000}"/>
    <cellStyle name="20% - Accent3 3 3 2 4" xfId="3596" xr:uid="{00000000-0005-0000-0000-0000D61F0000}"/>
    <cellStyle name="20% - Accent3 3 3 2 4 2" xfId="6850" xr:uid="{00000000-0005-0000-0000-0000D71F0000}"/>
    <cellStyle name="20% - Accent3 3 3 2 4 2 2" xfId="13309" xr:uid="{00000000-0005-0000-0000-0000D81F0000}"/>
    <cellStyle name="20% - Accent3 3 3 2 4 2 2 2" xfId="26226" xr:uid="{00000000-0005-0000-0000-0000D91F0000}"/>
    <cellStyle name="20% - Accent3 3 3 2 4 2 2 2 2" xfId="52100" xr:uid="{00000000-0005-0000-0000-0000DA1F0000}"/>
    <cellStyle name="20% - Accent3 3 3 2 4 2 2 3" xfId="39184" xr:uid="{00000000-0005-0000-0000-0000DB1F0000}"/>
    <cellStyle name="20% - Accent3 3 3 2 4 2 3" xfId="19768" xr:uid="{00000000-0005-0000-0000-0000DC1F0000}"/>
    <cellStyle name="20% - Accent3 3 3 2 4 2 3 2" xfId="45642" xr:uid="{00000000-0005-0000-0000-0000DD1F0000}"/>
    <cellStyle name="20% - Accent3 3 3 2 4 2 4" xfId="32726" xr:uid="{00000000-0005-0000-0000-0000DE1F0000}"/>
    <cellStyle name="20% - Accent3 3 3 2 4 3" xfId="10081" xr:uid="{00000000-0005-0000-0000-0000DF1F0000}"/>
    <cellStyle name="20% - Accent3 3 3 2 4 3 2" xfId="22998" xr:uid="{00000000-0005-0000-0000-0000E01F0000}"/>
    <cellStyle name="20% - Accent3 3 3 2 4 3 2 2" xfId="48872" xr:uid="{00000000-0005-0000-0000-0000E11F0000}"/>
    <cellStyle name="20% - Accent3 3 3 2 4 3 3" xfId="35956" xr:uid="{00000000-0005-0000-0000-0000E21F0000}"/>
    <cellStyle name="20% - Accent3 3 3 2 4 4" xfId="16540" xr:uid="{00000000-0005-0000-0000-0000E31F0000}"/>
    <cellStyle name="20% - Accent3 3 3 2 4 4 2" xfId="42414" xr:uid="{00000000-0005-0000-0000-0000E41F0000}"/>
    <cellStyle name="20% - Accent3 3 3 2 4 5" xfId="29466" xr:uid="{00000000-0005-0000-0000-0000E51F0000}"/>
    <cellStyle name="20% - Accent3 3 3 2 5" xfId="5236" xr:uid="{00000000-0005-0000-0000-0000E61F0000}"/>
    <cellStyle name="20% - Accent3 3 3 2 5 2" xfId="11695" xr:uid="{00000000-0005-0000-0000-0000E71F0000}"/>
    <cellStyle name="20% - Accent3 3 3 2 5 2 2" xfId="24612" xr:uid="{00000000-0005-0000-0000-0000E81F0000}"/>
    <cellStyle name="20% - Accent3 3 3 2 5 2 2 2" xfId="50486" xr:uid="{00000000-0005-0000-0000-0000E91F0000}"/>
    <cellStyle name="20% - Accent3 3 3 2 5 2 3" xfId="37570" xr:uid="{00000000-0005-0000-0000-0000EA1F0000}"/>
    <cellStyle name="20% - Accent3 3 3 2 5 3" xfId="18154" xr:uid="{00000000-0005-0000-0000-0000EB1F0000}"/>
    <cellStyle name="20% - Accent3 3 3 2 5 3 2" xfId="44028" xr:uid="{00000000-0005-0000-0000-0000EC1F0000}"/>
    <cellStyle name="20% - Accent3 3 3 2 5 4" xfId="31112" xr:uid="{00000000-0005-0000-0000-0000ED1F0000}"/>
    <cellStyle name="20% - Accent3 3 3 2 6" xfId="8467" xr:uid="{00000000-0005-0000-0000-0000EE1F0000}"/>
    <cellStyle name="20% - Accent3 3 3 2 6 2" xfId="21384" xr:uid="{00000000-0005-0000-0000-0000EF1F0000}"/>
    <cellStyle name="20% - Accent3 3 3 2 6 2 2" xfId="47258" xr:uid="{00000000-0005-0000-0000-0000F01F0000}"/>
    <cellStyle name="20% - Accent3 3 3 2 6 3" xfId="34342" xr:uid="{00000000-0005-0000-0000-0000F11F0000}"/>
    <cellStyle name="20% - Accent3 3 3 2 7" xfId="14926" xr:uid="{00000000-0005-0000-0000-0000F21F0000}"/>
    <cellStyle name="20% - Accent3 3 3 2 7 2" xfId="40800" xr:uid="{00000000-0005-0000-0000-0000F31F0000}"/>
    <cellStyle name="20% - Accent3 3 3 2 8" xfId="27851" xr:uid="{00000000-0005-0000-0000-0000F41F0000}"/>
    <cellStyle name="20% - Accent3 3 3 2 9" xfId="53714" xr:uid="{00000000-0005-0000-0000-0000F51F0000}"/>
    <cellStyle name="20% - Accent3 3 3 3" xfId="559" xr:uid="{00000000-0005-0000-0000-0000F61F0000}"/>
    <cellStyle name="20% - Accent3 3 3 3 2" xfId="2978" xr:uid="{00000000-0005-0000-0000-0000F71F0000}"/>
    <cellStyle name="20% - Accent3 3 3 3 2 2" xfId="4635" xr:uid="{00000000-0005-0000-0000-0000F81F0000}"/>
    <cellStyle name="20% - Accent3 3 3 3 2 2 2" xfId="7866" xr:uid="{00000000-0005-0000-0000-0000F91F0000}"/>
    <cellStyle name="20% - Accent3 3 3 3 2 2 2 2" xfId="14325" xr:uid="{00000000-0005-0000-0000-0000FA1F0000}"/>
    <cellStyle name="20% - Accent3 3 3 3 2 2 2 2 2" xfId="27242" xr:uid="{00000000-0005-0000-0000-0000FB1F0000}"/>
    <cellStyle name="20% - Accent3 3 3 3 2 2 2 2 2 2" xfId="53116" xr:uid="{00000000-0005-0000-0000-0000FC1F0000}"/>
    <cellStyle name="20% - Accent3 3 3 3 2 2 2 2 3" xfId="40200" xr:uid="{00000000-0005-0000-0000-0000FD1F0000}"/>
    <cellStyle name="20% - Accent3 3 3 3 2 2 2 3" xfId="20784" xr:uid="{00000000-0005-0000-0000-0000FE1F0000}"/>
    <cellStyle name="20% - Accent3 3 3 3 2 2 2 3 2" xfId="46658" xr:uid="{00000000-0005-0000-0000-0000FF1F0000}"/>
    <cellStyle name="20% - Accent3 3 3 3 2 2 2 4" xfId="33742" xr:uid="{00000000-0005-0000-0000-000000200000}"/>
    <cellStyle name="20% - Accent3 3 3 3 2 2 3" xfId="11097" xr:uid="{00000000-0005-0000-0000-000001200000}"/>
    <cellStyle name="20% - Accent3 3 3 3 2 2 3 2" xfId="24014" xr:uid="{00000000-0005-0000-0000-000002200000}"/>
    <cellStyle name="20% - Accent3 3 3 3 2 2 3 2 2" xfId="49888" xr:uid="{00000000-0005-0000-0000-000003200000}"/>
    <cellStyle name="20% - Accent3 3 3 3 2 2 3 3" xfId="36972" xr:uid="{00000000-0005-0000-0000-000004200000}"/>
    <cellStyle name="20% - Accent3 3 3 3 2 2 4" xfId="17556" xr:uid="{00000000-0005-0000-0000-000005200000}"/>
    <cellStyle name="20% - Accent3 3 3 3 2 2 4 2" xfId="43430" xr:uid="{00000000-0005-0000-0000-000006200000}"/>
    <cellStyle name="20% - Accent3 3 3 3 2 2 5" xfId="30482" xr:uid="{00000000-0005-0000-0000-000007200000}"/>
    <cellStyle name="20% - Accent3 3 3 3 2 3" xfId="6252" xr:uid="{00000000-0005-0000-0000-000008200000}"/>
    <cellStyle name="20% - Accent3 3 3 3 2 3 2" xfId="12711" xr:uid="{00000000-0005-0000-0000-000009200000}"/>
    <cellStyle name="20% - Accent3 3 3 3 2 3 2 2" xfId="25628" xr:uid="{00000000-0005-0000-0000-00000A200000}"/>
    <cellStyle name="20% - Accent3 3 3 3 2 3 2 2 2" xfId="51502" xr:uid="{00000000-0005-0000-0000-00000B200000}"/>
    <cellStyle name="20% - Accent3 3 3 3 2 3 2 3" xfId="38586" xr:uid="{00000000-0005-0000-0000-00000C200000}"/>
    <cellStyle name="20% - Accent3 3 3 3 2 3 3" xfId="19170" xr:uid="{00000000-0005-0000-0000-00000D200000}"/>
    <cellStyle name="20% - Accent3 3 3 3 2 3 3 2" xfId="45044" xr:uid="{00000000-0005-0000-0000-00000E200000}"/>
    <cellStyle name="20% - Accent3 3 3 3 2 3 4" xfId="32128" xr:uid="{00000000-0005-0000-0000-00000F200000}"/>
    <cellStyle name="20% - Accent3 3 3 3 2 4" xfId="9483" xr:uid="{00000000-0005-0000-0000-000010200000}"/>
    <cellStyle name="20% - Accent3 3 3 3 2 4 2" xfId="22400" xr:uid="{00000000-0005-0000-0000-000011200000}"/>
    <cellStyle name="20% - Accent3 3 3 3 2 4 2 2" xfId="48274" xr:uid="{00000000-0005-0000-0000-000012200000}"/>
    <cellStyle name="20% - Accent3 3 3 3 2 4 3" xfId="35358" xr:uid="{00000000-0005-0000-0000-000013200000}"/>
    <cellStyle name="20% - Accent3 3 3 3 2 5" xfId="15942" xr:uid="{00000000-0005-0000-0000-000014200000}"/>
    <cellStyle name="20% - Accent3 3 3 3 2 5 2" xfId="41816" xr:uid="{00000000-0005-0000-0000-000015200000}"/>
    <cellStyle name="20% - Accent3 3 3 3 2 6" xfId="28868" xr:uid="{00000000-0005-0000-0000-000016200000}"/>
    <cellStyle name="20% - Accent3 3 3 3 3" xfId="3805" xr:uid="{00000000-0005-0000-0000-000017200000}"/>
    <cellStyle name="20% - Accent3 3 3 3 3 2" xfId="7059" xr:uid="{00000000-0005-0000-0000-000018200000}"/>
    <cellStyle name="20% - Accent3 3 3 3 3 2 2" xfId="13518" xr:uid="{00000000-0005-0000-0000-000019200000}"/>
    <cellStyle name="20% - Accent3 3 3 3 3 2 2 2" xfId="26435" xr:uid="{00000000-0005-0000-0000-00001A200000}"/>
    <cellStyle name="20% - Accent3 3 3 3 3 2 2 2 2" xfId="52309" xr:uid="{00000000-0005-0000-0000-00001B200000}"/>
    <cellStyle name="20% - Accent3 3 3 3 3 2 2 3" xfId="39393" xr:uid="{00000000-0005-0000-0000-00001C200000}"/>
    <cellStyle name="20% - Accent3 3 3 3 3 2 3" xfId="19977" xr:uid="{00000000-0005-0000-0000-00001D200000}"/>
    <cellStyle name="20% - Accent3 3 3 3 3 2 3 2" xfId="45851" xr:uid="{00000000-0005-0000-0000-00001E200000}"/>
    <cellStyle name="20% - Accent3 3 3 3 3 2 4" xfId="32935" xr:uid="{00000000-0005-0000-0000-00001F200000}"/>
    <cellStyle name="20% - Accent3 3 3 3 3 3" xfId="10290" xr:uid="{00000000-0005-0000-0000-000020200000}"/>
    <cellStyle name="20% - Accent3 3 3 3 3 3 2" xfId="23207" xr:uid="{00000000-0005-0000-0000-000021200000}"/>
    <cellStyle name="20% - Accent3 3 3 3 3 3 2 2" xfId="49081" xr:uid="{00000000-0005-0000-0000-000022200000}"/>
    <cellStyle name="20% - Accent3 3 3 3 3 3 3" xfId="36165" xr:uid="{00000000-0005-0000-0000-000023200000}"/>
    <cellStyle name="20% - Accent3 3 3 3 3 4" xfId="16749" xr:uid="{00000000-0005-0000-0000-000024200000}"/>
    <cellStyle name="20% - Accent3 3 3 3 3 4 2" xfId="42623" xr:uid="{00000000-0005-0000-0000-000025200000}"/>
    <cellStyle name="20% - Accent3 3 3 3 3 5" xfId="29675" xr:uid="{00000000-0005-0000-0000-000026200000}"/>
    <cellStyle name="20% - Accent3 3 3 3 4" xfId="5445" xr:uid="{00000000-0005-0000-0000-000027200000}"/>
    <cellStyle name="20% - Accent3 3 3 3 4 2" xfId="11904" xr:uid="{00000000-0005-0000-0000-000028200000}"/>
    <cellStyle name="20% - Accent3 3 3 3 4 2 2" xfId="24821" xr:uid="{00000000-0005-0000-0000-000029200000}"/>
    <cellStyle name="20% - Accent3 3 3 3 4 2 2 2" xfId="50695" xr:uid="{00000000-0005-0000-0000-00002A200000}"/>
    <cellStyle name="20% - Accent3 3 3 3 4 2 3" xfId="37779" xr:uid="{00000000-0005-0000-0000-00002B200000}"/>
    <cellStyle name="20% - Accent3 3 3 3 4 3" xfId="18363" xr:uid="{00000000-0005-0000-0000-00002C200000}"/>
    <cellStyle name="20% - Accent3 3 3 3 4 3 2" xfId="44237" xr:uid="{00000000-0005-0000-0000-00002D200000}"/>
    <cellStyle name="20% - Accent3 3 3 3 4 4" xfId="31321" xr:uid="{00000000-0005-0000-0000-00002E200000}"/>
    <cellStyle name="20% - Accent3 3 3 3 5" xfId="8676" xr:uid="{00000000-0005-0000-0000-00002F200000}"/>
    <cellStyle name="20% - Accent3 3 3 3 5 2" xfId="21593" xr:uid="{00000000-0005-0000-0000-000030200000}"/>
    <cellStyle name="20% - Accent3 3 3 3 5 2 2" xfId="47467" xr:uid="{00000000-0005-0000-0000-000031200000}"/>
    <cellStyle name="20% - Accent3 3 3 3 5 3" xfId="34551" xr:uid="{00000000-0005-0000-0000-000032200000}"/>
    <cellStyle name="20% - Accent3 3 3 3 6" xfId="15135" xr:uid="{00000000-0005-0000-0000-000033200000}"/>
    <cellStyle name="20% - Accent3 3 3 3 6 2" xfId="41009" xr:uid="{00000000-0005-0000-0000-000034200000}"/>
    <cellStyle name="20% - Accent3 3 3 3 7" xfId="28061" xr:uid="{00000000-0005-0000-0000-000035200000}"/>
    <cellStyle name="20% - Accent3 3 3 3 8" xfId="53923" xr:uid="{00000000-0005-0000-0000-000036200000}"/>
    <cellStyle name="20% - Accent3 3 3 3 9" xfId="2164" xr:uid="{00000000-0005-0000-0000-000037200000}"/>
    <cellStyle name="20% - Accent3 3 3 4" xfId="556" xr:uid="{00000000-0005-0000-0000-000038200000}"/>
    <cellStyle name="20% - Accent3 3 3 4 2" xfId="4232" xr:uid="{00000000-0005-0000-0000-000039200000}"/>
    <cellStyle name="20% - Accent3 3 3 4 2 2" xfId="7463" xr:uid="{00000000-0005-0000-0000-00003A200000}"/>
    <cellStyle name="20% - Accent3 3 3 4 2 2 2" xfId="13922" xr:uid="{00000000-0005-0000-0000-00003B200000}"/>
    <cellStyle name="20% - Accent3 3 3 4 2 2 2 2" xfId="26839" xr:uid="{00000000-0005-0000-0000-00003C200000}"/>
    <cellStyle name="20% - Accent3 3 3 4 2 2 2 2 2" xfId="52713" xr:uid="{00000000-0005-0000-0000-00003D200000}"/>
    <cellStyle name="20% - Accent3 3 3 4 2 2 2 3" xfId="39797" xr:uid="{00000000-0005-0000-0000-00003E200000}"/>
    <cellStyle name="20% - Accent3 3 3 4 2 2 3" xfId="20381" xr:uid="{00000000-0005-0000-0000-00003F200000}"/>
    <cellStyle name="20% - Accent3 3 3 4 2 2 3 2" xfId="46255" xr:uid="{00000000-0005-0000-0000-000040200000}"/>
    <cellStyle name="20% - Accent3 3 3 4 2 2 4" xfId="33339" xr:uid="{00000000-0005-0000-0000-000041200000}"/>
    <cellStyle name="20% - Accent3 3 3 4 2 3" xfId="10694" xr:uid="{00000000-0005-0000-0000-000042200000}"/>
    <cellStyle name="20% - Accent3 3 3 4 2 3 2" xfId="23611" xr:uid="{00000000-0005-0000-0000-000043200000}"/>
    <cellStyle name="20% - Accent3 3 3 4 2 3 2 2" xfId="49485" xr:uid="{00000000-0005-0000-0000-000044200000}"/>
    <cellStyle name="20% - Accent3 3 3 4 2 3 3" xfId="36569" xr:uid="{00000000-0005-0000-0000-000045200000}"/>
    <cellStyle name="20% - Accent3 3 3 4 2 4" xfId="17153" xr:uid="{00000000-0005-0000-0000-000046200000}"/>
    <cellStyle name="20% - Accent3 3 3 4 2 4 2" xfId="43027" xr:uid="{00000000-0005-0000-0000-000047200000}"/>
    <cellStyle name="20% - Accent3 3 3 4 2 5" xfId="30079" xr:uid="{00000000-0005-0000-0000-000048200000}"/>
    <cellStyle name="20% - Accent3 3 3 4 3" xfId="5849" xr:uid="{00000000-0005-0000-0000-000049200000}"/>
    <cellStyle name="20% - Accent3 3 3 4 3 2" xfId="12308" xr:uid="{00000000-0005-0000-0000-00004A200000}"/>
    <cellStyle name="20% - Accent3 3 3 4 3 2 2" xfId="25225" xr:uid="{00000000-0005-0000-0000-00004B200000}"/>
    <cellStyle name="20% - Accent3 3 3 4 3 2 2 2" xfId="51099" xr:uid="{00000000-0005-0000-0000-00004C200000}"/>
    <cellStyle name="20% - Accent3 3 3 4 3 2 3" xfId="38183" xr:uid="{00000000-0005-0000-0000-00004D200000}"/>
    <cellStyle name="20% - Accent3 3 3 4 3 3" xfId="18767" xr:uid="{00000000-0005-0000-0000-00004E200000}"/>
    <cellStyle name="20% - Accent3 3 3 4 3 3 2" xfId="44641" xr:uid="{00000000-0005-0000-0000-00004F200000}"/>
    <cellStyle name="20% - Accent3 3 3 4 3 4" xfId="31725" xr:uid="{00000000-0005-0000-0000-000050200000}"/>
    <cellStyle name="20% - Accent3 3 3 4 4" xfId="9080" xr:uid="{00000000-0005-0000-0000-000051200000}"/>
    <cellStyle name="20% - Accent3 3 3 4 4 2" xfId="21997" xr:uid="{00000000-0005-0000-0000-000052200000}"/>
    <cellStyle name="20% - Accent3 3 3 4 4 2 2" xfId="47871" xr:uid="{00000000-0005-0000-0000-000053200000}"/>
    <cellStyle name="20% - Accent3 3 3 4 4 3" xfId="34955" xr:uid="{00000000-0005-0000-0000-000054200000}"/>
    <cellStyle name="20% - Accent3 3 3 4 5" xfId="15539" xr:uid="{00000000-0005-0000-0000-000055200000}"/>
    <cellStyle name="20% - Accent3 3 3 4 5 2" xfId="41413" xr:uid="{00000000-0005-0000-0000-000056200000}"/>
    <cellStyle name="20% - Accent3 3 3 4 6" xfId="28465" xr:uid="{00000000-0005-0000-0000-000057200000}"/>
    <cellStyle name="20% - Accent3 3 3 4 7" xfId="2575" xr:uid="{00000000-0005-0000-0000-000058200000}"/>
    <cellStyle name="20% - Accent3 3 3 5" xfId="3401" xr:uid="{00000000-0005-0000-0000-000059200000}"/>
    <cellStyle name="20% - Accent3 3 3 5 2" xfId="6656" xr:uid="{00000000-0005-0000-0000-00005A200000}"/>
    <cellStyle name="20% - Accent3 3 3 5 2 2" xfId="13115" xr:uid="{00000000-0005-0000-0000-00005B200000}"/>
    <cellStyle name="20% - Accent3 3 3 5 2 2 2" xfId="26032" xr:uid="{00000000-0005-0000-0000-00005C200000}"/>
    <cellStyle name="20% - Accent3 3 3 5 2 2 2 2" xfId="51906" xr:uid="{00000000-0005-0000-0000-00005D200000}"/>
    <cellStyle name="20% - Accent3 3 3 5 2 2 3" xfId="38990" xr:uid="{00000000-0005-0000-0000-00005E200000}"/>
    <cellStyle name="20% - Accent3 3 3 5 2 3" xfId="19574" xr:uid="{00000000-0005-0000-0000-00005F200000}"/>
    <cellStyle name="20% - Accent3 3 3 5 2 3 2" xfId="45448" xr:uid="{00000000-0005-0000-0000-000060200000}"/>
    <cellStyle name="20% - Accent3 3 3 5 2 4" xfId="32532" xr:uid="{00000000-0005-0000-0000-000061200000}"/>
    <cellStyle name="20% - Accent3 3 3 5 3" xfId="9887" xr:uid="{00000000-0005-0000-0000-000062200000}"/>
    <cellStyle name="20% - Accent3 3 3 5 3 2" xfId="22804" xr:uid="{00000000-0005-0000-0000-000063200000}"/>
    <cellStyle name="20% - Accent3 3 3 5 3 2 2" xfId="48678" xr:uid="{00000000-0005-0000-0000-000064200000}"/>
    <cellStyle name="20% - Accent3 3 3 5 3 3" xfId="35762" xr:uid="{00000000-0005-0000-0000-000065200000}"/>
    <cellStyle name="20% - Accent3 3 3 5 4" xfId="16346" xr:uid="{00000000-0005-0000-0000-000066200000}"/>
    <cellStyle name="20% - Accent3 3 3 5 4 2" xfId="42220" xr:uid="{00000000-0005-0000-0000-000067200000}"/>
    <cellStyle name="20% - Accent3 3 3 5 5" xfId="29272" xr:uid="{00000000-0005-0000-0000-000068200000}"/>
    <cellStyle name="20% - Accent3 3 3 6" xfId="5042" xr:uid="{00000000-0005-0000-0000-000069200000}"/>
    <cellStyle name="20% - Accent3 3 3 6 2" xfId="11501" xr:uid="{00000000-0005-0000-0000-00006A200000}"/>
    <cellStyle name="20% - Accent3 3 3 6 2 2" xfId="24418" xr:uid="{00000000-0005-0000-0000-00006B200000}"/>
    <cellStyle name="20% - Accent3 3 3 6 2 2 2" xfId="50292" xr:uid="{00000000-0005-0000-0000-00006C200000}"/>
    <cellStyle name="20% - Accent3 3 3 6 2 3" xfId="37376" xr:uid="{00000000-0005-0000-0000-00006D200000}"/>
    <cellStyle name="20% - Accent3 3 3 6 3" xfId="17960" xr:uid="{00000000-0005-0000-0000-00006E200000}"/>
    <cellStyle name="20% - Accent3 3 3 6 3 2" xfId="43834" xr:uid="{00000000-0005-0000-0000-00006F200000}"/>
    <cellStyle name="20% - Accent3 3 3 6 4" xfId="30918" xr:uid="{00000000-0005-0000-0000-000070200000}"/>
    <cellStyle name="20% - Accent3 3 3 7" xfId="8272" xr:uid="{00000000-0005-0000-0000-000071200000}"/>
    <cellStyle name="20% - Accent3 3 3 7 2" xfId="21189" xr:uid="{00000000-0005-0000-0000-000072200000}"/>
    <cellStyle name="20% - Accent3 3 3 7 2 2" xfId="47063" xr:uid="{00000000-0005-0000-0000-000073200000}"/>
    <cellStyle name="20% - Accent3 3 3 7 3" xfId="34147" xr:uid="{00000000-0005-0000-0000-000074200000}"/>
    <cellStyle name="20% - Accent3 3 3 8" xfId="14731" xr:uid="{00000000-0005-0000-0000-000075200000}"/>
    <cellStyle name="20% - Accent3 3 3 8 2" xfId="40605" xr:uid="{00000000-0005-0000-0000-000076200000}"/>
    <cellStyle name="20% - Accent3 3 3 9" xfId="27655" xr:uid="{00000000-0005-0000-0000-000077200000}"/>
    <cellStyle name="20% - Accent3 3 4" xfId="221" xr:uid="{00000000-0005-0000-0000-000078200000}"/>
    <cellStyle name="20% - Accent3 3 4 2" xfId="412" xr:uid="{00000000-0005-0000-0000-000079200000}"/>
    <cellStyle name="20% - Accent3 3 4 2 2" xfId="562" xr:uid="{00000000-0005-0000-0000-00007A200000}"/>
    <cellStyle name="20% - Accent3 3 4 2 3" xfId="561" xr:uid="{00000000-0005-0000-0000-00007B200000}"/>
    <cellStyle name="20% - Accent3 3 4 3" xfId="563" xr:uid="{00000000-0005-0000-0000-00007C200000}"/>
    <cellStyle name="20% - Accent3 3 4 4" xfId="560" xr:uid="{00000000-0005-0000-0000-00007D200000}"/>
    <cellStyle name="20% - Accent3 3 4 5" xfId="1664" xr:uid="{00000000-0005-0000-0000-00007E200000}"/>
    <cellStyle name="20% - Accent3 3 5" xfId="375" xr:uid="{00000000-0005-0000-0000-00007F200000}"/>
    <cellStyle name="20% - Accent3 3 5 10" xfId="53502" xr:uid="{00000000-0005-0000-0000-000080200000}"/>
    <cellStyle name="20% - Accent3 3 5 11" xfId="1575" xr:uid="{00000000-0005-0000-0000-000081200000}"/>
    <cellStyle name="20% - Accent3 3 5 2" xfId="565" xr:uid="{00000000-0005-0000-0000-000082200000}"/>
    <cellStyle name="20% - Accent3 3 5 2 10" xfId="1911" xr:uid="{00000000-0005-0000-0000-000083200000}"/>
    <cellStyle name="20% - Accent3 3 5 2 2" xfId="2342" xr:uid="{00000000-0005-0000-0000-000084200000}"/>
    <cellStyle name="20% - Accent3 3 5 2 2 2" xfId="3155" xr:uid="{00000000-0005-0000-0000-000085200000}"/>
    <cellStyle name="20% - Accent3 3 5 2 2 2 2" xfId="4812" xr:uid="{00000000-0005-0000-0000-000086200000}"/>
    <cellStyle name="20% - Accent3 3 5 2 2 2 2 2" xfId="8043" xr:uid="{00000000-0005-0000-0000-000087200000}"/>
    <cellStyle name="20% - Accent3 3 5 2 2 2 2 2 2" xfId="14502" xr:uid="{00000000-0005-0000-0000-000088200000}"/>
    <cellStyle name="20% - Accent3 3 5 2 2 2 2 2 2 2" xfId="27419" xr:uid="{00000000-0005-0000-0000-000089200000}"/>
    <cellStyle name="20% - Accent3 3 5 2 2 2 2 2 2 2 2" xfId="53293" xr:uid="{00000000-0005-0000-0000-00008A200000}"/>
    <cellStyle name="20% - Accent3 3 5 2 2 2 2 2 2 3" xfId="40377" xr:uid="{00000000-0005-0000-0000-00008B200000}"/>
    <cellStyle name="20% - Accent3 3 5 2 2 2 2 2 3" xfId="20961" xr:uid="{00000000-0005-0000-0000-00008C200000}"/>
    <cellStyle name="20% - Accent3 3 5 2 2 2 2 2 3 2" xfId="46835" xr:uid="{00000000-0005-0000-0000-00008D200000}"/>
    <cellStyle name="20% - Accent3 3 5 2 2 2 2 2 4" xfId="33919" xr:uid="{00000000-0005-0000-0000-00008E200000}"/>
    <cellStyle name="20% - Accent3 3 5 2 2 2 2 3" xfId="11274" xr:uid="{00000000-0005-0000-0000-00008F200000}"/>
    <cellStyle name="20% - Accent3 3 5 2 2 2 2 3 2" xfId="24191" xr:uid="{00000000-0005-0000-0000-000090200000}"/>
    <cellStyle name="20% - Accent3 3 5 2 2 2 2 3 2 2" xfId="50065" xr:uid="{00000000-0005-0000-0000-000091200000}"/>
    <cellStyle name="20% - Accent3 3 5 2 2 2 2 3 3" xfId="37149" xr:uid="{00000000-0005-0000-0000-000092200000}"/>
    <cellStyle name="20% - Accent3 3 5 2 2 2 2 4" xfId="17733" xr:uid="{00000000-0005-0000-0000-000093200000}"/>
    <cellStyle name="20% - Accent3 3 5 2 2 2 2 4 2" xfId="43607" xr:uid="{00000000-0005-0000-0000-000094200000}"/>
    <cellStyle name="20% - Accent3 3 5 2 2 2 2 5" xfId="30659" xr:uid="{00000000-0005-0000-0000-000095200000}"/>
    <cellStyle name="20% - Accent3 3 5 2 2 2 3" xfId="6429" xr:uid="{00000000-0005-0000-0000-000096200000}"/>
    <cellStyle name="20% - Accent3 3 5 2 2 2 3 2" xfId="12888" xr:uid="{00000000-0005-0000-0000-000097200000}"/>
    <cellStyle name="20% - Accent3 3 5 2 2 2 3 2 2" xfId="25805" xr:uid="{00000000-0005-0000-0000-000098200000}"/>
    <cellStyle name="20% - Accent3 3 5 2 2 2 3 2 2 2" xfId="51679" xr:uid="{00000000-0005-0000-0000-000099200000}"/>
    <cellStyle name="20% - Accent3 3 5 2 2 2 3 2 3" xfId="38763" xr:uid="{00000000-0005-0000-0000-00009A200000}"/>
    <cellStyle name="20% - Accent3 3 5 2 2 2 3 3" xfId="19347" xr:uid="{00000000-0005-0000-0000-00009B200000}"/>
    <cellStyle name="20% - Accent3 3 5 2 2 2 3 3 2" xfId="45221" xr:uid="{00000000-0005-0000-0000-00009C200000}"/>
    <cellStyle name="20% - Accent3 3 5 2 2 2 3 4" xfId="32305" xr:uid="{00000000-0005-0000-0000-00009D200000}"/>
    <cellStyle name="20% - Accent3 3 5 2 2 2 4" xfId="9660" xr:uid="{00000000-0005-0000-0000-00009E200000}"/>
    <cellStyle name="20% - Accent3 3 5 2 2 2 4 2" xfId="22577" xr:uid="{00000000-0005-0000-0000-00009F200000}"/>
    <cellStyle name="20% - Accent3 3 5 2 2 2 4 2 2" xfId="48451" xr:uid="{00000000-0005-0000-0000-0000A0200000}"/>
    <cellStyle name="20% - Accent3 3 5 2 2 2 4 3" xfId="35535" xr:uid="{00000000-0005-0000-0000-0000A1200000}"/>
    <cellStyle name="20% - Accent3 3 5 2 2 2 5" xfId="16119" xr:uid="{00000000-0005-0000-0000-0000A2200000}"/>
    <cellStyle name="20% - Accent3 3 5 2 2 2 5 2" xfId="41993" xr:uid="{00000000-0005-0000-0000-0000A3200000}"/>
    <cellStyle name="20% - Accent3 3 5 2 2 2 6" xfId="29045" xr:uid="{00000000-0005-0000-0000-0000A4200000}"/>
    <cellStyle name="20% - Accent3 3 5 2 2 3" xfId="3982" xr:uid="{00000000-0005-0000-0000-0000A5200000}"/>
    <cellStyle name="20% - Accent3 3 5 2 2 3 2" xfId="7236" xr:uid="{00000000-0005-0000-0000-0000A6200000}"/>
    <cellStyle name="20% - Accent3 3 5 2 2 3 2 2" xfId="13695" xr:uid="{00000000-0005-0000-0000-0000A7200000}"/>
    <cellStyle name="20% - Accent3 3 5 2 2 3 2 2 2" xfId="26612" xr:uid="{00000000-0005-0000-0000-0000A8200000}"/>
    <cellStyle name="20% - Accent3 3 5 2 2 3 2 2 2 2" xfId="52486" xr:uid="{00000000-0005-0000-0000-0000A9200000}"/>
    <cellStyle name="20% - Accent3 3 5 2 2 3 2 2 3" xfId="39570" xr:uid="{00000000-0005-0000-0000-0000AA200000}"/>
    <cellStyle name="20% - Accent3 3 5 2 2 3 2 3" xfId="20154" xr:uid="{00000000-0005-0000-0000-0000AB200000}"/>
    <cellStyle name="20% - Accent3 3 5 2 2 3 2 3 2" xfId="46028" xr:uid="{00000000-0005-0000-0000-0000AC200000}"/>
    <cellStyle name="20% - Accent3 3 5 2 2 3 2 4" xfId="33112" xr:uid="{00000000-0005-0000-0000-0000AD200000}"/>
    <cellStyle name="20% - Accent3 3 5 2 2 3 3" xfId="10467" xr:uid="{00000000-0005-0000-0000-0000AE200000}"/>
    <cellStyle name="20% - Accent3 3 5 2 2 3 3 2" xfId="23384" xr:uid="{00000000-0005-0000-0000-0000AF200000}"/>
    <cellStyle name="20% - Accent3 3 5 2 2 3 3 2 2" xfId="49258" xr:uid="{00000000-0005-0000-0000-0000B0200000}"/>
    <cellStyle name="20% - Accent3 3 5 2 2 3 3 3" xfId="36342" xr:uid="{00000000-0005-0000-0000-0000B1200000}"/>
    <cellStyle name="20% - Accent3 3 5 2 2 3 4" xfId="16926" xr:uid="{00000000-0005-0000-0000-0000B2200000}"/>
    <cellStyle name="20% - Accent3 3 5 2 2 3 4 2" xfId="42800" xr:uid="{00000000-0005-0000-0000-0000B3200000}"/>
    <cellStyle name="20% - Accent3 3 5 2 2 3 5" xfId="29852" xr:uid="{00000000-0005-0000-0000-0000B4200000}"/>
    <cellStyle name="20% - Accent3 3 5 2 2 4" xfId="5622" xr:uid="{00000000-0005-0000-0000-0000B5200000}"/>
    <cellStyle name="20% - Accent3 3 5 2 2 4 2" xfId="12081" xr:uid="{00000000-0005-0000-0000-0000B6200000}"/>
    <cellStyle name="20% - Accent3 3 5 2 2 4 2 2" xfId="24998" xr:uid="{00000000-0005-0000-0000-0000B7200000}"/>
    <cellStyle name="20% - Accent3 3 5 2 2 4 2 2 2" xfId="50872" xr:uid="{00000000-0005-0000-0000-0000B8200000}"/>
    <cellStyle name="20% - Accent3 3 5 2 2 4 2 3" xfId="37956" xr:uid="{00000000-0005-0000-0000-0000B9200000}"/>
    <cellStyle name="20% - Accent3 3 5 2 2 4 3" xfId="18540" xr:uid="{00000000-0005-0000-0000-0000BA200000}"/>
    <cellStyle name="20% - Accent3 3 5 2 2 4 3 2" xfId="44414" xr:uid="{00000000-0005-0000-0000-0000BB200000}"/>
    <cellStyle name="20% - Accent3 3 5 2 2 4 4" xfId="31498" xr:uid="{00000000-0005-0000-0000-0000BC200000}"/>
    <cellStyle name="20% - Accent3 3 5 2 2 5" xfId="8853" xr:uid="{00000000-0005-0000-0000-0000BD200000}"/>
    <cellStyle name="20% - Accent3 3 5 2 2 5 2" xfId="21770" xr:uid="{00000000-0005-0000-0000-0000BE200000}"/>
    <cellStyle name="20% - Accent3 3 5 2 2 5 2 2" xfId="47644" xr:uid="{00000000-0005-0000-0000-0000BF200000}"/>
    <cellStyle name="20% - Accent3 3 5 2 2 5 3" xfId="34728" xr:uid="{00000000-0005-0000-0000-0000C0200000}"/>
    <cellStyle name="20% - Accent3 3 5 2 2 6" xfId="15312" xr:uid="{00000000-0005-0000-0000-0000C1200000}"/>
    <cellStyle name="20% - Accent3 3 5 2 2 6 2" xfId="41186" xr:uid="{00000000-0005-0000-0000-0000C2200000}"/>
    <cellStyle name="20% - Accent3 3 5 2 2 7" xfId="28238" xr:uid="{00000000-0005-0000-0000-0000C3200000}"/>
    <cellStyle name="20% - Accent3 3 5 2 2 8" xfId="54100" xr:uid="{00000000-0005-0000-0000-0000C4200000}"/>
    <cellStyle name="20% - Accent3 3 5 2 3" xfId="2751" xr:uid="{00000000-0005-0000-0000-0000C5200000}"/>
    <cellStyle name="20% - Accent3 3 5 2 3 2" xfId="4408" xr:uid="{00000000-0005-0000-0000-0000C6200000}"/>
    <cellStyle name="20% - Accent3 3 5 2 3 2 2" xfId="7639" xr:uid="{00000000-0005-0000-0000-0000C7200000}"/>
    <cellStyle name="20% - Accent3 3 5 2 3 2 2 2" xfId="14098" xr:uid="{00000000-0005-0000-0000-0000C8200000}"/>
    <cellStyle name="20% - Accent3 3 5 2 3 2 2 2 2" xfId="27015" xr:uid="{00000000-0005-0000-0000-0000C9200000}"/>
    <cellStyle name="20% - Accent3 3 5 2 3 2 2 2 2 2" xfId="52889" xr:uid="{00000000-0005-0000-0000-0000CA200000}"/>
    <cellStyle name="20% - Accent3 3 5 2 3 2 2 2 3" xfId="39973" xr:uid="{00000000-0005-0000-0000-0000CB200000}"/>
    <cellStyle name="20% - Accent3 3 5 2 3 2 2 3" xfId="20557" xr:uid="{00000000-0005-0000-0000-0000CC200000}"/>
    <cellStyle name="20% - Accent3 3 5 2 3 2 2 3 2" xfId="46431" xr:uid="{00000000-0005-0000-0000-0000CD200000}"/>
    <cellStyle name="20% - Accent3 3 5 2 3 2 2 4" xfId="33515" xr:uid="{00000000-0005-0000-0000-0000CE200000}"/>
    <cellStyle name="20% - Accent3 3 5 2 3 2 3" xfId="10870" xr:uid="{00000000-0005-0000-0000-0000CF200000}"/>
    <cellStyle name="20% - Accent3 3 5 2 3 2 3 2" xfId="23787" xr:uid="{00000000-0005-0000-0000-0000D0200000}"/>
    <cellStyle name="20% - Accent3 3 5 2 3 2 3 2 2" xfId="49661" xr:uid="{00000000-0005-0000-0000-0000D1200000}"/>
    <cellStyle name="20% - Accent3 3 5 2 3 2 3 3" xfId="36745" xr:uid="{00000000-0005-0000-0000-0000D2200000}"/>
    <cellStyle name="20% - Accent3 3 5 2 3 2 4" xfId="17329" xr:uid="{00000000-0005-0000-0000-0000D3200000}"/>
    <cellStyle name="20% - Accent3 3 5 2 3 2 4 2" xfId="43203" xr:uid="{00000000-0005-0000-0000-0000D4200000}"/>
    <cellStyle name="20% - Accent3 3 5 2 3 2 5" xfId="30255" xr:uid="{00000000-0005-0000-0000-0000D5200000}"/>
    <cellStyle name="20% - Accent3 3 5 2 3 3" xfId="6025" xr:uid="{00000000-0005-0000-0000-0000D6200000}"/>
    <cellStyle name="20% - Accent3 3 5 2 3 3 2" xfId="12484" xr:uid="{00000000-0005-0000-0000-0000D7200000}"/>
    <cellStyle name="20% - Accent3 3 5 2 3 3 2 2" xfId="25401" xr:uid="{00000000-0005-0000-0000-0000D8200000}"/>
    <cellStyle name="20% - Accent3 3 5 2 3 3 2 2 2" xfId="51275" xr:uid="{00000000-0005-0000-0000-0000D9200000}"/>
    <cellStyle name="20% - Accent3 3 5 2 3 3 2 3" xfId="38359" xr:uid="{00000000-0005-0000-0000-0000DA200000}"/>
    <cellStyle name="20% - Accent3 3 5 2 3 3 3" xfId="18943" xr:uid="{00000000-0005-0000-0000-0000DB200000}"/>
    <cellStyle name="20% - Accent3 3 5 2 3 3 3 2" xfId="44817" xr:uid="{00000000-0005-0000-0000-0000DC200000}"/>
    <cellStyle name="20% - Accent3 3 5 2 3 3 4" xfId="31901" xr:uid="{00000000-0005-0000-0000-0000DD200000}"/>
    <cellStyle name="20% - Accent3 3 5 2 3 4" xfId="9256" xr:uid="{00000000-0005-0000-0000-0000DE200000}"/>
    <cellStyle name="20% - Accent3 3 5 2 3 4 2" xfId="22173" xr:uid="{00000000-0005-0000-0000-0000DF200000}"/>
    <cellStyle name="20% - Accent3 3 5 2 3 4 2 2" xfId="48047" xr:uid="{00000000-0005-0000-0000-0000E0200000}"/>
    <cellStyle name="20% - Accent3 3 5 2 3 4 3" xfId="35131" xr:uid="{00000000-0005-0000-0000-0000E1200000}"/>
    <cellStyle name="20% - Accent3 3 5 2 3 5" xfId="15715" xr:uid="{00000000-0005-0000-0000-0000E2200000}"/>
    <cellStyle name="20% - Accent3 3 5 2 3 5 2" xfId="41589" xr:uid="{00000000-0005-0000-0000-0000E3200000}"/>
    <cellStyle name="20% - Accent3 3 5 2 3 6" xfId="28641" xr:uid="{00000000-0005-0000-0000-0000E4200000}"/>
    <cellStyle name="20% - Accent3 3 5 2 4" xfId="3578" xr:uid="{00000000-0005-0000-0000-0000E5200000}"/>
    <cellStyle name="20% - Accent3 3 5 2 4 2" xfId="6832" xr:uid="{00000000-0005-0000-0000-0000E6200000}"/>
    <cellStyle name="20% - Accent3 3 5 2 4 2 2" xfId="13291" xr:uid="{00000000-0005-0000-0000-0000E7200000}"/>
    <cellStyle name="20% - Accent3 3 5 2 4 2 2 2" xfId="26208" xr:uid="{00000000-0005-0000-0000-0000E8200000}"/>
    <cellStyle name="20% - Accent3 3 5 2 4 2 2 2 2" xfId="52082" xr:uid="{00000000-0005-0000-0000-0000E9200000}"/>
    <cellStyle name="20% - Accent3 3 5 2 4 2 2 3" xfId="39166" xr:uid="{00000000-0005-0000-0000-0000EA200000}"/>
    <cellStyle name="20% - Accent3 3 5 2 4 2 3" xfId="19750" xr:uid="{00000000-0005-0000-0000-0000EB200000}"/>
    <cellStyle name="20% - Accent3 3 5 2 4 2 3 2" xfId="45624" xr:uid="{00000000-0005-0000-0000-0000EC200000}"/>
    <cellStyle name="20% - Accent3 3 5 2 4 2 4" xfId="32708" xr:uid="{00000000-0005-0000-0000-0000ED200000}"/>
    <cellStyle name="20% - Accent3 3 5 2 4 3" xfId="10063" xr:uid="{00000000-0005-0000-0000-0000EE200000}"/>
    <cellStyle name="20% - Accent3 3 5 2 4 3 2" xfId="22980" xr:uid="{00000000-0005-0000-0000-0000EF200000}"/>
    <cellStyle name="20% - Accent3 3 5 2 4 3 2 2" xfId="48854" xr:uid="{00000000-0005-0000-0000-0000F0200000}"/>
    <cellStyle name="20% - Accent3 3 5 2 4 3 3" xfId="35938" xr:uid="{00000000-0005-0000-0000-0000F1200000}"/>
    <cellStyle name="20% - Accent3 3 5 2 4 4" xfId="16522" xr:uid="{00000000-0005-0000-0000-0000F2200000}"/>
    <cellStyle name="20% - Accent3 3 5 2 4 4 2" xfId="42396" xr:uid="{00000000-0005-0000-0000-0000F3200000}"/>
    <cellStyle name="20% - Accent3 3 5 2 4 5" xfId="29448" xr:uid="{00000000-0005-0000-0000-0000F4200000}"/>
    <cellStyle name="20% - Accent3 3 5 2 5" xfId="5218" xr:uid="{00000000-0005-0000-0000-0000F5200000}"/>
    <cellStyle name="20% - Accent3 3 5 2 5 2" xfId="11677" xr:uid="{00000000-0005-0000-0000-0000F6200000}"/>
    <cellStyle name="20% - Accent3 3 5 2 5 2 2" xfId="24594" xr:uid="{00000000-0005-0000-0000-0000F7200000}"/>
    <cellStyle name="20% - Accent3 3 5 2 5 2 2 2" xfId="50468" xr:uid="{00000000-0005-0000-0000-0000F8200000}"/>
    <cellStyle name="20% - Accent3 3 5 2 5 2 3" xfId="37552" xr:uid="{00000000-0005-0000-0000-0000F9200000}"/>
    <cellStyle name="20% - Accent3 3 5 2 5 3" xfId="18136" xr:uid="{00000000-0005-0000-0000-0000FA200000}"/>
    <cellStyle name="20% - Accent3 3 5 2 5 3 2" xfId="44010" xr:uid="{00000000-0005-0000-0000-0000FB200000}"/>
    <cellStyle name="20% - Accent3 3 5 2 5 4" xfId="31094" xr:uid="{00000000-0005-0000-0000-0000FC200000}"/>
    <cellStyle name="20% - Accent3 3 5 2 6" xfId="8449" xr:uid="{00000000-0005-0000-0000-0000FD200000}"/>
    <cellStyle name="20% - Accent3 3 5 2 6 2" xfId="21366" xr:uid="{00000000-0005-0000-0000-0000FE200000}"/>
    <cellStyle name="20% - Accent3 3 5 2 6 2 2" xfId="47240" xr:uid="{00000000-0005-0000-0000-0000FF200000}"/>
    <cellStyle name="20% - Accent3 3 5 2 6 3" xfId="34324" xr:uid="{00000000-0005-0000-0000-000000210000}"/>
    <cellStyle name="20% - Accent3 3 5 2 7" xfId="14908" xr:uid="{00000000-0005-0000-0000-000001210000}"/>
    <cellStyle name="20% - Accent3 3 5 2 7 2" xfId="40782" xr:uid="{00000000-0005-0000-0000-000002210000}"/>
    <cellStyle name="20% - Accent3 3 5 2 8" xfId="27833" xr:uid="{00000000-0005-0000-0000-000003210000}"/>
    <cellStyle name="20% - Accent3 3 5 2 9" xfId="53696" xr:uid="{00000000-0005-0000-0000-000004210000}"/>
    <cellStyle name="20% - Accent3 3 5 3" xfId="564" xr:uid="{00000000-0005-0000-0000-000005210000}"/>
    <cellStyle name="20% - Accent3 3 5 3 2" xfId="2960" xr:uid="{00000000-0005-0000-0000-000006210000}"/>
    <cellStyle name="20% - Accent3 3 5 3 2 2" xfId="4617" xr:uid="{00000000-0005-0000-0000-000007210000}"/>
    <cellStyle name="20% - Accent3 3 5 3 2 2 2" xfId="7848" xr:uid="{00000000-0005-0000-0000-000008210000}"/>
    <cellStyle name="20% - Accent3 3 5 3 2 2 2 2" xfId="14307" xr:uid="{00000000-0005-0000-0000-000009210000}"/>
    <cellStyle name="20% - Accent3 3 5 3 2 2 2 2 2" xfId="27224" xr:uid="{00000000-0005-0000-0000-00000A210000}"/>
    <cellStyle name="20% - Accent3 3 5 3 2 2 2 2 2 2" xfId="53098" xr:uid="{00000000-0005-0000-0000-00000B210000}"/>
    <cellStyle name="20% - Accent3 3 5 3 2 2 2 2 3" xfId="40182" xr:uid="{00000000-0005-0000-0000-00000C210000}"/>
    <cellStyle name="20% - Accent3 3 5 3 2 2 2 3" xfId="20766" xr:uid="{00000000-0005-0000-0000-00000D210000}"/>
    <cellStyle name="20% - Accent3 3 5 3 2 2 2 3 2" xfId="46640" xr:uid="{00000000-0005-0000-0000-00000E210000}"/>
    <cellStyle name="20% - Accent3 3 5 3 2 2 2 4" xfId="33724" xr:uid="{00000000-0005-0000-0000-00000F210000}"/>
    <cellStyle name="20% - Accent3 3 5 3 2 2 3" xfId="11079" xr:uid="{00000000-0005-0000-0000-000010210000}"/>
    <cellStyle name="20% - Accent3 3 5 3 2 2 3 2" xfId="23996" xr:uid="{00000000-0005-0000-0000-000011210000}"/>
    <cellStyle name="20% - Accent3 3 5 3 2 2 3 2 2" xfId="49870" xr:uid="{00000000-0005-0000-0000-000012210000}"/>
    <cellStyle name="20% - Accent3 3 5 3 2 2 3 3" xfId="36954" xr:uid="{00000000-0005-0000-0000-000013210000}"/>
    <cellStyle name="20% - Accent3 3 5 3 2 2 4" xfId="17538" xr:uid="{00000000-0005-0000-0000-000014210000}"/>
    <cellStyle name="20% - Accent3 3 5 3 2 2 4 2" xfId="43412" xr:uid="{00000000-0005-0000-0000-000015210000}"/>
    <cellStyle name="20% - Accent3 3 5 3 2 2 5" xfId="30464" xr:uid="{00000000-0005-0000-0000-000016210000}"/>
    <cellStyle name="20% - Accent3 3 5 3 2 3" xfId="6234" xr:uid="{00000000-0005-0000-0000-000017210000}"/>
    <cellStyle name="20% - Accent3 3 5 3 2 3 2" xfId="12693" xr:uid="{00000000-0005-0000-0000-000018210000}"/>
    <cellStyle name="20% - Accent3 3 5 3 2 3 2 2" xfId="25610" xr:uid="{00000000-0005-0000-0000-000019210000}"/>
    <cellStyle name="20% - Accent3 3 5 3 2 3 2 2 2" xfId="51484" xr:uid="{00000000-0005-0000-0000-00001A210000}"/>
    <cellStyle name="20% - Accent3 3 5 3 2 3 2 3" xfId="38568" xr:uid="{00000000-0005-0000-0000-00001B210000}"/>
    <cellStyle name="20% - Accent3 3 5 3 2 3 3" xfId="19152" xr:uid="{00000000-0005-0000-0000-00001C210000}"/>
    <cellStyle name="20% - Accent3 3 5 3 2 3 3 2" xfId="45026" xr:uid="{00000000-0005-0000-0000-00001D210000}"/>
    <cellStyle name="20% - Accent3 3 5 3 2 3 4" xfId="32110" xr:uid="{00000000-0005-0000-0000-00001E210000}"/>
    <cellStyle name="20% - Accent3 3 5 3 2 4" xfId="9465" xr:uid="{00000000-0005-0000-0000-00001F210000}"/>
    <cellStyle name="20% - Accent3 3 5 3 2 4 2" xfId="22382" xr:uid="{00000000-0005-0000-0000-000020210000}"/>
    <cellStyle name="20% - Accent3 3 5 3 2 4 2 2" xfId="48256" xr:uid="{00000000-0005-0000-0000-000021210000}"/>
    <cellStyle name="20% - Accent3 3 5 3 2 4 3" xfId="35340" xr:uid="{00000000-0005-0000-0000-000022210000}"/>
    <cellStyle name="20% - Accent3 3 5 3 2 5" xfId="15924" xr:uid="{00000000-0005-0000-0000-000023210000}"/>
    <cellStyle name="20% - Accent3 3 5 3 2 5 2" xfId="41798" xr:uid="{00000000-0005-0000-0000-000024210000}"/>
    <cellStyle name="20% - Accent3 3 5 3 2 6" xfId="28850" xr:uid="{00000000-0005-0000-0000-000025210000}"/>
    <cellStyle name="20% - Accent3 3 5 3 3" xfId="3787" xr:uid="{00000000-0005-0000-0000-000026210000}"/>
    <cellStyle name="20% - Accent3 3 5 3 3 2" xfId="7041" xr:uid="{00000000-0005-0000-0000-000027210000}"/>
    <cellStyle name="20% - Accent3 3 5 3 3 2 2" xfId="13500" xr:uid="{00000000-0005-0000-0000-000028210000}"/>
    <cellStyle name="20% - Accent3 3 5 3 3 2 2 2" xfId="26417" xr:uid="{00000000-0005-0000-0000-000029210000}"/>
    <cellStyle name="20% - Accent3 3 5 3 3 2 2 2 2" xfId="52291" xr:uid="{00000000-0005-0000-0000-00002A210000}"/>
    <cellStyle name="20% - Accent3 3 5 3 3 2 2 3" xfId="39375" xr:uid="{00000000-0005-0000-0000-00002B210000}"/>
    <cellStyle name="20% - Accent3 3 5 3 3 2 3" xfId="19959" xr:uid="{00000000-0005-0000-0000-00002C210000}"/>
    <cellStyle name="20% - Accent3 3 5 3 3 2 3 2" xfId="45833" xr:uid="{00000000-0005-0000-0000-00002D210000}"/>
    <cellStyle name="20% - Accent3 3 5 3 3 2 4" xfId="32917" xr:uid="{00000000-0005-0000-0000-00002E210000}"/>
    <cellStyle name="20% - Accent3 3 5 3 3 3" xfId="10272" xr:uid="{00000000-0005-0000-0000-00002F210000}"/>
    <cellStyle name="20% - Accent3 3 5 3 3 3 2" xfId="23189" xr:uid="{00000000-0005-0000-0000-000030210000}"/>
    <cellStyle name="20% - Accent3 3 5 3 3 3 2 2" xfId="49063" xr:uid="{00000000-0005-0000-0000-000031210000}"/>
    <cellStyle name="20% - Accent3 3 5 3 3 3 3" xfId="36147" xr:uid="{00000000-0005-0000-0000-000032210000}"/>
    <cellStyle name="20% - Accent3 3 5 3 3 4" xfId="16731" xr:uid="{00000000-0005-0000-0000-000033210000}"/>
    <cellStyle name="20% - Accent3 3 5 3 3 4 2" xfId="42605" xr:uid="{00000000-0005-0000-0000-000034210000}"/>
    <cellStyle name="20% - Accent3 3 5 3 3 5" xfId="29657" xr:uid="{00000000-0005-0000-0000-000035210000}"/>
    <cellStyle name="20% - Accent3 3 5 3 4" xfId="5427" xr:uid="{00000000-0005-0000-0000-000036210000}"/>
    <cellStyle name="20% - Accent3 3 5 3 4 2" xfId="11886" xr:uid="{00000000-0005-0000-0000-000037210000}"/>
    <cellStyle name="20% - Accent3 3 5 3 4 2 2" xfId="24803" xr:uid="{00000000-0005-0000-0000-000038210000}"/>
    <cellStyle name="20% - Accent3 3 5 3 4 2 2 2" xfId="50677" xr:uid="{00000000-0005-0000-0000-000039210000}"/>
    <cellStyle name="20% - Accent3 3 5 3 4 2 3" xfId="37761" xr:uid="{00000000-0005-0000-0000-00003A210000}"/>
    <cellStyle name="20% - Accent3 3 5 3 4 3" xfId="18345" xr:uid="{00000000-0005-0000-0000-00003B210000}"/>
    <cellStyle name="20% - Accent3 3 5 3 4 3 2" xfId="44219" xr:uid="{00000000-0005-0000-0000-00003C210000}"/>
    <cellStyle name="20% - Accent3 3 5 3 4 4" xfId="31303" xr:uid="{00000000-0005-0000-0000-00003D210000}"/>
    <cellStyle name="20% - Accent3 3 5 3 5" xfId="8658" xr:uid="{00000000-0005-0000-0000-00003E210000}"/>
    <cellStyle name="20% - Accent3 3 5 3 5 2" xfId="21575" xr:uid="{00000000-0005-0000-0000-00003F210000}"/>
    <cellStyle name="20% - Accent3 3 5 3 5 2 2" xfId="47449" xr:uid="{00000000-0005-0000-0000-000040210000}"/>
    <cellStyle name="20% - Accent3 3 5 3 5 3" xfId="34533" xr:uid="{00000000-0005-0000-0000-000041210000}"/>
    <cellStyle name="20% - Accent3 3 5 3 6" xfId="15117" xr:uid="{00000000-0005-0000-0000-000042210000}"/>
    <cellStyle name="20% - Accent3 3 5 3 6 2" xfId="40991" xr:uid="{00000000-0005-0000-0000-000043210000}"/>
    <cellStyle name="20% - Accent3 3 5 3 7" xfId="28043" xr:uid="{00000000-0005-0000-0000-000044210000}"/>
    <cellStyle name="20% - Accent3 3 5 3 8" xfId="53905" xr:uid="{00000000-0005-0000-0000-000045210000}"/>
    <cellStyle name="20% - Accent3 3 5 3 9" xfId="2146" xr:uid="{00000000-0005-0000-0000-000046210000}"/>
    <cellStyle name="20% - Accent3 3 5 4" xfId="2557" xr:uid="{00000000-0005-0000-0000-000047210000}"/>
    <cellStyle name="20% - Accent3 3 5 4 2" xfId="4214" xr:uid="{00000000-0005-0000-0000-000048210000}"/>
    <cellStyle name="20% - Accent3 3 5 4 2 2" xfId="7445" xr:uid="{00000000-0005-0000-0000-000049210000}"/>
    <cellStyle name="20% - Accent3 3 5 4 2 2 2" xfId="13904" xr:uid="{00000000-0005-0000-0000-00004A210000}"/>
    <cellStyle name="20% - Accent3 3 5 4 2 2 2 2" xfId="26821" xr:uid="{00000000-0005-0000-0000-00004B210000}"/>
    <cellStyle name="20% - Accent3 3 5 4 2 2 2 2 2" xfId="52695" xr:uid="{00000000-0005-0000-0000-00004C210000}"/>
    <cellStyle name="20% - Accent3 3 5 4 2 2 2 3" xfId="39779" xr:uid="{00000000-0005-0000-0000-00004D210000}"/>
    <cellStyle name="20% - Accent3 3 5 4 2 2 3" xfId="20363" xr:uid="{00000000-0005-0000-0000-00004E210000}"/>
    <cellStyle name="20% - Accent3 3 5 4 2 2 3 2" xfId="46237" xr:uid="{00000000-0005-0000-0000-00004F210000}"/>
    <cellStyle name="20% - Accent3 3 5 4 2 2 4" xfId="33321" xr:uid="{00000000-0005-0000-0000-000050210000}"/>
    <cellStyle name="20% - Accent3 3 5 4 2 3" xfId="10676" xr:uid="{00000000-0005-0000-0000-000051210000}"/>
    <cellStyle name="20% - Accent3 3 5 4 2 3 2" xfId="23593" xr:uid="{00000000-0005-0000-0000-000052210000}"/>
    <cellStyle name="20% - Accent3 3 5 4 2 3 2 2" xfId="49467" xr:uid="{00000000-0005-0000-0000-000053210000}"/>
    <cellStyle name="20% - Accent3 3 5 4 2 3 3" xfId="36551" xr:uid="{00000000-0005-0000-0000-000054210000}"/>
    <cellStyle name="20% - Accent3 3 5 4 2 4" xfId="17135" xr:uid="{00000000-0005-0000-0000-000055210000}"/>
    <cellStyle name="20% - Accent3 3 5 4 2 4 2" xfId="43009" xr:uid="{00000000-0005-0000-0000-000056210000}"/>
    <cellStyle name="20% - Accent3 3 5 4 2 5" xfId="30061" xr:uid="{00000000-0005-0000-0000-000057210000}"/>
    <cellStyle name="20% - Accent3 3 5 4 3" xfId="5831" xr:uid="{00000000-0005-0000-0000-000058210000}"/>
    <cellStyle name="20% - Accent3 3 5 4 3 2" xfId="12290" xr:uid="{00000000-0005-0000-0000-000059210000}"/>
    <cellStyle name="20% - Accent3 3 5 4 3 2 2" xfId="25207" xr:uid="{00000000-0005-0000-0000-00005A210000}"/>
    <cellStyle name="20% - Accent3 3 5 4 3 2 2 2" xfId="51081" xr:uid="{00000000-0005-0000-0000-00005B210000}"/>
    <cellStyle name="20% - Accent3 3 5 4 3 2 3" xfId="38165" xr:uid="{00000000-0005-0000-0000-00005C210000}"/>
    <cellStyle name="20% - Accent3 3 5 4 3 3" xfId="18749" xr:uid="{00000000-0005-0000-0000-00005D210000}"/>
    <cellStyle name="20% - Accent3 3 5 4 3 3 2" xfId="44623" xr:uid="{00000000-0005-0000-0000-00005E210000}"/>
    <cellStyle name="20% - Accent3 3 5 4 3 4" xfId="31707" xr:uid="{00000000-0005-0000-0000-00005F210000}"/>
    <cellStyle name="20% - Accent3 3 5 4 4" xfId="9062" xr:uid="{00000000-0005-0000-0000-000060210000}"/>
    <cellStyle name="20% - Accent3 3 5 4 4 2" xfId="21979" xr:uid="{00000000-0005-0000-0000-000061210000}"/>
    <cellStyle name="20% - Accent3 3 5 4 4 2 2" xfId="47853" xr:uid="{00000000-0005-0000-0000-000062210000}"/>
    <cellStyle name="20% - Accent3 3 5 4 4 3" xfId="34937" xr:uid="{00000000-0005-0000-0000-000063210000}"/>
    <cellStyle name="20% - Accent3 3 5 4 5" xfId="15521" xr:uid="{00000000-0005-0000-0000-000064210000}"/>
    <cellStyle name="20% - Accent3 3 5 4 5 2" xfId="41395" xr:uid="{00000000-0005-0000-0000-000065210000}"/>
    <cellStyle name="20% - Accent3 3 5 4 6" xfId="28447" xr:uid="{00000000-0005-0000-0000-000066210000}"/>
    <cellStyle name="20% - Accent3 3 5 5" xfId="3382" xr:uid="{00000000-0005-0000-0000-000067210000}"/>
    <cellStyle name="20% - Accent3 3 5 5 2" xfId="6638" xr:uid="{00000000-0005-0000-0000-000068210000}"/>
    <cellStyle name="20% - Accent3 3 5 5 2 2" xfId="13097" xr:uid="{00000000-0005-0000-0000-000069210000}"/>
    <cellStyle name="20% - Accent3 3 5 5 2 2 2" xfId="26014" xr:uid="{00000000-0005-0000-0000-00006A210000}"/>
    <cellStyle name="20% - Accent3 3 5 5 2 2 2 2" xfId="51888" xr:uid="{00000000-0005-0000-0000-00006B210000}"/>
    <cellStyle name="20% - Accent3 3 5 5 2 2 3" xfId="38972" xr:uid="{00000000-0005-0000-0000-00006C210000}"/>
    <cellStyle name="20% - Accent3 3 5 5 2 3" xfId="19556" xr:uid="{00000000-0005-0000-0000-00006D210000}"/>
    <cellStyle name="20% - Accent3 3 5 5 2 3 2" xfId="45430" xr:uid="{00000000-0005-0000-0000-00006E210000}"/>
    <cellStyle name="20% - Accent3 3 5 5 2 4" xfId="32514" xr:uid="{00000000-0005-0000-0000-00006F210000}"/>
    <cellStyle name="20% - Accent3 3 5 5 3" xfId="9869" xr:uid="{00000000-0005-0000-0000-000070210000}"/>
    <cellStyle name="20% - Accent3 3 5 5 3 2" xfId="22786" xr:uid="{00000000-0005-0000-0000-000071210000}"/>
    <cellStyle name="20% - Accent3 3 5 5 3 2 2" xfId="48660" xr:uid="{00000000-0005-0000-0000-000072210000}"/>
    <cellStyle name="20% - Accent3 3 5 5 3 3" xfId="35744" xr:uid="{00000000-0005-0000-0000-000073210000}"/>
    <cellStyle name="20% - Accent3 3 5 5 4" xfId="16328" xr:uid="{00000000-0005-0000-0000-000074210000}"/>
    <cellStyle name="20% - Accent3 3 5 5 4 2" xfId="42202" xr:uid="{00000000-0005-0000-0000-000075210000}"/>
    <cellStyle name="20% - Accent3 3 5 5 5" xfId="29254" xr:uid="{00000000-0005-0000-0000-000076210000}"/>
    <cellStyle name="20% - Accent3 3 5 6" xfId="5024" xr:uid="{00000000-0005-0000-0000-000077210000}"/>
    <cellStyle name="20% - Accent3 3 5 6 2" xfId="11483" xr:uid="{00000000-0005-0000-0000-000078210000}"/>
    <cellStyle name="20% - Accent3 3 5 6 2 2" xfId="24400" xr:uid="{00000000-0005-0000-0000-000079210000}"/>
    <cellStyle name="20% - Accent3 3 5 6 2 2 2" xfId="50274" xr:uid="{00000000-0005-0000-0000-00007A210000}"/>
    <cellStyle name="20% - Accent3 3 5 6 2 3" xfId="37358" xr:uid="{00000000-0005-0000-0000-00007B210000}"/>
    <cellStyle name="20% - Accent3 3 5 6 3" xfId="17942" xr:uid="{00000000-0005-0000-0000-00007C210000}"/>
    <cellStyle name="20% - Accent3 3 5 6 3 2" xfId="43816" xr:uid="{00000000-0005-0000-0000-00007D210000}"/>
    <cellStyle name="20% - Accent3 3 5 6 4" xfId="30900" xr:uid="{00000000-0005-0000-0000-00007E210000}"/>
    <cellStyle name="20% - Accent3 3 5 7" xfId="8254" xr:uid="{00000000-0005-0000-0000-00007F210000}"/>
    <cellStyle name="20% - Accent3 3 5 7 2" xfId="21171" xr:uid="{00000000-0005-0000-0000-000080210000}"/>
    <cellStyle name="20% - Accent3 3 5 7 2 2" xfId="47045" xr:uid="{00000000-0005-0000-0000-000081210000}"/>
    <cellStyle name="20% - Accent3 3 5 7 3" xfId="34129" xr:uid="{00000000-0005-0000-0000-000082210000}"/>
    <cellStyle name="20% - Accent3 3 5 8" xfId="14713" xr:uid="{00000000-0005-0000-0000-000083210000}"/>
    <cellStyle name="20% - Accent3 3 5 8 2" xfId="40587" xr:uid="{00000000-0005-0000-0000-000084210000}"/>
    <cellStyle name="20% - Accent3 3 5 9" xfId="27637" xr:uid="{00000000-0005-0000-0000-000085210000}"/>
    <cellStyle name="20% - Accent3 3 6" xfId="566" xr:uid="{00000000-0005-0000-0000-000086210000}"/>
    <cellStyle name="20% - Accent3 3 7" xfId="551" xr:uid="{00000000-0005-0000-0000-000087210000}"/>
    <cellStyle name="20% - Accent3 3 8" xfId="1054" xr:uid="{00000000-0005-0000-0000-000088210000}"/>
    <cellStyle name="20% - Accent3 4" xfId="484" xr:uid="{00000000-0005-0000-0000-000089210000}"/>
    <cellStyle name="20% - Accent3 4 2" xfId="568" xr:uid="{00000000-0005-0000-0000-00008A210000}"/>
    <cellStyle name="20% - Accent3 4 3" xfId="567" xr:uid="{00000000-0005-0000-0000-00008B210000}"/>
    <cellStyle name="20% - Accent3 4 4" xfId="1055" xr:uid="{00000000-0005-0000-0000-00008C210000}"/>
    <cellStyle name="20% - Accent3 5" xfId="394" xr:uid="{00000000-0005-0000-0000-00008D210000}"/>
    <cellStyle name="20% - Accent3 5 2" xfId="570" xr:uid="{00000000-0005-0000-0000-00008E210000}"/>
    <cellStyle name="20% - Accent3 5 3" xfId="569" xr:uid="{00000000-0005-0000-0000-00008F210000}"/>
    <cellStyle name="20% - Accent3 5 4" xfId="1056" xr:uid="{00000000-0005-0000-0000-000090210000}"/>
    <cellStyle name="20% - Accent3 6" xfId="571" xr:uid="{00000000-0005-0000-0000-000091210000}"/>
    <cellStyle name="20% - Accent3 6 2" xfId="1057" xr:uid="{00000000-0005-0000-0000-000092210000}"/>
    <cellStyle name="20% - Accent3 7" xfId="546" xr:uid="{00000000-0005-0000-0000-000093210000}"/>
    <cellStyle name="20% - Accent3 7 2" xfId="1059" xr:uid="{00000000-0005-0000-0000-000094210000}"/>
    <cellStyle name="20% - Accent3 7 3" xfId="1060" xr:uid="{00000000-0005-0000-0000-000095210000}"/>
    <cellStyle name="20% - Accent3 7 3 10" xfId="27582" xr:uid="{00000000-0005-0000-0000-000096210000}"/>
    <cellStyle name="20% - Accent3 7 3 11" xfId="53448" xr:uid="{00000000-0005-0000-0000-000097210000}"/>
    <cellStyle name="20% - Accent3 7 3 2" xfId="1737" xr:uid="{00000000-0005-0000-0000-000098210000}"/>
    <cellStyle name="20% - Accent3 7 3 2 10" xfId="53594" xr:uid="{00000000-0005-0000-0000-000099210000}"/>
    <cellStyle name="20% - Accent3 7 3 2 2" xfId="2003" xr:uid="{00000000-0005-0000-0000-00009A210000}"/>
    <cellStyle name="20% - Accent3 7 3 2 2 2" xfId="2434" xr:uid="{00000000-0005-0000-0000-00009B210000}"/>
    <cellStyle name="20% - Accent3 7 3 2 2 2 2" xfId="3247" xr:uid="{00000000-0005-0000-0000-00009C210000}"/>
    <cellStyle name="20% - Accent3 7 3 2 2 2 2 2" xfId="4904" xr:uid="{00000000-0005-0000-0000-00009D210000}"/>
    <cellStyle name="20% - Accent3 7 3 2 2 2 2 2 2" xfId="8135" xr:uid="{00000000-0005-0000-0000-00009E210000}"/>
    <cellStyle name="20% - Accent3 7 3 2 2 2 2 2 2 2" xfId="14594" xr:uid="{00000000-0005-0000-0000-00009F210000}"/>
    <cellStyle name="20% - Accent3 7 3 2 2 2 2 2 2 2 2" xfId="27511" xr:uid="{00000000-0005-0000-0000-0000A0210000}"/>
    <cellStyle name="20% - Accent3 7 3 2 2 2 2 2 2 2 2 2" xfId="53385" xr:uid="{00000000-0005-0000-0000-0000A1210000}"/>
    <cellStyle name="20% - Accent3 7 3 2 2 2 2 2 2 2 3" xfId="40469" xr:uid="{00000000-0005-0000-0000-0000A2210000}"/>
    <cellStyle name="20% - Accent3 7 3 2 2 2 2 2 2 3" xfId="21053" xr:uid="{00000000-0005-0000-0000-0000A3210000}"/>
    <cellStyle name="20% - Accent3 7 3 2 2 2 2 2 2 3 2" xfId="46927" xr:uid="{00000000-0005-0000-0000-0000A4210000}"/>
    <cellStyle name="20% - Accent3 7 3 2 2 2 2 2 2 4" xfId="34011" xr:uid="{00000000-0005-0000-0000-0000A5210000}"/>
    <cellStyle name="20% - Accent3 7 3 2 2 2 2 2 3" xfId="11366" xr:uid="{00000000-0005-0000-0000-0000A6210000}"/>
    <cellStyle name="20% - Accent3 7 3 2 2 2 2 2 3 2" xfId="24283" xr:uid="{00000000-0005-0000-0000-0000A7210000}"/>
    <cellStyle name="20% - Accent3 7 3 2 2 2 2 2 3 2 2" xfId="50157" xr:uid="{00000000-0005-0000-0000-0000A8210000}"/>
    <cellStyle name="20% - Accent3 7 3 2 2 2 2 2 3 3" xfId="37241" xr:uid="{00000000-0005-0000-0000-0000A9210000}"/>
    <cellStyle name="20% - Accent3 7 3 2 2 2 2 2 4" xfId="17825" xr:uid="{00000000-0005-0000-0000-0000AA210000}"/>
    <cellStyle name="20% - Accent3 7 3 2 2 2 2 2 4 2" xfId="43699" xr:uid="{00000000-0005-0000-0000-0000AB210000}"/>
    <cellStyle name="20% - Accent3 7 3 2 2 2 2 2 5" xfId="30751" xr:uid="{00000000-0005-0000-0000-0000AC210000}"/>
    <cellStyle name="20% - Accent3 7 3 2 2 2 2 3" xfId="6521" xr:uid="{00000000-0005-0000-0000-0000AD210000}"/>
    <cellStyle name="20% - Accent3 7 3 2 2 2 2 3 2" xfId="12980" xr:uid="{00000000-0005-0000-0000-0000AE210000}"/>
    <cellStyle name="20% - Accent3 7 3 2 2 2 2 3 2 2" xfId="25897" xr:uid="{00000000-0005-0000-0000-0000AF210000}"/>
    <cellStyle name="20% - Accent3 7 3 2 2 2 2 3 2 2 2" xfId="51771" xr:uid="{00000000-0005-0000-0000-0000B0210000}"/>
    <cellStyle name="20% - Accent3 7 3 2 2 2 2 3 2 3" xfId="38855" xr:uid="{00000000-0005-0000-0000-0000B1210000}"/>
    <cellStyle name="20% - Accent3 7 3 2 2 2 2 3 3" xfId="19439" xr:uid="{00000000-0005-0000-0000-0000B2210000}"/>
    <cellStyle name="20% - Accent3 7 3 2 2 2 2 3 3 2" xfId="45313" xr:uid="{00000000-0005-0000-0000-0000B3210000}"/>
    <cellStyle name="20% - Accent3 7 3 2 2 2 2 3 4" xfId="32397" xr:uid="{00000000-0005-0000-0000-0000B4210000}"/>
    <cellStyle name="20% - Accent3 7 3 2 2 2 2 4" xfId="9752" xr:uid="{00000000-0005-0000-0000-0000B5210000}"/>
    <cellStyle name="20% - Accent3 7 3 2 2 2 2 4 2" xfId="22669" xr:uid="{00000000-0005-0000-0000-0000B6210000}"/>
    <cellStyle name="20% - Accent3 7 3 2 2 2 2 4 2 2" xfId="48543" xr:uid="{00000000-0005-0000-0000-0000B7210000}"/>
    <cellStyle name="20% - Accent3 7 3 2 2 2 2 4 3" xfId="35627" xr:uid="{00000000-0005-0000-0000-0000B8210000}"/>
    <cellStyle name="20% - Accent3 7 3 2 2 2 2 5" xfId="16211" xr:uid="{00000000-0005-0000-0000-0000B9210000}"/>
    <cellStyle name="20% - Accent3 7 3 2 2 2 2 5 2" xfId="42085" xr:uid="{00000000-0005-0000-0000-0000BA210000}"/>
    <cellStyle name="20% - Accent3 7 3 2 2 2 2 6" xfId="29137" xr:uid="{00000000-0005-0000-0000-0000BB210000}"/>
    <cellStyle name="20% - Accent3 7 3 2 2 2 3" xfId="4074" xr:uid="{00000000-0005-0000-0000-0000BC210000}"/>
    <cellStyle name="20% - Accent3 7 3 2 2 2 3 2" xfId="7328" xr:uid="{00000000-0005-0000-0000-0000BD210000}"/>
    <cellStyle name="20% - Accent3 7 3 2 2 2 3 2 2" xfId="13787" xr:uid="{00000000-0005-0000-0000-0000BE210000}"/>
    <cellStyle name="20% - Accent3 7 3 2 2 2 3 2 2 2" xfId="26704" xr:uid="{00000000-0005-0000-0000-0000BF210000}"/>
    <cellStyle name="20% - Accent3 7 3 2 2 2 3 2 2 2 2" xfId="52578" xr:uid="{00000000-0005-0000-0000-0000C0210000}"/>
    <cellStyle name="20% - Accent3 7 3 2 2 2 3 2 2 3" xfId="39662" xr:uid="{00000000-0005-0000-0000-0000C1210000}"/>
    <cellStyle name="20% - Accent3 7 3 2 2 2 3 2 3" xfId="20246" xr:uid="{00000000-0005-0000-0000-0000C2210000}"/>
    <cellStyle name="20% - Accent3 7 3 2 2 2 3 2 3 2" xfId="46120" xr:uid="{00000000-0005-0000-0000-0000C3210000}"/>
    <cellStyle name="20% - Accent3 7 3 2 2 2 3 2 4" xfId="33204" xr:uid="{00000000-0005-0000-0000-0000C4210000}"/>
    <cellStyle name="20% - Accent3 7 3 2 2 2 3 3" xfId="10559" xr:uid="{00000000-0005-0000-0000-0000C5210000}"/>
    <cellStyle name="20% - Accent3 7 3 2 2 2 3 3 2" xfId="23476" xr:uid="{00000000-0005-0000-0000-0000C6210000}"/>
    <cellStyle name="20% - Accent3 7 3 2 2 2 3 3 2 2" xfId="49350" xr:uid="{00000000-0005-0000-0000-0000C7210000}"/>
    <cellStyle name="20% - Accent3 7 3 2 2 2 3 3 3" xfId="36434" xr:uid="{00000000-0005-0000-0000-0000C8210000}"/>
    <cellStyle name="20% - Accent3 7 3 2 2 2 3 4" xfId="17018" xr:uid="{00000000-0005-0000-0000-0000C9210000}"/>
    <cellStyle name="20% - Accent3 7 3 2 2 2 3 4 2" xfId="42892" xr:uid="{00000000-0005-0000-0000-0000CA210000}"/>
    <cellStyle name="20% - Accent3 7 3 2 2 2 3 5" xfId="29944" xr:uid="{00000000-0005-0000-0000-0000CB210000}"/>
    <cellStyle name="20% - Accent3 7 3 2 2 2 4" xfId="5714" xr:uid="{00000000-0005-0000-0000-0000CC210000}"/>
    <cellStyle name="20% - Accent3 7 3 2 2 2 4 2" xfId="12173" xr:uid="{00000000-0005-0000-0000-0000CD210000}"/>
    <cellStyle name="20% - Accent3 7 3 2 2 2 4 2 2" xfId="25090" xr:uid="{00000000-0005-0000-0000-0000CE210000}"/>
    <cellStyle name="20% - Accent3 7 3 2 2 2 4 2 2 2" xfId="50964" xr:uid="{00000000-0005-0000-0000-0000CF210000}"/>
    <cellStyle name="20% - Accent3 7 3 2 2 2 4 2 3" xfId="38048" xr:uid="{00000000-0005-0000-0000-0000D0210000}"/>
    <cellStyle name="20% - Accent3 7 3 2 2 2 4 3" xfId="18632" xr:uid="{00000000-0005-0000-0000-0000D1210000}"/>
    <cellStyle name="20% - Accent3 7 3 2 2 2 4 3 2" xfId="44506" xr:uid="{00000000-0005-0000-0000-0000D2210000}"/>
    <cellStyle name="20% - Accent3 7 3 2 2 2 4 4" xfId="31590" xr:uid="{00000000-0005-0000-0000-0000D3210000}"/>
    <cellStyle name="20% - Accent3 7 3 2 2 2 5" xfId="8945" xr:uid="{00000000-0005-0000-0000-0000D4210000}"/>
    <cellStyle name="20% - Accent3 7 3 2 2 2 5 2" xfId="21862" xr:uid="{00000000-0005-0000-0000-0000D5210000}"/>
    <cellStyle name="20% - Accent3 7 3 2 2 2 5 2 2" xfId="47736" xr:uid="{00000000-0005-0000-0000-0000D6210000}"/>
    <cellStyle name="20% - Accent3 7 3 2 2 2 5 3" xfId="34820" xr:uid="{00000000-0005-0000-0000-0000D7210000}"/>
    <cellStyle name="20% - Accent3 7 3 2 2 2 6" xfId="15404" xr:uid="{00000000-0005-0000-0000-0000D8210000}"/>
    <cellStyle name="20% - Accent3 7 3 2 2 2 6 2" xfId="41278" xr:uid="{00000000-0005-0000-0000-0000D9210000}"/>
    <cellStyle name="20% - Accent3 7 3 2 2 2 7" xfId="28330" xr:uid="{00000000-0005-0000-0000-0000DA210000}"/>
    <cellStyle name="20% - Accent3 7 3 2 2 2 8" xfId="54192" xr:uid="{00000000-0005-0000-0000-0000DB210000}"/>
    <cellStyle name="20% - Accent3 7 3 2 2 3" xfId="2843" xr:uid="{00000000-0005-0000-0000-0000DC210000}"/>
    <cellStyle name="20% - Accent3 7 3 2 2 3 2" xfId="4500" xr:uid="{00000000-0005-0000-0000-0000DD210000}"/>
    <cellStyle name="20% - Accent3 7 3 2 2 3 2 2" xfId="7731" xr:uid="{00000000-0005-0000-0000-0000DE210000}"/>
    <cellStyle name="20% - Accent3 7 3 2 2 3 2 2 2" xfId="14190" xr:uid="{00000000-0005-0000-0000-0000DF210000}"/>
    <cellStyle name="20% - Accent3 7 3 2 2 3 2 2 2 2" xfId="27107" xr:uid="{00000000-0005-0000-0000-0000E0210000}"/>
    <cellStyle name="20% - Accent3 7 3 2 2 3 2 2 2 2 2" xfId="52981" xr:uid="{00000000-0005-0000-0000-0000E1210000}"/>
    <cellStyle name="20% - Accent3 7 3 2 2 3 2 2 2 3" xfId="40065" xr:uid="{00000000-0005-0000-0000-0000E2210000}"/>
    <cellStyle name="20% - Accent3 7 3 2 2 3 2 2 3" xfId="20649" xr:uid="{00000000-0005-0000-0000-0000E3210000}"/>
    <cellStyle name="20% - Accent3 7 3 2 2 3 2 2 3 2" xfId="46523" xr:uid="{00000000-0005-0000-0000-0000E4210000}"/>
    <cellStyle name="20% - Accent3 7 3 2 2 3 2 2 4" xfId="33607" xr:uid="{00000000-0005-0000-0000-0000E5210000}"/>
    <cellStyle name="20% - Accent3 7 3 2 2 3 2 3" xfId="10962" xr:uid="{00000000-0005-0000-0000-0000E6210000}"/>
    <cellStyle name="20% - Accent3 7 3 2 2 3 2 3 2" xfId="23879" xr:uid="{00000000-0005-0000-0000-0000E7210000}"/>
    <cellStyle name="20% - Accent3 7 3 2 2 3 2 3 2 2" xfId="49753" xr:uid="{00000000-0005-0000-0000-0000E8210000}"/>
    <cellStyle name="20% - Accent3 7 3 2 2 3 2 3 3" xfId="36837" xr:uid="{00000000-0005-0000-0000-0000E9210000}"/>
    <cellStyle name="20% - Accent3 7 3 2 2 3 2 4" xfId="17421" xr:uid="{00000000-0005-0000-0000-0000EA210000}"/>
    <cellStyle name="20% - Accent3 7 3 2 2 3 2 4 2" xfId="43295" xr:uid="{00000000-0005-0000-0000-0000EB210000}"/>
    <cellStyle name="20% - Accent3 7 3 2 2 3 2 5" xfId="30347" xr:uid="{00000000-0005-0000-0000-0000EC210000}"/>
    <cellStyle name="20% - Accent3 7 3 2 2 3 3" xfId="6117" xr:uid="{00000000-0005-0000-0000-0000ED210000}"/>
    <cellStyle name="20% - Accent3 7 3 2 2 3 3 2" xfId="12576" xr:uid="{00000000-0005-0000-0000-0000EE210000}"/>
    <cellStyle name="20% - Accent3 7 3 2 2 3 3 2 2" xfId="25493" xr:uid="{00000000-0005-0000-0000-0000EF210000}"/>
    <cellStyle name="20% - Accent3 7 3 2 2 3 3 2 2 2" xfId="51367" xr:uid="{00000000-0005-0000-0000-0000F0210000}"/>
    <cellStyle name="20% - Accent3 7 3 2 2 3 3 2 3" xfId="38451" xr:uid="{00000000-0005-0000-0000-0000F1210000}"/>
    <cellStyle name="20% - Accent3 7 3 2 2 3 3 3" xfId="19035" xr:uid="{00000000-0005-0000-0000-0000F2210000}"/>
    <cellStyle name="20% - Accent3 7 3 2 2 3 3 3 2" xfId="44909" xr:uid="{00000000-0005-0000-0000-0000F3210000}"/>
    <cellStyle name="20% - Accent3 7 3 2 2 3 3 4" xfId="31993" xr:uid="{00000000-0005-0000-0000-0000F4210000}"/>
    <cellStyle name="20% - Accent3 7 3 2 2 3 4" xfId="9348" xr:uid="{00000000-0005-0000-0000-0000F5210000}"/>
    <cellStyle name="20% - Accent3 7 3 2 2 3 4 2" xfId="22265" xr:uid="{00000000-0005-0000-0000-0000F6210000}"/>
    <cellStyle name="20% - Accent3 7 3 2 2 3 4 2 2" xfId="48139" xr:uid="{00000000-0005-0000-0000-0000F7210000}"/>
    <cellStyle name="20% - Accent3 7 3 2 2 3 4 3" xfId="35223" xr:uid="{00000000-0005-0000-0000-0000F8210000}"/>
    <cellStyle name="20% - Accent3 7 3 2 2 3 5" xfId="15807" xr:uid="{00000000-0005-0000-0000-0000F9210000}"/>
    <cellStyle name="20% - Accent3 7 3 2 2 3 5 2" xfId="41681" xr:uid="{00000000-0005-0000-0000-0000FA210000}"/>
    <cellStyle name="20% - Accent3 7 3 2 2 3 6" xfId="28733" xr:uid="{00000000-0005-0000-0000-0000FB210000}"/>
    <cellStyle name="20% - Accent3 7 3 2 2 4" xfId="3670" xr:uid="{00000000-0005-0000-0000-0000FC210000}"/>
    <cellStyle name="20% - Accent3 7 3 2 2 4 2" xfId="6924" xr:uid="{00000000-0005-0000-0000-0000FD210000}"/>
    <cellStyle name="20% - Accent3 7 3 2 2 4 2 2" xfId="13383" xr:uid="{00000000-0005-0000-0000-0000FE210000}"/>
    <cellStyle name="20% - Accent3 7 3 2 2 4 2 2 2" xfId="26300" xr:uid="{00000000-0005-0000-0000-0000FF210000}"/>
    <cellStyle name="20% - Accent3 7 3 2 2 4 2 2 2 2" xfId="52174" xr:uid="{00000000-0005-0000-0000-000000220000}"/>
    <cellStyle name="20% - Accent3 7 3 2 2 4 2 2 3" xfId="39258" xr:uid="{00000000-0005-0000-0000-000001220000}"/>
    <cellStyle name="20% - Accent3 7 3 2 2 4 2 3" xfId="19842" xr:uid="{00000000-0005-0000-0000-000002220000}"/>
    <cellStyle name="20% - Accent3 7 3 2 2 4 2 3 2" xfId="45716" xr:uid="{00000000-0005-0000-0000-000003220000}"/>
    <cellStyle name="20% - Accent3 7 3 2 2 4 2 4" xfId="32800" xr:uid="{00000000-0005-0000-0000-000004220000}"/>
    <cellStyle name="20% - Accent3 7 3 2 2 4 3" xfId="10155" xr:uid="{00000000-0005-0000-0000-000005220000}"/>
    <cellStyle name="20% - Accent3 7 3 2 2 4 3 2" xfId="23072" xr:uid="{00000000-0005-0000-0000-000006220000}"/>
    <cellStyle name="20% - Accent3 7 3 2 2 4 3 2 2" xfId="48946" xr:uid="{00000000-0005-0000-0000-000007220000}"/>
    <cellStyle name="20% - Accent3 7 3 2 2 4 3 3" xfId="36030" xr:uid="{00000000-0005-0000-0000-000008220000}"/>
    <cellStyle name="20% - Accent3 7 3 2 2 4 4" xfId="16614" xr:uid="{00000000-0005-0000-0000-000009220000}"/>
    <cellStyle name="20% - Accent3 7 3 2 2 4 4 2" xfId="42488" xr:uid="{00000000-0005-0000-0000-00000A220000}"/>
    <cellStyle name="20% - Accent3 7 3 2 2 4 5" xfId="29540" xr:uid="{00000000-0005-0000-0000-00000B220000}"/>
    <cellStyle name="20% - Accent3 7 3 2 2 5" xfId="5310" xr:uid="{00000000-0005-0000-0000-00000C220000}"/>
    <cellStyle name="20% - Accent3 7 3 2 2 5 2" xfId="11769" xr:uid="{00000000-0005-0000-0000-00000D220000}"/>
    <cellStyle name="20% - Accent3 7 3 2 2 5 2 2" xfId="24686" xr:uid="{00000000-0005-0000-0000-00000E220000}"/>
    <cellStyle name="20% - Accent3 7 3 2 2 5 2 2 2" xfId="50560" xr:uid="{00000000-0005-0000-0000-00000F220000}"/>
    <cellStyle name="20% - Accent3 7 3 2 2 5 2 3" xfId="37644" xr:uid="{00000000-0005-0000-0000-000010220000}"/>
    <cellStyle name="20% - Accent3 7 3 2 2 5 3" xfId="18228" xr:uid="{00000000-0005-0000-0000-000011220000}"/>
    <cellStyle name="20% - Accent3 7 3 2 2 5 3 2" xfId="44102" xr:uid="{00000000-0005-0000-0000-000012220000}"/>
    <cellStyle name="20% - Accent3 7 3 2 2 5 4" xfId="31186" xr:uid="{00000000-0005-0000-0000-000013220000}"/>
    <cellStyle name="20% - Accent3 7 3 2 2 6" xfId="8541" xr:uid="{00000000-0005-0000-0000-000014220000}"/>
    <cellStyle name="20% - Accent3 7 3 2 2 6 2" xfId="21458" xr:uid="{00000000-0005-0000-0000-000015220000}"/>
    <cellStyle name="20% - Accent3 7 3 2 2 6 2 2" xfId="47332" xr:uid="{00000000-0005-0000-0000-000016220000}"/>
    <cellStyle name="20% - Accent3 7 3 2 2 6 3" xfId="34416" xr:uid="{00000000-0005-0000-0000-000017220000}"/>
    <cellStyle name="20% - Accent3 7 3 2 2 7" xfId="15000" xr:uid="{00000000-0005-0000-0000-000018220000}"/>
    <cellStyle name="20% - Accent3 7 3 2 2 7 2" xfId="40874" xr:uid="{00000000-0005-0000-0000-000019220000}"/>
    <cellStyle name="20% - Accent3 7 3 2 2 8" xfId="27925" xr:uid="{00000000-0005-0000-0000-00001A220000}"/>
    <cellStyle name="20% - Accent3 7 3 2 2 9" xfId="53788" xr:uid="{00000000-0005-0000-0000-00001B220000}"/>
    <cellStyle name="20% - Accent3 7 3 2 3" xfId="2238" xr:uid="{00000000-0005-0000-0000-00001C220000}"/>
    <cellStyle name="20% - Accent3 7 3 2 3 2" xfId="3052" xr:uid="{00000000-0005-0000-0000-00001D220000}"/>
    <cellStyle name="20% - Accent3 7 3 2 3 2 2" xfId="4709" xr:uid="{00000000-0005-0000-0000-00001E220000}"/>
    <cellStyle name="20% - Accent3 7 3 2 3 2 2 2" xfId="7940" xr:uid="{00000000-0005-0000-0000-00001F220000}"/>
    <cellStyle name="20% - Accent3 7 3 2 3 2 2 2 2" xfId="14399" xr:uid="{00000000-0005-0000-0000-000020220000}"/>
    <cellStyle name="20% - Accent3 7 3 2 3 2 2 2 2 2" xfId="27316" xr:uid="{00000000-0005-0000-0000-000021220000}"/>
    <cellStyle name="20% - Accent3 7 3 2 3 2 2 2 2 2 2" xfId="53190" xr:uid="{00000000-0005-0000-0000-000022220000}"/>
    <cellStyle name="20% - Accent3 7 3 2 3 2 2 2 2 3" xfId="40274" xr:uid="{00000000-0005-0000-0000-000023220000}"/>
    <cellStyle name="20% - Accent3 7 3 2 3 2 2 2 3" xfId="20858" xr:uid="{00000000-0005-0000-0000-000024220000}"/>
    <cellStyle name="20% - Accent3 7 3 2 3 2 2 2 3 2" xfId="46732" xr:uid="{00000000-0005-0000-0000-000025220000}"/>
    <cellStyle name="20% - Accent3 7 3 2 3 2 2 2 4" xfId="33816" xr:uid="{00000000-0005-0000-0000-000026220000}"/>
    <cellStyle name="20% - Accent3 7 3 2 3 2 2 3" xfId="11171" xr:uid="{00000000-0005-0000-0000-000027220000}"/>
    <cellStyle name="20% - Accent3 7 3 2 3 2 2 3 2" xfId="24088" xr:uid="{00000000-0005-0000-0000-000028220000}"/>
    <cellStyle name="20% - Accent3 7 3 2 3 2 2 3 2 2" xfId="49962" xr:uid="{00000000-0005-0000-0000-000029220000}"/>
    <cellStyle name="20% - Accent3 7 3 2 3 2 2 3 3" xfId="37046" xr:uid="{00000000-0005-0000-0000-00002A220000}"/>
    <cellStyle name="20% - Accent3 7 3 2 3 2 2 4" xfId="17630" xr:uid="{00000000-0005-0000-0000-00002B220000}"/>
    <cellStyle name="20% - Accent3 7 3 2 3 2 2 4 2" xfId="43504" xr:uid="{00000000-0005-0000-0000-00002C220000}"/>
    <cellStyle name="20% - Accent3 7 3 2 3 2 2 5" xfId="30556" xr:uid="{00000000-0005-0000-0000-00002D220000}"/>
    <cellStyle name="20% - Accent3 7 3 2 3 2 3" xfId="6326" xr:uid="{00000000-0005-0000-0000-00002E220000}"/>
    <cellStyle name="20% - Accent3 7 3 2 3 2 3 2" xfId="12785" xr:uid="{00000000-0005-0000-0000-00002F220000}"/>
    <cellStyle name="20% - Accent3 7 3 2 3 2 3 2 2" xfId="25702" xr:uid="{00000000-0005-0000-0000-000030220000}"/>
    <cellStyle name="20% - Accent3 7 3 2 3 2 3 2 2 2" xfId="51576" xr:uid="{00000000-0005-0000-0000-000031220000}"/>
    <cellStyle name="20% - Accent3 7 3 2 3 2 3 2 3" xfId="38660" xr:uid="{00000000-0005-0000-0000-000032220000}"/>
    <cellStyle name="20% - Accent3 7 3 2 3 2 3 3" xfId="19244" xr:uid="{00000000-0005-0000-0000-000033220000}"/>
    <cellStyle name="20% - Accent3 7 3 2 3 2 3 3 2" xfId="45118" xr:uid="{00000000-0005-0000-0000-000034220000}"/>
    <cellStyle name="20% - Accent3 7 3 2 3 2 3 4" xfId="32202" xr:uid="{00000000-0005-0000-0000-000035220000}"/>
    <cellStyle name="20% - Accent3 7 3 2 3 2 4" xfId="9557" xr:uid="{00000000-0005-0000-0000-000036220000}"/>
    <cellStyle name="20% - Accent3 7 3 2 3 2 4 2" xfId="22474" xr:uid="{00000000-0005-0000-0000-000037220000}"/>
    <cellStyle name="20% - Accent3 7 3 2 3 2 4 2 2" xfId="48348" xr:uid="{00000000-0005-0000-0000-000038220000}"/>
    <cellStyle name="20% - Accent3 7 3 2 3 2 4 3" xfId="35432" xr:uid="{00000000-0005-0000-0000-000039220000}"/>
    <cellStyle name="20% - Accent3 7 3 2 3 2 5" xfId="16016" xr:uid="{00000000-0005-0000-0000-00003A220000}"/>
    <cellStyle name="20% - Accent3 7 3 2 3 2 5 2" xfId="41890" xr:uid="{00000000-0005-0000-0000-00003B220000}"/>
    <cellStyle name="20% - Accent3 7 3 2 3 2 6" xfId="28942" xr:uid="{00000000-0005-0000-0000-00003C220000}"/>
    <cellStyle name="20% - Accent3 7 3 2 3 3" xfId="3879" xr:uid="{00000000-0005-0000-0000-00003D220000}"/>
    <cellStyle name="20% - Accent3 7 3 2 3 3 2" xfId="7133" xr:uid="{00000000-0005-0000-0000-00003E220000}"/>
    <cellStyle name="20% - Accent3 7 3 2 3 3 2 2" xfId="13592" xr:uid="{00000000-0005-0000-0000-00003F220000}"/>
    <cellStyle name="20% - Accent3 7 3 2 3 3 2 2 2" xfId="26509" xr:uid="{00000000-0005-0000-0000-000040220000}"/>
    <cellStyle name="20% - Accent3 7 3 2 3 3 2 2 2 2" xfId="52383" xr:uid="{00000000-0005-0000-0000-000041220000}"/>
    <cellStyle name="20% - Accent3 7 3 2 3 3 2 2 3" xfId="39467" xr:uid="{00000000-0005-0000-0000-000042220000}"/>
    <cellStyle name="20% - Accent3 7 3 2 3 3 2 3" xfId="20051" xr:uid="{00000000-0005-0000-0000-000043220000}"/>
    <cellStyle name="20% - Accent3 7 3 2 3 3 2 3 2" xfId="45925" xr:uid="{00000000-0005-0000-0000-000044220000}"/>
    <cellStyle name="20% - Accent3 7 3 2 3 3 2 4" xfId="33009" xr:uid="{00000000-0005-0000-0000-000045220000}"/>
    <cellStyle name="20% - Accent3 7 3 2 3 3 3" xfId="10364" xr:uid="{00000000-0005-0000-0000-000046220000}"/>
    <cellStyle name="20% - Accent3 7 3 2 3 3 3 2" xfId="23281" xr:uid="{00000000-0005-0000-0000-000047220000}"/>
    <cellStyle name="20% - Accent3 7 3 2 3 3 3 2 2" xfId="49155" xr:uid="{00000000-0005-0000-0000-000048220000}"/>
    <cellStyle name="20% - Accent3 7 3 2 3 3 3 3" xfId="36239" xr:uid="{00000000-0005-0000-0000-000049220000}"/>
    <cellStyle name="20% - Accent3 7 3 2 3 3 4" xfId="16823" xr:uid="{00000000-0005-0000-0000-00004A220000}"/>
    <cellStyle name="20% - Accent3 7 3 2 3 3 4 2" xfId="42697" xr:uid="{00000000-0005-0000-0000-00004B220000}"/>
    <cellStyle name="20% - Accent3 7 3 2 3 3 5" xfId="29749" xr:uid="{00000000-0005-0000-0000-00004C220000}"/>
    <cellStyle name="20% - Accent3 7 3 2 3 4" xfId="5519" xr:uid="{00000000-0005-0000-0000-00004D220000}"/>
    <cellStyle name="20% - Accent3 7 3 2 3 4 2" xfId="11978" xr:uid="{00000000-0005-0000-0000-00004E220000}"/>
    <cellStyle name="20% - Accent3 7 3 2 3 4 2 2" xfId="24895" xr:uid="{00000000-0005-0000-0000-00004F220000}"/>
    <cellStyle name="20% - Accent3 7 3 2 3 4 2 2 2" xfId="50769" xr:uid="{00000000-0005-0000-0000-000050220000}"/>
    <cellStyle name="20% - Accent3 7 3 2 3 4 2 3" xfId="37853" xr:uid="{00000000-0005-0000-0000-000051220000}"/>
    <cellStyle name="20% - Accent3 7 3 2 3 4 3" xfId="18437" xr:uid="{00000000-0005-0000-0000-000052220000}"/>
    <cellStyle name="20% - Accent3 7 3 2 3 4 3 2" xfId="44311" xr:uid="{00000000-0005-0000-0000-000053220000}"/>
    <cellStyle name="20% - Accent3 7 3 2 3 4 4" xfId="31395" xr:uid="{00000000-0005-0000-0000-000054220000}"/>
    <cellStyle name="20% - Accent3 7 3 2 3 5" xfId="8750" xr:uid="{00000000-0005-0000-0000-000055220000}"/>
    <cellStyle name="20% - Accent3 7 3 2 3 5 2" xfId="21667" xr:uid="{00000000-0005-0000-0000-000056220000}"/>
    <cellStyle name="20% - Accent3 7 3 2 3 5 2 2" xfId="47541" xr:uid="{00000000-0005-0000-0000-000057220000}"/>
    <cellStyle name="20% - Accent3 7 3 2 3 5 3" xfId="34625" xr:uid="{00000000-0005-0000-0000-000058220000}"/>
    <cellStyle name="20% - Accent3 7 3 2 3 6" xfId="15209" xr:uid="{00000000-0005-0000-0000-000059220000}"/>
    <cellStyle name="20% - Accent3 7 3 2 3 6 2" xfId="41083" xr:uid="{00000000-0005-0000-0000-00005A220000}"/>
    <cellStyle name="20% - Accent3 7 3 2 3 7" xfId="28135" xr:uid="{00000000-0005-0000-0000-00005B220000}"/>
    <cellStyle name="20% - Accent3 7 3 2 3 8" xfId="53997" xr:uid="{00000000-0005-0000-0000-00005C220000}"/>
    <cellStyle name="20% - Accent3 7 3 2 4" xfId="2649" xr:uid="{00000000-0005-0000-0000-00005D220000}"/>
    <cellStyle name="20% - Accent3 7 3 2 4 2" xfId="4306" xr:uid="{00000000-0005-0000-0000-00005E220000}"/>
    <cellStyle name="20% - Accent3 7 3 2 4 2 2" xfId="7537" xr:uid="{00000000-0005-0000-0000-00005F220000}"/>
    <cellStyle name="20% - Accent3 7 3 2 4 2 2 2" xfId="13996" xr:uid="{00000000-0005-0000-0000-000060220000}"/>
    <cellStyle name="20% - Accent3 7 3 2 4 2 2 2 2" xfId="26913" xr:uid="{00000000-0005-0000-0000-000061220000}"/>
    <cellStyle name="20% - Accent3 7 3 2 4 2 2 2 2 2" xfId="52787" xr:uid="{00000000-0005-0000-0000-000062220000}"/>
    <cellStyle name="20% - Accent3 7 3 2 4 2 2 2 3" xfId="39871" xr:uid="{00000000-0005-0000-0000-000063220000}"/>
    <cellStyle name="20% - Accent3 7 3 2 4 2 2 3" xfId="20455" xr:uid="{00000000-0005-0000-0000-000064220000}"/>
    <cellStyle name="20% - Accent3 7 3 2 4 2 2 3 2" xfId="46329" xr:uid="{00000000-0005-0000-0000-000065220000}"/>
    <cellStyle name="20% - Accent3 7 3 2 4 2 2 4" xfId="33413" xr:uid="{00000000-0005-0000-0000-000066220000}"/>
    <cellStyle name="20% - Accent3 7 3 2 4 2 3" xfId="10768" xr:uid="{00000000-0005-0000-0000-000067220000}"/>
    <cellStyle name="20% - Accent3 7 3 2 4 2 3 2" xfId="23685" xr:uid="{00000000-0005-0000-0000-000068220000}"/>
    <cellStyle name="20% - Accent3 7 3 2 4 2 3 2 2" xfId="49559" xr:uid="{00000000-0005-0000-0000-000069220000}"/>
    <cellStyle name="20% - Accent3 7 3 2 4 2 3 3" xfId="36643" xr:uid="{00000000-0005-0000-0000-00006A220000}"/>
    <cellStyle name="20% - Accent3 7 3 2 4 2 4" xfId="17227" xr:uid="{00000000-0005-0000-0000-00006B220000}"/>
    <cellStyle name="20% - Accent3 7 3 2 4 2 4 2" xfId="43101" xr:uid="{00000000-0005-0000-0000-00006C220000}"/>
    <cellStyle name="20% - Accent3 7 3 2 4 2 5" xfId="30153" xr:uid="{00000000-0005-0000-0000-00006D220000}"/>
    <cellStyle name="20% - Accent3 7 3 2 4 3" xfId="5923" xr:uid="{00000000-0005-0000-0000-00006E220000}"/>
    <cellStyle name="20% - Accent3 7 3 2 4 3 2" xfId="12382" xr:uid="{00000000-0005-0000-0000-00006F220000}"/>
    <cellStyle name="20% - Accent3 7 3 2 4 3 2 2" xfId="25299" xr:uid="{00000000-0005-0000-0000-000070220000}"/>
    <cellStyle name="20% - Accent3 7 3 2 4 3 2 2 2" xfId="51173" xr:uid="{00000000-0005-0000-0000-000071220000}"/>
    <cellStyle name="20% - Accent3 7 3 2 4 3 2 3" xfId="38257" xr:uid="{00000000-0005-0000-0000-000072220000}"/>
    <cellStyle name="20% - Accent3 7 3 2 4 3 3" xfId="18841" xr:uid="{00000000-0005-0000-0000-000073220000}"/>
    <cellStyle name="20% - Accent3 7 3 2 4 3 3 2" xfId="44715" xr:uid="{00000000-0005-0000-0000-000074220000}"/>
    <cellStyle name="20% - Accent3 7 3 2 4 3 4" xfId="31799" xr:uid="{00000000-0005-0000-0000-000075220000}"/>
    <cellStyle name="20% - Accent3 7 3 2 4 4" xfId="9154" xr:uid="{00000000-0005-0000-0000-000076220000}"/>
    <cellStyle name="20% - Accent3 7 3 2 4 4 2" xfId="22071" xr:uid="{00000000-0005-0000-0000-000077220000}"/>
    <cellStyle name="20% - Accent3 7 3 2 4 4 2 2" xfId="47945" xr:uid="{00000000-0005-0000-0000-000078220000}"/>
    <cellStyle name="20% - Accent3 7 3 2 4 4 3" xfId="35029" xr:uid="{00000000-0005-0000-0000-000079220000}"/>
    <cellStyle name="20% - Accent3 7 3 2 4 5" xfId="15613" xr:uid="{00000000-0005-0000-0000-00007A220000}"/>
    <cellStyle name="20% - Accent3 7 3 2 4 5 2" xfId="41487" xr:uid="{00000000-0005-0000-0000-00007B220000}"/>
    <cellStyle name="20% - Accent3 7 3 2 4 6" xfId="28539" xr:uid="{00000000-0005-0000-0000-00007C220000}"/>
    <cellStyle name="20% - Accent3 7 3 2 5" xfId="3476" xr:uid="{00000000-0005-0000-0000-00007D220000}"/>
    <cellStyle name="20% - Accent3 7 3 2 5 2" xfId="6730" xr:uid="{00000000-0005-0000-0000-00007E220000}"/>
    <cellStyle name="20% - Accent3 7 3 2 5 2 2" xfId="13189" xr:uid="{00000000-0005-0000-0000-00007F220000}"/>
    <cellStyle name="20% - Accent3 7 3 2 5 2 2 2" xfId="26106" xr:uid="{00000000-0005-0000-0000-000080220000}"/>
    <cellStyle name="20% - Accent3 7 3 2 5 2 2 2 2" xfId="51980" xr:uid="{00000000-0005-0000-0000-000081220000}"/>
    <cellStyle name="20% - Accent3 7 3 2 5 2 2 3" xfId="39064" xr:uid="{00000000-0005-0000-0000-000082220000}"/>
    <cellStyle name="20% - Accent3 7 3 2 5 2 3" xfId="19648" xr:uid="{00000000-0005-0000-0000-000083220000}"/>
    <cellStyle name="20% - Accent3 7 3 2 5 2 3 2" xfId="45522" xr:uid="{00000000-0005-0000-0000-000084220000}"/>
    <cellStyle name="20% - Accent3 7 3 2 5 2 4" xfId="32606" xr:uid="{00000000-0005-0000-0000-000085220000}"/>
    <cellStyle name="20% - Accent3 7 3 2 5 3" xfId="9961" xr:uid="{00000000-0005-0000-0000-000086220000}"/>
    <cellStyle name="20% - Accent3 7 3 2 5 3 2" xfId="22878" xr:uid="{00000000-0005-0000-0000-000087220000}"/>
    <cellStyle name="20% - Accent3 7 3 2 5 3 2 2" xfId="48752" xr:uid="{00000000-0005-0000-0000-000088220000}"/>
    <cellStyle name="20% - Accent3 7 3 2 5 3 3" xfId="35836" xr:uid="{00000000-0005-0000-0000-000089220000}"/>
    <cellStyle name="20% - Accent3 7 3 2 5 4" xfId="16420" xr:uid="{00000000-0005-0000-0000-00008A220000}"/>
    <cellStyle name="20% - Accent3 7 3 2 5 4 2" xfId="42294" xr:uid="{00000000-0005-0000-0000-00008B220000}"/>
    <cellStyle name="20% - Accent3 7 3 2 5 5" xfId="29346" xr:uid="{00000000-0005-0000-0000-00008C220000}"/>
    <cellStyle name="20% - Accent3 7 3 2 6" xfId="5116" xr:uid="{00000000-0005-0000-0000-00008D220000}"/>
    <cellStyle name="20% - Accent3 7 3 2 6 2" xfId="11575" xr:uid="{00000000-0005-0000-0000-00008E220000}"/>
    <cellStyle name="20% - Accent3 7 3 2 6 2 2" xfId="24492" xr:uid="{00000000-0005-0000-0000-00008F220000}"/>
    <cellStyle name="20% - Accent3 7 3 2 6 2 2 2" xfId="50366" xr:uid="{00000000-0005-0000-0000-000090220000}"/>
    <cellStyle name="20% - Accent3 7 3 2 6 2 3" xfId="37450" xr:uid="{00000000-0005-0000-0000-000091220000}"/>
    <cellStyle name="20% - Accent3 7 3 2 6 3" xfId="18034" xr:uid="{00000000-0005-0000-0000-000092220000}"/>
    <cellStyle name="20% - Accent3 7 3 2 6 3 2" xfId="43908" xr:uid="{00000000-0005-0000-0000-000093220000}"/>
    <cellStyle name="20% - Accent3 7 3 2 6 4" xfId="30992" xr:uid="{00000000-0005-0000-0000-000094220000}"/>
    <cellStyle name="20% - Accent3 7 3 2 7" xfId="8346" xr:uid="{00000000-0005-0000-0000-000095220000}"/>
    <cellStyle name="20% - Accent3 7 3 2 7 2" xfId="21263" xr:uid="{00000000-0005-0000-0000-000096220000}"/>
    <cellStyle name="20% - Accent3 7 3 2 7 2 2" xfId="47137" xr:uid="{00000000-0005-0000-0000-000097220000}"/>
    <cellStyle name="20% - Accent3 7 3 2 7 3" xfId="34221" xr:uid="{00000000-0005-0000-0000-000098220000}"/>
    <cellStyle name="20% - Accent3 7 3 2 8" xfId="14805" xr:uid="{00000000-0005-0000-0000-000099220000}"/>
    <cellStyle name="20% - Accent3 7 3 2 8 2" xfId="40679" xr:uid="{00000000-0005-0000-0000-00009A220000}"/>
    <cellStyle name="20% - Accent3 7 3 2 9" xfId="27731" xr:uid="{00000000-0005-0000-0000-00009B220000}"/>
    <cellStyle name="20% - Accent3 7 3 3" xfId="1845" xr:uid="{00000000-0005-0000-0000-00009C220000}"/>
    <cellStyle name="20% - Accent3 7 3 3 2" xfId="2287" xr:uid="{00000000-0005-0000-0000-00009D220000}"/>
    <cellStyle name="20% - Accent3 7 3 3 2 2" xfId="3101" xr:uid="{00000000-0005-0000-0000-00009E220000}"/>
    <cellStyle name="20% - Accent3 7 3 3 2 2 2" xfId="4758" xr:uid="{00000000-0005-0000-0000-00009F220000}"/>
    <cellStyle name="20% - Accent3 7 3 3 2 2 2 2" xfId="7989" xr:uid="{00000000-0005-0000-0000-0000A0220000}"/>
    <cellStyle name="20% - Accent3 7 3 3 2 2 2 2 2" xfId="14448" xr:uid="{00000000-0005-0000-0000-0000A1220000}"/>
    <cellStyle name="20% - Accent3 7 3 3 2 2 2 2 2 2" xfId="27365" xr:uid="{00000000-0005-0000-0000-0000A2220000}"/>
    <cellStyle name="20% - Accent3 7 3 3 2 2 2 2 2 2 2" xfId="53239" xr:uid="{00000000-0005-0000-0000-0000A3220000}"/>
    <cellStyle name="20% - Accent3 7 3 3 2 2 2 2 2 3" xfId="40323" xr:uid="{00000000-0005-0000-0000-0000A4220000}"/>
    <cellStyle name="20% - Accent3 7 3 3 2 2 2 2 3" xfId="20907" xr:uid="{00000000-0005-0000-0000-0000A5220000}"/>
    <cellStyle name="20% - Accent3 7 3 3 2 2 2 2 3 2" xfId="46781" xr:uid="{00000000-0005-0000-0000-0000A6220000}"/>
    <cellStyle name="20% - Accent3 7 3 3 2 2 2 2 4" xfId="33865" xr:uid="{00000000-0005-0000-0000-0000A7220000}"/>
    <cellStyle name="20% - Accent3 7 3 3 2 2 2 3" xfId="11220" xr:uid="{00000000-0005-0000-0000-0000A8220000}"/>
    <cellStyle name="20% - Accent3 7 3 3 2 2 2 3 2" xfId="24137" xr:uid="{00000000-0005-0000-0000-0000A9220000}"/>
    <cellStyle name="20% - Accent3 7 3 3 2 2 2 3 2 2" xfId="50011" xr:uid="{00000000-0005-0000-0000-0000AA220000}"/>
    <cellStyle name="20% - Accent3 7 3 3 2 2 2 3 3" xfId="37095" xr:uid="{00000000-0005-0000-0000-0000AB220000}"/>
    <cellStyle name="20% - Accent3 7 3 3 2 2 2 4" xfId="17679" xr:uid="{00000000-0005-0000-0000-0000AC220000}"/>
    <cellStyle name="20% - Accent3 7 3 3 2 2 2 4 2" xfId="43553" xr:uid="{00000000-0005-0000-0000-0000AD220000}"/>
    <cellStyle name="20% - Accent3 7 3 3 2 2 2 5" xfId="30605" xr:uid="{00000000-0005-0000-0000-0000AE220000}"/>
    <cellStyle name="20% - Accent3 7 3 3 2 2 3" xfId="6375" xr:uid="{00000000-0005-0000-0000-0000AF220000}"/>
    <cellStyle name="20% - Accent3 7 3 3 2 2 3 2" xfId="12834" xr:uid="{00000000-0005-0000-0000-0000B0220000}"/>
    <cellStyle name="20% - Accent3 7 3 3 2 2 3 2 2" xfId="25751" xr:uid="{00000000-0005-0000-0000-0000B1220000}"/>
    <cellStyle name="20% - Accent3 7 3 3 2 2 3 2 2 2" xfId="51625" xr:uid="{00000000-0005-0000-0000-0000B2220000}"/>
    <cellStyle name="20% - Accent3 7 3 3 2 2 3 2 3" xfId="38709" xr:uid="{00000000-0005-0000-0000-0000B3220000}"/>
    <cellStyle name="20% - Accent3 7 3 3 2 2 3 3" xfId="19293" xr:uid="{00000000-0005-0000-0000-0000B4220000}"/>
    <cellStyle name="20% - Accent3 7 3 3 2 2 3 3 2" xfId="45167" xr:uid="{00000000-0005-0000-0000-0000B5220000}"/>
    <cellStyle name="20% - Accent3 7 3 3 2 2 3 4" xfId="32251" xr:uid="{00000000-0005-0000-0000-0000B6220000}"/>
    <cellStyle name="20% - Accent3 7 3 3 2 2 4" xfId="9606" xr:uid="{00000000-0005-0000-0000-0000B7220000}"/>
    <cellStyle name="20% - Accent3 7 3 3 2 2 4 2" xfId="22523" xr:uid="{00000000-0005-0000-0000-0000B8220000}"/>
    <cellStyle name="20% - Accent3 7 3 3 2 2 4 2 2" xfId="48397" xr:uid="{00000000-0005-0000-0000-0000B9220000}"/>
    <cellStyle name="20% - Accent3 7 3 3 2 2 4 3" xfId="35481" xr:uid="{00000000-0005-0000-0000-0000BA220000}"/>
    <cellStyle name="20% - Accent3 7 3 3 2 2 5" xfId="16065" xr:uid="{00000000-0005-0000-0000-0000BB220000}"/>
    <cellStyle name="20% - Accent3 7 3 3 2 2 5 2" xfId="41939" xr:uid="{00000000-0005-0000-0000-0000BC220000}"/>
    <cellStyle name="20% - Accent3 7 3 3 2 2 6" xfId="28991" xr:uid="{00000000-0005-0000-0000-0000BD220000}"/>
    <cellStyle name="20% - Accent3 7 3 3 2 3" xfId="3928" xr:uid="{00000000-0005-0000-0000-0000BE220000}"/>
    <cellStyle name="20% - Accent3 7 3 3 2 3 2" xfId="7182" xr:uid="{00000000-0005-0000-0000-0000BF220000}"/>
    <cellStyle name="20% - Accent3 7 3 3 2 3 2 2" xfId="13641" xr:uid="{00000000-0005-0000-0000-0000C0220000}"/>
    <cellStyle name="20% - Accent3 7 3 3 2 3 2 2 2" xfId="26558" xr:uid="{00000000-0005-0000-0000-0000C1220000}"/>
    <cellStyle name="20% - Accent3 7 3 3 2 3 2 2 2 2" xfId="52432" xr:uid="{00000000-0005-0000-0000-0000C2220000}"/>
    <cellStyle name="20% - Accent3 7 3 3 2 3 2 2 3" xfId="39516" xr:uid="{00000000-0005-0000-0000-0000C3220000}"/>
    <cellStyle name="20% - Accent3 7 3 3 2 3 2 3" xfId="20100" xr:uid="{00000000-0005-0000-0000-0000C4220000}"/>
    <cellStyle name="20% - Accent3 7 3 3 2 3 2 3 2" xfId="45974" xr:uid="{00000000-0005-0000-0000-0000C5220000}"/>
    <cellStyle name="20% - Accent3 7 3 3 2 3 2 4" xfId="33058" xr:uid="{00000000-0005-0000-0000-0000C6220000}"/>
    <cellStyle name="20% - Accent3 7 3 3 2 3 3" xfId="10413" xr:uid="{00000000-0005-0000-0000-0000C7220000}"/>
    <cellStyle name="20% - Accent3 7 3 3 2 3 3 2" xfId="23330" xr:uid="{00000000-0005-0000-0000-0000C8220000}"/>
    <cellStyle name="20% - Accent3 7 3 3 2 3 3 2 2" xfId="49204" xr:uid="{00000000-0005-0000-0000-0000C9220000}"/>
    <cellStyle name="20% - Accent3 7 3 3 2 3 3 3" xfId="36288" xr:uid="{00000000-0005-0000-0000-0000CA220000}"/>
    <cellStyle name="20% - Accent3 7 3 3 2 3 4" xfId="16872" xr:uid="{00000000-0005-0000-0000-0000CB220000}"/>
    <cellStyle name="20% - Accent3 7 3 3 2 3 4 2" xfId="42746" xr:uid="{00000000-0005-0000-0000-0000CC220000}"/>
    <cellStyle name="20% - Accent3 7 3 3 2 3 5" xfId="29798" xr:uid="{00000000-0005-0000-0000-0000CD220000}"/>
    <cellStyle name="20% - Accent3 7 3 3 2 4" xfId="5568" xr:uid="{00000000-0005-0000-0000-0000CE220000}"/>
    <cellStyle name="20% - Accent3 7 3 3 2 4 2" xfId="12027" xr:uid="{00000000-0005-0000-0000-0000CF220000}"/>
    <cellStyle name="20% - Accent3 7 3 3 2 4 2 2" xfId="24944" xr:uid="{00000000-0005-0000-0000-0000D0220000}"/>
    <cellStyle name="20% - Accent3 7 3 3 2 4 2 2 2" xfId="50818" xr:uid="{00000000-0005-0000-0000-0000D1220000}"/>
    <cellStyle name="20% - Accent3 7 3 3 2 4 2 3" xfId="37902" xr:uid="{00000000-0005-0000-0000-0000D2220000}"/>
    <cellStyle name="20% - Accent3 7 3 3 2 4 3" xfId="18486" xr:uid="{00000000-0005-0000-0000-0000D3220000}"/>
    <cellStyle name="20% - Accent3 7 3 3 2 4 3 2" xfId="44360" xr:uid="{00000000-0005-0000-0000-0000D4220000}"/>
    <cellStyle name="20% - Accent3 7 3 3 2 4 4" xfId="31444" xr:uid="{00000000-0005-0000-0000-0000D5220000}"/>
    <cellStyle name="20% - Accent3 7 3 3 2 5" xfId="8799" xr:uid="{00000000-0005-0000-0000-0000D6220000}"/>
    <cellStyle name="20% - Accent3 7 3 3 2 5 2" xfId="21716" xr:uid="{00000000-0005-0000-0000-0000D7220000}"/>
    <cellStyle name="20% - Accent3 7 3 3 2 5 2 2" xfId="47590" xr:uid="{00000000-0005-0000-0000-0000D8220000}"/>
    <cellStyle name="20% - Accent3 7 3 3 2 5 3" xfId="34674" xr:uid="{00000000-0005-0000-0000-0000D9220000}"/>
    <cellStyle name="20% - Accent3 7 3 3 2 6" xfId="15258" xr:uid="{00000000-0005-0000-0000-0000DA220000}"/>
    <cellStyle name="20% - Accent3 7 3 3 2 6 2" xfId="41132" xr:uid="{00000000-0005-0000-0000-0000DB220000}"/>
    <cellStyle name="20% - Accent3 7 3 3 2 7" xfId="28184" xr:uid="{00000000-0005-0000-0000-0000DC220000}"/>
    <cellStyle name="20% - Accent3 7 3 3 2 8" xfId="54046" xr:uid="{00000000-0005-0000-0000-0000DD220000}"/>
    <cellStyle name="20% - Accent3 7 3 3 3" xfId="2698" xr:uid="{00000000-0005-0000-0000-0000DE220000}"/>
    <cellStyle name="20% - Accent3 7 3 3 3 2" xfId="4355" xr:uid="{00000000-0005-0000-0000-0000DF220000}"/>
    <cellStyle name="20% - Accent3 7 3 3 3 2 2" xfId="7586" xr:uid="{00000000-0005-0000-0000-0000E0220000}"/>
    <cellStyle name="20% - Accent3 7 3 3 3 2 2 2" xfId="14045" xr:uid="{00000000-0005-0000-0000-0000E1220000}"/>
    <cellStyle name="20% - Accent3 7 3 3 3 2 2 2 2" xfId="26962" xr:uid="{00000000-0005-0000-0000-0000E2220000}"/>
    <cellStyle name="20% - Accent3 7 3 3 3 2 2 2 2 2" xfId="52836" xr:uid="{00000000-0005-0000-0000-0000E3220000}"/>
    <cellStyle name="20% - Accent3 7 3 3 3 2 2 2 3" xfId="39920" xr:uid="{00000000-0005-0000-0000-0000E4220000}"/>
    <cellStyle name="20% - Accent3 7 3 3 3 2 2 3" xfId="20504" xr:uid="{00000000-0005-0000-0000-0000E5220000}"/>
    <cellStyle name="20% - Accent3 7 3 3 3 2 2 3 2" xfId="46378" xr:uid="{00000000-0005-0000-0000-0000E6220000}"/>
    <cellStyle name="20% - Accent3 7 3 3 3 2 2 4" xfId="33462" xr:uid="{00000000-0005-0000-0000-0000E7220000}"/>
    <cellStyle name="20% - Accent3 7 3 3 3 2 3" xfId="10817" xr:uid="{00000000-0005-0000-0000-0000E8220000}"/>
    <cellStyle name="20% - Accent3 7 3 3 3 2 3 2" xfId="23734" xr:uid="{00000000-0005-0000-0000-0000E9220000}"/>
    <cellStyle name="20% - Accent3 7 3 3 3 2 3 2 2" xfId="49608" xr:uid="{00000000-0005-0000-0000-0000EA220000}"/>
    <cellStyle name="20% - Accent3 7 3 3 3 2 3 3" xfId="36692" xr:uid="{00000000-0005-0000-0000-0000EB220000}"/>
    <cellStyle name="20% - Accent3 7 3 3 3 2 4" xfId="17276" xr:uid="{00000000-0005-0000-0000-0000EC220000}"/>
    <cellStyle name="20% - Accent3 7 3 3 3 2 4 2" xfId="43150" xr:uid="{00000000-0005-0000-0000-0000ED220000}"/>
    <cellStyle name="20% - Accent3 7 3 3 3 2 5" xfId="30202" xr:uid="{00000000-0005-0000-0000-0000EE220000}"/>
    <cellStyle name="20% - Accent3 7 3 3 3 3" xfId="5972" xr:uid="{00000000-0005-0000-0000-0000EF220000}"/>
    <cellStyle name="20% - Accent3 7 3 3 3 3 2" xfId="12431" xr:uid="{00000000-0005-0000-0000-0000F0220000}"/>
    <cellStyle name="20% - Accent3 7 3 3 3 3 2 2" xfId="25348" xr:uid="{00000000-0005-0000-0000-0000F1220000}"/>
    <cellStyle name="20% - Accent3 7 3 3 3 3 2 2 2" xfId="51222" xr:uid="{00000000-0005-0000-0000-0000F2220000}"/>
    <cellStyle name="20% - Accent3 7 3 3 3 3 2 3" xfId="38306" xr:uid="{00000000-0005-0000-0000-0000F3220000}"/>
    <cellStyle name="20% - Accent3 7 3 3 3 3 3" xfId="18890" xr:uid="{00000000-0005-0000-0000-0000F4220000}"/>
    <cellStyle name="20% - Accent3 7 3 3 3 3 3 2" xfId="44764" xr:uid="{00000000-0005-0000-0000-0000F5220000}"/>
    <cellStyle name="20% - Accent3 7 3 3 3 3 4" xfId="31848" xr:uid="{00000000-0005-0000-0000-0000F6220000}"/>
    <cellStyle name="20% - Accent3 7 3 3 3 4" xfId="9203" xr:uid="{00000000-0005-0000-0000-0000F7220000}"/>
    <cellStyle name="20% - Accent3 7 3 3 3 4 2" xfId="22120" xr:uid="{00000000-0005-0000-0000-0000F8220000}"/>
    <cellStyle name="20% - Accent3 7 3 3 3 4 2 2" xfId="47994" xr:uid="{00000000-0005-0000-0000-0000F9220000}"/>
    <cellStyle name="20% - Accent3 7 3 3 3 4 3" xfId="35078" xr:uid="{00000000-0005-0000-0000-0000FA220000}"/>
    <cellStyle name="20% - Accent3 7 3 3 3 5" xfId="15662" xr:uid="{00000000-0005-0000-0000-0000FB220000}"/>
    <cellStyle name="20% - Accent3 7 3 3 3 5 2" xfId="41536" xr:uid="{00000000-0005-0000-0000-0000FC220000}"/>
    <cellStyle name="20% - Accent3 7 3 3 3 6" xfId="28588" xr:uid="{00000000-0005-0000-0000-0000FD220000}"/>
    <cellStyle name="20% - Accent3 7 3 3 4" xfId="3525" xr:uid="{00000000-0005-0000-0000-0000FE220000}"/>
    <cellStyle name="20% - Accent3 7 3 3 4 2" xfId="6779" xr:uid="{00000000-0005-0000-0000-0000FF220000}"/>
    <cellStyle name="20% - Accent3 7 3 3 4 2 2" xfId="13238" xr:uid="{00000000-0005-0000-0000-000000230000}"/>
    <cellStyle name="20% - Accent3 7 3 3 4 2 2 2" xfId="26155" xr:uid="{00000000-0005-0000-0000-000001230000}"/>
    <cellStyle name="20% - Accent3 7 3 3 4 2 2 2 2" xfId="52029" xr:uid="{00000000-0005-0000-0000-000002230000}"/>
    <cellStyle name="20% - Accent3 7 3 3 4 2 2 3" xfId="39113" xr:uid="{00000000-0005-0000-0000-000003230000}"/>
    <cellStyle name="20% - Accent3 7 3 3 4 2 3" xfId="19697" xr:uid="{00000000-0005-0000-0000-000004230000}"/>
    <cellStyle name="20% - Accent3 7 3 3 4 2 3 2" xfId="45571" xr:uid="{00000000-0005-0000-0000-000005230000}"/>
    <cellStyle name="20% - Accent3 7 3 3 4 2 4" xfId="32655" xr:uid="{00000000-0005-0000-0000-000006230000}"/>
    <cellStyle name="20% - Accent3 7 3 3 4 3" xfId="10010" xr:uid="{00000000-0005-0000-0000-000007230000}"/>
    <cellStyle name="20% - Accent3 7 3 3 4 3 2" xfId="22927" xr:uid="{00000000-0005-0000-0000-000008230000}"/>
    <cellStyle name="20% - Accent3 7 3 3 4 3 2 2" xfId="48801" xr:uid="{00000000-0005-0000-0000-000009230000}"/>
    <cellStyle name="20% - Accent3 7 3 3 4 3 3" xfId="35885" xr:uid="{00000000-0005-0000-0000-00000A230000}"/>
    <cellStyle name="20% - Accent3 7 3 3 4 4" xfId="16469" xr:uid="{00000000-0005-0000-0000-00000B230000}"/>
    <cellStyle name="20% - Accent3 7 3 3 4 4 2" xfId="42343" xr:uid="{00000000-0005-0000-0000-00000C230000}"/>
    <cellStyle name="20% - Accent3 7 3 3 4 5" xfId="29395" xr:uid="{00000000-0005-0000-0000-00000D230000}"/>
    <cellStyle name="20% - Accent3 7 3 3 5" xfId="5165" xr:uid="{00000000-0005-0000-0000-00000E230000}"/>
    <cellStyle name="20% - Accent3 7 3 3 5 2" xfId="11624" xr:uid="{00000000-0005-0000-0000-00000F230000}"/>
    <cellStyle name="20% - Accent3 7 3 3 5 2 2" xfId="24541" xr:uid="{00000000-0005-0000-0000-000010230000}"/>
    <cellStyle name="20% - Accent3 7 3 3 5 2 2 2" xfId="50415" xr:uid="{00000000-0005-0000-0000-000011230000}"/>
    <cellStyle name="20% - Accent3 7 3 3 5 2 3" xfId="37499" xr:uid="{00000000-0005-0000-0000-000012230000}"/>
    <cellStyle name="20% - Accent3 7 3 3 5 3" xfId="18083" xr:uid="{00000000-0005-0000-0000-000013230000}"/>
    <cellStyle name="20% - Accent3 7 3 3 5 3 2" xfId="43957" xr:uid="{00000000-0005-0000-0000-000014230000}"/>
    <cellStyle name="20% - Accent3 7 3 3 5 4" xfId="31041" xr:uid="{00000000-0005-0000-0000-000015230000}"/>
    <cellStyle name="20% - Accent3 7 3 3 6" xfId="8395" xr:uid="{00000000-0005-0000-0000-000016230000}"/>
    <cellStyle name="20% - Accent3 7 3 3 6 2" xfId="21312" xr:uid="{00000000-0005-0000-0000-000017230000}"/>
    <cellStyle name="20% - Accent3 7 3 3 6 2 2" xfId="47186" xr:uid="{00000000-0005-0000-0000-000018230000}"/>
    <cellStyle name="20% - Accent3 7 3 3 6 3" xfId="34270" xr:uid="{00000000-0005-0000-0000-000019230000}"/>
    <cellStyle name="20% - Accent3 7 3 3 7" xfId="14854" xr:uid="{00000000-0005-0000-0000-00001A230000}"/>
    <cellStyle name="20% - Accent3 7 3 3 7 2" xfId="40728" xr:uid="{00000000-0005-0000-0000-00001B230000}"/>
    <cellStyle name="20% - Accent3 7 3 3 8" xfId="27780" xr:uid="{00000000-0005-0000-0000-00001C230000}"/>
    <cellStyle name="20% - Accent3 7 3 3 9" xfId="53643" xr:uid="{00000000-0005-0000-0000-00001D230000}"/>
    <cellStyle name="20% - Accent3 7 3 4" xfId="2089" xr:uid="{00000000-0005-0000-0000-00001E230000}"/>
    <cellStyle name="20% - Accent3 7 3 4 2" xfId="2905" xr:uid="{00000000-0005-0000-0000-00001F230000}"/>
    <cellStyle name="20% - Accent3 7 3 4 2 2" xfId="4562" xr:uid="{00000000-0005-0000-0000-000020230000}"/>
    <cellStyle name="20% - Accent3 7 3 4 2 2 2" xfId="7793" xr:uid="{00000000-0005-0000-0000-000021230000}"/>
    <cellStyle name="20% - Accent3 7 3 4 2 2 2 2" xfId="14252" xr:uid="{00000000-0005-0000-0000-000022230000}"/>
    <cellStyle name="20% - Accent3 7 3 4 2 2 2 2 2" xfId="27169" xr:uid="{00000000-0005-0000-0000-000023230000}"/>
    <cellStyle name="20% - Accent3 7 3 4 2 2 2 2 2 2" xfId="53043" xr:uid="{00000000-0005-0000-0000-000024230000}"/>
    <cellStyle name="20% - Accent3 7 3 4 2 2 2 2 3" xfId="40127" xr:uid="{00000000-0005-0000-0000-000025230000}"/>
    <cellStyle name="20% - Accent3 7 3 4 2 2 2 3" xfId="20711" xr:uid="{00000000-0005-0000-0000-000026230000}"/>
    <cellStyle name="20% - Accent3 7 3 4 2 2 2 3 2" xfId="46585" xr:uid="{00000000-0005-0000-0000-000027230000}"/>
    <cellStyle name="20% - Accent3 7 3 4 2 2 2 4" xfId="33669" xr:uid="{00000000-0005-0000-0000-000028230000}"/>
    <cellStyle name="20% - Accent3 7 3 4 2 2 3" xfId="11024" xr:uid="{00000000-0005-0000-0000-000029230000}"/>
    <cellStyle name="20% - Accent3 7 3 4 2 2 3 2" xfId="23941" xr:uid="{00000000-0005-0000-0000-00002A230000}"/>
    <cellStyle name="20% - Accent3 7 3 4 2 2 3 2 2" xfId="49815" xr:uid="{00000000-0005-0000-0000-00002B230000}"/>
    <cellStyle name="20% - Accent3 7 3 4 2 2 3 3" xfId="36899" xr:uid="{00000000-0005-0000-0000-00002C230000}"/>
    <cellStyle name="20% - Accent3 7 3 4 2 2 4" xfId="17483" xr:uid="{00000000-0005-0000-0000-00002D230000}"/>
    <cellStyle name="20% - Accent3 7 3 4 2 2 4 2" xfId="43357" xr:uid="{00000000-0005-0000-0000-00002E230000}"/>
    <cellStyle name="20% - Accent3 7 3 4 2 2 5" xfId="30409" xr:uid="{00000000-0005-0000-0000-00002F230000}"/>
    <cellStyle name="20% - Accent3 7 3 4 2 3" xfId="6179" xr:uid="{00000000-0005-0000-0000-000030230000}"/>
    <cellStyle name="20% - Accent3 7 3 4 2 3 2" xfId="12638" xr:uid="{00000000-0005-0000-0000-000031230000}"/>
    <cellStyle name="20% - Accent3 7 3 4 2 3 2 2" xfId="25555" xr:uid="{00000000-0005-0000-0000-000032230000}"/>
    <cellStyle name="20% - Accent3 7 3 4 2 3 2 2 2" xfId="51429" xr:uid="{00000000-0005-0000-0000-000033230000}"/>
    <cellStyle name="20% - Accent3 7 3 4 2 3 2 3" xfId="38513" xr:uid="{00000000-0005-0000-0000-000034230000}"/>
    <cellStyle name="20% - Accent3 7 3 4 2 3 3" xfId="19097" xr:uid="{00000000-0005-0000-0000-000035230000}"/>
    <cellStyle name="20% - Accent3 7 3 4 2 3 3 2" xfId="44971" xr:uid="{00000000-0005-0000-0000-000036230000}"/>
    <cellStyle name="20% - Accent3 7 3 4 2 3 4" xfId="32055" xr:uid="{00000000-0005-0000-0000-000037230000}"/>
    <cellStyle name="20% - Accent3 7 3 4 2 4" xfId="9410" xr:uid="{00000000-0005-0000-0000-000038230000}"/>
    <cellStyle name="20% - Accent3 7 3 4 2 4 2" xfId="22327" xr:uid="{00000000-0005-0000-0000-000039230000}"/>
    <cellStyle name="20% - Accent3 7 3 4 2 4 2 2" xfId="48201" xr:uid="{00000000-0005-0000-0000-00003A230000}"/>
    <cellStyle name="20% - Accent3 7 3 4 2 4 3" xfId="35285" xr:uid="{00000000-0005-0000-0000-00003B230000}"/>
    <cellStyle name="20% - Accent3 7 3 4 2 5" xfId="15869" xr:uid="{00000000-0005-0000-0000-00003C230000}"/>
    <cellStyle name="20% - Accent3 7 3 4 2 5 2" xfId="41743" xr:uid="{00000000-0005-0000-0000-00003D230000}"/>
    <cellStyle name="20% - Accent3 7 3 4 2 6" xfId="28795" xr:uid="{00000000-0005-0000-0000-00003E230000}"/>
    <cellStyle name="20% - Accent3 7 3 4 3" xfId="3732" xr:uid="{00000000-0005-0000-0000-00003F230000}"/>
    <cellStyle name="20% - Accent3 7 3 4 3 2" xfId="6986" xr:uid="{00000000-0005-0000-0000-000040230000}"/>
    <cellStyle name="20% - Accent3 7 3 4 3 2 2" xfId="13445" xr:uid="{00000000-0005-0000-0000-000041230000}"/>
    <cellStyle name="20% - Accent3 7 3 4 3 2 2 2" xfId="26362" xr:uid="{00000000-0005-0000-0000-000042230000}"/>
    <cellStyle name="20% - Accent3 7 3 4 3 2 2 2 2" xfId="52236" xr:uid="{00000000-0005-0000-0000-000043230000}"/>
    <cellStyle name="20% - Accent3 7 3 4 3 2 2 3" xfId="39320" xr:uid="{00000000-0005-0000-0000-000044230000}"/>
    <cellStyle name="20% - Accent3 7 3 4 3 2 3" xfId="19904" xr:uid="{00000000-0005-0000-0000-000045230000}"/>
    <cellStyle name="20% - Accent3 7 3 4 3 2 3 2" xfId="45778" xr:uid="{00000000-0005-0000-0000-000046230000}"/>
    <cellStyle name="20% - Accent3 7 3 4 3 2 4" xfId="32862" xr:uid="{00000000-0005-0000-0000-000047230000}"/>
    <cellStyle name="20% - Accent3 7 3 4 3 3" xfId="10217" xr:uid="{00000000-0005-0000-0000-000048230000}"/>
    <cellStyle name="20% - Accent3 7 3 4 3 3 2" xfId="23134" xr:uid="{00000000-0005-0000-0000-000049230000}"/>
    <cellStyle name="20% - Accent3 7 3 4 3 3 2 2" xfId="49008" xr:uid="{00000000-0005-0000-0000-00004A230000}"/>
    <cellStyle name="20% - Accent3 7 3 4 3 3 3" xfId="36092" xr:uid="{00000000-0005-0000-0000-00004B230000}"/>
    <cellStyle name="20% - Accent3 7 3 4 3 4" xfId="16676" xr:uid="{00000000-0005-0000-0000-00004C230000}"/>
    <cellStyle name="20% - Accent3 7 3 4 3 4 2" xfId="42550" xr:uid="{00000000-0005-0000-0000-00004D230000}"/>
    <cellStyle name="20% - Accent3 7 3 4 3 5" xfId="29602" xr:uid="{00000000-0005-0000-0000-00004E230000}"/>
    <cellStyle name="20% - Accent3 7 3 4 4" xfId="5372" xr:uid="{00000000-0005-0000-0000-00004F230000}"/>
    <cellStyle name="20% - Accent3 7 3 4 4 2" xfId="11831" xr:uid="{00000000-0005-0000-0000-000050230000}"/>
    <cellStyle name="20% - Accent3 7 3 4 4 2 2" xfId="24748" xr:uid="{00000000-0005-0000-0000-000051230000}"/>
    <cellStyle name="20% - Accent3 7 3 4 4 2 2 2" xfId="50622" xr:uid="{00000000-0005-0000-0000-000052230000}"/>
    <cellStyle name="20% - Accent3 7 3 4 4 2 3" xfId="37706" xr:uid="{00000000-0005-0000-0000-000053230000}"/>
    <cellStyle name="20% - Accent3 7 3 4 4 3" xfId="18290" xr:uid="{00000000-0005-0000-0000-000054230000}"/>
    <cellStyle name="20% - Accent3 7 3 4 4 3 2" xfId="44164" xr:uid="{00000000-0005-0000-0000-000055230000}"/>
    <cellStyle name="20% - Accent3 7 3 4 4 4" xfId="31248" xr:uid="{00000000-0005-0000-0000-000056230000}"/>
    <cellStyle name="20% - Accent3 7 3 4 5" xfId="8603" xr:uid="{00000000-0005-0000-0000-000057230000}"/>
    <cellStyle name="20% - Accent3 7 3 4 5 2" xfId="21520" xr:uid="{00000000-0005-0000-0000-000058230000}"/>
    <cellStyle name="20% - Accent3 7 3 4 5 2 2" xfId="47394" xr:uid="{00000000-0005-0000-0000-000059230000}"/>
    <cellStyle name="20% - Accent3 7 3 4 5 3" xfId="34478" xr:uid="{00000000-0005-0000-0000-00005A230000}"/>
    <cellStyle name="20% - Accent3 7 3 4 6" xfId="15062" xr:uid="{00000000-0005-0000-0000-00005B230000}"/>
    <cellStyle name="20% - Accent3 7 3 4 6 2" xfId="40936" xr:uid="{00000000-0005-0000-0000-00005C230000}"/>
    <cellStyle name="20% - Accent3 7 3 4 7" xfId="27988" xr:uid="{00000000-0005-0000-0000-00005D230000}"/>
    <cellStyle name="20% - Accent3 7 3 4 8" xfId="53850" xr:uid="{00000000-0005-0000-0000-00005E230000}"/>
    <cellStyle name="20% - Accent3 7 3 5" xfId="2503" xr:uid="{00000000-0005-0000-0000-00005F230000}"/>
    <cellStyle name="20% - Accent3 7 3 5 2" xfId="4160" xr:uid="{00000000-0005-0000-0000-000060230000}"/>
    <cellStyle name="20% - Accent3 7 3 5 2 2" xfId="7391" xr:uid="{00000000-0005-0000-0000-000061230000}"/>
    <cellStyle name="20% - Accent3 7 3 5 2 2 2" xfId="13850" xr:uid="{00000000-0005-0000-0000-000062230000}"/>
    <cellStyle name="20% - Accent3 7 3 5 2 2 2 2" xfId="26767" xr:uid="{00000000-0005-0000-0000-000063230000}"/>
    <cellStyle name="20% - Accent3 7 3 5 2 2 2 2 2" xfId="52641" xr:uid="{00000000-0005-0000-0000-000064230000}"/>
    <cellStyle name="20% - Accent3 7 3 5 2 2 2 3" xfId="39725" xr:uid="{00000000-0005-0000-0000-000065230000}"/>
    <cellStyle name="20% - Accent3 7 3 5 2 2 3" xfId="20309" xr:uid="{00000000-0005-0000-0000-000066230000}"/>
    <cellStyle name="20% - Accent3 7 3 5 2 2 3 2" xfId="46183" xr:uid="{00000000-0005-0000-0000-000067230000}"/>
    <cellStyle name="20% - Accent3 7 3 5 2 2 4" xfId="33267" xr:uid="{00000000-0005-0000-0000-000068230000}"/>
    <cellStyle name="20% - Accent3 7 3 5 2 3" xfId="10622" xr:uid="{00000000-0005-0000-0000-000069230000}"/>
    <cellStyle name="20% - Accent3 7 3 5 2 3 2" xfId="23539" xr:uid="{00000000-0005-0000-0000-00006A230000}"/>
    <cellStyle name="20% - Accent3 7 3 5 2 3 2 2" xfId="49413" xr:uid="{00000000-0005-0000-0000-00006B230000}"/>
    <cellStyle name="20% - Accent3 7 3 5 2 3 3" xfId="36497" xr:uid="{00000000-0005-0000-0000-00006C230000}"/>
    <cellStyle name="20% - Accent3 7 3 5 2 4" xfId="17081" xr:uid="{00000000-0005-0000-0000-00006D230000}"/>
    <cellStyle name="20% - Accent3 7 3 5 2 4 2" xfId="42955" xr:uid="{00000000-0005-0000-0000-00006E230000}"/>
    <cellStyle name="20% - Accent3 7 3 5 2 5" xfId="30007" xr:uid="{00000000-0005-0000-0000-00006F230000}"/>
    <cellStyle name="20% - Accent3 7 3 5 3" xfId="5777" xr:uid="{00000000-0005-0000-0000-000070230000}"/>
    <cellStyle name="20% - Accent3 7 3 5 3 2" xfId="12236" xr:uid="{00000000-0005-0000-0000-000071230000}"/>
    <cellStyle name="20% - Accent3 7 3 5 3 2 2" xfId="25153" xr:uid="{00000000-0005-0000-0000-000072230000}"/>
    <cellStyle name="20% - Accent3 7 3 5 3 2 2 2" xfId="51027" xr:uid="{00000000-0005-0000-0000-000073230000}"/>
    <cellStyle name="20% - Accent3 7 3 5 3 2 3" xfId="38111" xr:uid="{00000000-0005-0000-0000-000074230000}"/>
    <cellStyle name="20% - Accent3 7 3 5 3 3" xfId="18695" xr:uid="{00000000-0005-0000-0000-000075230000}"/>
    <cellStyle name="20% - Accent3 7 3 5 3 3 2" xfId="44569" xr:uid="{00000000-0005-0000-0000-000076230000}"/>
    <cellStyle name="20% - Accent3 7 3 5 3 4" xfId="31653" xr:uid="{00000000-0005-0000-0000-000077230000}"/>
    <cellStyle name="20% - Accent3 7 3 5 4" xfId="9008" xr:uid="{00000000-0005-0000-0000-000078230000}"/>
    <cellStyle name="20% - Accent3 7 3 5 4 2" xfId="21925" xr:uid="{00000000-0005-0000-0000-000079230000}"/>
    <cellStyle name="20% - Accent3 7 3 5 4 2 2" xfId="47799" xr:uid="{00000000-0005-0000-0000-00007A230000}"/>
    <cellStyle name="20% - Accent3 7 3 5 4 3" xfId="34883" xr:uid="{00000000-0005-0000-0000-00007B230000}"/>
    <cellStyle name="20% - Accent3 7 3 5 5" xfId="15467" xr:uid="{00000000-0005-0000-0000-00007C230000}"/>
    <cellStyle name="20% - Accent3 7 3 5 5 2" xfId="41341" xr:uid="{00000000-0005-0000-0000-00007D230000}"/>
    <cellStyle name="20% - Accent3 7 3 5 6" xfId="28393" xr:uid="{00000000-0005-0000-0000-00007E230000}"/>
    <cellStyle name="20% - Accent3 7 3 6" xfId="3323" xr:uid="{00000000-0005-0000-0000-00007F230000}"/>
    <cellStyle name="20% - Accent3 7 3 6 2" xfId="6584" xr:uid="{00000000-0005-0000-0000-000080230000}"/>
    <cellStyle name="20% - Accent3 7 3 6 2 2" xfId="13043" xr:uid="{00000000-0005-0000-0000-000081230000}"/>
    <cellStyle name="20% - Accent3 7 3 6 2 2 2" xfId="25960" xr:uid="{00000000-0005-0000-0000-000082230000}"/>
    <cellStyle name="20% - Accent3 7 3 6 2 2 2 2" xfId="51834" xr:uid="{00000000-0005-0000-0000-000083230000}"/>
    <cellStyle name="20% - Accent3 7 3 6 2 2 3" xfId="38918" xr:uid="{00000000-0005-0000-0000-000084230000}"/>
    <cellStyle name="20% - Accent3 7 3 6 2 3" xfId="19502" xr:uid="{00000000-0005-0000-0000-000085230000}"/>
    <cellStyle name="20% - Accent3 7 3 6 2 3 2" xfId="45376" xr:uid="{00000000-0005-0000-0000-000086230000}"/>
    <cellStyle name="20% - Accent3 7 3 6 2 4" xfId="32460" xr:uid="{00000000-0005-0000-0000-000087230000}"/>
    <cellStyle name="20% - Accent3 7 3 6 3" xfId="9815" xr:uid="{00000000-0005-0000-0000-000088230000}"/>
    <cellStyle name="20% - Accent3 7 3 6 3 2" xfId="22732" xr:uid="{00000000-0005-0000-0000-000089230000}"/>
    <cellStyle name="20% - Accent3 7 3 6 3 2 2" xfId="48606" xr:uid="{00000000-0005-0000-0000-00008A230000}"/>
    <cellStyle name="20% - Accent3 7 3 6 3 3" xfId="35690" xr:uid="{00000000-0005-0000-0000-00008B230000}"/>
    <cellStyle name="20% - Accent3 7 3 6 4" xfId="16274" xr:uid="{00000000-0005-0000-0000-00008C230000}"/>
    <cellStyle name="20% - Accent3 7 3 6 4 2" xfId="42148" xr:uid="{00000000-0005-0000-0000-00008D230000}"/>
    <cellStyle name="20% - Accent3 7 3 6 5" xfId="29200" xr:uid="{00000000-0005-0000-0000-00008E230000}"/>
    <cellStyle name="20% - Accent3 7 3 7" xfId="4970" xr:uid="{00000000-0005-0000-0000-00008F230000}"/>
    <cellStyle name="20% - Accent3 7 3 7 2" xfId="11429" xr:uid="{00000000-0005-0000-0000-000090230000}"/>
    <cellStyle name="20% - Accent3 7 3 7 2 2" xfId="24346" xr:uid="{00000000-0005-0000-0000-000091230000}"/>
    <cellStyle name="20% - Accent3 7 3 7 2 2 2" xfId="50220" xr:uid="{00000000-0005-0000-0000-000092230000}"/>
    <cellStyle name="20% - Accent3 7 3 7 2 3" xfId="37304" xr:uid="{00000000-0005-0000-0000-000093230000}"/>
    <cellStyle name="20% - Accent3 7 3 7 3" xfId="17888" xr:uid="{00000000-0005-0000-0000-000094230000}"/>
    <cellStyle name="20% - Accent3 7 3 7 3 2" xfId="43762" xr:uid="{00000000-0005-0000-0000-000095230000}"/>
    <cellStyle name="20% - Accent3 7 3 7 4" xfId="30846" xr:uid="{00000000-0005-0000-0000-000096230000}"/>
    <cellStyle name="20% - Accent3 7 3 8" xfId="8201" xr:uid="{00000000-0005-0000-0000-000097230000}"/>
    <cellStyle name="20% - Accent3 7 3 8 2" xfId="21118" xr:uid="{00000000-0005-0000-0000-000098230000}"/>
    <cellStyle name="20% - Accent3 7 3 8 2 2" xfId="46992" xr:uid="{00000000-0005-0000-0000-000099230000}"/>
    <cellStyle name="20% - Accent3 7 3 8 3" xfId="34076" xr:uid="{00000000-0005-0000-0000-00009A230000}"/>
    <cellStyle name="20% - Accent3 7 3 9" xfId="14660" xr:uid="{00000000-0005-0000-0000-00009B230000}"/>
    <cellStyle name="20% - Accent3 7 3 9 2" xfId="40534" xr:uid="{00000000-0005-0000-0000-00009C230000}"/>
    <cellStyle name="20% - Accent3 7 4" xfId="1058" xr:uid="{00000000-0005-0000-0000-00009D230000}"/>
    <cellStyle name="20% - Accent3 8" xfId="1510" xr:uid="{00000000-0005-0000-0000-00009E230000}"/>
    <cellStyle name="20% - Accent3 9" xfId="1435" xr:uid="{00000000-0005-0000-0000-00009F230000}"/>
    <cellStyle name="20% - Accent4 10" xfId="1657" xr:uid="{00000000-0005-0000-0000-0000A0230000}"/>
    <cellStyle name="20% - Accent4 10 10" xfId="53573" xr:uid="{00000000-0005-0000-0000-0000A1230000}"/>
    <cellStyle name="20% - Accent4 10 2" xfId="1982" xr:uid="{00000000-0005-0000-0000-0000A2230000}"/>
    <cellStyle name="20% - Accent4 10 2 2" xfId="2413" xr:uid="{00000000-0005-0000-0000-0000A3230000}"/>
    <cellStyle name="20% - Accent4 10 2 2 2" xfId="3226" xr:uid="{00000000-0005-0000-0000-0000A4230000}"/>
    <cellStyle name="20% - Accent4 10 2 2 2 2" xfId="4883" xr:uid="{00000000-0005-0000-0000-0000A5230000}"/>
    <cellStyle name="20% - Accent4 10 2 2 2 2 2" xfId="8114" xr:uid="{00000000-0005-0000-0000-0000A6230000}"/>
    <cellStyle name="20% - Accent4 10 2 2 2 2 2 2" xfId="14573" xr:uid="{00000000-0005-0000-0000-0000A7230000}"/>
    <cellStyle name="20% - Accent4 10 2 2 2 2 2 2 2" xfId="27490" xr:uid="{00000000-0005-0000-0000-0000A8230000}"/>
    <cellStyle name="20% - Accent4 10 2 2 2 2 2 2 2 2" xfId="53364" xr:uid="{00000000-0005-0000-0000-0000A9230000}"/>
    <cellStyle name="20% - Accent4 10 2 2 2 2 2 2 3" xfId="40448" xr:uid="{00000000-0005-0000-0000-0000AA230000}"/>
    <cellStyle name="20% - Accent4 10 2 2 2 2 2 3" xfId="21032" xr:uid="{00000000-0005-0000-0000-0000AB230000}"/>
    <cellStyle name="20% - Accent4 10 2 2 2 2 2 3 2" xfId="46906" xr:uid="{00000000-0005-0000-0000-0000AC230000}"/>
    <cellStyle name="20% - Accent4 10 2 2 2 2 2 4" xfId="33990" xr:uid="{00000000-0005-0000-0000-0000AD230000}"/>
    <cellStyle name="20% - Accent4 10 2 2 2 2 3" xfId="11345" xr:uid="{00000000-0005-0000-0000-0000AE230000}"/>
    <cellStyle name="20% - Accent4 10 2 2 2 2 3 2" xfId="24262" xr:uid="{00000000-0005-0000-0000-0000AF230000}"/>
    <cellStyle name="20% - Accent4 10 2 2 2 2 3 2 2" xfId="50136" xr:uid="{00000000-0005-0000-0000-0000B0230000}"/>
    <cellStyle name="20% - Accent4 10 2 2 2 2 3 3" xfId="37220" xr:uid="{00000000-0005-0000-0000-0000B1230000}"/>
    <cellStyle name="20% - Accent4 10 2 2 2 2 4" xfId="17804" xr:uid="{00000000-0005-0000-0000-0000B2230000}"/>
    <cellStyle name="20% - Accent4 10 2 2 2 2 4 2" xfId="43678" xr:uid="{00000000-0005-0000-0000-0000B3230000}"/>
    <cellStyle name="20% - Accent4 10 2 2 2 2 5" xfId="30730" xr:uid="{00000000-0005-0000-0000-0000B4230000}"/>
    <cellStyle name="20% - Accent4 10 2 2 2 3" xfId="6500" xr:uid="{00000000-0005-0000-0000-0000B5230000}"/>
    <cellStyle name="20% - Accent4 10 2 2 2 3 2" xfId="12959" xr:uid="{00000000-0005-0000-0000-0000B6230000}"/>
    <cellStyle name="20% - Accent4 10 2 2 2 3 2 2" xfId="25876" xr:uid="{00000000-0005-0000-0000-0000B7230000}"/>
    <cellStyle name="20% - Accent4 10 2 2 2 3 2 2 2" xfId="51750" xr:uid="{00000000-0005-0000-0000-0000B8230000}"/>
    <cellStyle name="20% - Accent4 10 2 2 2 3 2 3" xfId="38834" xr:uid="{00000000-0005-0000-0000-0000B9230000}"/>
    <cellStyle name="20% - Accent4 10 2 2 2 3 3" xfId="19418" xr:uid="{00000000-0005-0000-0000-0000BA230000}"/>
    <cellStyle name="20% - Accent4 10 2 2 2 3 3 2" xfId="45292" xr:uid="{00000000-0005-0000-0000-0000BB230000}"/>
    <cellStyle name="20% - Accent4 10 2 2 2 3 4" xfId="32376" xr:uid="{00000000-0005-0000-0000-0000BC230000}"/>
    <cellStyle name="20% - Accent4 10 2 2 2 4" xfId="9731" xr:uid="{00000000-0005-0000-0000-0000BD230000}"/>
    <cellStyle name="20% - Accent4 10 2 2 2 4 2" xfId="22648" xr:uid="{00000000-0005-0000-0000-0000BE230000}"/>
    <cellStyle name="20% - Accent4 10 2 2 2 4 2 2" xfId="48522" xr:uid="{00000000-0005-0000-0000-0000BF230000}"/>
    <cellStyle name="20% - Accent4 10 2 2 2 4 3" xfId="35606" xr:uid="{00000000-0005-0000-0000-0000C0230000}"/>
    <cellStyle name="20% - Accent4 10 2 2 2 5" xfId="16190" xr:uid="{00000000-0005-0000-0000-0000C1230000}"/>
    <cellStyle name="20% - Accent4 10 2 2 2 5 2" xfId="42064" xr:uid="{00000000-0005-0000-0000-0000C2230000}"/>
    <cellStyle name="20% - Accent4 10 2 2 2 6" xfId="29116" xr:uid="{00000000-0005-0000-0000-0000C3230000}"/>
    <cellStyle name="20% - Accent4 10 2 2 3" xfId="4053" xr:uid="{00000000-0005-0000-0000-0000C4230000}"/>
    <cellStyle name="20% - Accent4 10 2 2 3 2" xfId="7307" xr:uid="{00000000-0005-0000-0000-0000C5230000}"/>
    <cellStyle name="20% - Accent4 10 2 2 3 2 2" xfId="13766" xr:uid="{00000000-0005-0000-0000-0000C6230000}"/>
    <cellStyle name="20% - Accent4 10 2 2 3 2 2 2" xfId="26683" xr:uid="{00000000-0005-0000-0000-0000C7230000}"/>
    <cellStyle name="20% - Accent4 10 2 2 3 2 2 2 2" xfId="52557" xr:uid="{00000000-0005-0000-0000-0000C8230000}"/>
    <cellStyle name="20% - Accent4 10 2 2 3 2 2 3" xfId="39641" xr:uid="{00000000-0005-0000-0000-0000C9230000}"/>
    <cellStyle name="20% - Accent4 10 2 2 3 2 3" xfId="20225" xr:uid="{00000000-0005-0000-0000-0000CA230000}"/>
    <cellStyle name="20% - Accent4 10 2 2 3 2 3 2" xfId="46099" xr:uid="{00000000-0005-0000-0000-0000CB230000}"/>
    <cellStyle name="20% - Accent4 10 2 2 3 2 4" xfId="33183" xr:uid="{00000000-0005-0000-0000-0000CC230000}"/>
    <cellStyle name="20% - Accent4 10 2 2 3 3" xfId="10538" xr:uid="{00000000-0005-0000-0000-0000CD230000}"/>
    <cellStyle name="20% - Accent4 10 2 2 3 3 2" xfId="23455" xr:uid="{00000000-0005-0000-0000-0000CE230000}"/>
    <cellStyle name="20% - Accent4 10 2 2 3 3 2 2" xfId="49329" xr:uid="{00000000-0005-0000-0000-0000CF230000}"/>
    <cellStyle name="20% - Accent4 10 2 2 3 3 3" xfId="36413" xr:uid="{00000000-0005-0000-0000-0000D0230000}"/>
    <cellStyle name="20% - Accent4 10 2 2 3 4" xfId="16997" xr:uid="{00000000-0005-0000-0000-0000D1230000}"/>
    <cellStyle name="20% - Accent4 10 2 2 3 4 2" xfId="42871" xr:uid="{00000000-0005-0000-0000-0000D2230000}"/>
    <cellStyle name="20% - Accent4 10 2 2 3 5" xfId="29923" xr:uid="{00000000-0005-0000-0000-0000D3230000}"/>
    <cellStyle name="20% - Accent4 10 2 2 4" xfId="5693" xr:uid="{00000000-0005-0000-0000-0000D4230000}"/>
    <cellStyle name="20% - Accent4 10 2 2 4 2" xfId="12152" xr:uid="{00000000-0005-0000-0000-0000D5230000}"/>
    <cellStyle name="20% - Accent4 10 2 2 4 2 2" xfId="25069" xr:uid="{00000000-0005-0000-0000-0000D6230000}"/>
    <cellStyle name="20% - Accent4 10 2 2 4 2 2 2" xfId="50943" xr:uid="{00000000-0005-0000-0000-0000D7230000}"/>
    <cellStyle name="20% - Accent4 10 2 2 4 2 3" xfId="38027" xr:uid="{00000000-0005-0000-0000-0000D8230000}"/>
    <cellStyle name="20% - Accent4 10 2 2 4 3" xfId="18611" xr:uid="{00000000-0005-0000-0000-0000D9230000}"/>
    <cellStyle name="20% - Accent4 10 2 2 4 3 2" xfId="44485" xr:uid="{00000000-0005-0000-0000-0000DA230000}"/>
    <cellStyle name="20% - Accent4 10 2 2 4 4" xfId="31569" xr:uid="{00000000-0005-0000-0000-0000DB230000}"/>
    <cellStyle name="20% - Accent4 10 2 2 5" xfId="8924" xr:uid="{00000000-0005-0000-0000-0000DC230000}"/>
    <cellStyle name="20% - Accent4 10 2 2 5 2" xfId="21841" xr:uid="{00000000-0005-0000-0000-0000DD230000}"/>
    <cellStyle name="20% - Accent4 10 2 2 5 2 2" xfId="47715" xr:uid="{00000000-0005-0000-0000-0000DE230000}"/>
    <cellStyle name="20% - Accent4 10 2 2 5 3" xfId="34799" xr:uid="{00000000-0005-0000-0000-0000DF230000}"/>
    <cellStyle name="20% - Accent4 10 2 2 6" xfId="15383" xr:uid="{00000000-0005-0000-0000-0000E0230000}"/>
    <cellStyle name="20% - Accent4 10 2 2 6 2" xfId="41257" xr:uid="{00000000-0005-0000-0000-0000E1230000}"/>
    <cellStyle name="20% - Accent4 10 2 2 7" xfId="28309" xr:uid="{00000000-0005-0000-0000-0000E2230000}"/>
    <cellStyle name="20% - Accent4 10 2 2 8" xfId="54171" xr:uid="{00000000-0005-0000-0000-0000E3230000}"/>
    <cellStyle name="20% - Accent4 10 2 3" xfId="2822" xr:uid="{00000000-0005-0000-0000-0000E4230000}"/>
    <cellStyle name="20% - Accent4 10 2 3 2" xfId="4479" xr:uid="{00000000-0005-0000-0000-0000E5230000}"/>
    <cellStyle name="20% - Accent4 10 2 3 2 2" xfId="7710" xr:uid="{00000000-0005-0000-0000-0000E6230000}"/>
    <cellStyle name="20% - Accent4 10 2 3 2 2 2" xfId="14169" xr:uid="{00000000-0005-0000-0000-0000E7230000}"/>
    <cellStyle name="20% - Accent4 10 2 3 2 2 2 2" xfId="27086" xr:uid="{00000000-0005-0000-0000-0000E8230000}"/>
    <cellStyle name="20% - Accent4 10 2 3 2 2 2 2 2" xfId="52960" xr:uid="{00000000-0005-0000-0000-0000E9230000}"/>
    <cellStyle name="20% - Accent4 10 2 3 2 2 2 3" xfId="40044" xr:uid="{00000000-0005-0000-0000-0000EA230000}"/>
    <cellStyle name="20% - Accent4 10 2 3 2 2 3" xfId="20628" xr:uid="{00000000-0005-0000-0000-0000EB230000}"/>
    <cellStyle name="20% - Accent4 10 2 3 2 2 3 2" xfId="46502" xr:uid="{00000000-0005-0000-0000-0000EC230000}"/>
    <cellStyle name="20% - Accent4 10 2 3 2 2 4" xfId="33586" xr:uid="{00000000-0005-0000-0000-0000ED230000}"/>
    <cellStyle name="20% - Accent4 10 2 3 2 3" xfId="10941" xr:uid="{00000000-0005-0000-0000-0000EE230000}"/>
    <cellStyle name="20% - Accent4 10 2 3 2 3 2" xfId="23858" xr:uid="{00000000-0005-0000-0000-0000EF230000}"/>
    <cellStyle name="20% - Accent4 10 2 3 2 3 2 2" xfId="49732" xr:uid="{00000000-0005-0000-0000-0000F0230000}"/>
    <cellStyle name="20% - Accent4 10 2 3 2 3 3" xfId="36816" xr:uid="{00000000-0005-0000-0000-0000F1230000}"/>
    <cellStyle name="20% - Accent4 10 2 3 2 4" xfId="17400" xr:uid="{00000000-0005-0000-0000-0000F2230000}"/>
    <cellStyle name="20% - Accent4 10 2 3 2 4 2" xfId="43274" xr:uid="{00000000-0005-0000-0000-0000F3230000}"/>
    <cellStyle name="20% - Accent4 10 2 3 2 5" xfId="30326" xr:uid="{00000000-0005-0000-0000-0000F4230000}"/>
    <cellStyle name="20% - Accent4 10 2 3 3" xfId="6096" xr:uid="{00000000-0005-0000-0000-0000F5230000}"/>
    <cellStyle name="20% - Accent4 10 2 3 3 2" xfId="12555" xr:uid="{00000000-0005-0000-0000-0000F6230000}"/>
    <cellStyle name="20% - Accent4 10 2 3 3 2 2" xfId="25472" xr:uid="{00000000-0005-0000-0000-0000F7230000}"/>
    <cellStyle name="20% - Accent4 10 2 3 3 2 2 2" xfId="51346" xr:uid="{00000000-0005-0000-0000-0000F8230000}"/>
    <cellStyle name="20% - Accent4 10 2 3 3 2 3" xfId="38430" xr:uid="{00000000-0005-0000-0000-0000F9230000}"/>
    <cellStyle name="20% - Accent4 10 2 3 3 3" xfId="19014" xr:uid="{00000000-0005-0000-0000-0000FA230000}"/>
    <cellStyle name="20% - Accent4 10 2 3 3 3 2" xfId="44888" xr:uid="{00000000-0005-0000-0000-0000FB230000}"/>
    <cellStyle name="20% - Accent4 10 2 3 3 4" xfId="31972" xr:uid="{00000000-0005-0000-0000-0000FC230000}"/>
    <cellStyle name="20% - Accent4 10 2 3 4" xfId="9327" xr:uid="{00000000-0005-0000-0000-0000FD230000}"/>
    <cellStyle name="20% - Accent4 10 2 3 4 2" xfId="22244" xr:uid="{00000000-0005-0000-0000-0000FE230000}"/>
    <cellStyle name="20% - Accent4 10 2 3 4 2 2" xfId="48118" xr:uid="{00000000-0005-0000-0000-0000FF230000}"/>
    <cellStyle name="20% - Accent4 10 2 3 4 3" xfId="35202" xr:uid="{00000000-0005-0000-0000-000000240000}"/>
    <cellStyle name="20% - Accent4 10 2 3 5" xfId="15786" xr:uid="{00000000-0005-0000-0000-000001240000}"/>
    <cellStyle name="20% - Accent4 10 2 3 5 2" xfId="41660" xr:uid="{00000000-0005-0000-0000-000002240000}"/>
    <cellStyle name="20% - Accent4 10 2 3 6" xfId="28712" xr:uid="{00000000-0005-0000-0000-000003240000}"/>
    <cellStyle name="20% - Accent4 10 2 4" xfId="3649" xr:uid="{00000000-0005-0000-0000-000004240000}"/>
    <cellStyle name="20% - Accent4 10 2 4 2" xfId="6903" xr:uid="{00000000-0005-0000-0000-000005240000}"/>
    <cellStyle name="20% - Accent4 10 2 4 2 2" xfId="13362" xr:uid="{00000000-0005-0000-0000-000006240000}"/>
    <cellStyle name="20% - Accent4 10 2 4 2 2 2" xfId="26279" xr:uid="{00000000-0005-0000-0000-000007240000}"/>
    <cellStyle name="20% - Accent4 10 2 4 2 2 2 2" xfId="52153" xr:uid="{00000000-0005-0000-0000-000008240000}"/>
    <cellStyle name="20% - Accent4 10 2 4 2 2 3" xfId="39237" xr:uid="{00000000-0005-0000-0000-000009240000}"/>
    <cellStyle name="20% - Accent4 10 2 4 2 3" xfId="19821" xr:uid="{00000000-0005-0000-0000-00000A240000}"/>
    <cellStyle name="20% - Accent4 10 2 4 2 3 2" xfId="45695" xr:uid="{00000000-0005-0000-0000-00000B240000}"/>
    <cellStyle name="20% - Accent4 10 2 4 2 4" xfId="32779" xr:uid="{00000000-0005-0000-0000-00000C240000}"/>
    <cellStyle name="20% - Accent4 10 2 4 3" xfId="10134" xr:uid="{00000000-0005-0000-0000-00000D240000}"/>
    <cellStyle name="20% - Accent4 10 2 4 3 2" xfId="23051" xr:uid="{00000000-0005-0000-0000-00000E240000}"/>
    <cellStyle name="20% - Accent4 10 2 4 3 2 2" xfId="48925" xr:uid="{00000000-0005-0000-0000-00000F240000}"/>
    <cellStyle name="20% - Accent4 10 2 4 3 3" xfId="36009" xr:uid="{00000000-0005-0000-0000-000010240000}"/>
    <cellStyle name="20% - Accent4 10 2 4 4" xfId="16593" xr:uid="{00000000-0005-0000-0000-000011240000}"/>
    <cellStyle name="20% - Accent4 10 2 4 4 2" xfId="42467" xr:uid="{00000000-0005-0000-0000-000012240000}"/>
    <cellStyle name="20% - Accent4 10 2 4 5" xfId="29519" xr:uid="{00000000-0005-0000-0000-000013240000}"/>
    <cellStyle name="20% - Accent4 10 2 5" xfId="5289" xr:uid="{00000000-0005-0000-0000-000014240000}"/>
    <cellStyle name="20% - Accent4 10 2 5 2" xfId="11748" xr:uid="{00000000-0005-0000-0000-000015240000}"/>
    <cellStyle name="20% - Accent4 10 2 5 2 2" xfId="24665" xr:uid="{00000000-0005-0000-0000-000016240000}"/>
    <cellStyle name="20% - Accent4 10 2 5 2 2 2" xfId="50539" xr:uid="{00000000-0005-0000-0000-000017240000}"/>
    <cellStyle name="20% - Accent4 10 2 5 2 3" xfId="37623" xr:uid="{00000000-0005-0000-0000-000018240000}"/>
    <cellStyle name="20% - Accent4 10 2 5 3" xfId="18207" xr:uid="{00000000-0005-0000-0000-000019240000}"/>
    <cellStyle name="20% - Accent4 10 2 5 3 2" xfId="44081" xr:uid="{00000000-0005-0000-0000-00001A240000}"/>
    <cellStyle name="20% - Accent4 10 2 5 4" xfId="31165" xr:uid="{00000000-0005-0000-0000-00001B240000}"/>
    <cellStyle name="20% - Accent4 10 2 6" xfId="8520" xr:uid="{00000000-0005-0000-0000-00001C240000}"/>
    <cellStyle name="20% - Accent4 10 2 6 2" xfId="21437" xr:uid="{00000000-0005-0000-0000-00001D240000}"/>
    <cellStyle name="20% - Accent4 10 2 6 2 2" xfId="47311" xr:uid="{00000000-0005-0000-0000-00001E240000}"/>
    <cellStyle name="20% - Accent4 10 2 6 3" xfId="34395" xr:uid="{00000000-0005-0000-0000-00001F240000}"/>
    <cellStyle name="20% - Accent4 10 2 7" xfId="14979" xr:uid="{00000000-0005-0000-0000-000020240000}"/>
    <cellStyle name="20% - Accent4 10 2 7 2" xfId="40853" xr:uid="{00000000-0005-0000-0000-000021240000}"/>
    <cellStyle name="20% - Accent4 10 2 8" xfId="27904" xr:uid="{00000000-0005-0000-0000-000022240000}"/>
    <cellStyle name="20% - Accent4 10 2 9" xfId="53767" xr:uid="{00000000-0005-0000-0000-000023240000}"/>
    <cellStyle name="20% - Accent4 10 3" xfId="2217" xr:uid="{00000000-0005-0000-0000-000024240000}"/>
    <cellStyle name="20% - Accent4 10 3 2" xfId="3031" xr:uid="{00000000-0005-0000-0000-000025240000}"/>
    <cellStyle name="20% - Accent4 10 3 2 2" xfId="4688" xr:uid="{00000000-0005-0000-0000-000026240000}"/>
    <cellStyle name="20% - Accent4 10 3 2 2 2" xfId="7919" xr:uid="{00000000-0005-0000-0000-000027240000}"/>
    <cellStyle name="20% - Accent4 10 3 2 2 2 2" xfId="14378" xr:uid="{00000000-0005-0000-0000-000028240000}"/>
    <cellStyle name="20% - Accent4 10 3 2 2 2 2 2" xfId="27295" xr:uid="{00000000-0005-0000-0000-000029240000}"/>
    <cellStyle name="20% - Accent4 10 3 2 2 2 2 2 2" xfId="53169" xr:uid="{00000000-0005-0000-0000-00002A240000}"/>
    <cellStyle name="20% - Accent4 10 3 2 2 2 2 3" xfId="40253" xr:uid="{00000000-0005-0000-0000-00002B240000}"/>
    <cellStyle name="20% - Accent4 10 3 2 2 2 3" xfId="20837" xr:uid="{00000000-0005-0000-0000-00002C240000}"/>
    <cellStyle name="20% - Accent4 10 3 2 2 2 3 2" xfId="46711" xr:uid="{00000000-0005-0000-0000-00002D240000}"/>
    <cellStyle name="20% - Accent4 10 3 2 2 2 4" xfId="33795" xr:uid="{00000000-0005-0000-0000-00002E240000}"/>
    <cellStyle name="20% - Accent4 10 3 2 2 3" xfId="11150" xr:uid="{00000000-0005-0000-0000-00002F240000}"/>
    <cellStyle name="20% - Accent4 10 3 2 2 3 2" xfId="24067" xr:uid="{00000000-0005-0000-0000-000030240000}"/>
    <cellStyle name="20% - Accent4 10 3 2 2 3 2 2" xfId="49941" xr:uid="{00000000-0005-0000-0000-000031240000}"/>
    <cellStyle name="20% - Accent4 10 3 2 2 3 3" xfId="37025" xr:uid="{00000000-0005-0000-0000-000032240000}"/>
    <cellStyle name="20% - Accent4 10 3 2 2 4" xfId="17609" xr:uid="{00000000-0005-0000-0000-000033240000}"/>
    <cellStyle name="20% - Accent4 10 3 2 2 4 2" xfId="43483" xr:uid="{00000000-0005-0000-0000-000034240000}"/>
    <cellStyle name="20% - Accent4 10 3 2 2 5" xfId="30535" xr:uid="{00000000-0005-0000-0000-000035240000}"/>
    <cellStyle name="20% - Accent4 10 3 2 3" xfId="6305" xr:uid="{00000000-0005-0000-0000-000036240000}"/>
    <cellStyle name="20% - Accent4 10 3 2 3 2" xfId="12764" xr:uid="{00000000-0005-0000-0000-000037240000}"/>
    <cellStyle name="20% - Accent4 10 3 2 3 2 2" xfId="25681" xr:uid="{00000000-0005-0000-0000-000038240000}"/>
    <cellStyle name="20% - Accent4 10 3 2 3 2 2 2" xfId="51555" xr:uid="{00000000-0005-0000-0000-000039240000}"/>
    <cellStyle name="20% - Accent4 10 3 2 3 2 3" xfId="38639" xr:uid="{00000000-0005-0000-0000-00003A240000}"/>
    <cellStyle name="20% - Accent4 10 3 2 3 3" xfId="19223" xr:uid="{00000000-0005-0000-0000-00003B240000}"/>
    <cellStyle name="20% - Accent4 10 3 2 3 3 2" xfId="45097" xr:uid="{00000000-0005-0000-0000-00003C240000}"/>
    <cellStyle name="20% - Accent4 10 3 2 3 4" xfId="32181" xr:uid="{00000000-0005-0000-0000-00003D240000}"/>
    <cellStyle name="20% - Accent4 10 3 2 4" xfId="9536" xr:uid="{00000000-0005-0000-0000-00003E240000}"/>
    <cellStyle name="20% - Accent4 10 3 2 4 2" xfId="22453" xr:uid="{00000000-0005-0000-0000-00003F240000}"/>
    <cellStyle name="20% - Accent4 10 3 2 4 2 2" xfId="48327" xr:uid="{00000000-0005-0000-0000-000040240000}"/>
    <cellStyle name="20% - Accent4 10 3 2 4 3" xfId="35411" xr:uid="{00000000-0005-0000-0000-000041240000}"/>
    <cellStyle name="20% - Accent4 10 3 2 5" xfId="15995" xr:uid="{00000000-0005-0000-0000-000042240000}"/>
    <cellStyle name="20% - Accent4 10 3 2 5 2" xfId="41869" xr:uid="{00000000-0005-0000-0000-000043240000}"/>
    <cellStyle name="20% - Accent4 10 3 2 6" xfId="28921" xr:uid="{00000000-0005-0000-0000-000044240000}"/>
    <cellStyle name="20% - Accent4 10 3 3" xfId="3858" xr:uid="{00000000-0005-0000-0000-000045240000}"/>
    <cellStyle name="20% - Accent4 10 3 3 2" xfId="7112" xr:uid="{00000000-0005-0000-0000-000046240000}"/>
    <cellStyle name="20% - Accent4 10 3 3 2 2" xfId="13571" xr:uid="{00000000-0005-0000-0000-000047240000}"/>
    <cellStyle name="20% - Accent4 10 3 3 2 2 2" xfId="26488" xr:uid="{00000000-0005-0000-0000-000048240000}"/>
    <cellStyle name="20% - Accent4 10 3 3 2 2 2 2" xfId="52362" xr:uid="{00000000-0005-0000-0000-000049240000}"/>
    <cellStyle name="20% - Accent4 10 3 3 2 2 3" xfId="39446" xr:uid="{00000000-0005-0000-0000-00004A240000}"/>
    <cellStyle name="20% - Accent4 10 3 3 2 3" xfId="20030" xr:uid="{00000000-0005-0000-0000-00004B240000}"/>
    <cellStyle name="20% - Accent4 10 3 3 2 3 2" xfId="45904" xr:uid="{00000000-0005-0000-0000-00004C240000}"/>
    <cellStyle name="20% - Accent4 10 3 3 2 4" xfId="32988" xr:uid="{00000000-0005-0000-0000-00004D240000}"/>
    <cellStyle name="20% - Accent4 10 3 3 3" xfId="10343" xr:uid="{00000000-0005-0000-0000-00004E240000}"/>
    <cellStyle name="20% - Accent4 10 3 3 3 2" xfId="23260" xr:uid="{00000000-0005-0000-0000-00004F240000}"/>
    <cellStyle name="20% - Accent4 10 3 3 3 2 2" xfId="49134" xr:uid="{00000000-0005-0000-0000-000050240000}"/>
    <cellStyle name="20% - Accent4 10 3 3 3 3" xfId="36218" xr:uid="{00000000-0005-0000-0000-000051240000}"/>
    <cellStyle name="20% - Accent4 10 3 3 4" xfId="16802" xr:uid="{00000000-0005-0000-0000-000052240000}"/>
    <cellStyle name="20% - Accent4 10 3 3 4 2" xfId="42676" xr:uid="{00000000-0005-0000-0000-000053240000}"/>
    <cellStyle name="20% - Accent4 10 3 3 5" xfId="29728" xr:uid="{00000000-0005-0000-0000-000054240000}"/>
    <cellStyle name="20% - Accent4 10 3 4" xfId="5498" xr:uid="{00000000-0005-0000-0000-000055240000}"/>
    <cellStyle name="20% - Accent4 10 3 4 2" xfId="11957" xr:uid="{00000000-0005-0000-0000-000056240000}"/>
    <cellStyle name="20% - Accent4 10 3 4 2 2" xfId="24874" xr:uid="{00000000-0005-0000-0000-000057240000}"/>
    <cellStyle name="20% - Accent4 10 3 4 2 2 2" xfId="50748" xr:uid="{00000000-0005-0000-0000-000058240000}"/>
    <cellStyle name="20% - Accent4 10 3 4 2 3" xfId="37832" xr:uid="{00000000-0005-0000-0000-000059240000}"/>
    <cellStyle name="20% - Accent4 10 3 4 3" xfId="18416" xr:uid="{00000000-0005-0000-0000-00005A240000}"/>
    <cellStyle name="20% - Accent4 10 3 4 3 2" xfId="44290" xr:uid="{00000000-0005-0000-0000-00005B240000}"/>
    <cellStyle name="20% - Accent4 10 3 4 4" xfId="31374" xr:uid="{00000000-0005-0000-0000-00005C240000}"/>
    <cellStyle name="20% - Accent4 10 3 5" xfId="8729" xr:uid="{00000000-0005-0000-0000-00005D240000}"/>
    <cellStyle name="20% - Accent4 10 3 5 2" xfId="21646" xr:uid="{00000000-0005-0000-0000-00005E240000}"/>
    <cellStyle name="20% - Accent4 10 3 5 2 2" xfId="47520" xr:uid="{00000000-0005-0000-0000-00005F240000}"/>
    <cellStyle name="20% - Accent4 10 3 5 3" xfId="34604" xr:uid="{00000000-0005-0000-0000-000060240000}"/>
    <cellStyle name="20% - Accent4 10 3 6" xfId="15188" xr:uid="{00000000-0005-0000-0000-000061240000}"/>
    <cellStyle name="20% - Accent4 10 3 6 2" xfId="41062" xr:uid="{00000000-0005-0000-0000-000062240000}"/>
    <cellStyle name="20% - Accent4 10 3 7" xfId="28114" xr:uid="{00000000-0005-0000-0000-000063240000}"/>
    <cellStyle name="20% - Accent4 10 3 8" xfId="53976" xr:uid="{00000000-0005-0000-0000-000064240000}"/>
    <cellStyle name="20% - Accent4 10 4" xfId="2628" xr:uid="{00000000-0005-0000-0000-000065240000}"/>
    <cellStyle name="20% - Accent4 10 4 2" xfId="4285" xr:uid="{00000000-0005-0000-0000-000066240000}"/>
    <cellStyle name="20% - Accent4 10 4 2 2" xfId="7516" xr:uid="{00000000-0005-0000-0000-000067240000}"/>
    <cellStyle name="20% - Accent4 10 4 2 2 2" xfId="13975" xr:uid="{00000000-0005-0000-0000-000068240000}"/>
    <cellStyle name="20% - Accent4 10 4 2 2 2 2" xfId="26892" xr:uid="{00000000-0005-0000-0000-000069240000}"/>
    <cellStyle name="20% - Accent4 10 4 2 2 2 2 2" xfId="52766" xr:uid="{00000000-0005-0000-0000-00006A240000}"/>
    <cellStyle name="20% - Accent4 10 4 2 2 2 3" xfId="39850" xr:uid="{00000000-0005-0000-0000-00006B240000}"/>
    <cellStyle name="20% - Accent4 10 4 2 2 3" xfId="20434" xr:uid="{00000000-0005-0000-0000-00006C240000}"/>
    <cellStyle name="20% - Accent4 10 4 2 2 3 2" xfId="46308" xr:uid="{00000000-0005-0000-0000-00006D240000}"/>
    <cellStyle name="20% - Accent4 10 4 2 2 4" xfId="33392" xr:uid="{00000000-0005-0000-0000-00006E240000}"/>
    <cellStyle name="20% - Accent4 10 4 2 3" xfId="10747" xr:uid="{00000000-0005-0000-0000-00006F240000}"/>
    <cellStyle name="20% - Accent4 10 4 2 3 2" xfId="23664" xr:uid="{00000000-0005-0000-0000-000070240000}"/>
    <cellStyle name="20% - Accent4 10 4 2 3 2 2" xfId="49538" xr:uid="{00000000-0005-0000-0000-000071240000}"/>
    <cellStyle name="20% - Accent4 10 4 2 3 3" xfId="36622" xr:uid="{00000000-0005-0000-0000-000072240000}"/>
    <cellStyle name="20% - Accent4 10 4 2 4" xfId="17206" xr:uid="{00000000-0005-0000-0000-000073240000}"/>
    <cellStyle name="20% - Accent4 10 4 2 4 2" xfId="43080" xr:uid="{00000000-0005-0000-0000-000074240000}"/>
    <cellStyle name="20% - Accent4 10 4 2 5" xfId="30132" xr:uid="{00000000-0005-0000-0000-000075240000}"/>
    <cellStyle name="20% - Accent4 10 4 3" xfId="5902" xr:uid="{00000000-0005-0000-0000-000076240000}"/>
    <cellStyle name="20% - Accent4 10 4 3 2" xfId="12361" xr:uid="{00000000-0005-0000-0000-000077240000}"/>
    <cellStyle name="20% - Accent4 10 4 3 2 2" xfId="25278" xr:uid="{00000000-0005-0000-0000-000078240000}"/>
    <cellStyle name="20% - Accent4 10 4 3 2 2 2" xfId="51152" xr:uid="{00000000-0005-0000-0000-000079240000}"/>
    <cellStyle name="20% - Accent4 10 4 3 2 3" xfId="38236" xr:uid="{00000000-0005-0000-0000-00007A240000}"/>
    <cellStyle name="20% - Accent4 10 4 3 3" xfId="18820" xr:uid="{00000000-0005-0000-0000-00007B240000}"/>
    <cellStyle name="20% - Accent4 10 4 3 3 2" xfId="44694" xr:uid="{00000000-0005-0000-0000-00007C240000}"/>
    <cellStyle name="20% - Accent4 10 4 3 4" xfId="31778" xr:uid="{00000000-0005-0000-0000-00007D240000}"/>
    <cellStyle name="20% - Accent4 10 4 4" xfId="9133" xr:uid="{00000000-0005-0000-0000-00007E240000}"/>
    <cellStyle name="20% - Accent4 10 4 4 2" xfId="22050" xr:uid="{00000000-0005-0000-0000-00007F240000}"/>
    <cellStyle name="20% - Accent4 10 4 4 2 2" xfId="47924" xr:uid="{00000000-0005-0000-0000-000080240000}"/>
    <cellStyle name="20% - Accent4 10 4 4 3" xfId="35008" xr:uid="{00000000-0005-0000-0000-000081240000}"/>
    <cellStyle name="20% - Accent4 10 4 5" xfId="15592" xr:uid="{00000000-0005-0000-0000-000082240000}"/>
    <cellStyle name="20% - Accent4 10 4 5 2" xfId="41466" xr:uid="{00000000-0005-0000-0000-000083240000}"/>
    <cellStyle name="20% - Accent4 10 4 6" xfId="28518" xr:uid="{00000000-0005-0000-0000-000084240000}"/>
    <cellStyle name="20% - Accent4 10 5" xfId="3455" xr:uid="{00000000-0005-0000-0000-000085240000}"/>
    <cellStyle name="20% - Accent4 10 5 2" xfId="6709" xr:uid="{00000000-0005-0000-0000-000086240000}"/>
    <cellStyle name="20% - Accent4 10 5 2 2" xfId="13168" xr:uid="{00000000-0005-0000-0000-000087240000}"/>
    <cellStyle name="20% - Accent4 10 5 2 2 2" xfId="26085" xr:uid="{00000000-0005-0000-0000-000088240000}"/>
    <cellStyle name="20% - Accent4 10 5 2 2 2 2" xfId="51959" xr:uid="{00000000-0005-0000-0000-000089240000}"/>
    <cellStyle name="20% - Accent4 10 5 2 2 3" xfId="39043" xr:uid="{00000000-0005-0000-0000-00008A240000}"/>
    <cellStyle name="20% - Accent4 10 5 2 3" xfId="19627" xr:uid="{00000000-0005-0000-0000-00008B240000}"/>
    <cellStyle name="20% - Accent4 10 5 2 3 2" xfId="45501" xr:uid="{00000000-0005-0000-0000-00008C240000}"/>
    <cellStyle name="20% - Accent4 10 5 2 4" xfId="32585" xr:uid="{00000000-0005-0000-0000-00008D240000}"/>
    <cellStyle name="20% - Accent4 10 5 3" xfId="9940" xr:uid="{00000000-0005-0000-0000-00008E240000}"/>
    <cellStyle name="20% - Accent4 10 5 3 2" xfId="22857" xr:uid="{00000000-0005-0000-0000-00008F240000}"/>
    <cellStyle name="20% - Accent4 10 5 3 2 2" xfId="48731" xr:uid="{00000000-0005-0000-0000-000090240000}"/>
    <cellStyle name="20% - Accent4 10 5 3 3" xfId="35815" xr:uid="{00000000-0005-0000-0000-000091240000}"/>
    <cellStyle name="20% - Accent4 10 5 4" xfId="16399" xr:uid="{00000000-0005-0000-0000-000092240000}"/>
    <cellStyle name="20% - Accent4 10 5 4 2" xfId="42273" xr:uid="{00000000-0005-0000-0000-000093240000}"/>
    <cellStyle name="20% - Accent4 10 5 5" xfId="29325" xr:uid="{00000000-0005-0000-0000-000094240000}"/>
    <cellStyle name="20% - Accent4 10 6" xfId="5095" xr:uid="{00000000-0005-0000-0000-000095240000}"/>
    <cellStyle name="20% - Accent4 10 6 2" xfId="11554" xr:uid="{00000000-0005-0000-0000-000096240000}"/>
    <cellStyle name="20% - Accent4 10 6 2 2" xfId="24471" xr:uid="{00000000-0005-0000-0000-000097240000}"/>
    <cellStyle name="20% - Accent4 10 6 2 2 2" xfId="50345" xr:uid="{00000000-0005-0000-0000-000098240000}"/>
    <cellStyle name="20% - Accent4 10 6 2 3" xfId="37429" xr:uid="{00000000-0005-0000-0000-000099240000}"/>
    <cellStyle name="20% - Accent4 10 6 3" xfId="18013" xr:uid="{00000000-0005-0000-0000-00009A240000}"/>
    <cellStyle name="20% - Accent4 10 6 3 2" xfId="43887" xr:uid="{00000000-0005-0000-0000-00009B240000}"/>
    <cellStyle name="20% - Accent4 10 6 4" xfId="30971" xr:uid="{00000000-0005-0000-0000-00009C240000}"/>
    <cellStyle name="20% - Accent4 10 7" xfId="8325" xr:uid="{00000000-0005-0000-0000-00009D240000}"/>
    <cellStyle name="20% - Accent4 10 7 2" xfId="21242" xr:uid="{00000000-0005-0000-0000-00009E240000}"/>
    <cellStyle name="20% - Accent4 10 7 2 2" xfId="47116" xr:uid="{00000000-0005-0000-0000-00009F240000}"/>
    <cellStyle name="20% - Accent4 10 7 3" xfId="34200" xr:uid="{00000000-0005-0000-0000-0000A0240000}"/>
    <cellStyle name="20% - Accent4 10 8" xfId="14784" xr:uid="{00000000-0005-0000-0000-0000A1240000}"/>
    <cellStyle name="20% - Accent4 10 8 2" xfId="40658" xr:uid="{00000000-0005-0000-0000-0000A2240000}"/>
    <cellStyle name="20% - Accent4 10 9" xfId="27708" xr:uid="{00000000-0005-0000-0000-0000A3240000}"/>
    <cellStyle name="20% - Accent4 11" xfId="1763" xr:uid="{00000000-0005-0000-0000-0000A4240000}"/>
    <cellStyle name="20% - Accent4 11 2" xfId="2257" xr:uid="{00000000-0005-0000-0000-0000A5240000}"/>
    <cellStyle name="20% - Accent4 11 2 2" xfId="3071" xr:uid="{00000000-0005-0000-0000-0000A6240000}"/>
    <cellStyle name="20% - Accent4 11 2 2 2" xfId="4728" xr:uid="{00000000-0005-0000-0000-0000A7240000}"/>
    <cellStyle name="20% - Accent4 11 2 2 2 2" xfId="7959" xr:uid="{00000000-0005-0000-0000-0000A8240000}"/>
    <cellStyle name="20% - Accent4 11 2 2 2 2 2" xfId="14418" xr:uid="{00000000-0005-0000-0000-0000A9240000}"/>
    <cellStyle name="20% - Accent4 11 2 2 2 2 2 2" xfId="27335" xr:uid="{00000000-0005-0000-0000-0000AA240000}"/>
    <cellStyle name="20% - Accent4 11 2 2 2 2 2 2 2" xfId="53209" xr:uid="{00000000-0005-0000-0000-0000AB240000}"/>
    <cellStyle name="20% - Accent4 11 2 2 2 2 2 3" xfId="40293" xr:uid="{00000000-0005-0000-0000-0000AC240000}"/>
    <cellStyle name="20% - Accent4 11 2 2 2 2 3" xfId="20877" xr:uid="{00000000-0005-0000-0000-0000AD240000}"/>
    <cellStyle name="20% - Accent4 11 2 2 2 2 3 2" xfId="46751" xr:uid="{00000000-0005-0000-0000-0000AE240000}"/>
    <cellStyle name="20% - Accent4 11 2 2 2 2 4" xfId="33835" xr:uid="{00000000-0005-0000-0000-0000AF240000}"/>
    <cellStyle name="20% - Accent4 11 2 2 2 3" xfId="11190" xr:uid="{00000000-0005-0000-0000-0000B0240000}"/>
    <cellStyle name="20% - Accent4 11 2 2 2 3 2" xfId="24107" xr:uid="{00000000-0005-0000-0000-0000B1240000}"/>
    <cellStyle name="20% - Accent4 11 2 2 2 3 2 2" xfId="49981" xr:uid="{00000000-0005-0000-0000-0000B2240000}"/>
    <cellStyle name="20% - Accent4 11 2 2 2 3 3" xfId="37065" xr:uid="{00000000-0005-0000-0000-0000B3240000}"/>
    <cellStyle name="20% - Accent4 11 2 2 2 4" xfId="17649" xr:uid="{00000000-0005-0000-0000-0000B4240000}"/>
    <cellStyle name="20% - Accent4 11 2 2 2 4 2" xfId="43523" xr:uid="{00000000-0005-0000-0000-0000B5240000}"/>
    <cellStyle name="20% - Accent4 11 2 2 2 5" xfId="30575" xr:uid="{00000000-0005-0000-0000-0000B6240000}"/>
    <cellStyle name="20% - Accent4 11 2 2 3" xfId="6345" xr:uid="{00000000-0005-0000-0000-0000B7240000}"/>
    <cellStyle name="20% - Accent4 11 2 2 3 2" xfId="12804" xr:uid="{00000000-0005-0000-0000-0000B8240000}"/>
    <cellStyle name="20% - Accent4 11 2 2 3 2 2" xfId="25721" xr:uid="{00000000-0005-0000-0000-0000B9240000}"/>
    <cellStyle name="20% - Accent4 11 2 2 3 2 2 2" xfId="51595" xr:uid="{00000000-0005-0000-0000-0000BA240000}"/>
    <cellStyle name="20% - Accent4 11 2 2 3 2 3" xfId="38679" xr:uid="{00000000-0005-0000-0000-0000BB240000}"/>
    <cellStyle name="20% - Accent4 11 2 2 3 3" xfId="19263" xr:uid="{00000000-0005-0000-0000-0000BC240000}"/>
    <cellStyle name="20% - Accent4 11 2 2 3 3 2" xfId="45137" xr:uid="{00000000-0005-0000-0000-0000BD240000}"/>
    <cellStyle name="20% - Accent4 11 2 2 3 4" xfId="32221" xr:uid="{00000000-0005-0000-0000-0000BE240000}"/>
    <cellStyle name="20% - Accent4 11 2 2 4" xfId="9576" xr:uid="{00000000-0005-0000-0000-0000BF240000}"/>
    <cellStyle name="20% - Accent4 11 2 2 4 2" xfId="22493" xr:uid="{00000000-0005-0000-0000-0000C0240000}"/>
    <cellStyle name="20% - Accent4 11 2 2 4 2 2" xfId="48367" xr:uid="{00000000-0005-0000-0000-0000C1240000}"/>
    <cellStyle name="20% - Accent4 11 2 2 4 3" xfId="35451" xr:uid="{00000000-0005-0000-0000-0000C2240000}"/>
    <cellStyle name="20% - Accent4 11 2 2 5" xfId="16035" xr:uid="{00000000-0005-0000-0000-0000C3240000}"/>
    <cellStyle name="20% - Accent4 11 2 2 5 2" xfId="41909" xr:uid="{00000000-0005-0000-0000-0000C4240000}"/>
    <cellStyle name="20% - Accent4 11 2 2 6" xfId="28961" xr:uid="{00000000-0005-0000-0000-0000C5240000}"/>
    <cellStyle name="20% - Accent4 11 2 3" xfId="3898" xr:uid="{00000000-0005-0000-0000-0000C6240000}"/>
    <cellStyle name="20% - Accent4 11 2 3 2" xfId="7152" xr:uid="{00000000-0005-0000-0000-0000C7240000}"/>
    <cellStyle name="20% - Accent4 11 2 3 2 2" xfId="13611" xr:uid="{00000000-0005-0000-0000-0000C8240000}"/>
    <cellStyle name="20% - Accent4 11 2 3 2 2 2" xfId="26528" xr:uid="{00000000-0005-0000-0000-0000C9240000}"/>
    <cellStyle name="20% - Accent4 11 2 3 2 2 2 2" xfId="52402" xr:uid="{00000000-0005-0000-0000-0000CA240000}"/>
    <cellStyle name="20% - Accent4 11 2 3 2 2 3" xfId="39486" xr:uid="{00000000-0005-0000-0000-0000CB240000}"/>
    <cellStyle name="20% - Accent4 11 2 3 2 3" xfId="20070" xr:uid="{00000000-0005-0000-0000-0000CC240000}"/>
    <cellStyle name="20% - Accent4 11 2 3 2 3 2" xfId="45944" xr:uid="{00000000-0005-0000-0000-0000CD240000}"/>
    <cellStyle name="20% - Accent4 11 2 3 2 4" xfId="33028" xr:uid="{00000000-0005-0000-0000-0000CE240000}"/>
    <cellStyle name="20% - Accent4 11 2 3 3" xfId="10383" xr:uid="{00000000-0005-0000-0000-0000CF240000}"/>
    <cellStyle name="20% - Accent4 11 2 3 3 2" xfId="23300" xr:uid="{00000000-0005-0000-0000-0000D0240000}"/>
    <cellStyle name="20% - Accent4 11 2 3 3 2 2" xfId="49174" xr:uid="{00000000-0005-0000-0000-0000D1240000}"/>
    <cellStyle name="20% - Accent4 11 2 3 3 3" xfId="36258" xr:uid="{00000000-0005-0000-0000-0000D2240000}"/>
    <cellStyle name="20% - Accent4 11 2 3 4" xfId="16842" xr:uid="{00000000-0005-0000-0000-0000D3240000}"/>
    <cellStyle name="20% - Accent4 11 2 3 4 2" xfId="42716" xr:uid="{00000000-0005-0000-0000-0000D4240000}"/>
    <cellStyle name="20% - Accent4 11 2 3 5" xfId="29768" xr:uid="{00000000-0005-0000-0000-0000D5240000}"/>
    <cellStyle name="20% - Accent4 11 2 4" xfId="5538" xr:uid="{00000000-0005-0000-0000-0000D6240000}"/>
    <cellStyle name="20% - Accent4 11 2 4 2" xfId="11997" xr:uid="{00000000-0005-0000-0000-0000D7240000}"/>
    <cellStyle name="20% - Accent4 11 2 4 2 2" xfId="24914" xr:uid="{00000000-0005-0000-0000-0000D8240000}"/>
    <cellStyle name="20% - Accent4 11 2 4 2 2 2" xfId="50788" xr:uid="{00000000-0005-0000-0000-0000D9240000}"/>
    <cellStyle name="20% - Accent4 11 2 4 2 3" xfId="37872" xr:uid="{00000000-0005-0000-0000-0000DA240000}"/>
    <cellStyle name="20% - Accent4 11 2 4 3" xfId="18456" xr:uid="{00000000-0005-0000-0000-0000DB240000}"/>
    <cellStyle name="20% - Accent4 11 2 4 3 2" xfId="44330" xr:uid="{00000000-0005-0000-0000-0000DC240000}"/>
    <cellStyle name="20% - Accent4 11 2 4 4" xfId="31414" xr:uid="{00000000-0005-0000-0000-0000DD240000}"/>
    <cellStyle name="20% - Accent4 11 2 5" xfId="8769" xr:uid="{00000000-0005-0000-0000-0000DE240000}"/>
    <cellStyle name="20% - Accent4 11 2 5 2" xfId="21686" xr:uid="{00000000-0005-0000-0000-0000DF240000}"/>
    <cellStyle name="20% - Accent4 11 2 5 2 2" xfId="47560" xr:uid="{00000000-0005-0000-0000-0000E0240000}"/>
    <cellStyle name="20% - Accent4 11 2 5 3" xfId="34644" xr:uid="{00000000-0005-0000-0000-0000E1240000}"/>
    <cellStyle name="20% - Accent4 11 2 6" xfId="15228" xr:uid="{00000000-0005-0000-0000-0000E2240000}"/>
    <cellStyle name="20% - Accent4 11 2 6 2" xfId="41102" xr:uid="{00000000-0005-0000-0000-0000E3240000}"/>
    <cellStyle name="20% - Accent4 11 2 7" xfId="28154" xr:uid="{00000000-0005-0000-0000-0000E4240000}"/>
    <cellStyle name="20% - Accent4 11 2 8" xfId="54016" xr:uid="{00000000-0005-0000-0000-0000E5240000}"/>
    <cellStyle name="20% - Accent4 11 3" xfId="2668" xr:uid="{00000000-0005-0000-0000-0000E6240000}"/>
    <cellStyle name="20% - Accent4 11 3 2" xfId="4325" xr:uid="{00000000-0005-0000-0000-0000E7240000}"/>
    <cellStyle name="20% - Accent4 11 3 2 2" xfId="7556" xr:uid="{00000000-0005-0000-0000-0000E8240000}"/>
    <cellStyle name="20% - Accent4 11 3 2 2 2" xfId="14015" xr:uid="{00000000-0005-0000-0000-0000E9240000}"/>
    <cellStyle name="20% - Accent4 11 3 2 2 2 2" xfId="26932" xr:uid="{00000000-0005-0000-0000-0000EA240000}"/>
    <cellStyle name="20% - Accent4 11 3 2 2 2 2 2" xfId="52806" xr:uid="{00000000-0005-0000-0000-0000EB240000}"/>
    <cellStyle name="20% - Accent4 11 3 2 2 2 3" xfId="39890" xr:uid="{00000000-0005-0000-0000-0000EC240000}"/>
    <cellStyle name="20% - Accent4 11 3 2 2 3" xfId="20474" xr:uid="{00000000-0005-0000-0000-0000ED240000}"/>
    <cellStyle name="20% - Accent4 11 3 2 2 3 2" xfId="46348" xr:uid="{00000000-0005-0000-0000-0000EE240000}"/>
    <cellStyle name="20% - Accent4 11 3 2 2 4" xfId="33432" xr:uid="{00000000-0005-0000-0000-0000EF240000}"/>
    <cellStyle name="20% - Accent4 11 3 2 3" xfId="10787" xr:uid="{00000000-0005-0000-0000-0000F0240000}"/>
    <cellStyle name="20% - Accent4 11 3 2 3 2" xfId="23704" xr:uid="{00000000-0005-0000-0000-0000F1240000}"/>
    <cellStyle name="20% - Accent4 11 3 2 3 2 2" xfId="49578" xr:uid="{00000000-0005-0000-0000-0000F2240000}"/>
    <cellStyle name="20% - Accent4 11 3 2 3 3" xfId="36662" xr:uid="{00000000-0005-0000-0000-0000F3240000}"/>
    <cellStyle name="20% - Accent4 11 3 2 4" xfId="17246" xr:uid="{00000000-0005-0000-0000-0000F4240000}"/>
    <cellStyle name="20% - Accent4 11 3 2 4 2" xfId="43120" xr:uid="{00000000-0005-0000-0000-0000F5240000}"/>
    <cellStyle name="20% - Accent4 11 3 2 5" xfId="30172" xr:uid="{00000000-0005-0000-0000-0000F6240000}"/>
    <cellStyle name="20% - Accent4 11 3 3" xfId="5942" xr:uid="{00000000-0005-0000-0000-0000F7240000}"/>
    <cellStyle name="20% - Accent4 11 3 3 2" xfId="12401" xr:uid="{00000000-0005-0000-0000-0000F8240000}"/>
    <cellStyle name="20% - Accent4 11 3 3 2 2" xfId="25318" xr:uid="{00000000-0005-0000-0000-0000F9240000}"/>
    <cellStyle name="20% - Accent4 11 3 3 2 2 2" xfId="51192" xr:uid="{00000000-0005-0000-0000-0000FA240000}"/>
    <cellStyle name="20% - Accent4 11 3 3 2 3" xfId="38276" xr:uid="{00000000-0005-0000-0000-0000FB240000}"/>
    <cellStyle name="20% - Accent4 11 3 3 3" xfId="18860" xr:uid="{00000000-0005-0000-0000-0000FC240000}"/>
    <cellStyle name="20% - Accent4 11 3 3 3 2" xfId="44734" xr:uid="{00000000-0005-0000-0000-0000FD240000}"/>
    <cellStyle name="20% - Accent4 11 3 3 4" xfId="31818" xr:uid="{00000000-0005-0000-0000-0000FE240000}"/>
    <cellStyle name="20% - Accent4 11 3 4" xfId="9173" xr:uid="{00000000-0005-0000-0000-0000FF240000}"/>
    <cellStyle name="20% - Accent4 11 3 4 2" xfId="22090" xr:uid="{00000000-0005-0000-0000-000000250000}"/>
    <cellStyle name="20% - Accent4 11 3 4 2 2" xfId="47964" xr:uid="{00000000-0005-0000-0000-000001250000}"/>
    <cellStyle name="20% - Accent4 11 3 4 3" xfId="35048" xr:uid="{00000000-0005-0000-0000-000002250000}"/>
    <cellStyle name="20% - Accent4 11 3 5" xfId="15632" xr:uid="{00000000-0005-0000-0000-000003250000}"/>
    <cellStyle name="20% - Accent4 11 3 5 2" xfId="41506" xr:uid="{00000000-0005-0000-0000-000004250000}"/>
    <cellStyle name="20% - Accent4 11 3 6" xfId="28558" xr:uid="{00000000-0005-0000-0000-000005250000}"/>
    <cellStyle name="20% - Accent4 11 4" xfId="3495" xr:uid="{00000000-0005-0000-0000-000006250000}"/>
    <cellStyle name="20% - Accent4 11 4 2" xfId="6749" xr:uid="{00000000-0005-0000-0000-000007250000}"/>
    <cellStyle name="20% - Accent4 11 4 2 2" xfId="13208" xr:uid="{00000000-0005-0000-0000-000008250000}"/>
    <cellStyle name="20% - Accent4 11 4 2 2 2" xfId="26125" xr:uid="{00000000-0005-0000-0000-000009250000}"/>
    <cellStyle name="20% - Accent4 11 4 2 2 2 2" xfId="51999" xr:uid="{00000000-0005-0000-0000-00000A250000}"/>
    <cellStyle name="20% - Accent4 11 4 2 2 3" xfId="39083" xr:uid="{00000000-0005-0000-0000-00000B250000}"/>
    <cellStyle name="20% - Accent4 11 4 2 3" xfId="19667" xr:uid="{00000000-0005-0000-0000-00000C250000}"/>
    <cellStyle name="20% - Accent4 11 4 2 3 2" xfId="45541" xr:uid="{00000000-0005-0000-0000-00000D250000}"/>
    <cellStyle name="20% - Accent4 11 4 2 4" xfId="32625" xr:uid="{00000000-0005-0000-0000-00000E250000}"/>
    <cellStyle name="20% - Accent4 11 4 3" xfId="9980" xr:uid="{00000000-0005-0000-0000-00000F250000}"/>
    <cellStyle name="20% - Accent4 11 4 3 2" xfId="22897" xr:uid="{00000000-0005-0000-0000-000010250000}"/>
    <cellStyle name="20% - Accent4 11 4 3 2 2" xfId="48771" xr:uid="{00000000-0005-0000-0000-000011250000}"/>
    <cellStyle name="20% - Accent4 11 4 3 3" xfId="35855" xr:uid="{00000000-0005-0000-0000-000012250000}"/>
    <cellStyle name="20% - Accent4 11 4 4" xfId="16439" xr:uid="{00000000-0005-0000-0000-000013250000}"/>
    <cellStyle name="20% - Accent4 11 4 4 2" xfId="42313" xr:uid="{00000000-0005-0000-0000-000014250000}"/>
    <cellStyle name="20% - Accent4 11 4 5" xfId="29365" xr:uid="{00000000-0005-0000-0000-000015250000}"/>
    <cellStyle name="20% - Accent4 11 5" xfId="5135" xr:uid="{00000000-0005-0000-0000-000016250000}"/>
    <cellStyle name="20% - Accent4 11 5 2" xfId="11594" xr:uid="{00000000-0005-0000-0000-000017250000}"/>
    <cellStyle name="20% - Accent4 11 5 2 2" xfId="24511" xr:uid="{00000000-0005-0000-0000-000018250000}"/>
    <cellStyle name="20% - Accent4 11 5 2 2 2" xfId="50385" xr:uid="{00000000-0005-0000-0000-000019250000}"/>
    <cellStyle name="20% - Accent4 11 5 2 3" xfId="37469" xr:uid="{00000000-0005-0000-0000-00001A250000}"/>
    <cellStyle name="20% - Accent4 11 5 3" xfId="18053" xr:uid="{00000000-0005-0000-0000-00001B250000}"/>
    <cellStyle name="20% - Accent4 11 5 3 2" xfId="43927" xr:uid="{00000000-0005-0000-0000-00001C250000}"/>
    <cellStyle name="20% - Accent4 11 5 4" xfId="31011" xr:uid="{00000000-0005-0000-0000-00001D250000}"/>
    <cellStyle name="20% - Accent4 11 6" xfId="8365" xr:uid="{00000000-0005-0000-0000-00001E250000}"/>
    <cellStyle name="20% - Accent4 11 6 2" xfId="21282" xr:uid="{00000000-0005-0000-0000-00001F250000}"/>
    <cellStyle name="20% - Accent4 11 6 2 2" xfId="47156" xr:uid="{00000000-0005-0000-0000-000020250000}"/>
    <cellStyle name="20% - Accent4 11 6 3" xfId="34240" xr:uid="{00000000-0005-0000-0000-000021250000}"/>
    <cellStyle name="20% - Accent4 11 7" xfId="14824" xr:uid="{00000000-0005-0000-0000-000022250000}"/>
    <cellStyle name="20% - Accent4 11 7 2" xfId="40698" xr:uid="{00000000-0005-0000-0000-000023250000}"/>
    <cellStyle name="20% - Accent4 11 8" xfId="27750" xr:uid="{00000000-0005-0000-0000-000024250000}"/>
    <cellStyle name="20% - Accent4 11 9" xfId="53613" xr:uid="{00000000-0005-0000-0000-000025250000}"/>
    <cellStyle name="20% - Accent4 12" xfId="2044" xr:uid="{00000000-0005-0000-0000-000026250000}"/>
    <cellStyle name="20% - Accent4 12 2" xfId="2453" xr:uid="{00000000-0005-0000-0000-000027250000}"/>
    <cellStyle name="20% - Accent4 12 2 2" xfId="3266" xr:uid="{00000000-0005-0000-0000-000028250000}"/>
    <cellStyle name="20% - Accent4 12 2 2 2" xfId="4923" xr:uid="{00000000-0005-0000-0000-000029250000}"/>
    <cellStyle name="20% - Accent4 12 2 2 2 2" xfId="8154" xr:uid="{00000000-0005-0000-0000-00002A250000}"/>
    <cellStyle name="20% - Accent4 12 2 2 2 2 2" xfId="14613" xr:uid="{00000000-0005-0000-0000-00002B250000}"/>
    <cellStyle name="20% - Accent4 12 2 2 2 2 2 2" xfId="27530" xr:uid="{00000000-0005-0000-0000-00002C250000}"/>
    <cellStyle name="20% - Accent4 12 2 2 2 2 2 2 2" xfId="53404" xr:uid="{00000000-0005-0000-0000-00002D250000}"/>
    <cellStyle name="20% - Accent4 12 2 2 2 2 2 3" xfId="40488" xr:uid="{00000000-0005-0000-0000-00002E250000}"/>
    <cellStyle name="20% - Accent4 12 2 2 2 2 3" xfId="21072" xr:uid="{00000000-0005-0000-0000-00002F250000}"/>
    <cellStyle name="20% - Accent4 12 2 2 2 2 3 2" xfId="46946" xr:uid="{00000000-0005-0000-0000-000030250000}"/>
    <cellStyle name="20% - Accent4 12 2 2 2 2 4" xfId="34030" xr:uid="{00000000-0005-0000-0000-000031250000}"/>
    <cellStyle name="20% - Accent4 12 2 2 2 3" xfId="11385" xr:uid="{00000000-0005-0000-0000-000032250000}"/>
    <cellStyle name="20% - Accent4 12 2 2 2 3 2" xfId="24302" xr:uid="{00000000-0005-0000-0000-000033250000}"/>
    <cellStyle name="20% - Accent4 12 2 2 2 3 2 2" xfId="50176" xr:uid="{00000000-0005-0000-0000-000034250000}"/>
    <cellStyle name="20% - Accent4 12 2 2 2 3 3" xfId="37260" xr:uid="{00000000-0005-0000-0000-000035250000}"/>
    <cellStyle name="20% - Accent4 12 2 2 2 4" xfId="17844" xr:uid="{00000000-0005-0000-0000-000036250000}"/>
    <cellStyle name="20% - Accent4 12 2 2 2 4 2" xfId="43718" xr:uid="{00000000-0005-0000-0000-000037250000}"/>
    <cellStyle name="20% - Accent4 12 2 2 2 5" xfId="30770" xr:uid="{00000000-0005-0000-0000-000038250000}"/>
    <cellStyle name="20% - Accent4 12 2 2 3" xfId="6540" xr:uid="{00000000-0005-0000-0000-000039250000}"/>
    <cellStyle name="20% - Accent4 12 2 2 3 2" xfId="12999" xr:uid="{00000000-0005-0000-0000-00003A250000}"/>
    <cellStyle name="20% - Accent4 12 2 2 3 2 2" xfId="25916" xr:uid="{00000000-0005-0000-0000-00003B250000}"/>
    <cellStyle name="20% - Accent4 12 2 2 3 2 2 2" xfId="51790" xr:uid="{00000000-0005-0000-0000-00003C250000}"/>
    <cellStyle name="20% - Accent4 12 2 2 3 2 3" xfId="38874" xr:uid="{00000000-0005-0000-0000-00003D250000}"/>
    <cellStyle name="20% - Accent4 12 2 2 3 3" xfId="19458" xr:uid="{00000000-0005-0000-0000-00003E250000}"/>
    <cellStyle name="20% - Accent4 12 2 2 3 3 2" xfId="45332" xr:uid="{00000000-0005-0000-0000-00003F250000}"/>
    <cellStyle name="20% - Accent4 12 2 2 3 4" xfId="32416" xr:uid="{00000000-0005-0000-0000-000040250000}"/>
    <cellStyle name="20% - Accent4 12 2 2 4" xfId="9771" xr:uid="{00000000-0005-0000-0000-000041250000}"/>
    <cellStyle name="20% - Accent4 12 2 2 4 2" xfId="22688" xr:uid="{00000000-0005-0000-0000-000042250000}"/>
    <cellStyle name="20% - Accent4 12 2 2 4 2 2" xfId="48562" xr:uid="{00000000-0005-0000-0000-000043250000}"/>
    <cellStyle name="20% - Accent4 12 2 2 4 3" xfId="35646" xr:uid="{00000000-0005-0000-0000-000044250000}"/>
    <cellStyle name="20% - Accent4 12 2 2 5" xfId="16230" xr:uid="{00000000-0005-0000-0000-000045250000}"/>
    <cellStyle name="20% - Accent4 12 2 2 5 2" xfId="42104" xr:uid="{00000000-0005-0000-0000-000046250000}"/>
    <cellStyle name="20% - Accent4 12 2 2 6" xfId="29156" xr:uid="{00000000-0005-0000-0000-000047250000}"/>
    <cellStyle name="20% - Accent4 12 2 3" xfId="4093" xr:uid="{00000000-0005-0000-0000-000048250000}"/>
    <cellStyle name="20% - Accent4 12 2 3 2" xfId="7347" xr:uid="{00000000-0005-0000-0000-000049250000}"/>
    <cellStyle name="20% - Accent4 12 2 3 2 2" xfId="13806" xr:uid="{00000000-0005-0000-0000-00004A250000}"/>
    <cellStyle name="20% - Accent4 12 2 3 2 2 2" xfId="26723" xr:uid="{00000000-0005-0000-0000-00004B250000}"/>
    <cellStyle name="20% - Accent4 12 2 3 2 2 2 2" xfId="52597" xr:uid="{00000000-0005-0000-0000-00004C250000}"/>
    <cellStyle name="20% - Accent4 12 2 3 2 2 3" xfId="39681" xr:uid="{00000000-0005-0000-0000-00004D250000}"/>
    <cellStyle name="20% - Accent4 12 2 3 2 3" xfId="20265" xr:uid="{00000000-0005-0000-0000-00004E250000}"/>
    <cellStyle name="20% - Accent4 12 2 3 2 3 2" xfId="46139" xr:uid="{00000000-0005-0000-0000-00004F250000}"/>
    <cellStyle name="20% - Accent4 12 2 3 2 4" xfId="33223" xr:uid="{00000000-0005-0000-0000-000050250000}"/>
    <cellStyle name="20% - Accent4 12 2 3 3" xfId="10578" xr:uid="{00000000-0005-0000-0000-000051250000}"/>
    <cellStyle name="20% - Accent4 12 2 3 3 2" xfId="23495" xr:uid="{00000000-0005-0000-0000-000052250000}"/>
    <cellStyle name="20% - Accent4 12 2 3 3 2 2" xfId="49369" xr:uid="{00000000-0005-0000-0000-000053250000}"/>
    <cellStyle name="20% - Accent4 12 2 3 3 3" xfId="36453" xr:uid="{00000000-0005-0000-0000-000054250000}"/>
    <cellStyle name="20% - Accent4 12 2 3 4" xfId="17037" xr:uid="{00000000-0005-0000-0000-000055250000}"/>
    <cellStyle name="20% - Accent4 12 2 3 4 2" xfId="42911" xr:uid="{00000000-0005-0000-0000-000056250000}"/>
    <cellStyle name="20% - Accent4 12 2 3 5" xfId="29963" xr:uid="{00000000-0005-0000-0000-000057250000}"/>
    <cellStyle name="20% - Accent4 12 2 4" xfId="5733" xr:uid="{00000000-0005-0000-0000-000058250000}"/>
    <cellStyle name="20% - Accent4 12 2 4 2" xfId="12192" xr:uid="{00000000-0005-0000-0000-000059250000}"/>
    <cellStyle name="20% - Accent4 12 2 4 2 2" xfId="25109" xr:uid="{00000000-0005-0000-0000-00005A250000}"/>
    <cellStyle name="20% - Accent4 12 2 4 2 2 2" xfId="50983" xr:uid="{00000000-0005-0000-0000-00005B250000}"/>
    <cellStyle name="20% - Accent4 12 2 4 2 3" xfId="38067" xr:uid="{00000000-0005-0000-0000-00005C250000}"/>
    <cellStyle name="20% - Accent4 12 2 4 3" xfId="18651" xr:uid="{00000000-0005-0000-0000-00005D250000}"/>
    <cellStyle name="20% - Accent4 12 2 4 3 2" xfId="44525" xr:uid="{00000000-0005-0000-0000-00005E250000}"/>
    <cellStyle name="20% - Accent4 12 2 4 4" xfId="31609" xr:uid="{00000000-0005-0000-0000-00005F250000}"/>
    <cellStyle name="20% - Accent4 12 2 5" xfId="8964" xr:uid="{00000000-0005-0000-0000-000060250000}"/>
    <cellStyle name="20% - Accent4 12 2 5 2" xfId="21881" xr:uid="{00000000-0005-0000-0000-000061250000}"/>
    <cellStyle name="20% - Accent4 12 2 5 2 2" xfId="47755" xr:uid="{00000000-0005-0000-0000-000062250000}"/>
    <cellStyle name="20% - Accent4 12 2 5 3" xfId="34839" xr:uid="{00000000-0005-0000-0000-000063250000}"/>
    <cellStyle name="20% - Accent4 12 2 6" xfId="15423" xr:uid="{00000000-0005-0000-0000-000064250000}"/>
    <cellStyle name="20% - Accent4 12 2 6 2" xfId="41297" xr:uid="{00000000-0005-0000-0000-000065250000}"/>
    <cellStyle name="20% - Accent4 12 2 7" xfId="28349" xr:uid="{00000000-0005-0000-0000-000066250000}"/>
    <cellStyle name="20% - Accent4 12 2 8" xfId="54211" xr:uid="{00000000-0005-0000-0000-000067250000}"/>
    <cellStyle name="20% - Accent4 12 3" xfId="2862" xr:uid="{00000000-0005-0000-0000-000068250000}"/>
    <cellStyle name="20% - Accent4 12 3 2" xfId="4519" xr:uid="{00000000-0005-0000-0000-000069250000}"/>
    <cellStyle name="20% - Accent4 12 3 2 2" xfId="7750" xr:uid="{00000000-0005-0000-0000-00006A250000}"/>
    <cellStyle name="20% - Accent4 12 3 2 2 2" xfId="14209" xr:uid="{00000000-0005-0000-0000-00006B250000}"/>
    <cellStyle name="20% - Accent4 12 3 2 2 2 2" xfId="27126" xr:uid="{00000000-0005-0000-0000-00006C250000}"/>
    <cellStyle name="20% - Accent4 12 3 2 2 2 2 2" xfId="53000" xr:uid="{00000000-0005-0000-0000-00006D250000}"/>
    <cellStyle name="20% - Accent4 12 3 2 2 2 3" xfId="40084" xr:uid="{00000000-0005-0000-0000-00006E250000}"/>
    <cellStyle name="20% - Accent4 12 3 2 2 3" xfId="20668" xr:uid="{00000000-0005-0000-0000-00006F250000}"/>
    <cellStyle name="20% - Accent4 12 3 2 2 3 2" xfId="46542" xr:uid="{00000000-0005-0000-0000-000070250000}"/>
    <cellStyle name="20% - Accent4 12 3 2 2 4" xfId="33626" xr:uid="{00000000-0005-0000-0000-000071250000}"/>
    <cellStyle name="20% - Accent4 12 3 2 3" xfId="10981" xr:uid="{00000000-0005-0000-0000-000072250000}"/>
    <cellStyle name="20% - Accent4 12 3 2 3 2" xfId="23898" xr:uid="{00000000-0005-0000-0000-000073250000}"/>
    <cellStyle name="20% - Accent4 12 3 2 3 2 2" xfId="49772" xr:uid="{00000000-0005-0000-0000-000074250000}"/>
    <cellStyle name="20% - Accent4 12 3 2 3 3" xfId="36856" xr:uid="{00000000-0005-0000-0000-000075250000}"/>
    <cellStyle name="20% - Accent4 12 3 2 4" xfId="17440" xr:uid="{00000000-0005-0000-0000-000076250000}"/>
    <cellStyle name="20% - Accent4 12 3 2 4 2" xfId="43314" xr:uid="{00000000-0005-0000-0000-000077250000}"/>
    <cellStyle name="20% - Accent4 12 3 2 5" xfId="30366" xr:uid="{00000000-0005-0000-0000-000078250000}"/>
    <cellStyle name="20% - Accent4 12 3 3" xfId="6136" xr:uid="{00000000-0005-0000-0000-000079250000}"/>
    <cellStyle name="20% - Accent4 12 3 3 2" xfId="12595" xr:uid="{00000000-0005-0000-0000-00007A250000}"/>
    <cellStyle name="20% - Accent4 12 3 3 2 2" xfId="25512" xr:uid="{00000000-0005-0000-0000-00007B250000}"/>
    <cellStyle name="20% - Accent4 12 3 3 2 2 2" xfId="51386" xr:uid="{00000000-0005-0000-0000-00007C250000}"/>
    <cellStyle name="20% - Accent4 12 3 3 2 3" xfId="38470" xr:uid="{00000000-0005-0000-0000-00007D250000}"/>
    <cellStyle name="20% - Accent4 12 3 3 3" xfId="19054" xr:uid="{00000000-0005-0000-0000-00007E250000}"/>
    <cellStyle name="20% - Accent4 12 3 3 3 2" xfId="44928" xr:uid="{00000000-0005-0000-0000-00007F250000}"/>
    <cellStyle name="20% - Accent4 12 3 3 4" xfId="32012" xr:uid="{00000000-0005-0000-0000-000080250000}"/>
    <cellStyle name="20% - Accent4 12 3 4" xfId="9367" xr:uid="{00000000-0005-0000-0000-000081250000}"/>
    <cellStyle name="20% - Accent4 12 3 4 2" xfId="22284" xr:uid="{00000000-0005-0000-0000-000082250000}"/>
    <cellStyle name="20% - Accent4 12 3 4 2 2" xfId="48158" xr:uid="{00000000-0005-0000-0000-000083250000}"/>
    <cellStyle name="20% - Accent4 12 3 4 3" xfId="35242" xr:uid="{00000000-0005-0000-0000-000084250000}"/>
    <cellStyle name="20% - Accent4 12 3 5" xfId="15826" xr:uid="{00000000-0005-0000-0000-000085250000}"/>
    <cellStyle name="20% - Accent4 12 3 5 2" xfId="41700" xr:uid="{00000000-0005-0000-0000-000086250000}"/>
    <cellStyle name="20% - Accent4 12 3 6" xfId="28752" xr:uid="{00000000-0005-0000-0000-000087250000}"/>
    <cellStyle name="20% - Accent4 12 4" xfId="3689" xr:uid="{00000000-0005-0000-0000-000088250000}"/>
    <cellStyle name="20% - Accent4 12 4 2" xfId="6943" xr:uid="{00000000-0005-0000-0000-000089250000}"/>
    <cellStyle name="20% - Accent4 12 4 2 2" xfId="13402" xr:uid="{00000000-0005-0000-0000-00008A250000}"/>
    <cellStyle name="20% - Accent4 12 4 2 2 2" xfId="26319" xr:uid="{00000000-0005-0000-0000-00008B250000}"/>
    <cellStyle name="20% - Accent4 12 4 2 2 2 2" xfId="52193" xr:uid="{00000000-0005-0000-0000-00008C250000}"/>
    <cellStyle name="20% - Accent4 12 4 2 2 3" xfId="39277" xr:uid="{00000000-0005-0000-0000-00008D250000}"/>
    <cellStyle name="20% - Accent4 12 4 2 3" xfId="19861" xr:uid="{00000000-0005-0000-0000-00008E250000}"/>
    <cellStyle name="20% - Accent4 12 4 2 3 2" xfId="45735" xr:uid="{00000000-0005-0000-0000-00008F250000}"/>
    <cellStyle name="20% - Accent4 12 4 2 4" xfId="32819" xr:uid="{00000000-0005-0000-0000-000090250000}"/>
    <cellStyle name="20% - Accent4 12 4 3" xfId="10174" xr:uid="{00000000-0005-0000-0000-000091250000}"/>
    <cellStyle name="20% - Accent4 12 4 3 2" xfId="23091" xr:uid="{00000000-0005-0000-0000-000092250000}"/>
    <cellStyle name="20% - Accent4 12 4 3 2 2" xfId="48965" xr:uid="{00000000-0005-0000-0000-000093250000}"/>
    <cellStyle name="20% - Accent4 12 4 3 3" xfId="36049" xr:uid="{00000000-0005-0000-0000-000094250000}"/>
    <cellStyle name="20% - Accent4 12 4 4" xfId="16633" xr:uid="{00000000-0005-0000-0000-000095250000}"/>
    <cellStyle name="20% - Accent4 12 4 4 2" xfId="42507" xr:uid="{00000000-0005-0000-0000-000096250000}"/>
    <cellStyle name="20% - Accent4 12 4 5" xfId="29559" xr:uid="{00000000-0005-0000-0000-000097250000}"/>
    <cellStyle name="20% - Accent4 12 5" xfId="5329" xr:uid="{00000000-0005-0000-0000-000098250000}"/>
    <cellStyle name="20% - Accent4 12 5 2" xfId="11788" xr:uid="{00000000-0005-0000-0000-000099250000}"/>
    <cellStyle name="20% - Accent4 12 5 2 2" xfId="24705" xr:uid="{00000000-0005-0000-0000-00009A250000}"/>
    <cellStyle name="20% - Accent4 12 5 2 2 2" xfId="50579" xr:uid="{00000000-0005-0000-0000-00009B250000}"/>
    <cellStyle name="20% - Accent4 12 5 2 3" xfId="37663" xr:uid="{00000000-0005-0000-0000-00009C250000}"/>
    <cellStyle name="20% - Accent4 12 5 3" xfId="18247" xr:uid="{00000000-0005-0000-0000-00009D250000}"/>
    <cellStyle name="20% - Accent4 12 5 3 2" xfId="44121" xr:uid="{00000000-0005-0000-0000-00009E250000}"/>
    <cellStyle name="20% - Accent4 12 5 4" xfId="31205" xr:uid="{00000000-0005-0000-0000-00009F250000}"/>
    <cellStyle name="20% - Accent4 12 6" xfId="8560" xr:uid="{00000000-0005-0000-0000-0000A0250000}"/>
    <cellStyle name="20% - Accent4 12 6 2" xfId="21477" xr:uid="{00000000-0005-0000-0000-0000A1250000}"/>
    <cellStyle name="20% - Accent4 12 6 2 2" xfId="47351" xr:uid="{00000000-0005-0000-0000-0000A2250000}"/>
    <cellStyle name="20% - Accent4 12 6 3" xfId="34435" xr:uid="{00000000-0005-0000-0000-0000A3250000}"/>
    <cellStyle name="20% - Accent4 12 7" xfId="15019" xr:uid="{00000000-0005-0000-0000-0000A4250000}"/>
    <cellStyle name="20% - Accent4 12 7 2" xfId="40893" xr:uid="{00000000-0005-0000-0000-0000A5250000}"/>
    <cellStyle name="20% - Accent4 12 8" xfId="27945" xr:uid="{00000000-0005-0000-0000-0000A6250000}"/>
    <cellStyle name="20% - Accent4 12 9" xfId="53807" xr:uid="{00000000-0005-0000-0000-0000A7250000}"/>
    <cellStyle name="20% - Accent4 13" xfId="2058" xr:uid="{00000000-0005-0000-0000-0000A8250000}"/>
    <cellStyle name="20% - Accent4 13 2" xfId="2876" xr:uid="{00000000-0005-0000-0000-0000A9250000}"/>
    <cellStyle name="20% - Accent4 13 2 2" xfId="4533" xr:uid="{00000000-0005-0000-0000-0000AA250000}"/>
    <cellStyle name="20% - Accent4 13 2 2 2" xfId="7764" xr:uid="{00000000-0005-0000-0000-0000AB250000}"/>
    <cellStyle name="20% - Accent4 13 2 2 2 2" xfId="14223" xr:uid="{00000000-0005-0000-0000-0000AC250000}"/>
    <cellStyle name="20% - Accent4 13 2 2 2 2 2" xfId="27140" xr:uid="{00000000-0005-0000-0000-0000AD250000}"/>
    <cellStyle name="20% - Accent4 13 2 2 2 2 2 2" xfId="53014" xr:uid="{00000000-0005-0000-0000-0000AE250000}"/>
    <cellStyle name="20% - Accent4 13 2 2 2 2 3" xfId="40098" xr:uid="{00000000-0005-0000-0000-0000AF250000}"/>
    <cellStyle name="20% - Accent4 13 2 2 2 3" xfId="20682" xr:uid="{00000000-0005-0000-0000-0000B0250000}"/>
    <cellStyle name="20% - Accent4 13 2 2 2 3 2" xfId="46556" xr:uid="{00000000-0005-0000-0000-0000B1250000}"/>
    <cellStyle name="20% - Accent4 13 2 2 2 4" xfId="33640" xr:uid="{00000000-0005-0000-0000-0000B2250000}"/>
    <cellStyle name="20% - Accent4 13 2 2 3" xfId="10995" xr:uid="{00000000-0005-0000-0000-0000B3250000}"/>
    <cellStyle name="20% - Accent4 13 2 2 3 2" xfId="23912" xr:uid="{00000000-0005-0000-0000-0000B4250000}"/>
    <cellStyle name="20% - Accent4 13 2 2 3 2 2" xfId="49786" xr:uid="{00000000-0005-0000-0000-0000B5250000}"/>
    <cellStyle name="20% - Accent4 13 2 2 3 3" xfId="36870" xr:uid="{00000000-0005-0000-0000-0000B6250000}"/>
    <cellStyle name="20% - Accent4 13 2 2 4" xfId="17454" xr:uid="{00000000-0005-0000-0000-0000B7250000}"/>
    <cellStyle name="20% - Accent4 13 2 2 4 2" xfId="43328" xr:uid="{00000000-0005-0000-0000-0000B8250000}"/>
    <cellStyle name="20% - Accent4 13 2 2 5" xfId="30380" xr:uid="{00000000-0005-0000-0000-0000B9250000}"/>
    <cellStyle name="20% - Accent4 13 2 3" xfId="6150" xr:uid="{00000000-0005-0000-0000-0000BA250000}"/>
    <cellStyle name="20% - Accent4 13 2 3 2" xfId="12609" xr:uid="{00000000-0005-0000-0000-0000BB250000}"/>
    <cellStyle name="20% - Accent4 13 2 3 2 2" xfId="25526" xr:uid="{00000000-0005-0000-0000-0000BC250000}"/>
    <cellStyle name="20% - Accent4 13 2 3 2 2 2" xfId="51400" xr:uid="{00000000-0005-0000-0000-0000BD250000}"/>
    <cellStyle name="20% - Accent4 13 2 3 2 3" xfId="38484" xr:uid="{00000000-0005-0000-0000-0000BE250000}"/>
    <cellStyle name="20% - Accent4 13 2 3 3" xfId="19068" xr:uid="{00000000-0005-0000-0000-0000BF250000}"/>
    <cellStyle name="20% - Accent4 13 2 3 3 2" xfId="44942" xr:uid="{00000000-0005-0000-0000-0000C0250000}"/>
    <cellStyle name="20% - Accent4 13 2 3 4" xfId="32026" xr:uid="{00000000-0005-0000-0000-0000C1250000}"/>
    <cellStyle name="20% - Accent4 13 2 4" xfId="9381" xr:uid="{00000000-0005-0000-0000-0000C2250000}"/>
    <cellStyle name="20% - Accent4 13 2 4 2" xfId="22298" xr:uid="{00000000-0005-0000-0000-0000C3250000}"/>
    <cellStyle name="20% - Accent4 13 2 4 2 2" xfId="48172" xr:uid="{00000000-0005-0000-0000-0000C4250000}"/>
    <cellStyle name="20% - Accent4 13 2 4 3" xfId="35256" xr:uid="{00000000-0005-0000-0000-0000C5250000}"/>
    <cellStyle name="20% - Accent4 13 2 5" xfId="15840" xr:uid="{00000000-0005-0000-0000-0000C6250000}"/>
    <cellStyle name="20% - Accent4 13 2 5 2" xfId="41714" xr:uid="{00000000-0005-0000-0000-0000C7250000}"/>
    <cellStyle name="20% - Accent4 13 2 6" xfId="28766" xr:uid="{00000000-0005-0000-0000-0000C8250000}"/>
    <cellStyle name="20% - Accent4 13 3" xfId="3703" xr:uid="{00000000-0005-0000-0000-0000C9250000}"/>
    <cellStyle name="20% - Accent4 13 3 2" xfId="6957" xr:uid="{00000000-0005-0000-0000-0000CA250000}"/>
    <cellStyle name="20% - Accent4 13 3 2 2" xfId="13416" xr:uid="{00000000-0005-0000-0000-0000CB250000}"/>
    <cellStyle name="20% - Accent4 13 3 2 2 2" xfId="26333" xr:uid="{00000000-0005-0000-0000-0000CC250000}"/>
    <cellStyle name="20% - Accent4 13 3 2 2 2 2" xfId="52207" xr:uid="{00000000-0005-0000-0000-0000CD250000}"/>
    <cellStyle name="20% - Accent4 13 3 2 2 3" xfId="39291" xr:uid="{00000000-0005-0000-0000-0000CE250000}"/>
    <cellStyle name="20% - Accent4 13 3 2 3" xfId="19875" xr:uid="{00000000-0005-0000-0000-0000CF250000}"/>
    <cellStyle name="20% - Accent4 13 3 2 3 2" xfId="45749" xr:uid="{00000000-0005-0000-0000-0000D0250000}"/>
    <cellStyle name="20% - Accent4 13 3 2 4" xfId="32833" xr:uid="{00000000-0005-0000-0000-0000D1250000}"/>
    <cellStyle name="20% - Accent4 13 3 3" xfId="10188" xr:uid="{00000000-0005-0000-0000-0000D2250000}"/>
    <cellStyle name="20% - Accent4 13 3 3 2" xfId="23105" xr:uid="{00000000-0005-0000-0000-0000D3250000}"/>
    <cellStyle name="20% - Accent4 13 3 3 2 2" xfId="48979" xr:uid="{00000000-0005-0000-0000-0000D4250000}"/>
    <cellStyle name="20% - Accent4 13 3 3 3" xfId="36063" xr:uid="{00000000-0005-0000-0000-0000D5250000}"/>
    <cellStyle name="20% - Accent4 13 3 4" xfId="16647" xr:uid="{00000000-0005-0000-0000-0000D6250000}"/>
    <cellStyle name="20% - Accent4 13 3 4 2" xfId="42521" xr:uid="{00000000-0005-0000-0000-0000D7250000}"/>
    <cellStyle name="20% - Accent4 13 3 5" xfId="29573" xr:uid="{00000000-0005-0000-0000-0000D8250000}"/>
    <cellStyle name="20% - Accent4 13 4" xfId="5343" xr:uid="{00000000-0005-0000-0000-0000D9250000}"/>
    <cellStyle name="20% - Accent4 13 4 2" xfId="11802" xr:uid="{00000000-0005-0000-0000-0000DA250000}"/>
    <cellStyle name="20% - Accent4 13 4 2 2" xfId="24719" xr:uid="{00000000-0005-0000-0000-0000DB250000}"/>
    <cellStyle name="20% - Accent4 13 4 2 2 2" xfId="50593" xr:uid="{00000000-0005-0000-0000-0000DC250000}"/>
    <cellStyle name="20% - Accent4 13 4 2 3" xfId="37677" xr:uid="{00000000-0005-0000-0000-0000DD250000}"/>
    <cellStyle name="20% - Accent4 13 4 3" xfId="18261" xr:uid="{00000000-0005-0000-0000-0000DE250000}"/>
    <cellStyle name="20% - Accent4 13 4 3 2" xfId="44135" xr:uid="{00000000-0005-0000-0000-0000DF250000}"/>
    <cellStyle name="20% - Accent4 13 4 4" xfId="31219" xr:uid="{00000000-0005-0000-0000-0000E0250000}"/>
    <cellStyle name="20% - Accent4 13 5" xfId="8574" xr:uid="{00000000-0005-0000-0000-0000E1250000}"/>
    <cellStyle name="20% - Accent4 13 5 2" xfId="21491" xr:uid="{00000000-0005-0000-0000-0000E2250000}"/>
    <cellStyle name="20% - Accent4 13 5 2 2" xfId="47365" xr:uid="{00000000-0005-0000-0000-0000E3250000}"/>
    <cellStyle name="20% - Accent4 13 5 3" xfId="34449" xr:uid="{00000000-0005-0000-0000-0000E4250000}"/>
    <cellStyle name="20% - Accent4 13 6" xfId="15033" xr:uid="{00000000-0005-0000-0000-0000E5250000}"/>
    <cellStyle name="20% - Accent4 13 6 2" xfId="40907" xr:uid="{00000000-0005-0000-0000-0000E6250000}"/>
    <cellStyle name="20% - Accent4 13 7" xfId="27959" xr:uid="{00000000-0005-0000-0000-0000E7250000}"/>
    <cellStyle name="20% - Accent4 13 8" xfId="53821" xr:uid="{00000000-0005-0000-0000-0000E8250000}"/>
    <cellStyle name="20% - Accent4 14" xfId="2473" xr:uid="{00000000-0005-0000-0000-0000E9250000}"/>
    <cellStyle name="20% - Accent4 14 2" xfId="4130" xr:uid="{00000000-0005-0000-0000-0000EA250000}"/>
    <cellStyle name="20% - Accent4 14 2 2" xfId="7361" xr:uid="{00000000-0005-0000-0000-0000EB250000}"/>
    <cellStyle name="20% - Accent4 14 2 2 2" xfId="13820" xr:uid="{00000000-0005-0000-0000-0000EC250000}"/>
    <cellStyle name="20% - Accent4 14 2 2 2 2" xfId="26737" xr:uid="{00000000-0005-0000-0000-0000ED250000}"/>
    <cellStyle name="20% - Accent4 14 2 2 2 2 2" xfId="52611" xr:uid="{00000000-0005-0000-0000-0000EE250000}"/>
    <cellStyle name="20% - Accent4 14 2 2 2 3" xfId="39695" xr:uid="{00000000-0005-0000-0000-0000EF250000}"/>
    <cellStyle name="20% - Accent4 14 2 2 3" xfId="20279" xr:uid="{00000000-0005-0000-0000-0000F0250000}"/>
    <cellStyle name="20% - Accent4 14 2 2 3 2" xfId="46153" xr:uid="{00000000-0005-0000-0000-0000F1250000}"/>
    <cellStyle name="20% - Accent4 14 2 2 4" xfId="33237" xr:uid="{00000000-0005-0000-0000-0000F2250000}"/>
    <cellStyle name="20% - Accent4 14 2 3" xfId="10592" xr:uid="{00000000-0005-0000-0000-0000F3250000}"/>
    <cellStyle name="20% - Accent4 14 2 3 2" xfId="23509" xr:uid="{00000000-0005-0000-0000-0000F4250000}"/>
    <cellStyle name="20% - Accent4 14 2 3 2 2" xfId="49383" xr:uid="{00000000-0005-0000-0000-0000F5250000}"/>
    <cellStyle name="20% - Accent4 14 2 3 3" xfId="36467" xr:uid="{00000000-0005-0000-0000-0000F6250000}"/>
    <cellStyle name="20% - Accent4 14 2 4" xfId="17051" xr:uid="{00000000-0005-0000-0000-0000F7250000}"/>
    <cellStyle name="20% - Accent4 14 2 4 2" xfId="42925" xr:uid="{00000000-0005-0000-0000-0000F8250000}"/>
    <cellStyle name="20% - Accent4 14 2 5" xfId="29977" xr:uid="{00000000-0005-0000-0000-0000F9250000}"/>
    <cellStyle name="20% - Accent4 14 3" xfId="5747" xr:uid="{00000000-0005-0000-0000-0000FA250000}"/>
    <cellStyle name="20% - Accent4 14 3 2" xfId="12206" xr:uid="{00000000-0005-0000-0000-0000FB250000}"/>
    <cellStyle name="20% - Accent4 14 3 2 2" xfId="25123" xr:uid="{00000000-0005-0000-0000-0000FC250000}"/>
    <cellStyle name="20% - Accent4 14 3 2 2 2" xfId="50997" xr:uid="{00000000-0005-0000-0000-0000FD250000}"/>
    <cellStyle name="20% - Accent4 14 3 2 3" xfId="38081" xr:uid="{00000000-0005-0000-0000-0000FE250000}"/>
    <cellStyle name="20% - Accent4 14 3 3" xfId="18665" xr:uid="{00000000-0005-0000-0000-0000FF250000}"/>
    <cellStyle name="20% - Accent4 14 3 3 2" xfId="44539" xr:uid="{00000000-0005-0000-0000-000000260000}"/>
    <cellStyle name="20% - Accent4 14 3 4" xfId="31623" xr:uid="{00000000-0005-0000-0000-000001260000}"/>
    <cellStyle name="20% - Accent4 14 4" xfId="8978" xr:uid="{00000000-0005-0000-0000-000002260000}"/>
    <cellStyle name="20% - Accent4 14 4 2" xfId="21895" xr:uid="{00000000-0005-0000-0000-000003260000}"/>
    <cellStyle name="20% - Accent4 14 4 2 2" xfId="47769" xr:uid="{00000000-0005-0000-0000-000004260000}"/>
    <cellStyle name="20% - Accent4 14 4 3" xfId="34853" xr:uid="{00000000-0005-0000-0000-000005260000}"/>
    <cellStyle name="20% - Accent4 14 5" xfId="15437" xr:uid="{00000000-0005-0000-0000-000006260000}"/>
    <cellStyle name="20% - Accent4 14 5 2" xfId="41311" xr:uid="{00000000-0005-0000-0000-000007260000}"/>
    <cellStyle name="20% - Accent4 14 6" xfId="28363" xr:uid="{00000000-0005-0000-0000-000008260000}"/>
    <cellStyle name="20% - Accent4 15" xfId="3282" xr:uid="{00000000-0005-0000-0000-000009260000}"/>
    <cellStyle name="20% - Accent4 15 2" xfId="6554" xr:uid="{00000000-0005-0000-0000-00000A260000}"/>
    <cellStyle name="20% - Accent4 15 2 2" xfId="13013" xr:uid="{00000000-0005-0000-0000-00000B260000}"/>
    <cellStyle name="20% - Accent4 15 2 2 2" xfId="25930" xr:uid="{00000000-0005-0000-0000-00000C260000}"/>
    <cellStyle name="20% - Accent4 15 2 2 2 2" xfId="51804" xr:uid="{00000000-0005-0000-0000-00000D260000}"/>
    <cellStyle name="20% - Accent4 15 2 2 3" xfId="38888" xr:uid="{00000000-0005-0000-0000-00000E260000}"/>
    <cellStyle name="20% - Accent4 15 2 3" xfId="19472" xr:uid="{00000000-0005-0000-0000-00000F260000}"/>
    <cellStyle name="20% - Accent4 15 2 3 2" xfId="45346" xr:uid="{00000000-0005-0000-0000-000010260000}"/>
    <cellStyle name="20% - Accent4 15 2 4" xfId="32430" xr:uid="{00000000-0005-0000-0000-000011260000}"/>
    <cellStyle name="20% - Accent4 15 3" xfId="9785" xr:uid="{00000000-0005-0000-0000-000012260000}"/>
    <cellStyle name="20% - Accent4 15 3 2" xfId="22702" xr:uid="{00000000-0005-0000-0000-000013260000}"/>
    <cellStyle name="20% - Accent4 15 3 2 2" xfId="48576" xr:uid="{00000000-0005-0000-0000-000014260000}"/>
    <cellStyle name="20% - Accent4 15 3 3" xfId="35660" xr:uid="{00000000-0005-0000-0000-000015260000}"/>
    <cellStyle name="20% - Accent4 15 4" xfId="16244" xr:uid="{00000000-0005-0000-0000-000016260000}"/>
    <cellStyle name="20% - Accent4 15 4 2" xfId="42118" xr:uid="{00000000-0005-0000-0000-000017260000}"/>
    <cellStyle name="20% - Accent4 15 5" xfId="29170" xr:uid="{00000000-0005-0000-0000-000018260000}"/>
    <cellStyle name="20% - Accent4 16" xfId="4940" xr:uid="{00000000-0005-0000-0000-000019260000}"/>
    <cellStyle name="20% - Accent4 16 2" xfId="11399" xr:uid="{00000000-0005-0000-0000-00001A260000}"/>
    <cellStyle name="20% - Accent4 16 2 2" xfId="24316" xr:uid="{00000000-0005-0000-0000-00001B260000}"/>
    <cellStyle name="20% - Accent4 16 2 2 2" xfId="50190" xr:uid="{00000000-0005-0000-0000-00001C260000}"/>
    <cellStyle name="20% - Accent4 16 2 3" xfId="37274" xr:uid="{00000000-0005-0000-0000-00001D260000}"/>
    <cellStyle name="20% - Accent4 16 3" xfId="17858" xr:uid="{00000000-0005-0000-0000-00001E260000}"/>
    <cellStyle name="20% - Accent4 16 3 2" xfId="43732" xr:uid="{00000000-0005-0000-0000-00001F260000}"/>
    <cellStyle name="20% - Accent4 16 4" xfId="30816" xr:uid="{00000000-0005-0000-0000-000020260000}"/>
    <cellStyle name="20% - Accent4 17" xfId="8168" xr:uid="{00000000-0005-0000-0000-000021260000}"/>
    <cellStyle name="20% - Accent4 17 2" xfId="21086" xr:uid="{00000000-0005-0000-0000-000022260000}"/>
    <cellStyle name="20% - Accent4 17 2 2" xfId="46960" xr:uid="{00000000-0005-0000-0000-000023260000}"/>
    <cellStyle name="20% - Accent4 17 3" xfId="34044" xr:uid="{00000000-0005-0000-0000-000024260000}"/>
    <cellStyle name="20% - Accent4 18" xfId="14628" xr:uid="{00000000-0005-0000-0000-000025260000}"/>
    <cellStyle name="20% - Accent4 18 2" xfId="40502" xr:uid="{00000000-0005-0000-0000-000026260000}"/>
    <cellStyle name="20% - Accent4 19" xfId="27546" xr:uid="{00000000-0005-0000-0000-000027260000}"/>
    <cellStyle name="20% - Accent4 2" xfId="23" xr:uid="{00000000-0005-0000-0000-000028260000}"/>
    <cellStyle name="20% - Accent4 2 10" xfId="8177" xr:uid="{00000000-0005-0000-0000-000029260000}"/>
    <cellStyle name="20% - Accent4 2 10 2" xfId="21095" xr:uid="{00000000-0005-0000-0000-00002A260000}"/>
    <cellStyle name="20% - Accent4 2 10 2 2" xfId="46969" xr:uid="{00000000-0005-0000-0000-00002B260000}"/>
    <cellStyle name="20% - Accent4 2 10 3" xfId="34053" xr:uid="{00000000-0005-0000-0000-00002C260000}"/>
    <cellStyle name="20% - Accent4 2 11" xfId="14637" xr:uid="{00000000-0005-0000-0000-00002D260000}"/>
    <cellStyle name="20% - Accent4 2 11 2" xfId="40511" xr:uid="{00000000-0005-0000-0000-00002E260000}"/>
    <cellStyle name="20% - Accent4 2 12" xfId="27555" xr:uid="{00000000-0005-0000-0000-00002F260000}"/>
    <cellStyle name="20% - Accent4 2 13" xfId="53427" xr:uid="{00000000-0005-0000-0000-000030260000}"/>
    <cellStyle name="20% - Accent4 2 14" xfId="1061" xr:uid="{00000000-0005-0000-0000-000031260000}"/>
    <cellStyle name="20% - Accent4 2 2" xfId="277" xr:uid="{00000000-0005-0000-0000-000032260000}"/>
    <cellStyle name="20% - Accent4 2 3" xfId="231" xr:uid="{00000000-0005-0000-0000-000033260000}"/>
    <cellStyle name="20% - Accent4 2 3 10" xfId="27583" xr:uid="{00000000-0005-0000-0000-000034260000}"/>
    <cellStyle name="20% - Accent4 2 3 11" xfId="53449" xr:uid="{00000000-0005-0000-0000-000035260000}"/>
    <cellStyle name="20% - Accent4 2 3 12" xfId="1062" xr:uid="{00000000-0005-0000-0000-000036260000}"/>
    <cellStyle name="20% - Accent4 2 3 2" xfId="421" xr:uid="{00000000-0005-0000-0000-000037260000}"/>
    <cellStyle name="20% - Accent4 2 3 2 10" xfId="53532" xr:uid="{00000000-0005-0000-0000-000038260000}"/>
    <cellStyle name="20% - Accent4 2 3 2 11" xfId="1616" xr:uid="{00000000-0005-0000-0000-000039260000}"/>
    <cellStyle name="20% - Accent4 2 3 2 2" xfId="575" xr:uid="{00000000-0005-0000-0000-00003A260000}"/>
    <cellStyle name="20% - Accent4 2 3 2 2 10" xfId="1941" xr:uid="{00000000-0005-0000-0000-00003B260000}"/>
    <cellStyle name="20% - Accent4 2 3 2 2 2" xfId="2372" xr:uid="{00000000-0005-0000-0000-00003C260000}"/>
    <cellStyle name="20% - Accent4 2 3 2 2 2 2" xfId="3185" xr:uid="{00000000-0005-0000-0000-00003D260000}"/>
    <cellStyle name="20% - Accent4 2 3 2 2 2 2 2" xfId="4842" xr:uid="{00000000-0005-0000-0000-00003E260000}"/>
    <cellStyle name="20% - Accent4 2 3 2 2 2 2 2 2" xfId="8073" xr:uid="{00000000-0005-0000-0000-00003F260000}"/>
    <cellStyle name="20% - Accent4 2 3 2 2 2 2 2 2 2" xfId="14532" xr:uid="{00000000-0005-0000-0000-000040260000}"/>
    <cellStyle name="20% - Accent4 2 3 2 2 2 2 2 2 2 2" xfId="27449" xr:uid="{00000000-0005-0000-0000-000041260000}"/>
    <cellStyle name="20% - Accent4 2 3 2 2 2 2 2 2 2 2 2" xfId="53323" xr:uid="{00000000-0005-0000-0000-000042260000}"/>
    <cellStyle name="20% - Accent4 2 3 2 2 2 2 2 2 2 3" xfId="40407" xr:uid="{00000000-0005-0000-0000-000043260000}"/>
    <cellStyle name="20% - Accent4 2 3 2 2 2 2 2 2 3" xfId="20991" xr:uid="{00000000-0005-0000-0000-000044260000}"/>
    <cellStyle name="20% - Accent4 2 3 2 2 2 2 2 2 3 2" xfId="46865" xr:uid="{00000000-0005-0000-0000-000045260000}"/>
    <cellStyle name="20% - Accent4 2 3 2 2 2 2 2 2 4" xfId="33949" xr:uid="{00000000-0005-0000-0000-000046260000}"/>
    <cellStyle name="20% - Accent4 2 3 2 2 2 2 2 3" xfId="11304" xr:uid="{00000000-0005-0000-0000-000047260000}"/>
    <cellStyle name="20% - Accent4 2 3 2 2 2 2 2 3 2" xfId="24221" xr:uid="{00000000-0005-0000-0000-000048260000}"/>
    <cellStyle name="20% - Accent4 2 3 2 2 2 2 2 3 2 2" xfId="50095" xr:uid="{00000000-0005-0000-0000-000049260000}"/>
    <cellStyle name="20% - Accent4 2 3 2 2 2 2 2 3 3" xfId="37179" xr:uid="{00000000-0005-0000-0000-00004A260000}"/>
    <cellStyle name="20% - Accent4 2 3 2 2 2 2 2 4" xfId="17763" xr:uid="{00000000-0005-0000-0000-00004B260000}"/>
    <cellStyle name="20% - Accent4 2 3 2 2 2 2 2 4 2" xfId="43637" xr:uid="{00000000-0005-0000-0000-00004C260000}"/>
    <cellStyle name="20% - Accent4 2 3 2 2 2 2 2 5" xfId="30689" xr:uid="{00000000-0005-0000-0000-00004D260000}"/>
    <cellStyle name="20% - Accent4 2 3 2 2 2 2 3" xfId="6459" xr:uid="{00000000-0005-0000-0000-00004E260000}"/>
    <cellStyle name="20% - Accent4 2 3 2 2 2 2 3 2" xfId="12918" xr:uid="{00000000-0005-0000-0000-00004F260000}"/>
    <cellStyle name="20% - Accent4 2 3 2 2 2 2 3 2 2" xfId="25835" xr:uid="{00000000-0005-0000-0000-000050260000}"/>
    <cellStyle name="20% - Accent4 2 3 2 2 2 2 3 2 2 2" xfId="51709" xr:uid="{00000000-0005-0000-0000-000051260000}"/>
    <cellStyle name="20% - Accent4 2 3 2 2 2 2 3 2 3" xfId="38793" xr:uid="{00000000-0005-0000-0000-000052260000}"/>
    <cellStyle name="20% - Accent4 2 3 2 2 2 2 3 3" xfId="19377" xr:uid="{00000000-0005-0000-0000-000053260000}"/>
    <cellStyle name="20% - Accent4 2 3 2 2 2 2 3 3 2" xfId="45251" xr:uid="{00000000-0005-0000-0000-000054260000}"/>
    <cellStyle name="20% - Accent4 2 3 2 2 2 2 3 4" xfId="32335" xr:uid="{00000000-0005-0000-0000-000055260000}"/>
    <cellStyle name="20% - Accent4 2 3 2 2 2 2 4" xfId="9690" xr:uid="{00000000-0005-0000-0000-000056260000}"/>
    <cellStyle name="20% - Accent4 2 3 2 2 2 2 4 2" xfId="22607" xr:uid="{00000000-0005-0000-0000-000057260000}"/>
    <cellStyle name="20% - Accent4 2 3 2 2 2 2 4 2 2" xfId="48481" xr:uid="{00000000-0005-0000-0000-000058260000}"/>
    <cellStyle name="20% - Accent4 2 3 2 2 2 2 4 3" xfId="35565" xr:uid="{00000000-0005-0000-0000-000059260000}"/>
    <cellStyle name="20% - Accent4 2 3 2 2 2 2 5" xfId="16149" xr:uid="{00000000-0005-0000-0000-00005A260000}"/>
    <cellStyle name="20% - Accent4 2 3 2 2 2 2 5 2" xfId="42023" xr:uid="{00000000-0005-0000-0000-00005B260000}"/>
    <cellStyle name="20% - Accent4 2 3 2 2 2 2 6" xfId="29075" xr:uid="{00000000-0005-0000-0000-00005C260000}"/>
    <cellStyle name="20% - Accent4 2 3 2 2 2 3" xfId="4012" xr:uid="{00000000-0005-0000-0000-00005D260000}"/>
    <cellStyle name="20% - Accent4 2 3 2 2 2 3 2" xfId="7266" xr:uid="{00000000-0005-0000-0000-00005E260000}"/>
    <cellStyle name="20% - Accent4 2 3 2 2 2 3 2 2" xfId="13725" xr:uid="{00000000-0005-0000-0000-00005F260000}"/>
    <cellStyle name="20% - Accent4 2 3 2 2 2 3 2 2 2" xfId="26642" xr:uid="{00000000-0005-0000-0000-000060260000}"/>
    <cellStyle name="20% - Accent4 2 3 2 2 2 3 2 2 2 2" xfId="52516" xr:uid="{00000000-0005-0000-0000-000061260000}"/>
    <cellStyle name="20% - Accent4 2 3 2 2 2 3 2 2 3" xfId="39600" xr:uid="{00000000-0005-0000-0000-000062260000}"/>
    <cellStyle name="20% - Accent4 2 3 2 2 2 3 2 3" xfId="20184" xr:uid="{00000000-0005-0000-0000-000063260000}"/>
    <cellStyle name="20% - Accent4 2 3 2 2 2 3 2 3 2" xfId="46058" xr:uid="{00000000-0005-0000-0000-000064260000}"/>
    <cellStyle name="20% - Accent4 2 3 2 2 2 3 2 4" xfId="33142" xr:uid="{00000000-0005-0000-0000-000065260000}"/>
    <cellStyle name="20% - Accent4 2 3 2 2 2 3 3" xfId="10497" xr:uid="{00000000-0005-0000-0000-000066260000}"/>
    <cellStyle name="20% - Accent4 2 3 2 2 2 3 3 2" xfId="23414" xr:uid="{00000000-0005-0000-0000-000067260000}"/>
    <cellStyle name="20% - Accent4 2 3 2 2 2 3 3 2 2" xfId="49288" xr:uid="{00000000-0005-0000-0000-000068260000}"/>
    <cellStyle name="20% - Accent4 2 3 2 2 2 3 3 3" xfId="36372" xr:uid="{00000000-0005-0000-0000-000069260000}"/>
    <cellStyle name="20% - Accent4 2 3 2 2 2 3 4" xfId="16956" xr:uid="{00000000-0005-0000-0000-00006A260000}"/>
    <cellStyle name="20% - Accent4 2 3 2 2 2 3 4 2" xfId="42830" xr:uid="{00000000-0005-0000-0000-00006B260000}"/>
    <cellStyle name="20% - Accent4 2 3 2 2 2 3 5" xfId="29882" xr:uid="{00000000-0005-0000-0000-00006C260000}"/>
    <cellStyle name="20% - Accent4 2 3 2 2 2 4" xfId="5652" xr:uid="{00000000-0005-0000-0000-00006D260000}"/>
    <cellStyle name="20% - Accent4 2 3 2 2 2 4 2" xfId="12111" xr:uid="{00000000-0005-0000-0000-00006E260000}"/>
    <cellStyle name="20% - Accent4 2 3 2 2 2 4 2 2" xfId="25028" xr:uid="{00000000-0005-0000-0000-00006F260000}"/>
    <cellStyle name="20% - Accent4 2 3 2 2 2 4 2 2 2" xfId="50902" xr:uid="{00000000-0005-0000-0000-000070260000}"/>
    <cellStyle name="20% - Accent4 2 3 2 2 2 4 2 3" xfId="37986" xr:uid="{00000000-0005-0000-0000-000071260000}"/>
    <cellStyle name="20% - Accent4 2 3 2 2 2 4 3" xfId="18570" xr:uid="{00000000-0005-0000-0000-000072260000}"/>
    <cellStyle name="20% - Accent4 2 3 2 2 2 4 3 2" xfId="44444" xr:uid="{00000000-0005-0000-0000-000073260000}"/>
    <cellStyle name="20% - Accent4 2 3 2 2 2 4 4" xfId="31528" xr:uid="{00000000-0005-0000-0000-000074260000}"/>
    <cellStyle name="20% - Accent4 2 3 2 2 2 5" xfId="8883" xr:uid="{00000000-0005-0000-0000-000075260000}"/>
    <cellStyle name="20% - Accent4 2 3 2 2 2 5 2" xfId="21800" xr:uid="{00000000-0005-0000-0000-000076260000}"/>
    <cellStyle name="20% - Accent4 2 3 2 2 2 5 2 2" xfId="47674" xr:uid="{00000000-0005-0000-0000-000077260000}"/>
    <cellStyle name="20% - Accent4 2 3 2 2 2 5 3" xfId="34758" xr:uid="{00000000-0005-0000-0000-000078260000}"/>
    <cellStyle name="20% - Accent4 2 3 2 2 2 6" xfId="15342" xr:uid="{00000000-0005-0000-0000-000079260000}"/>
    <cellStyle name="20% - Accent4 2 3 2 2 2 6 2" xfId="41216" xr:uid="{00000000-0005-0000-0000-00007A260000}"/>
    <cellStyle name="20% - Accent4 2 3 2 2 2 7" xfId="28268" xr:uid="{00000000-0005-0000-0000-00007B260000}"/>
    <cellStyle name="20% - Accent4 2 3 2 2 2 8" xfId="54130" xr:uid="{00000000-0005-0000-0000-00007C260000}"/>
    <cellStyle name="20% - Accent4 2 3 2 2 3" xfId="2781" xr:uid="{00000000-0005-0000-0000-00007D260000}"/>
    <cellStyle name="20% - Accent4 2 3 2 2 3 2" xfId="4438" xr:uid="{00000000-0005-0000-0000-00007E260000}"/>
    <cellStyle name="20% - Accent4 2 3 2 2 3 2 2" xfId="7669" xr:uid="{00000000-0005-0000-0000-00007F260000}"/>
    <cellStyle name="20% - Accent4 2 3 2 2 3 2 2 2" xfId="14128" xr:uid="{00000000-0005-0000-0000-000080260000}"/>
    <cellStyle name="20% - Accent4 2 3 2 2 3 2 2 2 2" xfId="27045" xr:uid="{00000000-0005-0000-0000-000081260000}"/>
    <cellStyle name="20% - Accent4 2 3 2 2 3 2 2 2 2 2" xfId="52919" xr:uid="{00000000-0005-0000-0000-000082260000}"/>
    <cellStyle name="20% - Accent4 2 3 2 2 3 2 2 2 3" xfId="40003" xr:uid="{00000000-0005-0000-0000-000083260000}"/>
    <cellStyle name="20% - Accent4 2 3 2 2 3 2 2 3" xfId="20587" xr:uid="{00000000-0005-0000-0000-000084260000}"/>
    <cellStyle name="20% - Accent4 2 3 2 2 3 2 2 3 2" xfId="46461" xr:uid="{00000000-0005-0000-0000-000085260000}"/>
    <cellStyle name="20% - Accent4 2 3 2 2 3 2 2 4" xfId="33545" xr:uid="{00000000-0005-0000-0000-000086260000}"/>
    <cellStyle name="20% - Accent4 2 3 2 2 3 2 3" xfId="10900" xr:uid="{00000000-0005-0000-0000-000087260000}"/>
    <cellStyle name="20% - Accent4 2 3 2 2 3 2 3 2" xfId="23817" xr:uid="{00000000-0005-0000-0000-000088260000}"/>
    <cellStyle name="20% - Accent4 2 3 2 2 3 2 3 2 2" xfId="49691" xr:uid="{00000000-0005-0000-0000-000089260000}"/>
    <cellStyle name="20% - Accent4 2 3 2 2 3 2 3 3" xfId="36775" xr:uid="{00000000-0005-0000-0000-00008A260000}"/>
    <cellStyle name="20% - Accent4 2 3 2 2 3 2 4" xfId="17359" xr:uid="{00000000-0005-0000-0000-00008B260000}"/>
    <cellStyle name="20% - Accent4 2 3 2 2 3 2 4 2" xfId="43233" xr:uid="{00000000-0005-0000-0000-00008C260000}"/>
    <cellStyle name="20% - Accent4 2 3 2 2 3 2 5" xfId="30285" xr:uid="{00000000-0005-0000-0000-00008D260000}"/>
    <cellStyle name="20% - Accent4 2 3 2 2 3 3" xfId="6055" xr:uid="{00000000-0005-0000-0000-00008E260000}"/>
    <cellStyle name="20% - Accent4 2 3 2 2 3 3 2" xfId="12514" xr:uid="{00000000-0005-0000-0000-00008F260000}"/>
    <cellStyle name="20% - Accent4 2 3 2 2 3 3 2 2" xfId="25431" xr:uid="{00000000-0005-0000-0000-000090260000}"/>
    <cellStyle name="20% - Accent4 2 3 2 2 3 3 2 2 2" xfId="51305" xr:uid="{00000000-0005-0000-0000-000091260000}"/>
    <cellStyle name="20% - Accent4 2 3 2 2 3 3 2 3" xfId="38389" xr:uid="{00000000-0005-0000-0000-000092260000}"/>
    <cellStyle name="20% - Accent4 2 3 2 2 3 3 3" xfId="18973" xr:uid="{00000000-0005-0000-0000-000093260000}"/>
    <cellStyle name="20% - Accent4 2 3 2 2 3 3 3 2" xfId="44847" xr:uid="{00000000-0005-0000-0000-000094260000}"/>
    <cellStyle name="20% - Accent4 2 3 2 2 3 3 4" xfId="31931" xr:uid="{00000000-0005-0000-0000-000095260000}"/>
    <cellStyle name="20% - Accent4 2 3 2 2 3 4" xfId="9286" xr:uid="{00000000-0005-0000-0000-000096260000}"/>
    <cellStyle name="20% - Accent4 2 3 2 2 3 4 2" xfId="22203" xr:uid="{00000000-0005-0000-0000-000097260000}"/>
    <cellStyle name="20% - Accent4 2 3 2 2 3 4 2 2" xfId="48077" xr:uid="{00000000-0005-0000-0000-000098260000}"/>
    <cellStyle name="20% - Accent4 2 3 2 2 3 4 3" xfId="35161" xr:uid="{00000000-0005-0000-0000-000099260000}"/>
    <cellStyle name="20% - Accent4 2 3 2 2 3 5" xfId="15745" xr:uid="{00000000-0005-0000-0000-00009A260000}"/>
    <cellStyle name="20% - Accent4 2 3 2 2 3 5 2" xfId="41619" xr:uid="{00000000-0005-0000-0000-00009B260000}"/>
    <cellStyle name="20% - Accent4 2 3 2 2 3 6" xfId="28671" xr:uid="{00000000-0005-0000-0000-00009C260000}"/>
    <cellStyle name="20% - Accent4 2 3 2 2 4" xfId="3608" xr:uid="{00000000-0005-0000-0000-00009D260000}"/>
    <cellStyle name="20% - Accent4 2 3 2 2 4 2" xfId="6862" xr:uid="{00000000-0005-0000-0000-00009E260000}"/>
    <cellStyle name="20% - Accent4 2 3 2 2 4 2 2" xfId="13321" xr:uid="{00000000-0005-0000-0000-00009F260000}"/>
    <cellStyle name="20% - Accent4 2 3 2 2 4 2 2 2" xfId="26238" xr:uid="{00000000-0005-0000-0000-0000A0260000}"/>
    <cellStyle name="20% - Accent4 2 3 2 2 4 2 2 2 2" xfId="52112" xr:uid="{00000000-0005-0000-0000-0000A1260000}"/>
    <cellStyle name="20% - Accent4 2 3 2 2 4 2 2 3" xfId="39196" xr:uid="{00000000-0005-0000-0000-0000A2260000}"/>
    <cellStyle name="20% - Accent4 2 3 2 2 4 2 3" xfId="19780" xr:uid="{00000000-0005-0000-0000-0000A3260000}"/>
    <cellStyle name="20% - Accent4 2 3 2 2 4 2 3 2" xfId="45654" xr:uid="{00000000-0005-0000-0000-0000A4260000}"/>
    <cellStyle name="20% - Accent4 2 3 2 2 4 2 4" xfId="32738" xr:uid="{00000000-0005-0000-0000-0000A5260000}"/>
    <cellStyle name="20% - Accent4 2 3 2 2 4 3" xfId="10093" xr:uid="{00000000-0005-0000-0000-0000A6260000}"/>
    <cellStyle name="20% - Accent4 2 3 2 2 4 3 2" xfId="23010" xr:uid="{00000000-0005-0000-0000-0000A7260000}"/>
    <cellStyle name="20% - Accent4 2 3 2 2 4 3 2 2" xfId="48884" xr:uid="{00000000-0005-0000-0000-0000A8260000}"/>
    <cellStyle name="20% - Accent4 2 3 2 2 4 3 3" xfId="35968" xr:uid="{00000000-0005-0000-0000-0000A9260000}"/>
    <cellStyle name="20% - Accent4 2 3 2 2 4 4" xfId="16552" xr:uid="{00000000-0005-0000-0000-0000AA260000}"/>
    <cellStyle name="20% - Accent4 2 3 2 2 4 4 2" xfId="42426" xr:uid="{00000000-0005-0000-0000-0000AB260000}"/>
    <cellStyle name="20% - Accent4 2 3 2 2 4 5" xfId="29478" xr:uid="{00000000-0005-0000-0000-0000AC260000}"/>
    <cellStyle name="20% - Accent4 2 3 2 2 5" xfId="5248" xr:uid="{00000000-0005-0000-0000-0000AD260000}"/>
    <cellStyle name="20% - Accent4 2 3 2 2 5 2" xfId="11707" xr:uid="{00000000-0005-0000-0000-0000AE260000}"/>
    <cellStyle name="20% - Accent4 2 3 2 2 5 2 2" xfId="24624" xr:uid="{00000000-0005-0000-0000-0000AF260000}"/>
    <cellStyle name="20% - Accent4 2 3 2 2 5 2 2 2" xfId="50498" xr:uid="{00000000-0005-0000-0000-0000B0260000}"/>
    <cellStyle name="20% - Accent4 2 3 2 2 5 2 3" xfId="37582" xr:uid="{00000000-0005-0000-0000-0000B1260000}"/>
    <cellStyle name="20% - Accent4 2 3 2 2 5 3" xfId="18166" xr:uid="{00000000-0005-0000-0000-0000B2260000}"/>
    <cellStyle name="20% - Accent4 2 3 2 2 5 3 2" xfId="44040" xr:uid="{00000000-0005-0000-0000-0000B3260000}"/>
    <cellStyle name="20% - Accent4 2 3 2 2 5 4" xfId="31124" xr:uid="{00000000-0005-0000-0000-0000B4260000}"/>
    <cellStyle name="20% - Accent4 2 3 2 2 6" xfId="8479" xr:uid="{00000000-0005-0000-0000-0000B5260000}"/>
    <cellStyle name="20% - Accent4 2 3 2 2 6 2" xfId="21396" xr:uid="{00000000-0005-0000-0000-0000B6260000}"/>
    <cellStyle name="20% - Accent4 2 3 2 2 6 2 2" xfId="47270" xr:uid="{00000000-0005-0000-0000-0000B7260000}"/>
    <cellStyle name="20% - Accent4 2 3 2 2 6 3" xfId="34354" xr:uid="{00000000-0005-0000-0000-0000B8260000}"/>
    <cellStyle name="20% - Accent4 2 3 2 2 7" xfId="14938" xr:uid="{00000000-0005-0000-0000-0000B9260000}"/>
    <cellStyle name="20% - Accent4 2 3 2 2 7 2" xfId="40812" xr:uid="{00000000-0005-0000-0000-0000BA260000}"/>
    <cellStyle name="20% - Accent4 2 3 2 2 8" xfId="27863" xr:uid="{00000000-0005-0000-0000-0000BB260000}"/>
    <cellStyle name="20% - Accent4 2 3 2 2 9" xfId="53726" xr:uid="{00000000-0005-0000-0000-0000BC260000}"/>
    <cellStyle name="20% - Accent4 2 3 2 3" xfId="574" xr:uid="{00000000-0005-0000-0000-0000BD260000}"/>
    <cellStyle name="20% - Accent4 2 3 2 3 2" xfId="2990" xr:uid="{00000000-0005-0000-0000-0000BE260000}"/>
    <cellStyle name="20% - Accent4 2 3 2 3 2 2" xfId="4647" xr:uid="{00000000-0005-0000-0000-0000BF260000}"/>
    <cellStyle name="20% - Accent4 2 3 2 3 2 2 2" xfId="7878" xr:uid="{00000000-0005-0000-0000-0000C0260000}"/>
    <cellStyle name="20% - Accent4 2 3 2 3 2 2 2 2" xfId="14337" xr:uid="{00000000-0005-0000-0000-0000C1260000}"/>
    <cellStyle name="20% - Accent4 2 3 2 3 2 2 2 2 2" xfId="27254" xr:uid="{00000000-0005-0000-0000-0000C2260000}"/>
    <cellStyle name="20% - Accent4 2 3 2 3 2 2 2 2 2 2" xfId="53128" xr:uid="{00000000-0005-0000-0000-0000C3260000}"/>
    <cellStyle name="20% - Accent4 2 3 2 3 2 2 2 2 3" xfId="40212" xr:uid="{00000000-0005-0000-0000-0000C4260000}"/>
    <cellStyle name="20% - Accent4 2 3 2 3 2 2 2 3" xfId="20796" xr:uid="{00000000-0005-0000-0000-0000C5260000}"/>
    <cellStyle name="20% - Accent4 2 3 2 3 2 2 2 3 2" xfId="46670" xr:uid="{00000000-0005-0000-0000-0000C6260000}"/>
    <cellStyle name="20% - Accent4 2 3 2 3 2 2 2 4" xfId="33754" xr:uid="{00000000-0005-0000-0000-0000C7260000}"/>
    <cellStyle name="20% - Accent4 2 3 2 3 2 2 3" xfId="11109" xr:uid="{00000000-0005-0000-0000-0000C8260000}"/>
    <cellStyle name="20% - Accent4 2 3 2 3 2 2 3 2" xfId="24026" xr:uid="{00000000-0005-0000-0000-0000C9260000}"/>
    <cellStyle name="20% - Accent4 2 3 2 3 2 2 3 2 2" xfId="49900" xr:uid="{00000000-0005-0000-0000-0000CA260000}"/>
    <cellStyle name="20% - Accent4 2 3 2 3 2 2 3 3" xfId="36984" xr:uid="{00000000-0005-0000-0000-0000CB260000}"/>
    <cellStyle name="20% - Accent4 2 3 2 3 2 2 4" xfId="17568" xr:uid="{00000000-0005-0000-0000-0000CC260000}"/>
    <cellStyle name="20% - Accent4 2 3 2 3 2 2 4 2" xfId="43442" xr:uid="{00000000-0005-0000-0000-0000CD260000}"/>
    <cellStyle name="20% - Accent4 2 3 2 3 2 2 5" xfId="30494" xr:uid="{00000000-0005-0000-0000-0000CE260000}"/>
    <cellStyle name="20% - Accent4 2 3 2 3 2 3" xfId="6264" xr:uid="{00000000-0005-0000-0000-0000CF260000}"/>
    <cellStyle name="20% - Accent4 2 3 2 3 2 3 2" xfId="12723" xr:uid="{00000000-0005-0000-0000-0000D0260000}"/>
    <cellStyle name="20% - Accent4 2 3 2 3 2 3 2 2" xfId="25640" xr:uid="{00000000-0005-0000-0000-0000D1260000}"/>
    <cellStyle name="20% - Accent4 2 3 2 3 2 3 2 2 2" xfId="51514" xr:uid="{00000000-0005-0000-0000-0000D2260000}"/>
    <cellStyle name="20% - Accent4 2 3 2 3 2 3 2 3" xfId="38598" xr:uid="{00000000-0005-0000-0000-0000D3260000}"/>
    <cellStyle name="20% - Accent4 2 3 2 3 2 3 3" xfId="19182" xr:uid="{00000000-0005-0000-0000-0000D4260000}"/>
    <cellStyle name="20% - Accent4 2 3 2 3 2 3 3 2" xfId="45056" xr:uid="{00000000-0005-0000-0000-0000D5260000}"/>
    <cellStyle name="20% - Accent4 2 3 2 3 2 3 4" xfId="32140" xr:uid="{00000000-0005-0000-0000-0000D6260000}"/>
    <cellStyle name="20% - Accent4 2 3 2 3 2 4" xfId="9495" xr:uid="{00000000-0005-0000-0000-0000D7260000}"/>
    <cellStyle name="20% - Accent4 2 3 2 3 2 4 2" xfId="22412" xr:uid="{00000000-0005-0000-0000-0000D8260000}"/>
    <cellStyle name="20% - Accent4 2 3 2 3 2 4 2 2" xfId="48286" xr:uid="{00000000-0005-0000-0000-0000D9260000}"/>
    <cellStyle name="20% - Accent4 2 3 2 3 2 4 3" xfId="35370" xr:uid="{00000000-0005-0000-0000-0000DA260000}"/>
    <cellStyle name="20% - Accent4 2 3 2 3 2 5" xfId="15954" xr:uid="{00000000-0005-0000-0000-0000DB260000}"/>
    <cellStyle name="20% - Accent4 2 3 2 3 2 5 2" xfId="41828" xr:uid="{00000000-0005-0000-0000-0000DC260000}"/>
    <cellStyle name="20% - Accent4 2 3 2 3 2 6" xfId="28880" xr:uid="{00000000-0005-0000-0000-0000DD260000}"/>
    <cellStyle name="20% - Accent4 2 3 2 3 3" xfId="3817" xr:uid="{00000000-0005-0000-0000-0000DE260000}"/>
    <cellStyle name="20% - Accent4 2 3 2 3 3 2" xfId="7071" xr:uid="{00000000-0005-0000-0000-0000DF260000}"/>
    <cellStyle name="20% - Accent4 2 3 2 3 3 2 2" xfId="13530" xr:uid="{00000000-0005-0000-0000-0000E0260000}"/>
    <cellStyle name="20% - Accent4 2 3 2 3 3 2 2 2" xfId="26447" xr:uid="{00000000-0005-0000-0000-0000E1260000}"/>
    <cellStyle name="20% - Accent4 2 3 2 3 3 2 2 2 2" xfId="52321" xr:uid="{00000000-0005-0000-0000-0000E2260000}"/>
    <cellStyle name="20% - Accent4 2 3 2 3 3 2 2 3" xfId="39405" xr:uid="{00000000-0005-0000-0000-0000E3260000}"/>
    <cellStyle name="20% - Accent4 2 3 2 3 3 2 3" xfId="19989" xr:uid="{00000000-0005-0000-0000-0000E4260000}"/>
    <cellStyle name="20% - Accent4 2 3 2 3 3 2 3 2" xfId="45863" xr:uid="{00000000-0005-0000-0000-0000E5260000}"/>
    <cellStyle name="20% - Accent4 2 3 2 3 3 2 4" xfId="32947" xr:uid="{00000000-0005-0000-0000-0000E6260000}"/>
    <cellStyle name="20% - Accent4 2 3 2 3 3 3" xfId="10302" xr:uid="{00000000-0005-0000-0000-0000E7260000}"/>
    <cellStyle name="20% - Accent4 2 3 2 3 3 3 2" xfId="23219" xr:uid="{00000000-0005-0000-0000-0000E8260000}"/>
    <cellStyle name="20% - Accent4 2 3 2 3 3 3 2 2" xfId="49093" xr:uid="{00000000-0005-0000-0000-0000E9260000}"/>
    <cellStyle name="20% - Accent4 2 3 2 3 3 3 3" xfId="36177" xr:uid="{00000000-0005-0000-0000-0000EA260000}"/>
    <cellStyle name="20% - Accent4 2 3 2 3 3 4" xfId="16761" xr:uid="{00000000-0005-0000-0000-0000EB260000}"/>
    <cellStyle name="20% - Accent4 2 3 2 3 3 4 2" xfId="42635" xr:uid="{00000000-0005-0000-0000-0000EC260000}"/>
    <cellStyle name="20% - Accent4 2 3 2 3 3 5" xfId="29687" xr:uid="{00000000-0005-0000-0000-0000ED260000}"/>
    <cellStyle name="20% - Accent4 2 3 2 3 4" xfId="5457" xr:uid="{00000000-0005-0000-0000-0000EE260000}"/>
    <cellStyle name="20% - Accent4 2 3 2 3 4 2" xfId="11916" xr:uid="{00000000-0005-0000-0000-0000EF260000}"/>
    <cellStyle name="20% - Accent4 2 3 2 3 4 2 2" xfId="24833" xr:uid="{00000000-0005-0000-0000-0000F0260000}"/>
    <cellStyle name="20% - Accent4 2 3 2 3 4 2 2 2" xfId="50707" xr:uid="{00000000-0005-0000-0000-0000F1260000}"/>
    <cellStyle name="20% - Accent4 2 3 2 3 4 2 3" xfId="37791" xr:uid="{00000000-0005-0000-0000-0000F2260000}"/>
    <cellStyle name="20% - Accent4 2 3 2 3 4 3" xfId="18375" xr:uid="{00000000-0005-0000-0000-0000F3260000}"/>
    <cellStyle name="20% - Accent4 2 3 2 3 4 3 2" xfId="44249" xr:uid="{00000000-0005-0000-0000-0000F4260000}"/>
    <cellStyle name="20% - Accent4 2 3 2 3 4 4" xfId="31333" xr:uid="{00000000-0005-0000-0000-0000F5260000}"/>
    <cellStyle name="20% - Accent4 2 3 2 3 5" xfId="8688" xr:uid="{00000000-0005-0000-0000-0000F6260000}"/>
    <cellStyle name="20% - Accent4 2 3 2 3 5 2" xfId="21605" xr:uid="{00000000-0005-0000-0000-0000F7260000}"/>
    <cellStyle name="20% - Accent4 2 3 2 3 5 2 2" xfId="47479" xr:uid="{00000000-0005-0000-0000-0000F8260000}"/>
    <cellStyle name="20% - Accent4 2 3 2 3 5 3" xfId="34563" xr:uid="{00000000-0005-0000-0000-0000F9260000}"/>
    <cellStyle name="20% - Accent4 2 3 2 3 6" xfId="15147" xr:uid="{00000000-0005-0000-0000-0000FA260000}"/>
    <cellStyle name="20% - Accent4 2 3 2 3 6 2" xfId="41021" xr:uid="{00000000-0005-0000-0000-0000FB260000}"/>
    <cellStyle name="20% - Accent4 2 3 2 3 7" xfId="28073" xr:uid="{00000000-0005-0000-0000-0000FC260000}"/>
    <cellStyle name="20% - Accent4 2 3 2 3 8" xfId="53935" xr:uid="{00000000-0005-0000-0000-0000FD260000}"/>
    <cellStyle name="20% - Accent4 2 3 2 3 9" xfId="2176" xr:uid="{00000000-0005-0000-0000-0000FE260000}"/>
    <cellStyle name="20% - Accent4 2 3 2 4" xfId="2587" xr:uid="{00000000-0005-0000-0000-0000FF260000}"/>
    <cellStyle name="20% - Accent4 2 3 2 4 2" xfId="4244" xr:uid="{00000000-0005-0000-0000-000000270000}"/>
    <cellStyle name="20% - Accent4 2 3 2 4 2 2" xfId="7475" xr:uid="{00000000-0005-0000-0000-000001270000}"/>
    <cellStyle name="20% - Accent4 2 3 2 4 2 2 2" xfId="13934" xr:uid="{00000000-0005-0000-0000-000002270000}"/>
    <cellStyle name="20% - Accent4 2 3 2 4 2 2 2 2" xfId="26851" xr:uid="{00000000-0005-0000-0000-000003270000}"/>
    <cellStyle name="20% - Accent4 2 3 2 4 2 2 2 2 2" xfId="52725" xr:uid="{00000000-0005-0000-0000-000004270000}"/>
    <cellStyle name="20% - Accent4 2 3 2 4 2 2 2 3" xfId="39809" xr:uid="{00000000-0005-0000-0000-000005270000}"/>
    <cellStyle name="20% - Accent4 2 3 2 4 2 2 3" xfId="20393" xr:uid="{00000000-0005-0000-0000-000006270000}"/>
    <cellStyle name="20% - Accent4 2 3 2 4 2 2 3 2" xfId="46267" xr:uid="{00000000-0005-0000-0000-000007270000}"/>
    <cellStyle name="20% - Accent4 2 3 2 4 2 2 4" xfId="33351" xr:uid="{00000000-0005-0000-0000-000008270000}"/>
    <cellStyle name="20% - Accent4 2 3 2 4 2 3" xfId="10706" xr:uid="{00000000-0005-0000-0000-000009270000}"/>
    <cellStyle name="20% - Accent4 2 3 2 4 2 3 2" xfId="23623" xr:uid="{00000000-0005-0000-0000-00000A270000}"/>
    <cellStyle name="20% - Accent4 2 3 2 4 2 3 2 2" xfId="49497" xr:uid="{00000000-0005-0000-0000-00000B270000}"/>
    <cellStyle name="20% - Accent4 2 3 2 4 2 3 3" xfId="36581" xr:uid="{00000000-0005-0000-0000-00000C270000}"/>
    <cellStyle name="20% - Accent4 2 3 2 4 2 4" xfId="17165" xr:uid="{00000000-0005-0000-0000-00000D270000}"/>
    <cellStyle name="20% - Accent4 2 3 2 4 2 4 2" xfId="43039" xr:uid="{00000000-0005-0000-0000-00000E270000}"/>
    <cellStyle name="20% - Accent4 2 3 2 4 2 5" xfId="30091" xr:uid="{00000000-0005-0000-0000-00000F270000}"/>
    <cellStyle name="20% - Accent4 2 3 2 4 3" xfId="5861" xr:uid="{00000000-0005-0000-0000-000010270000}"/>
    <cellStyle name="20% - Accent4 2 3 2 4 3 2" xfId="12320" xr:uid="{00000000-0005-0000-0000-000011270000}"/>
    <cellStyle name="20% - Accent4 2 3 2 4 3 2 2" xfId="25237" xr:uid="{00000000-0005-0000-0000-000012270000}"/>
    <cellStyle name="20% - Accent4 2 3 2 4 3 2 2 2" xfId="51111" xr:uid="{00000000-0005-0000-0000-000013270000}"/>
    <cellStyle name="20% - Accent4 2 3 2 4 3 2 3" xfId="38195" xr:uid="{00000000-0005-0000-0000-000014270000}"/>
    <cellStyle name="20% - Accent4 2 3 2 4 3 3" xfId="18779" xr:uid="{00000000-0005-0000-0000-000015270000}"/>
    <cellStyle name="20% - Accent4 2 3 2 4 3 3 2" xfId="44653" xr:uid="{00000000-0005-0000-0000-000016270000}"/>
    <cellStyle name="20% - Accent4 2 3 2 4 3 4" xfId="31737" xr:uid="{00000000-0005-0000-0000-000017270000}"/>
    <cellStyle name="20% - Accent4 2 3 2 4 4" xfId="9092" xr:uid="{00000000-0005-0000-0000-000018270000}"/>
    <cellStyle name="20% - Accent4 2 3 2 4 4 2" xfId="22009" xr:uid="{00000000-0005-0000-0000-000019270000}"/>
    <cellStyle name="20% - Accent4 2 3 2 4 4 2 2" xfId="47883" xr:uid="{00000000-0005-0000-0000-00001A270000}"/>
    <cellStyle name="20% - Accent4 2 3 2 4 4 3" xfId="34967" xr:uid="{00000000-0005-0000-0000-00001B270000}"/>
    <cellStyle name="20% - Accent4 2 3 2 4 5" xfId="15551" xr:uid="{00000000-0005-0000-0000-00001C270000}"/>
    <cellStyle name="20% - Accent4 2 3 2 4 5 2" xfId="41425" xr:uid="{00000000-0005-0000-0000-00001D270000}"/>
    <cellStyle name="20% - Accent4 2 3 2 4 6" xfId="28477" xr:uid="{00000000-0005-0000-0000-00001E270000}"/>
    <cellStyle name="20% - Accent4 2 3 2 5" xfId="3414" xr:uid="{00000000-0005-0000-0000-00001F270000}"/>
    <cellStyle name="20% - Accent4 2 3 2 5 2" xfId="6668" xr:uid="{00000000-0005-0000-0000-000020270000}"/>
    <cellStyle name="20% - Accent4 2 3 2 5 2 2" xfId="13127" xr:uid="{00000000-0005-0000-0000-000021270000}"/>
    <cellStyle name="20% - Accent4 2 3 2 5 2 2 2" xfId="26044" xr:uid="{00000000-0005-0000-0000-000022270000}"/>
    <cellStyle name="20% - Accent4 2 3 2 5 2 2 2 2" xfId="51918" xr:uid="{00000000-0005-0000-0000-000023270000}"/>
    <cellStyle name="20% - Accent4 2 3 2 5 2 2 3" xfId="39002" xr:uid="{00000000-0005-0000-0000-000024270000}"/>
    <cellStyle name="20% - Accent4 2 3 2 5 2 3" xfId="19586" xr:uid="{00000000-0005-0000-0000-000025270000}"/>
    <cellStyle name="20% - Accent4 2 3 2 5 2 3 2" xfId="45460" xr:uid="{00000000-0005-0000-0000-000026270000}"/>
    <cellStyle name="20% - Accent4 2 3 2 5 2 4" xfId="32544" xr:uid="{00000000-0005-0000-0000-000027270000}"/>
    <cellStyle name="20% - Accent4 2 3 2 5 3" xfId="9899" xr:uid="{00000000-0005-0000-0000-000028270000}"/>
    <cellStyle name="20% - Accent4 2 3 2 5 3 2" xfId="22816" xr:uid="{00000000-0005-0000-0000-000029270000}"/>
    <cellStyle name="20% - Accent4 2 3 2 5 3 2 2" xfId="48690" xr:uid="{00000000-0005-0000-0000-00002A270000}"/>
    <cellStyle name="20% - Accent4 2 3 2 5 3 3" xfId="35774" xr:uid="{00000000-0005-0000-0000-00002B270000}"/>
    <cellStyle name="20% - Accent4 2 3 2 5 4" xfId="16358" xr:uid="{00000000-0005-0000-0000-00002C270000}"/>
    <cellStyle name="20% - Accent4 2 3 2 5 4 2" xfId="42232" xr:uid="{00000000-0005-0000-0000-00002D270000}"/>
    <cellStyle name="20% - Accent4 2 3 2 5 5" xfId="29284" xr:uid="{00000000-0005-0000-0000-00002E270000}"/>
    <cellStyle name="20% - Accent4 2 3 2 6" xfId="5054" xr:uid="{00000000-0005-0000-0000-00002F270000}"/>
    <cellStyle name="20% - Accent4 2 3 2 6 2" xfId="11513" xr:uid="{00000000-0005-0000-0000-000030270000}"/>
    <cellStyle name="20% - Accent4 2 3 2 6 2 2" xfId="24430" xr:uid="{00000000-0005-0000-0000-000031270000}"/>
    <cellStyle name="20% - Accent4 2 3 2 6 2 2 2" xfId="50304" xr:uid="{00000000-0005-0000-0000-000032270000}"/>
    <cellStyle name="20% - Accent4 2 3 2 6 2 3" xfId="37388" xr:uid="{00000000-0005-0000-0000-000033270000}"/>
    <cellStyle name="20% - Accent4 2 3 2 6 3" xfId="17972" xr:uid="{00000000-0005-0000-0000-000034270000}"/>
    <cellStyle name="20% - Accent4 2 3 2 6 3 2" xfId="43846" xr:uid="{00000000-0005-0000-0000-000035270000}"/>
    <cellStyle name="20% - Accent4 2 3 2 6 4" xfId="30930" xr:uid="{00000000-0005-0000-0000-000036270000}"/>
    <cellStyle name="20% - Accent4 2 3 2 7" xfId="8284" xr:uid="{00000000-0005-0000-0000-000037270000}"/>
    <cellStyle name="20% - Accent4 2 3 2 7 2" xfId="21201" xr:uid="{00000000-0005-0000-0000-000038270000}"/>
    <cellStyle name="20% - Accent4 2 3 2 7 2 2" xfId="47075" xr:uid="{00000000-0005-0000-0000-000039270000}"/>
    <cellStyle name="20% - Accent4 2 3 2 7 3" xfId="34159" xr:uid="{00000000-0005-0000-0000-00003A270000}"/>
    <cellStyle name="20% - Accent4 2 3 2 8" xfId="14743" xr:uid="{00000000-0005-0000-0000-00003B270000}"/>
    <cellStyle name="20% - Accent4 2 3 2 8 2" xfId="40617" xr:uid="{00000000-0005-0000-0000-00003C270000}"/>
    <cellStyle name="20% - Accent4 2 3 2 9" xfId="27667" xr:uid="{00000000-0005-0000-0000-00003D270000}"/>
    <cellStyle name="20% - Accent4 2 3 3" xfId="576" xr:uid="{00000000-0005-0000-0000-00003E270000}"/>
    <cellStyle name="20% - Accent4 2 3 3 10" xfId="1846" xr:uid="{00000000-0005-0000-0000-00003F270000}"/>
    <cellStyle name="20% - Accent4 2 3 3 2" xfId="2288" xr:uid="{00000000-0005-0000-0000-000040270000}"/>
    <cellStyle name="20% - Accent4 2 3 3 2 2" xfId="3102" xr:uid="{00000000-0005-0000-0000-000041270000}"/>
    <cellStyle name="20% - Accent4 2 3 3 2 2 2" xfId="4759" xr:uid="{00000000-0005-0000-0000-000042270000}"/>
    <cellStyle name="20% - Accent4 2 3 3 2 2 2 2" xfId="7990" xr:uid="{00000000-0005-0000-0000-000043270000}"/>
    <cellStyle name="20% - Accent4 2 3 3 2 2 2 2 2" xfId="14449" xr:uid="{00000000-0005-0000-0000-000044270000}"/>
    <cellStyle name="20% - Accent4 2 3 3 2 2 2 2 2 2" xfId="27366" xr:uid="{00000000-0005-0000-0000-000045270000}"/>
    <cellStyle name="20% - Accent4 2 3 3 2 2 2 2 2 2 2" xfId="53240" xr:uid="{00000000-0005-0000-0000-000046270000}"/>
    <cellStyle name="20% - Accent4 2 3 3 2 2 2 2 2 3" xfId="40324" xr:uid="{00000000-0005-0000-0000-000047270000}"/>
    <cellStyle name="20% - Accent4 2 3 3 2 2 2 2 3" xfId="20908" xr:uid="{00000000-0005-0000-0000-000048270000}"/>
    <cellStyle name="20% - Accent4 2 3 3 2 2 2 2 3 2" xfId="46782" xr:uid="{00000000-0005-0000-0000-000049270000}"/>
    <cellStyle name="20% - Accent4 2 3 3 2 2 2 2 4" xfId="33866" xr:uid="{00000000-0005-0000-0000-00004A270000}"/>
    <cellStyle name="20% - Accent4 2 3 3 2 2 2 3" xfId="11221" xr:uid="{00000000-0005-0000-0000-00004B270000}"/>
    <cellStyle name="20% - Accent4 2 3 3 2 2 2 3 2" xfId="24138" xr:uid="{00000000-0005-0000-0000-00004C270000}"/>
    <cellStyle name="20% - Accent4 2 3 3 2 2 2 3 2 2" xfId="50012" xr:uid="{00000000-0005-0000-0000-00004D270000}"/>
    <cellStyle name="20% - Accent4 2 3 3 2 2 2 3 3" xfId="37096" xr:uid="{00000000-0005-0000-0000-00004E270000}"/>
    <cellStyle name="20% - Accent4 2 3 3 2 2 2 4" xfId="17680" xr:uid="{00000000-0005-0000-0000-00004F270000}"/>
    <cellStyle name="20% - Accent4 2 3 3 2 2 2 4 2" xfId="43554" xr:uid="{00000000-0005-0000-0000-000050270000}"/>
    <cellStyle name="20% - Accent4 2 3 3 2 2 2 5" xfId="30606" xr:uid="{00000000-0005-0000-0000-000051270000}"/>
    <cellStyle name="20% - Accent4 2 3 3 2 2 3" xfId="6376" xr:uid="{00000000-0005-0000-0000-000052270000}"/>
    <cellStyle name="20% - Accent4 2 3 3 2 2 3 2" xfId="12835" xr:uid="{00000000-0005-0000-0000-000053270000}"/>
    <cellStyle name="20% - Accent4 2 3 3 2 2 3 2 2" xfId="25752" xr:uid="{00000000-0005-0000-0000-000054270000}"/>
    <cellStyle name="20% - Accent4 2 3 3 2 2 3 2 2 2" xfId="51626" xr:uid="{00000000-0005-0000-0000-000055270000}"/>
    <cellStyle name="20% - Accent4 2 3 3 2 2 3 2 3" xfId="38710" xr:uid="{00000000-0005-0000-0000-000056270000}"/>
    <cellStyle name="20% - Accent4 2 3 3 2 2 3 3" xfId="19294" xr:uid="{00000000-0005-0000-0000-000057270000}"/>
    <cellStyle name="20% - Accent4 2 3 3 2 2 3 3 2" xfId="45168" xr:uid="{00000000-0005-0000-0000-000058270000}"/>
    <cellStyle name="20% - Accent4 2 3 3 2 2 3 4" xfId="32252" xr:uid="{00000000-0005-0000-0000-000059270000}"/>
    <cellStyle name="20% - Accent4 2 3 3 2 2 4" xfId="9607" xr:uid="{00000000-0005-0000-0000-00005A270000}"/>
    <cellStyle name="20% - Accent4 2 3 3 2 2 4 2" xfId="22524" xr:uid="{00000000-0005-0000-0000-00005B270000}"/>
    <cellStyle name="20% - Accent4 2 3 3 2 2 4 2 2" xfId="48398" xr:uid="{00000000-0005-0000-0000-00005C270000}"/>
    <cellStyle name="20% - Accent4 2 3 3 2 2 4 3" xfId="35482" xr:uid="{00000000-0005-0000-0000-00005D270000}"/>
    <cellStyle name="20% - Accent4 2 3 3 2 2 5" xfId="16066" xr:uid="{00000000-0005-0000-0000-00005E270000}"/>
    <cellStyle name="20% - Accent4 2 3 3 2 2 5 2" xfId="41940" xr:uid="{00000000-0005-0000-0000-00005F270000}"/>
    <cellStyle name="20% - Accent4 2 3 3 2 2 6" xfId="28992" xr:uid="{00000000-0005-0000-0000-000060270000}"/>
    <cellStyle name="20% - Accent4 2 3 3 2 3" xfId="3929" xr:uid="{00000000-0005-0000-0000-000061270000}"/>
    <cellStyle name="20% - Accent4 2 3 3 2 3 2" xfId="7183" xr:uid="{00000000-0005-0000-0000-000062270000}"/>
    <cellStyle name="20% - Accent4 2 3 3 2 3 2 2" xfId="13642" xr:uid="{00000000-0005-0000-0000-000063270000}"/>
    <cellStyle name="20% - Accent4 2 3 3 2 3 2 2 2" xfId="26559" xr:uid="{00000000-0005-0000-0000-000064270000}"/>
    <cellStyle name="20% - Accent4 2 3 3 2 3 2 2 2 2" xfId="52433" xr:uid="{00000000-0005-0000-0000-000065270000}"/>
    <cellStyle name="20% - Accent4 2 3 3 2 3 2 2 3" xfId="39517" xr:uid="{00000000-0005-0000-0000-000066270000}"/>
    <cellStyle name="20% - Accent4 2 3 3 2 3 2 3" xfId="20101" xr:uid="{00000000-0005-0000-0000-000067270000}"/>
    <cellStyle name="20% - Accent4 2 3 3 2 3 2 3 2" xfId="45975" xr:uid="{00000000-0005-0000-0000-000068270000}"/>
    <cellStyle name="20% - Accent4 2 3 3 2 3 2 4" xfId="33059" xr:uid="{00000000-0005-0000-0000-000069270000}"/>
    <cellStyle name="20% - Accent4 2 3 3 2 3 3" xfId="10414" xr:uid="{00000000-0005-0000-0000-00006A270000}"/>
    <cellStyle name="20% - Accent4 2 3 3 2 3 3 2" xfId="23331" xr:uid="{00000000-0005-0000-0000-00006B270000}"/>
    <cellStyle name="20% - Accent4 2 3 3 2 3 3 2 2" xfId="49205" xr:uid="{00000000-0005-0000-0000-00006C270000}"/>
    <cellStyle name="20% - Accent4 2 3 3 2 3 3 3" xfId="36289" xr:uid="{00000000-0005-0000-0000-00006D270000}"/>
    <cellStyle name="20% - Accent4 2 3 3 2 3 4" xfId="16873" xr:uid="{00000000-0005-0000-0000-00006E270000}"/>
    <cellStyle name="20% - Accent4 2 3 3 2 3 4 2" xfId="42747" xr:uid="{00000000-0005-0000-0000-00006F270000}"/>
    <cellStyle name="20% - Accent4 2 3 3 2 3 5" xfId="29799" xr:uid="{00000000-0005-0000-0000-000070270000}"/>
    <cellStyle name="20% - Accent4 2 3 3 2 4" xfId="5569" xr:uid="{00000000-0005-0000-0000-000071270000}"/>
    <cellStyle name="20% - Accent4 2 3 3 2 4 2" xfId="12028" xr:uid="{00000000-0005-0000-0000-000072270000}"/>
    <cellStyle name="20% - Accent4 2 3 3 2 4 2 2" xfId="24945" xr:uid="{00000000-0005-0000-0000-000073270000}"/>
    <cellStyle name="20% - Accent4 2 3 3 2 4 2 2 2" xfId="50819" xr:uid="{00000000-0005-0000-0000-000074270000}"/>
    <cellStyle name="20% - Accent4 2 3 3 2 4 2 3" xfId="37903" xr:uid="{00000000-0005-0000-0000-000075270000}"/>
    <cellStyle name="20% - Accent4 2 3 3 2 4 3" xfId="18487" xr:uid="{00000000-0005-0000-0000-000076270000}"/>
    <cellStyle name="20% - Accent4 2 3 3 2 4 3 2" xfId="44361" xr:uid="{00000000-0005-0000-0000-000077270000}"/>
    <cellStyle name="20% - Accent4 2 3 3 2 4 4" xfId="31445" xr:uid="{00000000-0005-0000-0000-000078270000}"/>
    <cellStyle name="20% - Accent4 2 3 3 2 5" xfId="8800" xr:uid="{00000000-0005-0000-0000-000079270000}"/>
    <cellStyle name="20% - Accent4 2 3 3 2 5 2" xfId="21717" xr:uid="{00000000-0005-0000-0000-00007A270000}"/>
    <cellStyle name="20% - Accent4 2 3 3 2 5 2 2" xfId="47591" xr:uid="{00000000-0005-0000-0000-00007B270000}"/>
    <cellStyle name="20% - Accent4 2 3 3 2 5 3" xfId="34675" xr:uid="{00000000-0005-0000-0000-00007C270000}"/>
    <cellStyle name="20% - Accent4 2 3 3 2 6" xfId="15259" xr:uid="{00000000-0005-0000-0000-00007D270000}"/>
    <cellStyle name="20% - Accent4 2 3 3 2 6 2" xfId="41133" xr:uid="{00000000-0005-0000-0000-00007E270000}"/>
    <cellStyle name="20% - Accent4 2 3 3 2 7" xfId="28185" xr:uid="{00000000-0005-0000-0000-00007F270000}"/>
    <cellStyle name="20% - Accent4 2 3 3 2 8" xfId="54047" xr:uid="{00000000-0005-0000-0000-000080270000}"/>
    <cellStyle name="20% - Accent4 2 3 3 3" xfId="2699" xr:uid="{00000000-0005-0000-0000-000081270000}"/>
    <cellStyle name="20% - Accent4 2 3 3 3 2" xfId="4356" xr:uid="{00000000-0005-0000-0000-000082270000}"/>
    <cellStyle name="20% - Accent4 2 3 3 3 2 2" xfId="7587" xr:uid="{00000000-0005-0000-0000-000083270000}"/>
    <cellStyle name="20% - Accent4 2 3 3 3 2 2 2" xfId="14046" xr:uid="{00000000-0005-0000-0000-000084270000}"/>
    <cellStyle name="20% - Accent4 2 3 3 3 2 2 2 2" xfId="26963" xr:uid="{00000000-0005-0000-0000-000085270000}"/>
    <cellStyle name="20% - Accent4 2 3 3 3 2 2 2 2 2" xfId="52837" xr:uid="{00000000-0005-0000-0000-000086270000}"/>
    <cellStyle name="20% - Accent4 2 3 3 3 2 2 2 3" xfId="39921" xr:uid="{00000000-0005-0000-0000-000087270000}"/>
    <cellStyle name="20% - Accent4 2 3 3 3 2 2 3" xfId="20505" xr:uid="{00000000-0005-0000-0000-000088270000}"/>
    <cellStyle name="20% - Accent4 2 3 3 3 2 2 3 2" xfId="46379" xr:uid="{00000000-0005-0000-0000-000089270000}"/>
    <cellStyle name="20% - Accent4 2 3 3 3 2 2 4" xfId="33463" xr:uid="{00000000-0005-0000-0000-00008A270000}"/>
    <cellStyle name="20% - Accent4 2 3 3 3 2 3" xfId="10818" xr:uid="{00000000-0005-0000-0000-00008B270000}"/>
    <cellStyle name="20% - Accent4 2 3 3 3 2 3 2" xfId="23735" xr:uid="{00000000-0005-0000-0000-00008C270000}"/>
    <cellStyle name="20% - Accent4 2 3 3 3 2 3 2 2" xfId="49609" xr:uid="{00000000-0005-0000-0000-00008D270000}"/>
    <cellStyle name="20% - Accent4 2 3 3 3 2 3 3" xfId="36693" xr:uid="{00000000-0005-0000-0000-00008E270000}"/>
    <cellStyle name="20% - Accent4 2 3 3 3 2 4" xfId="17277" xr:uid="{00000000-0005-0000-0000-00008F270000}"/>
    <cellStyle name="20% - Accent4 2 3 3 3 2 4 2" xfId="43151" xr:uid="{00000000-0005-0000-0000-000090270000}"/>
    <cellStyle name="20% - Accent4 2 3 3 3 2 5" xfId="30203" xr:uid="{00000000-0005-0000-0000-000091270000}"/>
    <cellStyle name="20% - Accent4 2 3 3 3 3" xfId="5973" xr:uid="{00000000-0005-0000-0000-000092270000}"/>
    <cellStyle name="20% - Accent4 2 3 3 3 3 2" xfId="12432" xr:uid="{00000000-0005-0000-0000-000093270000}"/>
    <cellStyle name="20% - Accent4 2 3 3 3 3 2 2" xfId="25349" xr:uid="{00000000-0005-0000-0000-000094270000}"/>
    <cellStyle name="20% - Accent4 2 3 3 3 3 2 2 2" xfId="51223" xr:uid="{00000000-0005-0000-0000-000095270000}"/>
    <cellStyle name="20% - Accent4 2 3 3 3 3 2 3" xfId="38307" xr:uid="{00000000-0005-0000-0000-000096270000}"/>
    <cellStyle name="20% - Accent4 2 3 3 3 3 3" xfId="18891" xr:uid="{00000000-0005-0000-0000-000097270000}"/>
    <cellStyle name="20% - Accent4 2 3 3 3 3 3 2" xfId="44765" xr:uid="{00000000-0005-0000-0000-000098270000}"/>
    <cellStyle name="20% - Accent4 2 3 3 3 3 4" xfId="31849" xr:uid="{00000000-0005-0000-0000-000099270000}"/>
    <cellStyle name="20% - Accent4 2 3 3 3 4" xfId="9204" xr:uid="{00000000-0005-0000-0000-00009A270000}"/>
    <cellStyle name="20% - Accent4 2 3 3 3 4 2" xfId="22121" xr:uid="{00000000-0005-0000-0000-00009B270000}"/>
    <cellStyle name="20% - Accent4 2 3 3 3 4 2 2" xfId="47995" xr:uid="{00000000-0005-0000-0000-00009C270000}"/>
    <cellStyle name="20% - Accent4 2 3 3 3 4 3" xfId="35079" xr:uid="{00000000-0005-0000-0000-00009D270000}"/>
    <cellStyle name="20% - Accent4 2 3 3 3 5" xfId="15663" xr:uid="{00000000-0005-0000-0000-00009E270000}"/>
    <cellStyle name="20% - Accent4 2 3 3 3 5 2" xfId="41537" xr:uid="{00000000-0005-0000-0000-00009F270000}"/>
    <cellStyle name="20% - Accent4 2 3 3 3 6" xfId="28589" xr:uid="{00000000-0005-0000-0000-0000A0270000}"/>
    <cellStyle name="20% - Accent4 2 3 3 4" xfId="3526" xr:uid="{00000000-0005-0000-0000-0000A1270000}"/>
    <cellStyle name="20% - Accent4 2 3 3 4 2" xfId="6780" xr:uid="{00000000-0005-0000-0000-0000A2270000}"/>
    <cellStyle name="20% - Accent4 2 3 3 4 2 2" xfId="13239" xr:uid="{00000000-0005-0000-0000-0000A3270000}"/>
    <cellStyle name="20% - Accent4 2 3 3 4 2 2 2" xfId="26156" xr:uid="{00000000-0005-0000-0000-0000A4270000}"/>
    <cellStyle name="20% - Accent4 2 3 3 4 2 2 2 2" xfId="52030" xr:uid="{00000000-0005-0000-0000-0000A5270000}"/>
    <cellStyle name="20% - Accent4 2 3 3 4 2 2 3" xfId="39114" xr:uid="{00000000-0005-0000-0000-0000A6270000}"/>
    <cellStyle name="20% - Accent4 2 3 3 4 2 3" xfId="19698" xr:uid="{00000000-0005-0000-0000-0000A7270000}"/>
    <cellStyle name="20% - Accent4 2 3 3 4 2 3 2" xfId="45572" xr:uid="{00000000-0005-0000-0000-0000A8270000}"/>
    <cellStyle name="20% - Accent4 2 3 3 4 2 4" xfId="32656" xr:uid="{00000000-0005-0000-0000-0000A9270000}"/>
    <cellStyle name="20% - Accent4 2 3 3 4 3" xfId="10011" xr:uid="{00000000-0005-0000-0000-0000AA270000}"/>
    <cellStyle name="20% - Accent4 2 3 3 4 3 2" xfId="22928" xr:uid="{00000000-0005-0000-0000-0000AB270000}"/>
    <cellStyle name="20% - Accent4 2 3 3 4 3 2 2" xfId="48802" xr:uid="{00000000-0005-0000-0000-0000AC270000}"/>
    <cellStyle name="20% - Accent4 2 3 3 4 3 3" xfId="35886" xr:uid="{00000000-0005-0000-0000-0000AD270000}"/>
    <cellStyle name="20% - Accent4 2 3 3 4 4" xfId="16470" xr:uid="{00000000-0005-0000-0000-0000AE270000}"/>
    <cellStyle name="20% - Accent4 2 3 3 4 4 2" xfId="42344" xr:uid="{00000000-0005-0000-0000-0000AF270000}"/>
    <cellStyle name="20% - Accent4 2 3 3 4 5" xfId="29396" xr:uid="{00000000-0005-0000-0000-0000B0270000}"/>
    <cellStyle name="20% - Accent4 2 3 3 5" xfId="5166" xr:uid="{00000000-0005-0000-0000-0000B1270000}"/>
    <cellStyle name="20% - Accent4 2 3 3 5 2" xfId="11625" xr:uid="{00000000-0005-0000-0000-0000B2270000}"/>
    <cellStyle name="20% - Accent4 2 3 3 5 2 2" xfId="24542" xr:uid="{00000000-0005-0000-0000-0000B3270000}"/>
    <cellStyle name="20% - Accent4 2 3 3 5 2 2 2" xfId="50416" xr:uid="{00000000-0005-0000-0000-0000B4270000}"/>
    <cellStyle name="20% - Accent4 2 3 3 5 2 3" xfId="37500" xr:uid="{00000000-0005-0000-0000-0000B5270000}"/>
    <cellStyle name="20% - Accent4 2 3 3 5 3" xfId="18084" xr:uid="{00000000-0005-0000-0000-0000B6270000}"/>
    <cellStyle name="20% - Accent4 2 3 3 5 3 2" xfId="43958" xr:uid="{00000000-0005-0000-0000-0000B7270000}"/>
    <cellStyle name="20% - Accent4 2 3 3 5 4" xfId="31042" xr:uid="{00000000-0005-0000-0000-0000B8270000}"/>
    <cellStyle name="20% - Accent4 2 3 3 6" xfId="8396" xr:uid="{00000000-0005-0000-0000-0000B9270000}"/>
    <cellStyle name="20% - Accent4 2 3 3 6 2" xfId="21313" xr:uid="{00000000-0005-0000-0000-0000BA270000}"/>
    <cellStyle name="20% - Accent4 2 3 3 6 2 2" xfId="47187" xr:uid="{00000000-0005-0000-0000-0000BB270000}"/>
    <cellStyle name="20% - Accent4 2 3 3 6 3" xfId="34271" xr:uid="{00000000-0005-0000-0000-0000BC270000}"/>
    <cellStyle name="20% - Accent4 2 3 3 7" xfId="14855" xr:uid="{00000000-0005-0000-0000-0000BD270000}"/>
    <cellStyle name="20% - Accent4 2 3 3 7 2" xfId="40729" xr:uid="{00000000-0005-0000-0000-0000BE270000}"/>
    <cellStyle name="20% - Accent4 2 3 3 8" xfId="27781" xr:uid="{00000000-0005-0000-0000-0000BF270000}"/>
    <cellStyle name="20% - Accent4 2 3 3 9" xfId="53644" xr:uid="{00000000-0005-0000-0000-0000C0270000}"/>
    <cellStyle name="20% - Accent4 2 3 4" xfId="573" xr:uid="{00000000-0005-0000-0000-0000C1270000}"/>
    <cellStyle name="20% - Accent4 2 3 4 2" xfId="2906" xr:uid="{00000000-0005-0000-0000-0000C2270000}"/>
    <cellStyle name="20% - Accent4 2 3 4 2 2" xfId="4563" xr:uid="{00000000-0005-0000-0000-0000C3270000}"/>
    <cellStyle name="20% - Accent4 2 3 4 2 2 2" xfId="7794" xr:uid="{00000000-0005-0000-0000-0000C4270000}"/>
    <cellStyle name="20% - Accent4 2 3 4 2 2 2 2" xfId="14253" xr:uid="{00000000-0005-0000-0000-0000C5270000}"/>
    <cellStyle name="20% - Accent4 2 3 4 2 2 2 2 2" xfId="27170" xr:uid="{00000000-0005-0000-0000-0000C6270000}"/>
    <cellStyle name="20% - Accent4 2 3 4 2 2 2 2 2 2" xfId="53044" xr:uid="{00000000-0005-0000-0000-0000C7270000}"/>
    <cellStyle name="20% - Accent4 2 3 4 2 2 2 2 3" xfId="40128" xr:uid="{00000000-0005-0000-0000-0000C8270000}"/>
    <cellStyle name="20% - Accent4 2 3 4 2 2 2 3" xfId="20712" xr:uid="{00000000-0005-0000-0000-0000C9270000}"/>
    <cellStyle name="20% - Accent4 2 3 4 2 2 2 3 2" xfId="46586" xr:uid="{00000000-0005-0000-0000-0000CA270000}"/>
    <cellStyle name="20% - Accent4 2 3 4 2 2 2 4" xfId="33670" xr:uid="{00000000-0005-0000-0000-0000CB270000}"/>
    <cellStyle name="20% - Accent4 2 3 4 2 2 3" xfId="11025" xr:uid="{00000000-0005-0000-0000-0000CC270000}"/>
    <cellStyle name="20% - Accent4 2 3 4 2 2 3 2" xfId="23942" xr:uid="{00000000-0005-0000-0000-0000CD270000}"/>
    <cellStyle name="20% - Accent4 2 3 4 2 2 3 2 2" xfId="49816" xr:uid="{00000000-0005-0000-0000-0000CE270000}"/>
    <cellStyle name="20% - Accent4 2 3 4 2 2 3 3" xfId="36900" xr:uid="{00000000-0005-0000-0000-0000CF270000}"/>
    <cellStyle name="20% - Accent4 2 3 4 2 2 4" xfId="17484" xr:uid="{00000000-0005-0000-0000-0000D0270000}"/>
    <cellStyle name="20% - Accent4 2 3 4 2 2 4 2" xfId="43358" xr:uid="{00000000-0005-0000-0000-0000D1270000}"/>
    <cellStyle name="20% - Accent4 2 3 4 2 2 5" xfId="30410" xr:uid="{00000000-0005-0000-0000-0000D2270000}"/>
    <cellStyle name="20% - Accent4 2 3 4 2 3" xfId="6180" xr:uid="{00000000-0005-0000-0000-0000D3270000}"/>
    <cellStyle name="20% - Accent4 2 3 4 2 3 2" xfId="12639" xr:uid="{00000000-0005-0000-0000-0000D4270000}"/>
    <cellStyle name="20% - Accent4 2 3 4 2 3 2 2" xfId="25556" xr:uid="{00000000-0005-0000-0000-0000D5270000}"/>
    <cellStyle name="20% - Accent4 2 3 4 2 3 2 2 2" xfId="51430" xr:uid="{00000000-0005-0000-0000-0000D6270000}"/>
    <cellStyle name="20% - Accent4 2 3 4 2 3 2 3" xfId="38514" xr:uid="{00000000-0005-0000-0000-0000D7270000}"/>
    <cellStyle name="20% - Accent4 2 3 4 2 3 3" xfId="19098" xr:uid="{00000000-0005-0000-0000-0000D8270000}"/>
    <cellStyle name="20% - Accent4 2 3 4 2 3 3 2" xfId="44972" xr:uid="{00000000-0005-0000-0000-0000D9270000}"/>
    <cellStyle name="20% - Accent4 2 3 4 2 3 4" xfId="32056" xr:uid="{00000000-0005-0000-0000-0000DA270000}"/>
    <cellStyle name="20% - Accent4 2 3 4 2 4" xfId="9411" xr:uid="{00000000-0005-0000-0000-0000DB270000}"/>
    <cellStyle name="20% - Accent4 2 3 4 2 4 2" xfId="22328" xr:uid="{00000000-0005-0000-0000-0000DC270000}"/>
    <cellStyle name="20% - Accent4 2 3 4 2 4 2 2" xfId="48202" xr:uid="{00000000-0005-0000-0000-0000DD270000}"/>
    <cellStyle name="20% - Accent4 2 3 4 2 4 3" xfId="35286" xr:uid="{00000000-0005-0000-0000-0000DE270000}"/>
    <cellStyle name="20% - Accent4 2 3 4 2 5" xfId="15870" xr:uid="{00000000-0005-0000-0000-0000DF270000}"/>
    <cellStyle name="20% - Accent4 2 3 4 2 5 2" xfId="41744" xr:uid="{00000000-0005-0000-0000-0000E0270000}"/>
    <cellStyle name="20% - Accent4 2 3 4 2 6" xfId="28796" xr:uid="{00000000-0005-0000-0000-0000E1270000}"/>
    <cellStyle name="20% - Accent4 2 3 4 3" xfId="3733" xr:uid="{00000000-0005-0000-0000-0000E2270000}"/>
    <cellStyle name="20% - Accent4 2 3 4 3 2" xfId="6987" xr:uid="{00000000-0005-0000-0000-0000E3270000}"/>
    <cellStyle name="20% - Accent4 2 3 4 3 2 2" xfId="13446" xr:uid="{00000000-0005-0000-0000-0000E4270000}"/>
    <cellStyle name="20% - Accent4 2 3 4 3 2 2 2" xfId="26363" xr:uid="{00000000-0005-0000-0000-0000E5270000}"/>
    <cellStyle name="20% - Accent4 2 3 4 3 2 2 2 2" xfId="52237" xr:uid="{00000000-0005-0000-0000-0000E6270000}"/>
    <cellStyle name="20% - Accent4 2 3 4 3 2 2 3" xfId="39321" xr:uid="{00000000-0005-0000-0000-0000E7270000}"/>
    <cellStyle name="20% - Accent4 2 3 4 3 2 3" xfId="19905" xr:uid="{00000000-0005-0000-0000-0000E8270000}"/>
    <cellStyle name="20% - Accent4 2 3 4 3 2 3 2" xfId="45779" xr:uid="{00000000-0005-0000-0000-0000E9270000}"/>
    <cellStyle name="20% - Accent4 2 3 4 3 2 4" xfId="32863" xr:uid="{00000000-0005-0000-0000-0000EA270000}"/>
    <cellStyle name="20% - Accent4 2 3 4 3 3" xfId="10218" xr:uid="{00000000-0005-0000-0000-0000EB270000}"/>
    <cellStyle name="20% - Accent4 2 3 4 3 3 2" xfId="23135" xr:uid="{00000000-0005-0000-0000-0000EC270000}"/>
    <cellStyle name="20% - Accent4 2 3 4 3 3 2 2" xfId="49009" xr:uid="{00000000-0005-0000-0000-0000ED270000}"/>
    <cellStyle name="20% - Accent4 2 3 4 3 3 3" xfId="36093" xr:uid="{00000000-0005-0000-0000-0000EE270000}"/>
    <cellStyle name="20% - Accent4 2 3 4 3 4" xfId="16677" xr:uid="{00000000-0005-0000-0000-0000EF270000}"/>
    <cellStyle name="20% - Accent4 2 3 4 3 4 2" xfId="42551" xr:uid="{00000000-0005-0000-0000-0000F0270000}"/>
    <cellStyle name="20% - Accent4 2 3 4 3 5" xfId="29603" xr:uid="{00000000-0005-0000-0000-0000F1270000}"/>
    <cellStyle name="20% - Accent4 2 3 4 4" xfId="5373" xr:uid="{00000000-0005-0000-0000-0000F2270000}"/>
    <cellStyle name="20% - Accent4 2 3 4 4 2" xfId="11832" xr:uid="{00000000-0005-0000-0000-0000F3270000}"/>
    <cellStyle name="20% - Accent4 2 3 4 4 2 2" xfId="24749" xr:uid="{00000000-0005-0000-0000-0000F4270000}"/>
    <cellStyle name="20% - Accent4 2 3 4 4 2 2 2" xfId="50623" xr:uid="{00000000-0005-0000-0000-0000F5270000}"/>
    <cellStyle name="20% - Accent4 2 3 4 4 2 3" xfId="37707" xr:uid="{00000000-0005-0000-0000-0000F6270000}"/>
    <cellStyle name="20% - Accent4 2 3 4 4 3" xfId="18291" xr:uid="{00000000-0005-0000-0000-0000F7270000}"/>
    <cellStyle name="20% - Accent4 2 3 4 4 3 2" xfId="44165" xr:uid="{00000000-0005-0000-0000-0000F8270000}"/>
    <cellStyle name="20% - Accent4 2 3 4 4 4" xfId="31249" xr:uid="{00000000-0005-0000-0000-0000F9270000}"/>
    <cellStyle name="20% - Accent4 2 3 4 5" xfId="8604" xr:uid="{00000000-0005-0000-0000-0000FA270000}"/>
    <cellStyle name="20% - Accent4 2 3 4 5 2" xfId="21521" xr:uid="{00000000-0005-0000-0000-0000FB270000}"/>
    <cellStyle name="20% - Accent4 2 3 4 5 2 2" xfId="47395" xr:uid="{00000000-0005-0000-0000-0000FC270000}"/>
    <cellStyle name="20% - Accent4 2 3 4 5 3" xfId="34479" xr:uid="{00000000-0005-0000-0000-0000FD270000}"/>
    <cellStyle name="20% - Accent4 2 3 4 6" xfId="15063" xr:uid="{00000000-0005-0000-0000-0000FE270000}"/>
    <cellStyle name="20% - Accent4 2 3 4 6 2" xfId="40937" xr:uid="{00000000-0005-0000-0000-0000FF270000}"/>
    <cellStyle name="20% - Accent4 2 3 4 7" xfId="27989" xr:uid="{00000000-0005-0000-0000-000000280000}"/>
    <cellStyle name="20% - Accent4 2 3 4 8" xfId="53851" xr:uid="{00000000-0005-0000-0000-000001280000}"/>
    <cellStyle name="20% - Accent4 2 3 4 9" xfId="2090" xr:uid="{00000000-0005-0000-0000-000002280000}"/>
    <cellStyle name="20% - Accent4 2 3 5" xfId="2504" xr:uid="{00000000-0005-0000-0000-000003280000}"/>
    <cellStyle name="20% - Accent4 2 3 5 2" xfId="4161" xr:uid="{00000000-0005-0000-0000-000004280000}"/>
    <cellStyle name="20% - Accent4 2 3 5 2 2" xfId="7392" xr:uid="{00000000-0005-0000-0000-000005280000}"/>
    <cellStyle name="20% - Accent4 2 3 5 2 2 2" xfId="13851" xr:uid="{00000000-0005-0000-0000-000006280000}"/>
    <cellStyle name="20% - Accent4 2 3 5 2 2 2 2" xfId="26768" xr:uid="{00000000-0005-0000-0000-000007280000}"/>
    <cellStyle name="20% - Accent4 2 3 5 2 2 2 2 2" xfId="52642" xr:uid="{00000000-0005-0000-0000-000008280000}"/>
    <cellStyle name="20% - Accent4 2 3 5 2 2 2 3" xfId="39726" xr:uid="{00000000-0005-0000-0000-000009280000}"/>
    <cellStyle name="20% - Accent4 2 3 5 2 2 3" xfId="20310" xr:uid="{00000000-0005-0000-0000-00000A280000}"/>
    <cellStyle name="20% - Accent4 2 3 5 2 2 3 2" xfId="46184" xr:uid="{00000000-0005-0000-0000-00000B280000}"/>
    <cellStyle name="20% - Accent4 2 3 5 2 2 4" xfId="33268" xr:uid="{00000000-0005-0000-0000-00000C280000}"/>
    <cellStyle name="20% - Accent4 2 3 5 2 3" xfId="10623" xr:uid="{00000000-0005-0000-0000-00000D280000}"/>
    <cellStyle name="20% - Accent4 2 3 5 2 3 2" xfId="23540" xr:uid="{00000000-0005-0000-0000-00000E280000}"/>
    <cellStyle name="20% - Accent4 2 3 5 2 3 2 2" xfId="49414" xr:uid="{00000000-0005-0000-0000-00000F280000}"/>
    <cellStyle name="20% - Accent4 2 3 5 2 3 3" xfId="36498" xr:uid="{00000000-0005-0000-0000-000010280000}"/>
    <cellStyle name="20% - Accent4 2 3 5 2 4" xfId="17082" xr:uid="{00000000-0005-0000-0000-000011280000}"/>
    <cellStyle name="20% - Accent4 2 3 5 2 4 2" xfId="42956" xr:uid="{00000000-0005-0000-0000-000012280000}"/>
    <cellStyle name="20% - Accent4 2 3 5 2 5" xfId="30008" xr:uid="{00000000-0005-0000-0000-000013280000}"/>
    <cellStyle name="20% - Accent4 2 3 5 3" xfId="5778" xr:uid="{00000000-0005-0000-0000-000014280000}"/>
    <cellStyle name="20% - Accent4 2 3 5 3 2" xfId="12237" xr:uid="{00000000-0005-0000-0000-000015280000}"/>
    <cellStyle name="20% - Accent4 2 3 5 3 2 2" xfId="25154" xr:uid="{00000000-0005-0000-0000-000016280000}"/>
    <cellStyle name="20% - Accent4 2 3 5 3 2 2 2" xfId="51028" xr:uid="{00000000-0005-0000-0000-000017280000}"/>
    <cellStyle name="20% - Accent4 2 3 5 3 2 3" xfId="38112" xr:uid="{00000000-0005-0000-0000-000018280000}"/>
    <cellStyle name="20% - Accent4 2 3 5 3 3" xfId="18696" xr:uid="{00000000-0005-0000-0000-000019280000}"/>
    <cellStyle name="20% - Accent4 2 3 5 3 3 2" xfId="44570" xr:uid="{00000000-0005-0000-0000-00001A280000}"/>
    <cellStyle name="20% - Accent4 2 3 5 3 4" xfId="31654" xr:uid="{00000000-0005-0000-0000-00001B280000}"/>
    <cellStyle name="20% - Accent4 2 3 5 4" xfId="9009" xr:uid="{00000000-0005-0000-0000-00001C280000}"/>
    <cellStyle name="20% - Accent4 2 3 5 4 2" xfId="21926" xr:uid="{00000000-0005-0000-0000-00001D280000}"/>
    <cellStyle name="20% - Accent4 2 3 5 4 2 2" xfId="47800" xr:uid="{00000000-0005-0000-0000-00001E280000}"/>
    <cellStyle name="20% - Accent4 2 3 5 4 3" xfId="34884" xr:uid="{00000000-0005-0000-0000-00001F280000}"/>
    <cellStyle name="20% - Accent4 2 3 5 5" xfId="15468" xr:uid="{00000000-0005-0000-0000-000020280000}"/>
    <cellStyle name="20% - Accent4 2 3 5 5 2" xfId="41342" xr:uid="{00000000-0005-0000-0000-000021280000}"/>
    <cellStyle name="20% - Accent4 2 3 5 6" xfId="28394" xr:uid="{00000000-0005-0000-0000-000022280000}"/>
    <cellStyle name="20% - Accent4 2 3 6" xfId="3324" xr:uid="{00000000-0005-0000-0000-000023280000}"/>
    <cellStyle name="20% - Accent4 2 3 6 2" xfId="6585" xr:uid="{00000000-0005-0000-0000-000024280000}"/>
    <cellStyle name="20% - Accent4 2 3 6 2 2" xfId="13044" xr:uid="{00000000-0005-0000-0000-000025280000}"/>
    <cellStyle name="20% - Accent4 2 3 6 2 2 2" xfId="25961" xr:uid="{00000000-0005-0000-0000-000026280000}"/>
    <cellStyle name="20% - Accent4 2 3 6 2 2 2 2" xfId="51835" xr:uid="{00000000-0005-0000-0000-000027280000}"/>
    <cellStyle name="20% - Accent4 2 3 6 2 2 3" xfId="38919" xr:uid="{00000000-0005-0000-0000-000028280000}"/>
    <cellStyle name="20% - Accent4 2 3 6 2 3" xfId="19503" xr:uid="{00000000-0005-0000-0000-000029280000}"/>
    <cellStyle name="20% - Accent4 2 3 6 2 3 2" xfId="45377" xr:uid="{00000000-0005-0000-0000-00002A280000}"/>
    <cellStyle name="20% - Accent4 2 3 6 2 4" xfId="32461" xr:uid="{00000000-0005-0000-0000-00002B280000}"/>
    <cellStyle name="20% - Accent4 2 3 6 3" xfId="9816" xr:uid="{00000000-0005-0000-0000-00002C280000}"/>
    <cellStyle name="20% - Accent4 2 3 6 3 2" xfId="22733" xr:uid="{00000000-0005-0000-0000-00002D280000}"/>
    <cellStyle name="20% - Accent4 2 3 6 3 2 2" xfId="48607" xr:uid="{00000000-0005-0000-0000-00002E280000}"/>
    <cellStyle name="20% - Accent4 2 3 6 3 3" xfId="35691" xr:uid="{00000000-0005-0000-0000-00002F280000}"/>
    <cellStyle name="20% - Accent4 2 3 6 4" xfId="16275" xr:uid="{00000000-0005-0000-0000-000030280000}"/>
    <cellStyle name="20% - Accent4 2 3 6 4 2" xfId="42149" xr:uid="{00000000-0005-0000-0000-000031280000}"/>
    <cellStyle name="20% - Accent4 2 3 6 5" xfId="29201" xr:uid="{00000000-0005-0000-0000-000032280000}"/>
    <cellStyle name="20% - Accent4 2 3 7" xfId="4971" xr:uid="{00000000-0005-0000-0000-000033280000}"/>
    <cellStyle name="20% - Accent4 2 3 7 2" xfId="11430" xr:uid="{00000000-0005-0000-0000-000034280000}"/>
    <cellStyle name="20% - Accent4 2 3 7 2 2" xfId="24347" xr:uid="{00000000-0005-0000-0000-000035280000}"/>
    <cellStyle name="20% - Accent4 2 3 7 2 2 2" xfId="50221" xr:uid="{00000000-0005-0000-0000-000036280000}"/>
    <cellStyle name="20% - Accent4 2 3 7 2 3" xfId="37305" xr:uid="{00000000-0005-0000-0000-000037280000}"/>
    <cellStyle name="20% - Accent4 2 3 7 3" xfId="17889" xr:uid="{00000000-0005-0000-0000-000038280000}"/>
    <cellStyle name="20% - Accent4 2 3 7 3 2" xfId="43763" xr:uid="{00000000-0005-0000-0000-000039280000}"/>
    <cellStyle name="20% - Accent4 2 3 7 4" xfId="30847" xr:uid="{00000000-0005-0000-0000-00003A280000}"/>
    <cellStyle name="20% - Accent4 2 3 8" xfId="8202" xr:uid="{00000000-0005-0000-0000-00003B280000}"/>
    <cellStyle name="20% - Accent4 2 3 8 2" xfId="21119" xr:uid="{00000000-0005-0000-0000-00003C280000}"/>
    <cellStyle name="20% - Accent4 2 3 8 2 2" xfId="46993" xr:uid="{00000000-0005-0000-0000-00003D280000}"/>
    <cellStyle name="20% - Accent4 2 3 8 3" xfId="34077" xr:uid="{00000000-0005-0000-0000-00003E280000}"/>
    <cellStyle name="20% - Accent4 2 3 9" xfId="14661" xr:uid="{00000000-0005-0000-0000-00003F280000}"/>
    <cellStyle name="20% - Accent4 2 3 9 2" xfId="40535" xr:uid="{00000000-0005-0000-0000-000040280000}"/>
    <cellStyle name="20% - Accent4 2 4" xfId="1536" xr:uid="{00000000-0005-0000-0000-000041280000}"/>
    <cellStyle name="20% - Accent4 2 4 10" xfId="53484" xr:uid="{00000000-0005-0000-0000-000042280000}"/>
    <cellStyle name="20% - Accent4 2 4 2" xfId="1893" xr:uid="{00000000-0005-0000-0000-000043280000}"/>
    <cellStyle name="20% - Accent4 2 4 2 2" xfId="2324" xr:uid="{00000000-0005-0000-0000-000044280000}"/>
    <cellStyle name="20% - Accent4 2 4 2 2 2" xfId="3137" xr:uid="{00000000-0005-0000-0000-000045280000}"/>
    <cellStyle name="20% - Accent4 2 4 2 2 2 2" xfId="4794" xr:uid="{00000000-0005-0000-0000-000046280000}"/>
    <cellStyle name="20% - Accent4 2 4 2 2 2 2 2" xfId="8025" xr:uid="{00000000-0005-0000-0000-000047280000}"/>
    <cellStyle name="20% - Accent4 2 4 2 2 2 2 2 2" xfId="14484" xr:uid="{00000000-0005-0000-0000-000048280000}"/>
    <cellStyle name="20% - Accent4 2 4 2 2 2 2 2 2 2" xfId="27401" xr:uid="{00000000-0005-0000-0000-000049280000}"/>
    <cellStyle name="20% - Accent4 2 4 2 2 2 2 2 2 2 2" xfId="53275" xr:uid="{00000000-0005-0000-0000-00004A280000}"/>
    <cellStyle name="20% - Accent4 2 4 2 2 2 2 2 2 3" xfId="40359" xr:uid="{00000000-0005-0000-0000-00004B280000}"/>
    <cellStyle name="20% - Accent4 2 4 2 2 2 2 2 3" xfId="20943" xr:uid="{00000000-0005-0000-0000-00004C280000}"/>
    <cellStyle name="20% - Accent4 2 4 2 2 2 2 2 3 2" xfId="46817" xr:uid="{00000000-0005-0000-0000-00004D280000}"/>
    <cellStyle name="20% - Accent4 2 4 2 2 2 2 2 4" xfId="33901" xr:uid="{00000000-0005-0000-0000-00004E280000}"/>
    <cellStyle name="20% - Accent4 2 4 2 2 2 2 3" xfId="11256" xr:uid="{00000000-0005-0000-0000-00004F280000}"/>
    <cellStyle name="20% - Accent4 2 4 2 2 2 2 3 2" xfId="24173" xr:uid="{00000000-0005-0000-0000-000050280000}"/>
    <cellStyle name="20% - Accent4 2 4 2 2 2 2 3 2 2" xfId="50047" xr:uid="{00000000-0005-0000-0000-000051280000}"/>
    <cellStyle name="20% - Accent4 2 4 2 2 2 2 3 3" xfId="37131" xr:uid="{00000000-0005-0000-0000-000052280000}"/>
    <cellStyle name="20% - Accent4 2 4 2 2 2 2 4" xfId="17715" xr:uid="{00000000-0005-0000-0000-000053280000}"/>
    <cellStyle name="20% - Accent4 2 4 2 2 2 2 4 2" xfId="43589" xr:uid="{00000000-0005-0000-0000-000054280000}"/>
    <cellStyle name="20% - Accent4 2 4 2 2 2 2 5" xfId="30641" xr:uid="{00000000-0005-0000-0000-000055280000}"/>
    <cellStyle name="20% - Accent4 2 4 2 2 2 3" xfId="6411" xr:uid="{00000000-0005-0000-0000-000056280000}"/>
    <cellStyle name="20% - Accent4 2 4 2 2 2 3 2" xfId="12870" xr:uid="{00000000-0005-0000-0000-000057280000}"/>
    <cellStyle name="20% - Accent4 2 4 2 2 2 3 2 2" xfId="25787" xr:uid="{00000000-0005-0000-0000-000058280000}"/>
    <cellStyle name="20% - Accent4 2 4 2 2 2 3 2 2 2" xfId="51661" xr:uid="{00000000-0005-0000-0000-000059280000}"/>
    <cellStyle name="20% - Accent4 2 4 2 2 2 3 2 3" xfId="38745" xr:uid="{00000000-0005-0000-0000-00005A280000}"/>
    <cellStyle name="20% - Accent4 2 4 2 2 2 3 3" xfId="19329" xr:uid="{00000000-0005-0000-0000-00005B280000}"/>
    <cellStyle name="20% - Accent4 2 4 2 2 2 3 3 2" xfId="45203" xr:uid="{00000000-0005-0000-0000-00005C280000}"/>
    <cellStyle name="20% - Accent4 2 4 2 2 2 3 4" xfId="32287" xr:uid="{00000000-0005-0000-0000-00005D280000}"/>
    <cellStyle name="20% - Accent4 2 4 2 2 2 4" xfId="9642" xr:uid="{00000000-0005-0000-0000-00005E280000}"/>
    <cellStyle name="20% - Accent4 2 4 2 2 2 4 2" xfId="22559" xr:uid="{00000000-0005-0000-0000-00005F280000}"/>
    <cellStyle name="20% - Accent4 2 4 2 2 2 4 2 2" xfId="48433" xr:uid="{00000000-0005-0000-0000-000060280000}"/>
    <cellStyle name="20% - Accent4 2 4 2 2 2 4 3" xfId="35517" xr:uid="{00000000-0005-0000-0000-000061280000}"/>
    <cellStyle name="20% - Accent4 2 4 2 2 2 5" xfId="16101" xr:uid="{00000000-0005-0000-0000-000062280000}"/>
    <cellStyle name="20% - Accent4 2 4 2 2 2 5 2" xfId="41975" xr:uid="{00000000-0005-0000-0000-000063280000}"/>
    <cellStyle name="20% - Accent4 2 4 2 2 2 6" xfId="29027" xr:uid="{00000000-0005-0000-0000-000064280000}"/>
    <cellStyle name="20% - Accent4 2 4 2 2 3" xfId="3964" xr:uid="{00000000-0005-0000-0000-000065280000}"/>
    <cellStyle name="20% - Accent4 2 4 2 2 3 2" xfId="7218" xr:uid="{00000000-0005-0000-0000-000066280000}"/>
    <cellStyle name="20% - Accent4 2 4 2 2 3 2 2" xfId="13677" xr:uid="{00000000-0005-0000-0000-000067280000}"/>
    <cellStyle name="20% - Accent4 2 4 2 2 3 2 2 2" xfId="26594" xr:uid="{00000000-0005-0000-0000-000068280000}"/>
    <cellStyle name="20% - Accent4 2 4 2 2 3 2 2 2 2" xfId="52468" xr:uid="{00000000-0005-0000-0000-000069280000}"/>
    <cellStyle name="20% - Accent4 2 4 2 2 3 2 2 3" xfId="39552" xr:uid="{00000000-0005-0000-0000-00006A280000}"/>
    <cellStyle name="20% - Accent4 2 4 2 2 3 2 3" xfId="20136" xr:uid="{00000000-0005-0000-0000-00006B280000}"/>
    <cellStyle name="20% - Accent4 2 4 2 2 3 2 3 2" xfId="46010" xr:uid="{00000000-0005-0000-0000-00006C280000}"/>
    <cellStyle name="20% - Accent4 2 4 2 2 3 2 4" xfId="33094" xr:uid="{00000000-0005-0000-0000-00006D280000}"/>
    <cellStyle name="20% - Accent4 2 4 2 2 3 3" xfId="10449" xr:uid="{00000000-0005-0000-0000-00006E280000}"/>
    <cellStyle name="20% - Accent4 2 4 2 2 3 3 2" xfId="23366" xr:uid="{00000000-0005-0000-0000-00006F280000}"/>
    <cellStyle name="20% - Accent4 2 4 2 2 3 3 2 2" xfId="49240" xr:uid="{00000000-0005-0000-0000-000070280000}"/>
    <cellStyle name="20% - Accent4 2 4 2 2 3 3 3" xfId="36324" xr:uid="{00000000-0005-0000-0000-000071280000}"/>
    <cellStyle name="20% - Accent4 2 4 2 2 3 4" xfId="16908" xr:uid="{00000000-0005-0000-0000-000072280000}"/>
    <cellStyle name="20% - Accent4 2 4 2 2 3 4 2" xfId="42782" xr:uid="{00000000-0005-0000-0000-000073280000}"/>
    <cellStyle name="20% - Accent4 2 4 2 2 3 5" xfId="29834" xr:uid="{00000000-0005-0000-0000-000074280000}"/>
    <cellStyle name="20% - Accent4 2 4 2 2 4" xfId="5604" xr:uid="{00000000-0005-0000-0000-000075280000}"/>
    <cellStyle name="20% - Accent4 2 4 2 2 4 2" xfId="12063" xr:uid="{00000000-0005-0000-0000-000076280000}"/>
    <cellStyle name="20% - Accent4 2 4 2 2 4 2 2" xfId="24980" xr:uid="{00000000-0005-0000-0000-000077280000}"/>
    <cellStyle name="20% - Accent4 2 4 2 2 4 2 2 2" xfId="50854" xr:uid="{00000000-0005-0000-0000-000078280000}"/>
    <cellStyle name="20% - Accent4 2 4 2 2 4 2 3" xfId="37938" xr:uid="{00000000-0005-0000-0000-000079280000}"/>
    <cellStyle name="20% - Accent4 2 4 2 2 4 3" xfId="18522" xr:uid="{00000000-0005-0000-0000-00007A280000}"/>
    <cellStyle name="20% - Accent4 2 4 2 2 4 3 2" xfId="44396" xr:uid="{00000000-0005-0000-0000-00007B280000}"/>
    <cellStyle name="20% - Accent4 2 4 2 2 4 4" xfId="31480" xr:uid="{00000000-0005-0000-0000-00007C280000}"/>
    <cellStyle name="20% - Accent4 2 4 2 2 5" xfId="8835" xr:uid="{00000000-0005-0000-0000-00007D280000}"/>
    <cellStyle name="20% - Accent4 2 4 2 2 5 2" xfId="21752" xr:uid="{00000000-0005-0000-0000-00007E280000}"/>
    <cellStyle name="20% - Accent4 2 4 2 2 5 2 2" xfId="47626" xr:uid="{00000000-0005-0000-0000-00007F280000}"/>
    <cellStyle name="20% - Accent4 2 4 2 2 5 3" xfId="34710" xr:uid="{00000000-0005-0000-0000-000080280000}"/>
    <cellStyle name="20% - Accent4 2 4 2 2 6" xfId="15294" xr:uid="{00000000-0005-0000-0000-000081280000}"/>
    <cellStyle name="20% - Accent4 2 4 2 2 6 2" xfId="41168" xr:uid="{00000000-0005-0000-0000-000082280000}"/>
    <cellStyle name="20% - Accent4 2 4 2 2 7" xfId="28220" xr:uid="{00000000-0005-0000-0000-000083280000}"/>
    <cellStyle name="20% - Accent4 2 4 2 2 8" xfId="54082" xr:uid="{00000000-0005-0000-0000-000084280000}"/>
    <cellStyle name="20% - Accent4 2 4 2 3" xfId="2733" xr:uid="{00000000-0005-0000-0000-000085280000}"/>
    <cellStyle name="20% - Accent4 2 4 2 3 2" xfId="4390" xr:uid="{00000000-0005-0000-0000-000086280000}"/>
    <cellStyle name="20% - Accent4 2 4 2 3 2 2" xfId="7621" xr:uid="{00000000-0005-0000-0000-000087280000}"/>
    <cellStyle name="20% - Accent4 2 4 2 3 2 2 2" xfId="14080" xr:uid="{00000000-0005-0000-0000-000088280000}"/>
    <cellStyle name="20% - Accent4 2 4 2 3 2 2 2 2" xfId="26997" xr:uid="{00000000-0005-0000-0000-000089280000}"/>
    <cellStyle name="20% - Accent4 2 4 2 3 2 2 2 2 2" xfId="52871" xr:uid="{00000000-0005-0000-0000-00008A280000}"/>
    <cellStyle name="20% - Accent4 2 4 2 3 2 2 2 3" xfId="39955" xr:uid="{00000000-0005-0000-0000-00008B280000}"/>
    <cellStyle name="20% - Accent4 2 4 2 3 2 2 3" xfId="20539" xr:uid="{00000000-0005-0000-0000-00008C280000}"/>
    <cellStyle name="20% - Accent4 2 4 2 3 2 2 3 2" xfId="46413" xr:uid="{00000000-0005-0000-0000-00008D280000}"/>
    <cellStyle name="20% - Accent4 2 4 2 3 2 2 4" xfId="33497" xr:uid="{00000000-0005-0000-0000-00008E280000}"/>
    <cellStyle name="20% - Accent4 2 4 2 3 2 3" xfId="10852" xr:uid="{00000000-0005-0000-0000-00008F280000}"/>
    <cellStyle name="20% - Accent4 2 4 2 3 2 3 2" xfId="23769" xr:uid="{00000000-0005-0000-0000-000090280000}"/>
    <cellStyle name="20% - Accent4 2 4 2 3 2 3 2 2" xfId="49643" xr:uid="{00000000-0005-0000-0000-000091280000}"/>
    <cellStyle name="20% - Accent4 2 4 2 3 2 3 3" xfId="36727" xr:uid="{00000000-0005-0000-0000-000092280000}"/>
    <cellStyle name="20% - Accent4 2 4 2 3 2 4" xfId="17311" xr:uid="{00000000-0005-0000-0000-000093280000}"/>
    <cellStyle name="20% - Accent4 2 4 2 3 2 4 2" xfId="43185" xr:uid="{00000000-0005-0000-0000-000094280000}"/>
    <cellStyle name="20% - Accent4 2 4 2 3 2 5" xfId="30237" xr:uid="{00000000-0005-0000-0000-000095280000}"/>
    <cellStyle name="20% - Accent4 2 4 2 3 3" xfId="6007" xr:uid="{00000000-0005-0000-0000-000096280000}"/>
    <cellStyle name="20% - Accent4 2 4 2 3 3 2" xfId="12466" xr:uid="{00000000-0005-0000-0000-000097280000}"/>
    <cellStyle name="20% - Accent4 2 4 2 3 3 2 2" xfId="25383" xr:uid="{00000000-0005-0000-0000-000098280000}"/>
    <cellStyle name="20% - Accent4 2 4 2 3 3 2 2 2" xfId="51257" xr:uid="{00000000-0005-0000-0000-000099280000}"/>
    <cellStyle name="20% - Accent4 2 4 2 3 3 2 3" xfId="38341" xr:uid="{00000000-0005-0000-0000-00009A280000}"/>
    <cellStyle name="20% - Accent4 2 4 2 3 3 3" xfId="18925" xr:uid="{00000000-0005-0000-0000-00009B280000}"/>
    <cellStyle name="20% - Accent4 2 4 2 3 3 3 2" xfId="44799" xr:uid="{00000000-0005-0000-0000-00009C280000}"/>
    <cellStyle name="20% - Accent4 2 4 2 3 3 4" xfId="31883" xr:uid="{00000000-0005-0000-0000-00009D280000}"/>
    <cellStyle name="20% - Accent4 2 4 2 3 4" xfId="9238" xr:uid="{00000000-0005-0000-0000-00009E280000}"/>
    <cellStyle name="20% - Accent4 2 4 2 3 4 2" xfId="22155" xr:uid="{00000000-0005-0000-0000-00009F280000}"/>
    <cellStyle name="20% - Accent4 2 4 2 3 4 2 2" xfId="48029" xr:uid="{00000000-0005-0000-0000-0000A0280000}"/>
    <cellStyle name="20% - Accent4 2 4 2 3 4 3" xfId="35113" xr:uid="{00000000-0005-0000-0000-0000A1280000}"/>
    <cellStyle name="20% - Accent4 2 4 2 3 5" xfId="15697" xr:uid="{00000000-0005-0000-0000-0000A2280000}"/>
    <cellStyle name="20% - Accent4 2 4 2 3 5 2" xfId="41571" xr:uid="{00000000-0005-0000-0000-0000A3280000}"/>
    <cellStyle name="20% - Accent4 2 4 2 3 6" xfId="28623" xr:uid="{00000000-0005-0000-0000-0000A4280000}"/>
    <cellStyle name="20% - Accent4 2 4 2 4" xfId="3560" xr:uid="{00000000-0005-0000-0000-0000A5280000}"/>
    <cellStyle name="20% - Accent4 2 4 2 4 2" xfId="6814" xr:uid="{00000000-0005-0000-0000-0000A6280000}"/>
    <cellStyle name="20% - Accent4 2 4 2 4 2 2" xfId="13273" xr:uid="{00000000-0005-0000-0000-0000A7280000}"/>
    <cellStyle name="20% - Accent4 2 4 2 4 2 2 2" xfId="26190" xr:uid="{00000000-0005-0000-0000-0000A8280000}"/>
    <cellStyle name="20% - Accent4 2 4 2 4 2 2 2 2" xfId="52064" xr:uid="{00000000-0005-0000-0000-0000A9280000}"/>
    <cellStyle name="20% - Accent4 2 4 2 4 2 2 3" xfId="39148" xr:uid="{00000000-0005-0000-0000-0000AA280000}"/>
    <cellStyle name="20% - Accent4 2 4 2 4 2 3" xfId="19732" xr:uid="{00000000-0005-0000-0000-0000AB280000}"/>
    <cellStyle name="20% - Accent4 2 4 2 4 2 3 2" xfId="45606" xr:uid="{00000000-0005-0000-0000-0000AC280000}"/>
    <cellStyle name="20% - Accent4 2 4 2 4 2 4" xfId="32690" xr:uid="{00000000-0005-0000-0000-0000AD280000}"/>
    <cellStyle name="20% - Accent4 2 4 2 4 3" xfId="10045" xr:uid="{00000000-0005-0000-0000-0000AE280000}"/>
    <cellStyle name="20% - Accent4 2 4 2 4 3 2" xfId="22962" xr:uid="{00000000-0005-0000-0000-0000AF280000}"/>
    <cellStyle name="20% - Accent4 2 4 2 4 3 2 2" xfId="48836" xr:uid="{00000000-0005-0000-0000-0000B0280000}"/>
    <cellStyle name="20% - Accent4 2 4 2 4 3 3" xfId="35920" xr:uid="{00000000-0005-0000-0000-0000B1280000}"/>
    <cellStyle name="20% - Accent4 2 4 2 4 4" xfId="16504" xr:uid="{00000000-0005-0000-0000-0000B2280000}"/>
    <cellStyle name="20% - Accent4 2 4 2 4 4 2" xfId="42378" xr:uid="{00000000-0005-0000-0000-0000B3280000}"/>
    <cellStyle name="20% - Accent4 2 4 2 4 5" xfId="29430" xr:uid="{00000000-0005-0000-0000-0000B4280000}"/>
    <cellStyle name="20% - Accent4 2 4 2 5" xfId="5200" xr:uid="{00000000-0005-0000-0000-0000B5280000}"/>
    <cellStyle name="20% - Accent4 2 4 2 5 2" xfId="11659" xr:uid="{00000000-0005-0000-0000-0000B6280000}"/>
    <cellStyle name="20% - Accent4 2 4 2 5 2 2" xfId="24576" xr:uid="{00000000-0005-0000-0000-0000B7280000}"/>
    <cellStyle name="20% - Accent4 2 4 2 5 2 2 2" xfId="50450" xr:uid="{00000000-0005-0000-0000-0000B8280000}"/>
    <cellStyle name="20% - Accent4 2 4 2 5 2 3" xfId="37534" xr:uid="{00000000-0005-0000-0000-0000B9280000}"/>
    <cellStyle name="20% - Accent4 2 4 2 5 3" xfId="18118" xr:uid="{00000000-0005-0000-0000-0000BA280000}"/>
    <cellStyle name="20% - Accent4 2 4 2 5 3 2" xfId="43992" xr:uid="{00000000-0005-0000-0000-0000BB280000}"/>
    <cellStyle name="20% - Accent4 2 4 2 5 4" xfId="31076" xr:uid="{00000000-0005-0000-0000-0000BC280000}"/>
    <cellStyle name="20% - Accent4 2 4 2 6" xfId="8431" xr:uid="{00000000-0005-0000-0000-0000BD280000}"/>
    <cellStyle name="20% - Accent4 2 4 2 6 2" xfId="21348" xr:uid="{00000000-0005-0000-0000-0000BE280000}"/>
    <cellStyle name="20% - Accent4 2 4 2 6 2 2" xfId="47222" xr:uid="{00000000-0005-0000-0000-0000BF280000}"/>
    <cellStyle name="20% - Accent4 2 4 2 6 3" xfId="34306" xr:uid="{00000000-0005-0000-0000-0000C0280000}"/>
    <cellStyle name="20% - Accent4 2 4 2 7" xfId="14890" xr:uid="{00000000-0005-0000-0000-0000C1280000}"/>
    <cellStyle name="20% - Accent4 2 4 2 7 2" xfId="40764" xr:uid="{00000000-0005-0000-0000-0000C2280000}"/>
    <cellStyle name="20% - Accent4 2 4 2 8" xfId="27815" xr:uid="{00000000-0005-0000-0000-0000C3280000}"/>
    <cellStyle name="20% - Accent4 2 4 2 9" xfId="53678" xr:uid="{00000000-0005-0000-0000-0000C4280000}"/>
    <cellStyle name="20% - Accent4 2 4 3" xfId="2128" xr:uid="{00000000-0005-0000-0000-0000C5280000}"/>
    <cellStyle name="20% - Accent4 2 4 3 2" xfId="2942" xr:uid="{00000000-0005-0000-0000-0000C6280000}"/>
    <cellStyle name="20% - Accent4 2 4 3 2 2" xfId="4599" xr:uid="{00000000-0005-0000-0000-0000C7280000}"/>
    <cellStyle name="20% - Accent4 2 4 3 2 2 2" xfId="7830" xr:uid="{00000000-0005-0000-0000-0000C8280000}"/>
    <cellStyle name="20% - Accent4 2 4 3 2 2 2 2" xfId="14289" xr:uid="{00000000-0005-0000-0000-0000C9280000}"/>
    <cellStyle name="20% - Accent4 2 4 3 2 2 2 2 2" xfId="27206" xr:uid="{00000000-0005-0000-0000-0000CA280000}"/>
    <cellStyle name="20% - Accent4 2 4 3 2 2 2 2 2 2" xfId="53080" xr:uid="{00000000-0005-0000-0000-0000CB280000}"/>
    <cellStyle name="20% - Accent4 2 4 3 2 2 2 2 3" xfId="40164" xr:uid="{00000000-0005-0000-0000-0000CC280000}"/>
    <cellStyle name="20% - Accent4 2 4 3 2 2 2 3" xfId="20748" xr:uid="{00000000-0005-0000-0000-0000CD280000}"/>
    <cellStyle name="20% - Accent4 2 4 3 2 2 2 3 2" xfId="46622" xr:uid="{00000000-0005-0000-0000-0000CE280000}"/>
    <cellStyle name="20% - Accent4 2 4 3 2 2 2 4" xfId="33706" xr:uid="{00000000-0005-0000-0000-0000CF280000}"/>
    <cellStyle name="20% - Accent4 2 4 3 2 2 3" xfId="11061" xr:uid="{00000000-0005-0000-0000-0000D0280000}"/>
    <cellStyle name="20% - Accent4 2 4 3 2 2 3 2" xfId="23978" xr:uid="{00000000-0005-0000-0000-0000D1280000}"/>
    <cellStyle name="20% - Accent4 2 4 3 2 2 3 2 2" xfId="49852" xr:uid="{00000000-0005-0000-0000-0000D2280000}"/>
    <cellStyle name="20% - Accent4 2 4 3 2 2 3 3" xfId="36936" xr:uid="{00000000-0005-0000-0000-0000D3280000}"/>
    <cellStyle name="20% - Accent4 2 4 3 2 2 4" xfId="17520" xr:uid="{00000000-0005-0000-0000-0000D4280000}"/>
    <cellStyle name="20% - Accent4 2 4 3 2 2 4 2" xfId="43394" xr:uid="{00000000-0005-0000-0000-0000D5280000}"/>
    <cellStyle name="20% - Accent4 2 4 3 2 2 5" xfId="30446" xr:uid="{00000000-0005-0000-0000-0000D6280000}"/>
    <cellStyle name="20% - Accent4 2 4 3 2 3" xfId="6216" xr:uid="{00000000-0005-0000-0000-0000D7280000}"/>
    <cellStyle name="20% - Accent4 2 4 3 2 3 2" xfId="12675" xr:uid="{00000000-0005-0000-0000-0000D8280000}"/>
    <cellStyle name="20% - Accent4 2 4 3 2 3 2 2" xfId="25592" xr:uid="{00000000-0005-0000-0000-0000D9280000}"/>
    <cellStyle name="20% - Accent4 2 4 3 2 3 2 2 2" xfId="51466" xr:uid="{00000000-0005-0000-0000-0000DA280000}"/>
    <cellStyle name="20% - Accent4 2 4 3 2 3 2 3" xfId="38550" xr:uid="{00000000-0005-0000-0000-0000DB280000}"/>
    <cellStyle name="20% - Accent4 2 4 3 2 3 3" xfId="19134" xr:uid="{00000000-0005-0000-0000-0000DC280000}"/>
    <cellStyle name="20% - Accent4 2 4 3 2 3 3 2" xfId="45008" xr:uid="{00000000-0005-0000-0000-0000DD280000}"/>
    <cellStyle name="20% - Accent4 2 4 3 2 3 4" xfId="32092" xr:uid="{00000000-0005-0000-0000-0000DE280000}"/>
    <cellStyle name="20% - Accent4 2 4 3 2 4" xfId="9447" xr:uid="{00000000-0005-0000-0000-0000DF280000}"/>
    <cellStyle name="20% - Accent4 2 4 3 2 4 2" xfId="22364" xr:uid="{00000000-0005-0000-0000-0000E0280000}"/>
    <cellStyle name="20% - Accent4 2 4 3 2 4 2 2" xfId="48238" xr:uid="{00000000-0005-0000-0000-0000E1280000}"/>
    <cellStyle name="20% - Accent4 2 4 3 2 4 3" xfId="35322" xr:uid="{00000000-0005-0000-0000-0000E2280000}"/>
    <cellStyle name="20% - Accent4 2 4 3 2 5" xfId="15906" xr:uid="{00000000-0005-0000-0000-0000E3280000}"/>
    <cellStyle name="20% - Accent4 2 4 3 2 5 2" xfId="41780" xr:uid="{00000000-0005-0000-0000-0000E4280000}"/>
    <cellStyle name="20% - Accent4 2 4 3 2 6" xfId="28832" xr:uid="{00000000-0005-0000-0000-0000E5280000}"/>
    <cellStyle name="20% - Accent4 2 4 3 3" xfId="3769" xr:uid="{00000000-0005-0000-0000-0000E6280000}"/>
    <cellStyle name="20% - Accent4 2 4 3 3 2" xfId="7023" xr:uid="{00000000-0005-0000-0000-0000E7280000}"/>
    <cellStyle name="20% - Accent4 2 4 3 3 2 2" xfId="13482" xr:uid="{00000000-0005-0000-0000-0000E8280000}"/>
    <cellStyle name="20% - Accent4 2 4 3 3 2 2 2" xfId="26399" xr:uid="{00000000-0005-0000-0000-0000E9280000}"/>
    <cellStyle name="20% - Accent4 2 4 3 3 2 2 2 2" xfId="52273" xr:uid="{00000000-0005-0000-0000-0000EA280000}"/>
    <cellStyle name="20% - Accent4 2 4 3 3 2 2 3" xfId="39357" xr:uid="{00000000-0005-0000-0000-0000EB280000}"/>
    <cellStyle name="20% - Accent4 2 4 3 3 2 3" xfId="19941" xr:uid="{00000000-0005-0000-0000-0000EC280000}"/>
    <cellStyle name="20% - Accent4 2 4 3 3 2 3 2" xfId="45815" xr:uid="{00000000-0005-0000-0000-0000ED280000}"/>
    <cellStyle name="20% - Accent4 2 4 3 3 2 4" xfId="32899" xr:uid="{00000000-0005-0000-0000-0000EE280000}"/>
    <cellStyle name="20% - Accent4 2 4 3 3 3" xfId="10254" xr:uid="{00000000-0005-0000-0000-0000EF280000}"/>
    <cellStyle name="20% - Accent4 2 4 3 3 3 2" xfId="23171" xr:uid="{00000000-0005-0000-0000-0000F0280000}"/>
    <cellStyle name="20% - Accent4 2 4 3 3 3 2 2" xfId="49045" xr:uid="{00000000-0005-0000-0000-0000F1280000}"/>
    <cellStyle name="20% - Accent4 2 4 3 3 3 3" xfId="36129" xr:uid="{00000000-0005-0000-0000-0000F2280000}"/>
    <cellStyle name="20% - Accent4 2 4 3 3 4" xfId="16713" xr:uid="{00000000-0005-0000-0000-0000F3280000}"/>
    <cellStyle name="20% - Accent4 2 4 3 3 4 2" xfId="42587" xr:uid="{00000000-0005-0000-0000-0000F4280000}"/>
    <cellStyle name="20% - Accent4 2 4 3 3 5" xfId="29639" xr:uid="{00000000-0005-0000-0000-0000F5280000}"/>
    <cellStyle name="20% - Accent4 2 4 3 4" xfId="5409" xr:uid="{00000000-0005-0000-0000-0000F6280000}"/>
    <cellStyle name="20% - Accent4 2 4 3 4 2" xfId="11868" xr:uid="{00000000-0005-0000-0000-0000F7280000}"/>
    <cellStyle name="20% - Accent4 2 4 3 4 2 2" xfId="24785" xr:uid="{00000000-0005-0000-0000-0000F8280000}"/>
    <cellStyle name="20% - Accent4 2 4 3 4 2 2 2" xfId="50659" xr:uid="{00000000-0005-0000-0000-0000F9280000}"/>
    <cellStyle name="20% - Accent4 2 4 3 4 2 3" xfId="37743" xr:uid="{00000000-0005-0000-0000-0000FA280000}"/>
    <cellStyle name="20% - Accent4 2 4 3 4 3" xfId="18327" xr:uid="{00000000-0005-0000-0000-0000FB280000}"/>
    <cellStyle name="20% - Accent4 2 4 3 4 3 2" xfId="44201" xr:uid="{00000000-0005-0000-0000-0000FC280000}"/>
    <cellStyle name="20% - Accent4 2 4 3 4 4" xfId="31285" xr:uid="{00000000-0005-0000-0000-0000FD280000}"/>
    <cellStyle name="20% - Accent4 2 4 3 5" xfId="8640" xr:uid="{00000000-0005-0000-0000-0000FE280000}"/>
    <cellStyle name="20% - Accent4 2 4 3 5 2" xfId="21557" xr:uid="{00000000-0005-0000-0000-0000FF280000}"/>
    <cellStyle name="20% - Accent4 2 4 3 5 2 2" xfId="47431" xr:uid="{00000000-0005-0000-0000-000000290000}"/>
    <cellStyle name="20% - Accent4 2 4 3 5 3" xfId="34515" xr:uid="{00000000-0005-0000-0000-000001290000}"/>
    <cellStyle name="20% - Accent4 2 4 3 6" xfId="15099" xr:uid="{00000000-0005-0000-0000-000002290000}"/>
    <cellStyle name="20% - Accent4 2 4 3 6 2" xfId="40973" xr:uid="{00000000-0005-0000-0000-000003290000}"/>
    <cellStyle name="20% - Accent4 2 4 3 7" xfId="28025" xr:uid="{00000000-0005-0000-0000-000004290000}"/>
    <cellStyle name="20% - Accent4 2 4 3 8" xfId="53887" xr:uid="{00000000-0005-0000-0000-000005290000}"/>
    <cellStyle name="20% - Accent4 2 4 4" xfId="2539" xr:uid="{00000000-0005-0000-0000-000006290000}"/>
    <cellStyle name="20% - Accent4 2 4 4 2" xfId="4196" xr:uid="{00000000-0005-0000-0000-000007290000}"/>
    <cellStyle name="20% - Accent4 2 4 4 2 2" xfId="7427" xr:uid="{00000000-0005-0000-0000-000008290000}"/>
    <cellStyle name="20% - Accent4 2 4 4 2 2 2" xfId="13886" xr:uid="{00000000-0005-0000-0000-000009290000}"/>
    <cellStyle name="20% - Accent4 2 4 4 2 2 2 2" xfId="26803" xr:uid="{00000000-0005-0000-0000-00000A290000}"/>
    <cellStyle name="20% - Accent4 2 4 4 2 2 2 2 2" xfId="52677" xr:uid="{00000000-0005-0000-0000-00000B290000}"/>
    <cellStyle name="20% - Accent4 2 4 4 2 2 2 3" xfId="39761" xr:uid="{00000000-0005-0000-0000-00000C290000}"/>
    <cellStyle name="20% - Accent4 2 4 4 2 2 3" xfId="20345" xr:uid="{00000000-0005-0000-0000-00000D290000}"/>
    <cellStyle name="20% - Accent4 2 4 4 2 2 3 2" xfId="46219" xr:uid="{00000000-0005-0000-0000-00000E290000}"/>
    <cellStyle name="20% - Accent4 2 4 4 2 2 4" xfId="33303" xr:uid="{00000000-0005-0000-0000-00000F290000}"/>
    <cellStyle name="20% - Accent4 2 4 4 2 3" xfId="10658" xr:uid="{00000000-0005-0000-0000-000010290000}"/>
    <cellStyle name="20% - Accent4 2 4 4 2 3 2" xfId="23575" xr:uid="{00000000-0005-0000-0000-000011290000}"/>
    <cellStyle name="20% - Accent4 2 4 4 2 3 2 2" xfId="49449" xr:uid="{00000000-0005-0000-0000-000012290000}"/>
    <cellStyle name="20% - Accent4 2 4 4 2 3 3" xfId="36533" xr:uid="{00000000-0005-0000-0000-000013290000}"/>
    <cellStyle name="20% - Accent4 2 4 4 2 4" xfId="17117" xr:uid="{00000000-0005-0000-0000-000014290000}"/>
    <cellStyle name="20% - Accent4 2 4 4 2 4 2" xfId="42991" xr:uid="{00000000-0005-0000-0000-000015290000}"/>
    <cellStyle name="20% - Accent4 2 4 4 2 5" xfId="30043" xr:uid="{00000000-0005-0000-0000-000016290000}"/>
    <cellStyle name="20% - Accent4 2 4 4 3" xfId="5813" xr:uid="{00000000-0005-0000-0000-000017290000}"/>
    <cellStyle name="20% - Accent4 2 4 4 3 2" xfId="12272" xr:uid="{00000000-0005-0000-0000-000018290000}"/>
    <cellStyle name="20% - Accent4 2 4 4 3 2 2" xfId="25189" xr:uid="{00000000-0005-0000-0000-000019290000}"/>
    <cellStyle name="20% - Accent4 2 4 4 3 2 2 2" xfId="51063" xr:uid="{00000000-0005-0000-0000-00001A290000}"/>
    <cellStyle name="20% - Accent4 2 4 4 3 2 3" xfId="38147" xr:uid="{00000000-0005-0000-0000-00001B290000}"/>
    <cellStyle name="20% - Accent4 2 4 4 3 3" xfId="18731" xr:uid="{00000000-0005-0000-0000-00001C290000}"/>
    <cellStyle name="20% - Accent4 2 4 4 3 3 2" xfId="44605" xr:uid="{00000000-0005-0000-0000-00001D290000}"/>
    <cellStyle name="20% - Accent4 2 4 4 3 4" xfId="31689" xr:uid="{00000000-0005-0000-0000-00001E290000}"/>
    <cellStyle name="20% - Accent4 2 4 4 4" xfId="9044" xr:uid="{00000000-0005-0000-0000-00001F290000}"/>
    <cellStyle name="20% - Accent4 2 4 4 4 2" xfId="21961" xr:uid="{00000000-0005-0000-0000-000020290000}"/>
    <cellStyle name="20% - Accent4 2 4 4 4 2 2" xfId="47835" xr:uid="{00000000-0005-0000-0000-000021290000}"/>
    <cellStyle name="20% - Accent4 2 4 4 4 3" xfId="34919" xr:uid="{00000000-0005-0000-0000-000022290000}"/>
    <cellStyle name="20% - Accent4 2 4 4 5" xfId="15503" xr:uid="{00000000-0005-0000-0000-000023290000}"/>
    <cellStyle name="20% - Accent4 2 4 4 5 2" xfId="41377" xr:uid="{00000000-0005-0000-0000-000024290000}"/>
    <cellStyle name="20% - Accent4 2 4 4 6" xfId="28429" xr:uid="{00000000-0005-0000-0000-000025290000}"/>
    <cellStyle name="20% - Accent4 2 4 5" xfId="3361" xr:uid="{00000000-0005-0000-0000-000026290000}"/>
    <cellStyle name="20% - Accent4 2 4 5 2" xfId="6620" xr:uid="{00000000-0005-0000-0000-000027290000}"/>
    <cellStyle name="20% - Accent4 2 4 5 2 2" xfId="13079" xr:uid="{00000000-0005-0000-0000-000028290000}"/>
    <cellStyle name="20% - Accent4 2 4 5 2 2 2" xfId="25996" xr:uid="{00000000-0005-0000-0000-000029290000}"/>
    <cellStyle name="20% - Accent4 2 4 5 2 2 2 2" xfId="51870" xr:uid="{00000000-0005-0000-0000-00002A290000}"/>
    <cellStyle name="20% - Accent4 2 4 5 2 2 3" xfId="38954" xr:uid="{00000000-0005-0000-0000-00002B290000}"/>
    <cellStyle name="20% - Accent4 2 4 5 2 3" xfId="19538" xr:uid="{00000000-0005-0000-0000-00002C290000}"/>
    <cellStyle name="20% - Accent4 2 4 5 2 3 2" xfId="45412" xr:uid="{00000000-0005-0000-0000-00002D290000}"/>
    <cellStyle name="20% - Accent4 2 4 5 2 4" xfId="32496" xr:uid="{00000000-0005-0000-0000-00002E290000}"/>
    <cellStyle name="20% - Accent4 2 4 5 3" xfId="9851" xr:uid="{00000000-0005-0000-0000-00002F290000}"/>
    <cellStyle name="20% - Accent4 2 4 5 3 2" xfId="22768" xr:uid="{00000000-0005-0000-0000-000030290000}"/>
    <cellStyle name="20% - Accent4 2 4 5 3 2 2" xfId="48642" xr:uid="{00000000-0005-0000-0000-000031290000}"/>
    <cellStyle name="20% - Accent4 2 4 5 3 3" xfId="35726" xr:uid="{00000000-0005-0000-0000-000032290000}"/>
    <cellStyle name="20% - Accent4 2 4 5 4" xfId="16310" xr:uid="{00000000-0005-0000-0000-000033290000}"/>
    <cellStyle name="20% - Accent4 2 4 5 4 2" xfId="42184" xr:uid="{00000000-0005-0000-0000-000034290000}"/>
    <cellStyle name="20% - Accent4 2 4 5 5" xfId="29236" xr:uid="{00000000-0005-0000-0000-000035290000}"/>
    <cellStyle name="20% - Accent4 2 4 6" xfId="5006" xr:uid="{00000000-0005-0000-0000-000036290000}"/>
    <cellStyle name="20% - Accent4 2 4 6 2" xfId="11465" xr:uid="{00000000-0005-0000-0000-000037290000}"/>
    <cellStyle name="20% - Accent4 2 4 6 2 2" xfId="24382" xr:uid="{00000000-0005-0000-0000-000038290000}"/>
    <cellStyle name="20% - Accent4 2 4 6 2 2 2" xfId="50256" xr:uid="{00000000-0005-0000-0000-000039290000}"/>
    <cellStyle name="20% - Accent4 2 4 6 2 3" xfId="37340" xr:uid="{00000000-0005-0000-0000-00003A290000}"/>
    <cellStyle name="20% - Accent4 2 4 6 3" xfId="17924" xr:uid="{00000000-0005-0000-0000-00003B290000}"/>
    <cellStyle name="20% - Accent4 2 4 6 3 2" xfId="43798" xr:uid="{00000000-0005-0000-0000-00003C290000}"/>
    <cellStyle name="20% - Accent4 2 4 6 4" xfId="30882" xr:uid="{00000000-0005-0000-0000-00003D290000}"/>
    <cellStyle name="20% - Accent4 2 4 7" xfId="8236" xr:uid="{00000000-0005-0000-0000-00003E290000}"/>
    <cellStyle name="20% - Accent4 2 4 7 2" xfId="21153" xr:uid="{00000000-0005-0000-0000-00003F290000}"/>
    <cellStyle name="20% - Accent4 2 4 7 2 2" xfId="47027" xr:uid="{00000000-0005-0000-0000-000040290000}"/>
    <cellStyle name="20% - Accent4 2 4 7 3" xfId="34111" xr:uid="{00000000-0005-0000-0000-000041290000}"/>
    <cellStyle name="20% - Accent4 2 4 8" xfId="14695" xr:uid="{00000000-0005-0000-0000-000042290000}"/>
    <cellStyle name="20% - Accent4 2 4 8 2" xfId="40569" xr:uid="{00000000-0005-0000-0000-000043290000}"/>
    <cellStyle name="20% - Accent4 2 4 9" xfId="27619" xr:uid="{00000000-0005-0000-0000-000044290000}"/>
    <cellStyle name="20% - Accent4 2 5" xfId="1773" xr:uid="{00000000-0005-0000-0000-000045290000}"/>
    <cellStyle name="20% - Accent4 2 5 2" xfId="2266" xr:uid="{00000000-0005-0000-0000-000046290000}"/>
    <cellStyle name="20% - Accent4 2 5 2 2" xfId="3080" xr:uid="{00000000-0005-0000-0000-000047290000}"/>
    <cellStyle name="20% - Accent4 2 5 2 2 2" xfId="4737" xr:uid="{00000000-0005-0000-0000-000048290000}"/>
    <cellStyle name="20% - Accent4 2 5 2 2 2 2" xfId="7968" xr:uid="{00000000-0005-0000-0000-000049290000}"/>
    <cellStyle name="20% - Accent4 2 5 2 2 2 2 2" xfId="14427" xr:uid="{00000000-0005-0000-0000-00004A290000}"/>
    <cellStyle name="20% - Accent4 2 5 2 2 2 2 2 2" xfId="27344" xr:uid="{00000000-0005-0000-0000-00004B290000}"/>
    <cellStyle name="20% - Accent4 2 5 2 2 2 2 2 2 2" xfId="53218" xr:uid="{00000000-0005-0000-0000-00004C290000}"/>
    <cellStyle name="20% - Accent4 2 5 2 2 2 2 2 3" xfId="40302" xr:uid="{00000000-0005-0000-0000-00004D290000}"/>
    <cellStyle name="20% - Accent4 2 5 2 2 2 2 3" xfId="20886" xr:uid="{00000000-0005-0000-0000-00004E290000}"/>
    <cellStyle name="20% - Accent4 2 5 2 2 2 2 3 2" xfId="46760" xr:uid="{00000000-0005-0000-0000-00004F290000}"/>
    <cellStyle name="20% - Accent4 2 5 2 2 2 2 4" xfId="33844" xr:uid="{00000000-0005-0000-0000-000050290000}"/>
    <cellStyle name="20% - Accent4 2 5 2 2 2 3" xfId="11199" xr:uid="{00000000-0005-0000-0000-000051290000}"/>
    <cellStyle name="20% - Accent4 2 5 2 2 2 3 2" xfId="24116" xr:uid="{00000000-0005-0000-0000-000052290000}"/>
    <cellStyle name="20% - Accent4 2 5 2 2 2 3 2 2" xfId="49990" xr:uid="{00000000-0005-0000-0000-000053290000}"/>
    <cellStyle name="20% - Accent4 2 5 2 2 2 3 3" xfId="37074" xr:uid="{00000000-0005-0000-0000-000054290000}"/>
    <cellStyle name="20% - Accent4 2 5 2 2 2 4" xfId="17658" xr:uid="{00000000-0005-0000-0000-000055290000}"/>
    <cellStyle name="20% - Accent4 2 5 2 2 2 4 2" xfId="43532" xr:uid="{00000000-0005-0000-0000-000056290000}"/>
    <cellStyle name="20% - Accent4 2 5 2 2 2 5" xfId="30584" xr:uid="{00000000-0005-0000-0000-000057290000}"/>
    <cellStyle name="20% - Accent4 2 5 2 2 3" xfId="6354" xr:uid="{00000000-0005-0000-0000-000058290000}"/>
    <cellStyle name="20% - Accent4 2 5 2 2 3 2" xfId="12813" xr:uid="{00000000-0005-0000-0000-000059290000}"/>
    <cellStyle name="20% - Accent4 2 5 2 2 3 2 2" xfId="25730" xr:uid="{00000000-0005-0000-0000-00005A290000}"/>
    <cellStyle name="20% - Accent4 2 5 2 2 3 2 2 2" xfId="51604" xr:uid="{00000000-0005-0000-0000-00005B290000}"/>
    <cellStyle name="20% - Accent4 2 5 2 2 3 2 3" xfId="38688" xr:uid="{00000000-0005-0000-0000-00005C290000}"/>
    <cellStyle name="20% - Accent4 2 5 2 2 3 3" xfId="19272" xr:uid="{00000000-0005-0000-0000-00005D290000}"/>
    <cellStyle name="20% - Accent4 2 5 2 2 3 3 2" xfId="45146" xr:uid="{00000000-0005-0000-0000-00005E290000}"/>
    <cellStyle name="20% - Accent4 2 5 2 2 3 4" xfId="32230" xr:uid="{00000000-0005-0000-0000-00005F290000}"/>
    <cellStyle name="20% - Accent4 2 5 2 2 4" xfId="9585" xr:uid="{00000000-0005-0000-0000-000060290000}"/>
    <cellStyle name="20% - Accent4 2 5 2 2 4 2" xfId="22502" xr:uid="{00000000-0005-0000-0000-000061290000}"/>
    <cellStyle name="20% - Accent4 2 5 2 2 4 2 2" xfId="48376" xr:uid="{00000000-0005-0000-0000-000062290000}"/>
    <cellStyle name="20% - Accent4 2 5 2 2 4 3" xfId="35460" xr:uid="{00000000-0005-0000-0000-000063290000}"/>
    <cellStyle name="20% - Accent4 2 5 2 2 5" xfId="16044" xr:uid="{00000000-0005-0000-0000-000064290000}"/>
    <cellStyle name="20% - Accent4 2 5 2 2 5 2" xfId="41918" xr:uid="{00000000-0005-0000-0000-000065290000}"/>
    <cellStyle name="20% - Accent4 2 5 2 2 6" xfId="28970" xr:uid="{00000000-0005-0000-0000-000066290000}"/>
    <cellStyle name="20% - Accent4 2 5 2 3" xfId="3907" xr:uid="{00000000-0005-0000-0000-000067290000}"/>
    <cellStyle name="20% - Accent4 2 5 2 3 2" xfId="7161" xr:uid="{00000000-0005-0000-0000-000068290000}"/>
    <cellStyle name="20% - Accent4 2 5 2 3 2 2" xfId="13620" xr:uid="{00000000-0005-0000-0000-000069290000}"/>
    <cellStyle name="20% - Accent4 2 5 2 3 2 2 2" xfId="26537" xr:uid="{00000000-0005-0000-0000-00006A290000}"/>
    <cellStyle name="20% - Accent4 2 5 2 3 2 2 2 2" xfId="52411" xr:uid="{00000000-0005-0000-0000-00006B290000}"/>
    <cellStyle name="20% - Accent4 2 5 2 3 2 2 3" xfId="39495" xr:uid="{00000000-0005-0000-0000-00006C290000}"/>
    <cellStyle name="20% - Accent4 2 5 2 3 2 3" xfId="20079" xr:uid="{00000000-0005-0000-0000-00006D290000}"/>
    <cellStyle name="20% - Accent4 2 5 2 3 2 3 2" xfId="45953" xr:uid="{00000000-0005-0000-0000-00006E290000}"/>
    <cellStyle name="20% - Accent4 2 5 2 3 2 4" xfId="33037" xr:uid="{00000000-0005-0000-0000-00006F290000}"/>
    <cellStyle name="20% - Accent4 2 5 2 3 3" xfId="10392" xr:uid="{00000000-0005-0000-0000-000070290000}"/>
    <cellStyle name="20% - Accent4 2 5 2 3 3 2" xfId="23309" xr:uid="{00000000-0005-0000-0000-000071290000}"/>
    <cellStyle name="20% - Accent4 2 5 2 3 3 2 2" xfId="49183" xr:uid="{00000000-0005-0000-0000-000072290000}"/>
    <cellStyle name="20% - Accent4 2 5 2 3 3 3" xfId="36267" xr:uid="{00000000-0005-0000-0000-000073290000}"/>
    <cellStyle name="20% - Accent4 2 5 2 3 4" xfId="16851" xr:uid="{00000000-0005-0000-0000-000074290000}"/>
    <cellStyle name="20% - Accent4 2 5 2 3 4 2" xfId="42725" xr:uid="{00000000-0005-0000-0000-000075290000}"/>
    <cellStyle name="20% - Accent4 2 5 2 3 5" xfId="29777" xr:uid="{00000000-0005-0000-0000-000076290000}"/>
    <cellStyle name="20% - Accent4 2 5 2 4" xfId="5547" xr:uid="{00000000-0005-0000-0000-000077290000}"/>
    <cellStyle name="20% - Accent4 2 5 2 4 2" xfId="12006" xr:uid="{00000000-0005-0000-0000-000078290000}"/>
    <cellStyle name="20% - Accent4 2 5 2 4 2 2" xfId="24923" xr:uid="{00000000-0005-0000-0000-000079290000}"/>
    <cellStyle name="20% - Accent4 2 5 2 4 2 2 2" xfId="50797" xr:uid="{00000000-0005-0000-0000-00007A290000}"/>
    <cellStyle name="20% - Accent4 2 5 2 4 2 3" xfId="37881" xr:uid="{00000000-0005-0000-0000-00007B290000}"/>
    <cellStyle name="20% - Accent4 2 5 2 4 3" xfId="18465" xr:uid="{00000000-0005-0000-0000-00007C290000}"/>
    <cellStyle name="20% - Accent4 2 5 2 4 3 2" xfId="44339" xr:uid="{00000000-0005-0000-0000-00007D290000}"/>
    <cellStyle name="20% - Accent4 2 5 2 4 4" xfId="31423" xr:uid="{00000000-0005-0000-0000-00007E290000}"/>
    <cellStyle name="20% - Accent4 2 5 2 5" xfId="8778" xr:uid="{00000000-0005-0000-0000-00007F290000}"/>
    <cellStyle name="20% - Accent4 2 5 2 5 2" xfId="21695" xr:uid="{00000000-0005-0000-0000-000080290000}"/>
    <cellStyle name="20% - Accent4 2 5 2 5 2 2" xfId="47569" xr:uid="{00000000-0005-0000-0000-000081290000}"/>
    <cellStyle name="20% - Accent4 2 5 2 5 3" xfId="34653" xr:uid="{00000000-0005-0000-0000-000082290000}"/>
    <cellStyle name="20% - Accent4 2 5 2 6" xfId="15237" xr:uid="{00000000-0005-0000-0000-000083290000}"/>
    <cellStyle name="20% - Accent4 2 5 2 6 2" xfId="41111" xr:uid="{00000000-0005-0000-0000-000084290000}"/>
    <cellStyle name="20% - Accent4 2 5 2 7" xfId="28163" xr:uid="{00000000-0005-0000-0000-000085290000}"/>
    <cellStyle name="20% - Accent4 2 5 2 8" xfId="54025" xr:uid="{00000000-0005-0000-0000-000086290000}"/>
    <cellStyle name="20% - Accent4 2 5 3" xfId="2677" xr:uid="{00000000-0005-0000-0000-000087290000}"/>
    <cellStyle name="20% - Accent4 2 5 3 2" xfId="4334" xr:uid="{00000000-0005-0000-0000-000088290000}"/>
    <cellStyle name="20% - Accent4 2 5 3 2 2" xfId="7565" xr:uid="{00000000-0005-0000-0000-000089290000}"/>
    <cellStyle name="20% - Accent4 2 5 3 2 2 2" xfId="14024" xr:uid="{00000000-0005-0000-0000-00008A290000}"/>
    <cellStyle name="20% - Accent4 2 5 3 2 2 2 2" xfId="26941" xr:uid="{00000000-0005-0000-0000-00008B290000}"/>
    <cellStyle name="20% - Accent4 2 5 3 2 2 2 2 2" xfId="52815" xr:uid="{00000000-0005-0000-0000-00008C290000}"/>
    <cellStyle name="20% - Accent4 2 5 3 2 2 2 3" xfId="39899" xr:uid="{00000000-0005-0000-0000-00008D290000}"/>
    <cellStyle name="20% - Accent4 2 5 3 2 2 3" xfId="20483" xr:uid="{00000000-0005-0000-0000-00008E290000}"/>
    <cellStyle name="20% - Accent4 2 5 3 2 2 3 2" xfId="46357" xr:uid="{00000000-0005-0000-0000-00008F290000}"/>
    <cellStyle name="20% - Accent4 2 5 3 2 2 4" xfId="33441" xr:uid="{00000000-0005-0000-0000-000090290000}"/>
    <cellStyle name="20% - Accent4 2 5 3 2 3" xfId="10796" xr:uid="{00000000-0005-0000-0000-000091290000}"/>
    <cellStyle name="20% - Accent4 2 5 3 2 3 2" xfId="23713" xr:uid="{00000000-0005-0000-0000-000092290000}"/>
    <cellStyle name="20% - Accent4 2 5 3 2 3 2 2" xfId="49587" xr:uid="{00000000-0005-0000-0000-000093290000}"/>
    <cellStyle name="20% - Accent4 2 5 3 2 3 3" xfId="36671" xr:uid="{00000000-0005-0000-0000-000094290000}"/>
    <cellStyle name="20% - Accent4 2 5 3 2 4" xfId="17255" xr:uid="{00000000-0005-0000-0000-000095290000}"/>
    <cellStyle name="20% - Accent4 2 5 3 2 4 2" xfId="43129" xr:uid="{00000000-0005-0000-0000-000096290000}"/>
    <cellStyle name="20% - Accent4 2 5 3 2 5" xfId="30181" xr:uid="{00000000-0005-0000-0000-000097290000}"/>
    <cellStyle name="20% - Accent4 2 5 3 3" xfId="5951" xr:uid="{00000000-0005-0000-0000-000098290000}"/>
    <cellStyle name="20% - Accent4 2 5 3 3 2" xfId="12410" xr:uid="{00000000-0005-0000-0000-000099290000}"/>
    <cellStyle name="20% - Accent4 2 5 3 3 2 2" xfId="25327" xr:uid="{00000000-0005-0000-0000-00009A290000}"/>
    <cellStyle name="20% - Accent4 2 5 3 3 2 2 2" xfId="51201" xr:uid="{00000000-0005-0000-0000-00009B290000}"/>
    <cellStyle name="20% - Accent4 2 5 3 3 2 3" xfId="38285" xr:uid="{00000000-0005-0000-0000-00009C290000}"/>
    <cellStyle name="20% - Accent4 2 5 3 3 3" xfId="18869" xr:uid="{00000000-0005-0000-0000-00009D290000}"/>
    <cellStyle name="20% - Accent4 2 5 3 3 3 2" xfId="44743" xr:uid="{00000000-0005-0000-0000-00009E290000}"/>
    <cellStyle name="20% - Accent4 2 5 3 3 4" xfId="31827" xr:uid="{00000000-0005-0000-0000-00009F290000}"/>
    <cellStyle name="20% - Accent4 2 5 3 4" xfId="9182" xr:uid="{00000000-0005-0000-0000-0000A0290000}"/>
    <cellStyle name="20% - Accent4 2 5 3 4 2" xfId="22099" xr:uid="{00000000-0005-0000-0000-0000A1290000}"/>
    <cellStyle name="20% - Accent4 2 5 3 4 2 2" xfId="47973" xr:uid="{00000000-0005-0000-0000-0000A2290000}"/>
    <cellStyle name="20% - Accent4 2 5 3 4 3" xfId="35057" xr:uid="{00000000-0005-0000-0000-0000A3290000}"/>
    <cellStyle name="20% - Accent4 2 5 3 5" xfId="15641" xr:uid="{00000000-0005-0000-0000-0000A4290000}"/>
    <cellStyle name="20% - Accent4 2 5 3 5 2" xfId="41515" xr:uid="{00000000-0005-0000-0000-0000A5290000}"/>
    <cellStyle name="20% - Accent4 2 5 3 6" xfId="28567" xr:uid="{00000000-0005-0000-0000-0000A6290000}"/>
    <cellStyle name="20% - Accent4 2 5 4" xfId="3504" xr:uid="{00000000-0005-0000-0000-0000A7290000}"/>
    <cellStyle name="20% - Accent4 2 5 4 2" xfId="6758" xr:uid="{00000000-0005-0000-0000-0000A8290000}"/>
    <cellStyle name="20% - Accent4 2 5 4 2 2" xfId="13217" xr:uid="{00000000-0005-0000-0000-0000A9290000}"/>
    <cellStyle name="20% - Accent4 2 5 4 2 2 2" xfId="26134" xr:uid="{00000000-0005-0000-0000-0000AA290000}"/>
    <cellStyle name="20% - Accent4 2 5 4 2 2 2 2" xfId="52008" xr:uid="{00000000-0005-0000-0000-0000AB290000}"/>
    <cellStyle name="20% - Accent4 2 5 4 2 2 3" xfId="39092" xr:uid="{00000000-0005-0000-0000-0000AC290000}"/>
    <cellStyle name="20% - Accent4 2 5 4 2 3" xfId="19676" xr:uid="{00000000-0005-0000-0000-0000AD290000}"/>
    <cellStyle name="20% - Accent4 2 5 4 2 3 2" xfId="45550" xr:uid="{00000000-0005-0000-0000-0000AE290000}"/>
    <cellStyle name="20% - Accent4 2 5 4 2 4" xfId="32634" xr:uid="{00000000-0005-0000-0000-0000AF290000}"/>
    <cellStyle name="20% - Accent4 2 5 4 3" xfId="9989" xr:uid="{00000000-0005-0000-0000-0000B0290000}"/>
    <cellStyle name="20% - Accent4 2 5 4 3 2" xfId="22906" xr:uid="{00000000-0005-0000-0000-0000B1290000}"/>
    <cellStyle name="20% - Accent4 2 5 4 3 2 2" xfId="48780" xr:uid="{00000000-0005-0000-0000-0000B2290000}"/>
    <cellStyle name="20% - Accent4 2 5 4 3 3" xfId="35864" xr:uid="{00000000-0005-0000-0000-0000B3290000}"/>
    <cellStyle name="20% - Accent4 2 5 4 4" xfId="16448" xr:uid="{00000000-0005-0000-0000-0000B4290000}"/>
    <cellStyle name="20% - Accent4 2 5 4 4 2" xfId="42322" xr:uid="{00000000-0005-0000-0000-0000B5290000}"/>
    <cellStyle name="20% - Accent4 2 5 4 5" xfId="29374" xr:uid="{00000000-0005-0000-0000-0000B6290000}"/>
    <cellStyle name="20% - Accent4 2 5 5" xfId="5144" xr:uid="{00000000-0005-0000-0000-0000B7290000}"/>
    <cellStyle name="20% - Accent4 2 5 5 2" xfId="11603" xr:uid="{00000000-0005-0000-0000-0000B8290000}"/>
    <cellStyle name="20% - Accent4 2 5 5 2 2" xfId="24520" xr:uid="{00000000-0005-0000-0000-0000B9290000}"/>
    <cellStyle name="20% - Accent4 2 5 5 2 2 2" xfId="50394" xr:uid="{00000000-0005-0000-0000-0000BA290000}"/>
    <cellStyle name="20% - Accent4 2 5 5 2 3" xfId="37478" xr:uid="{00000000-0005-0000-0000-0000BB290000}"/>
    <cellStyle name="20% - Accent4 2 5 5 3" xfId="18062" xr:uid="{00000000-0005-0000-0000-0000BC290000}"/>
    <cellStyle name="20% - Accent4 2 5 5 3 2" xfId="43936" xr:uid="{00000000-0005-0000-0000-0000BD290000}"/>
    <cellStyle name="20% - Accent4 2 5 5 4" xfId="31020" xr:uid="{00000000-0005-0000-0000-0000BE290000}"/>
    <cellStyle name="20% - Accent4 2 5 6" xfId="8374" xr:uid="{00000000-0005-0000-0000-0000BF290000}"/>
    <cellStyle name="20% - Accent4 2 5 6 2" xfId="21291" xr:uid="{00000000-0005-0000-0000-0000C0290000}"/>
    <cellStyle name="20% - Accent4 2 5 6 2 2" xfId="47165" xr:uid="{00000000-0005-0000-0000-0000C1290000}"/>
    <cellStyle name="20% - Accent4 2 5 6 3" xfId="34249" xr:uid="{00000000-0005-0000-0000-0000C2290000}"/>
    <cellStyle name="20% - Accent4 2 5 7" xfId="14833" xr:uid="{00000000-0005-0000-0000-0000C3290000}"/>
    <cellStyle name="20% - Accent4 2 5 7 2" xfId="40707" xr:uid="{00000000-0005-0000-0000-0000C4290000}"/>
    <cellStyle name="20% - Accent4 2 5 8" xfId="27759" xr:uid="{00000000-0005-0000-0000-0000C5290000}"/>
    <cellStyle name="20% - Accent4 2 5 9" xfId="53622" xr:uid="{00000000-0005-0000-0000-0000C6290000}"/>
    <cellStyle name="20% - Accent4 2 6" xfId="2071" xr:uid="{00000000-0005-0000-0000-0000C7290000}"/>
    <cellStyle name="20% - Accent4 2 6 2" xfId="2889" xr:uid="{00000000-0005-0000-0000-0000C8290000}"/>
    <cellStyle name="20% - Accent4 2 6 2 2" xfId="4546" xr:uid="{00000000-0005-0000-0000-0000C9290000}"/>
    <cellStyle name="20% - Accent4 2 6 2 2 2" xfId="7777" xr:uid="{00000000-0005-0000-0000-0000CA290000}"/>
    <cellStyle name="20% - Accent4 2 6 2 2 2 2" xfId="14236" xr:uid="{00000000-0005-0000-0000-0000CB290000}"/>
    <cellStyle name="20% - Accent4 2 6 2 2 2 2 2" xfId="27153" xr:uid="{00000000-0005-0000-0000-0000CC290000}"/>
    <cellStyle name="20% - Accent4 2 6 2 2 2 2 2 2" xfId="53027" xr:uid="{00000000-0005-0000-0000-0000CD290000}"/>
    <cellStyle name="20% - Accent4 2 6 2 2 2 2 3" xfId="40111" xr:uid="{00000000-0005-0000-0000-0000CE290000}"/>
    <cellStyle name="20% - Accent4 2 6 2 2 2 3" xfId="20695" xr:uid="{00000000-0005-0000-0000-0000CF290000}"/>
    <cellStyle name="20% - Accent4 2 6 2 2 2 3 2" xfId="46569" xr:uid="{00000000-0005-0000-0000-0000D0290000}"/>
    <cellStyle name="20% - Accent4 2 6 2 2 2 4" xfId="33653" xr:uid="{00000000-0005-0000-0000-0000D1290000}"/>
    <cellStyle name="20% - Accent4 2 6 2 2 3" xfId="11008" xr:uid="{00000000-0005-0000-0000-0000D2290000}"/>
    <cellStyle name="20% - Accent4 2 6 2 2 3 2" xfId="23925" xr:uid="{00000000-0005-0000-0000-0000D3290000}"/>
    <cellStyle name="20% - Accent4 2 6 2 2 3 2 2" xfId="49799" xr:uid="{00000000-0005-0000-0000-0000D4290000}"/>
    <cellStyle name="20% - Accent4 2 6 2 2 3 3" xfId="36883" xr:uid="{00000000-0005-0000-0000-0000D5290000}"/>
    <cellStyle name="20% - Accent4 2 6 2 2 4" xfId="17467" xr:uid="{00000000-0005-0000-0000-0000D6290000}"/>
    <cellStyle name="20% - Accent4 2 6 2 2 4 2" xfId="43341" xr:uid="{00000000-0005-0000-0000-0000D7290000}"/>
    <cellStyle name="20% - Accent4 2 6 2 2 5" xfId="30393" xr:uid="{00000000-0005-0000-0000-0000D8290000}"/>
    <cellStyle name="20% - Accent4 2 6 2 3" xfId="6163" xr:uid="{00000000-0005-0000-0000-0000D9290000}"/>
    <cellStyle name="20% - Accent4 2 6 2 3 2" xfId="12622" xr:uid="{00000000-0005-0000-0000-0000DA290000}"/>
    <cellStyle name="20% - Accent4 2 6 2 3 2 2" xfId="25539" xr:uid="{00000000-0005-0000-0000-0000DB290000}"/>
    <cellStyle name="20% - Accent4 2 6 2 3 2 2 2" xfId="51413" xr:uid="{00000000-0005-0000-0000-0000DC290000}"/>
    <cellStyle name="20% - Accent4 2 6 2 3 2 3" xfId="38497" xr:uid="{00000000-0005-0000-0000-0000DD290000}"/>
    <cellStyle name="20% - Accent4 2 6 2 3 3" xfId="19081" xr:uid="{00000000-0005-0000-0000-0000DE290000}"/>
    <cellStyle name="20% - Accent4 2 6 2 3 3 2" xfId="44955" xr:uid="{00000000-0005-0000-0000-0000DF290000}"/>
    <cellStyle name="20% - Accent4 2 6 2 3 4" xfId="32039" xr:uid="{00000000-0005-0000-0000-0000E0290000}"/>
    <cellStyle name="20% - Accent4 2 6 2 4" xfId="9394" xr:uid="{00000000-0005-0000-0000-0000E1290000}"/>
    <cellStyle name="20% - Accent4 2 6 2 4 2" xfId="22311" xr:uid="{00000000-0005-0000-0000-0000E2290000}"/>
    <cellStyle name="20% - Accent4 2 6 2 4 2 2" xfId="48185" xr:uid="{00000000-0005-0000-0000-0000E3290000}"/>
    <cellStyle name="20% - Accent4 2 6 2 4 3" xfId="35269" xr:uid="{00000000-0005-0000-0000-0000E4290000}"/>
    <cellStyle name="20% - Accent4 2 6 2 5" xfId="15853" xr:uid="{00000000-0005-0000-0000-0000E5290000}"/>
    <cellStyle name="20% - Accent4 2 6 2 5 2" xfId="41727" xr:uid="{00000000-0005-0000-0000-0000E6290000}"/>
    <cellStyle name="20% - Accent4 2 6 2 6" xfId="28779" xr:uid="{00000000-0005-0000-0000-0000E7290000}"/>
    <cellStyle name="20% - Accent4 2 6 3" xfId="3716" xr:uid="{00000000-0005-0000-0000-0000E8290000}"/>
    <cellStyle name="20% - Accent4 2 6 3 2" xfId="6970" xr:uid="{00000000-0005-0000-0000-0000E9290000}"/>
    <cellStyle name="20% - Accent4 2 6 3 2 2" xfId="13429" xr:uid="{00000000-0005-0000-0000-0000EA290000}"/>
    <cellStyle name="20% - Accent4 2 6 3 2 2 2" xfId="26346" xr:uid="{00000000-0005-0000-0000-0000EB290000}"/>
    <cellStyle name="20% - Accent4 2 6 3 2 2 2 2" xfId="52220" xr:uid="{00000000-0005-0000-0000-0000EC290000}"/>
    <cellStyle name="20% - Accent4 2 6 3 2 2 3" xfId="39304" xr:uid="{00000000-0005-0000-0000-0000ED290000}"/>
    <cellStyle name="20% - Accent4 2 6 3 2 3" xfId="19888" xr:uid="{00000000-0005-0000-0000-0000EE290000}"/>
    <cellStyle name="20% - Accent4 2 6 3 2 3 2" xfId="45762" xr:uid="{00000000-0005-0000-0000-0000EF290000}"/>
    <cellStyle name="20% - Accent4 2 6 3 2 4" xfId="32846" xr:uid="{00000000-0005-0000-0000-0000F0290000}"/>
    <cellStyle name="20% - Accent4 2 6 3 3" xfId="10201" xr:uid="{00000000-0005-0000-0000-0000F1290000}"/>
    <cellStyle name="20% - Accent4 2 6 3 3 2" xfId="23118" xr:uid="{00000000-0005-0000-0000-0000F2290000}"/>
    <cellStyle name="20% - Accent4 2 6 3 3 2 2" xfId="48992" xr:uid="{00000000-0005-0000-0000-0000F3290000}"/>
    <cellStyle name="20% - Accent4 2 6 3 3 3" xfId="36076" xr:uid="{00000000-0005-0000-0000-0000F4290000}"/>
    <cellStyle name="20% - Accent4 2 6 3 4" xfId="16660" xr:uid="{00000000-0005-0000-0000-0000F5290000}"/>
    <cellStyle name="20% - Accent4 2 6 3 4 2" xfId="42534" xr:uid="{00000000-0005-0000-0000-0000F6290000}"/>
    <cellStyle name="20% - Accent4 2 6 3 5" xfId="29586" xr:uid="{00000000-0005-0000-0000-0000F7290000}"/>
    <cellStyle name="20% - Accent4 2 6 4" xfId="5356" xr:uid="{00000000-0005-0000-0000-0000F8290000}"/>
    <cellStyle name="20% - Accent4 2 6 4 2" xfId="11815" xr:uid="{00000000-0005-0000-0000-0000F9290000}"/>
    <cellStyle name="20% - Accent4 2 6 4 2 2" xfId="24732" xr:uid="{00000000-0005-0000-0000-0000FA290000}"/>
    <cellStyle name="20% - Accent4 2 6 4 2 2 2" xfId="50606" xr:uid="{00000000-0005-0000-0000-0000FB290000}"/>
    <cellStyle name="20% - Accent4 2 6 4 2 3" xfId="37690" xr:uid="{00000000-0005-0000-0000-0000FC290000}"/>
    <cellStyle name="20% - Accent4 2 6 4 3" xfId="18274" xr:uid="{00000000-0005-0000-0000-0000FD290000}"/>
    <cellStyle name="20% - Accent4 2 6 4 3 2" xfId="44148" xr:uid="{00000000-0005-0000-0000-0000FE290000}"/>
    <cellStyle name="20% - Accent4 2 6 4 4" xfId="31232" xr:uid="{00000000-0005-0000-0000-0000FF290000}"/>
    <cellStyle name="20% - Accent4 2 6 5" xfId="8587" xr:uid="{00000000-0005-0000-0000-0000002A0000}"/>
    <cellStyle name="20% - Accent4 2 6 5 2" xfId="21504" xr:uid="{00000000-0005-0000-0000-0000012A0000}"/>
    <cellStyle name="20% - Accent4 2 6 5 2 2" xfId="47378" xr:uid="{00000000-0005-0000-0000-0000022A0000}"/>
    <cellStyle name="20% - Accent4 2 6 5 3" xfId="34462" xr:uid="{00000000-0005-0000-0000-0000032A0000}"/>
    <cellStyle name="20% - Accent4 2 6 6" xfId="15046" xr:uid="{00000000-0005-0000-0000-0000042A0000}"/>
    <cellStyle name="20% - Accent4 2 6 6 2" xfId="40920" xr:uid="{00000000-0005-0000-0000-0000052A0000}"/>
    <cellStyle name="20% - Accent4 2 6 7" xfId="27972" xr:uid="{00000000-0005-0000-0000-0000062A0000}"/>
    <cellStyle name="20% - Accent4 2 6 8" xfId="53834" xr:uid="{00000000-0005-0000-0000-0000072A0000}"/>
    <cellStyle name="20% - Accent4 2 7" xfId="2482" xr:uid="{00000000-0005-0000-0000-0000082A0000}"/>
    <cellStyle name="20% - Accent4 2 7 2" xfId="4139" xr:uid="{00000000-0005-0000-0000-0000092A0000}"/>
    <cellStyle name="20% - Accent4 2 7 2 2" xfId="7370" xr:uid="{00000000-0005-0000-0000-00000A2A0000}"/>
    <cellStyle name="20% - Accent4 2 7 2 2 2" xfId="13829" xr:uid="{00000000-0005-0000-0000-00000B2A0000}"/>
    <cellStyle name="20% - Accent4 2 7 2 2 2 2" xfId="26746" xr:uid="{00000000-0005-0000-0000-00000C2A0000}"/>
    <cellStyle name="20% - Accent4 2 7 2 2 2 2 2" xfId="52620" xr:uid="{00000000-0005-0000-0000-00000D2A0000}"/>
    <cellStyle name="20% - Accent4 2 7 2 2 2 3" xfId="39704" xr:uid="{00000000-0005-0000-0000-00000E2A0000}"/>
    <cellStyle name="20% - Accent4 2 7 2 2 3" xfId="20288" xr:uid="{00000000-0005-0000-0000-00000F2A0000}"/>
    <cellStyle name="20% - Accent4 2 7 2 2 3 2" xfId="46162" xr:uid="{00000000-0005-0000-0000-0000102A0000}"/>
    <cellStyle name="20% - Accent4 2 7 2 2 4" xfId="33246" xr:uid="{00000000-0005-0000-0000-0000112A0000}"/>
    <cellStyle name="20% - Accent4 2 7 2 3" xfId="10601" xr:uid="{00000000-0005-0000-0000-0000122A0000}"/>
    <cellStyle name="20% - Accent4 2 7 2 3 2" xfId="23518" xr:uid="{00000000-0005-0000-0000-0000132A0000}"/>
    <cellStyle name="20% - Accent4 2 7 2 3 2 2" xfId="49392" xr:uid="{00000000-0005-0000-0000-0000142A0000}"/>
    <cellStyle name="20% - Accent4 2 7 2 3 3" xfId="36476" xr:uid="{00000000-0005-0000-0000-0000152A0000}"/>
    <cellStyle name="20% - Accent4 2 7 2 4" xfId="17060" xr:uid="{00000000-0005-0000-0000-0000162A0000}"/>
    <cellStyle name="20% - Accent4 2 7 2 4 2" xfId="42934" xr:uid="{00000000-0005-0000-0000-0000172A0000}"/>
    <cellStyle name="20% - Accent4 2 7 2 5" xfId="29986" xr:uid="{00000000-0005-0000-0000-0000182A0000}"/>
    <cellStyle name="20% - Accent4 2 7 3" xfId="5756" xr:uid="{00000000-0005-0000-0000-0000192A0000}"/>
    <cellStyle name="20% - Accent4 2 7 3 2" xfId="12215" xr:uid="{00000000-0005-0000-0000-00001A2A0000}"/>
    <cellStyle name="20% - Accent4 2 7 3 2 2" xfId="25132" xr:uid="{00000000-0005-0000-0000-00001B2A0000}"/>
    <cellStyle name="20% - Accent4 2 7 3 2 2 2" xfId="51006" xr:uid="{00000000-0005-0000-0000-00001C2A0000}"/>
    <cellStyle name="20% - Accent4 2 7 3 2 3" xfId="38090" xr:uid="{00000000-0005-0000-0000-00001D2A0000}"/>
    <cellStyle name="20% - Accent4 2 7 3 3" xfId="18674" xr:uid="{00000000-0005-0000-0000-00001E2A0000}"/>
    <cellStyle name="20% - Accent4 2 7 3 3 2" xfId="44548" xr:uid="{00000000-0005-0000-0000-00001F2A0000}"/>
    <cellStyle name="20% - Accent4 2 7 3 4" xfId="31632" xr:uid="{00000000-0005-0000-0000-0000202A0000}"/>
    <cellStyle name="20% - Accent4 2 7 4" xfId="8987" xr:uid="{00000000-0005-0000-0000-0000212A0000}"/>
    <cellStyle name="20% - Accent4 2 7 4 2" xfId="21904" xr:uid="{00000000-0005-0000-0000-0000222A0000}"/>
    <cellStyle name="20% - Accent4 2 7 4 2 2" xfId="47778" xr:uid="{00000000-0005-0000-0000-0000232A0000}"/>
    <cellStyle name="20% - Accent4 2 7 4 3" xfId="34862" xr:uid="{00000000-0005-0000-0000-0000242A0000}"/>
    <cellStyle name="20% - Accent4 2 7 5" xfId="15446" xr:uid="{00000000-0005-0000-0000-0000252A0000}"/>
    <cellStyle name="20% - Accent4 2 7 5 2" xfId="41320" xr:uid="{00000000-0005-0000-0000-0000262A0000}"/>
    <cellStyle name="20% - Accent4 2 7 6" xfId="28372" xr:uid="{00000000-0005-0000-0000-0000272A0000}"/>
    <cellStyle name="20% - Accent4 2 8" xfId="3291" xr:uid="{00000000-0005-0000-0000-0000282A0000}"/>
    <cellStyle name="20% - Accent4 2 8 2" xfId="6563" xr:uid="{00000000-0005-0000-0000-0000292A0000}"/>
    <cellStyle name="20% - Accent4 2 8 2 2" xfId="13022" xr:uid="{00000000-0005-0000-0000-00002A2A0000}"/>
    <cellStyle name="20% - Accent4 2 8 2 2 2" xfId="25939" xr:uid="{00000000-0005-0000-0000-00002B2A0000}"/>
    <cellStyle name="20% - Accent4 2 8 2 2 2 2" xfId="51813" xr:uid="{00000000-0005-0000-0000-00002C2A0000}"/>
    <cellStyle name="20% - Accent4 2 8 2 2 3" xfId="38897" xr:uid="{00000000-0005-0000-0000-00002D2A0000}"/>
    <cellStyle name="20% - Accent4 2 8 2 3" xfId="19481" xr:uid="{00000000-0005-0000-0000-00002E2A0000}"/>
    <cellStyle name="20% - Accent4 2 8 2 3 2" xfId="45355" xr:uid="{00000000-0005-0000-0000-00002F2A0000}"/>
    <cellStyle name="20% - Accent4 2 8 2 4" xfId="32439" xr:uid="{00000000-0005-0000-0000-0000302A0000}"/>
    <cellStyle name="20% - Accent4 2 8 3" xfId="9794" xr:uid="{00000000-0005-0000-0000-0000312A0000}"/>
    <cellStyle name="20% - Accent4 2 8 3 2" xfId="22711" xr:uid="{00000000-0005-0000-0000-0000322A0000}"/>
    <cellStyle name="20% - Accent4 2 8 3 2 2" xfId="48585" xr:uid="{00000000-0005-0000-0000-0000332A0000}"/>
    <cellStyle name="20% - Accent4 2 8 3 3" xfId="35669" xr:uid="{00000000-0005-0000-0000-0000342A0000}"/>
    <cellStyle name="20% - Accent4 2 8 4" xfId="16253" xr:uid="{00000000-0005-0000-0000-0000352A0000}"/>
    <cellStyle name="20% - Accent4 2 8 4 2" xfId="42127" xr:uid="{00000000-0005-0000-0000-0000362A0000}"/>
    <cellStyle name="20% - Accent4 2 8 5" xfId="29179" xr:uid="{00000000-0005-0000-0000-0000372A0000}"/>
    <cellStyle name="20% - Accent4 2 9" xfId="4949" xr:uid="{00000000-0005-0000-0000-0000382A0000}"/>
    <cellStyle name="20% - Accent4 2 9 2" xfId="11408" xr:uid="{00000000-0005-0000-0000-0000392A0000}"/>
    <cellStyle name="20% - Accent4 2 9 2 2" xfId="24325" xr:uid="{00000000-0005-0000-0000-00003A2A0000}"/>
    <cellStyle name="20% - Accent4 2 9 2 2 2" xfId="50199" xr:uid="{00000000-0005-0000-0000-00003B2A0000}"/>
    <cellStyle name="20% - Accent4 2 9 2 3" xfId="37283" xr:uid="{00000000-0005-0000-0000-00003C2A0000}"/>
    <cellStyle name="20% - Accent4 2 9 3" xfId="17867" xr:uid="{00000000-0005-0000-0000-00003D2A0000}"/>
    <cellStyle name="20% - Accent4 2 9 3 2" xfId="43741" xr:uid="{00000000-0005-0000-0000-00003E2A0000}"/>
    <cellStyle name="20% - Accent4 2 9 4" xfId="30825" xr:uid="{00000000-0005-0000-0000-00003F2A0000}"/>
    <cellStyle name="20% - Accent4 20" xfId="30801" xr:uid="{00000000-0005-0000-0000-0000402A0000}"/>
    <cellStyle name="20% - Accent4 21" xfId="53418" xr:uid="{00000000-0005-0000-0000-0000412A0000}"/>
    <cellStyle name="20% - Accent4 22" xfId="197" xr:uid="{00000000-0005-0000-0000-0000422A0000}"/>
    <cellStyle name="20% - Accent4 3" xfId="77" xr:uid="{00000000-0005-0000-0000-0000432A0000}"/>
    <cellStyle name="20% - Accent4 3 2" xfId="271" xr:uid="{00000000-0005-0000-0000-0000442A0000}"/>
    <cellStyle name="20% - Accent4 3 2 10" xfId="53556" xr:uid="{00000000-0005-0000-0000-0000452A0000}"/>
    <cellStyle name="20% - Accent4 3 2 11" xfId="1640" xr:uid="{00000000-0005-0000-0000-0000462A0000}"/>
    <cellStyle name="20% - Accent4 3 2 2" xfId="445" xr:uid="{00000000-0005-0000-0000-0000472A0000}"/>
    <cellStyle name="20% - Accent4 3 2 2 10" xfId="1965" xr:uid="{00000000-0005-0000-0000-0000482A0000}"/>
    <cellStyle name="20% - Accent4 3 2 2 2" xfId="580" xr:uid="{00000000-0005-0000-0000-0000492A0000}"/>
    <cellStyle name="20% - Accent4 3 2 2 2 2" xfId="3209" xr:uid="{00000000-0005-0000-0000-00004A2A0000}"/>
    <cellStyle name="20% - Accent4 3 2 2 2 2 2" xfId="4866" xr:uid="{00000000-0005-0000-0000-00004B2A0000}"/>
    <cellStyle name="20% - Accent4 3 2 2 2 2 2 2" xfId="8097" xr:uid="{00000000-0005-0000-0000-00004C2A0000}"/>
    <cellStyle name="20% - Accent4 3 2 2 2 2 2 2 2" xfId="14556" xr:uid="{00000000-0005-0000-0000-00004D2A0000}"/>
    <cellStyle name="20% - Accent4 3 2 2 2 2 2 2 2 2" xfId="27473" xr:uid="{00000000-0005-0000-0000-00004E2A0000}"/>
    <cellStyle name="20% - Accent4 3 2 2 2 2 2 2 2 2 2" xfId="53347" xr:uid="{00000000-0005-0000-0000-00004F2A0000}"/>
    <cellStyle name="20% - Accent4 3 2 2 2 2 2 2 2 3" xfId="40431" xr:uid="{00000000-0005-0000-0000-0000502A0000}"/>
    <cellStyle name="20% - Accent4 3 2 2 2 2 2 2 3" xfId="21015" xr:uid="{00000000-0005-0000-0000-0000512A0000}"/>
    <cellStyle name="20% - Accent4 3 2 2 2 2 2 2 3 2" xfId="46889" xr:uid="{00000000-0005-0000-0000-0000522A0000}"/>
    <cellStyle name="20% - Accent4 3 2 2 2 2 2 2 4" xfId="33973" xr:uid="{00000000-0005-0000-0000-0000532A0000}"/>
    <cellStyle name="20% - Accent4 3 2 2 2 2 2 3" xfId="11328" xr:uid="{00000000-0005-0000-0000-0000542A0000}"/>
    <cellStyle name="20% - Accent4 3 2 2 2 2 2 3 2" xfId="24245" xr:uid="{00000000-0005-0000-0000-0000552A0000}"/>
    <cellStyle name="20% - Accent4 3 2 2 2 2 2 3 2 2" xfId="50119" xr:uid="{00000000-0005-0000-0000-0000562A0000}"/>
    <cellStyle name="20% - Accent4 3 2 2 2 2 2 3 3" xfId="37203" xr:uid="{00000000-0005-0000-0000-0000572A0000}"/>
    <cellStyle name="20% - Accent4 3 2 2 2 2 2 4" xfId="17787" xr:uid="{00000000-0005-0000-0000-0000582A0000}"/>
    <cellStyle name="20% - Accent4 3 2 2 2 2 2 4 2" xfId="43661" xr:uid="{00000000-0005-0000-0000-0000592A0000}"/>
    <cellStyle name="20% - Accent4 3 2 2 2 2 2 5" xfId="30713" xr:uid="{00000000-0005-0000-0000-00005A2A0000}"/>
    <cellStyle name="20% - Accent4 3 2 2 2 2 3" xfId="6483" xr:uid="{00000000-0005-0000-0000-00005B2A0000}"/>
    <cellStyle name="20% - Accent4 3 2 2 2 2 3 2" xfId="12942" xr:uid="{00000000-0005-0000-0000-00005C2A0000}"/>
    <cellStyle name="20% - Accent4 3 2 2 2 2 3 2 2" xfId="25859" xr:uid="{00000000-0005-0000-0000-00005D2A0000}"/>
    <cellStyle name="20% - Accent4 3 2 2 2 2 3 2 2 2" xfId="51733" xr:uid="{00000000-0005-0000-0000-00005E2A0000}"/>
    <cellStyle name="20% - Accent4 3 2 2 2 2 3 2 3" xfId="38817" xr:uid="{00000000-0005-0000-0000-00005F2A0000}"/>
    <cellStyle name="20% - Accent4 3 2 2 2 2 3 3" xfId="19401" xr:uid="{00000000-0005-0000-0000-0000602A0000}"/>
    <cellStyle name="20% - Accent4 3 2 2 2 2 3 3 2" xfId="45275" xr:uid="{00000000-0005-0000-0000-0000612A0000}"/>
    <cellStyle name="20% - Accent4 3 2 2 2 2 3 4" xfId="32359" xr:uid="{00000000-0005-0000-0000-0000622A0000}"/>
    <cellStyle name="20% - Accent4 3 2 2 2 2 4" xfId="9714" xr:uid="{00000000-0005-0000-0000-0000632A0000}"/>
    <cellStyle name="20% - Accent4 3 2 2 2 2 4 2" xfId="22631" xr:uid="{00000000-0005-0000-0000-0000642A0000}"/>
    <cellStyle name="20% - Accent4 3 2 2 2 2 4 2 2" xfId="48505" xr:uid="{00000000-0005-0000-0000-0000652A0000}"/>
    <cellStyle name="20% - Accent4 3 2 2 2 2 4 3" xfId="35589" xr:uid="{00000000-0005-0000-0000-0000662A0000}"/>
    <cellStyle name="20% - Accent4 3 2 2 2 2 5" xfId="16173" xr:uid="{00000000-0005-0000-0000-0000672A0000}"/>
    <cellStyle name="20% - Accent4 3 2 2 2 2 5 2" xfId="42047" xr:uid="{00000000-0005-0000-0000-0000682A0000}"/>
    <cellStyle name="20% - Accent4 3 2 2 2 2 6" xfId="29099" xr:uid="{00000000-0005-0000-0000-0000692A0000}"/>
    <cellStyle name="20% - Accent4 3 2 2 2 3" xfId="4036" xr:uid="{00000000-0005-0000-0000-00006A2A0000}"/>
    <cellStyle name="20% - Accent4 3 2 2 2 3 2" xfId="7290" xr:uid="{00000000-0005-0000-0000-00006B2A0000}"/>
    <cellStyle name="20% - Accent4 3 2 2 2 3 2 2" xfId="13749" xr:uid="{00000000-0005-0000-0000-00006C2A0000}"/>
    <cellStyle name="20% - Accent4 3 2 2 2 3 2 2 2" xfId="26666" xr:uid="{00000000-0005-0000-0000-00006D2A0000}"/>
    <cellStyle name="20% - Accent4 3 2 2 2 3 2 2 2 2" xfId="52540" xr:uid="{00000000-0005-0000-0000-00006E2A0000}"/>
    <cellStyle name="20% - Accent4 3 2 2 2 3 2 2 3" xfId="39624" xr:uid="{00000000-0005-0000-0000-00006F2A0000}"/>
    <cellStyle name="20% - Accent4 3 2 2 2 3 2 3" xfId="20208" xr:uid="{00000000-0005-0000-0000-0000702A0000}"/>
    <cellStyle name="20% - Accent4 3 2 2 2 3 2 3 2" xfId="46082" xr:uid="{00000000-0005-0000-0000-0000712A0000}"/>
    <cellStyle name="20% - Accent4 3 2 2 2 3 2 4" xfId="33166" xr:uid="{00000000-0005-0000-0000-0000722A0000}"/>
    <cellStyle name="20% - Accent4 3 2 2 2 3 3" xfId="10521" xr:uid="{00000000-0005-0000-0000-0000732A0000}"/>
    <cellStyle name="20% - Accent4 3 2 2 2 3 3 2" xfId="23438" xr:uid="{00000000-0005-0000-0000-0000742A0000}"/>
    <cellStyle name="20% - Accent4 3 2 2 2 3 3 2 2" xfId="49312" xr:uid="{00000000-0005-0000-0000-0000752A0000}"/>
    <cellStyle name="20% - Accent4 3 2 2 2 3 3 3" xfId="36396" xr:uid="{00000000-0005-0000-0000-0000762A0000}"/>
    <cellStyle name="20% - Accent4 3 2 2 2 3 4" xfId="16980" xr:uid="{00000000-0005-0000-0000-0000772A0000}"/>
    <cellStyle name="20% - Accent4 3 2 2 2 3 4 2" xfId="42854" xr:uid="{00000000-0005-0000-0000-0000782A0000}"/>
    <cellStyle name="20% - Accent4 3 2 2 2 3 5" xfId="29906" xr:uid="{00000000-0005-0000-0000-0000792A0000}"/>
    <cellStyle name="20% - Accent4 3 2 2 2 4" xfId="5676" xr:uid="{00000000-0005-0000-0000-00007A2A0000}"/>
    <cellStyle name="20% - Accent4 3 2 2 2 4 2" xfId="12135" xr:uid="{00000000-0005-0000-0000-00007B2A0000}"/>
    <cellStyle name="20% - Accent4 3 2 2 2 4 2 2" xfId="25052" xr:uid="{00000000-0005-0000-0000-00007C2A0000}"/>
    <cellStyle name="20% - Accent4 3 2 2 2 4 2 2 2" xfId="50926" xr:uid="{00000000-0005-0000-0000-00007D2A0000}"/>
    <cellStyle name="20% - Accent4 3 2 2 2 4 2 3" xfId="38010" xr:uid="{00000000-0005-0000-0000-00007E2A0000}"/>
    <cellStyle name="20% - Accent4 3 2 2 2 4 3" xfId="18594" xr:uid="{00000000-0005-0000-0000-00007F2A0000}"/>
    <cellStyle name="20% - Accent4 3 2 2 2 4 3 2" xfId="44468" xr:uid="{00000000-0005-0000-0000-0000802A0000}"/>
    <cellStyle name="20% - Accent4 3 2 2 2 4 4" xfId="31552" xr:uid="{00000000-0005-0000-0000-0000812A0000}"/>
    <cellStyle name="20% - Accent4 3 2 2 2 5" xfId="8907" xr:uid="{00000000-0005-0000-0000-0000822A0000}"/>
    <cellStyle name="20% - Accent4 3 2 2 2 5 2" xfId="21824" xr:uid="{00000000-0005-0000-0000-0000832A0000}"/>
    <cellStyle name="20% - Accent4 3 2 2 2 5 2 2" xfId="47698" xr:uid="{00000000-0005-0000-0000-0000842A0000}"/>
    <cellStyle name="20% - Accent4 3 2 2 2 5 3" xfId="34782" xr:uid="{00000000-0005-0000-0000-0000852A0000}"/>
    <cellStyle name="20% - Accent4 3 2 2 2 6" xfId="15366" xr:uid="{00000000-0005-0000-0000-0000862A0000}"/>
    <cellStyle name="20% - Accent4 3 2 2 2 6 2" xfId="41240" xr:uid="{00000000-0005-0000-0000-0000872A0000}"/>
    <cellStyle name="20% - Accent4 3 2 2 2 7" xfId="28292" xr:uid="{00000000-0005-0000-0000-0000882A0000}"/>
    <cellStyle name="20% - Accent4 3 2 2 2 8" xfId="54154" xr:uid="{00000000-0005-0000-0000-0000892A0000}"/>
    <cellStyle name="20% - Accent4 3 2 2 2 9" xfId="2396" xr:uid="{00000000-0005-0000-0000-00008A2A0000}"/>
    <cellStyle name="20% - Accent4 3 2 2 3" xfId="579" xr:uid="{00000000-0005-0000-0000-00008B2A0000}"/>
    <cellStyle name="20% - Accent4 3 2 2 3 2" xfId="4462" xr:uid="{00000000-0005-0000-0000-00008C2A0000}"/>
    <cellStyle name="20% - Accent4 3 2 2 3 2 2" xfId="7693" xr:uid="{00000000-0005-0000-0000-00008D2A0000}"/>
    <cellStyle name="20% - Accent4 3 2 2 3 2 2 2" xfId="14152" xr:uid="{00000000-0005-0000-0000-00008E2A0000}"/>
    <cellStyle name="20% - Accent4 3 2 2 3 2 2 2 2" xfId="27069" xr:uid="{00000000-0005-0000-0000-00008F2A0000}"/>
    <cellStyle name="20% - Accent4 3 2 2 3 2 2 2 2 2" xfId="52943" xr:uid="{00000000-0005-0000-0000-0000902A0000}"/>
    <cellStyle name="20% - Accent4 3 2 2 3 2 2 2 3" xfId="40027" xr:uid="{00000000-0005-0000-0000-0000912A0000}"/>
    <cellStyle name="20% - Accent4 3 2 2 3 2 2 3" xfId="20611" xr:uid="{00000000-0005-0000-0000-0000922A0000}"/>
    <cellStyle name="20% - Accent4 3 2 2 3 2 2 3 2" xfId="46485" xr:uid="{00000000-0005-0000-0000-0000932A0000}"/>
    <cellStyle name="20% - Accent4 3 2 2 3 2 2 4" xfId="33569" xr:uid="{00000000-0005-0000-0000-0000942A0000}"/>
    <cellStyle name="20% - Accent4 3 2 2 3 2 3" xfId="10924" xr:uid="{00000000-0005-0000-0000-0000952A0000}"/>
    <cellStyle name="20% - Accent4 3 2 2 3 2 3 2" xfId="23841" xr:uid="{00000000-0005-0000-0000-0000962A0000}"/>
    <cellStyle name="20% - Accent4 3 2 2 3 2 3 2 2" xfId="49715" xr:uid="{00000000-0005-0000-0000-0000972A0000}"/>
    <cellStyle name="20% - Accent4 3 2 2 3 2 3 3" xfId="36799" xr:uid="{00000000-0005-0000-0000-0000982A0000}"/>
    <cellStyle name="20% - Accent4 3 2 2 3 2 4" xfId="17383" xr:uid="{00000000-0005-0000-0000-0000992A0000}"/>
    <cellStyle name="20% - Accent4 3 2 2 3 2 4 2" xfId="43257" xr:uid="{00000000-0005-0000-0000-00009A2A0000}"/>
    <cellStyle name="20% - Accent4 3 2 2 3 2 5" xfId="30309" xr:uid="{00000000-0005-0000-0000-00009B2A0000}"/>
    <cellStyle name="20% - Accent4 3 2 2 3 3" xfId="6079" xr:uid="{00000000-0005-0000-0000-00009C2A0000}"/>
    <cellStyle name="20% - Accent4 3 2 2 3 3 2" xfId="12538" xr:uid="{00000000-0005-0000-0000-00009D2A0000}"/>
    <cellStyle name="20% - Accent4 3 2 2 3 3 2 2" xfId="25455" xr:uid="{00000000-0005-0000-0000-00009E2A0000}"/>
    <cellStyle name="20% - Accent4 3 2 2 3 3 2 2 2" xfId="51329" xr:uid="{00000000-0005-0000-0000-00009F2A0000}"/>
    <cellStyle name="20% - Accent4 3 2 2 3 3 2 3" xfId="38413" xr:uid="{00000000-0005-0000-0000-0000A02A0000}"/>
    <cellStyle name="20% - Accent4 3 2 2 3 3 3" xfId="18997" xr:uid="{00000000-0005-0000-0000-0000A12A0000}"/>
    <cellStyle name="20% - Accent4 3 2 2 3 3 3 2" xfId="44871" xr:uid="{00000000-0005-0000-0000-0000A22A0000}"/>
    <cellStyle name="20% - Accent4 3 2 2 3 3 4" xfId="31955" xr:uid="{00000000-0005-0000-0000-0000A32A0000}"/>
    <cellStyle name="20% - Accent4 3 2 2 3 4" xfId="9310" xr:uid="{00000000-0005-0000-0000-0000A42A0000}"/>
    <cellStyle name="20% - Accent4 3 2 2 3 4 2" xfId="22227" xr:uid="{00000000-0005-0000-0000-0000A52A0000}"/>
    <cellStyle name="20% - Accent4 3 2 2 3 4 2 2" xfId="48101" xr:uid="{00000000-0005-0000-0000-0000A62A0000}"/>
    <cellStyle name="20% - Accent4 3 2 2 3 4 3" xfId="35185" xr:uid="{00000000-0005-0000-0000-0000A72A0000}"/>
    <cellStyle name="20% - Accent4 3 2 2 3 5" xfId="15769" xr:uid="{00000000-0005-0000-0000-0000A82A0000}"/>
    <cellStyle name="20% - Accent4 3 2 2 3 5 2" xfId="41643" xr:uid="{00000000-0005-0000-0000-0000A92A0000}"/>
    <cellStyle name="20% - Accent4 3 2 2 3 6" xfId="28695" xr:uid="{00000000-0005-0000-0000-0000AA2A0000}"/>
    <cellStyle name="20% - Accent4 3 2 2 3 7" xfId="2805" xr:uid="{00000000-0005-0000-0000-0000AB2A0000}"/>
    <cellStyle name="20% - Accent4 3 2 2 4" xfId="3632" xr:uid="{00000000-0005-0000-0000-0000AC2A0000}"/>
    <cellStyle name="20% - Accent4 3 2 2 4 2" xfId="6886" xr:uid="{00000000-0005-0000-0000-0000AD2A0000}"/>
    <cellStyle name="20% - Accent4 3 2 2 4 2 2" xfId="13345" xr:uid="{00000000-0005-0000-0000-0000AE2A0000}"/>
    <cellStyle name="20% - Accent4 3 2 2 4 2 2 2" xfId="26262" xr:uid="{00000000-0005-0000-0000-0000AF2A0000}"/>
    <cellStyle name="20% - Accent4 3 2 2 4 2 2 2 2" xfId="52136" xr:uid="{00000000-0005-0000-0000-0000B02A0000}"/>
    <cellStyle name="20% - Accent4 3 2 2 4 2 2 3" xfId="39220" xr:uid="{00000000-0005-0000-0000-0000B12A0000}"/>
    <cellStyle name="20% - Accent4 3 2 2 4 2 3" xfId="19804" xr:uid="{00000000-0005-0000-0000-0000B22A0000}"/>
    <cellStyle name="20% - Accent4 3 2 2 4 2 3 2" xfId="45678" xr:uid="{00000000-0005-0000-0000-0000B32A0000}"/>
    <cellStyle name="20% - Accent4 3 2 2 4 2 4" xfId="32762" xr:uid="{00000000-0005-0000-0000-0000B42A0000}"/>
    <cellStyle name="20% - Accent4 3 2 2 4 3" xfId="10117" xr:uid="{00000000-0005-0000-0000-0000B52A0000}"/>
    <cellStyle name="20% - Accent4 3 2 2 4 3 2" xfId="23034" xr:uid="{00000000-0005-0000-0000-0000B62A0000}"/>
    <cellStyle name="20% - Accent4 3 2 2 4 3 2 2" xfId="48908" xr:uid="{00000000-0005-0000-0000-0000B72A0000}"/>
    <cellStyle name="20% - Accent4 3 2 2 4 3 3" xfId="35992" xr:uid="{00000000-0005-0000-0000-0000B82A0000}"/>
    <cellStyle name="20% - Accent4 3 2 2 4 4" xfId="16576" xr:uid="{00000000-0005-0000-0000-0000B92A0000}"/>
    <cellStyle name="20% - Accent4 3 2 2 4 4 2" xfId="42450" xr:uid="{00000000-0005-0000-0000-0000BA2A0000}"/>
    <cellStyle name="20% - Accent4 3 2 2 4 5" xfId="29502" xr:uid="{00000000-0005-0000-0000-0000BB2A0000}"/>
    <cellStyle name="20% - Accent4 3 2 2 5" xfId="5272" xr:uid="{00000000-0005-0000-0000-0000BC2A0000}"/>
    <cellStyle name="20% - Accent4 3 2 2 5 2" xfId="11731" xr:uid="{00000000-0005-0000-0000-0000BD2A0000}"/>
    <cellStyle name="20% - Accent4 3 2 2 5 2 2" xfId="24648" xr:uid="{00000000-0005-0000-0000-0000BE2A0000}"/>
    <cellStyle name="20% - Accent4 3 2 2 5 2 2 2" xfId="50522" xr:uid="{00000000-0005-0000-0000-0000BF2A0000}"/>
    <cellStyle name="20% - Accent4 3 2 2 5 2 3" xfId="37606" xr:uid="{00000000-0005-0000-0000-0000C02A0000}"/>
    <cellStyle name="20% - Accent4 3 2 2 5 3" xfId="18190" xr:uid="{00000000-0005-0000-0000-0000C12A0000}"/>
    <cellStyle name="20% - Accent4 3 2 2 5 3 2" xfId="44064" xr:uid="{00000000-0005-0000-0000-0000C22A0000}"/>
    <cellStyle name="20% - Accent4 3 2 2 5 4" xfId="31148" xr:uid="{00000000-0005-0000-0000-0000C32A0000}"/>
    <cellStyle name="20% - Accent4 3 2 2 6" xfId="8503" xr:uid="{00000000-0005-0000-0000-0000C42A0000}"/>
    <cellStyle name="20% - Accent4 3 2 2 6 2" xfId="21420" xr:uid="{00000000-0005-0000-0000-0000C52A0000}"/>
    <cellStyle name="20% - Accent4 3 2 2 6 2 2" xfId="47294" xr:uid="{00000000-0005-0000-0000-0000C62A0000}"/>
    <cellStyle name="20% - Accent4 3 2 2 6 3" xfId="34378" xr:uid="{00000000-0005-0000-0000-0000C72A0000}"/>
    <cellStyle name="20% - Accent4 3 2 2 7" xfId="14962" xr:uid="{00000000-0005-0000-0000-0000C82A0000}"/>
    <cellStyle name="20% - Accent4 3 2 2 7 2" xfId="40836" xr:uid="{00000000-0005-0000-0000-0000C92A0000}"/>
    <cellStyle name="20% - Accent4 3 2 2 8" xfId="27887" xr:uid="{00000000-0005-0000-0000-0000CA2A0000}"/>
    <cellStyle name="20% - Accent4 3 2 2 9" xfId="53750" xr:uid="{00000000-0005-0000-0000-0000CB2A0000}"/>
    <cellStyle name="20% - Accent4 3 2 3" xfId="581" xr:uid="{00000000-0005-0000-0000-0000CC2A0000}"/>
    <cellStyle name="20% - Accent4 3 2 3 2" xfId="3014" xr:uid="{00000000-0005-0000-0000-0000CD2A0000}"/>
    <cellStyle name="20% - Accent4 3 2 3 2 2" xfId="4671" xr:uid="{00000000-0005-0000-0000-0000CE2A0000}"/>
    <cellStyle name="20% - Accent4 3 2 3 2 2 2" xfId="7902" xr:uid="{00000000-0005-0000-0000-0000CF2A0000}"/>
    <cellStyle name="20% - Accent4 3 2 3 2 2 2 2" xfId="14361" xr:uid="{00000000-0005-0000-0000-0000D02A0000}"/>
    <cellStyle name="20% - Accent4 3 2 3 2 2 2 2 2" xfId="27278" xr:uid="{00000000-0005-0000-0000-0000D12A0000}"/>
    <cellStyle name="20% - Accent4 3 2 3 2 2 2 2 2 2" xfId="53152" xr:uid="{00000000-0005-0000-0000-0000D22A0000}"/>
    <cellStyle name="20% - Accent4 3 2 3 2 2 2 2 3" xfId="40236" xr:uid="{00000000-0005-0000-0000-0000D32A0000}"/>
    <cellStyle name="20% - Accent4 3 2 3 2 2 2 3" xfId="20820" xr:uid="{00000000-0005-0000-0000-0000D42A0000}"/>
    <cellStyle name="20% - Accent4 3 2 3 2 2 2 3 2" xfId="46694" xr:uid="{00000000-0005-0000-0000-0000D52A0000}"/>
    <cellStyle name="20% - Accent4 3 2 3 2 2 2 4" xfId="33778" xr:uid="{00000000-0005-0000-0000-0000D62A0000}"/>
    <cellStyle name="20% - Accent4 3 2 3 2 2 3" xfId="11133" xr:uid="{00000000-0005-0000-0000-0000D72A0000}"/>
    <cellStyle name="20% - Accent4 3 2 3 2 2 3 2" xfId="24050" xr:uid="{00000000-0005-0000-0000-0000D82A0000}"/>
    <cellStyle name="20% - Accent4 3 2 3 2 2 3 2 2" xfId="49924" xr:uid="{00000000-0005-0000-0000-0000D92A0000}"/>
    <cellStyle name="20% - Accent4 3 2 3 2 2 3 3" xfId="37008" xr:uid="{00000000-0005-0000-0000-0000DA2A0000}"/>
    <cellStyle name="20% - Accent4 3 2 3 2 2 4" xfId="17592" xr:uid="{00000000-0005-0000-0000-0000DB2A0000}"/>
    <cellStyle name="20% - Accent4 3 2 3 2 2 4 2" xfId="43466" xr:uid="{00000000-0005-0000-0000-0000DC2A0000}"/>
    <cellStyle name="20% - Accent4 3 2 3 2 2 5" xfId="30518" xr:uid="{00000000-0005-0000-0000-0000DD2A0000}"/>
    <cellStyle name="20% - Accent4 3 2 3 2 3" xfId="6288" xr:uid="{00000000-0005-0000-0000-0000DE2A0000}"/>
    <cellStyle name="20% - Accent4 3 2 3 2 3 2" xfId="12747" xr:uid="{00000000-0005-0000-0000-0000DF2A0000}"/>
    <cellStyle name="20% - Accent4 3 2 3 2 3 2 2" xfId="25664" xr:uid="{00000000-0005-0000-0000-0000E02A0000}"/>
    <cellStyle name="20% - Accent4 3 2 3 2 3 2 2 2" xfId="51538" xr:uid="{00000000-0005-0000-0000-0000E12A0000}"/>
    <cellStyle name="20% - Accent4 3 2 3 2 3 2 3" xfId="38622" xr:uid="{00000000-0005-0000-0000-0000E22A0000}"/>
    <cellStyle name="20% - Accent4 3 2 3 2 3 3" xfId="19206" xr:uid="{00000000-0005-0000-0000-0000E32A0000}"/>
    <cellStyle name="20% - Accent4 3 2 3 2 3 3 2" xfId="45080" xr:uid="{00000000-0005-0000-0000-0000E42A0000}"/>
    <cellStyle name="20% - Accent4 3 2 3 2 3 4" xfId="32164" xr:uid="{00000000-0005-0000-0000-0000E52A0000}"/>
    <cellStyle name="20% - Accent4 3 2 3 2 4" xfId="9519" xr:uid="{00000000-0005-0000-0000-0000E62A0000}"/>
    <cellStyle name="20% - Accent4 3 2 3 2 4 2" xfId="22436" xr:uid="{00000000-0005-0000-0000-0000E72A0000}"/>
    <cellStyle name="20% - Accent4 3 2 3 2 4 2 2" xfId="48310" xr:uid="{00000000-0005-0000-0000-0000E82A0000}"/>
    <cellStyle name="20% - Accent4 3 2 3 2 4 3" xfId="35394" xr:uid="{00000000-0005-0000-0000-0000E92A0000}"/>
    <cellStyle name="20% - Accent4 3 2 3 2 5" xfId="15978" xr:uid="{00000000-0005-0000-0000-0000EA2A0000}"/>
    <cellStyle name="20% - Accent4 3 2 3 2 5 2" xfId="41852" xr:uid="{00000000-0005-0000-0000-0000EB2A0000}"/>
    <cellStyle name="20% - Accent4 3 2 3 2 6" xfId="28904" xr:uid="{00000000-0005-0000-0000-0000EC2A0000}"/>
    <cellStyle name="20% - Accent4 3 2 3 3" xfId="3841" xr:uid="{00000000-0005-0000-0000-0000ED2A0000}"/>
    <cellStyle name="20% - Accent4 3 2 3 3 2" xfId="7095" xr:uid="{00000000-0005-0000-0000-0000EE2A0000}"/>
    <cellStyle name="20% - Accent4 3 2 3 3 2 2" xfId="13554" xr:uid="{00000000-0005-0000-0000-0000EF2A0000}"/>
    <cellStyle name="20% - Accent4 3 2 3 3 2 2 2" xfId="26471" xr:uid="{00000000-0005-0000-0000-0000F02A0000}"/>
    <cellStyle name="20% - Accent4 3 2 3 3 2 2 2 2" xfId="52345" xr:uid="{00000000-0005-0000-0000-0000F12A0000}"/>
    <cellStyle name="20% - Accent4 3 2 3 3 2 2 3" xfId="39429" xr:uid="{00000000-0005-0000-0000-0000F22A0000}"/>
    <cellStyle name="20% - Accent4 3 2 3 3 2 3" xfId="20013" xr:uid="{00000000-0005-0000-0000-0000F32A0000}"/>
    <cellStyle name="20% - Accent4 3 2 3 3 2 3 2" xfId="45887" xr:uid="{00000000-0005-0000-0000-0000F42A0000}"/>
    <cellStyle name="20% - Accent4 3 2 3 3 2 4" xfId="32971" xr:uid="{00000000-0005-0000-0000-0000F52A0000}"/>
    <cellStyle name="20% - Accent4 3 2 3 3 3" xfId="10326" xr:uid="{00000000-0005-0000-0000-0000F62A0000}"/>
    <cellStyle name="20% - Accent4 3 2 3 3 3 2" xfId="23243" xr:uid="{00000000-0005-0000-0000-0000F72A0000}"/>
    <cellStyle name="20% - Accent4 3 2 3 3 3 2 2" xfId="49117" xr:uid="{00000000-0005-0000-0000-0000F82A0000}"/>
    <cellStyle name="20% - Accent4 3 2 3 3 3 3" xfId="36201" xr:uid="{00000000-0005-0000-0000-0000F92A0000}"/>
    <cellStyle name="20% - Accent4 3 2 3 3 4" xfId="16785" xr:uid="{00000000-0005-0000-0000-0000FA2A0000}"/>
    <cellStyle name="20% - Accent4 3 2 3 3 4 2" xfId="42659" xr:uid="{00000000-0005-0000-0000-0000FB2A0000}"/>
    <cellStyle name="20% - Accent4 3 2 3 3 5" xfId="29711" xr:uid="{00000000-0005-0000-0000-0000FC2A0000}"/>
    <cellStyle name="20% - Accent4 3 2 3 4" xfId="5481" xr:uid="{00000000-0005-0000-0000-0000FD2A0000}"/>
    <cellStyle name="20% - Accent4 3 2 3 4 2" xfId="11940" xr:uid="{00000000-0005-0000-0000-0000FE2A0000}"/>
    <cellStyle name="20% - Accent4 3 2 3 4 2 2" xfId="24857" xr:uid="{00000000-0005-0000-0000-0000FF2A0000}"/>
    <cellStyle name="20% - Accent4 3 2 3 4 2 2 2" xfId="50731" xr:uid="{00000000-0005-0000-0000-0000002B0000}"/>
    <cellStyle name="20% - Accent4 3 2 3 4 2 3" xfId="37815" xr:uid="{00000000-0005-0000-0000-0000012B0000}"/>
    <cellStyle name="20% - Accent4 3 2 3 4 3" xfId="18399" xr:uid="{00000000-0005-0000-0000-0000022B0000}"/>
    <cellStyle name="20% - Accent4 3 2 3 4 3 2" xfId="44273" xr:uid="{00000000-0005-0000-0000-0000032B0000}"/>
    <cellStyle name="20% - Accent4 3 2 3 4 4" xfId="31357" xr:uid="{00000000-0005-0000-0000-0000042B0000}"/>
    <cellStyle name="20% - Accent4 3 2 3 5" xfId="8712" xr:uid="{00000000-0005-0000-0000-0000052B0000}"/>
    <cellStyle name="20% - Accent4 3 2 3 5 2" xfId="21629" xr:uid="{00000000-0005-0000-0000-0000062B0000}"/>
    <cellStyle name="20% - Accent4 3 2 3 5 2 2" xfId="47503" xr:uid="{00000000-0005-0000-0000-0000072B0000}"/>
    <cellStyle name="20% - Accent4 3 2 3 5 3" xfId="34587" xr:uid="{00000000-0005-0000-0000-0000082B0000}"/>
    <cellStyle name="20% - Accent4 3 2 3 6" xfId="15171" xr:uid="{00000000-0005-0000-0000-0000092B0000}"/>
    <cellStyle name="20% - Accent4 3 2 3 6 2" xfId="41045" xr:uid="{00000000-0005-0000-0000-00000A2B0000}"/>
    <cellStyle name="20% - Accent4 3 2 3 7" xfId="28097" xr:uid="{00000000-0005-0000-0000-00000B2B0000}"/>
    <cellStyle name="20% - Accent4 3 2 3 8" xfId="53959" xr:uid="{00000000-0005-0000-0000-00000C2B0000}"/>
    <cellStyle name="20% - Accent4 3 2 3 9" xfId="2200" xr:uid="{00000000-0005-0000-0000-00000D2B0000}"/>
    <cellStyle name="20% - Accent4 3 2 4" xfId="578" xr:uid="{00000000-0005-0000-0000-00000E2B0000}"/>
    <cellStyle name="20% - Accent4 3 2 4 2" xfId="4268" xr:uid="{00000000-0005-0000-0000-00000F2B0000}"/>
    <cellStyle name="20% - Accent4 3 2 4 2 2" xfId="7499" xr:uid="{00000000-0005-0000-0000-0000102B0000}"/>
    <cellStyle name="20% - Accent4 3 2 4 2 2 2" xfId="13958" xr:uid="{00000000-0005-0000-0000-0000112B0000}"/>
    <cellStyle name="20% - Accent4 3 2 4 2 2 2 2" xfId="26875" xr:uid="{00000000-0005-0000-0000-0000122B0000}"/>
    <cellStyle name="20% - Accent4 3 2 4 2 2 2 2 2" xfId="52749" xr:uid="{00000000-0005-0000-0000-0000132B0000}"/>
    <cellStyle name="20% - Accent4 3 2 4 2 2 2 3" xfId="39833" xr:uid="{00000000-0005-0000-0000-0000142B0000}"/>
    <cellStyle name="20% - Accent4 3 2 4 2 2 3" xfId="20417" xr:uid="{00000000-0005-0000-0000-0000152B0000}"/>
    <cellStyle name="20% - Accent4 3 2 4 2 2 3 2" xfId="46291" xr:uid="{00000000-0005-0000-0000-0000162B0000}"/>
    <cellStyle name="20% - Accent4 3 2 4 2 2 4" xfId="33375" xr:uid="{00000000-0005-0000-0000-0000172B0000}"/>
    <cellStyle name="20% - Accent4 3 2 4 2 3" xfId="10730" xr:uid="{00000000-0005-0000-0000-0000182B0000}"/>
    <cellStyle name="20% - Accent4 3 2 4 2 3 2" xfId="23647" xr:uid="{00000000-0005-0000-0000-0000192B0000}"/>
    <cellStyle name="20% - Accent4 3 2 4 2 3 2 2" xfId="49521" xr:uid="{00000000-0005-0000-0000-00001A2B0000}"/>
    <cellStyle name="20% - Accent4 3 2 4 2 3 3" xfId="36605" xr:uid="{00000000-0005-0000-0000-00001B2B0000}"/>
    <cellStyle name="20% - Accent4 3 2 4 2 4" xfId="17189" xr:uid="{00000000-0005-0000-0000-00001C2B0000}"/>
    <cellStyle name="20% - Accent4 3 2 4 2 4 2" xfId="43063" xr:uid="{00000000-0005-0000-0000-00001D2B0000}"/>
    <cellStyle name="20% - Accent4 3 2 4 2 5" xfId="30115" xr:uid="{00000000-0005-0000-0000-00001E2B0000}"/>
    <cellStyle name="20% - Accent4 3 2 4 3" xfId="5885" xr:uid="{00000000-0005-0000-0000-00001F2B0000}"/>
    <cellStyle name="20% - Accent4 3 2 4 3 2" xfId="12344" xr:uid="{00000000-0005-0000-0000-0000202B0000}"/>
    <cellStyle name="20% - Accent4 3 2 4 3 2 2" xfId="25261" xr:uid="{00000000-0005-0000-0000-0000212B0000}"/>
    <cellStyle name="20% - Accent4 3 2 4 3 2 2 2" xfId="51135" xr:uid="{00000000-0005-0000-0000-0000222B0000}"/>
    <cellStyle name="20% - Accent4 3 2 4 3 2 3" xfId="38219" xr:uid="{00000000-0005-0000-0000-0000232B0000}"/>
    <cellStyle name="20% - Accent4 3 2 4 3 3" xfId="18803" xr:uid="{00000000-0005-0000-0000-0000242B0000}"/>
    <cellStyle name="20% - Accent4 3 2 4 3 3 2" xfId="44677" xr:uid="{00000000-0005-0000-0000-0000252B0000}"/>
    <cellStyle name="20% - Accent4 3 2 4 3 4" xfId="31761" xr:uid="{00000000-0005-0000-0000-0000262B0000}"/>
    <cellStyle name="20% - Accent4 3 2 4 4" xfId="9116" xr:uid="{00000000-0005-0000-0000-0000272B0000}"/>
    <cellStyle name="20% - Accent4 3 2 4 4 2" xfId="22033" xr:uid="{00000000-0005-0000-0000-0000282B0000}"/>
    <cellStyle name="20% - Accent4 3 2 4 4 2 2" xfId="47907" xr:uid="{00000000-0005-0000-0000-0000292B0000}"/>
    <cellStyle name="20% - Accent4 3 2 4 4 3" xfId="34991" xr:uid="{00000000-0005-0000-0000-00002A2B0000}"/>
    <cellStyle name="20% - Accent4 3 2 4 5" xfId="15575" xr:uid="{00000000-0005-0000-0000-00002B2B0000}"/>
    <cellStyle name="20% - Accent4 3 2 4 5 2" xfId="41449" xr:uid="{00000000-0005-0000-0000-00002C2B0000}"/>
    <cellStyle name="20% - Accent4 3 2 4 6" xfId="28501" xr:uid="{00000000-0005-0000-0000-00002D2B0000}"/>
    <cellStyle name="20% - Accent4 3 2 4 7" xfId="2611" xr:uid="{00000000-0005-0000-0000-00002E2B0000}"/>
    <cellStyle name="20% - Accent4 3 2 5" xfId="3438" xr:uid="{00000000-0005-0000-0000-00002F2B0000}"/>
    <cellStyle name="20% - Accent4 3 2 5 2" xfId="6692" xr:uid="{00000000-0005-0000-0000-0000302B0000}"/>
    <cellStyle name="20% - Accent4 3 2 5 2 2" xfId="13151" xr:uid="{00000000-0005-0000-0000-0000312B0000}"/>
    <cellStyle name="20% - Accent4 3 2 5 2 2 2" xfId="26068" xr:uid="{00000000-0005-0000-0000-0000322B0000}"/>
    <cellStyle name="20% - Accent4 3 2 5 2 2 2 2" xfId="51942" xr:uid="{00000000-0005-0000-0000-0000332B0000}"/>
    <cellStyle name="20% - Accent4 3 2 5 2 2 3" xfId="39026" xr:uid="{00000000-0005-0000-0000-0000342B0000}"/>
    <cellStyle name="20% - Accent4 3 2 5 2 3" xfId="19610" xr:uid="{00000000-0005-0000-0000-0000352B0000}"/>
    <cellStyle name="20% - Accent4 3 2 5 2 3 2" xfId="45484" xr:uid="{00000000-0005-0000-0000-0000362B0000}"/>
    <cellStyle name="20% - Accent4 3 2 5 2 4" xfId="32568" xr:uid="{00000000-0005-0000-0000-0000372B0000}"/>
    <cellStyle name="20% - Accent4 3 2 5 3" xfId="9923" xr:uid="{00000000-0005-0000-0000-0000382B0000}"/>
    <cellStyle name="20% - Accent4 3 2 5 3 2" xfId="22840" xr:uid="{00000000-0005-0000-0000-0000392B0000}"/>
    <cellStyle name="20% - Accent4 3 2 5 3 2 2" xfId="48714" xr:uid="{00000000-0005-0000-0000-00003A2B0000}"/>
    <cellStyle name="20% - Accent4 3 2 5 3 3" xfId="35798" xr:uid="{00000000-0005-0000-0000-00003B2B0000}"/>
    <cellStyle name="20% - Accent4 3 2 5 4" xfId="16382" xr:uid="{00000000-0005-0000-0000-00003C2B0000}"/>
    <cellStyle name="20% - Accent4 3 2 5 4 2" xfId="42256" xr:uid="{00000000-0005-0000-0000-00003D2B0000}"/>
    <cellStyle name="20% - Accent4 3 2 5 5" xfId="29308" xr:uid="{00000000-0005-0000-0000-00003E2B0000}"/>
    <cellStyle name="20% - Accent4 3 2 6" xfId="5078" xr:uid="{00000000-0005-0000-0000-00003F2B0000}"/>
    <cellStyle name="20% - Accent4 3 2 6 2" xfId="11537" xr:uid="{00000000-0005-0000-0000-0000402B0000}"/>
    <cellStyle name="20% - Accent4 3 2 6 2 2" xfId="24454" xr:uid="{00000000-0005-0000-0000-0000412B0000}"/>
    <cellStyle name="20% - Accent4 3 2 6 2 2 2" xfId="50328" xr:uid="{00000000-0005-0000-0000-0000422B0000}"/>
    <cellStyle name="20% - Accent4 3 2 6 2 3" xfId="37412" xr:uid="{00000000-0005-0000-0000-0000432B0000}"/>
    <cellStyle name="20% - Accent4 3 2 6 3" xfId="17996" xr:uid="{00000000-0005-0000-0000-0000442B0000}"/>
    <cellStyle name="20% - Accent4 3 2 6 3 2" xfId="43870" xr:uid="{00000000-0005-0000-0000-0000452B0000}"/>
    <cellStyle name="20% - Accent4 3 2 6 4" xfId="30954" xr:uid="{00000000-0005-0000-0000-0000462B0000}"/>
    <cellStyle name="20% - Accent4 3 2 7" xfId="8308" xr:uid="{00000000-0005-0000-0000-0000472B0000}"/>
    <cellStyle name="20% - Accent4 3 2 7 2" xfId="21225" xr:uid="{00000000-0005-0000-0000-0000482B0000}"/>
    <cellStyle name="20% - Accent4 3 2 7 2 2" xfId="47099" xr:uid="{00000000-0005-0000-0000-0000492B0000}"/>
    <cellStyle name="20% - Accent4 3 2 7 3" xfId="34183" xr:uid="{00000000-0005-0000-0000-00004A2B0000}"/>
    <cellStyle name="20% - Accent4 3 2 8" xfId="14767" xr:uid="{00000000-0005-0000-0000-00004B2B0000}"/>
    <cellStyle name="20% - Accent4 3 2 8 2" xfId="40641" xr:uid="{00000000-0005-0000-0000-00004C2B0000}"/>
    <cellStyle name="20% - Accent4 3 2 9" xfId="27691" xr:uid="{00000000-0005-0000-0000-00004D2B0000}"/>
    <cellStyle name="20% - Accent4 3 3" xfId="326" xr:uid="{00000000-0005-0000-0000-00004E2B0000}"/>
    <cellStyle name="20% - Accent4 3 3 10" xfId="53522" xr:uid="{00000000-0005-0000-0000-00004F2B0000}"/>
    <cellStyle name="20% - Accent4 3 3 11" xfId="1605" xr:uid="{00000000-0005-0000-0000-0000502B0000}"/>
    <cellStyle name="20% - Accent4 3 3 2" xfId="463" xr:uid="{00000000-0005-0000-0000-0000512B0000}"/>
    <cellStyle name="20% - Accent4 3 3 2 10" xfId="1931" xr:uid="{00000000-0005-0000-0000-0000522B0000}"/>
    <cellStyle name="20% - Accent4 3 3 2 2" xfId="584" xr:uid="{00000000-0005-0000-0000-0000532B0000}"/>
    <cellStyle name="20% - Accent4 3 3 2 2 2" xfId="3175" xr:uid="{00000000-0005-0000-0000-0000542B0000}"/>
    <cellStyle name="20% - Accent4 3 3 2 2 2 2" xfId="4832" xr:uid="{00000000-0005-0000-0000-0000552B0000}"/>
    <cellStyle name="20% - Accent4 3 3 2 2 2 2 2" xfId="8063" xr:uid="{00000000-0005-0000-0000-0000562B0000}"/>
    <cellStyle name="20% - Accent4 3 3 2 2 2 2 2 2" xfId="14522" xr:uid="{00000000-0005-0000-0000-0000572B0000}"/>
    <cellStyle name="20% - Accent4 3 3 2 2 2 2 2 2 2" xfId="27439" xr:uid="{00000000-0005-0000-0000-0000582B0000}"/>
    <cellStyle name="20% - Accent4 3 3 2 2 2 2 2 2 2 2" xfId="53313" xr:uid="{00000000-0005-0000-0000-0000592B0000}"/>
    <cellStyle name="20% - Accent4 3 3 2 2 2 2 2 2 3" xfId="40397" xr:uid="{00000000-0005-0000-0000-00005A2B0000}"/>
    <cellStyle name="20% - Accent4 3 3 2 2 2 2 2 3" xfId="20981" xr:uid="{00000000-0005-0000-0000-00005B2B0000}"/>
    <cellStyle name="20% - Accent4 3 3 2 2 2 2 2 3 2" xfId="46855" xr:uid="{00000000-0005-0000-0000-00005C2B0000}"/>
    <cellStyle name="20% - Accent4 3 3 2 2 2 2 2 4" xfId="33939" xr:uid="{00000000-0005-0000-0000-00005D2B0000}"/>
    <cellStyle name="20% - Accent4 3 3 2 2 2 2 3" xfId="11294" xr:uid="{00000000-0005-0000-0000-00005E2B0000}"/>
    <cellStyle name="20% - Accent4 3 3 2 2 2 2 3 2" xfId="24211" xr:uid="{00000000-0005-0000-0000-00005F2B0000}"/>
    <cellStyle name="20% - Accent4 3 3 2 2 2 2 3 2 2" xfId="50085" xr:uid="{00000000-0005-0000-0000-0000602B0000}"/>
    <cellStyle name="20% - Accent4 3 3 2 2 2 2 3 3" xfId="37169" xr:uid="{00000000-0005-0000-0000-0000612B0000}"/>
    <cellStyle name="20% - Accent4 3 3 2 2 2 2 4" xfId="17753" xr:uid="{00000000-0005-0000-0000-0000622B0000}"/>
    <cellStyle name="20% - Accent4 3 3 2 2 2 2 4 2" xfId="43627" xr:uid="{00000000-0005-0000-0000-0000632B0000}"/>
    <cellStyle name="20% - Accent4 3 3 2 2 2 2 5" xfId="30679" xr:uid="{00000000-0005-0000-0000-0000642B0000}"/>
    <cellStyle name="20% - Accent4 3 3 2 2 2 3" xfId="6449" xr:uid="{00000000-0005-0000-0000-0000652B0000}"/>
    <cellStyle name="20% - Accent4 3 3 2 2 2 3 2" xfId="12908" xr:uid="{00000000-0005-0000-0000-0000662B0000}"/>
    <cellStyle name="20% - Accent4 3 3 2 2 2 3 2 2" xfId="25825" xr:uid="{00000000-0005-0000-0000-0000672B0000}"/>
    <cellStyle name="20% - Accent4 3 3 2 2 2 3 2 2 2" xfId="51699" xr:uid="{00000000-0005-0000-0000-0000682B0000}"/>
    <cellStyle name="20% - Accent4 3 3 2 2 2 3 2 3" xfId="38783" xr:uid="{00000000-0005-0000-0000-0000692B0000}"/>
    <cellStyle name="20% - Accent4 3 3 2 2 2 3 3" xfId="19367" xr:uid="{00000000-0005-0000-0000-00006A2B0000}"/>
    <cellStyle name="20% - Accent4 3 3 2 2 2 3 3 2" xfId="45241" xr:uid="{00000000-0005-0000-0000-00006B2B0000}"/>
    <cellStyle name="20% - Accent4 3 3 2 2 2 3 4" xfId="32325" xr:uid="{00000000-0005-0000-0000-00006C2B0000}"/>
    <cellStyle name="20% - Accent4 3 3 2 2 2 4" xfId="9680" xr:uid="{00000000-0005-0000-0000-00006D2B0000}"/>
    <cellStyle name="20% - Accent4 3 3 2 2 2 4 2" xfId="22597" xr:uid="{00000000-0005-0000-0000-00006E2B0000}"/>
    <cellStyle name="20% - Accent4 3 3 2 2 2 4 2 2" xfId="48471" xr:uid="{00000000-0005-0000-0000-00006F2B0000}"/>
    <cellStyle name="20% - Accent4 3 3 2 2 2 4 3" xfId="35555" xr:uid="{00000000-0005-0000-0000-0000702B0000}"/>
    <cellStyle name="20% - Accent4 3 3 2 2 2 5" xfId="16139" xr:uid="{00000000-0005-0000-0000-0000712B0000}"/>
    <cellStyle name="20% - Accent4 3 3 2 2 2 5 2" xfId="42013" xr:uid="{00000000-0005-0000-0000-0000722B0000}"/>
    <cellStyle name="20% - Accent4 3 3 2 2 2 6" xfId="29065" xr:uid="{00000000-0005-0000-0000-0000732B0000}"/>
    <cellStyle name="20% - Accent4 3 3 2 2 3" xfId="4002" xr:uid="{00000000-0005-0000-0000-0000742B0000}"/>
    <cellStyle name="20% - Accent4 3 3 2 2 3 2" xfId="7256" xr:uid="{00000000-0005-0000-0000-0000752B0000}"/>
    <cellStyle name="20% - Accent4 3 3 2 2 3 2 2" xfId="13715" xr:uid="{00000000-0005-0000-0000-0000762B0000}"/>
    <cellStyle name="20% - Accent4 3 3 2 2 3 2 2 2" xfId="26632" xr:uid="{00000000-0005-0000-0000-0000772B0000}"/>
    <cellStyle name="20% - Accent4 3 3 2 2 3 2 2 2 2" xfId="52506" xr:uid="{00000000-0005-0000-0000-0000782B0000}"/>
    <cellStyle name="20% - Accent4 3 3 2 2 3 2 2 3" xfId="39590" xr:uid="{00000000-0005-0000-0000-0000792B0000}"/>
    <cellStyle name="20% - Accent4 3 3 2 2 3 2 3" xfId="20174" xr:uid="{00000000-0005-0000-0000-00007A2B0000}"/>
    <cellStyle name="20% - Accent4 3 3 2 2 3 2 3 2" xfId="46048" xr:uid="{00000000-0005-0000-0000-00007B2B0000}"/>
    <cellStyle name="20% - Accent4 3 3 2 2 3 2 4" xfId="33132" xr:uid="{00000000-0005-0000-0000-00007C2B0000}"/>
    <cellStyle name="20% - Accent4 3 3 2 2 3 3" xfId="10487" xr:uid="{00000000-0005-0000-0000-00007D2B0000}"/>
    <cellStyle name="20% - Accent4 3 3 2 2 3 3 2" xfId="23404" xr:uid="{00000000-0005-0000-0000-00007E2B0000}"/>
    <cellStyle name="20% - Accent4 3 3 2 2 3 3 2 2" xfId="49278" xr:uid="{00000000-0005-0000-0000-00007F2B0000}"/>
    <cellStyle name="20% - Accent4 3 3 2 2 3 3 3" xfId="36362" xr:uid="{00000000-0005-0000-0000-0000802B0000}"/>
    <cellStyle name="20% - Accent4 3 3 2 2 3 4" xfId="16946" xr:uid="{00000000-0005-0000-0000-0000812B0000}"/>
    <cellStyle name="20% - Accent4 3 3 2 2 3 4 2" xfId="42820" xr:uid="{00000000-0005-0000-0000-0000822B0000}"/>
    <cellStyle name="20% - Accent4 3 3 2 2 3 5" xfId="29872" xr:uid="{00000000-0005-0000-0000-0000832B0000}"/>
    <cellStyle name="20% - Accent4 3 3 2 2 4" xfId="5642" xr:uid="{00000000-0005-0000-0000-0000842B0000}"/>
    <cellStyle name="20% - Accent4 3 3 2 2 4 2" xfId="12101" xr:uid="{00000000-0005-0000-0000-0000852B0000}"/>
    <cellStyle name="20% - Accent4 3 3 2 2 4 2 2" xfId="25018" xr:uid="{00000000-0005-0000-0000-0000862B0000}"/>
    <cellStyle name="20% - Accent4 3 3 2 2 4 2 2 2" xfId="50892" xr:uid="{00000000-0005-0000-0000-0000872B0000}"/>
    <cellStyle name="20% - Accent4 3 3 2 2 4 2 3" xfId="37976" xr:uid="{00000000-0005-0000-0000-0000882B0000}"/>
    <cellStyle name="20% - Accent4 3 3 2 2 4 3" xfId="18560" xr:uid="{00000000-0005-0000-0000-0000892B0000}"/>
    <cellStyle name="20% - Accent4 3 3 2 2 4 3 2" xfId="44434" xr:uid="{00000000-0005-0000-0000-00008A2B0000}"/>
    <cellStyle name="20% - Accent4 3 3 2 2 4 4" xfId="31518" xr:uid="{00000000-0005-0000-0000-00008B2B0000}"/>
    <cellStyle name="20% - Accent4 3 3 2 2 5" xfId="8873" xr:uid="{00000000-0005-0000-0000-00008C2B0000}"/>
    <cellStyle name="20% - Accent4 3 3 2 2 5 2" xfId="21790" xr:uid="{00000000-0005-0000-0000-00008D2B0000}"/>
    <cellStyle name="20% - Accent4 3 3 2 2 5 2 2" xfId="47664" xr:uid="{00000000-0005-0000-0000-00008E2B0000}"/>
    <cellStyle name="20% - Accent4 3 3 2 2 5 3" xfId="34748" xr:uid="{00000000-0005-0000-0000-00008F2B0000}"/>
    <cellStyle name="20% - Accent4 3 3 2 2 6" xfId="15332" xr:uid="{00000000-0005-0000-0000-0000902B0000}"/>
    <cellStyle name="20% - Accent4 3 3 2 2 6 2" xfId="41206" xr:uid="{00000000-0005-0000-0000-0000912B0000}"/>
    <cellStyle name="20% - Accent4 3 3 2 2 7" xfId="28258" xr:uid="{00000000-0005-0000-0000-0000922B0000}"/>
    <cellStyle name="20% - Accent4 3 3 2 2 8" xfId="54120" xr:uid="{00000000-0005-0000-0000-0000932B0000}"/>
    <cellStyle name="20% - Accent4 3 3 2 2 9" xfId="2362" xr:uid="{00000000-0005-0000-0000-0000942B0000}"/>
    <cellStyle name="20% - Accent4 3 3 2 3" xfId="583" xr:uid="{00000000-0005-0000-0000-0000952B0000}"/>
    <cellStyle name="20% - Accent4 3 3 2 3 2" xfId="4428" xr:uid="{00000000-0005-0000-0000-0000962B0000}"/>
    <cellStyle name="20% - Accent4 3 3 2 3 2 2" xfId="7659" xr:uid="{00000000-0005-0000-0000-0000972B0000}"/>
    <cellStyle name="20% - Accent4 3 3 2 3 2 2 2" xfId="14118" xr:uid="{00000000-0005-0000-0000-0000982B0000}"/>
    <cellStyle name="20% - Accent4 3 3 2 3 2 2 2 2" xfId="27035" xr:uid="{00000000-0005-0000-0000-0000992B0000}"/>
    <cellStyle name="20% - Accent4 3 3 2 3 2 2 2 2 2" xfId="52909" xr:uid="{00000000-0005-0000-0000-00009A2B0000}"/>
    <cellStyle name="20% - Accent4 3 3 2 3 2 2 2 3" xfId="39993" xr:uid="{00000000-0005-0000-0000-00009B2B0000}"/>
    <cellStyle name="20% - Accent4 3 3 2 3 2 2 3" xfId="20577" xr:uid="{00000000-0005-0000-0000-00009C2B0000}"/>
    <cellStyle name="20% - Accent4 3 3 2 3 2 2 3 2" xfId="46451" xr:uid="{00000000-0005-0000-0000-00009D2B0000}"/>
    <cellStyle name="20% - Accent4 3 3 2 3 2 2 4" xfId="33535" xr:uid="{00000000-0005-0000-0000-00009E2B0000}"/>
    <cellStyle name="20% - Accent4 3 3 2 3 2 3" xfId="10890" xr:uid="{00000000-0005-0000-0000-00009F2B0000}"/>
    <cellStyle name="20% - Accent4 3 3 2 3 2 3 2" xfId="23807" xr:uid="{00000000-0005-0000-0000-0000A02B0000}"/>
    <cellStyle name="20% - Accent4 3 3 2 3 2 3 2 2" xfId="49681" xr:uid="{00000000-0005-0000-0000-0000A12B0000}"/>
    <cellStyle name="20% - Accent4 3 3 2 3 2 3 3" xfId="36765" xr:uid="{00000000-0005-0000-0000-0000A22B0000}"/>
    <cellStyle name="20% - Accent4 3 3 2 3 2 4" xfId="17349" xr:uid="{00000000-0005-0000-0000-0000A32B0000}"/>
    <cellStyle name="20% - Accent4 3 3 2 3 2 4 2" xfId="43223" xr:uid="{00000000-0005-0000-0000-0000A42B0000}"/>
    <cellStyle name="20% - Accent4 3 3 2 3 2 5" xfId="30275" xr:uid="{00000000-0005-0000-0000-0000A52B0000}"/>
    <cellStyle name="20% - Accent4 3 3 2 3 3" xfId="6045" xr:uid="{00000000-0005-0000-0000-0000A62B0000}"/>
    <cellStyle name="20% - Accent4 3 3 2 3 3 2" xfId="12504" xr:uid="{00000000-0005-0000-0000-0000A72B0000}"/>
    <cellStyle name="20% - Accent4 3 3 2 3 3 2 2" xfId="25421" xr:uid="{00000000-0005-0000-0000-0000A82B0000}"/>
    <cellStyle name="20% - Accent4 3 3 2 3 3 2 2 2" xfId="51295" xr:uid="{00000000-0005-0000-0000-0000A92B0000}"/>
    <cellStyle name="20% - Accent4 3 3 2 3 3 2 3" xfId="38379" xr:uid="{00000000-0005-0000-0000-0000AA2B0000}"/>
    <cellStyle name="20% - Accent4 3 3 2 3 3 3" xfId="18963" xr:uid="{00000000-0005-0000-0000-0000AB2B0000}"/>
    <cellStyle name="20% - Accent4 3 3 2 3 3 3 2" xfId="44837" xr:uid="{00000000-0005-0000-0000-0000AC2B0000}"/>
    <cellStyle name="20% - Accent4 3 3 2 3 3 4" xfId="31921" xr:uid="{00000000-0005-0000-0000-0000AD2B0000}"/>
    <cellStyle name="20% - Accent4 3 3 2 3 4" xfId="9276" xr:uid="{00000000-0005-0000-0000-0000AE2B0000}"/>
    <cellStyle name="20% - Accent4 3 3 2 3 4 2" xfId="22193" xr:uid="{00000000-0005-0000-0000-0000AF2B0000}"/>
    <cellStyle name="20% - Accent4 3 3 2 3 4 2 2" xfId="48067" xr:uid="{00000000-0005-0000-0000-0000B02B0000}"/>
    <cellStyle name="20% - Accent4 3 3 2 3 4 3" xfId="35151" xr:uid="{00000000-0005-0000-0000-0000B12B0000}"/>
    <cellStyle name="20% - Accent4 3 3 2 3 5" xfId="15735" xr:uid="{00000000-0005-0000-0000-0000B22B0000}"/>
    <cellStyle name="20% - Accent4 3 3 2 3 5 2" xfId="41609" xr:uid="{00000000-0005-0000-0000-0000B32B0000}"/>
    <cellStyle name="20% - Accent4 3 3 2 3 6" xfId="28661" xr:uid="{00000000-0005-0000-0000-0000B42B0000}"/>
    <cellStyle name="20% - Accent4 3 3 2 3 7" xfId="2771" xr:uid="{00000000-0005-0000-0000-0000B52B0000}"/>
    <cellStyle name="20% - Accent4 3 3 2 4" xfId="3598" xr:uid="{00000000-0005-0000-0000-0000B62B0000}"/>
    <cellStyle name="20% - Accent4 3 3 2 4 2" xfId="6852" xr:uid="{00000000-0005-0000-0000-0000B72B0000}"/>
    <cellStyle name="20% - Accent4 3 3 2 4 2 2" xfId="13311" xr:uid="{00000000-0005-0000-0000-0000B82B0000}"/>
    <cellStyle name="20% - Accent4 3 3 2 4 2 2 2" xfId="26228" xr:uid="{00000000-0005-0000-0000-0000B92B0000}"/>
    <cellStyle name="20% - Accent4 3 3 2 4 2 2 2 2" xfId="52102" xr:uid="{00000000-0005-0000-0000-0000BA2B0000}"/>
    <cellStyle name="20% - Accent4 3 3 2 4 2 2 3" xfId="39186" xr:uid="{00000000-0005-0000-0000-0000BB2B0000}"/>
    <cellStyle name="20% - Accent4 3 3 2 4 2 3" xfId="19770" xr:uid="{00000000-0005-0000-0000-0000BC2B0000}"/>
    <cellStyle name="20% - Accent4 3 3 2 4 2 3 2" xfId="45644" xr:uid="{00000000-0005-0000-0000-0000BD2B0000}"/>
    <cellStyle name="20% - Accent4 3 3 2 4 2 4" xfId="32728" xr:uid="{00000000-0005-0000-0000-0000BE2B0000}"/>
    <cellStyle name="20% - Accent4 3 3 2 4 3" xfId="10083" xr:uid="{00000000-0005-0000-0000-0000BF2B0000}"/>
    <cellStyle name="20% - Accent4 3 3 2 4 3 2" xfId="23000" xr:uid="{00000000-0005-0000-0000-0000C02B0000}"/>
    <cellStyle name="20% - Accent4 3 3 2 4 3 2 2" xfId="48874" xr:uid="{00000000-0005-0000-0000-0000C12B0000}"/>
    <cellStyle name="20% - Accent4 3 3 2 4 3 3" xfId="35958" xr:uid="{00000000-0005-0000-0000-0000C22B0000}"/>
    <cellStyle name="20% - Accent4 3 3 2 4 4" xfId="16542" xr:uid="{00000000-0005-0000-0000-0000C32B0000}"/>
    <cellStyle name="20% - Accent4 3 3 2 4 4 2" xfId="42416" xr:uid="{00000000-0005-0000-0000-0000C42B0000}"/>
    <cellStyle name="20% - Accent4 3 3 2 4 5" xfId="29468" xr:uid="{00000000-0005-0000-0000-0000C52B0000}"/>
    <cellStyle name="20% - Accent4 3 3 2 5" xfId="5238" xr:uid="{00000000-0005-0000-0000-0000C62B0000}"/>
    <cellStyle name="20% - Accent4 3 3 2 5 2" xfId="11697" xr:uid="{00000000-0005-0000-0000-0000C72B0000}"/>
    <cellStyle name="20% - Accent4 3 3 2 5 2 2" xfId="24614" xr:uid="{00000000-0005-0000-0000-0000C82B0000}"/>
    <cellStyle name="20% - Accent4 3 3 2 5 2 2 2" xfId="50488" xr:uid="{00000000-0005-0000-0000-0000C92B0000}"/>
    <cellStyle name="20% - Accent4 3 3 2 5 2 3" xfId="37572" xr:uid="{00000000-0005-0000-0000-0000CA2B0000}"/>
    <cellStyle name="20% - Accent4 3 3 2 5 3" xfId="18156" xr:uid="{00000000-0005-0000-0000-0000CB2B0000}"/>
    <cellStyle name="20% - Accent4 3 3 2 5 3 2" xfId="44030" xr:uid="{00000000-0005-0000-0000-0000CC2B0000}"/>
    <cellStyle name="20% - Accent4 3 3 2 5 4" xfId="31114" xr:uid="{00000000-0005-0000-0000-0000CD2B0000}"/>
    <cellStyle name="20% - Accent4 3 3 2 6" xfId="8469" xr:uid="{00000000-0005-0000-0000-0000CE2B0000}"/>
    <cellStyle name="20% - Accent4 3 3 2 6 2" xfId="21386" xr:uid="{00000000-0005-0000-0000-0000CF2B0000}"/>
    <cellStyle name="20% - Accent4 3 3 2 6 2 2" xfId="47260" xr:uid="{00000000-0005-0000-0000-0000D02B0000}"/>
    <cellStyle name="20% - Accent4 3 3 2 6 3" xfId="34344" xr:uid="{00000000-0005-0000-0000-0000D12B0000}"/>
    <cellStyle name="20% - Accent4 3 3 2 7" xfId="14928" xr:uid="{00000000-0005-0000-0000-0000D22B0000}"/>
    <cellStyle name="20% - Accent4 3 3 2 7 2" xfId="40802" xr:uid="{00000000-0005-0000-0000-0000D32B0000}"/>
    <cellStyle name="20% - Accent4 3 3 2 8" xfId="27853" xr:uid="{00000000-0005-0000-0000-0000D42B0000}"/>
    <cellStyle name="20% - Accent4 3 3 2 9" xfId="53716" xr:uid="{00000000-0005-0000-0000-0000D52B0000}"/>
    <cellStyle name="20% - Accent4 3 3 3" xfId="585" xr:uid="{00000000-0005-0000-0000-0000D62B0000}"/>
    <cellStyle name="20% - Accent4 3 3 3 2" xfId="2980" xr:uid="{00000000-0005-0000-0000-0000D72B0000}"/>
    <cellStyle name="20% - Accent4 3 3 3 2 2" xfId="4637" xr:uid="{00000000-0005-0000-0000-0000D82B0000}"/>
    <cellStyle name="20% - Accent4 3 3 3 2 2 2" xfId="7868" xr:uid="{00000000-0005-0000-0000-0000D92B0000}"/>
    <cellStyle name="20% - Accent4 3 3 3 2 2 2 2" xfId="14327" xr:uid="{00000000-0005-0000-0000-0000DA2B0000}"/>
    <cellStyle name="20% - Accent4 3 3 3 2 2 2 2 2" xfId="27244" xr:uid="{00000000-0005-0000-0000-0000DB2B0000}"/>
    <cellStyle name="20% - Accent4 3 3 3 2 2 2 2 2 2" xfId="53118" xr:uid="{00000000-0005-0000-0000-0000DC2B0000}"/>
    <cellStyle name="20% - Accent4 3 3 3 2 2 2 2 3" xfId="40202" xr:uid="{00000000-0005-0000-0000-0000DD2B0000}"/>
    <cellStyle name="20% - Accent4 3 3 3 2 2 2 3" xfId="20786" xr:uid="{00000000-0005-0000-0000-0000DE2B0000}"/>
    <cellStyle name="20% - Accent4 3 3 3 2 2 2 3 2" xfId="46660" xr:uid="{00000000-0005-0000-0000-0000DF2B0000}"/>
    <cellStyle name="20% - Accent4 3 3 3 2 2 2 4" xfId="33744" xr:uid="{00000000-0005-0000-0000-0000E02B0000}"/>
    <cellStyle name="20% - Accent4 3 3 3 2 2 3" xfId="11099" xr:uid="{00000000-0005-0000-0000-0000E12B0000}"/>
    <cellStyle name="20% - Accent4 3 3 3 2 2 3 2" xfId="24016" xr:uid="{00000000-0005-0000-0000-0000E22B0000}"/>
    <cellStyle name="20% - Accent4 3 3 3 2 2 3 2 2" xfId="49890" xr:uid="{00000000-0005-0000-0000-0000E32B0000}"/>
    <cellStyle name="20% - Accent4 3 3 3 2 2 3 3" xfId="36974" xr:uid="{00000000-0005-0000-0000-0000E42B0000}"/>
    <cellStyle name="20% - Accent4 3 3 3 2 2 4" xfId="17558" xr:uid="{00000000-0005-0000-0000-0000E52B0000}"/>
    <cellStyle name="20% - Accent4 3 3 3 2 2 4 2" xfId="43432" xr:uid="{00000000-0005-0000-0000-0000E62B0000}"/>
    <cellStyle name="20% - Accent4 3 3 3 2 2 5" xfId="30484" xr:uid="{00000000-0005-0000-0000-0000E72B0000}"/>
    <cellStyle name="20% - Accent4 3 3 3 2 3" xfId="6254" xr:uid="{00000000-0005-0000-0000-0000E82B0000}"/>
    <cellStyle name="20% - Accent4 3 3 3 2 3 2" xfId="12713" xr:uid="{00000000-0005-0000-0000-0000E92B0000}"/>
    <cellStyle name="20% - Accent4 3 3 3 2 3 2 2" xfId="25630" xr:uid="{00000000-0005-0000-0000-0000EA2B0000}"/>
    <cellStyle name="20% - Accent4 3 3 3 2 3 2 2 2" xfId="51504" xr:uid="{00000000-0005-0000-0000-0000EB2B0000}"/>
    <cellStyle name="20% - Accent4 3 3 3 2 3 2 3" xfId="38588" xr:uid="{00000000-0005-0000-0000-0000EC2B0000}"/>
    <cellStyle name="20% - Accent4 3 3 3 2 3 3" xfId="19172" xr:uid="{00000000-0005-0000-0000-0000ED2B0000}"/>
    <cellStyle name="20% - Accent4 3 3 3 2 3 3 2" xfId="45046" xr:uid="{00000000-0005-0000-0000-0000EE2B0000}"/>
    <cellStyle name="20% - Accent4 3 3 3 2 3 4" xfId="32130" xr:uid="{00000000-0005-0000-0000-0000EF2B0000}"/>
    <cellStyle name="20% - Accent4 3 3 3 2 4" xfId="9485" xr:uid="{00000000-0005-0000-0000-0000F02B0000}"/>
    <cellStyle name="20% - Accent4 3 3 3 2 4 2" xfId="22402" xr:uid="{00000000-0005-0000-0000-0000F12B0000}"/>
    <cellStyle name="20% - Accent4 3 3 3 2 4 2 2" xfId="48276" xr:uid="{00000000-0005-0000-0000-0000F22B0000}"/>
    <cellStyle name="20% - Accent4 3 3 3 2 4 3" xfId="35360" xr:uid="{00000000-0005-0000-0000-0000F32B0000}"/>
    <cellStyle name="20% - Accent4 3 3 3 2 5" xfId="15944" xr:uid="{00000000-0005-0000-0000-0000F42B0000}"/>
    <cellStyle name="20% - Accent4 3 3 3 2 5 2" xfId="41818" xr:uid="{00000000-0005-0000-0000-0000F52B0000}"/>
    <cellStyle name="20% - Accent4 3 3 3 2 6" xfId="28870" xr:uid="{00000000-0005-0000-0000-0000F62B0000}"/>
    <cellStyle name="20% - Accent4 3 3 3 3" xfId="3807" xr:uid="{00000000-0005-0000-0000-0000F72B0000}"/>
    <cellStyle name="20% - Accent4 3 3 3 3 2" xfId="7061" xr:uid="{00000000-0005-0000-0000-0000F82B0000}"/>
    <cellStyle name="20% - Accent4 3 3 3 3 2 2" xfId="13520" xr:uid="{00000000-0005-0000-0000-0000F92B0000}"/>
    <cellStyle name="20% - Accent4 3 3 3 3 2 2 2" xfId="26437" xr:uid="{00000000-0005-0000-0000-0000FA2B0000}"/>
    <cellStyle name="20% - Accent4 3 3 3 3 2 2 2 2" xfId="52311" xr:uid="{00000000-0005-0000-0000-0000FB2B0000}"/>
    <cellStyle name="20% - Accent4 3 3 3 3 2 2 3" xfId="39395" xr:uid="{00000000-0005-0000-0000-0000FC2B0000}"/>
    <cellStyle name="20% - Accent4 3 3 3 3 2 3" xfId="19979" xr:uid="{00000000-0005-0000-0000-0000FD2B0000}"/>
    <cellStyle name="20% - Accent4 3 3 3 3 2 3 2" xfId="45853" xr:uid="{00000000-0005-0000-0000-0000FE2B0000}"/>
    <cellStyle name="20% - Accent4 3 3 3 3 2 4" xfId="32937" xr:uid="{00000000-0005-0000-0000-0000FF2B0000}"/>
    <cellStyle name="20% - Accent4 3 3 3 3 3" xfId="10292" xr:uid="{00000000-0005-0000-0000-0000002C0000}"/>
    <cellStyle name="20% - Accent4 3 3 3 3 3 2" xfId="23209" xr:uid="{00000000-0005-0000-0000-0000012C0000}"/>
    <cellStyle name="20% - Accent4 3 3 3 3 3 2 2" xfId="49083" xr:uid="{00000000-0005-0000-0000-0000022C0000}"/>
    <cellStyle name="20% - Accent4 3 3 3 3 3 3" xfId="36167" xr:uid="{00000000-0005-0000-0000-0000032C0000}"/>
    <cellStyle name="20% - Accent4 3 3 3 3 4" xfId="16751" xr:uid="{00000000-0005-0000-0000-0000042C0000}"/>
    <cellStyle name="20% - Accent4 3 3 3 3 4 2" xfId="42625" xr:uid="{00000000-0005-0000-0000-0000052C0000}"/>
    <cellStyle name="20% - Accent4 3 3 3 3 5" xfId="29677" xr:uid="{00000000-0005-0000-0000-0000062C0000}"/>
    <cellStyle name="20% - Accent4 3 3 3 4" xfId="5447" xr:uid="{00000000-0005-0000-0000-0000072C0000}"/>
    <cellStyle name="20% - Accent4 3 3 3 4 2" xfId="11906" xr:uid="{00000000-0005-0000-0000-0000082C0000}"/>
    <cellStyle name="20% - Accent4 3 3 3 4 2 2" xfId="24823" xr:uid="{00000000-0005-0000-0000-0000092C0000}"/>
    <cellStyle name="20% - Accent4 3 3 3 4 2 2 2" xfId="50697" xr:uid="{00000000-0005-0000-0000-00000A2C0000}"/>
    <cellStyle name="20% - Accent4 3 3 3 4 2 3" xfId="37781" xr:uid="{00000000-0005-0000-0000-00000B2C0000}"/>
    <cellStyle name="20% - Accent4 3 3 3 4 3" xfId="18365" xr:uid="{00000000-0005-0000-0000-00000C2C0000}"/>
    <cellStyle name="20% - Accent4 3 3 3 4 3 2" xfId="44239" xr:uid="{00000000-0005-0000-0000-00000D2C0000}"/>
    <cellStyle name="20% - Accent4 3 3 3 4 4" xfId="31323" xr:uid="{00000000-0005-0000-0000-00000E2C0000}"/>
    <cellStyle name="20% - Accent4 3 3 3 5" xfId="8678" xr:uid="{00000000-0005-0000-0000-00000F2C0000}"/>
    <cellStyle name="20% - Accent4 3 3 3 5 2" xfId="21595" xr:uid="{00000000-0005-0000-0000-0000102C0000}"/>
    <cellStyle name="20% - Accent4 3 3 3 5 2 2" xfId="47469" xr:uid="{00000000-0005-0000-0000-0000112C0000}"/>
    <cellStyle name="20% - Accent4 3 3 3 5 3" xfId="34553" xr:uid="{00000000-0005-0000-0000-0000122C0000}"/>
    <cellStyle name="20% - Accent4 3 3 3 6" xfId="15137" xr:uid="{00000000-0005-0000-0000-0000132C0000}"/>
    <cellStyle name="20% - Accent4 3 3 3 6 2" xfId="41011" xr:uid="{00000000-0005-0000-0000-0000142C0000}"/>
    <cellStyle name="20% - Accent4 3 3 3 7" xfId="28063" xr:uid="{00000000-0005-0000-0000-0000152C0000}"/>
    <cellStyle name="20% - Accent4 3 3 3 8" xfId="53925" xr:uid="{00000000-0005-0000-0000-0000162C0000}"/>
    <cellStyle name="20% - Accent4 3 3 3 9" xfId="2166" xr:uid="{00000000-0005-0000-0000-0000172C0000}"/>
    <cellStyle name="20% - Accent4 3 3 4" xfId="582" xr:uid="{00000000-0005-0000-0000-0000182C0000}"/>
    <cellStyle name="20% - Accent4 3 3 4 2" xfId="4234" xr:uid="{00000000-0005-0000-0000-0000192C0000}"/>
    <cellStyle name="20% - Accent4 3 3 4 2 2" xfId="7465" xr:uid="{00000000-0005-0000-0000-00001A2C0000}"/>
    <cellStyle name="20% - Accent4 3 3 4 2 2 2" xfId="13924" xr:uid="{00000000-0005-0000-0000-00001B2C0000}"/>
    <cellStyle name="20% - Accent4 3 3 4 2 2 2 2" xfId="26841" xr:uid="{00000000-0005-0000-0000-00001C2C0000}"/>
    <cellStyle name="20% - Accent4 3 3 4 2 2 2 2 2" xfId="52715" xr:uid="{00000000-0005-0000-0000-00001D2C0000}"/>
    <cellStyle name="20% - Accent4 3 3 4 2 2 2 3" xfId="39799" xr:uid="{00000000-0005-0000-0000-00001E2C0000}"/>
    <cellStyle name="20% - Accent4 3 3 4 2 2 3" xfId="20383" xr:uid="{00000000-0005-0000-0000-00001F2C0000}"/>
    <cellStyle name="20% - Accent4 3 3 4 2 2 3 2" xfId="46257" xr:uid="{00000000-0005-0000-0000-0000202C0000}"/>
    <cellStyle name="20% - Accent4 3 3 4 2 2 4" xfId="33341" xr:uid="{00000000-0005-0000-0000-0000212C0000}"/>
    <cellStyle name="20% - Accent4 3 3 4 2 3" xfId="10696" xr:uid="{00000000-0005-0000-0000-0000222C0000}"/>
    <cellStyle name="20% - Accent4 3 3 4 2 3 2" xfId="23613" xr:uid="{00000000-0005-0000-0000-0000232C0000}"/>
    <cellStyle name="20% - Accent4 3 3 4 2 3 2 2" xfId="49487" xr:uid="{00000000-0005-0000-0000-0000242C0000}"/>
    <cellStyle name="20% - Accent4 3 3 4 2 3 3" xfId="36571" xr:uid="{00000000-0005-0000-0000-0000252C0000}"/>
    <cellStyle name="20% - Accent4 3 3 4 2 4" xfId="17155" xr:uid="{00000000-0005-0000-0000-0000262C0000}"/>
    <cellStyle name="20% - Accent4 3 3 4 2 4 2" xfId="43029" xr:uid="{00000000-0005-0000-0000-0000272C0000}"/>
    <cellStyle name="20% - Accent4 3 3 4 2 5" xfId="30081" xr:uid="{00000000-0005-0000-0000-0000282C0000}"/>
    <cellStyle name="20% - Accent4 3 3 4 3" xfId="5851" xr:uid="{00000000-0005-0000-0000-0000292C0000}"/>
    <cellStyle name="20% - Accent4 3 3 4 3 2" xfId="12310" xr:uid="{00000000-0005-0000-0000-00002A2C0000}"/>
    <cellStyle name="20% - Accent4 3 3 4 3 2 2" xfId="25227" xr:uid="{00000000-0005-0000-0000-00002B2C0000}"/>
    <cellStyle name="20% - Accent4 3 3 4 3 2 2 2" xfId="51101" xr:uid="{00000000-0005-0000-0000-00002C2C0000}"/>
    <cellStyle name="20% - Accent4 3 3 4 3 2 3" xfId="38185" xr:uid="{00000000-0005-0000-0000-00002D2C0000}"/>
    <cellStyle name="20% - Accent4 3 3 4 3 3" xfId="18769" xr:uid="{00000000-0005-0000-0000-00002E2C0000}"/>
    <cellStyle name="20% - Accent4 3 3 4 3 3 2" xfId="44643" xr:uid="{00000000-0005-0000-0000-00002F2C0000}"/>
    <cellStyle name="20% - Accent4 3 3 4 3 4" xfId="31727" xr:uid="{00000000-0005-0000-0000-0000302C0000}"/>
    <cellStyle name="20% - Accent4 3 3 4 4" xfId="9082" xr:uid="{00000000-0005-0000-0000-0000312C0000}"/>
    <cellStyle name="20% - Accent4 3 3 4 4 2" xfId="21999" xr:uid="{00000000-0005-0000-0000-0000322C0000}"/>
    <cellStyle name="20% - Accent4 3 3 4 4 2 2" xfId="47873" xr:uid="{00000000-0005-0000-0000-0000332C0000}"/>
    <cellStyle name="20% - Accent4 3 3 4 4 3" xfId="34957" xr:uid="{00000000-0005-0000-0000-0000342C0000}"/>
    <cellStyle name="20% - Accent4 3 3 4 5" xfId="15541" xr:uid="{00000000-0005-0000-0000-0000352C0000}"/>
    <cellStyle name="20% - Accent4 3 3 4 5 2" xfId="41415" xr:uid="{00000000-0005-0000-0000-0000362C0000}"/>
    <cellStyle name="20% - Accent4 3 3 4 6" xfId="28467" xr:uid="{00000000-0005-0000-0000-0000372C0000}"/>
    <cellStyle name="20% - Accent4 3 3 4 7" xfId="2577" xr:uid="{00000000-0005-0000-0000-0000382C0000}"/>
    <cellStyle name="20% - Accent4 3 3 5" xfId="3403" xr:uid="{00000000-0005-0000-0000-0000392C0000}"/>
    <cellStyle name="20% - Accent4 3 3 5 2" xfId="6658" xr:uid="{00000000-0005-0000-0000-00003A2C0000}"/>
    <cellStyle name="20% - Accent4 3 3 5 2 2" xfId="13117" xr:uid="{00000000-0005-0000-0000-00003B2C0000}"/>
    <cellStyle name="20% - Accent4 3 3 5 2 2 2" xfId="26034" xr:uid="{00000000-0005-0000-0000-00003C2C0000}"/>
    <cellStyle name="20% - Accent4 3 3 5 2 2 2 2" xfId="51908" xr:uid="{00000000-0005-0000-0000-00003D2C0000}"/>
    <cellStyle name="20% - Accent4 3 3 5 2 2 3" xfId="38992" xr:uid="{00000000-0005-0000-0000-00003E2C0000}"/>
    <cellStyle name="20% - Accent4 3 3 5 2 3" xfId="19576" xr:uid="{00000000-0005-0000-0000-00003F2C0000}"/>
    <cellStyle name="20% - Accent4 3 3 5 2 3 2" xfId="45450" xr:uid="{00000000-0005-0000-0000-0000402C0000}"/>
    <cellStyle name="20% - Accent4 3 3 5 2 4" xfId="32534" xr:uid="{00000000-0005-0000-0000-0000412C0000}"/>
    <cellStyle name="20% - Accent4 3 3 5 3" xfId="9889" xr:uid="{00000000-0005-0000-0000-0000422C0000}"/>
    <cellStyle name="20% - Accent4 3 3 5 3 2" xfId="22806" xr:uid="{00000000-0005-0000-0000-0000432C0000}"/>
    <cellStyle name="20% - Accent4 3 3 5 3 2 2" xfId="48680" xr:uid="{00000000-0005-0000-0000-0000442C0000}"/>
    <cellStyle name="20% - Accent4 3 3 5 3 3" xfId="35764" xr:uid="{00000000-0005-0000-0000-0000452C0000}"/>
    <cellStyle name="20% - Accent4 3 3 5 4" xfId="16348" xr:uid="{00000000-0005-0000-0000-0000462C0000}"/>
    <cellStyle name="20% - Accent4 3 3 5 4 2" xfId="42222" xr:uid="{00000000-0005-0000-0000-0000472C0000}"/>
    <cellStyle name="20% - Accent4 3 3 5 5" xfId="29274" xr:uid="{00000000-0005-0000-0000-0000482C0000}"/>
    <cellStyle name="20% - Accent4 3 3 6" xfId="5044" xr:uid="{00000000-0005-0000-0000-0000492C0000}"/>
    <cellStyle name="20% - Accent4 3 3 6 2" xfId="11503" xr:uid="{00000000-0005-0000-0000-00004A2C0000}"/>
    <cellStyle name="20% - Accent4 3 3 6 2 2" xfId="24420" xr:uid="{00000000-0005-0000-0000-00004B2C0000}"/>
    <cellStyle name="20% - Accent4 3 3 6 2 2 2" xfId="50294" xr:uid="{00000000-0005-0000-0000-00004C2C0000}"/>
    <cellStyle name="20% - Accent4 3 3 6 2 3" xfId="37378" xr:uid="{00000000-0005-0000-0000-00004D2C0000}"/>
    <cellStyle name="20% - Accent4 3 3 6 3" xfId="17962" xr:uid="{00000000-0005-0000-0000-00004E2C0000}"/>
    <cellStyle name="20% - Accent4 3 3 6 3 2" xfId="43836" xr:uid="{00000000-0005-0000-0000-00004F2C0000}"/>
    <cellStyle name="20% - Accent4 3 3 6 4" xfId="30920" xr:uid="{00000000-0005-0000-0000-0000502C0000}"/>
    <cellStyle name="20% - Accent4 3 3 7" xfId="8274" xr:uid="{00000000-0005-0000-0000-0000512C0000}"/>
    <cellStyle name="20% - Accent4 3 3 7 2" xfId="21191" xr:uid="{00000000-0005-0000-0000-0000522C0000}"/>
    <cellStyle name="20% - Accent4 3 3 7 2 2" xfId="47065" xr:uid="{00000000-0005-0000-0000-0000532C0000}"/>
    <cellStyle name="20% - Accent4 3 3 7 3" xfId="34149" xr:uid="{00000000-0005-0000-0000-0000542C0000}"/>
    <cellStyle name="20% - Accent4 3 3 8" xfId="14733" xr:uid="{00000000-0005-0000-0000-0000552C0000}"/>
    <cellStyle name="20% - Accent4 3 3 8 2" xfId="40607" xr:uid="{00000000-0005-0000-0000-0000562C0000}"/>
    <cellStyle name="20% - Accent4 3 3 9" xfId="27657" xr:uid="{00000000-0005-0000-0000-0000572C0000}"/>
    <cellStyle name="20% - Accent4 3 4" xfId="223" xr:uid="{00000000-0005-0000-0000-0000582C0000}"/>
    <cellStyle name="20% - Accent4 3 4 2" xfId="414" xr:uid="{00000000-0005-0000-0000-0000592C0000}"/>
    <cellStyle name="20% - Accent4 3 4 2 2" xfId="588" xr:uid="{00000000-0005-0000-0000-00005A2C0000}"/>
    <cellStyle name="20% - Accent4 3 4 2 3" xfId="587" xr:uid="{00000000-0005-0000-0000-00005B2C0000}"/>
    <cellStyle name="20% - Accent4 3 4 3" xfId="589" xr:uid="{00000000-0005-0000-0000-00005C2C0000}"/>
    <cellStyle name="20% - Accent4 3 4 4" xfId="586" xr:uid="{00000000-0005-0000-0000-00005D2C0000}"/>
    <cellStyle name="20% - Accent4 3 4 5" xfId="1665" xr:uid="{00000000-0005-0000-0000-00005E2C0000}"/>
    <cellStyle name="20% - Accent4 3 5" xfId="376" xr:uid="{00000000-0005-0000-0000-00005F2C0000}"/>
    <cellStyle name="20% - Accent4 3 5 10" xfId="53504" xr:uid="{00000000-0005-0000-0000-0000602C0000}"/>
    <cellStyle name="20% - Accent4 3 5 11" xfId="1579" xr:uid="{00000000-0005-0000-0000-0000612C0000}"/>
    <cellStyle name="20% - Accent4 3 5 2" xfId="591" xr:uid="{00000000-0005-0000-0000-0000622C0000}"/>
    <cellStyle name="20% - Accent4 3 5 2 10" xfId="1913" xr:uid="{00000000-0005-0000-0000-0000632C0000}"/>
    <cellStyle name="20% - Accent4 3 5 2 2" xfId="2344" xr:uid="{00000000-0005-0000-0000-0000642C0000}"/>
    <cellStyle name="20% - Accent4 3 5 2 2 2" xfId="3157" xr:uid="{00000000-0005-0000-0000-0000652C0000}"/>
    <cellStyle name="20% - Accent4 3 5 2 2 2 2" xfId="4814" xr:uid="{00000000-0005-0000-0000-0000662C0000}"/>
    <cellStyle name="20% - Accent4 3 5 2 2 2 2 2" xfId="8045" xr:uid="{00000000-0005-0000-0000-0000672C0000}"/>
    <cellStyle name="20% - Accent4 3 5 2 2 2 2 2 2" xfId="14504" xr:uid="{00000000-0005-0000-0000-0000682C0000}"/>
    <cellStyle name="20% - Accent4 3 5 2 2 2 2 2 2 2" xfId="27421" xr:uid="{00000000-0005-0000-0000-0000692C0000}"/>
    <cellStyle name="20% - Accent4 3 5 2 2 2 2 2 2 2 2" xfId="53295" xr:uid="{00000000-0005-0000-0000-00006A2C0000}"/>
    <cellStyle name="20% - Accent4 3 5 2 2 2 2 2 2 3" xfId="40379" xr:uid="{00000000-0005-0000-0000-00006B2C0000}"/>
    <cellStyle name="20% - Accent4 3 5 2 2 2 2 2 3" xfId="20963" xr:uid="{00000000-0005-0000-0000-00006C2C0000}"/>
    <cellStyle name="20% - Accent4 3 5 2 2 2 2 2 3 2" xfId="46837" xr:uid="{00000000-0005-0000-0000-00006D2C0000}"/>
    <cellStyle name="20% - Accent4 3 5 2 2 2 2 2 4" xfId="33921" xr:uid="{00000000-0005-0000-0000-00006E2C0000}"/>
    <cellStyle name="20% - Accent4 3 5 2 2 2 2 3" xfId="11276" xr:uid="{00000000-0005-0000-0000-00006F2C0000}"/>
    <cellStyle name="20% - Accent4 3 5 2 2 2 2 3 2" xfId="24193" xr:uid="{00000000-0005-0000-0000-0000702C0000}"/>
    <cellStyle name="20% - Accent4 3 5 2 2 2 2 3 2 2" xfId="50067" xr:uid="{00000000-0005-0000-0000-0000712C0000}"/>
    <cellStyle name="20% - Accent4 3 5 2 2 2 2 3 3" xfId="37151" xr:uid="{00000000-0005-0000-0000-0000722C0000}"/>
    <cellStyle name="20% - Accent4 3 5 2 2 2 2 4" xfId="17735" xr:uid="{00000000-0005-0000-0000-0000732C0000}"/>
    <cellStyle name="20% - Accent4 3 5 2 2 2 2 4 2" xfId="43609" xr:uid="{00000000-0005-0000-0000-0000742C0000}"/>
    <cellStyle name="20% - Accent4 3 5 2 2 2 2 5" xfId="30661" xr:uid="{00000000-0005-0000-0000-0000752C0000}"/>
    <cellStyle name="20% - Accent4 3 5 2 2 2 3" xfId="6431" xr:uid="{00000000-0005-0000-0000-0000762C0000}"/>
    <cellStyle name="20% - Accent4 3 5 2 2 2 3 2" xfId="12890" xr:uid="{00000000-0005-0000-0000-0000772C0000}"/>
    <cellStyle name="20% - Accent4 3 5 2 2 2 3 2 2" xfId="25807" xr:uid="{00000000-0005-0000-0000-0000782C0000}"/>
    <cellStyle name="20% - Accent4 3 5 2 2 2 3 2 2 2" xfId="51681" xr:uid="{00000000-0005-0000-0000-0000792C0000}"/>
    <cellStyle name="20% - Accent4 3 5 2 2 2 3 2 3" xfId="38765" xr:uid="{00000000-0005-0000-0000-00007A2C0000}"/>
    <cellStyle name="20% - Accent4 3 5 2 2 2 3 3" xfId="19349" xr:uid="{00000000-0005-0000-0000-00007B2C0000}"/>
    <cellStyle name="20% - Accent4 3 5 2 2 2 3 3 2" xfId="45223" xr:uid="{00000000-0005-0000-0000-00007C2C0000}"/>
    <cellStyle name="20% - Accent4 3 5 2 2 2 3 4" xfId="32307" xr:uid="{00000000-0005-0000-0000-00007D2C0000}"/>
    <cellStyle name="20% - Accent4 3 5 2 2 2 4" xfId="9662" xr:uid="{00000000-0005-0000-0000-00007E2C0000}"/>
    <cellStyle name="20% - Accent4 3 5 2 2 2 4 2" xfId="22579" xr:uid="{00000000-0005-0000-0000-00007F2C0000}"/>
    <cellStyle name="20% - Accent4 3 5 2 2 2 4 2 2" xfId="48453" xr:uid="{00000000-0005-0000-0000-0000802C0000}"/>
    <cellStyle name="20% - Accent4 3 5 2 2 2 4 3" xfId="35537" xr:uid="{00000000-0005-0000-0000-0000812C0000}"/>
    <cellStyle name="20% - Accent4 3 5 2 2 2 5" xfId="16121" xr:uid="{00000000-0005-0000-0000-0000822C0000}"/>
    <cellStyle name="20% - Accent4 3 5 2 2 2 5 2" xfId="41995" xr:uid="{00000000-0005-0000-0000-0000832C0000}"/>
    <cellStyle name="20% - Accent4 3 5 2 2 2 6" xfId="29047" xr:uid="{00000000-0005-0000-0000-0000842C0000}"/>
    <cellStyle name="20% - Accent4 3 5 2 2 3" xfId="3984" xr:uid="{00000000-0005-0000-0000-0000852C0000}"/>
    <cellStyle name="20% - Accent4 3 5 2 2 3 2" xfId="7238" xr:uid="{00000000-0005-0000-0000-0000862C0000}"/>
    <cellStyle name="20% - Accent4 3 5 2 2 3 2 2" xfId="13697" xr:uid="{00000000-0005-0000-0000-0000872C0000}"/>
    <cellStyle name="20% - Accent4 3 5 2 2 3 2 2 2" xfId="26614" xr:uid="{00000000-0005-0000-0000-0000882C0000}"/>
    <cellStyle name="20% - Accent4 3 5 2 2 3 2 2 2 2" xfId="52488" xr:uid="{00000000-0005-0000-0000-0000892C0000}"/>
    <cellStyle name="20% - Accent4 3 5 2 2 3 2 2 3" xfId="39572" xr:uid="{00000000-0005-0000-0000-00008A2C0000}"/>
    <cellStyle name="20% - Accent4 3 5 2 2 3 2 3" xfId="20156" xr:uid="{00000000-0005-0000-0000-00008B2C0000}"/>
    <cellStyle name="20% - Accent4 3 5 2 2 3 2 3 2" xfId="46030" xr:uid="{00000000-0005-0000-0000-00008C2C0000}"/>
    <cellStyle name="20% - Accent4 3 5 2 2 3 2 4" xfId="33114" xr:uid="{00000000-0005-0000-0000-00008D2C0000}"/>
    <cellStyle name="20% - Accent4 3 5 2 2 3 3" xfId="10469" xr:uid="{00000000-0005-0000-0000-00008E2C0000}"/>
    <cellStyle name="20% - Accent4 3 5 2 2 3 3 2" xfId="23386" xr:uid="{00000000-0005-0000-0000-00008F2C0000}"/>
    <cellStyle name="20% - Accent4 3 5 2 2 3 3 2 2" xfId="49260" xr:uid="{00000000-0005-0000-0000-0000902C0000}"/>
    <cellStyle name="20% - Accent4 3 5 2 2 3 3 3" xfId="36344" xr:uid="{00000000-0005-0000-0000-0000912C0000}"/>
    <cellStyle name="20% - Accent4 3 5 2 2 3 4" xfId="16928" xr:uid="{00000000-0005-0000-0000-0000922C0000}"/>
    <cellStyle name="20% - Accent4 3 5 2 2 3 4 2" xfId="42802" xr:uid="{00000000-0005-0000-0000-0000932C0000}"/>
    <cellStyle name="20% - Accent4 3 5 2 2 3 5" xfId="29854" xr:uid="{00000000-0005-0000-0000-0000942C0000}"/>
    <cellStyle name="20% - Accent4 3 5 2 2 4" xfId="5624" xr:uid="{00000000-0005-0000-0000-0000952C0000}"/>
    <cellStyle name="20% - Accent4 3 5 2 2 4 2" xfId="12083" xr:uid="{00000000-0005-0000-0000-0000962C0000}"/>
    <cellStyle name="20% - Accent4 3 5 2 2 4 2 2" xfId="25000" xr:uid="{00000000-0005-0000-0000-0000972C0000}"/>
    <cellStyle name="20% - Accent4 3 5 2 2 4 2 2 2" xfId="50874" xr:uid="{00000000-0005-0000-0000-0000982C0000}"/>
    <cellStyle name="20% - Accent4 3 5 2 2 4 2 3" xfId="37958" xr:uid="{00000000-0005-0000-0000-0000992C0000}"/>
    <cellStyle name="20% - Accent4 3 5 2 2 4 3" xfId="18542" xr:uid="{00000000-0005-0000-0000-00009A2C0000}"/>
    <cellStyle name="20% - Accent4 3 5 2 2 4 3 2" xfId="44416" xr:uid="{00000000-0005-0000-0000-00009B2C0000}"/>
    <cellStyle name="20% - Accent4 3 5 2 2 4 4" xfId="31500" xr:uid="{00000000-0005-0000-0000-00009C2C0000}"/>
    <cellStyle name="20% - Accent4 3 5 2 2 5" xfId="8855" xr:uid="{00000000-0005-0000-0000-00009D2C0000}"/>
    <cellStyle name="20% - Accent4 3 5 2 2 5 2" xfId="21772" xr:uid="{00000000-0005-0000-0000-00009E2C0000}"/>
    <cellStyle name="20% - Accent4 3 5 2 2 5 2 2" xfId="47646" xr:uid="{00000000-0005-0000-0000-00009F2C0000}"/>
    <cellStyle name="20% - Accent4 3 5 2 2 5 3" xfId="34730" xr:uid="{00000000-0005-0000-0000-0000A02C0000}"/>
    <cellStyle name="20% - Accent4 3 5 2 2 6" xfId="15314" xr:uid="{00000000-0005-0000-0000-0000A12C0000}"/>
    <cellStyle name="20% - Accent4 3 5 2 2 6 2" xfId="41188" xr:uid="{00000000-0005-0000-0000-0000A22C0000}"/>
    <cellStyle name="20% - Accent4 3 5 2 2 7" xfId="28240" xr:uid="{00000000-0005-0000-0000-0000A32C0000}"/>
    <cellStyle name="20% - Accent4 3 5 2 2 8" xfId="54102" xr:uid="{00000000-0005-0000-0000-0000A42C0000}"/>
    <cellStyle name="20% - Accent4 3 5 2 3" xfId="2753" xr:uid="{00000000-0005-0000-0000-0000A52C0000}"/>
    <cellStyle name="20% - Accent4 3 5 2 3 2" xfId="4410" xr:uid="{00000000-0005-0000-0000-0000A62C0000}"/>
    <cellStyle name="20% - Accent4 3 5 2 3 2 2" xfId="7641" xr:uid="{00000000-0005-0000-0000-0000A72C0000}"/>
    <cellStyle name="20% - Accent4 3 5 2 3 2 2 2" xfId="14100" xr:uid="{00000000-0005-0000-0000-0000A82C0000}"/>
    <cellStyle name="20% - Accent4 3 5 2 3 2 2 2 2" xfId="27017" xr:uid="{00000000-0005-0000-0000-0000A92C0000}"/>
    <cellStyle name="20% - Accent4 3 5 2 3 2 2 2 2 2" xfId="52891" xr:uid="{00000000-0005-0000-0000-0000AA2C0000}"/>
    <cellStyle name="20% - Accent4 3 5 2 3 2 2 2 3" xfId="39975" xr:uid="{00000000-0005-0000-0000-0000AB2C0000}"/>
    <cellStyle name="20% - Accent4 3 5 2 3 2 2 3" xfId="20559" xr:uid="{00000000-0005-0000-0000-0000AC2C0000}"/>
    <cellStyle name="20% - Accent4 3 5 2 3 2 2 3 2" xfId="46433" xr:uid="{00000000-0005-0000-0000-0000AD2C0000}"/>
    <cellStyle name="20% - Accent4 3 5 2 3 2 2 4" xfId="33517" xr:uid="{00000000-0005-0000-0000-0000AE2C0000}"/>
    <cellStyle name="20% - Accent4 3 5 2 3 2 3" xfId="10872" xr:uid="{00000000-0005-0000-0000-0000AF2C0000}"/>
    <cellStyle name="20% - Accent4 3 5 2 3 2 3 2" xfId="23789" xr:uid="{00000000-0005-0000-0000-0000B02C0000}"/>
    <cellStyle name="20% - Accent4 3 5 2 3 2 3 2 2" xfId="49663" xr:uid="{00000000-0005-0000-0000-0000B12C0000}"/>
    <cellStyle name="20% - Accent4 3 5 2 3 2 3 3" xfId="36747" xr:uid="{00000000-0005-0000-0000-0000B22C0000}"/>
    <cellStyle name="20% - Accent4 3 5 2 3 2 4" xfId="17331" xr:uid="{00000000-0005-0000-0000-0000B32C0000}"/>
    <cellStyle name="20% - Accent4 3 5 2 3 2 4 2" xfId="43205" xr:uid="{00000000-0005-0000-0000-0000B42C0000}"/>
    <cellStyle name="20% - Accent4 3 5 2 3 2 5" xfId="30257" xr:uid="{00000000-0005-0000-0000-0000B52C0000}"/>
    <cellStyle name="20% - Accent4 3 5 2 3 3" xfId="6027" xr:uid="{00000000-0005-0000-0000-0000B62C0000}"/>
    <cellStyle name="20% - Accent4 3 5 2 3 3 2" xfId="12486" xr:uid="{00000000-0005-0000-0000-0000B72C0000}"/>
    <cellStyle name="20% - Accent4 3 5 2 3 3 2 2" xfId="25403" xr:uid="{00000000-0005-0000-0000-0000B82C0000}"/>
    <cellStyle name="20% - Accent4 3 5 2 3 3 2 2 2" xfId="51277" xr:uid="{00000000-0005-0000-0000-0000B92C0000}"/>
    <cellStyle name="20% - Accent4 3 5 2 3 3 2 3" xfId="38361" xr:uid="{00000000-0005-0000-0000-0000BA2C0000}"/>
    <cellStyle name="20% - Accent4 3 5 2 3 3 3" xfId="18945" xr:uid="{00000000-0005-0000-0000-0000BB2C0000}"/>
    <cellStyle name="20% - Accent4 3 5 2 3 3 3 2" xfId="44819" xr:uid="{00000000-0005-0000-0000-0000BC2C0000}"/>
    <cellStyle name="20% - Accent4 3 5 2 3 3 4" xfId="31903" xr:uid="{00000000-0005-0000-0000-0000BD2C0000}"/>
    <cellStyle name="20% - Accent4 3 5 2 3 4" xfId="9258" xr:uid="{00000000-0005-0000-0000-0000BE2C0000}"/>
    <cellStyle name="20% - Accent4 3 5 2 3 4 2" xfId="22175" xr:uid="{00000000-0005-0000-0000-0000BF2C0000}"/>
    <cellStyle name="20% - Accent4 3 5 2 3 4 2 2" xfId="48049" xr:uid="{00000000-0005-0000-0000-0000C02C0000}"/>
    <cellStyle name="20% - Accent4 3 5 2 3 4 3" xfId="35133" xr:uid="{00000000-0005-0000-0000-0000C12C0000}"/>
    <cellStyle name="20% - Accent4 3 5 2 3 5" xfId="15717" xr:uid="{00000000-0005-0000-0000-0000C22C0000}"/>
    <cellStyle name="20% - Accent4 3 5 2 3 5 2" xfId="41591" xr:uid="{00000000-0005-0000-0000-0000C32C0000}"/>
    <cellStyle name="20% - Accent4 3 5 2 3 6" xfId="28643" xr:uid="{00000000-0005-0000-0000-0000C42C0000}"/>
    <cellStyle name="20% - Accent4 3 5 2 4" xfId="3580" xr:uid="{00000000-0005-0000-0000-0000C52C0000}"/>
    <cellStyle name="20% - Accent4 3 5 2 4 2" xfId="6834" xr:uid="{00000000-0005-0000-0000-0000C62C0000}"/>
    <cellStyle name="20% - Accent4 3 5 2 4 2 2" xfId="13293" xr:uid="{00000000-0005-0000-0000-0000C72C0000}"/>
    <cellStyle name="20% - Accent4 3 5 2 4 2 2 2" xfId="26210" xr:uid="{00000000-0005-0000-0000-0000C82C0000}"/>
    <cellStyle name="20% - Accent4 3 5 2 4 2 2 2 2" xfId="52084" xr:uid="{00000000-0005-0000-0000-0000C92C0000}"/>
    <cellStyle name="20% - Accent4 3 5 2 4 2 2 3" xfId="39168" xr:uid="{00000000-0005-0000-0000-0000CA2C0000}"/>
    <cellStyle name="20% - Accent4 3 5 2 4 2 3" xfId="19752" xr:uid="{00000000-0005-0000-0000-0000CB2C0000}"/>
    <cellStyle name="20% - Accent4 3 5 2 4 2 3 2" xfId="45626" xr:uid="{00000000-0005-0000-0000-0000CC2C0000}"/>
    <cellStyle name="20% - Accent4 3 5 2 4 2 4" xfId="32710" xr:uid="{00000000-0005-0000-0000-0000CD2C0000}"/>
    <cellStyle name="20% - Accent4 3 5 2 4 3" xfId="10065" xr:uid="{00000000-0005-0000-0000-0000CE2C0000}"/>
    <cellStyle name="20% - Accent4 3 5 2 4 3 2" xfId="22982" xr:uid="{00000000-0005-0000-0000-0000CF2C0000}"/>
    <cellStyle name="20% - Accent4 3 5 2 4 3 2 2" xfId="48856" xr:uid="{00000000-0005-0000-0000-0000D02C0000}"/>
    <cellStyle name="20% - Accent4 3 5 2 4 3 3" xfId="35940" xr:uid="{00000000-0005-0000-0000-0000D12C0000}"/>
    <cellStyle name="20% - Accent4 3 5 2 4 4" xfId="16524" xr:uid="{00000000-0005-0000-0000-0000D22C0000}"/>
    <cellStyle name="20% - Accent4 3 5 2 4 4 2" xfId="42398" xr:uid="{00000000-0005-0000-0000-0000D32C0000}"/>
    <cellStyle name="20% - Accent4 3 5 2 4 5" xfId="29450" xr:uid="{00000000-0005-0000-0000-0000D42C0000}"/>
    <cellStyle name="20% - Accent4 3 5 2 5" xfId="5220" xr:uid="{00000000-0005-0000-0000-0000D52C0000}"/>
    <cellStyle name="20% - Accent4 3 5 2 5 2" xfId="11679" xr:uid="{00000000-0005-0000-0000-0000D62C0000}"/>
    <cellStyle name="20% - Accent4 3 5 2 5 2 2" xfId="24596" xr:uid="{00000000-0005-0000-0000-0000D72C0000}"/>
    <cellStyle name="20% - Accent4 3 5 2 5 2 2 2" xfId="50470" xr:uid="{00000000-0005-0000-0000-0000D82C0000}"/>
    <cellStyle name="20% - Accent4 3 5 2 5 2 3" xfId="37554" xr:uid="{00000000-0005-0000-0000-0000D92C0000}"/>
    <cellStyle name="20% - Accent4 3 5 2 5 3" xfId="18138" xr:uid="{00000000-0005-0000-0000-0000DA2C0000}"/>
    <cellStyle name="20% - Accent4 3 5 2 5 3 2" xfId="44012" xr:uid="{00000000-0005-0000-0000-0000DB2C0000}"/>
    <cellStyle name="20% - Accent4 3 5 2 5 4" xfId="31096" xr:uid="{00000000-0005-0000-0000-0000DC2C0000}"/>
    <cellStyle name="20% - Accent4 3 5 2 6" xfId="8451" xr:uid="{00000000-0005-0000-0000-0000DD2C0000}"/>
    <cellStyle name="20% - Accent4 3 5 2 6 2" xfId="21368" xr:uid="{00000000-0005-0000-0000-0000DE2C0000}"/>
    <cellStyle name="20% - Accent4 3 5 2 6 2 2" xfId="47242" xr:uid="{00000000-0005-0000-0000-0000DF2C0000}"/>
    <cellStyle name="20% - Accent4 3 5 2 6 3" xfId="34326" xr:uid="{00000000-0005-0000-0000-0000E02C0000}"/>
    <cellStyle name="20% - Accent4 3 5 2 7" xfId="14910" xr:uid="{00000000-0005-0000-0000-0000E12C0000}"/>
    <cellStyle name="20% - Accent4 3 5 2 7 2" xfId="40784" xr:uid="{00000000-0005-0000-0000-0000E22C0000}"/>
    <cellStyle name="20% - Accent4 3 5 2 8" xfId="27835" xr:uid="{00000000-0005-0000-0000-0000E32C0000}"/>
    <cellStyle name="20% - Accent4 3 5 2 9" xfId="53698" xr:uid="{00000000-0005-0000-0000-0000E42C0000}"/>
    <cellStyle name="20% - Accent4 3 5 3" xfId="590" xr:uid="{00000000-0005-0000-0000-0000E52C0000}"/>
    <cellStyle name="20% - Accent4 3 5 3 2" xfId="2962" xr:uid="{00000000-0005-0000-0000-0000E62C0000}"/>
    <cellStyle name="20% - Accent4 3 5 3 2 2" xfId="4619" xr:uid="{00000000-0005-0000-0000-0000E72C0000}"/>
    <cellStyle name="20% - Accent4 3 5 3 2 2 2" xfId="7850" xr:uid="{00000000-0005-0000-0000-0000E82C0000}"/>
    <cellStyle name="20% - Accent4 3 5 3 2 2 2 2" xfId="14309" xr:uid="{00000000-0005-0000-0000-0000E92C0000}"/>
    <cellStyle name="20% - Accent4 3 5 3 2 2 2 2 2" xfId="27226" xr:uid="{00000000-0005-0000-0000-0000EA2C0000}"/>
    <cellStyle name="20% - Accent4 3 5 3 2 2 2 2 2 2" xfId="53100" xr:uid="{00000000-0005-0000-0000-0000EB2C0000}"/>
    <cellStyle name="20% - Accent4 3 5 3 2 2 2 2 3" xfId="40184" xr:uid="{00000000-0005-0000-0000-0000EC2C0000}"/>
    <cellStyle name="20% - Accent4 3 5 3 2 2 2 3" xfId="20768" xr:uid="{00000000-0005-0000-0000-0000ED2C0000}"/>
    <cellStyle name="20% - Accent4 3 5 3 2 2 2 3 2" xfId="46642" xr:uid="{00000000-0005-0000-0000-0000EE2C0000}"/>
    <cellStyle name="20% - Accent4 3 5 3 2 2 2 4" xfId="33726" xr:uid="{00000000-0005-0000-0000-0000EF2C0000}"/>
    <cellStyle name="20% - Accent4 3 5 3 2 2 3" xfId="11081" xr:uid="{00000000-0005-0000-0000-0000F02C0000}"/>
    <cellStyle name="20% - Accent4 3 5 3 2 2 3 2" xfId="23998" xr:uid="{00000000-0005-0000-0000-0000F12C0000}"/>
    <cellStyle name="20% - Accent4 3 5 3 2 2 3 2 2" xfId="49872" xr:uid="{00000000-0005-0000-0000-0000F22C0000}"/>
    <cellStyle name="20% - Accent4 3 5 3 2 2 3 3" xfId="36956" xr:uid="{00000000-0005-0000-0000-0000F32C0000}"/>
    <cellStyle name="20% - Accent4 3 5 3 2 2 4" xfId="17540" xr:uid="{00000000-0005-0000-0000-0000F42C0000}"/>
    <cellStyle name="20% - Accent4 3 5 3 2 2 4 2" xfId="43414" xr:uid="{00000000-0005-0000-0000-0000F52C0000}"/>
    <cellStyle name="20% - Accent4 3 5 3 2 2 5" xfId="30466" xr:uid="{00000000-0005-0000-0000-0000F62C0000}"/>
    <cellStyle name="20% - Accent4 3 5 3 2 3" xfId="6236" xr:uid="{00000000-0005-0000-0000-0000F72C0000}"/>
    <cellStyle name="20% - Accent4 3 5 3 2 3 2" xfId="12695" xr:uid="{00000000-0005-0000-0000-0000F82C0000}"/>
    <cellStyle name="20% - Accent4 3 5 3 2 3 2 2" xfId="25612" xr:uid="{00000000-0005-0000-0000-0000F92C0000}"/>
    <cellStyle name="20% - Accent4 3 5 3 2 3 2 2 2" xfId="51486" xr:uid="{00000000-0005-0000-0000-0000FA2C0000}"/>
    <cellStyle name="20% - Accent4 3 5 3 2 3 2 3" xfId="38570" xr:uid="{00000000-0005-0000-0000-0000FB2C0000}"/>
    <cellStyle name="20% - Accent4 3 5 3 2 3 3" xfId="19154" xr:uid="{00000000-0005-0000-0000-0000FC2C0000}"/>
    <cellStyle name="20% - Accent4 3 5 3 2 3 3 2" xfId="45028" xr:uid="{00000000-0005-0000-0000-0000FD2C0000}"/>
    <cellStyle name="20% - Accent4 3 5 3 2 3 4" xfId="32112" xr:uid="{00000000-0005-0000-0000-0000FE2C0000}"/>
    <cellStyle name="20% - Accent4 3 5 3 2 4" xfId="9467" xr:uid="{00000000-0005-0000-0000-0000FF2C0000}"/>
    <cellStyle name="20% - Accent4 3 5 3 2 4 2" xfId="22384" xr:uid="{00000000-0005-0000-0000-0000002D0000}"/>
    <cellStyle name="20% - Accent4 3 5 3 2 4 2 2" xfId="48258" xr:uid="{00000000-0005-0000-0000-0000012D0000}"/>
    <cellStyle name="20% - Accent4 3 5 3 2 4 3" xfId="35342" xr:uid="{00000000-0005-0000-0000-0000022D0000}"/>
    <cellStyle name="20% - Accent4 3 5 3 2 5" xfId="15926" xr:uid="{00000000-0005-0000-0000-0000032D0000}"/>
    <cellStyle name="20% - Accent4 3 5 3 2 5 2" xfId="41800" xr:uid="{00000000-0005-0000-0000-0000042D0000}"/>
    <cellStyle name="20% - Accent4 3 5 3 2 6" xfId="28852" xr:uid="{00000000-0005-0000-0000-0000052D0000}"/>
    <cellStyle name="20% - Accent4 3 5 3 3" xfId="3789" xr:uid="{00000000-0005-0000-0000-0000062D0000}"/>
    <cellStyle name="20% - Accent4 3 5 3 3 2" xfId="7043" xr:uid="{00000000-0005-0000-0000-0000072D0000}"/>
    <cellStyle name="20% - Accent4 3 5 3 3 2 2" xfId="13502" xr:uid="{00000000-0005-0000-0000-0000082D0000}"/>
    <cellStyle name="20% - Accent4 3 5 3 3 2 2 2" xfId="26419" xr:uid="{00000000-0005-0000-0000-0000092D0000}"/>
    <cellStyle name="20% - Accent4 3 5 3 3 2 2 2 2" xfId="52293" xr:uid="{00000000-0005-0000-0000-00000A2D0000}"/>
    <cellStyle name="20% - Accent4 3 5 3 3 2 2 3" xfId="39377" xr:uid="{00000000-0005-0000-0000-00000B2D0000}"/>
    <cellStyle name="20% - Accent4 3 5 3 3 2 3" xfId="19961" xr:uid="{00000000-0005-0000-0000-00000C2D0000}"/>
    <cellStyle name="20% - Accent4 3 5 3 3 2 3 2" xfId="45835" xr:uid="{00000000-0005-0000-0000-00000D2D0000}"/>
    <cellStyle name="20% - Accent4 3 5 3 3 2 4" xfId="32919" xr:uid="{00000000-0005-0000-0000-00000E2D0000}"/>
    <cellStyle name="20% - Accent4 3 5 3 3 3" xfId="10274" xr:uid="{00000000-0005-0000-0000-00000F2D0000}"/>
    <cellStyle name="20% - Accent4 3 5 3 3 3 2" xfId="23191" xr:uid="{00000000-0005-0000-0000-0000102D0000}"/>
    <cellStyle name="20% - Accent4 3 5 3 3 3 2 2" xfId="49065" xr:uid="{00000000-0005-0000-0000-0000112D0000}"/>
    <cellStyle name="20% - Accent4 3 5 3 3 3 3" xfId="36149" xr:uid="{00000000-0005-0000-0000-0000122D0000}"/>
    <cellStyle name="20% - Accent4 3 5 3 3 4" xfId="16733" xr:uid="{00000000-0005-0000-0000-0000132D0000}"/>
    <cellStyle name="20% - Accent4 3 5 3 3 4 2" xfId="42607" xr:uid="{00000000-0005-0000-0000-0000142D0000}"/>
    <cellStyle name="20% - Accent4 3 5 3 3 5" xfId="29659" xr:uid="{00000000-0005-0000-0000-0000152D0000}"/>
    <cellStyle name="20% - Accent4 3 5 3 4" xfId="5429" xr:uid="{00000000-0005-0000-0000-0000162D0000}"/>
    <cellStyle name="20% - Accent4 3 5 3 4 2" xfId="11888" xr:uid="{00000000-0005-0000-0000-0000172D0000}"/>
    <cellStyle name="20% - Accent4 3 5 3 4 2 2" xfId="24805" xr:uid="{00000000-0005-0000-0000-0000182D0000}"/>
    <cellStyle name="20% - Accent4 3 5 3 4 2 2 2" xfId="50679" xr:uid="{00000000-0005-0000-0000-0000192D0000}"/>
    <cellStyle name="20% - Accent4 3 5 3 4 2 3" xfId="37763" xr:uid="{00000000-0005-0000-0000-00001A2D0000}"/>
    <cellStyle name="20% - Accent4 3 5 3 4 3" xfId="18347" xr:uid="{00000000-0005-0000-0000-00001B2D0000}"/>
    <cellStyle name="20% - Accent4 3 5 3 4 3 2" xfId="44221" xr:uid="{00000000-0005-0000-0000-00001C2D0000}"/>
    <cellStyle name="20% - Accent4 3 5 3 4 4" xfId="31305" xr:uid="{00000000-0005-0000-0000-00001D2D0000}"/>
    <cellStyle name="20% - Accent4 3 5 3 5" xfId="8660" xr:uid="{00000000-0005-0000-0000-00001E2D0000}"/>
    <cellStyle name="20% - Accent4 3 5 3 5 2" xfId="21577" xr:uid="{00000000-0005-0000-0000-00001F2D0000}"/>
    <cellStyle name="20% - Accent4 3 5 3 5 2 2" xfId="47451" xr:uid="{00000000-0005-0000-0000-0000202D0000}"/>
    <cellStyle name="20% - Accent4 3 5 3 5 3" xfId="34535" xr:uid="{00000000-0005-0000-0000-0000212D0000}"/>
    <cellStyle name="20% - Accent4 3 5 3 6" xfId="15119" xr:uid="{00000000-0005-0000-0000-0000222D0000}"/>
    <cellStyle name="20% - Accent4 3 5 3 6 2" xfId="40993" xr:uid="{00000000-0005-0000-0000-0000232D0000}"/>
    <cellStyle name="20% - Accent4 3 5 3 7" xfId="28045" xr:uid="{00000000-0005-0000-0000-0000242D0000}"/>
    <cellStyle name="20% - Accent4 3 5 3 8" xfId="53907" xr:uid="{00000000-0005-0000-0000-0000252D0000}"/>
    <cellStyle name="20% - Accent4 3 5 3 9" xfId="2148" xr:uid="{00000000-0005-0000-0000-0000262D0000}"/>
    <cellStyle name="20% - Accent4 3 5 4" xfId="2559" xr:uid="{00000000-0005-0000-0000-0000272D0000}"/>
    <cellStyle name="20% - Accent4 3 5 4 2" xfId="4216" xr:uid="{00000000-0005-0000-0000-0000282D0000}"/>
    <cellStyle name="20% - Accent4 3 5 4 2 2" xfId="7447" xr:uid="{00000000-0005-0000-0000-0000292D0000}"/>
    <cellStyle name="20% - Accent4 3 5 4 2 2 2" xfId="13906" xr:uid="{00000000-0005-0000-0000-00002A2D0000}"/>
    <cellStyle name="20% - Accent4 3 5 4 2 2 2 2" xfId="26823" xr:uid="{00000000-0005-0000-0000-00002B2D0000}"/>
    <cellStyle name="20% - Accent4 3 5 4 2 2 2 2 2" xfId="52697" xr:uid="{00000000-0005-0000-0000-00002C2D0000}"/>
    <cellStyle name="20% - Accent4 3 5 4 2 2 2 3" xfId="39781" xr:uid="{00000000-0005-0000-0000-00002D2D0000}"/>
    <cellStyle name="20% - Accent4 3 5 4 2 2 3" xfId="20365" xr:uid="{00000000-0005-0000-0000-00002E2D0000}"/>
    <cellStyle name="20% - Accent4 3 5 4 2 2 3 2" xfId="46239" xr:uid="{00000000-0005-0000-0000-00002F2D0000}"/>
    <cellStyle name="20% - Accent4 3 5 4 2 2 4" xfId="33323" xr:uid="{00000000-0005-0000-0000-0000302D0000}"/>
    <cellStyle name="20% - Accent4 3 5 4 2 3" xfId="10678" xr:uid="{00000000-0005-0000-0000-0000312D0000}"/>
    <cellStyle name="20% - Accent4 3 5 4 2 3 2" xfId="23595" xr:uid="{00000000-0005-0000-0000-0000322D0000}"/>
    <cellStyle name="20% - Accent4 3 5 4 2 3 2 2" xfId="49469" xr:uid="{00000000-0005-0000-0000-0000332D0000}"/>
    <cellStyle name="20% - Accent4 3 5 4 2 3 3" xfId="36553" xr:uid="{00000000-0005-0000-0000-0000342D0000}"/>
    <cellStyle name="20% - Accent4 3 5 4 2 4" xfId="17137" xr:uid="{00000000-0005-0000-0000-0000352D0000}"/>
    <cellStyle name="20% - Accent4 3 5 4 2 4 2" xfId="43011" xr:uid="{00000000-0005-0000-0000-0000362D0000}"/>
    <cellStyle name="20% - Accent4 3 5 4 2 5" xfId="30063" xr:uid="{00000000-0005-0000-0000-0000372D0000}"/>
    <cellStyle name="20% - Accent4 3 5 4 3" xfId="5833" xr:uid="{00000000-0005-0000-0000-0000382D0000}"/>
    <cellStyle name="20% - Accent4 3 5 4 3 2" xfId="12292" xr:uid="{00000000-0005-0000-0000-0000392D0000}"/>
    <cellStyle name="20% - Accent4 3 5 4 3 2 2" xfId="25209" xr:uid="{00000000-0005-0000-0000-00003A2D0000}"/>
    <cellStyle name="20% - Accent4 3 5 4 3 2 2 2" xfId="51083" xr:uid="{00000000-0005-0000-0000-00003B2D0000}"/>
    <cellStyle name="20% - Accent4 3 5 4 3 2 3" xfId="38167" xr:uid="{00000000-0005-0000-0000-00003C2D0000}"/>
    <cellStyle name="20% - Accent4 3 5 4 3 3" xfId="18751" xr:uid="{00000000-0005-0000-0000-00003D2D0000}"/>
    <cellStyle name="20% - Accent4 3 5 4 3 3 2" xfId="44625" xr:uid="{00000000-0005-0000-0000-00003E2D0000}"/>
    <cellStyle name="20% - Accent4 3 5 4 3 4" xfId="31709" xr:uid="{00000000-0005-0000-0000-00003F2D0000}"/>
    <cellStyle name="20% - Accent4 3 5 4 4" xfId="9064" xr:uid="{00000000-0005-0000-0000-0000402D0000}"/>
    <cellStyle name="20% - Accent4 3 5 4 4 2" xfId="21981" xr:uid="{00000000-0005-0000-0000-0000412D0000}"/>
    <cellStyle name="20% - Accent4 3 5 4 4 2 2" xfId="47855" xr:uid="{00000000-0005-0000-0000-0000422D0000}"/>
    <cellStyle name="20% - Accent4 3 5 4 4 3" xfId="34939" xr:uid="{00000000-0005-0000-0000-0000432D0000}"/>
    <cellStyle name="20% - Accent4 3 5 4 5" xfId="15523" xr:uid="{00000000-0005-0000-0000-0000442D0000}"/>
    <cellStyle name="20% - Accent4 3 5 4 5 2" xfId="41397" xr:uid="{00000000-0005-0000-0000-0000452D0000}"/>
    <cellStyle name="20% - Accent4 3 5 4 6" xfId="28449" xr:uid="{00000000-0005-0000-0000-0000462D0000}"/>
    <cellStyle name="20% - Accent4 3 5 5" xfId="3384" xr:uid="{00000000-0005-0000-0000-0000472D0000}"/>
    <cellStyle name="20% - Accent4 3 5 5 2" xfId="6640" xr:uid="{00000000-0005-0000-0000-0000482D0000}"/>
    <cellStyle name="20% - Accent4 3 5 5 2 2" xfId="13099" xr:uid="{00000000-0005-0000-0000-0000492D0000}"/>
    <cellStyle name="20% - Accent4 3 5 5 2 2 2" xfId="26016" xr:uid="{00000000-0005-0000-0000-00004A2D0000}"/>
    <cellStyle name="20% - Accent4 3 5 5 2 2 2 2" xfId="51890" xr:uid="{00000000-0005-0000-0000-00004B2D0000}"/>
    <cellStyle name="20% - Accent4 3 5 5 2 2 3" xfId="38974" xr:uid="{00000000-0005-0000-0000-00004C2D0000}"/>
    <cellStyle name="20% - Accent4 3 5 5 2 3" xfId="19558" xr:uid="{00000000-0005-0000-0000-00004D2D0000}"/>
    <cellStyle name="20% - Accent4 3 5 5 2 3 2" xfId="45432" xr:uid="{00000000-0005-0000-0000-00004E2D0000}"/>
    <cellStyle name="20% - Accent4 3 5 5 2 4" xfId="32516" xr:uid="{00000000-0005-0000-0000-00004F2D0000}"/>
    <cellStyle name="20% - Accent4 3 5 5 3" xfId="9871" xr:uid="{00000000-0005-0000-0000-0000502D0000}"/>
    <cellStyle name="20% - Accent4 3 5 5 3 2" xfId="22788" xr:uid="{00000000-0005-0000-0000-0000512D0000}"/>
    <cellStyle name="20% - Accent4 3 5 5 3 2 2" xfId="48662" xr:uid="{00000000-0005-0000-0000-0000522D0000}"/>
    <cellStyle name="20% - Accent4 3 5 5 3 3" xfId="35746" xr:uid="{00000000-0005-0000-0000-0000532D0000}"/>
    <cellStyle name="20% - Accent4 3 5 5 4" xfId="16330" xr:uid="{00000000-0005-0000-0000-0000542D0000}"/>
    <cellStyle name="20% - Accent4 3 5 5 4 2" xfId="42204" xr:uid="{00000000-0005-0000-0000-0000552D0000}"/>
    <cellStyle name="20% - Accent4 3 5 5 5" xfId="29256" xr:uid="{00000000-0005-0000-0000-0000562D0000}"/>
    <cellStyle name="20% - Accent4 3 5 6" xfId="5026" xr:uid="{00000000-0005-0000-0000-0000572D0000}"/>
    <cellStyle name="20% - Accent4 3 5 6 2" xfId="11485" xr:uid="{00000000-0005-0000-0000-0000582D0000}"/>
    <cellStyle name="20% - Accent4 3 5 6 2 2" xfId="24402" xr:uid="{00000000-0005-0000-0000-0000592D0000}"/>
    <cellStyle name="20% - Accent4 3 5 6 2 2 2" xfId="50276" xr:uid="{00000000-0005-0000-0000-00005A2D0000}"/>
    <cellStyle name="20% - Accent4 3 5 6 2 3" xfId="37360" xr:uid="{00000000-0005-0000-0000-00005B2D0000}"/>
    <cellStyle name="20% - Accent4 3 5 6 3" xfId="17944" xr:uid="{00000000-0005-0000-0000-00005C2D0000}"/>
    <cellStyle name="20% - Accent4 3 5 6 3 2" xfId="43818" xr:uid="{00000000-0005-0000-0000-00005D2D0000}"/>
    <cellStyle name="20% - Accent4 3 5 6 4" xfId="30902" xr:uid="{00000000-0005-0000-0000-00005E2D0000}"/>
    <cellStyle name="20% - Accent4 3 5 7" xfId="8256" xr:uid="{00000000-0005-0000-0000-00005F2D0000}"/>
    <cellStyle name="20% - Accent4 3 5 7 2" xfId="21173" xr:uid="{00000000-0005-0000-0000-0000602D0000}"/>
    <cellStyle name="20% - Accent4 3 5 7 2 2" xfId="47047" xr:uid="{00000000-0005-0000-0000-0000612D0000}"/>
    <cellStyle name="20% - Accent4 3 5 7 3" xfId="34131" xr:uid="{00000000-0005-0000-0000-0000622D0000}"/>
    <cellStyle name="20% - Accent4 3 5 8" xfId="14715" xr:uid="{00000000-0005-0000-0000-0000632D0000}"/>
    <cellStyle name="20% - Accent4 3 5 8 2" xfId="40589" xr:uid="{00000000-0005-0000-0000-0000642D0000}"/>
    <cellStyle name="20% - Accent4 3 5 9" xfId="27639" xr:uid="{00000000-0005-0000-0000-0000652D0000}"/>
    <cellStyle name="20% - Accent4 3 6" xfId="592" xr:uid="{00000000-0005-0000-0000-0000662D0000}"/>
    <cellStyle name="20% - Accent4 3 7" xfId="577" xr:uid="{00000000-0005-0000-0000-0000672D0000}"/>
    <cellStyle name="20% - Accent4 3 8" xfId="1063" xr:uid="{00000000-0005-0000-0000-0000682D0000}"/>
    <cellStyle name="20% - Accent4 4" xfId="486" xr:uid="{00000000-0005-0000-0000-0000692D0000}"/>
    <cellStyle name="20% - Accent4 4 2" xfId="594" xr:uid="{00000000-0005-0000-0000-00006A2D0000}"/>
    <cellStyle name="20% - Accent4 4 3" xfId="593" xr:uid="{00000000-0005-0000-0000-00006B2D0000}"/>
    <cellStyle name="20% - Accent4 4 4" xfId="1064" xr:uid="{00000000-0005-0000-0000-00006C2D0000}"/>
    <cellStyle name="20% - Accent4 5" xfId="396" xr:uid="{00000000-0005-0000-0000-00006D2D0000}"/>
    <cellStyle name="20% - Accent4 5 2" xfId="596" xr:uid="{00000000-0005-0000-0000-00006E2D0000}"/>
    <cellStyle name="20% - Accent4 5 3" xfId="595" xr:uid="{00000000-0005-0000-0000-00006F2D0000}"/>
    <cellStyle name="20% - Accent4 5 4" xfId="1065" xr:uid="{00000000-0005-0000-0000-0000702D0000}"/>
    <cellStyle name="20% - Accent4 6" xfId="597" xr:uid="{00000000-0005-0000-0000-0000712D0000}"/>
    <cellStyle name="20% - Accent4 6 2" xfId="1066" xr:uid="{00000000-0005-0000-0000-0000722D0000}"/>
    <cellStyle name="20% - Accent4 7" xfId="572" xr:uid="{00000000-0005-0000-0000-0000732D0000}"/>
    <cellStyle name="20% - Accent4 7 2" xfId="1068" xr:uid="{00000000-0005-0000-0000-0000742D0000}"/>
    <cellStyle name="20% - Accent4 7 3" xfId="1069" xr:uid="{00000000-0005-0000-0000-0000752D0000}"/>
    <cellStyle name="20% - Accent4 7 3 10" xfId="27584" xr:uid="{00000000-0005-0000-0000-0000762D0000}"/>
    <cellStyle name="20% - Accent4 7 3 11" xfId="53450" xr:uid="{00000000-0005-0000-0000-0000772D0000}"/>
    <cellStyle name="20% - Accent4 7 3 2" xfId="1738" xr:uid="{00000000-0005-0000-0000-0000782D0000}"/>
    <cellStyle name="20% - Accent4 7 3 2 10" xfId="53595" xr:uid="{00000000-0005-0000-0000-0000792D0000}"/>
    <cellStyle name="20% - Accent4 7 3 2 2" xfId="2004" xr:uid="{00000000-0005-0000-0000-00007A2D0000}"/>
    <cellStyle name="20% - Accent4 7 3 2 2 2" xfId="2435" xr:uid="{00000000-0005-0000-0000-00007B2D0000}"/>
    <cellStyle name="20% - Accent4 7 3 2 2 2 2" xfId="3248" xr:uid="{00000000-0005-0000-0000-00007C2D0000}"/>
    <cellStyle name="20% - Accent4 7 3 2 2 2 2 2" xfId="4905" xr:uid="{00000000-0005-0000-0000-00007D2D0000}"/>
    <cellStyle name="20% - Accent4 7 3 2 2 2 2 2 2" xfId="8136" xr:uid="{00000000-0005-0000-0000-00007E2D0000}"/>
    <cellStyle name="20% - Accent4 7 3 2 2 2 2 2 2 2" xfId="14595" xr:uid="{00000000-0005-0000-0000-00007F2D0000}"/>
    <cellStyle name="20% - Accent4 7 3 2 2 2 2 2 2 2 2" xfId="27512" xr:uid="{00000000-0005-0000-0000-0000802D0000}"/>
    <cellStyle name="20% - Accent4 7 3 2 2 2 2 2 2 2 2 2" xfId="53386" xr:uid="{00000000-0005-0000-0000-0000812D0000}"/>
    <cellStyle name="20% - Accent4 7 3 2 2 2 2 2 2 2 3" xfId="40470" xr:uid="{00000000-0005-0000-0000-0000822D0000}"/>
    <cellStyle name="20% - Accent4 7 3 2 2 2 2 2 2 3" xfId="21054" xr:uid="{00000000-0005-0000-0000-0000832D0000}"/>
    <cellStyle name="20% - Accent4 7 3 2 2 2 2 2 2 3 2" xfId="46928" xr:uid="{00000000-0005-0000-0000-0000842D0000}"/>
    <cellStyle name="20% - Accent4 7 3 2 2 2 2 2 2 4" xfId="34012" xr:uid="{00000000-0005-0000-0000-0000852D0000}"/>
    <cellStyle name="20% - Accent4 7 3 2 2 2 2 2 3" xfId="11367" xr:uid="{00000000-0005-0000-0000-0000862D0000}"/>
    <cellStyle name="20% - Accent4 7 3 2 2 2 2 2 3 2" xfId="24284" xr:uid="{00000000-0005-0000-0000-0000872D0000}"/>
    <cellStyle name="20% - Accent4 7 3 2 2 2 2 2 3 2 2" xfId="50158" xr:uid="{00000000-0005-0000-0000-0000882D0000}"/>
    <cellStyle name="20% - Accent4 7 3 2 2 2 2 2 3 3" xfId="37242" xr:uid="{00000000-0005-0000-0000-0000892D0000}"/>
    <cellStyle name="20% - Accent4 7 3 2 2 2 2 2 4" xfId="17826" xr:uid="{00000000-0005-0000-0000-00008A2D0000}"/>
    <cellStyle name="20% - Accent4 7 3 2 2 2 2 2 4 2" xfId="43700" xr:uid="{00000000-0005-0000-0000-00008B2D0000}"/>
    <cellStyle name="20% - Accent4 7 3 2 2 2 2 2 5" xfId="30752" xr:uid="{00000000-0005-0000-0000-00008C2D0000}"/>
    <cellStyle name="20% - Accent4 7 3 2 2 2 2 3" xfId="6522" xr:uid="{00000000-0005-0000-0000-00008D2D0000}"/>
    <cellStyle name="20% - Accent4 7 3 2 2 2 2 3 2" xfId="12981" xr:uid="{00000000-0005-0000-0000-00008E2D0000}"/>
    <cellStyle name="20% - Accent4 7 3 2 2 2 2 3 2 2" xfId="25898" xr:uid="{00000000-0005-0000-0000-00008F2D0000}"/>
    <cellStyle name="20% - Accent4 7 3 2 2 2 2 3 2 2 2" xfId="51772" xr:uid="{00000000-0005-0000-0000-0000902D0000}"/>
    <cellStyle name="20% - Accent4 7 3 2 2 2 2 3 2 3" xfId="38856" xr:uid="{00000000-0005-0000-0000-0000912D0000}"/>
    <cellStyle name="20% - Accent4 7 3 2 2 2 2 3 3" xfId="19440" xr:uid="{00000000-0005-0000-0000-0000922D0000}"/>
    <cellStyle name="20% - Accent4 7 3 2 2 2 2 3 3 2" xfId="45314" xr:uid="{00000000-0005-0000-0000-0000932D0000}"/>
    <cellStyle name="20% - Accent4 7 3 2 2 2 2 3 4" xfId="32398" xr:uid="{00000000-0005-0000-0000-0000942D0000}"/>
    <cellStyle name="20% - Accent4 7 3 2 2 2 2 4" xfId="9753" xr:uid="{00000000-0005-0000-0000-0000952D0000}"/>
    <cellStyle name="20% - Accent4 7 3 2 2 2 2 4 2" xfId="22670" xr:uid="{00000000-0005-0000-0000-0000962D0000}"/>
    <cellStyle name="20% - Accent4 7 3 2 2 2 2 4 2 2" xfId="48544" xr:uid="{00000000-0005-0000-0000-0000972D0000}"/>
    <cellStyle name="20% - Accent4 7 3 2 2 2 2 4 3" xfId="35628" xr:uid="{00000000-0005-0000-0000-0000982D0000}"/>
    <cellStyle name="20% - Accent4 7 3 2 2 2 2 5" xfId="16212" xr:uid="{00000000-0005-0000-0000-0000992D0000}"/>
    <cellStyle name="20% - Accent4 7 3 2 2 2 2 5 2" xfId="42086" xr:uid="{00000000-0005-0000-0000-00009A2D0000}"/>
    <cellStyle name="20% - Accent4 7 3 2 2 2 2 6" xfId="29138" xr:uid="{00000000-0005-0000-0000-00009B2D0000}"/>
    <cellStyle name="20% - Accent4 7 3 2 2 2 3" xfId="4075" xr:uid="{00000000-0005-0000-0000-00009C2D0000}"/>
    <cellStyle name="20% - Accent4 7 3 2 2 2 3 2" xfId="7329" xr:uid="{00000000-0005-0000-0000-00009D2D0000}"/>
    <cellStyle name="20% - Accent4 7 3 2 2 2 3 2 2" xfId="13788" xr:uid="{00000000-0005-0000-0000-00009E2D0000}"/>
    <cellStyle name="20% - Accent4 7 3 2 2 2 3 2 2 2" xfId="26705" xr:uid="{00000000-0005-0000-0000-00009F2D0000}"/>
    <cellStyle name="20% - Accent4 7 3 2 2 2 3 2 2 2 2" xfId="52579" xr:uid="{00000000-0005-0000-0000-0000A02D0000}"/>
    <cellStyle name="20% - Accent4 7 3 2 2 2 3 2 2 3" xfId="39663" xr:uid="{00000000-0005-0000-0000-0000A12D0000}"/>
    <cellStyle name="20% - Accent4 7 3 2 2 2 3 2 3" xfId="20247" xr:uid="{00000000-0005-0000-0000-0000A22D0000}"/>
    <cellStyle name="20% - Accent4 7 3 2 2 2 3 2 3 2" xfId="46121" xr:uid="{00000000-0005-0000-0000-0000A32D0000}"/>
    <cellStyle name="20% - Accent4 7 3 2 2 2 3 2 4" xfId="33205" xr:uid="{00000000-0005-0000-0000-0000A42D0000}"/>
    <cellStyle name="20% - Accent4 7 3 2 2 2 3 3" xfId="10560" xr:uid="{00000000-0005-0000-0000-0000A52D0000}"/>
    <cellStyle name="20% - Accent4 7 3 2 2 2 3 3 2" xfId="23477" xr:uid="{00000000-0005-0000-0000-0000A62D0000}"/>
    <cellStyle name="20% - Accent4 7 3 2 2 2 3 3 2 2" xfId="49351" xr:uid="{00000000-0005-0000-0000-0000A72D0000}"/>
    <cellStyle name="20% - Accent4 7 3 2 2 2 3 3 3" xfId="36435" xr:uid="{00000000-0005-0000-0000-0000A82D0000}"/>
    <cellStyle name="20% - Accent4 7 3 2 2 2 3 4" xfId="17019" xr:uid="{00000000-0005-0000-0000-0000A92D0000}"/>
    <cellStyle name="20% - Accent4 7 3 2 2 2 3 4 2" xfId="42893" xr:uid="{00000000-0005-0000-0000-0000AA2D0000}"/>
    <cellStyle name="20% - Accent4 7 3 2 2 2 3 5" xfId="29945" xr:uid="{00000000-0005-0000-0000-0000AB2D0000}"/>
    <cellStyle name="20% - Accent4 7 3 2 2 2 4" xfId="5715" xr:uid="{00000000-0005-0000-0000-0000AC2D0000}"/>
    <cellStyle name="20% - Accent4 7 3 2 2 2 4 2" xfId="12174" xr:uid="{00000000-0005-0000-0000-0000AD2D0000}"/>
    <cellStyle name="20% - Accent4 7 3 2 2 2 4 2 2" xfId="25091" xr:uid="{00000000-0005-0000-0000-0000AE2D0000}"/>
    <cellStyle name="20% - Accent4 7 3 2 2 2 4 2 2 2" xfId="50965" xr:uid="{00000000-0005-0000-0000-0000AF2D0000}"/>
    <cellStyle name="20% - Accent4 7 3 2 2 2 4 2 3" xfId="38049" xr:uid="{00000000-0005-0000-0000-0000B02D0000}"/>
    <cellStyle name="20% - Accent4 7 3 2 2 2 4 3" xfId="18633" xr:uid="{00000000-0005-0000-0000-0000B12D0000}"/>
    <cellStyle name="20% - Accent4 7 3 2 2 2 4 3 2" xfId="44507" xr:uid="{00000000-0005-0000-0000-0000B22D0000}"/>
    <cellStyle name="20% - Accent4 7 3 2 2 2 4 4" xfId="31591" xr:uid="{00000000-0005-0000-0000-0000B32D0000}"/>
    <cellStyle name="20% - Accent4 7 3 2 2 2 5" xfId="8946" xr:uid="{00000000-0005-0000-0000-0000B42D0000}"/>
    <cellStyle name="20% - Accent4 7 3 2 2 2 5 2" xfId="21863" xr:uid="{00000000-0005-0000-0000-0000B52D0000}"/>
    <cellStyle name="20% - Accent4 7 3 2 2 2 5 2 2" xfId="47737" xr:uid="{00000000-0005-0000-0000-0000B62D0000}"/>
    <cellStyle name="20% - Accent4 7 3 2 2 2 5 3" xfId="34821" xr:uid="{00000000-0005-0000-0000-0000B72D0000}"/>
    <cellStyle name="20% - Accent4 7 3 2 2 2 6" xfId="15405" xr:uid="{00000000-0005-0000-0000-0000B82D0000}"/>
    <cellStyle name="20% - Accent4 7 3 2 2 2 6 2" xfId="41279" xr:uid="{00000000-0005-0000-0000-0000B92D0000}"/>
    <cellStyle name="20% - Accent4 7 3 2 2 2 7" xfId="28331" xr:uid="{00000000-0005-0000-0000-0000BA2D0000}"/>
    <cellStyle name="20% - Accent4 7 3 2 2 2 8" xfId="54193" xr:uid="{00000000-0005-0000-0000-0000BB2D0000}"/>
    <cellStyle name="20% - Accent4 7 3 2 2 3" xfId="2844" xr:uid="{00000000-0005-0000-0000-0000BC2D0000}"/>
    <cellStyle name="20% - Accent4 7 3 2 2 3 2" xfId="4501" xr:uid="{00000000-0005-0000-0000-0000BD2D0000}"/>
    <cellStyle name="20% - Accent4 7 3 2 2 3 2 2" xfId="7732" xr:uid="{00000000-0005-0000-0000-0000BE2D0000}"/>
    <cellStyle name="20% - Accent4 7 3 2 2 3 2 2 2" xfId="14191" xr:uid="{00000000-0005-0000-0000-0000BF2D0000}"/>
    <cellStyle name="20% - Accent4 7 3 2 2 3 2 2 2 2" xfId="27108" xr:uid="{00000000-0005-0000-0000-0000C02D0000}"/>
    <cellStyle name="20% - Accent4 7 3 2 2 3 2 2 2 2 2" xfId="52982" xr:uid="{00000000-0005-0000-0000-0000C12D0000}"/>
    <cellStyle name="20% - Accent4 7 3 2 2 3 2 2 2 3" xfId="40066" xr:uid="{00000000-0005-0000-0000-0000C22D0000}"/>
    <cellStyle name="20% - Accent4 7 3 2 2 3 2 2 3" xfId="20650" xr:uid="{00000000-0005-0000-0000-0000C32D0000}"/>
    <cellStyle name="20% - Accent4 7 3 2 2 3 2 2 3 2" xfId="46524" xr:uid="{00000000-0005-0000-0000-0000C42D0000}"/>
    <cellStyle name="20% - Accent4 7 3 2 2 3 2 2 4" xfId="33608" xr:uid="{00000000-0005-0000-0000-0000C52D0000}"/>
    <cellStyle name="20% - Accent4 7 3 2 2 3 2 3" xfId="10963" xr:uid="{00000000-0005-0000-0000-0000C62D0000}"/>
    <cellStyle name="20% - Accent4 7 3 2 2 3 2 3 2" xfId="23880" xr:uid="{00000000-0005-0000-0000-0000C72D0000}"/>
    <cellStyle name="20% - Accent4 7 3 2 2 3 2 3 2 2" xfId="49754" xr:uid="{00000000-0005-0000-0000-0000C82D0000}"/>
    <cellStyle name="20% - Accent4 7 3 2 2 3 2 3 3" xfId="36838" xr:uid="{00000000-0005-0000-0000-0000C92D0000}"/>
    <cellStyle name="20% - Accent4 7 3 2 2 3 2 4" xfId="17422" xr:uid="{00000000-0005-0000-0000-0000CA2D0000}"/>
    <cellStyle name="20% - Accent4 7 3 2 2 3 2 4 2" xfId="43296" xr:uid="{00000000-0005-0000-0000-0000CB2D0000}"/>
    <cellStyle name="20% - Accent4 7 3 2 2 3 2 5" xfId="30348" xr:uid="{00000000-0005-0000-0000-0000CC2D0000}"/>
    <cellStyle name="20% - Accent4 7 3 2 2 3 3" xfId="6118" xr:uid="{00000000-0005-0000-0000-0000CD2D0000}"/>
    <cellStyle name="20% - Accent4 7 3 2 2 3 3 2" xfId="12577" xr:uid="{00000000-0005-0000-0000-0000CE2D0000}"/>
    <cellStyle name="20% - Accent4 7 3 2 2 3 3 2 2" xfId="25494" xr:uid="{00000000-0005-0000-0000-0000CF2D0000}"/>
    <cellStyle name="20% - Accent4 7 3 2 2 3 3 2 2 2" xfId="51368" xr:uid="{00000000-0005-0000-0000-0000D02D0000}"/>
    <cellStyle name="20% - Accent4 7 3 2 2 3 3 2 3" xfId="38452" xr:uid="{00000000-0005-0000-0000-0000D12D0000}"/>
    <cellStyle name="20% - Accent4 7 3 2 2 3 3 3" xfId="19036" xr:uid="{00000000-0005-0000-0000-0000D22D0000}"/>
    <cellStyle name="20% - Accent4 7 3 2 2 3 3 3 2" xfId="44910" xr:uid="{00000000-0005-0000-0000-0000D32D0000}"/>
    <cellStyle name="20% - Accent4 7 3 2 2 3 3 4" xfId="31994" xr:uid="{00000000-0005-0000-0000-0000D42D0000}"/>
    <cellStyle name="20% - Accent4 7 3 2 2 3 4" xfId="9349" xr:uid="{00000000-0005-0000-0000-0000D52D0000}"/>
    <cellStyle name="20% - Accent4 7 3 2 2 3 4 2" xfId="22266" xr:uid="{00000000-0005-0000-0000-0000D62D0000}"/>
    <cellStyle name="20% - Accent4 7 3 2 2 3 4 2 2" xfId="48140" xr:uid="{00000000-0005-0000-0000-0000D72D0000}"/>
    <cellStyle name="20% - Accent4 7 3 2 2 3 4 3" xfId="35224" xr:uid="{00000000-0005-0000-0000-0000D82D0000}"/>
    <cellStyle name="20% - Accent4 7 3 2 2 3 5" xfId="15808" xr:uid="{00000000-0005-0000-0000-0000D92D0000}"/>
    <cellStyle name="20% - Accent4 7 3 2 2 3 5 2" xfId="41682" xr:uid="{00000000-0005-0000-0000-0000DA2D0000}"/>
    <cellStyle name="20% - Accent4 7 3 2 2 3 6" xfId="28734" xr:uid="{00000000-0005-0000-0000-0000DB2D0000}"/>
    <cellStyle name="20% - Accent4 7 3 2 2 4" xfId="3671" xr:uid="{00000000-0005-0000-0000-0000DC2D0000}"/>
    <cellStyle name="20% - Accent4 7 3 2 2 4 2" xfId="6925" xr:uid="{00000000-0005-0000-0000-0000DD2D0000}"/>
    <cellStyle name="20% - Accent4 7 3 2 2 4 2 2" xfId="13384" xr:uid="{00000000-0005-0000-0000-0000DE2D0000}"/>
    <cellStyle name="20% - Accent4 7 3 2 2 4 2 2 2" xfId="26301" xr:uid="{00000000-0005-0000-0000-0000DF2D0000}"/>
    <cellStyle name="20% - Accent4 7 3 2 2 4 2 2 2 2" xfId="52175" xr:uid="{00000000-0005-0000-0000-0000E02D0000}"/>
    <cellStyle name="20% - Accent4 7 3 2 2 4 2 2 3" xfId="39259" xr:uid="{00000000-0005-0000-0000-0000E12D0000}"/>
    <cellStyle name="20% - Accent4 7 3 2 2 4 2 3" xfId="19843" xr:uid="{00000000-0005-0000-0000-0000E22D0000}"/>
    <cellStyle name="20% - Accent4 7 3 2 2 4 2 3 2" xfId="45717" xr:uid="{00000000-0005-0000-0000-0000E32D0000}"/>
    <cellStyle name="20% - Accent4 7 3 2 2 4 2 4" xfId="32801" xr:uid="{00000000-0005-0000-0000-0000E42D0000}"/>
    <cellStyle name="20% - Accent4 7 3 2 2 4 3" xfId="10156" xr:uid="{00000000-0005-0000-0000-0000E52D0000}"/>
    <cellStyle name="20% - Accent4 7 3 2 2 4 3 2" xfId="23073" xr:uid="{00000000-0005-0000-0000-0000E62D0000}"/>
    <cellStyle name="20% - Accent4 7 3 2 2 4 3 2 2" xfId="48947" xr:uid="{00000000-0005-0000-0000-0000E72D0000}"/>
    <cellStyle name="20% - Accent4 7 3 2 2 4 3 3" xfId="36031" xr:uid="{00000000-0005-0000-0000-0000E82D0000}"/>
    <cellStyle name="20% - Accent4 7 3 2 2 4 4" xfId="16615" xr:uid="{00000000-0005-0000-0000-0000E92D0000}"/>
    <cellStyle name="20% - Accent4 7 3 2 2 4 4 2" xfId="42489" xr:uid="{00000000-0005-0000-0000-0000EA2D0000}"/>
    <cellStyle name="20% - Accent4 7 3 2 2 4 5" xfId="29541" xr:uid="{00000000-0005-0000-0000-0000EB2D0000}"/>
    <cellStyle name="20% - Accent4 7 3 2 2 5" xfId="5311" xr:uid="{00000000-0005-0000-0000-0000EC2D0000}"/>
    <cellStyle name="20% - Accent4 7 3 2 2 5 2" xfId="11770" xr:uid="{00000000-0005-0000-0000-0000ED2D0000}"/>
    <cellStyle name="20% - Accent4 7 3 2 2 5 2 2" xfId="24687" xr:uid="{00000000-0005-0000-0000-0000EE2D0000}"/>
    <cellStyle name="20% - Accent4 7 3 2 2 5 2 2 2" xfId="50561" xr:uid="{00000000-0005-0000-0000-0000EF2D0000}"/>
    <cellStyle name="20% - Accent4 7 3 2 2 5 2 3" xfId="37645" xr:uid="{00000000-0005-0000-0000-0000F02D0000}"/>
    <cellStyle name="20% - Accent4 7 3 2 2 5 3" xfId="18229" xr:uid="{00000000-0005-0000-0000-0000F12D0000}"/>
    <cellStyle name="20% - Accent4 7 3 2 2 5 3 2" xfId="44103" xr:uid="{00000000-0005-0000-0000-0000F22D0000}"/>
    <cellStyle name="20% - Accent4 7 3 2 2 5 4" xfId="31187" xr:uid="{00000000-0005-0000-0000-0000F32D0000}"/>
    <cellStyle name="20% - Accent4 7 3 2 2 6" xfId="8542" xr:uid="{00000000-0005-0000-0000-0000F42D0000}"/>
    <cellStyle name="20% - Accent4 7 3 2 2 6 2" xfId="21459" xr:uid="{00000000-0005-0000-0000-0000F52D0000}"/>
    <cellStyle name="20% - Accent4 7 3 2 2 6 2 2" xfId="47333" xr:uid="{00000000-0005-0000-0000-0000F62D0000}"/>
    <cellStyle name="20% - Accent4 7 3 2 2 6 3" xfId="34417" xr:uid="{00000000-0005-0000-0000-0000F72D0000}"/>
    <cellStyle name="20% - Accent4 7 3 2 2 7" xfId="15001" xr:uid="{00000000-0005-0000-0000-0000F82D0000}"/>
    <cellStyle name="20% - Accent4 7 3 2 2 7 2" xfId="40875" xr:uid="{00000000-0005-0000-0000-0000F92D0000}"/>
    <cellStyle name="20% - Accent4 7 3 2 2 8" xfId="27926" xr:uid="{00000000-0005-0000-0000-0000FA2D0000}"/>
    <cellStyle name="20% - Accent4 7 3 2 2 9" xfId="53789" xr:uid="{00000000-0005-0000-0000-0000FB2D0000}"/>
    <cellStyle name="20% - Accent4 7 3 2 3" xfId="2239" xr:uid="{00000000-0005-0000-0000-0000FC2D0000}"/>
    <cellStyle name="20% - Accent4 7 3 2 3 2" xfId="3053" xr:uid="{00000000-0005-0000-0000-0000FD2D0000}"/>
    <cellStyle name="20% - Accent4 7 3 2 3 2 2" xfId="4710" xr:uid="{00000000-0005-0000-0000-0000FE2D0000}"/>
    <cellStyle name="20% - Accent4 7 3 2 3 2 2 2" xfId="7941" xr:uid="{00000000-0005-0000-0000-0000FF2D0000}"/>
    <cellStyle name="20% - Accent4 7 3 2 3 2 2 2 2" xfId="14400" xr:uid="{00000000-0005-0000-0000-0000002E0000}"/>
    <cellStyle name="20% - Accent4 7 3 2 3 2 2 2 2 2" xfId="27317" xr:uid="{00000000-0005-0000-0000-0000012E0000}"/>
    <cellStyle name="20% - Accent4 7 3 2 3 2 2 2 2 2 2" xfId="53191" xr:uid="{00000000-0005-0000-0000-0000022E0000}"/>
    <cellStyle name="20% - Accent4 7 3 2 3 2 2 2 2 3" xfId="40275" xr:uid="{00000000-0005-0000-0000-0000032E0000}"/>
    <cellStyle name="20% - Accent4 7 3 2 3 2 2 2 3" xfId="20859" xr:uid="{00000000-0005-0000-0000-0000042E0000}"/>
    <cellStyle name="20% - Accent4 7 3 2 3 2 2 2 3 2" xfId="46733" xr:uid="{00000000-0005-0000-0000-0000052E0000}"/>
    <cellStyle name="20% - Accent4 7 3 2 3 2 2 2 4" xfId="33817" xr:uid="{00000000-0005-0000-0000-0000062E0000}"/>
    <cellStyle name="20% - Accent4 7 3 2 3 2 2 3" xfId="11172" xr:uid="{00000000-0005-0000-0000-0000072E0000}"/>
    <cellStyle name="20% - Accent4 7 3 2 3 2 2 3 2" xfId="24089" xr:uid="{00000000-0005-0000-0000-0000082E0000}"/>
    <cellStyle name="20% - Accent4 7 3 2 3 2 2 3 2 2" xfId="49963" xr:uid="{00000000-0005-0000-0000-0000092E0000}"/>
    <cellStyle name="20% - Accent4 7 3 2 3 2 2 3 3" xfId="37047" xr:uid="{00000000-0005-0000-0000-00000A2E0000}"/>
    <cellStyle name="20% - Accent4 7 3 2 3 2 2 4" xfId="17631" xr:uid="{00000000-0005-0000-0000-00000B2E0000}"/>
    <cellStyle name="20% - Accent4 7 3 2 3 2 2 4 2" xfId="43505" xr:uid="{00000000-0005-0000-0000-00000C2E0000}"/>
    <cellStyle name="20% - Accent4 7 3 2 3 2 2 5" xfId="30557" xr:uid="{00000000-0005-0000-0000-00000D2E0000}"/>
    <cellStyle name="20% - Accent4 7 3 2 3 2 3" xfId="6327" xr:uid="{00000000-0005-0000-0000-00000E2E0000}"/>
    <cellStyle name="20% - Accent4 7 3 2 3 2 3 2" xfId="12786" xr:uid="{00000000-0005-0000-0000-00000F2E0000}"/>
    <cellStyle name="20% - Accent4 7 3 2 3 2 3 2 2" xfId="25703" xr:uid="{00000000-0005-0000-0000-0000102E0000}"/>
    <cellStyle name="20% - Accent4 7 3 2 3 2 3 2 2 2" xfId="51577" xr:uid="{00000000-0005-0000-0000-0000112E0000}"/>
    <cellStyle name="20% - Accent4 7 3 2 3 2 3 2 3" xfId="38661" xr:uid="{00000000-0005-0000-0000-0000122E0000}"/>
    <cellStyle name="20% - Accent4 7 3 2 3 2 3 3" xfId="19245" xr:uid="{00000000-0005-0000-0000-0000132E0000}"/>
    <cellStyle name="20% - Accent4 7 3 2 3 2 3 3 2" xfId="45119" xr:uid="{00000000-0005-0000-0000-0000142E0000}"/>
    <cellStyle name="20% - Accent4 7 3 2 3 2 3 4" xfId="32203" xr:uid="{00000000-0005-0000-0000-0000152E0000}"/>
    <cellStyle name="20% - Accent4 7 3 2 3 2 4" xfId="9558" xr:uid="{00000000-0005-0000-0000-0000162E0000}"/>
    <cellStyle name="20% - Accent4 7 3 2 3 2 4 2" xfId="22475" xr:uid="{00000000-0005-0000-0000-0000172E0000}"/>
    <cellStyle name="20% - Accent4 7 3 2 3 2 4 2 2" xfId="48349" xr:uid="{00000000-0005-0000-0000-0000182E0000}"/>
    <cellStyle name="20% - Accent4 7 3 2 3 2 4 3" xfId="35433" xr:uid="{00000000-0005-0000-0000-0000192E0000}"/>
    <cellStyle name="20% - Accent4 7 3 2 3 2 5" xfId="16017" xr:uid="{00000000-0005-0000-0000-00001A2E0000}"/>
    <cellStyle name="20% - Accent4 7 3 2 3 2 5 2" xfId="41891" xr:uid="{00000000-0005-0000-0000-00001B2E0000}"/>
    <cellStyle name="20% - Accent4 7 3 2 3 2 6" xfId="28943" xr:uid="{00000000-0005-0000-0000-00001C2E0000}"/>
    <cellStyle name="20% - Accent4 7 3 2 3 3" xfId="3880" xr:uid="{00000000-0005-0000-0000-00001D2E0000}"/>
    <cellStyle name="20% - Accent4 7 3 2 3 3 2" xfId="7134" xr:uid="{00000000-0005-0000-0000-00001E2E0000}"/>
    <cellStyle name="20% - Accent4 7 3 2 3 3 2 2" xfId="13593" xr:uid="{00000000-0005-0000-0000-00001F2E0000}"/>
    <cellStyle name="20% - Accent4 7 3 2 3 3 2 2 2" xfId="26510" xr:uid="{00000000-0005-0000-0000-0000202E0000}"/>
    <cellStyle name="20% - Accent4 7 3 2 3 3 2 2 2 2" xfId="52384" xr:uid="{00000000-0005-0000-0000-0000212E0000}"/>
    <cellStyle name="20% - Accent4 7 3 2 3 3 2 2 3" xfId="39468" xr:uid="{00000000-0005-0000-0000-0000222E0000}"/>
    <cellStyle name="20% - Accent4 7 3 2 3 3 2 3" xfId="20052" xr:uid="{00000000-0005-0000-0000-0000232E0000}"/>
    <cellStyle name="20% - Accent4 7 3 2 3 3 2 3 2" xfId="45926" xr:uid="{00000000-0005-0000-0000-0000242E0000}"/>
    <cellStyle name="20% - Accent4 7 3 2 3 3 2 4" xfId="33010" xr:uid="{00000000-0005-0000-0000-0000252E0000}"/>
    <cellStyle name="20% - Accent4 7 3 2 3 3 3" xfId="10365" xr:uid="{00000000-0005-0000-0000-0000262E0000}"/>
    <cellStyle name="20% - Accent4 7 3 2 3 3 3 2" xfId="23282" xr:uid="{00000000-0005-0000-0000-0000272E0000}"/>
    <cellStyle name="20% - Accent4 7 3 2 3 3 3 2 2" xfId="49156" xr:uid="{00000000-0005-0000-0000-0000282E0000}"/>
    <cellStyle name="20% - Accent4 7 3 2 3 3 3 3" xfId="36240" xr:uid="{00000000-0005-0000-0000-0000292E0000}"/>
    <cellStyle name="20% - Accent4 7 3 2 3 3 4" xfId="16824" xr:uid="{00000000-0005-0000-0000-00002A2E0000}"/>
    <cellStyle name="20% - Accent4 7 3 2 3 3 4 2" xfId="42698" xr:uid="{00000000-0005-0000-0000-00002B2E0000}"/>
    <cellStyle name="20% - Accent4 7 3 2 3 3 5" xfId="29750" xr:uid="{00000000-0005-0000-0000-00002C2E0000}"/>
    <cellStyle name="20% - Accent4 7 3 2 3 4" xfId="5520" xr:uid="{00000000-0005-0000-0000-00002D2E0000}"/>
    <cellStyle name="20% - Accent4 7 3 2 3 4 2" xfId="11979" xr:uid="{00000000-0005-0000-0000-00002E2E0000}"/>
    <cellStyle name="20% - Accent4 7 3 2 3 4 2 2" xfId="24896" xr:uid="{00000000-0005-0000-0000-00002F2E0000}"/>
    <cellStyle name="20% - Accent4 7 3 2 3 4 2 2 2" xfId="50770" xr:uid="{00000000-0005-0000-0000-0000302E0000}"/>
    <cellStyle name="20% - Accent4 7 3 2 3 4 2 3" xfId="37854" xr:uid="{00000000-0005-0000-0000-0000312E0000}"/>
    <cellStyle name="20% - Accent4 7 3 2 3 4 3" xfId="18438" xr:uid="{00000000-0005-0000-0000-0000322E0000}"/>
    <cellStyle name="20% - Accent4 7 3 2 3 4 3 2" xfId="44312" xr:uid="{00000000-0005-0000-0000-0000332E0000}"/>
    <cellStyle name="20% - Accent4 7 3 2 3 4 4" xfId="31396" xr:uid="{00000000-0005-0000-0000-0000342E0000}"/>
    <cellStyle name="20% - Accent4 7 3 2 3 5" xfId="8751" xr:uid="{00000000-0005-0000-0000-0000352E0000}"/>
    <cellStyle name="20% - Accent4 7 3 2 3 5 2" xfId="21668" xr:uid="{00000000-0005-0000-0000-0000362E0000}"/>
    <cellStyle name="20% - Accent4 7 3 2 3 5 2 2" xfId="47542" xr:uid="{00000000-0005-0000-0000-0000372E0000}"/>
    <cellStyle name="20% - Accent4 7 3 2 3 5 3" xfId="34626" xr:uid="{00000000-0005-0000-0000-0000382E0000}"/>
    <cellStyle name="20% - Accent4 7 3 2 3 6" xfId="15210" xr:uid="{00000000-0005-0000-0000-0000392E0000}"/>
    <cellStyle name="20% - Accent4 7 3 2 3 6 2" xfId="41084" xr:uid="{00000000-0005-0000-0000-00003A2E0000}"/>
    <cellStyle name="20% - Accent4 7 3 2 3 7" xfId="28136" xr:uid="{00000000-0005-0000-0000-00003B2E0000}"/>
    <cellStyle name="20% - Accent4 7 3 2 3 8" xfId="53998" xr:uid="{00000000-0005-0000-0000-00003C2E0000}"/>
    <cellStyle name="20% - Accent4 7 3 2 4" xfId="2650" xr:uid="{00000000-0005-0000-0000-00003D2E0000}"/>
    <cellStyle name="20% - Accent4 7 3 2 4 2" xfId="4307" xr:uid="{00000000-0005-0000-0000-00003E2E0000}"/>
    <cellStyle name="20% - Accent4 7 3 2 4 2 2" xfId="7538" xr:uid="{00000000-0005-0000-0000-00003F2E0000}"/>
    <cellStyle name="20% - Accent4 7 3 2 4 2 2 2" xfId="13997" xr:uid="{00000000-0005-0000-0000-0000402E0000}"/>
    <cellStyle name="20% - Accent4 7 3 2 4 2 2 2 2" xfId="26914" xr:uid="{00000000-0005-0000-0000-0000412E0000}"/>
    <cellStyle name="20% - Accent4 7 3 2 4 2 2 2 2 2" xfId="52788" xr:uid="{00000000-0005-0000-0000-0000422E0000}"/>
    <cellStyle name="20% - Accent4 7 3 2 4 2 2 2 3" xfId="39872" xr:uid="{00000000-0005-0000-0000-0000432E0000}"/>
    <cellStyle name="20% - Accent4 7 3 2 4 2 2 3" xfId="20456" xr:uid="{00000000-0005-0000-0000-0000442E0000}"/>
    <cellStyle name="20% - Accent4 7 3 2 4 2 2 3 2" xfId="46330" xr:uid="{00000000-0005-0000-0000-0000452E0000}"/>
    <cellStyle name="20% - Accent4 7 3 2 4 2 2 4" xfId="33414" xr:uid="{00000000-0005-0000-0000-0000462E0000}"/>
    <cellStyle name="20% - Accent4 7 3 2 4 2 3" xfId="10769" xr:uid="{00000000-0005-0000-0000-0000472E0000}"/>
    <cellStyle name="20% - Accent4 7 3 2 4 2 3 2" xfId="23686" xr:uid="{00000000-0005-0000-0000-0000482E0000}"/>
    <cellStyle name="20% - Accent4 7 3 2 4 2 3 2 2" xfId="49560" xr:uid="{00000000-0005-0000-0000-0000492E0000}"/>
    <cellStyle name="20% - Accent4 7 3 2 4 2 3 3" xfId="36644" xr:uid="{00000000-0005-0000-0000-00004A2E0000}"/>
    <cellStyle name="20% - Accent4 7 3 2 4 2 4" xfId="17228" xr:uid="{00000000-0005-0000-0000-00004B2E0000}"/>
    <cellStyle name="20% - Accent4 7 3 2 4 2 4 2" xfId="43102" xr:uid="{00000000-0005-0000-0000-00004C2E0000}"/>
    <cellStyle name="20% - Accent4 7 3 2 4 2 5" xfId="30154" xr:uid="{00000000-0005-0000-0000-00004D2E0000}"/>
    <cellStyle name="20% - Accent4 7 3 2 4 3" xfId="5924" xr:uid="{00000000-0005-0000-0000-00004E2E0000}"/>
    <cellStyle name="20% - Accent4 7 3 2 4 3 2" xfId="12383" xr:uid="{00000000-0005-0000-0000-00004F2E0000}"/>
    <cellStyle name="20% - Accent4 7 3 2 4 3 2 2" xfId="25300" xr:uid="{00000000-0005-0000-0000-0000502E0000}"/>
    <cellStyle name="20% - Accent4 7 3 2 4 3 2 2 2" xfId="51174" xr:uid="{00000000-0005-0000-0000-0000512E0000}"/>
    <cellStyle name="20% - Accent4 7 3 2 4 3 2 3" xfId="38258" xr:uid="{00000000-0005-0000-0000-0000522E0000}"/>
    <cellStyle name="20% - Accent4 7 3 2 4 3 3" xfId="18842" xr:uid="{00000000-0005-0000-0000-0000532E0000}"/>
    <cellStyle name="20% - Accent4 7 3 2 4 3 3 2" xfId="44716" xr:uid="{00000000-0005-0000-0000-0000542E0000}"/>
    <cellStyle name="20% - Accent4 7 3 2 4 3 4" xfId="31800" xr:uid="{00000000-0005-0000-0000-0000552E0000}"/>
    <cellStyle name="20% - Accent4 7 3 2 4 4" xfId="9155" xr:uid="{00000000-0005-0000-0000-0000562E0000}"/>
    <cellStyle name="20% - Accent4 7 3 2 4 4 2" xfId="22072" xr:uid="{00000000-0005-0000-0000-0000572E0000}"/>
    <cellStyle name="20% - Accent4 7 3 2 4 4 2 2" xfId="47946" xr:uid="{00000000-0005-0000-0000-0000582E0000}"/>
    <cellStyle name="20% - Accent4 7 3 2 4 4 3" xfId="35030" xr:uid="{00000000-0005-0000-0000-0000592E0000}"/>
    <cellStyle name="20% - Accent4 7 3 2 4 5" xfId="15614" xr:uid="{00000000-0005-0000-0000-00005A2E0000}"/>
    <cellStyle name="20% - Accent4 7 3 2 4 5 2" xfId="41488" xr:uid="{00000000-0005-0000-0000-00005B2E0000}"/>
    <cellStyle name="20% - Accent4 7 3 2 4 6" xfId="28540" xr:uid="{00000000-0005-0000-0000-00005C2E0000}"/>
    <cellStyle name="20% - Accent4 7 3 2 5" xfId="3477" xr:uid="{00000000-0005-0000-0000-00005D2E0000}"/>
    <cellStyle name="20% - Accent4 7 3 2 5 2" xfId="6731" xr:uid="{00000000-0005-0000-0000-00005E2E0000}"/>
    <cellStyle name="20% - Accent4 7 3 2 5 2 2" xfId="13190" xr:uid="{00000000-0005-0000-0000-00005F2E0000}"/>
    <cellStyle name="20% - Accent4 7 3 2 5 2 2 2" xfId="26107" xr:uid="{00000000-0005-0000-0000-0000602E0000}"/>
    <cellStyle name="20% - Accent4 7 3 2 5 2 2 2 2" xfId="51981" xr:uid="{00000000-0005-0000-0000-0000612E0000}"/>
    <cellStyle name="20% - Accent4 7 3 2 5 2 2 3" xfId="39065" xr:uid="{00000000-0005-0000-0000-0000622E0000}"/>
    <cellStyle name="20% - Accent4 7 3 2 5 2 3" xfId="19649" xr:uid="{00000000-0005-0000-0000-0000632E0000}"/>
    <cellStyle name="20% - Accent4 7 3 2 5 2 3 2" xfId="45523" xr:uid="{00000000-0005-0000-0000-0000642E0000}"/>
    <cellStyle name="20% - Accent4 7 3 2 5 2 4" xfId="32607" xr:uid="{00000000-0005-0000-0000-0000652E0000}"/>
    <cellStyle name="20% - Accent4 7 3 2 5 3" xfId="9962" xr:uid="{00000000-0005-0000-0000-0000662E0000}"/>
    <cellStyle name="20% - Accent4 7 3 2 5 3 2" xfId="22879" xr:uid="{00000000-0005-0000-0000-0000672E0000}"/>
    <cellStyle name="20% - Accent4 7 3 2 5 3 2 2" xfId="48753" xr:uid="{00000000-0005-0000-0000-0000682E0000}"/>
    <cellStyle name="20% - Accent4 7 3 2 5 3 3" xfId="35837" xr:uid="{00000000-0005-0000-0000-0000692E0000}"/>
    <cellStyle name="20% - Accent4 7 3 2 5 4" xfId="16421" xr:uid="{00000000-0005-0000-0000-00006A2E0000}"/>
    <cellStyle name="20% - Accent4 7 3 2 5 4 2" xfId="42295" xr:uid="{00000000-0005-0000-0000-00006B2E0000}"/>
    <cellStyle name="20% - Accent4 7 3 2 5 5" xfId="29347" xr:uid="{00000000-0005-0000-0000-00006C2E0000}"/>
    <cellStyle name="20% - Accent4 7 3 2 6" xfId="5117" xr:uid="{00000000-0005-0000-0000-00006D2E0000}"/>
    <cellStyle name="20% - Accent4 7 3 2 6 2" xfId="11576" xr:uid="{00000000-0005-0000-0000-00006E2E0000}"/>
    <cellStyle name="20% - Accent4 7 3 2 6 2 2" xfId="24493" xr:uid="{00000000-0005-0000-0000-00006F2E0000}"/>
    <cellStyle name="20% - Accent4 7 3 2 6 2 2 2" xfId="50367" xr:uid="{00000000-0005-0000-0000-0000702E0000}"/>
    <cellStyle name="20% - Accent4 7 3 2 6 2 3" xfId="37451" xr:uid="{00000000-0005-0000-0000-0000712E0000}"/>
    <cellStyle name="20% - Accent4 7 3 2 6 3" xfId="18035" xr:uid="{00000000-0005-0000-0000-0000722E0000}"/>
    <cellStyle name="20% - Accent4 7 3 2 6 3 2" xfId="43909" xr:uid="{00000000-0005-0000-0000-0000732E0000}"/>
    <cellStyle name="20% - Accent4 7 3 2 6 4" xfId="30993" xr:uid="{00000000-0005-0000-0000-0000742E0000}"/>
    <cellStyle name="20% - Accent4 7 3 2 7" xfId="8347" xr:uid="{00000000-0005-0000-0000-0000752E0000}"/>
    <cellStyle name="20% - Accent4 7 3 2 7 2" xfId="21264" xr:uid="{00000000-0005-0000-0000-0000762E0000}"/>
    <cellStyle name="20% - Accent4 7 3 2 7 2 2" xfId="47138" xr:uid="{00000000-0005-0000-0000-0000772E0000}"/>
    <cellStyle name="20% - Accent4 7 3 2 7 3" xfId="34222" xr:uid="{00000000-0005-0000-0000-0000782E0000}"/>
    <cellStyle name="20% - Accent4 7 3 2 8" xfId="14806" xr:uid="{00000000-0005-0000-0000-0000792E0000}"/>
    <cellStyle name="20% - Accent4 7 3 2 8 2" xfId="40680" xr:uid="{00000000-0005-0000-0000-00007A2E0000}"/>
    <cellStyle name="20% - Accent4 7 3 2 9" xfId="27732" xr:uid="{00000000-0005-0000-0000-00007B2E0000}"/>
    <cellStyle name="20% - Accent4 7 3 3" xfId="1847" xr:uid="{00000000-0005-0000-0000-00007C2E0000}"/>
    <cellStyle name="20% - Accent4 7 3 3 2" xfId="2289" xr:uid="{00000000-0005-0000-0000-00007D2E0000}"/>
    <cellStyle name="20% - Accent4 7 3 3 2 2" xfId="3103" xr:uid="{00000000-0005-0000-0000-00007E2E0000}"/>
    <cellStyle name="20% - Accent4 7 3 3 2 2 2" xfId="4760" xr:uid="{00000000-0005-0000-0000-00007F2E0000}"/>
    <cellStyle name="20% - Accent4 7 3 3 2 2 2 2" xfId="7991" xr:uid="{00000000-0005-0000-0000-0000802E0000}"/>
    <cellStyle name="20% - Accent4 7 3 3 2 2 2 2 2" xfId="14450" xr:uid="{00000000-0005-0000-0000-0000812E0000}"/>
    <cellStyle name="20% - Accent4 7 3 3 2 2 2 2 2 2" xfId="27367" xr:uid="{00000000-0005-0000-0000-0000822E0000}"/>
    <cellStyle name="20% - Accent4 7 3 3 2 2 2 2 2 2 2" xfId="53241" xr:uid="{00000000-0005-0000-0000-0000832E0000}"/>
    <cellStyle name="20% - Accent4 7 3 3 2 2 2 2 2 3" xfId="40325" xr:uid="{00000000-0005-0000-0000-0000842E0000}"/>
    <cellStyle name="20% - Accent4 7 3 3 2 2 2 2 3" xfId="20909" xr:uid="{00000000-0005-0000-0000-0000852E0000}"/>
    <cellStyle name="20% - Accent4 7 3 3 2 2 2 2 3 2" xfId="46783" xr:uid="{00000000-0005-0000-0000-0000862E0000}"/>
    <cellStyle name="20% - Accent4 7 3 3 2 2 2 2 4" xfId="33867" xr:uid="{00000000-0005-0000-0000-0000872E0000}"/>
    <cellStyle name="20% - Accent4 7 3 3 2 2 2 3" xfId="11222" xr:uid="{00000000-0005-0000-0000-0000882E0000}"/>
    <cellStyle name="20% - Accent4 7 3 3 2 2 2 3 2" xfId="24139" xr:uid="{00000000-0005-0000-0000-0000892E0000}"/>
    <cellStyle name="20% - Accent4 7 3 3 2 2 2 3 2 2" xfId="50013" xr:uid="{00000000-0005-0000-0000-00008A2E0000}"/>
    <cellStyle name="20% - Accent4 7 3 3 2 2 2 3 3" xfId="37097" xr:uid="{00000000-0005-0000-0000-00008B2E0000}"/>
    <cellStyle name="20% - Accent4 7 3 3 2 2 2 4" xfId="17681" xr:uid="{00000000-0005-0000-0000-00008C2E0000}"/>
    <cellStyle name="20% - Accent4 7 3 3 2 2 2 4 2" xfId="43555" xr:uid="{00000000-0005-0000-0000-00008D2E0000}"/>
    <cellStyle name="20% - Accent4 7 3 3 2 2 2 5" xfId="30607" xr:uid="{00000000-0005-0000-0000-00008E2E0000}"/>
    <cellStyle name="20% - Accent4 7 3 3 2 2 3" xfId="6377" xr:uid="{00000000-0005-0000-0000-00008F2E0000}"/>
    <cellStyle name="20% - Accent4 7 3 3 2 2 3 2" xfId="12836" xr:uid="{00000000-0005-0000-0000-0000902E0000}"/>
    <cellStyle name="20% - Accent4 7 3 3 2 2 3 2 2" xfId="25753" xr:uid="{00000000-0005-0000-0000-0000912E0000}"/>
    <cellStyle name="20% - Accent4 7 3 3 2 2 3 2 2 2" xfId="51627" xr:uid="{00000000-0005-0000-0000-0000922E0000}"/>
    <cellStyle name="20% - Accent4 7 3 3 2 2 3 2 3" xfId="38711" xr:uid="{00000000-0005-0000-0000-0000932E0000}"/>
    <cellStyle name="20% - Accent4 7 3 3 2 2 3 3" xfId="19295" xr:uid="{00000000-0005-0000-0000-0000942E0000}"/>
    <cellStyle name="20% - Accent4 7 3 3 2 2 3 3 2" xfId="45169" xr:uid="{00000000-0005-0000-0000-0000952E0000}"/>
    <cellStyle name="20% - Accent4 7 3 3 2 2 3 4" xfId="32253" xr:uid="{00000000-0005-0000-0000-0000962E0000}"/>
    <cellStyle name="20% - Accent4 7 3 3 2 2 4" xfId="9608" xr:uid="{00000000-0005-0000-0000-0000972E0000}"/>
    <cellStyle name="20% - Accent4 7 3 3 2 2 4 2" xfId="22525" xr:uid="{00000000-0005-0000-0000-0000982E0000}"/>
    <cellStyle name="20% - Accent4 7 3 3 2 2 4 2 2" xfId="48399" xr:uid="{00000000-0005-0000-0000-0000992E0000}"/>
    <cellStyle name="20% - Accent4 7 3 3 2 2 4 3" xfId="35483" xr:uid="{00000000-0005-0000-0000-00009A2E0000}"/>
    <cellStyle name="20% - Accent4 7 3 3 2 2 5" xfId="16067" xr:uid="{00000000-0005-0000-0000-00009B2E0000}"/>
    <cellStyle name="20% - Accent4 7 3 3 2 2 5 2" xfId="41941" xr:uid="{00000000-0005-0000-0000-00009C2E0000}"/>
    <cellStyle name="20% - Accent4 7 3 3 2 2 6" xfId="28993" xr:uid="{00000000-0005-0000-0000-00009D2E0000}"/>
    <cellStyle name="20% - Accent4 7 3 3 2 3" xfId="3930" xr:uid="{00000000-0005-0000-0000-00009E2E0000}"/>
    <cellStyle name="20% - Accent4 7 3 3 2 3 2" xfId="7184" xr:uid="{00000000-0005-0000-0000-00009F2E0000}"/>
    <cellStyle name="20% - Accent4 7 3 3 2 3 2 2" xfId="13643" xr:uid="{00000000-0005-0000-0000-0000A02E0000}"/>
    <cellStyle name="20% - Accent4 7 3 3 2 3 2 2 2" xfId="26560" xr:uid="{00000000-0005-0000-0000-0000A12E0000}"/>
    <cellStyle name="20% - Accent4 7 3 3 2 3 2 2 2 2" xfId="52434" xr:uid="{00000000-0005-0000-0000-0000A22E0000}"/>
    <cellStyle name="20% - Accent4 7 3 3 2 3 2 2 3" xfId="39518" xr:uid="{00000000-0005-0000-0000-0000A32E0000}"/>
    <cellStyle name="20% - Accent4 7 3 3 2 3 2 3" xfId="20102" xr:uid="{00000000-0005-0000-0000-0000A42E0000}"/>
    <cellStyle name="20% - Accent4 7 3 3 2 3 2 3 2" xfId="45976" xr:uid="{00000000-0005-0000-0000-0000A52E0000}"/>
    <cellStyle name="20% - Accent4 7 3 3 2 3 2 4" xfId="33060" xr:uid="{00000000-0005-0000-0000-0000A62E0000}"/>
    <cellStyle name="20% - Accent4 7 3 3 2 3 3" xfId="10415" xr:uid="{00000000-0005-0000-0000-0000A72E0000}"/>
    <cellStyle name="20% - Accent4 7 3 3 2 3 3 2" xfId="23332" xr:uid="{00000000-0005-0000-0000-0000A82E0000}"/>
    <cellStyle name="20% - Accent4 7 3 3 2 3 3 2 2" xfId="49206" xr:uid="{00000000-0005-0000-0000-0000A92E0000}"/>
    <cellStyle name="20% - Accent4 7 3 3 2 3 3 3" xfId="36290" xr:uid="{00000000-0005-0000-0000-0000AA2E0000}"/>
    <cellStyle name="20% - Accent4 7 3 3 2 3 4" xfId="16874" xr:uid="{00000000-0005-0000-0000-0000AB2E0000}"/>
    <cellStyle name="20% - Accent4 7 3 3 2 3 4 2" xfId="42748" xr:uid="{00000000-0005-0000-0000-0000AC2E0000}"/>
    <cellStyle name="20% - Accent4 7 3 3 2 3 5" xfId="29800" xr:uid="{00000000-0005-0000-0000-0000AD2E0000}"/>
    <cellStyle name="20% - Accent4 7 3 3 2 4" xfId="5570" xr:uid="{00000000-0005-0000-0000-0000AE2E0000}"/>
    <cellStyle name="20% - Accent4 7 3 3 2 4 2" xfId="12029" xr:uid="{00000000-0005-0000-0000-0000AF2E0000}"/>
    <cellStyle name="20% - Accent4 7 3 3 2 4 2 2" xfId="24946" xr:uid="{00000000-0005-0000-0000-0000B02E0000}"/>
    <cellStyle name="20% - Accent4 7 3 3 2 4 2 2 2" xfId="50820" xr:uid="{00000000-0005-0000-0000-0000B12E0000}"/>
    <cellStyle name="20% - Accent4 7 3 3 2 4 2 3" xfId="37904" xr:uid="{00000000-0005-0000-0000-0000B22E0000}"/>
    <cellStyle name="20% - Accent4 7 3 3 2 4 3" xfId="18488" xr:uid="{00000000-0005-0000-0000-0000B32E0000}"/>
    <cellStyle name="20% - Accent4 7 3 3 2 4 3 2" xfId="44362" xr:uid="{00000000-0005-0000-0000-0000B42E0000}"/>
    <cellStyle name="20% - Accent4 7 3 3 2 4 4" xfId="31446" xr:uid="{00000000-0005-0000-0000-0000B52E0000}"/>
    <cellStyle name="20% - Accent4 7 3 3 2 5" xfId="8801" xr:uid="{00000000-0005-0000-0000-0000B62E0000}"/>
    <cellStyle name="20% - Accent4 7 3 3 2 5 2" xfId="21718" xr:uid="{00000000-0005-0000-0000-0000B72E0000}"/>
    <cellStyle name="20% - Accent4 7 3 3 2 5 2 2" xfId="47592" xr:uid="{00000000-0005-0000-0000-0000B82E0000}"/>
    <cellStyle name="20% - Accent4 7 3 3 2 5 3" xfId="34676" xr:uid="{00000000-0005-0000-0000-0000B92E0000}"/>
    <cellStyle name="20% - Accent4 7 3 3 2 6" xfId="15260" xr:uid="{00000000-0005-0000-0000-0000BA2E0000}"/>
    <cellStyle name="20% - Accent4 7 3 3 2 6 2" xfId="41134" xr:uid="{00000000-0005-0000-0000-0000BB2E0000}"/>
    <cellStyle name="20% - Accent4 7 3 3 2 7" xfId="28186" xr:uid="{00000000-0005-0000-0000-0000BC2E0000}"/>
    <cellStyle name="20% - Accent4 7 3 3 2 8" xfId="54048" xr:uid="{00000000-0005-0000-0000-0000BD2E0000}"/>
    <cellStyle name="20% - Accent4 7 3 3 3" xfId="2700" xr:uid="{00000000-0005-0000-0000-0000BE2E0000}"/>
    <cellStyle name="20% - Accent4 7 3 3 3 2" xfId="4357" xr:uid="{00000000-0005-0000-0000-0000BF2E0000}"/>
    <cellStyle name="20% - Accent4 7 3 3 3 2 2" xfId="7588" xr:uid="{00000000-0005-0000-0000-0000C02E0000}"/>
    <cellStyle name="20% - Accent4 7 3 3 3 2 2 2" xfId="14047" xr:uid="{00000000-0005-0000-0000-0000C12E0000}"/>
    <cellStyle name="20% - Accent4 7 3 3 3 2 2 2 2" xfId="26964" xr:uid="{00000000-0005-0000-0000-0000C22E0000}"/>
    <cellStyle name="20% - Accent4 7 3 3 3 2 2 2 2 2" xfId="52838" xr:uid="{00000000-0005-0000-0000-0000C32E0000}"/>
    <cellStyle name="20% - Accent4 7 3 3 3 2 2 2 3" xfId="39922" xr:uid="{00000000-0005-0000-0000-0000C42E0000}"/>
    <cellStyle name="20% - Accent4 7 3 3 3 2 2 3" xfId="20506" xr:uid="{00000000-0005-0000-0000-0000C52E0000}"/>
    <cellStyle name="20% - Accent4 7 3 3 3 2 2 3 2" xfId="46380" xr:uid="{00000000-0005-0000-0000-0000C62E0000}"/>
    <cellStyle name="20% - Accent4 7 3 3 3 2 2 4" xfId="33464" xr:uid="{00000000-0005-0000-0000-0000C72E0000}"/>
    <cellStyle name="20% - Accent4 7 3 3 3 2 3" xfId="10819" xr:uid="{00000000-0005-0000-0000-0000C82E0000}"/>
    <cellStyle name="20% - Accent4 7 3 3 3 2 3 2" xfId="23736" xr:uid="{00000000-0005-0000-0000-0000C92E0000}"/>
    <cellStyle name="20% - Accent4 7 3 3 3 2 3 2 2" xfId="49610" xr:uid="{00000000-0005-0000-0000-0000CA2E0000}"/>
    <cellStyle name="20% - Accent4 7 3 3 3 2 3 3" xfId="36694" xr:uid="{00000000-0005-0000-0000-0000CB2E0000}"/>
    <cellStyle name="20% - Accent4 7 3 3 3 2 4" xfId="17278" xr:uid="{00000000-0005-0000-0000-0000CC2E0000}"/>
    <cellStyle name="20% - Accent4 7 3 3 3 2 4 2" xfId="43152" xr:uid="{00000000-0005-0000-0000-0000CD2E0000}"/>
    <cellStyle name="20% - Accent4 7 3 3 3 2 5" xfId="30204" xr:uid="{00000000-0005-0000-0000-0000CE2E0000}"/>
    <cellStyle name="20% - Accent4 7 3 3 3 3" xfId="5974" xr:uid="{00000000-0005-0000-0000-0000CF2E0000}"/>
    <cellStyle name="20% - Accent4 7 3 3 3 3 2" xfId="12433" xr:uid="{00000000-0005-0000-0000-0000D02E0000}"/>
    <cellStyle name="20% - Accent4 7 3 3 3 3 2 2" xfId="25350" xr:uid="{00000000-0005-0000-0000-0000D12E0000}"/>
    <cellStyle name="20% - Accent4 7 3 3 3 3 2 2 2" xfId="51224" xr:uid="{00000000-0005-0000-0000-0000D22E0000}"/>
    <cellStyle name="20% - Accent4 7 3 3 3 3 2 3" xfId="38308" xr:uid="{00000000-0005-0000-0000-0000D32E0000}"/>
    <cellStyle name="20% - Accent4 7 3 3 3 3 3" xfId="18892" xr:uid="{00000000-0005-0000-0000-0000D42E0000}"/>
    <cellStyle name="20% - Accent4 7 3 3 3 3 3 2" xfId="44766" xr:uid="{00000000-0005-0000-0000-0000D52E0000}"/>
    <cellStyle name="20% - Accent4 7 3 3 3 3 4" xfId="31850" xr:uid="{00000000-0005-0000-0000-0000D62E0000}"/>
    <cellStyle name="20% - Accent4 7 3 3 3 4" xfId="9205" xr:uid="{00000000-0005-0000-0000-0000D72E0000}"/>
    <cellStyle name="20% - Accent4 7 3 3 3 4 2" xfId="22122" xr:uid="{00000000-0005-0000-0000-0000D82E0000}"/>
    <cellStyle name="20% - Accent4 7 3 3 3 4 2 2" xfId="47996" xr:uid="{00000000-0005-0000-0000-0000D92E0000}"/>
    <cellStyle name="20% - Accent4 7 3 3 3 4 3" xfId="35080" xr:uid="{00000000-0005-0000-0000-0000DA2E0000}"/>
    <cellStyle name="20% - Accent4 7 3 3 3 5" xfId="15664" xr:uid="{00000000-0005-0000-0000-0000DB2E0000}"/>
    <cellStyle name="20% - Accent4 7 3 3 3 5 2" xfId="41538" xr:uid="{00000000-0005-0000-0000-0000DC2E0000}"/>
    <cellStyle name="20% - Accent4 7 3 3 3 6" xfId="28590" xr:uid="{00000000-0005-0000-0000-0000DD2E0000}"/>
    <cellStyle name="20% - Accent4 7 3 3 4" xfId="3527" xr:uid="{00000000-0005-0000-0000-0000DE2E0000}"/>
    <cellStyle name="20% - Accent4 7 3 3 4 2" xfId="6781" xr:uid="{00000000-0005-0000-0000-0000DF2E0000}"/>
    <cellStyle name="20% - Accent4 7 3 3 4 2 2" xfId="13240" xr:uid="{00000000-0005-0000-0000-0000E02E0000}"/>
    <cellStyle name="20% - Accent4 7 3 3 4 2 2 2" xfId="26157" xr:uid="{00000000-0005-0000-0000-0000E12E0000}"/>
    <cellStyle name="20% - Accent4 7 3 3 4 2 2 2 2" xfId="52031" xr:uid="{00000000-0005-0000-0000-0000E22E0000}"/>
    <cellStyle name="20% - Accent4 7 3 3 4 2 2 3" xfId="39115" xr:uid="{00000000-0005-0000-0000-0000E32E0000}"/>
    <cellStyle name="20% - Accent4 7 3 3 4 2 3" xfId="19699" xr:uid="{00000000-0005-0000-0000-0000E42E0000}"/>
    <cellStyle name="20% - Accent4 7 3 3 4 2 3 2" xfId="45573" xr:uid="{00000000-0005-0000-0000-0000E52E0000}"/>
    <cellStyle name="20% - Accent4 7 3 3 4 2 4" xfId="32657" xr:uid="{00000000-0005-0000-0000-0000E62E0000}"/>
    <cellStyle name="20% - Accent4 7 3 3 4 3" xfId="10012" xr:uid="{00000000-0005-0000-0000-0000E72E0000}"/>
    <cellStyle name="20% - Accent4 7 3 3 4 3 2" xfId="22929" xr:uid="{00000000-0005-0000-0000-0000E82E0000}"/>
    <cellStyle name="20% - Accent4 7 3 3 4 3 2 2" xfId="48803" xr:uid="{00000000-0005-0000-0000-0000E92E0000}"/>
    <cellStyle name="20% - Accent4 7 3 3 4 3 3" xfId="35887" xr:uid="{00000000-0005-0000-0000-0000EA2E0000}"/>
    <cellStyle name="20% - Accent4 7 3 3 4 4" xfId="16471" xr:uid="{00000000-0005-0000-0000-0000EB2E0000}"/>
    <cellStyle name="20% - Accent4 7 3 3 4 4 2" xfId="42345" xr:uid="{00000000-0005-0000-0000-0000EC2E0000}"/>
    <cellStyle name="20% - Accent4 7 3 3 4 5" xfId="29397" xr:uid="{00000000-0005-0000-0000-0000ED2E0000}"/>
    <cellStyle name="20% - Accent4 7 3 3 5" xfId="5167" xr:uid="{00000000-0005-0000-0000-0000EE2E0000}"/>
    <cellStyle name="20% - Accent4 7 3 3 5 2" xfId="11626" xr:uid="{00000000-0005-0000-0000-0000EF2E0000}"/>
    <cellStyle name="20% - Accent4 7 3 3 5 2 2" xfId="24543" xr:uid="{00000000-0005-0000-0000-0000F02E0000}"/>
    <cellStyle name="20% - Accent4 7 3 3 5 2 2 2" xfId="50417" xr:uid="{00000000-0005-0000-0000-0000F12E0000}"/>
    <cellStyle name="20% - Accent4 7 3 3 5 2 3" xfId="37501" xr:uid="{00000000-0005-0000-0000-0000F22E0000}"/>
    <cellStyle name="20% - Accent4 7 3 3 5 3" xfId="18085" xr:uid="{00000000-0005-0000-0000-0000F32E0000}"/>
    <cellStyle name="20% - Accent4 7 3 3 5 3 2" xfId="43959" xr:uid="{00000000-0005-0000-0000-0000F42E0000}"/>
    <cellStyle name="20% - Accent4 7 3 3 5 4" xfId="31043" xr:uid="{00000000-0005-0000-0000-0000F52E0000}"/>
    <cellStyle name="20% - Accent4 7 3 3 6" xfId="8397" xr:uid="{00000000-0005-0000-0000-0000F62E0000}"/>
    <cellStyle name="20% - Accent4 7 3 3 6 2" xfId="21314" xr:uid="{00000000-0005-0000-0000-0000F72E0000}"/>
    <cellStyle name="20% - Accent4 7 3 3 6 2 2" xfId="47188" xr:uid="{00000000-0005-0000-0000-0000F82E0000}"/>
    <cellStyle name="20% - Accent4 7 3 3 6 3" xfId="34272" xr:uid="{00000000-0005-0000-0000-0000F92E0000}"/>
    <cellStyle name="20% - Accent4 7 3 3 7" xfId="14856" xr:uid="{00000000-0005-0000-0000-0000FA2E0000}"/>
    <cellStyle name="20% - Accent4 7 3 3 7 2" xfId="40730" xr:uid="{00000000-0005-0000-0000-0000FB2E0000}"/>
    <cellStyle name="20% - Accent4 7 3 3 8" xfId="27782" xr:uid="{00000000-0005-0000-0000-0000FC2E0000}"/>
    <cellStyle name="20% - Accent4 7 3 3 9" xfId="53645" xr:uid="{00000000-0005-0000-0000-0000FD2E0000}"/>
    <cellStyle name="20% - Accent4 7 3 4" xfId="2091" xr:uid="{00000000-0005-0000-0000-0000FE2E0000}"/>
    <cellStyle name="20% - Accent4 7 3 4 2" xfId="2907" xr:uid="{00000000-0005-0000-0000-0000FF2E0000}"/>
    <cellStyle name="20% - Accent4 7 3 4 2 2" xfId="4564" xr:uid="{00000000-0005-0000-0000-0000002F0000}"/>
    <cellStyle name="20% - Accent4 7 3 4 2 2 2" xfId="7795" xr:uid="{00000000-0005-0000-0000-0000012F0000}"/>
    <cellStyle name="20% - Accent4 7 3 4 2 2 2 2" xfId="14254" xr:uid="{00000000-0005-0000-0000-0000022F0000}"/>
    <cellStyle name="20% - Accent4 7 3 4 2 2 2 2 2" xfId="27171" xr:uid="{00000000-0005-0000-0000-0000032F0000}"/>
    <cellStyle name="20% - Accent4 7 3 4 2 2 2 2 2 2" xfId="53045" xr:uid="{00000000-0005-0000-0000-0000042F0000}"/>
    <cellStyle name="20% - Accent4 7 3 4 2 2 2 2 3" xfId="40129" xr:uid="{00000000-0005-0000-0000-0000052F0000}"/>
    <cellStyle name="20% - Accent4 7 3 4 2 2 2 3" xfId="20713" xr:uid="{00000000-0005-0000-0000-0000062F0000}"/>
    <cellStyle name="20% - Accent4 7 3 4 2 2 2 3 2" xfId="46587" xr:uid="{00000000-0005-0000-0000-0000072F0000}"/>
    <cellStyle name="20% - Accent4 7 3 4 2 2 2 4" xfId="33671" xr:uid="{00000000-0005-0000-0000-0000082F0000}"/>
    <cellStyle name="20% - Accent4 7 3 4 2 2 3" xfId="11026" xr:uid="{00000000-0005-0000-0000-0000092F0000}"/>
    <cellStyle name="20% - Accent4 7 3 4 2 2 3 2" xfId="23943" xr:uid="{00000000-0005-0000-0000-00000A2F0000}"/>
    <cellStyle name="20% - Accent4 7 3 4 2 2 3 2 2" xfId="49817" xr:uid="{00000000-0005-0000-0000-00000B2F0000}"/>
    <cellStyle name="20% - Accent4 7 3 4 2 2 3 3" xfId="36901" xr:uid="{00000000-0005-0000-0000-00000C2F0000}"/>
    <cellStyle name="20% - Accent4 7 3 4 2 2 4" xfId="17485" xr:uid="{00000000-0005-0000-0000-00000D2F0000}"/>
    <cellStyle name="20% - Accent4 7 3 4 2 2 4 2" xfId="43359" xr:uid="{00000000-0005-0000-0000-00000E2F0000}"/>
    <cellStyle name="20% - Accent4 7 3 4 2 2 5" xfId="30411" xr:uid="{00000000-0005-0000-0000-00000F2F0000}"/>
    <cellStyle name="20% - Accent4 7 3 4 2 3" xfId="6181" xr:uid="{00000000-0005-0000-0000-0000102F0000}"/>
    <cellStyle name="20% - Accent4 7 3 4 2 3 2" xfId="12640" xr:uid="{00000000-0005-0000-0000-0000112F0000}"/>
    <cellStyle name="20% - Accent4 7 3 4 2 3 2 2" xfId="25557" xr:uid="{00000000-0005-0000-0000-0000122F0000}"/>
    <cellStyle name="20% - Accent4 7 3 4 2 3 2 2 2" xfId="51431" xr:uid="{00000000-0005-0000-0000-0000132F0000}"/>
    <cellStyle name="20% - Accent4 7 3 4 2 3 2 3" xfId="38515" xr:uid="{00000000-0005-0000-0000-0000142F0000}"/>
    <cellStyle name="20% - Accent4 7 3 4 2 3 3" xfId="19099" xr:uid="{00000000-0005-0000-0000-0000152F0000}"/>
    <cellStyle name="20% - Accent4 7 3 4 2 3 3 2" xfId="44973" xr:uid="{00000000-0005-0000-0000-0000162F0000}"/>
    <cellStyle name="20% - Accent4 7 3 4 2 3 4" xfId="32057" xr:uid="{00000000-0005-0000-0000-0000172F0000}"/>
    <cellStyle name="20% - Accent4 7 3 4 2 4" xfId="9412" xr:uid="{00000000-0005-0000-0000-0000182F0000}"/>
    <cellStyle name="20% - Accent4 7 3 4 2 4 2" xfId="22329" xr:uid="{00000000-0005-0000-0000-0000192F0000}"/>
    <cellStyle name="20% - Accent4 7 3 4 2 4 2 2" xfId="48203" xr:uid="{00000000-0005-0000-0000-00001A2F0000}"/>
    <cellStyle name="20% - Accent4 7 3 4 2 4 3" xfId="35287" xr:uid="{00000000-0005-0000-0000-00001B2F0000}"/>
    <cellStyle name="20% - Accent4 7 3 4 2 5" xfId="15871" xr:uid="{00000000-0005-0000-0000-00001C2F0000}"/>
    <cellStyle name="20% - Accent4 7 3 4 2 5 2" xfId="41745" xr:uid="{00000000-0005-0000-0000-00001D2F0000}"/>
    <cellStyle name="20% - Accent4 7 3 4 2 6" xfId="28797" xr:uid="{00000000-0005-0000-0000-00001E2F0000}"/>
    <cellStyle name="20% - Accent4 7 3 4 3" xfId="3734" xr:uid="{00000000-0005-0000-0000-00001F2F0000}"/>
    <cellStyle name="20% - Accent4 7 3 4 3 2" xfId="6988" xr:uid="{00000000-0005-0000-0000-0000202F0000}"/>
    <cellStyle name="20% - Accent4 7 3 4 3 2 2" xfId="13447" xr:uid="{00000000-0005-0000-0000-0000212F0000}"/>
    <cellStyle name="20% - Accent4 7 3 4 3 2 2 2" xfId="26364" xr:uid="{00000000-0005-0000-0000-0000222F0000}"/>
    <cellStyle name="20% - Accent4 7 3 4 3 2 2 2 2" xfId="52238" xr:uid="{00000000-0005-0000-0000-0000232F0000}"/>
    <cellStyle name="20% - Accent4 7 3 4 3 2 2 3" xfId="39322" xr:uid="{00000000-0005-0000-0000-0000242F0000}"/>
    <cellStyle name="20% - Accent4 7 3 4 3 2 3" xfId="19906" xr:uid="{00000000-0005-0000-0000-0000252F0000}"/>
    <cellStyle name="20% - Accent4 7 3 4 3 2 3 2" xfId="45780" xr:uid="{00000000-0005-0000-0000-0000262F0000}"/>
    <cellStyle name="20% - Accent4 7 3 4 3 2 4" xfId="32864" xr:uid="{00000000-0005-0000-0000-0000272F0000}"/>
    <cellStyle name="20% - Accent4 7 3 4 3 3" xfId="10219" xr:uid="{00000000-0005-0000-0000-0000282F0000}"/>
    <cellStyle name="20% - Accent4 7 3 4 3 3 2" xfId="23136" xr:uid="{00000000-0005-0000-0000-0000292F0000}"/>
    <cellStyle name="20% - Accent4 7 3 4 3 3 2 2" xfId="49010" xr:uid="{00000000-0005-0000-0000-00002A2F0000}"/>
    <cellStyle name="20% - Accent4 7 3 4 3 3 3" xfId="36094" xr:uid="{00000000-0005-0000-0000-00002B2F0000}"/>
    <cellStyle name="20% - Accent4 7 3 4 3 4" xfId="16678" xr:uid="{00000000-0005-0000-0000-00002C2F0000}"/>
    <cellStyle name="20% - Accent4 7 3 4 3 4 2" xfId="42552" xr:uid="{00000000-0005-0000-0000-00002D2F0000}"/>
    <cellStyle name="20% - Accent4 7 3 4 3 5" xfId="29604" xr:uid="{00000000-0005-0000-0000-00002E2F0000}"/>
    <cellStyle name="20% - Accent4 7 3 4 4" xfId="5374" xr:uid="{00000000-0005-0000-0000-00002F2F0000}"/>
    <cellStyle name="20% - Accent4 7 3 4 4 2" xfId="11833" xr:uid="{00000000-0005-0000-0000-0000302F0000}"/>
    <cellStyle name="20% - Accent4 7 3 4 4 2 2" xfId="24750" xr:uid="{00000000-0005-0000-0000-0000312F0000}"/>
    <cellStyle name="20% - Accent4 7 3 4 4 2 2 2" xfId="50624" xr:uid="{00000000-0005-0000-0000-0000322F0000}"/>
    <cellStyle name="20% - Accent4 7 3 4 4 2 3" xfId="37708" xr:uid="{00000000-0005-0000-0000-0000332F0000}"/>
    <cellStyle name="20% - Accent4 7 3 4 4 3" xfId="18292" xr:uid="{00000000-0005-0000-0000-0000342F0000}"/>
    <cellStyle name="20% - Accent4 7 3 4 4 3 2" xfId="44166" xr:uid="{00000000-0005-0000-0000-0000352F0000}"/>
    <cellStyle name="20% - Accent4 7 3 4 4 4" xfId="31250" xr:uid="{00000000-0005-0000-0000-0000362F0000}"/>
    <cellStyle name="20% - Accent4 7 3 4 5" xfId="8605" xr:uid="{00000000-0005-0000-0000-0000372F0000}"/>
    <cellStyle name="20% - Accent4 7 3 4 5 2" xfId="21522" xr:uid="{00000000-0005-0000-0000-0000382F0000}"/>
    <cellStyle name="20% - Accent4 7 3 4 5 2 2" xfId="47396" xr:uid="{00000000-0005-0000-0000-0000392F0000}"/>
    <cellStyle name="20% - Accent4 7 3 4 5 3" xfId="34480" xr:uid="{00000000-0005-0000-0000-00003A2F0000}"/>
    <cellStyle name="20% - Accent4 7 3 4 6" xfId="15064" xr:uid="{00000000-0005-0000-0000-00003B2F0000}"/>
    <cellStyle name="20% - Accent4 7 3 4 6 2" xfId="40938" xr:uid="{00000000-0005-0000-0000-00003C2F0000}"/>
    <cellStyle name="20% - Accent4 7 3 4 7" xfId="27990" xr:uid="{00000000-0005-0000-0000-00003D2F0000}"/>
    <cellStyle name="20% - Accent4 7 3 4 8" xfId="53852" xr:uid="{00000000-0005-0000-0000-00003E2F0000}"/>
    <cellStyle name="20% - Accent4 7 3 5" xfId="2505" xr:uid="{00000000-0005-0000-0000-00003F2F0000}"/>
    <cellStyle name="20% - Accent4 7 3 5 2" xfId="4162" xr:uid="{00000000-0005-0000-0000-0000402F0000}"/>
    <cellStyle name="20% - Accent4 7 3 5 2 2" xfId="7393" xr:uid="{00000000-0005-0000-0000-0000412F0000}"/>
    <cellStyle name="20% - Accent4 7 3 5 2 2 2" xfId="13852" xr:uid="{00000000-0005-0000-0000-0000422F0000}"/>
    <cellStyle name="20% - Accent4 7 3 5 2 2 2 2" xfId="26769" xr:uid="{00000000-0005-0000-0000-0000432F0000}"/>
    <cellStyle name="20% - Accent4 7 3 5 2 2 2 2 2" xfId="52643" xr:uid="{00000000-0005-0000-0000-0000442F0000}"/>
    <cellStyle name="20% - Accent4 7 3 5 2 2 2 3" xfId="39727" xr:uid="{00000000-0005-0000-0000-0000452F0000}"/>
    <cellStyle name="20% - Accent4 7 3 5 2 2 3" xfId="20311" xr:uid="{00000000-0005-0000-0000-0000462F0000}"/>
    <cellStyle name="20% - Accent4 7 3 5 2 2 3 2" xfId="46185" xr:uid="{00000000-0005-0000-0000-0000472F0000}"/>
    <cellStyle name="20% - Accent4 7 3 5 2 2 4" xfId="33269" xr:uid="{00000000-0005-0000-0000-0000482F0000}"/>
    <cellStyle name="20% - Accent4 7 3 5 2 3" xfId="10624" xr:uid="{00000000-0005-0000-0000-0000492F0000}"/>
    <cellStyle name="20% - Accent4 7 3 5 2 3 2" xfId="23541" xr:uid="{00000000-0005-0000-0000-00004A2F0000}"/>
    <cellStyle name="20% - Accent4 7 3 5 2 3 2 2" xfId="49415" xr:uid="{00000000-0005-0000-0000-00004B2F0000}"/>
    <cellStyle name="20% - Accent4 7 3 5 2 3 3" xfId="36499" xr:uid="{00000000-0005-0000-0000-00004C2F0000}"/>
    <cellStyle name="20% - Accent4 7 3 5 2 4" xfId="17083" xr:uid="{00000000-0005-0000-0000-00004D2F0000}"/>
    <cellStyle name="20% - Accent4 7 3 5 2 4 2" xfId="42957" xr:uid="{00000000-0005-0000-0000-00004E2F0000}"/>
    <cellStyle name="20% - Accent4 7 3 5 2 5" xfId="30009" xr:uid="{00000000-0005-0000-0000-00004F2F0000}"/>
    <cellStyle name="20% - Accent4 7 3 5 3" xfId="5779" xr:uid="{00000000-0005-0000-0000-0000502F0000}"/>
    <cellStyle name="20% - Accent4 7 3 5 3 2" xfId="12238" xr:uid="{00000000-0005-0000-0000-0000512F0000}"/>
    <cellStyle name="20% - Accent4 7 3 5 3 2 2" xfId="25155" xr:uid="{00000000-0005-0000-0000-0000522F0000}"/>
    <cellStyle name="20% - Accent4 7 3 5 3 2 2 2" xfId="51029" xr:uid="{00000000-0005-0000-0000-0000532F0000}"/>
    <cellStyle name="20% - Accent4 7 3 5 3 2 3" xfId="38113" xr:uid="{00000000-0005-0000-0000-0000542F0000}"/>
    <cellStyle name="20% - Accent4 7 3 5 3 3" xfId="18697" xr:uid="{00000000-0005-0000-0000-0000552F0000}"/>
    <cellStyle name="20% - Accent4 7 3 5 3 3 2" xfId="44571" xr:uid="{00000000-0005-0000-0000-0000562F0000}"/>
    <cellStyle name="20% - Accent4 7 3 5 3 4" xfId="31655" xr:uid="{00000000-0005-0000-0000-0000572F0000}"/>
    <cellStyle name="20% - Accent4 7 3 5 4" xfId="9010" xr:uid="{00000000-0005-0000-0000-0000582F0000}"/>
    <cellStyle name="20% - Accent4 7 3 5 4 2" xfId="21927" xr:uid="{00000000-0005-0000-0000-0000592F0000}"/>
    <cellStyle name="20% - Accent4 7 3 5 4 2 2" xfId="47801" xr:uid="{00000000-0005-0000-0000-00005A2F0000}"/>
    <cellStyle name="20% - Accent4 7 3 5 4 3" xfId="34885" xr:uid="{00000000-0005-0000-0000-00005B2F0000}"/>
    <cellStyle name="20% - Accent4 7 3 5 5" xfId="15469" xr:uid="{00000000-0005-0000-0000-00005C2F0000}"/>
    <cellStyle name="20% - Accent4 7 3 5 5 2" xfId="41343" xr:uid="{00000000-0005-0000-0000-00005D2F0000}"/>
    <cellStyle name="20% - Accent4 7 3 5 6" xfId="28395" xr:uid="{00000000-0005-0000-0000-00005E2F0000}"/>
    <cellStyle name="20% - Accent4 7 3 6" xfId="3325" xr:uid="{00000000-0005-0000-0000-00005F2F0000}"/>
    <cellStyle name="20% - Accent4 7 3 6 2" xfId="6586" xr:uid="{00000000-0005-0000-0000-0000602F0000}"/>
    <cellStyle name="20% - Accent4 7 3 6 2 2" xfId="13045" xr:uid="{00000000-0005-0000-0000-0000612F0000}"/>
    <cellStyle name="20% - Accent4 7 3 6 2 2 2" xfId="25962" xr:uid="{00000000-0005-0000-0000-0000622F0000}"/>
    <cellStyle name="20% - Accent4 7 3 6 2 2 2 2" xfId="51836" xr:uid="{00000000-0005-0000-0000-0000632F0000}"/>
    <cellStyle name="20% - Accent4 7 3 6 2 2 3" xfId="38920" xr:uid="{00000000-0005-0000-0000-0000642F0000}"/>
    <cellStyle name="20% - Accent4 7 3 6 2 3" xfId="19504" xr:uid="{00000000-0005-0000-0000-0000652F0000}"/>
    <cellStyle name="20% - Accent4 7 3 6 2 3 2" xfId="45378" xr:uid="{00000000-0005-0000-0000-0000662F0000}"/>
    <cellStyle name="20% - Accent4 7 3 6 2 4" xfId="32462" xr:uid="{00000000-0005-0000-0000-0000672F0000}"/>
    <cellStyle name="20% - Accent4 7 3 6 3" xfId="9817" xr:uid="{00000000-0005-0000-0000-0000682F0000}"/>
    <cellStyle name="20% - Accent4 7 3 6 3 2" xfId="22734" xr:uid="{00000000-0005-0000-0000-0000692F0000}"/>
    <cellStyle name="20% - Accent4 7 3 6 3 2 2" xfId="48608" xr:uid="{00000000-0005-0000-0000-00006A2F0000}"/>
    <cellStyle name="20% - Accent4 7 3 6 3 3" xfId="35692" xr:uid="{00000000-0005-0000-0000-00006B2F0000}"/>
    <cellStyle name="20% - Accent4 7 3 6 4" xfId="16276" xr:uid="{00000000-0005-0000-0000-00006C2F0000}"/>
    <cellStyle name="20% - Accent4 7 3 6 4 2" xfId="42150" xr:uid="{00000000-0005-0000-0000-00006D2F0000}"/>
    <cellStyle name="20% - Accent4 7 3 6 5" xfId="29202" xr:uid="{00000000-0005-0000-0000-00006E2F0000}"/>
    <cellStyle name="20% - Accent4 7 3 7" xfId="4972" xr:uid="{00000000-0005-0000-0000-00006F2F0000}"/>
    <cellStyle name="20% - Accent4 7 3 7 2" xfId="11431" xr:uid="{00000000-0005-0000-0000-0000702F0000}"/>
    <cellStyle name="20% - Accent4 7 3 7 2 2" xfId="24348" xr:uid="{00000000-0005-0000-0000-0000712F0000}"/>
    <cellStyle name="20% - Accent4 7 3 7 2 2 2" xfId="50222" xr:uid="{00000000-0005-0000-0000-0000722F0000}"/>
    <cellStyle name="20% - Accent4 7 3 7 2 3" xfId="37306" xr:uid="{00000000-0005-0000-0000-0000732F0000}"/>
    <cellStyle name="20% - Accent4 7 3 7 3" xfId="17890" xr:uid="{00000000-0005-0000-0000-0000742F0000}"/>
    <cellStyle name="20% - Accent4 7 3 7 3 2" xfId="43764" xr:uid="{00000000-0005-0000-0000-0000752F0000}"/>
    <cellStyle name="20% - Accent4 7 3 7 4" xfId="30848" xr:uid="{00000000-0005-0000-0000-0000762F0000}"/>
    <cellStyle name="20% - Accent4 7 3 8" xfId="8203" xr:uid="{00000000-0005-0000-0000-0000772F0000}"/>
    <cellStyle name="20% - Accent4 7 3 8 2" xfId="21120" xr:uid="{00000000-0005-0000-0000-0000782F0000}"/>
    <cellStyle name="20% - Accent4 7 3 8 2 2" xfId="46994" xr:uid="{00000000-0005-0000-0000-0000792F0000}"/>
    <cellStyle name="20% - Accent4 7 3 8 3" xfId="34078" xr:uid="{00000000-0005-0000-0000-00007A2F0000}"/>
    <cellStyle name="20% - Accent4 7 3 9" xfId="14662" xr:uid="{00000000-0005-0000-0000-00007B2F0000}"/>
    <cellStyle name="20% - Accent4 7 3 9 2" xfId="40536" xr:uid="{00000000-0005-0000-0000-00007C2F0000}"/>
    <cellStyle name="20% - Accent4 7 4" xfId="1067" xr:uid="{00000000-0005-0000-0000-00007D2F0000}"/>
    <cellStyle name="20% - Accent4 8" xfId="1439" xr:uid="{00000000-0005-0000-0000-00007E2F0000}"/>
    <cellStyle name="20% - Accent4 9" xfId="1515" xr:uid="{00000000-0005-0000-0000-00007F2F0000}"/>
    <cellStyle name="20% - Accent5 10" xfId="598" xr:uid="{00000000-0005-0000-0000-0000802F0000}"/>
    <cellStyle name="20% - Accent5 10 10" xfId="53478" xr:uid="{00000000-0005-0000-0000-0000812F0000}"/>
    <cellStyle name="20% - Accent5 10 11" xfId="1530" xr:uid="{00000000-0005-0000-0000-0000822F0000}"/>
    <cellStyle name="20% - Accent5 10 2" xfId="1887" xr:uid="{00000000-0005-0000-0000-0000832F0000}"/>
    <cellStyle name="20% - Accent5 10 2 2" xfId="2318" xr:uid="{00000000-0005-0000-0000-0000842F0000}"/>
    <cellStyle name="20% - Accent5 10 2 2 2" xfId="3131" xr:uid="{00000000-0005-0000-0000-0000852F0000}"/>
    <cellStyle name="20% - Accent5 10 2 2 2 2" xfId="4788" xr:uid="{00000000-0005-0000-0000-0000862F0000}"/>
    <cellStyle name="20% - Accent5 10 2 2 2 2 2" xfId="8019" xr:uid="{00000000-0005-0000-0000-0000872F0000}"/>
    <cellStyle name="20% - Accent5 10 2 2 2 2 2 2" xfId="14478" xr:uid="{00000000-0005-0000-0000-0000882F0000}"/>
    <cellStyle name="20% - Accent5 10 2 2 2 2 2 2 2" xfId="27395" xr:uid="{00000000-0005-0000-0000-0000892F0000}"/>
    <cellStyle name="20% - Accent5 10 2 2 2 2 2 2 2 2" xfId="53269" xr:uid="{00000000-0005-0000-0000-00008A2F0000}"/>
    <cellStyle name="20% - Accent5 10 2 2 2 2 2 2 3" xfId="40353" xr:uid="{00000000-0005-0000-0000-00008B2F0000}"/>
    <cellStyle name="20% - Accent5 10 2 2 2 2 2 3" xfId="20937" xr:uid="{00000000-0005-0000-0000-00008C2F0000}"/>
    <cellStyle name="20% - Accent5 10 2 2 2 2 2 3 2" xfId="46811" xr:uid="{00000000-0005-0000-0000-00008D2F0000}"/>
    <cellStyle name="20% - Accent5 10 2 2 2 2 2 4" xfId="33895" xr:uid="{00000000-0005-0000-0000-00008E2F0000}"/>
    <cellStyle name="20% - Accent5 10 2 2 2 2 3" xfId="11250" xr:uid="{00000000-0005-0000-0000-00008F2F0000}"/>
    <cellStyle name="20% - Accent5 10 2 2 2 2 3 2" xfId="24167" xr:uid="{00000000-0005-0000-0000-0000902F0000}"/>
    <cellStyle name="20% - Accent5 10 2 2 2 2 3 2 2" xfId="50041" xr:uid="{00000000-0005-0000-0000-0000912F0000}"/>
    <cellStyle name="20% - Accent5 10 2 2 2 2 3 3" xfId="37125" xr:uid="{00000000-0005-0000-0000-0000922F0000}"/>
    <cellStyle name="20% - Accent5 10 2 2 2 2 4" xfId="17709" xr:uid="{00000000-0005-0000-0000-0000932F0000}"/>
    <cellStyle name="20% - Accent5 10 2 2 2 2 4 2" xfId="43583" xr:uid="{00000000-0005-0000-0000-0000942F0000}"/>
    <cellStyle name="20% - Accent5 10 2 2 2 2 5" xfId="30635" xr:uid="{00000000-0005-0000-0000-0000952F0000}"/>
    <cellStyle name="20% - Accent5 10 2 2 2 3" xfId="6405" xr:uid="{00000000-0005-0000-0000-0000962F0000}"/>
    <cellStyle name="20% - Accent5 10 2 2 2 3 2" xfId="12864" xr:uid="{00000000-0005-0000-0000-0000972F0000}"/>
    <cellStyle name="20% - Accent5 10 2 2 2 3 2 2" xfId="25781" xr:uid="{00000000-0005-0000-0000-0000982F0000}"/>
    <cellStyle name="20% - Accent5 10 2 2 2 3 2 2 2" xfId="51655" xr:uid="{00000000-0005-0000-0000-0000992F0000}"/>
    <cellStyle name="20% - Accent5 10 2 2 2 3 2 3" xfId="38739" xr:uid="{00000000-0005-0000-0000-00009A2F0000}"/>
    <cellStyle name="20% - Accent5 10 2 2 2 3 3" xfId="19323" xr:uid="{00000000-0005-0000-0000-00009B2F0000}"/>
    <cellStyle name="20% - Accent5 10 2 2 2 3 3 2" xfId="45197" xr:uid="{00000000-0005-0000-0000-00009C2F0000}"/>
    <cellStyle name="20% - Accent5 10 2 2 2 3 4" xfId="32281" xr:uid="{00000000-0005-0000-0000-00009D2F0000}"/>
    <cellStyle name="20% - Accent5 10 2 2 2 4" xfId="9636" xr:uid="{00000000-0005-0000-0000-00009E2F0000}"/>
    <cellStyle name="20% - Accent5 10 2 2 2 4 2" xfId="22553" xr:uid="{00000000-0005-0000-0000-00009F2F0000}"/>
    <cellStyle name="20% - Accent5 10 2 2 2 4 2 2" xfId="48427" xr:uid="{00000000-0005-0000-0000-0000A02F0000}"/>
    <cellStyle name="20% - Accent5 10 2 2 2 4 3" xfId="35511" xr:uid="{00000000-0005-0000-0000-0000A12F0000}"/>
    <cellStyle name="20% - Accent5 10 2 2 2 5" xfId="16095" xr:uid="{00000000-0005-0000-0000-0000A22F0000}"/>
    <cellStyle name="20% - Accent5 10 2 2 2 5 2" xfId="41969" xr:uid="{00000000-0005-0000-0000-0000A32F0000}"/>
    <cellStyle name="20% - Accent5 10 2 2 2 6" xfId="29021" xr:uid="{00000000-0005-0000-0000-0000A42F0000}"/>
    <cellStyle name="20% - Accent5 10 2 2 3" xfId="3958" xr:uid="{00000000-0005-0000-0000-0000A52F0000}"/>
    <cellStyle name="20% - Accent5 10 2 2 3 2" xfId="7212" xr:uid="{00000000-0005-0000-0000-0000A62F0000}"/>
    <cellStyle name="20% - Accent5 10 2 2 3 2 2" xfId="13671" xr:uid="{00000000-0005-0000-0000-0000A72F0000}"/>
    <cellStyle name="20% - Accent5 10 2 2 3 2 2 2" xfId="26588" xr:uid="{00000000-0005-0000-0000-0000A82F0000}"/>
    <cellStyle name="20% - Accent5 10 2 2 3 2 2 2 2" xfId="52462" xr:uid="{00000000-0005-0000-0000-0000A92F0000}"/>
    <cellStyle name="20% - Accent5 10 2 2 3 2 2 3" xfId="39546" xr:uid="{00000000-0005-0000-0000-0000AA2F0000}"/>
    <cellStyle name="20% - Accent5 10 2 2 3 2 3" xfId="20130" xr:uid="{00000000-0005-0000-0000-0000AB2F0000}"/>
    <cellStyle name="20% - Accent5 10 2 2 3 2 3 2" xfId="46004" xr:uid="{00000000-0005-0000-0000-0000AC2F0000}"/>
    <cellStyle name="20% - Accent5 10 2 2 3 2 4" xfId="33088" xr:uid="{00000000-0005-0000-0000-0000AD2F0000}"/>
    <cellStyle name="20% - Accent5 10 2 2 3 3" xfId="10443" xr:uid="{00000000-0005-0000-0000-0000AE2F0000}"/>
    <cellStyle name="20% - Accent5 10 2 2 3 3 2" xfId="23360" xr:uid="{00000000-0005-0000-0000-0000AF2F0000}"/>
    <cellStyle name="20% - Accent5 10 2 2 3 3 2 2" xfId="49234" xr:uid="{00000000-0005-0000-0000-0000B02F0000}"/>
    <cellStyle name="20% - Accent5 10 2 2 3 3 3" xfId="36318" xr:uid="{00000000-0005-0000-0000-0000B12F0000}"/>
    <cellStyle name="20% - Accent5 10 2 2 3 4" xfId="16902" xr:uid="{00000000-0005-0000-0000-0000B22F0000}"/>
    <cellStyle name="20% - Accent5 10 2 2 3 4 2" xfId="42776" xr:uid="{00000000-0005-0000-0000-0000B32F0000}"/>
    <cellStyle name="20% - Accent5 10 2 2 3 5" xfId="29828" xr:uid="{00000000-0005-0000-0000-0000B42F0000}"/>
    <cellStyle name="20% - Accent5 10 2 2 4" xfId="5598" xr:uid="{00000000-0005-0000-0000-0000B52F0000}"/>
    <cellStyle name="20% - Accent5 10 2 2 4 2" xfId="12057" xr:uid="{00000000-0005-0000-0000-0000B62F0000}"/>
    <cellStyle name="20% - Accent5 10 2 2 4 2 2" xfId="24974" xr:uid="{00000000-0005-0000-0000-0000B72F0000}"/>
    <cellStyle name="20% - Accent5 10 2 2 4 2 2 2" xfId="50848" xr:uid="{00000000-0005-0000-0000-0000B82F0000}"/>
    <cellStyle name="20% - Accent5 10 2 2 4 2 3" xfId="37932" xr:uid="{00000000-0005-0000-0000-0000B92F0000}"/>
    <cellStyle name="20% - Accent5 10 2 2 4 3" xfId="18516" xr:uid="{00000000-0005-0000-0000-0000BA2F0000}"/>
    <cellStyle name="20% - Accent5 10 2 2 4 3 2" xfId="44390" xr:uid="{00000000-0005-0000-0000-0000BB2F0000}"/>
    <cellStyle name="20% - Accent5 10 2 2 4 4" xfId="31474" xr:uid="{00000000-0005-0000-0000-0000BC2F0000}"/>
    <cellStyle name="20% - Accent5 10 2 2 5" xfId="8829" xr:uid="{00000000-0005-0000-0000-0000BD2F0000}"/>
    <cellStyle name="20% - Accent5 10 2 2 5 2" xfId="21746" xr:uid="{00000000-0005-0000-0000-0000BE2F0000}"/>
    <cellStyle name="20% - Accent5 10 2 2 5 2 2" xfId="47620" xr:uid="{00000000-0005-0000-0000-0000BF2F0000}"/>
    <cellStyle name="20% - Accent5 10 2 2 5 3" xfId="34704" xr:uid="{00000000-0005-0000-0000-0000C02F0000}"/>
    <cellStyle name="20% - Accent5 10 2 2 6" xfId="15288" xr:uid="{00000000-0005-0000-0000-0000C12F0000}"/>
    <cellStyle name="20% - Accent5 10 2 2 6 2" xfId="41162" xr:uid="{00000000-0005-0000-0000-0000C22F0000}"/>
    <cellStyle name="20% - Accent5 10 2 2 7" xfId="28214" xr:uid="{00000000-0005-0000-0000-0000C32F0000}"/>
    <cellStyle name="20% - Accent5 10 2 2 8" xfId="54076" xr:uid="{00000000-0005-0000-0000-0000C42F0000}"/>
    <cellStyle name="20% - Accent5 10 2 3" xfId="2727" xr:uid="{00000000-0005-0000-0000-0000C52F0000}"/>
    <cellStyle name="20% - Accent5 10 2 3 2" xfId="4384" xr:uid="{00000000-0005-0000-0000-0000C62F0000}"/>
    <cellStyle name="20% - Accent5 10 2 3 2 2" xfId="7615" xr:uid="{00000000-0005-0000-0000-0000C72F0000}"/>
    <cellStyle name="20% - Accent5 10 2 3 2 2 2" xfId="14074" xr:uid="{00000000-0005-0000-0000-0000C82F0000}"/>
    <cellStyle name="20% - Accent5 10 2 3 2 2 2 2" xfId="26991" xr:uid="{00000000-0005-0000-0000-0000C92F0000}"/>
    <cellStyle name="20% - Accent5 10 2 3 2 2 2 2 2" xfId="52865" xr:uid="{00000000-0005-0000-0000-0000CA2F0000}"/>
    <cellStyle name="20% - Accent5 10 2 3 2 2 2 3" xfId="39949" xr:uid="{00000000-0005-0000-0000-0000CB2F0000}"/>
    <cellStyle name="20% - Accent5 10 2 3 2 2 3" xfId="20533" xr:uid="{00000000-0005-0000-0000-0000CC2F0000}"/>
    <cellStyle name="20% - Accent5 10 2 3 2 2 3 2" xfId="46407" xr:uid="{00000000-0005-0000-0000-0000CD2F0000}"/>
    <cellStyle name="20% - Accent5 10 2 3 2 2 4" xfId="33491" xr:uid="{00000000-0005-0000-0000-0000CE2F0000}"/>
    <cellStyle name="20% - Accent5 10 2 3 2 3" xfId="10846" xr:uid="{00000000-0005-0000-0000-0000CF2F0000}"/>
    <cellStyle name="20% - Accent5 10 2 3 2 3 2" xfId="23763" xr:uid="{00000000-0005-0000-0000-0000D02F0000}"/>
    <cellStyle name="20% - Accent5 10 2 3 2 3 2 2" xfId="49637" xr:uid="{00000000-0005-0000-0000-0000D12F0000}"/>
    <cellStyle name="20% - Accent5 10 2 3 2 3 3" xfId="36721" xr:uid="{00000000-0005-0000-0000-0000D22F0000}"/>
    <cellStyle name="20% - Accent5 10 2 3 2 4" xfId="17305" xr:uid="{00000000-0005-0000-0000-0000D32F0000}"/>
    <cellStyle name="20% - Accent5 10 2 3 2 4 2" xfId="43179" xr:uid="{00000000-0005-0000-0000-0000D42F0000}"/>
    <cellStyle name="20% - Accent5 10 2 3 2 5" xfId="30231" xr:uid="{00000000-0005-0000-0000-0000D52F0000}"/>
    <cellStyle name="20% - Accent5 10 2 3 3" xfId="6001" xr:uid="{00000000-0005-0000-0000-0000D62F0000}"/>
    <cellStyle name="20% - Accent5 10 2 3 3 2" xfId="12460" xr:uid="{00000000-0005-0000-0000-0000D72F0000}"/>
    <cellStyle name="20% - Accent5 10 2 3 3 2 2" xfId="25377" xr:uid="{00000000-0005-0000-0000-0000D82F0000}"/>
    <cellStyle name="20% - Accent5 10 2 3 3 2 2 2" xfId="51251" xr:uid="{00000000-0005-0000-0000-0000D92F0000}"/>
    <cellStyle name="20% - Accent5 10 2 3 3 2 3" xfId="38335" xr:uid="{00000000-0005-0000-0000-0000DA2F0000}"/>
    <cellStyle name="20% - Accent5 10 2 3 3 3" xfId="18919" xr:uid="{00000000-0005-0000-0000-0000DB2F0000}"/>
    <cellStyle name="20% - Accent5 10 2 3 3 3 2" xfId="44793" xr:uid="{00000000-0005-0000-0000-0000DC2F0000}"/>
    <cellStyle name="20% - Accent5 10 2 3 3 4" xfId="31877" xr:uid="{00000000-0005-0000-0000-0000DD2F0000}"/>
    <cellStyle name="20% - Accent5 10 2 3 4" xfId="9232" xr:uid="{00000000-0005-0000-0000-0000DE2F0000}"/>
    <cellStyle name="20% - Accent5 10 2 3 4 2" xfId="22149" xr:uid="{00000000-0005-0000-0000-0000DF2F0000}"/>
    <cellStyle name="20% - Accent5 10 2 3 4 2 2" xfId="48023" xr:uid="{00000000-0005-0000-0000-0000E02F0000}"/>
    <cellStyle name="20% - Accent5 10 2 3 4 3" xfId="35107" xr:uid="{00000000-0005-0000-0000-0000E12F0000}"/>
    <cellStyle name="20% - Accent5 10 2 3 5" xfId="15691" xr:uid="{00000000-0005-0000-0000-0000E22F0000}"/>
    <cellStyle name="20% - Accent5 10 2 3 5 2" xfId="41565" xr:uid="{00000000-0005-0000-0000-0000E32F0000}"/>
    <cellStyle name="20% - Accent5 10 2 3 6" xfId="28617" xr:uid="{00000000-0005-0000-0000-0000E42F0000}"/>
    <cellStyle name="20% - Accent5 10 2 4" xfId="3554" xr:uid="{00000000-0005-0000-0000-0000E52F0000}"/>
    <cellStyle name="20% - Accent5 10 2 4 2" xfId="6808" xr:uid="{00000000-0005-0000-0000-0000E62F0000}"/>
    <cellStyle name="20% - Accent5 10 2 4 2 2" xfId="13267" xr:uid="{00000000-0005-0000-0000-0000E72F0000}"/>
    <cellStyle name="20% - Accent5 10 2 4 2 2 2" xfId="26184" xr:uid="{00000000-0005-0000-0000-0000E82F0000}"/>
    <cellStyle name="20% - Accent5 10 2 4 2 2 2 2" xfId="52058" xr:uid="{00000000-0005-0000-0000-0000E92F0000}"/>
    <cellStyle name="20% - Accent5 10 2 4 2 2 3" xfId="39142" xr:uid="{00000000-0005-0000-0000-0000EA2F0000}"/>
    <cellStyle name="20% - Accent5 10 2 4 2 3" xfId="19726" xr:uid="{00000000-0005-0000-0000-0000EB2F0000}"/>
    <cellStyle name="20% - Accent5 10 2 4 2 3 2" xfId="45600" xr:uid="{00000000-0005-0000-0000-0000EC2F0000}"/>
    <cellStyle name="20% - Accent5 10 2 4 2 4" xfId="32684" xr:uid="{00000000-0005-0000-0000-0000ED2F0000}"/>
    <cellStyle name="20% - Accent5 10 2 4 3" xfId="10039" xr:uid="{00000000-0005-0000-0000-0000EE2F0000}"/>
    <cellStyle name="20% - Accent5 10 2 4 3 2" xfId="22956" xr:uid="{00000000-0005-0000-0000-0000EF2F0000}"/>
    <cellStyle name="20% - Accent5 10 2 4 3 2 2" xfId="48830" xr:uid="{00000000-0005-0000-0000-0000F02F0000}"/>
    <cellStyle name="20% - Accent5 10 2 4 3 3" xfId="35914" xr:uid="{00000000-0005-0000-0000-0000F12F0000}"/>
    <cellStyle name="20% - Accent5 10 2 4 4" xfId="16498" xr:uid="{00000000-0005-0000-0000-0000F22F0000}"/>
    <cellStyle name="20% - Accent5 10 2 4 4 2" xfId="42372" xr:uid="{00000000-0005-0000-0000-0000F32F0000}"/>
    <cellStyle name="20% - Accent5 10 2 4 5" xfId="29424" xr:uid="{00000000-0005-0000-0000-0000F42F0000}"/>
    <cellStyle name="20% - Accent5 10 2 5" xfId="5194" xr:uid="{00000000-0005-0000-0000-0000F52F0000}"/>
    <cellStyle name="20% - Accent5 10 2 5 2" xfId="11653" xr:uid="{00000000-0005-0000-0000-0000F62F0000}"/>
    <cellStyle name="20% - Accent5 10 2 5 2 2" xfId="24570" xr:uid="{00000000-0005-0000-0000-0000F72F0000}"/>
    <cellStyle name="20% - Accent5 10 2 5 2 2 2" xfId="50444" xr:uid="{00000000-0005-0000-0000-0000F82F0000}"/>
    <cellStyle name="20% - Accent5 10 2 5 2 3" xfId="37528" xr:uid="{00000000-0005-0000-0000-0000F92F0000}"/>
    <cellStyle name="20% - Accent5 10 2 5 3" xfId="18112" xr:uid="{00000000-0005-0000-0000-0000FA2F0000}"/>
    <cellStyle name="20% - Accent5 10 2 5 3 2" xfId="43986" xr:uid="{00000000-0005-0000-0000-0000FB2F0000}"/>
    <cellStyle name="20% - Accent5 10 2 5 4" xfId="31070" xr:uid="{00000000-0005-0000-0000-0000FC2F0000}"/>
    <cellStyle name="20% - Accent5 10 2 6" xfId="8425" xr:uid="{00000000-0005-0000-0000-0000FD2F0000}"/>
    <cellStyle name="20% - Accent5 10 2 6 2" xfId="21342" xr:uid="{00000000-0005-0000-0000-0000FE2F0000}"/>
    <cellStyle name="20% - Accent5 10 2 6 2 2" xfId="47216" xr:uid="{00000000-0005-0000-0000-0000FF2F0000}"/>
    <cellStyle name="20% - Accent5 10 2 6 3" xfId="34300" xr:uid="{00000000-0005-0000-0000-000000300000}"/>
    <cellStyle name="20% - Accent5 10 2 7" xfId="14884" xr:uid="{00000000-0005-0000-0000-000001300000}"/>
    <cellStyle name="20% - Accent5 10 2 7 2" xfId="40758" xr:uid="{00000000-0005-0000-0000-000002300000}"/>
    <cellStyle name="20% - Accent5 10 2 8" xfId="27809" xr:uid="{00000000-0005-0000-0000-000003300000}"/>
    <cellStyle name="20% - Accent5 10 2 9" xfId="53672" xr:uid="{00000000-0005-0000-0000-000004300000}"/>
    <cellStyle name="20% - Accent5 10 3" xfId="2122" xr:uid="{00000000-0005-0000-0000-000005300000}"/>
    <cellStyle name="20% - Accent5 10 3 2" xfId="2936" xr:uid="{00000000-0005-0000-0000-000006300000}"/>
    <cellStyle name="20% - Accent5 10 3 2 2" xfId="4593" xr:uid="{00000000-0005-0000-0000-000007300000}"/>
    <cellStyle name="20% - Accent5 10 3 2 2 2" xfId="7824" xr:uid="{00000000-0005-0000-0000-000008300000}"/>
    <cellStyle name="20% - Accent5 10 3 2 2 2 2" xfId="14283" xr:uid="{00000000-0005-0000-0000-000009300000}"/>
    <cellStyle name="20% - Accent5 10 3 2 2 2 2 2" xfId="27200" xr:uid="{00000000-0005-0000-0000-00000A300000}"/>
    <cellStyle name="20% - Accent5 10 3 2 2 2 2 2 2" xfId="53074" xr:uid="{00000000-0005-0000-0000-00000B300000}"/>
    <cellStyle name="20% - Accent5 10 3 2 2 2 2 3" xfId="40158" xr:uid="{00000000-0005-0000-0000-00000C300000}"/>
    <cellStyle name="20% - Accent5 10 3 2 2 2 3" xfId="20742" xr:uid="{00000000-0005-0000-0000-00000D300000}"/>
    <cellStyle name="20% - Accent5 10 3 2 2 2 3 2" xfId="46616" xr:uid="{00000000-0005-0000-0000-00000E300000}"/>
    <cellStyle name="20% - Accent5 10 3 2 2 2 4" xfId="33700" xr:uid="{00000000-0005-0000-0000-00000F300000}"/>
    <cellStyle name="20% - Accent5 10 3 2 2 3" xfId="11055" xr:uid="{00000000-0005-0000-0000-000010300000}"/>
    <cellStyle name="20% - Accent5 10 3 2 2 3 2" xfId="23972" xr:uid="{00000000-0005-0000-0000-000011300000}"/>
    <cellStyle name="20% - Accent5 10 3 2 2 3 2 2" xfId="49846" xr:uid="{00000000-0005-0000-0000-000012300000}"/>
    <cellStyle name="20% - Accent5 10 3 2 2 3 3" xfId="36930" xr:uid="{00000000-0005-0000-0000-000013300000}"/>
    <cellStyle name="20% - Accent5 10 3 2 2 4" xfId="17514" xr:uid="{00000000-0005-0000-0000-000014300000}"/>
    <cellStyle name="20% - Accent5 10 3 2 2 4 2" xfId="43388" xr:uid="{00000000-0005-0000-0000-000015300000}"/>
    <cellStyle name="20% - Accent5 10 3 2 2 5" xfId="30440" xr:uid="{00000000-0005-0000-0000-000016300000}"/>
    <cellStyle name="20% - Accent5 10 3 2 3" xfId="6210" xr:uid="{00000000-0005-0000-0000-000017300000}"/>
    <cellStyle name="20% - Accent5 10 3 2 3 2" xfId="12669" xr:uid="{00000000-0005-0000-0000-000018300000}"/>
    <cellStyle name="20% - Accent5 10 3 2 3 2 2" xfId="25586" xr:uid="{00000000-0005-0000-0000-000019300000}"/>
    <cellStyle name="20% - Accent5 10 3 2 3 2 2 2" xfId="51460" xr:uid="{00000000-0005-0000-0000-00001A300000}"/>
    <cellStyle name="20% - Accent5 10 3 2 3 2 3" xfId="38544" xr:uid="{00000000-0005-0000-0000-00001B300000}"/>
    <cellStyle name="20% - Accent5 10 3 2 3 3" xfId="19128" xr:uid="{00000000-0005-0000-0000-00001C300000}"/>
    <cellStyle name="20% - Accent5 10 3 2 3 3 2" xfId="45002" xr:uid="{00000000-0005-0000-0000-00001D300000}"/>
    <cellStyle name="20% - Accent5 10 3 2 3 4" xfId="32086" xr:uid="{00000000-0005-0000-0000-00001E300000}"/>
    <cellStyle name="20% - Accent5 10 3 2 4" xfId="9441" xr:uid="{00000000-0005-0000-0000-00001F300000}"/>
    <cellStyle name="20% - Accent5 10 3 2 4 2" xfId="22358" xr:uid="{00000000-0005-0000-0000-000020300000}"/>
    <cellStyle name="20% - Accent5 10 3 2 4 2 2" xfId="48232" xr:uid="{00000000-0005-0000-0000-000021300000}"/>
    <cellStyle name="20% - Accent5 10 3 2 4 3" xfId="35316" xr:uid="{00000000-0005-0000-0000-000022300000}"/>
    <cellStyle name="20% - Accent5 10 3 2 5" xfId="15900" xr:uid="{00000000-0005-0000-0000-000023300000}"/>
    <cellStyle name="20% - Accent5 10 3 2 5 2" xfId="41774" xr:uid="{00000000-0005-0000-0000-000024300000}"/>
    <cellStyle name="20% - Accent5 10 3 2 6" xfId="28826" xr:uid="{00000000-0005-0000-0000-000025300000}"/>
    <cellStyle name="20% - Accent5 10 3 3" xfId="3763" xr:uid="{00000000-0005-0000-0000-000026300000}"/>
    <cellStyle name="20% - Accent5 10 3 3 2" xfId="7017" xr:uid="{00000000-0005-0000-0000-000027300000}"/>
    <cellStyle name="20% - Accent5 10 3 3 2 2" xfId="13476" xr:uid="{00000000-0005-0000-0000-000028300000}"/>
    <cellStyle name="20% - Accent5 10 3 3 2 2 2" xfId="26393" xr:uid="{00000000-0005-0000-0000-000029300000}"/>
    <cellStyle name="20% - Accent5 10 3 3 2 2 2 2" xfId="52267" xr:uid="{00000000-0005-0000-0000-00002A300000}"/>
    <cellStyle name="20% - Accent5 10 3 3 2 2 3" xfId="39351" xr:uid="{00000000-0005-0000-0000-00002B300000}"/>
    <cellStyle name="20% - Accent5 10 3 3 2 3" xfId="19935" xr:uid="{00000000-0005-0000-0000-00002C300000}"/>
    <cellStyle name="20% - Accent5 10 3 3 2 3 2" xfId="45809" xr:uid="{00000000-0005-0000-0000-00002D300000}"/>
    <cellStyle name="20% - Accent5 10 3 3 2 4" xfId="32893" xr:uid="{00000000-0005-0000-0000-00002E300000}"/>
    <cellStyle name="20% - Accent5 10 3 3 3" xfId="10248" xr:uid="{00000000-0005-0000-0000-00002F300000}"/>
    <cellStyle name="20% - Accent5 10 3 3 3 2" xfId="23165" xr:uid="{00000000-0005-0000-0000-000030300000}"/>
    <cellStyle name="20% - Accent5 10 3 3 3 2 2" xfId="49039" xr:uid="{00000000-0005-0000-0000-000031300000}"/>
    <cellStyle name="20% - Accent5 10 3 3 3 3" xfId="36123" xr:uid="{00000000-0005-0000-0000-000032300000}"/>
    <cellStyle name="20% - Accent5 10 3 3 4" xfId="16707" xr:uid="{00000000-0005-0000-0000-000033300000}"/>
    <cellStyle name="20% - Accent5 10 3 3 4 2" xfId="42581" xr:uid="{00000000-0005-0000-0000-000034300000}"/>
    <cellStyle name="20% - Accent5 10 3 3 5" xfId="29633" xr:uid="{00000000-0005-0000-0000-000035300000}"/>
    <cellStyle name="20% - Accent5 10 3 4" xfId="5403" xr:uid="{00000000-0005-0000-0000-000036300000}"/>
    <cellStyle name="20% - Accent5 10 3 4 2" xfId="11862" xr:uid="{00000000-0005-0000-0000-000037300000}"/>
    <cellStyle name="20% - Accent5 10 3 4 2 2" xfId="24779" xr:uid="{00000000-0005-0000-0000-000038300000}"/>
    <cellStyle name="20% - Accent5 10 3 4 2 2 2" xfId="50653" xr:uid="{00000000-0005-0000-0000-000039300000}"/>
    <cellStyle name="20% - Accent5 10 3 4 2 3" xfId="37737" xr:uid="{00000000-0005-0000-0000-00003A300000}"/>
    <cellStyle name="20% - Accent5 10 3 4 3" xfId="18321" xr:uid="{00000000-0005-0000-0000-00003B300000}"/>
    <cellStyle name="20% - Accent5 10 3 4 3 2" xfId="44195" xr:uid="{00000000-0005-0000-0000-00003C300000}"/>
    <cellStyle name="20% - Accent5 10 3 4 4" xfId="31279" xr:uid="{00000000-0005-0000-0000-00003D300000}"/>
    <cellStyle name="20% - Accent5 10 3 5" xfId="8634" xr:uid="{00000000-0005-0000-0000-00003E300000}"/>
    <cellStyle name="20% - Accent5 10 3 5 2" xfId="21551" xr:uid="{00000000-0005-0000-0000-00003F300000}"/>
    <cellStyle name="20% - Accent5 10 3 5 2 2" xfId="47425" xr:uid="{00000000-0005-0000-0000-000040300000}"/>
    <cellStyle name="20% - Accent5 10 3 5 3" xfId="34509" xr:uid="{00000000-0005-0000-0000-000041300000}"/>
    <cellStyle name="20% - Accent5 10 3 6" xfId="15093" xr:uid="{00000000-0005-0000-0000-000042300000}"/>
    <cellStyle name="20% - Accent5 10 3 6 2" xfId="40967" xr:uid="{00000000-0005-0000-0000-000043300000}"/>
    <cellStyle name="20% - Accent5 10 3 7" xfId="28019" xr:uid="{00000000-0005-0000-0000-000044300000}"/>
    <cellStyle name="20% - Accent5 10 3 8" xfId="53881" xr:uid="{00000000-0005-0000-0000-000045300000}"/>
    <cellStyle name="20% - Accent5 10 4" xfId="2533" xr:uid="{00000000-0005-0000-0000-000046300000}"/>
    <cellStyle name="20% - Accent5 10 4 2" xfId="4190" xr:uid="{00000000-0005-0000-0000-000047300000}"/>
    <cellStyle name="20% - Accent5 10 4 2 2" xfId="7421" xr:uid="{00000000-0005-0000-0000-000048300000}"/>
    <cellStyle name="20% - Accent5 10 4 2 2 2" xfId="13880" xr:uid="{00000000-0005-0000-0000-000049300000}"/>
    <cellStyle name="20% - Accent5 10 4 2 2 2 2" xfId="26797" xr:uid="{00000000-0005-0000-0000-00004A300000}"/>
    <cellStyle name="20% - Accent5 10 4 2 2 2 2 2" xfId="52671" xr:uid="{00000000-0005-0000-0000-00004B300000}"/>
    <cellStyle name="20% - Accent5 10 4 2 2 2 3" xfId="39755" xr:uid="{00000000-0005-0000-0000-00004C300000}"/>
    <cellStyle name="20% - Accent5 10 4 2 2 3" xfId="20339" xr:uid="{00000000-0005-0000-0000-00004D300000}"/>
    <cellStyle name="20% - Accent5 10 4 2 2 3 2" xfId="46213" xr:uid="{00000000-0005-0000-0000-00004E300000}"/>
    <cellStyle name="20% - Accent5 10 4 2 2 4" xfId="33297" xr:uid="{00000000-0005-0000-0000-00004F300000}"/>
    <cellStyle name="20% - Accent5 10 4 2 3" xfId="10652" xr:uid="{00000000-0005-0000-0000-000050300000}"/>
    <cellStyle name="20% - Accent5 10 4 2 3 2" xfId="23569" xr:uid="{00000000-0005-0000-0000-000051300000}"/>
    <cellStyle name="20% - Accent5 10 4 2 3 2 2" xfId="49443" xr:uid="{00000000-0005-0000-0000-000052300000}"/>
    <cellStyle name="20% - Accent5 10 4 2 3 3" xfId="36527" xr:uid="{00000000-0005-0000-0000-000053300000}"/>
    <cellStyle name="20% - Accent5 10 4 2 4" xfId="17111" xr:uid="{00000000-0005-0000-0000-000054300000}"/>
    <cellStyle name="20% - Accent5 10 4 2 4 2" xfId="42985" xr:uid="{00000000-0005-0000-0000-000055300000}"/>
    <cellStyle name="20% - Accent5 10 4 2 5" xfId="30037" xr:uid="{00000000-0005-0000-0000-000056300000}"/>
    <cellStyle name="20% - Accent5 10 4 3" xfId="5807" xr:uid="{00000000-0005-0000-0000-000057300000}"/>
    <cellStyle name="20% - Accent5 10 4 3 2" xfId="12266" xr:uid="{00000000-0005-0000-0000-000058300000}"/>
    <cellStyle name="20% - Accent5 10 4 3 2 2" xfId="25183" xr:uid="{00000000-0005-0000-0000-000059300000}"/>
    <cellStyle name="20% - Accent5 10 4 3 2 2 2" xfId="51057" xr:uid="{00000000-0005-0000-0000-00005A300000}"/>
    <cellStyle name="20% - Accent5 10 4 3 2 3" xfId="38141" xr:uid="{00000000-0005-0000-0000-00005B300000}"/>
    <cellStyle name="20% - Accent5 10 4 3 3" xfId="18725" xr:uid="{00000000-0005-0000-0000-00005C300000}"/>
    <cellStyle name="20% - Accent5 10 4 3 3 2" xfId="44599" xr:uid="{00000000-0005-0000-0000-00005D300000}"/>
    <cellStyle name="20% - Accent5 10 4 3 4" xfId="31683" xr:uid="{00000000-0005-0000-0000-00005E300000}"/>
    <cellStyle name="20% - Accent5 10 4 4" xfId="9038" xr:uid="{00000000-0005-0000-0000-00005F300000}"/>
    <cellStyle name="20% - Accent5 10 4 4 2" xfId="21955" xr:uid="{00000000-0005-0000-0000-000060300000}"/>
    <cellStyle name="20% - Accent5 10 4 4 2 2" xfId="47829" xr:uid="{00000000-0005-0000-0000-000061300000}"/>
    <cellStyle name="20% - Accent5 10 4 4 3" xfId="34913" xr:uid="{00000000-0005-0000-0000-000062300000}"/>
    <cellStyle name="20% - Accent5 10 4 5" xfId="15497" xr:uid="{00000000-0005-0000-0000-000063300000}"/>
    <cellStyle name="20% - Accent5 10 4 5 2" xfId="41371" xr:uid="{00000000-0005-0000-0000-000064300000}"/>
    <cellStyle name="20% - Accent5 10 4 6" xfId="28423" xr:uid="{00000000-0005-0000-0000-000065300000}"/>
    <cellStyle name="20% - Accent5 10 5" xfId="3355" xr:uid="{00000000-0005-0000-0000-000066300000}"/>
    <cellStyle name="20% - Accent5 10 5 2" xfId="6614" xr:uid="{00000000-0005-0000-0000-000067300000}"/>
    <cellStyle name="20% - Accent5 10 5 2 2" xfId="13073" xr:uid="{00000000-0005-0000-0000-000068300000}"/>
    <cellStyle name="20% - Accent5 10 5 2 2 2" xfId="25990" xr:uid="{00000000-0005-0000-0000-000069300000}"/>
    <cellStyle name="20% - Accent5 10 5 2 2 2 2" xfId="51864" xr:uid="{00000000-0005-0000-0000-00006A300000}"/>
    <cellStyle name="20% - Accent5 10 5 2 2 3" xfId="38948" xr:uid="{00000000-0005-0000-0000-00006B300000}"/>
    <cellStyle name="20% - Accent5 10 5 2 3" xfId="19532" xr:uid="{00000000-0005-0000-0000-00006C300000}"/>
    <cellStyle name="20% - Accent5 10 5 2 3 2" xfId="45406" xr:uid="{00000000-0005-0000-0000-00006D300000}"/>
    <cellStyle name="20% - Accent5 10 5 2 4" xfId="32490" xr:uid="{00000000-0005-0000-0000-00006E300000}"/>
    <cellStyle name="20% - Accent5 10 5 3" xfId="9845" xr:uid="{00000000-0005-0000-0000-00006F300000}"/>
    <cellStyle name="20% - Accent5 10 5 3 2" xfId="22762" xr:uid="{00000000-0005-0000-0000-000070300000}"/>
    <cellStyle name="20% - Accent5 10 5 3 2 2" xfId="48636" xr:uid="{00000000-0005-0000-0000-000071300000}"/>
    <cellStyle name="20% - Accent5 10 5 3 3" xfId="35720" xr:uid="{00000000-0005-0000-0000-000072300000}"/>
    <cellStyle name="20% - Accent5 10 5 4" xfId="16304" xr:uid="{00000000-0005-0000-0000-000073300000}"/>
    <cellStyle name="20% - Accent5 10 5 4 2" xfId="42178" xr:uid="{00000000-0005-0000-0000-000074300000}"/>
    <cellStyle name="20% - Accent5 10 5 5" xfId="29230" xr:uid="{00000000-0005-0000-0000-000075300000}"/>
    <cellStyle name="20% - Accent5 10 6" xfId="5000" xr:uid="{00000000-0005-0000-0000-000076300000}"/>
    <cellStyle name="20% - Accent5 10 6 2" xfId="11459" xr:uid="{00000000-0005-0000-0000-000077300000}"/>
    <cellStyle name="20% - Accent5 10 6 2 2" xfId="24376" xr:uid="{00000000-0005-0000-0000-000078300000}"/>
    <cellStyle name="20% - Accent5 10 6 2 2 2" xfId="50250" xr:uid="{00000000-0005-0000-0000-000079300000}"/>
    <cellStyle name="20% - Accent5 10 6 2 3" xfId="37334" xr:uid="{00000000-0005-0000-0000-00007A300000}"/>
    <cellStyle name="20% - Accent5 10 6 3" xfId="17918" xr:uid="{00000000-0005-0000-0000-00007B300000}"/>
    <cellStyle name="20% - Accent5 10 6 3 2" xfId="43792" xr:uid="{00000000-0005-0000-0000-00007C300000}"/>
    <cellStyle name="20% - Accent5 10 6 4" xfId="30876" xr:uid="{00000000-0005-0000-0000-00007D300000}"/>
    <cellStyle name="20% - Accent5 10 7" xfId="8230" xr:uid="{00000000-0005-0000-0000-00007E300000}"/>
    <cellStyle name="20% - Accent5 10 7 2" xfId="21147" xr:uid="{00000000-0005-0000-0000-00007F300000}"/>
    <cellStyle name="20% - Accent5 10 7 2 2" xfId="47021" xr:uid="{00000000-0005-0000-0000-000080300000}"/>
    <cellStyle name="20% - Accent5 10 7 3" xfId="34105" xr:uid="{00000000-0005-0000-0000-000081300000}"/>
    <cellStyle name="20% - Accent5 10 8" xfId="14689" xr:uid="{00000000-0005-0000-0000-000082300000}"/>
    <cellStyle name="20% - Accent5 10 8 2" xfId="40563" xr:uid="{00000000-0005-0000-0000-000083300000}"/>
    <cellStyle name="20% - Accent5 10 9" xfId="27613" xr:uid="{00000000-0005-0000-0000-000084300000}"/>
    <cellStyle name="20% - Accent5 11" xfId="1765" xr:uid="{00000000-0005-0000-0000-000085300000}"/>
    <cellStyle name="20% - Accent5 11 2" xfId="2259" xr:uid="{00000000-0005-0000-0000-000086300000}"/>
    <cellStyle name="20% - Accent5 11 2 2" xfId="3073" xr:uid="{00000000-0005-0000-0000-000087300000}"/>
    <cellStyle name="20% - Accent5 11 2 2 2" xfId="4730" xr:uid="{00000000-0005-0000-0000-000088300000}"/>
    <cellStyle name="20% - Accent5 11 2 2 2 2" xfId="7961" xr:uid="{00000000-0005-0000-0000-000089300000}"/>
    <cellStyle name="20% - Accent5 11 2 2 2 2 2" xfId="14420" xr:uid="{00000000-0005-0000-0000-00008A300000}"/>
    <cellStyle name="20% - Accent5 11 2 2 2 2 2 2" xfId="27337" xr:uid="{00000000-0005-0000-0000-00008B300000}"/>
    <cellStyle name="20% - Accent5 11 2 2 2 2 2 2 2" xfId="53211" xr:uid="{00000000-0005-0000-0000-00008C300000}"/>
    <cellStyle name="20% - Accent5 11 2 2 2 2 2 3" xfId="40295" xr:uid="{00000000-0005-0000-0000-00008D300000}"/>
    <cellStyle name="20% - Accent5 11 2 2 2 2 3" xfId="20879" xr:uid="{00000000-0005-0000-0000-00008E300000}"/>
    <cellStyle name="20% - Accent5 11 2 2 2 2 3 2" xfId="46753" xr:uid="{00000000-0005-0000-0000-00008F300000}"/>
    <cellStyle name="20% - Accent5 11 2 2 2 2 4" xfId="33837" xr:uid="{00000000-0005-0000-0000-000090300000}"/>
    <cellStyle name="20% - Accent5 11 2 2 2 3" xfId="11192" xr:uid="{00000000-0005-0000-0000-000091300000}"/>
    <cellStyle name="20% - Accent5 11 2 2 2 3 2" xfId="24109" xr:uid="{00000000-0005-0000-0000-000092300000}"/>
    <cellStyle name="20% - Accent5 11 2 2 2 3 2 2" xfId="49983" xr:uid="{00000000-0005-0000-0000-000093300000}"/>
    <cellStyle name="20% - Accent5 11 2 2 2 3 3" xfId="37067" xr:uid="{00000000-0005-0000-0000-000094300000}"/>
    <cellStyle name="20% - Accent5 11 2 2 2 4" xfId="17651" xr:uid="{00000000-0005-0000-0000-000095300000}"/>
    <cellStyle name="20% - Accent5 11 2 2 2 4 2" xfId="43525" xr:uid="{00000000-0005-0000-0000-000096300000}"/>
    <cellStyle name="20% - Accent5 11 2 2 2 5" xfId="30577" xr:uid="{00000000-0005-0000-0000-000097300000}"/>
    <cellStyle name="20% - Accent5 11 2 2 3" xfId="6347" xr:uid="{00000000-0005-0000-0000-000098300000}"/>
    <cellStyle name="20% - Accent5 11 2 2 3 2" xfId="12806" xr:uid="{00000000-0005-0000-0000-000099300000}"/>
    <cellStyle name="20% - Accent5 11 2 2 3 2 2" xfId="25723" xr:uid="{00000000-0005-0000-0000-00009A300000}"/>
    <cellStyle name="20% - Accent5 11 2 2 3 2 2 2" xfId="51597" xr:uid="{00000000-0005-0000-0000-00009B300000}"/>
    <cellStyle name="20% - Accent5 11 2 2 3 2 3" xfId="38681" xr:uid="{00000000-0005-0000-0000-00009C300000}"/>
    <cellStyle name="20% - Accent5 11 2 2 3 3" xfId="19265" xr:uid="{00000000-0005-0000-0000-00009D300000}"/>
    <cellStyle name="20% - Accent5 11 2 2 3 3 2" xfId="45139" xr:uid="{00000000-0005-0000-0000-00009E300000}"/>
    <cellStyle name="20% - Accent5 11 2 2 3 4" xfId="32223" xr:uid="{00000000-0005-0000-0000-00009F300000}"/>
    <cellStyle name="20% - Accent5 11 2 2 4" xfId="9578" xr:uid="{00000000-0005-0000-0000-0000A0300000}"/>
    <cellStyle name="20% - Accent5 11 2 2 4 2" xfId="22495" xr:uid="{00000000-0005-0000-0000-0000A1300000}"/>
    <cellStyle name="20% - Accent5 11 2 2 4 2 2" xfId="48369" xr:uid="{00000000-0005-0000-0000-0000A2300000}"/>
    <cellStyle name="20% - Accent5 11 2 2 4 3" xfId="35453" xr:uid="{00000000-0005-0000-0000-0000A3300000}"/>
    <cellStyle name="20% - Accent5 11 2 2 5" xfId="16037" xr:uid="{00000000-0005-0000-0000-0000A4300000}"/>
    <cellStyle name="20% - Accent5 11 2 2 5 2" xfId="41911" xr:uid="{00000000-0005-0000-0000-0000A5300000}"/>
    <cellStyle name="20% - Accent5 11 2 2 6" xfId="28963" xr:uid="{00000000-0005-0000-0000-0000A6300000}"/>
    <cellStyle name="20% - Accent5 11 2 3" xfId="3900" xr:uid="{00000000-0005-0000-0000-0000A7300000}"/>
    <cellStyle name="20% - Accent5 11 2 3 2" xfId="7154" xr:uid="{00000000-0005-0000-0000-0000A8300000}"/>
    <cellStyle name="20% - Accent5 11 2 3 2 2" xfId="13613" xr:uid="{00000000-0005-0000-0000-0000A9300000}"/>
    <cellStyle name="20% - Accent5 11 2 3 2 2 2" xfId="26530" xr:uid="{00000000-0005-0000-0000-0000AA300000}"/>
    <cellStyle name="20% - Accent5 11 2 3 2 2 2 2" xfId="52404" xr:uid="{00000000-0005-0000-0000-0000AB300000}"/>
    <cellStyle name="20% - Accent5 11 2 3 2 2 3" xfId="39488" xr:uid="{00000000-0005-0000-0000-0000AC300000}"/>
    <cellStyle name="20% - Accent5 11 2 3 2 3" xfId="20072" xr:uid="{00000000-0005-0000-0000-0000AD300000}"/>
    <cellStyle name="20% - Accent5 11 2 3 2 3 2" xfId="45946" xr:uid="{00000000-0005-0000-0000-0000AE300000}"/>
    <cellStyle name="20% - Accent5 11 2 3 2 4" xfId="33030" xr:uid="{00000000-0005-0000-0000-0000AF300000}"/>
    <cellStyle name="20% - Accent5 11 2 3 3" xfId="10385" xr:uid="{00000000-0005-0000-0000-0000B0300000}"/>
    <cellStyle name="20% - Accent5 11 2 3 3 2" xfId="23302" xr:uid="{00000000-0005-0000-0000-0000B1300000}"/>
    <cellStyle name="20% - Accent5 11 2 3 3 2 2" xfId="49176" xr:uid="{00000000-0005-0000-0000-0000B2300000}"/>
    <cellStyle name="20% - Accent5 11 2 3 3 3" xfId="36260" xr:uid="{00000000-0005-0000-0000-0000B3300000}"/>
    <cellStyle name="20% - Accent5 11 2 3 4" xfId="16844" xr:uid="{00000000-0005-0000-0000-0000B4300000}"/>
    <cellStyle name="20% - Accent5 11 2 3 4 2" xfId="42718" xr:uid="{00000000-0005-0000-0000-0000B5300000}"/>
    <cellStyle name="20% - Accent5 11 2 3 5" xfId="29770" xr:uid="{00000000-0005-0000-0000-0000B6300000}"/>
    <cellStyle name="20% - Accent5 11 2 4" xfId="5540" xr:uid="{00000000-0005-0000-0000-0000B7300000}"/>
    <cellStyle name="20% - Accent5 11 2 4 2" xfId="11999" xr:uid="{00000000-0005-0000-0000-0000B8300000}"/>
    <cellStyle name="20% - Accent5 11 2 4 2 2" xfId="24916" xr:uid="{00000000-0005-0000-0000-0000B9300000}"/>
    <cellStyle name="20% - Accent5 11 2 4 2 2 2" xfId="50790" xr:uid="{00000000-0005-0000-0000-0000BA300000}"/>
    <cellStyle name="20% - Accent5 11 2 4 2 3" xfId="37874" xr:uid="{00000000-0005-0000-0000-0000BB300000}"/>
    <cellStyle name="20% - Accent5 11 2 4 3" xfId="18458" xr:uid="{00000000-0005-0000-0000-0000BC300000}"/>
    <cellStyle name="20% - Accent5 11 2 4 3 2" xfId="44332" xr:uid="{00000000-0005-0000-0000-0000BD300000}"/>
    <cellStyle name="20% - Accent5 11 2 4 4" xfId="31416" xr:uid="{00000000-0005-0000-0000-0000BE300000}"/>
    <cellStyle name="20% - Accent5 11 2 5" xfId="8771" xr:uid="{00000000-0005-0000-0000-0000BF300000}"/>
    <cellStyle name="20% - Accent5 11 2 5 2" xfId="21688" xr:uid="{00000000-0005-0000-0000-0000C0300000}"/>
    <cellStyle name="20% - Accent5 11 2 5 2 2" xfId="47562" xr:uid="{00000000-0005-0000-0000-0000C1300000}"/>
    <cellStyle name="20% - Accent5 11 2 5 3" xfId="34646" xr:uid="{00000000-0005-0000-0000-0000C2300000}"/>
    <cellStyle name="20% - Accent5 11 2 6" xfId="15230" xr:uid="{00000000-0005-0000-0000-0000C3300000}"/>
    <cellStyle name="20% - Accent5 11 2 6 2" xfId="41104" xr:uid="{00000000-0005-0000-0000-0000C4300000}"/>
    <cellStyle name="20% - Accent5 11 2 7" xfId="28156" xr:uid="{00000000-0005-0000-0000-0000C5300000}"/>
    <cellStyle name="20% - Accent5 11 2 8" xfId="54018" xr:uid="{00000000-0005-0000-0000-0000C6300000}"/>
    <cellStyle name="20% - Accent5 11 3" xfId="2670" xr:uid="{00000000-0005-0000-0000-0000C7300000}"/>
    <cellStyle name="20% - Accent5 11 3 2" xfId="4327" xr:uid="{00000000-0005-0000-0000-0000C8300000}"/>
    <cellStyle name="20% - Accent5 11 3 2 2" xfId="7558" xr:uid="{00000000-0005-0000-0000-0000C9300000}"/>
    <cellStyle name="20% - Accent5 11 3 2 2 2" xfId="14017" xr:uid="{00000000-0005-0000-0000-0000CA300000}"/>
    <cellStyle name="20% - Accent5 11 3 2 2 2 2" xfId="26934" xr:uid="{00000000-0005-0000-0000-0000CB300000}"/>
    <cellStyle name="20% - Accent5 11 3 2 2 2 2 2" xfId="52808" xr:uid="{00000000-0005-0000-0000-0000CC300000}"/>
    <cellStyle name="20% - Accent5 11 3 2 2 2 3" xfId="39892" xr:uid="{00000000-0005-0000-0000-0000CD300000}"/>
    <cellStyle name="20% - Accent5 11 3 2 2 3" xfId="20476" xr:uid="{00000000-0005-0000-0000-0000CE300000}"/>
    <cellStyle name="20% - Accent5 11 3 2 2 3 2" xfId="46350" xr:uid="{00000000-0005-0000-0000-0000CF300000}"/>
    <cellStyle name="20% - Accent5 11 3 2 2 4" xfId="33434" xr:uid="{00000000-0005-0000-0000-0000D0300000}"/>
    <cellStyle name="20% - Accent5 11 3 2 3" xfId="10789" xr:uid="{00000000-0005-0000-0000-0000D1300000}"/>
    <cellStyle name="20% - Accent5 11 3 2 3 2" xfId="23706" xr:uid="{00000000-0005-0000-0000-0000D2300000}"/>
    <cellStyle name="20% - Accent5 11 3 2 3 2 2" xfId="49580" xr:uid="{00000000-0005-0000-0000-0000D3300000}"/>
    <cellStyle name="20% - Accent5 11 3 2 3 3" xfId="36664" xr:uid="{00000000-0005-0000-0000-0000D4300000}"/>
    <cellStyle name="20% - Accent5 11 3 2 4" xfId="17248" xr:uid="{00000000-0005-0000-0000-0000D5300000}"/>
    <cellStyle name="20% - Accent5 11 3 2 4 2" xfId="43122" xr:uid="{00000000-0005-0000-0000-0000D6300000}"/>
    <cellStyle name="20% - Accent5 11 3 2 5" xfId="30174" xr:uid="{00000000-0005-0000-0000-0000D7300000}"/>
    <cellStyle name="20% - Accent5 11 3 3" xfId="5944" xr:uid="{00000000-0005-0000-0000-0000D8300000}"/>
    <cellStyle name="20% - Accent5 11 3 3 2" xfId="12403" xr:uid="{00000000-0005-0000-0000-0000D9300000}"/>
    <cellStyle name="20% - Accent5 11 3 3 2 2" xfId="25320" xr:uid="{00000000-0005-0000-0000-0000DA300000}"/>
    <cellStyle name="20% - Accent5 11 3 3 2 2 2" xfId="51194" xr:uid="{00000000-0005-0000-0000-0000DB300000}"/>
    <cellStyle name="20% - Accent5 11 3 3 2 3" xfId="38278" xr:uid="{00000000-0005-0000-0000-0000DC300000}"/>
    <cellStyle name="20% - Accent5 11 3 3 3" xfId="18862" xr:uid="{00000000-0005-0000-0000-0000DD300000}"/>
    <cellStyle name="20% - Accent5 11 3 3 3 2" xfId="44736" xr:uid="{00000000-0005-0000-0000-0000DE300000}"/>
    <cellStyle name="20% - Accent5 11 3 3 4" xfId="31820" xr:uid="{00000000-0005-0000-0000-0000DF300000}"/>
    <cellStyle name="20% - Accent5 11 3 4" xfId="9175" xr:uid="{00000000-0005-0000-0000-0000E0300000}"/>
    <cellStyle name="20% - Accent5 11 3 4 2" xfId="22092" xr:uid="{00000000-0005-0000-0000-0000E1300000}"/>
    <cellStyle name="20% - Accent5 11 3 4 2 2" xfId="47966" xr:uid="{00000000-0005-0000-0000-0000E2300000}"/>
    <cellStyle name="20% - Accent5 11 3 4 3" xfId="35050" xr:uid="{00000000-0005-0000-0000-0000E3300000}"/>
    <cellStyle name="20% - Accent5 11 3 5" xfId="15634" xr:uid="{00000000-0005-0000-0000-0000E4300000}"/>
    <cellStyle name="20% - Accent5 11 3 5 2" xfId="41508" xr:uid="{00000000-0005-0000-0000-0000E5300000}"/>
    <cellStyle name="20% - Accent5 11 3 6" xfId="28560" xr:uid="{00000000-0005-0000-0000-0000E6300000}"/>
    <cellStyle name="20% - Accent5 11 4" xfId="3497" xr:uid="{00000000-0005-0000-0000-0000E7300000}"/>
    <cellStyle name="20% - Accent5 11 4 2" xfId="6751" xr:uid="{00000000-0005-0000-0000-0000E8300000}"/>
    <cellStyle name="20% - Accent5 11 4 2 2" xfId="13210" xr:uid="{00000000-0005-0000-0000-0000E9300000}"/>
    <cellStyle name="20% - Accent5 11 4 2 2 2" xfId="26127" xr:uid="{00000000-0005-0000-0000-0000EA300000}"/>
    <cellStyle name="20% - Accent5 11 4 2 2 2 2" xfId="52001" xr:uid="{00000000-0005-0000-0000-0000EB300000}"/>
    <cellStyle name="20% - Accent5 11 4 2 2 3" xfId="39085" xr:uid="{00000000-0005-0000-0000-0000EC300000}"/>
    <cellStyle name="20% - Accent5 11 4 2 3" xfId="19669" xr:uid="{00000000-0005-0000-0000-0000ED300000}"/>
    <cellStyle name="20% - Accent5 11 4 2 3 2" xfId="45543" xr:uid="{00000000-0005-0000-0000-0000EE300000}"/>
    <cellStyle name="20% - Accent5 11 4 2 4" xfId="32627" xr:uid="{00000000-0005-0000-0000-0000EF300000}"/>
    <cellStyle name="20% - Accent5 11 4 3" xfId="9982" xr:uid="{00000000-0005-0000-0000-0000F0300000}"/>
    <cellStyle name="20% - Accent5 11 4 3 2" xfId="22899" xr:uid="{00000000-0005-0000-0000-0000F1300000}"/>
    <cellStyle name="20% - Accent5 11 4 3 2 2" xfId="48773" xr:uid="{00000000-0005-0000-0000-0000F2300000}"/>
    <cellStyle name="20% - Accent5 11 4 3 3" xfId="35857" xr:uid="{00000000-0005-0000-0000-0000F3300000}"/>
    <cellStyle name="20% - Accent5 11 4 4" xfId="16441" xr:uid="{00000000-0005-0000-0000-0000F4300000}"/>
    <cellStyle name="20% - Accent5 11 4 4 2" xfId="42315" xr:uid="{00000000-0005-0000-0000-0000F5300000}"/>
    <cellStyle name="20% - Accent5 11 4 5" xfId="29367" xr:uid="{00000000-0005-0000-0000-0000F6300000}"/>
    <cellStyle name="20% - Accent5 11 5" xfId="5137" xr:uid="{00000000-0005-0000-0000-0000F7300000}"/>
    <cellStyle name="20% - Accent5 11 5 2" xfId="11596" xr:uid="{00000000-0005-0000-0000-0000F8300000}"/>
    <cellStyle name="20% - Accent5 11 5 2 2" xfId="24513" xr:uid="{00000000-0005-0000-0000-0000F9300000}"/>
    <cellStyle name="20% - Accent5 11 5 2 2 2" xfId="50387" xr:uid="{00000000-0005-0000-0000-0000FA300000}"/>
    <cellStyle name="20% - Accent5 11 5 2 3" xfId="37471" xr:uid="{00000000-0005-0000-0000-0000FB300000}"/>
    <cellStyle name="20% - Accent5 11 5 3" xfId="18055" xr:uid="{00000000-0005-0000-0000-0000FC300000}"/>
    <cellStyle name="20% - Accent5 11 5 3 2" xfId="43929" xr:uid="{00000000-0005-0000-0000-0000FD300000}"/>
    <cellStyle name="20% - Accent5 11 5 4" xfId="31013" xr:uid="{00000000-0005-0000-0000-0000FE300000}"/>
    <cellStyle name="20% - Accent5 11 6" xfId="8367" xr:uid="{00000000-0005-0000-0000-0000FF300000}"/>
    <cellStyle name="20% - Accent5 11 6 2" xfId="21284" xr:uid="{00000000-0005-0000-0000-000000310000}"/>
    <cellStyle name="20% - Accent5 11 6 2 2" xfId="47158" xr:uid="{00000000-0005-0000-0000-000001310000}"/>
    <cellStyle name="20% - Accent5 11 6 3" xfId="34242" xr:uid="{00000000-0005-0000-0000-000002310000}"/>
    <cellStyle name="20% - Accent5 11 7" xfId="14826" xr:uid="{00000000-0005-0000-0000-000003310000}"/>
    <cellStyle name="20% - Accent5 11 7 2" xfId="40700" xr:uid="{00000000-0005-0000-0000-000004310000}"/>
    <cellStyle name="20% - Accent5 11 8" xfId="27752" xr:uid="{00000000-0005-0000-0000-000005310000}"/>
    <cellStyle name="20% - Accent5 11 9" xfId="53615" xr:uid="{00000000-0005-0000-0000-000006310000}"/>
    <cellStyle name="20% - Accent5 12" xfId="2046" xr:uid="{00000000-0005-0000-0000-000007310000}"/>
    <cellStyle name="20% - Accent5 12 2" xfId="2455" xr:uid="{00000000-0005-0000-0000-000008310000}"/>
    <cellStyle name="20% - Accent5 12 2 2" xfId="3268" xr:uid="{00000000-0005-0000-0000-000009310000}"/>
    <cellStyle name="20% - Accent5 12 2 2 2" xfId="4925" xr:uid="{00000000-0005-0000-0000-00000A310000}"/>
    <cellStyle name="20% - Accent5 12 2 2 2 2" xfId="8156" xr:uid="{00000000-0005-0000-0000-00000B310000}"/>
    <cellStyle name="20% - Accent5 12 2 2 2 2 2" xfId="14615" xr:uid="{00000000-0005-0000-0000-00000C310000}"/>
    <cellStyle name="20% - Accent5 12 2 2 2 2 2 2" xfId="27532" xr:uid="{00000000-0005-0000-0000-00000D310000}"/>
    <cellStyle name="20% - Accent5 12 2 2 2 2 2 2 2" xfId="53406" xr:uid="{00000000-0005-0000-0000-00000E310000}"/>
    <cellStyle name="20% - Accent5 12 2 2 2 2 2 3" xfId="40490" xr:uid="{00000000-0005-0000-0000-00000F310000}"/>
    <cellStyle name="20% - Accent5 12 2 2 2 2 3" xfId="21074" xr:uid="{00000000-0005-0000-0000-000010310000}"/>
    <cellStyle name="20% - Accent5 12 2 2 2 2 3 2" xfId="46948" xr:uid="{00000000-0005-0000-0000-000011310000}"/>
    <cellStyle name="20% - Accent5 12 2 2 2 2 4" xfId="34032" xr:uid="{00000000-0005-0000-0000-000012310000}"/>
    <cellStyle name="20% - Accent5 12 2 2 2 3" xfId="11387" xr:uid="{00000000-0005-0000-0000-000013310000}"/>
    <cellStyle name="20% - Accent5 12 2 2 2 3 2" xfId="24304" xr:uid="{00000000-0005-0000-0000-000014310000}"/>
    <cellStyle name="20% - Accent5 12 2 2 2 3 2 2" xfId="50178" xr:uid="{00000000-0005-0000-0000-000015310000}"/>
    <cellStyle name="20% - Accent5 12 2 2 2 3 3" xfId="37262" xr:uid="{00000000-0005-0000-0000-000016310000}"/>
    <cellStyle name="20% - Accent5 12 2 2 2 4" xfId="17846" xr:uid="{00000000-0005-0000-0000-000017310000}"/>
    <cellStyle name="20% - Accent5 12 2 2 2 4 2" xfId="43720" xr:uid="{00000000-0005-0000-0000-000018310000}"/>
    <cellStyle name="20% - Accent5 12 2 2 2 5" xfId="30772" xr:uid="{00000000-0005-0000-0000-000019310000}"/>
    <cellStyle name="20% - Accent5 12 2 2 3" xfId="6542" xr:uid="{00000000-0005-0000-0000-00001A310000}"/>
    <cellStyle name="20% - Accent5 12 2 2 3 2" xfId="13001" xr:uid="{00000000-0005-0000-0000-00001B310000}"/>
    <cellStyle name="20% - Accent5 12 2 2 3 2 2" xfId="25918" xr:uid="{00000000-0005-0000-0000-00001C310000}"/>
    <cellStyle name="20% - Accent5 12 2 2 3 2 2 2" xfId="51792" xr:uid="{00000000-0005-0000-0000-00001D310000}"/>
    <cellStyle name="20% - Accent5 12 2 2 3 2 3" xfId="38876" xr:uid="{00000000-0005-0000-0000-00001E310000}"/>
    <cellStyle name="20% - Accent5 12 2 2 3 3" xfId="19460" xr:uid="{00000000-0005-0000-0000-00001F310000}"/>
    <cellStyle name="20% - Accent5 12 2 2 3 3 2" xfId="45334" xr:uid="{00000000-0005-0000-0000-000020310000}"/>
    <cellStyle name="20% - Accent5 12 2 2 3 4" xfId="32418" xr:uid="{00000000-0005-0000-0000-000021310000}"/>
    <cellStyle name="20% - Accent5 12 2 2 4" xfId="9773" xr:uid="{00000000-0005-0000-0000-000022310000}"/>
    <cellStyle name="20% - Accent5 12 2 2 4 2" xfId="22690" xr:uid="{00000000-0005-0000-0000-000023310000}"/>
    <cellStyle name="20% - Accent5 12 2 2 4 2 2" xfId="48564" xr:uid="{00000000-0005-0000-0000-000024310000}"/>
    <cellStyle name="20% - Accent5 12 2 2 4 3" xfId="35648" xr:uid="{00000000-0005-0000-0000-000025310000}"/>
    <cellStyle name="20% - Accent5 12 2 2 5" xfId="16232" xr:uid="{00000000-0005-0000-0000-000026310000}"/>
    <cellStyle name="20% - Accent5 12 2 2 5 2" xfId="42106" xr:uid="{00000000-0005-0000-0000-000027310000}"/>
    <cellStyle name="20% - Accent5 12 2 2 6" xfId="29158" xr:uid="{00000000-0005-0000-0000-000028310000}"/>
    <cellStyle name="20% - Accent5 12 2 3" xfId="4095" xr:uid="{00000000-0005-0000-0000-000029310000}"/>
    <cellStyle name="20% - Accent5 12 2 3 2" xfId="7349" xr:uid="{00000000-0005-0000-0000-00002A310000}"/>
    <cellStyle name="20% - Accent5 12 2 3 2 2" xfId="13808" xr:uid="{00000000-0005-0000-0000-00002B310000}"/>
    <cellStyle name="20% - Accent5 12 2 3 2 2 2" xfId="26725" xr:uid="{00000000-0005-0000-0000-00002C310000}"/>
    <cellStyle name="20% - Accent5 12 2 3 2 2 2 2" xfId="52599" xr:uid="{00000000-0005-0000-0000-00002D310000}"/>
    <cellStyle name="20% - Accent5 12 2 3 2 2 3" xfId="39683" xr:uid="{00000000-0005-0000-0000-00002E310000}"/>
    <cellStyle name="20% - Accent5 12 2 3 2 3" xfId="20267" xr:uid="{00000000-0005-0000-0000-00002F310000}"/>
    <cellStyle name="20% - Accent5 12 2 3 2 3 2" xfId="46141" xr:uid="{00000000-0005-0000-0000-000030310000}"/>
    <cellStyle name="20% - Accent5 12 2 3 2 4" xfId="33225" xr:uid="{00000000-0005-0000-0000-000031310000}"/>
    <cellStyle name="20% - Accent5 12 2 3 3" xfId="10580" xr:uid="{00000000-0005-0000-0000-000032310000}"/>
    <cellStyle name="20% - Accent5 12 2 3 3 2" xfId="23497" xr:uid="{00000000-0005-0000-0000-000033310000}"/>
    <cellStyle name="20% - Accent5 12 2 3 3 2 2" xfId="49371" xr:uid="{00000000-0005-0000-0000-000034310000}"/>
    <cellStyle name="20% - Accent5 12 2 3 3 3" xfId="36455" xr:uid="{00000000-0005-0000-0000-000035310000}"/>
    <cellStyle name="20% - Accent5 12 2 3 4" xfId="17039" xr:uid="{00000000-0005-0000-0000-000036310000}"/>
    <cellStyle name="20% - Accent5 12 2 3 4 2" xfId="42913" xr:uid="{00000000-0005-0000-0000-000037310000}"/>
    <cellStyle name="20% - Accent5 12 2 3 5" xfId="29965" xr:uid="{00000000-0005-0000-0000-000038310000}"/>
    <cellStyle name="20% - Accent5 12 2 4" xfId="5735" xr:uid="{00000000-0005-0000-0000-000039310000}"/>
    <cellStyle name="20% - Accent5 12 2 4 2" xfId="12194" xr:uid="{00000000-0005-0000-0000-00003A310000}"/>
    <cellStyle name="20% - Accent5 12 2 4 2 2" xfId="25111" xr:uid="{00000000-0005-0000-0000-00003B310000}"/>
    <cellStyle name="20% - Accent5 12 2 4 2 2 2" xfId="50985" xr:uid="{00000000-0005-0000-0000-00003C310000}"/>
    <cellStyle name="20% - Accent5 12 2 4 2 3" xfId="38069" xr:uid="{00000000-0005-0000-0000-00003D310000}"/>
    <cellStyle name="20% - Accent5 12 2 4 3" xfId="18653" xr:uid="{00000000-0005-0000-0000-00003E310000}"/>
    <cellStyle name="20% - Accent5 12 2 4 3 2" xfId="44527" xr:uid="{00000000-0005-0000-0000-00003F310000}"/>
    <cellStyle name="20% - Accent5 12 2 4 4" xfId="31611" xr:uid="{00000000-0005-0000-0000-000040310000}"/>
    <cellStyle name="20% - Accent5 12 2 5" xfId="8966" xr:uid="{00000000-0005-0000-0000-000041310000}"/>
    <cellStyle name="20% - Accent5 12 2 5 2" xfId="21883" xr:uid="{00000000-0005-0000-0000-000042310000}"/>
    <cellStyle name="20% - Accent5 12 2 5 2 2" xfId="47757" xr:uid="{00000000-0005-0000-0000-000043310000}"/>
    <cellStyle name="20% - Accent5 12 2 5 3" xfId="34841" xr:uid="{00000000-0005-0000-0000-000044310000}"/>
    <cellStyle name="20% - Accent5 12 2 6" xfId="15425" xr:uid="{00000000-0005-0000-0000-000045310000}"/>
    <cellStyle name="20% - Accent5 12 2 6 2" xfId="41299" xr:uid="{00000000-0005-0000-0000-000046310000}"/>
    <cellStyle name="20% - Accent5 12 2 7" xfId="28351" xr:uid="{00000000-0005-0000-0000-000047310000}"/>
    <cellStyle name="20% - Accent5 12 2 8" xfId="54213" xr:uid="{00000000-0005-0000-0000-000048310000}"/>
    <cellStyle name="20% - Accent5 12 3" xfId="2864" xr:uid="{00000000-0005-0000-0000-000049310000}"/>
    <cellStyle name="20% - Accent5 12 3 2" xfId="4521" xr:uid="{00000000-0005-0000-0000-00004A310000}"/>
    <cellStyle name="20% - Accent5 12 3 2 2" xfId="7752" xr:uid="{00000000-0005-0000-0000-00004B310000}"/>
    <cellStyle name="20% - Accent5 12 3 2 2 2" xfId="14211" xr:uid="{00000000-0005-0000-0000-00004C310000}"/>
    <cellStyle name="20% - Accent5 12 3 2 2 2 2" xfId="27128" xr:uid="{00000000-0005-0000-0000-00004D310000}"/>
    <cellStyle name="20% - Accent5 12 3 2 2 2 2 2" xfId="53002" xr:uid="{00000000-0005-0000-0000-00004E310000}"/>
    <cellStyle name="20% - Accent5 12 3 2 2 2 3" xfId="40086" xr:uid="{00000000-0005-0000-0000-00004F310000}"/>
    <cellStyle name="20% - Accent5 12 3 2 2 3" xfId="20670" xr:uid="{00000000-0005-0000-0000-000050310000}"/>
    <cellStyle name="20% - Accent5 12 3 2 2 3 2" xfId="46544" xr:uid="{00000000-0005-0000-0000-000051310000}"/>
    <cellStyle name="20% - Accent5 12 3 2 2 4" xfId="33628" xr:uid="{00000000-0005-0000-0000-000052310000}"/>
    <cellStyle name="20% - Accent5 12 3 2 3" xfId="10983" xr:uid="{00000000-0005-0000-0000-000053310000}"/>
    <cellStyle name="20% - Accent5 12 3 2 3 2" xfId="23900" xr:uid="{00000000-0005-0000-0000-000054310000}"/>
    <cellStyle name="20% - Accent5 12 3 2 3 2 2" xfId="49774" xr:uid="{00000000-0005-0000-0000-000055310000}"/>
    <cellStyle name="20% - Accent5 12 3 2 3 3" xfId="36858" xr:uid="{00000000-0005-0000-0000-000056310000}"/>
    <cellStyle name="20% - Accent5 12 3 2 4" xfId="17442" xr:uid="{00000000-0005-0000-0000-000057310000}"/>
    <cellStyle name="20% - Accent5 12 3 2 4 2" xfId="43316" xr:uid="{00000000-0005-0000-0000-000058310000}"/>
    <cellStyle name="20% - Accent5 12 3 2 5" xfId="30368" xr:uid="{00000000-0005-0000-0000-000059310000}"/>
    <cellStyle name="20% - Accent5 12 3 3" xfId="6138" xr:uid="{00000000-0005-0000-0000-00005A310000}"/>
    <cellStyle name="20% - Accent5 12 3 3 2" xfId="12597" xr:uid="{00000000-0005-0000-0000-00005B310000}"/>
    <cellStyle name="20% - Accent5 12 3 3 2 2" xfId="25514" xr:uid="{00000000-0005-0000-0000-00005C310000}"/>
    <cellStyle name="20% - Accent5 12 3 3 2 2 2" xfId="51388" xr:uid="{00000000-0005-0000-0000-00005D310000}"/>
    <cellStyle name="20% - Accent5 12 3 3 2 3" xfId="38472" xr:uid="{00000000-0005-0000-0000-00005E310000}"/>
    <cellStyle name="20% - Accent5 12 3 3 3" xfId="19056" xr:uid="{00000000-0005-0000-0000-00005F310000}"/>
    <cellStyle name="20% - Accent5 12 3 3 3 2" xfId="44930" xr:uid="{00000000-0005-0000-0000-000060310000}"/>
    <cellStyle name="20% - Accent5 12 3 3 4" xfId="32014" xr:uid="{00000000-0005-0000-0000-000061310000}"/>
    <cellStyle name="20% - Accent5 12 3 4" xfId="9369" xr:uid="{00000000-0005-0000-0000-000062310000}"/>
    <cellStyle name="20% - Accent5 12 3 4 2" xfId="22286" xr:uid="{00000000-0005-0000-0000-000063310000}"/>
    <cellStyle name="20% - Accent5 12 3 4 2 2" xfId="48160" xr:uid="{00000000-0005-0000-0000-000064310000}"/>
    <cellStyle name="20% - Accent5 12 3 4 3" xfId="35244" xr:uid="{00000000-0005-0000-0000-000065310000}"/>
    <cellStyle name="20% - Accent5 12 3 5" xfId="15828" xr:uid="{00000000-0005-0000-0000-000066310000}"/>
    <cellStyle name="20% - Accent5 12 3 5 2" xfId="41702" xr:uid="{00000000-0005-0000-0000-000067310000}"/>
    <cellStyle name="20% - Accent5 12 3 6" xfId="28754" xr:uid="{00000000-0005-0000-0000-000068310000}"/>
    <cellStyle name="20% - Accent5 12 4" xfId="3691" xr:uid="{00000000-0005-0000-0000-000069310000}"/>
    <cellStyle name="20% - Accent5 12 4 2" xfId="6945" xr:uid="{00000000-0005-0000-0000-00006A310000}"/>
    <cellStyle name="20% - Accent5 12 4 2 2" xfId="13404" xr:uid="{00000000-0005-0000-0000-00006B310000}"/>
    <cellStyle name="20% - Accent5 12 4 2 2 2" xfId="26321" xr:uid="{00000000-0005-0000-0000-00006C310000}"/>
    <cellStyle name="20% - Accent5 12 4 2 2 2 2" xfId="52195" xr:uid="{00000000-0005-0000-0000-00006D310000}"/>
    <cellStyle name="20% - Accent5 12 4 2 2 3" xfId="39279" xr:uid="{00000000-0005-0000-0000-00006E310000}"/>
    <cellStyle name="20% - Accent5 12 4 2 3" xfId="19863" xr:uid="{00000000-0005-0000-0000-00006F310000}"/>
    <cellStyle name="20% - Accent5 12 4 2 3 2" xfId="45737" xr:uid="{00000000-0005-0000-0000-000070310000}"/>
    <cellStyle name="20% - Accent5 12 4 2 4" xfId="32821" xr:uid="{00000000-0005-0000-0000-000071310000}"/>
    <cellStyle name="20% - Accent5 12 4 3" xfId="10176" xr:uid="{00000000-0005-0000-0000-000072310000}"/>
    <cellStyle name="20% - Accent5 12 4 3 2" xfId="23093" xr:uid="{00000000-0005-0000-0000-000073310000}"/>
    <cellStyle name="20% - Accent5 12 4 3 2 2" xfId="48967" xr:uid="{00000000-0005-0000-0000-000074310000}"/>
    <cellStyle name="20% - Accent5 12 4 3 3" xfId="36051" xr:uid="{00000000-0005-0000-0000-000075310000}"/>
    <cellStyle name="20% - Accent5 12 4 4" xfId="16635" xr:uid="{00000000-0005-0000-0000-000076310000}"/>
    <cellStyle name="20% - Accent5 12 4 4 2" xfId="42509" xr:uid="{00000000-0005-0000-0000-000077310000}"/>
    <cellStyle name="20% - Accent5 12 4 5" xfId="29561" xr:uid="{00000000-0005-0000-0000-000078310000}"/>
    <cellStyle name="20% - Accent5 12 5" xfId="5331" xr:uid="{00000000-0005-0000-0000-000079310000}"/>
    <cellStyle name="20% - Accent5 12 5 2" xfId="11790" xr:uid="{00000000-0005-0000-0000-00007A310000}"/>
    <cellStyle name="20% - Accent5 12 5 2 2" xfId="24707" xr:uid="{00000000-0005-0000-0000-00007B310000}"/>
    <cellStyle name="20% - Accent5 12 5 2 2 2" xfId="50581" xr:uid="{00000000-0005-0000-0000-00007C310000}"/>
    <cellStyle name="20% - Accent5 12 5 2 3" xfId="37665" xr:uid="{00000000-0005-0000-0000-00007D310000}"/>
    <cellStyle name="20% - Accent5 12 5 3" xfId="18249" xr:uid="{00000000-0005-0000-0000-00007E310000}"/>
    <cellStyle name="20% - Accent5 12 5 3 2" xfId="44123" xr:uid="{00000000-0005-0000-0000-00007F310000}"/>
    <cellStyle name="20% - Accent5 12 5 4" xfId="31207" xr:uid="{00000000-0005-0000-0000-000080310000}"/>
    <cellStyle name="20% - Accent5 12 6" xfId="8562" xr:uid="{00000000-0005-0000-0000-000081310000}"/>
    <cellStyle name="20% - Accent5 12 6 2" xfId="21479" xr:uid="{00000000-0005-0000-0000-000082310000}"/>
    <cellStyle name="20% - Accent5 12 6 2 2" xfId="47353" xr:uid="{00000000-0005-0000-0000-000083310000}"/>
    <cellStyle name="20% - Accent5 12 6 3" xfId="34437" xr:uid="{00000000-0005-0000-0000-000084310000}"/>
    <cellStyle name="20% - Accent5 12 7" xfId="15021" xr:uid="{00000000-0005-0000-0000-000085310000}"/>
    <cellStyle name="20% - Accent5 12 7 2" xfId="40895" xr:uid="{00000000-0005-0000-0000-000086310000}"/>
    <cellStyle name="20% - Accent5 12 8" xfId="27947" xr:uid="{00000000-0005-0000-0000-000087310000}"/>
    <cellStyle name="20% - Accent5 12 9" xfId="53809" xr:uid="{00000000-0005-0000-0000-000088310000}"/>
    <cellStyle name="20% - Accent5 13" xfId="2060" xr:uid="{00000000-0005-0000-0000-000089310000}"/>
    <cellStyle name="20% - Accent5 13 2" xfId="2878" xr:uid="{00000000-0005-0000-0000-00008A310000}"/>
    <cellStyle name="20% - Accent5 13 2 2" xfId="4535" xr:uid="{00000000-0005-0000-0000-00008B310000}"/>
    <cellStyle name="20% - Accent5 13 2 2 2" xfId="7766" xr:uid="{00000000-0005-0000-0000-00008C310000}"/>
    <cellStyle name="20% - Accent5 13 2 2 2 2" xfId="14225" xr:uid="{00000000-0005-0000-0000-00008D310000}"/>
    <cellStyle name="20% - Accent5 13 2 2 2 2 2" xfId="27142" xr:uid="{00000000-0005-0000-0000-00008E310000}"/>
    <cellStyle name="20% - Accent5 13 2 2 2 2 2 2" xfId="53016" xr:uid="{00000000-0005-0000-0000-00008F310000}"/>
    <cellStyle name="20% - Accent5 13 2 2 2 2 3" xfId="40100" xr:uid="{00000000-0005-0000-0000-000090310000}"/>
    <cellStyle name="20% - Accent5 13 2 2 2 3" xfId="20684" xr:uid="{00000000-0005-0000-0000-000091310000}"/>
    <cellStyle name="20% - Accent5 13 2 2 2 3 2" xfId="46558" xr:uid="{00000000-0005-0000-0000-000092310000}"/>
    <cellStyle name="20% - Accent5 13 2 2 2 4" xfId="33642" xr:uid="{00000000-0005-0000-0000-000093310000}"/>
    <cellStyle name="20% - Accent5 13 2 2 3" xfId="10997" xr:uid="{00000000-0005-0000-0000-000094310000}"/>
    <cellStyle name="20% - Accent5 13 2 2 3 2" xfId="23914" xr:uid="{00000000-0005-0000-0000-000095310000}"/>
    <cellStyle name="20% - Accent5 13 2 2 3 2 2" xfId="49788" xr:uid="{00000000-0005-0000-0000-000096310000}"/>
    <cellStyle name="20% - Accent5 13 2 2 3 3" xfId="36872" xr:uid="{00000000-0005-0000-0000-000097310000}"/>
    <cellStyle name="20% - Accent5 13 2 2 4" xfId="17456" xr:uid="{00000000-0005-0000-0000-000098310000}"/>
    <cellStyle name="20% - Accent5 13 2 2 4 2" xfId="43330" xr:uid="{00000000-0005-0000-0000-000099310000}"/>
    <cellStyle name="20% - Accent5 13 2 2 5" xfId="30382" xr:uid="{00000000-0005-0000-0000-00009A310000}"/>
    <cellStyle name="20% - Accent5 13 2 3" xfId="6152" xr:uid="{00000000-0005-0000-0000-00009B310000}"/>
    <cellStyle name="20% - Accent5 13 2 3 2" xfId="12611" xr:uid="{00000000-0005-0000-0000-00009C310000}"/>
    <cellStyle name="20% - Accent5 13 2 3 2 2" xfId="25528" xr:uid="{00000000-0005-0000-0000-00009D310000}"/>
    <cellStyle name="20% - Accent5 13 2 3 2 2 2" xfId="51402" xr:uid="{00000000-0005-0000-0000-00009E310000}"/>
    <cellStyle name="20% - Accent5 13 2 3 2 3" xfId="38486" xr:uid="{00000000-0005-0000-0000-00009F310000}"/>
    <cellStyle name="20% - Accent5 13 2 3 3" xfId="19070" xr:uid="{00000000-0005-0000-0000-0000A0310000}"/>
    <cellStyle name="20% - Accent5 13 2 3 3 2" xfId="44944" xr:uid="{00000000-0005-0000-0000-0000A1310000}"/>
    <cellStyle name="20% - Accent5 13 2 3 4" xfId="32028" xr:uid="{00000000-0005-0000-0000-0000A2310000}"/>
    <cellStyle name="20% - Accent5 13 2 4" xfId="9383" xr:uid="{00000000-0005-0000-0000-0000A3310000}"/>
    <cellStyle name="20% - Accent5 13 2 4 2" xfId="22300" xr:uid="{00000000-0005-0000-0000-0000A4310000}"/>
    <cellStyle name="20% - Accent5 13 2 4 2 2" xfId="48174" xr:uid="{00000000-0005-0000-0000-0000A5310000}"/>
    <cellStyle name="20% - Accent5 13 2 4 3" xfId="35258" xr:uid="{00000000-0005-0000-0000-0000A6310000}"/>
    <cellStyle name="20% - Accent5 13 2 5" xfId="15842" xr:uid="{00000000-0005-0000-0000-0000A7310000}"/>
    <cellStyle name="20% - Accent5 13 2 5 2" xfId="41716" xr:uid="{00000000-0005-0000-0000-0000A8310000}"/>
    <cellStyle name="20% - Accent5 13 2 6" xfId="28768" xr:uid="{00000000-0005-0000-0000-0000A9310000}"/>
    <cellStyle name="20% - Accent5 13 3" xfId="3705" xr:uid="{00000000-0005-0000-0000-0000AA310000}"/>
    <cellStyle name="20% - Accent5 13 3 2" xfId="6959" xr:uid="{00000000-0005-0000-0000-0000AB310000}"/>
    <cellStyle name="20% - Accent5 13 3 2 2" xfId="13418" xr:uid="{00000000-0005-0000-0000-0000AC310000}"/>
    <cellStyle name="20% - Accent5 13 3 2 2 2" xfId="26335" xr:uid="{00000000-0005-0000-0000-0000AD310000}"/>
    <cellStyle name="20% - Accent5 13 3 2 2 2 2" xfId="52209" xr:uid="{00000000-0005-0000-0000-0000AE310000}"/>
    <cellStyle name="20% - Accent5 13 3 2 2 3" xfId="39293" xr:uid="{00000000-0005-0000-0000-0000AF310000}"/>
    <cellStyle name="20% - Accent5 13 3 2 3" xfId="19877" xr:uid="{00000000-0005-0000-0000-0000B0310000}"/>
    <cellStyle name="20% - Accent5 13 3 2 3 2" xfId="45751" xr:uid="{00000000-0005-0000-0000-0000B1310000}"/>
    <cellStyle name="20% - Accent5 13 3 2 4" xfId="32835" xr:uid="{00000000-0005-0000-0000-0000B2310000}"/>
    <cellStyle name="20% - Accent5 13 3 3" xfId="10190" xr:uid="{00000000-0005-0000-0000-0000B3310000}"/>
    <cellStyle name="20% - Accent5 13 3 3 2" xfId="23107" xr:uid="{00000000-0005-0000-0000-0000B4310000}"/>
    <cellStyle name="20% - Accent5 13 3 3 2 2" xfId="48981" xr:uid="{00000000-0005-0000-0000-0000B5310000}"/>
    <cellStyle name="20% - Accent5 13 3 3 3" xfId="36065" xr:uid="{00000000-0005-0000-0000-0000B6310000}"/>
    <cellStyle name="20% - Accent5 13 3 4" xfId="16649" xr:uid="{00000000-0005-0000-0000-0000B7310000}"/>
    <cellStyle name="20% - Accent5 13 3 4 2" xfId="42523" xr:uid="{00000000-0005-0000-0000-0000B8310000}"/>
    <cellStyle name="20% - Accent5 13 3 5" xfId="29575" xr:uid="{00000000-0005-0000-0000-0000B9310000}"/>
    <cellStyle name="20% - Accent5 13 4" xfId="5345" xr:uid="{00000000-0005-0000-0000-0000BA310000}"/>
    <cellStyle name="20% - Accent5 13 4 2" xfId="11804" xr:uid="{00000000-0005-0000-0000-0000BB310000}"/>
    <cellStyle name="20% - Accent5 13 4 2 2" xfId="24721" xr:uid="{00000000-0005-0000-0000-0000BC310000}"/>
    <cellStyle name="20% - Accent5 13 4 2 2 2" xfId="50595" xr:uid="{00000000-0005-0000-0000-0000BD310000}"/>
    <cellStyle name="20% - Accent5 13 4 2 3" xfId="37679" xr:uid="{00000000-0005-0000-0000-0000BE310000}"/>
    <cellStyle name="20% - Accent5 13 4 3" xfId="18263" xr:uid="{00000000-0005-0000-0000-0000BF310000}"/>
    <cellStyle name="20% - Accent5 13 4 3 2" xfId="44137" xr:uid="{00000000-0005-0000-0000-0000C0310000}"/>
    <cellStyle name="20% - Accent5 13 4 4" xfId="31221" xr:uid="{00000000-0005-0000-0000-0000C1310000}"/>
    <cellStyle name="20% - Accent5 13 5" xfId="8576" xr:uid="{00000000-0005-0000-0000-0000C2310000}"/>
    <cellStyle name="20% - Accent5 13 5 2" xfId="21493" xr:uid="{00000000-0005-0000-0000-0000C3310000}"/>
    <cellStyle name="20% - Accent5 13 5 2 2" xfId="47367" xr:uid="{00000000-0005-0000-0000-0000C4310000}"/>
    <cellStyle name="20% - Accent5 13 5 3" xfId="34451" xr:uid="{00000000-0005-0000-0000-0000C5310000}"/>
    <cellStyle name="20% - Accent5 13 6" xfId="15035" xr:uid="{00000000-0005-0000-0000-0000C6310000}"/>
    <cellStyle name="20% - Accent5 13 6 2" xfId="40909" xr:uid="{00000000-0005-0000-0000-0000C7310000}"/>
    <cellStyle name="20% - Accent5 13 7" xfId="27961" xr:uid="{00000000-0005-0000-0000-0000C8310000}"/>
    <cellStyle name="20% - Accent5 13 8" xfId="53823" xr:uid="{00000000-0005-0000-0000-0000C9310000}"/>
    <cellStyle name="20% - Accent5 14" xfId="2475" xr:uid="{00000000-0005-0000-0000-0000CA310000}"/>
    <cellStyle name="20% - Accent5 14 2" xfId="4132" xr:uid="{00000000-0005-0000-0000-0000CB310000}"/>
    <cellStyle name="20% - Accent5 14 2 2" xfId="7363" xr:uid="{00000000-0005-0000-0000-0000CC310000}"/>
    <cellStyle name="20% - Accent5 14 2 2 2" xfId="13822" xr:uid="{00000000-0005-0000-0000-0000CD310000}"/>
    <cellStyle name="20% - Accent5 14 2 2 2 2" xfId="26739" xr:uid="{00000000-0005-0000-0000-0000CE310000}"/>
    <cellStyle name="20% - Accent5 14 2 2 2 2 2" xfId="52613" xr:uid="{00000000-0005-0000-0000-0000CF310000}"/>
    <cellStyle name="20% - Accent5 14 2 2 2 3" xfId="39697" xr:uid="{00000000-0005-0000-0000-0000D0310000}"/>
    <cellStyle name="20% - Accent5 14 2 2 3" xfId="20281" xr:uid="{00000000-0005-0000-0000-0000D1310000}"/>
    <cellStyle name="20% - Accent5 14 2 2 3 2" xfId="46155" xr:uid="{00000000-0005-0000-0000-0000D2310000}"/>
    <cellStyle name="20% - Accent5 14 2 2 4" xfId="33239" xr:uid="{00000000-0005-0000-0000-0000D3310000}"/>
    <cellStyle name="20% - Accent5 14 2 3" xfId="10594" xr:uid="{00000000-0005-0000-0000-0000D4310000}"/>
    <cellStyle name="20% - Accent5 14 2 3 2" xfId="23511" xr:uid="{00000000-0005-0000-0000-0000D5310000}"/>
    <cellStyle name="20% - Accent5 14 2 3 2 2" xfId="49385" xr:uid="{00000000-0005-0000-0000-0000D6310000}"/>
    <cellStyle name="20% - Accent5 14 2 3 3" xfId="36469" xr:uid="{00000000-0005-0000-0000-0000D7310000}"/>
    <cellStyle name="20% - Accent5 14 2 4" xfId="17053" xr:uid="{00000000-0005-0000-0000-0000D8310000}"/>
    <cellStyle name="20% - Accent5 14 2 4 2" xfId="42927" xr:uid="{00000000-0005-0000-0000-0000D9310000}"/>
    <cellStyle name="20% - Accent5 14 2 5" xfId="29979" xr:uid="{00000000-0005-0000-0000-0000DA310000}"/>
    <cellStyle name="20% - Accent5 14 3" xfId="5749" xr:uid="{00000000-0005-0000-0000-0000DB310000}"/>
    <cellStyle name="20% - Accent5 14 3 2" xfId="12208" xr:uid="{00000000-0005-0000-0000-0000DC310000}"/>
    <cellStyle name="20% - Accent5 14 3 2 2" xfId="25125" xr:uid="{00000000-0005-0000-0000-0000DD310000}"/>
    <cellStyle name="20% - Accent5 14 3 2 2 2" xfId="50999" xr:uid="{00000000-0005-0000-0000-0000DE310000}"/>
    <cellStyle name="20% - Accent5 14 3 2 3" xfId="38083" xr:uid="{00000000-0005-0000-0000-0000DF310000}"/>
    <cellStyle name="20% - Accent5 14 3 3" xfId="18667" xr:uid="{00000000-0005-0000-0000-0000E0310000}"/>
    <cellStyle name="20% - Accent5 14 3 3 2" xfId="44541" xr:uid="{00000000-0005-0000-0000-0000E1310000}"/>
    <cellStyle name="20% - Accent5 14 3 4" xfId="31625" xr:uid="{00000000-0005-0000-0000-0000E2310000}"/>
    <cellStyle name="20% - Accent5 14 4" xfId="8980" xr:uid="{00000000-0005-0000-0000-0000E3310000}"/>
    <cellStyle name="20% - Accent5 14 4 2" xfId="21897" xr:uid="{00000000-0005-0000-0000-0000E4310000}"/>
    <cellStyle name="20% - Accent5 14 4 2 2" xfId="47771" xr:uid="{00000000-0005-0000-0000-0000E5310000}"/>
    <cellStyle name="20% - Accent5 14 4 3" xfId="34855" xr:uid="{00000000-0005-0000-0000-0000E6310000}"/>
    <cellStyle name="20% - Accent5 14 5" xfId="15439" xr:uid="{00000000-0005-0000-0000-0000E7310000}"/>
    <cellStyle name="20% - Accent5 14 5 2" xfId="41313" xr:uid="{00000000-0005-0000-0000-0000E8310000}"/>
    <cellStyle name="20% - Accent5 14 6" xfId="28365" xr:uid="{00000000-0005-0000-0000-0000E9310000}"/>
    <cellStyle name="20% - Accent5 15" xfId="3284" xr:uid="{00000000-0005-0000-0000-0000EA310000}"/>
    <cellStyle name="20% - Accent5 15 2" xfId="6556" xr:uid="{00000000-0005-0000-0000-0000EB310000}"/>
    <cellStyle name="20% - Accent5 15 2 2" xfId="13015" xr:uid="{00000000-0005-0000-0000-0000EC310000}"/>
    <cellStyle name="20% - Accent5 15 2 2 2" xfId="25932" xr:uid="{00000000-0005-0000-0000-0000ED310000}"/>
    <cellStyle name="20% - Accent5 15 2 2 2 2" xfId="51806" xr:uid="{00000000-0005-0000-0000-0000EE310000}"/>
    <cellStyle name="20% - Accent5 15 2 2 3" xfId="38890" xr:uid="{00000000-0005-0000-0000-0000EF310000}"/>
    <cellStyle name="20% - Accent5 15 2 3" xfId="19474" xr:uid="{00000000-0005-0000-0000-0000F0310000}"/>
    <cellStyle name="20% - Accent5 15 2 3 2" xfId="45348" xr:uid="{00000000-0005-0000-0000-0000F1310000}"/>
    <cellStyle name="20% - Accent5 15 2 4" xfId="32432" xr:uid="{00000000-0005-0000-0000-0000F2310000}"/>
    <cellStyle name="20% - Accent5 15 3" xfId="9787" xr:uid="{00000000-0005-0000-0000-0000F3310000}"/>
    <cellStyle name="20% - Accent5 15 3 2" xfId="22704" xr:uid="{00000000-0005-0000-0000-0000F4310000}"/>
    <cellStyle name="20% - Accent5 15 3 2 2" xfId="48578" xr:uid="{00000000-0005-0000-0000-0000F5310000}"/>
    <cellStyle name="20% - Accent5 15 3 3" xfId="35662" xr:uid="{00000000-0005-0000-0000-0000F6310000}"/>
    <cellStyle name="20% - Accent5 15 4" xfId="16246" xr:uid="{00000000-0005-0000-0000-0000F7310000}"/>
    <cellStyle name="20% - Accent5 15 4 2" xfId="42120" xr:uid="{00000000-0005-0000-0000-0000F8310000}"/>
    <cellStyle name="20% - Accent5 15 5" xfId="29172" xr:uid="{00000000-0005-0000-0000-0000F9310000}"/>
    <cellStyle name="20% - Accent5 16" xfId="4942" xr:uid="{00000000-0005-0000-0000-0000FA310000}"/>
    <cellStyle name="20% - Accent5 16 2" xfId="11401" xr:uid="{00000000-0005-0000-0000-0000FB310000}"/>
    <cellStyle name="20% - Accent5 16 2 2" xfId="24318" xr:uid="{00000000-0005-0000-0000-0000FC310000}"/>
    <cellStyle name="20% - Accent5 16 2 2 2" xfId="50192" xr:uid="{00000000-0005-0000-0000-0000FD310000}"/>
    <cellStyle name="20% - Accent5 16 2 3" xfId="37276" xr:uid="{00000000-0005-0000-0000-0000FE310000}"/>
    <cellStyle name="20% - Accent5 16 3" xfId="17860" xr:uid="{00000000-0005-0000-0000-0000FF310000}"/>
    <cellStyle name="20% - Accent5 16 3 2" xfId="43734" xr:uid="{00000000-0005-0000-0000-000000320000}"/>
    <cellStyle name="20% - Accent5 16 4" xfId="30818" xr:uid="{00000000-0005-0000-0000-000001320000}"/>
    <cellStyle name="20% - Accent5 17" xfId="8170" xr:uid="{00000000-0005-0000-0000-000002320000}"/>
    <cellStyle name="20% - Accent5 17 2" xfId="21088" xr:uid="{00000000-0005-0000-0000-000003320000}"/>
    <cellStyle name="20% - Accent5 17 2 2" xfId="46962" xr:uid="{00000000-0005-0000-0000-000004320000}"/>
    <cellStyle name="20% - Accent5 17 3" xfId="34046" xr:uid="{00000000-0005-0000-0000-000005320000}"/>
    <cellStyle name="20% - Accent5 18" xfId="14630" xr:uid="{00000000-0005-0000-0000-000006320000}"/>
    <cellStyle name="20% - Accent5 18 2" xfId="40504" xr:uid="{00000000-0005-0000-0000-000007320000}"/>
    <cellStyle name="20% - Accent5 19" xfId="27548" xr:uid="{00000000-0005-0000-0000-000008320000}"/>
    <cellStyle name="20% - Accent5 2" xfId="24" xr:uid="{00000000-0005-0000-0000-000009320000}"/>
    <cellStyle name="20% - Accent5 2 10" xfId="14638" xr:uid="{00000000-0005-0000-0000-00000A320000}"/>
    <cellStyle name="20% - Accent5 2 10 2" xfId="40512" xr:uid="{00000000-0005-0000-0000-00000B320000}"/>
    <cellStyle name="20% - Accent5 2 11" xfId="27556" xr:uid="{00000000-0005-0000-0000-00000C320000}"/>
    <cellStyle name="20% - Accent5 2 12" xfId="53428" xr:uid="{00000000-0005-0000-0000-00000D320000}"/>
    <cellStyle name="20% - Accent5 2 13" xfId="1070" xr:uid="{00000000-0005-0000-0000-00000E320000}"/>
    <cellStyle name="20% - Accent5 2 2" xfId="1071" xr:uid="{00000000-0005-0000-0000-00000F320000}"/>
    <cellStyle name="20% - Accent5 2 3" xfId="1072" xr:uid="{00000000-0005-0000-0000-000010320000}"/>
    <cellStyle name="20% - Accent5 2 3 10" xfId="27585" xr:uid="{00000000-0005-0000-0000-000011320000}"/>
    <cellStyle name="20% - Accent5 2 3 11" xfId="53451" xr:uid="{00000000-0005-0000-0000-000012320000}"/>
    <cellStyle name="20% - Accent5 2 3 2" xfId="1666" xr:uid="{00000000-0005-0000-0000-000013320000}"/>
    <cellStyle name="20% - Accent5 2 3 2 10" xfId="53578" xr:uid="{00000000-0005-0000-0000-000014320000}"/>
    <cellStyle name="20% - Accent5 2 3 2 2" xfId="1987" xr:uid="{00000000-0005-0000-0000-000015320000}"/>
    <cellStyle name="20% - Accent5 2 3 2 2 2" xfId="2418" xr:uid="{00000000-0005-0000-0000-000016320000}"/>
    <cellStyle name="20% - Accent5 2 3 2 2 2 2" xfId="3231" xr:uid="{00000000-0005-0000-0000-000017320000}"/>
    <cellStyle name="20% - Accent5 2 3 2 2 2 2 2" xfId="4888" xr:uid="{00000000-0005-0000-0000-000018320000}"/>
    <cellStyle name="20% - Accent5 2 3 2 2 2 2 2 2" xfId="8119" xr:uid="{00000000-0005-0000-0000-000019320000}"/>
    <cellStyle name="20% - Accent5 2 3 2 2 2 2 2 2 2" xfId="14578" xr:uid="{00000000-0005-0000-0000-00001A320000}"/>
    <cellStyle name="20% - Accent5 2 3 2 2 2 2 2 2 2 2" xfId="27495" xr:uid="{00000000-0005-0000-0000-00001B320000}"/>
    <cellStyle name="20% - Accent5 2 3 2 2 2 2 2 2 2 2 2" xfId="53369" xr:uid="{00000000-0005-0000-0000-00001C320000}"/>
    <cellStyle name="20% - Accent5 2 3 2 2 2 2 2 2 2 3" xfId="40453" xr:uid="{00000000-0005-0000-0000-00001D320000}"/>
    <cellStyle name="20% - Accent5 2 3 2 2 2 2 2 2 3" xfId="21037" xr:uid="{00000000-0005-0000-0000-00001E320000}"/>
    <cellStyle name="20% - Accent5 2 3 2 2 2 2 2 2 3 2" xfId="46911" xr:uid="{00000000-0005-0000-0000-00001F320000}"/>
    <cellStyle name="20% - Accent5 2 3 2 2 2 2 2 2 4" xfId="33995" xr:uid="{00000000-0005-0000-0000-000020320000}"/>
    <cellStyle name="20% - Accent5 2 3 2 2 2 2 2 3" xfId="11350" xr:uid="{00000000-0005-0000-0000-000021320000}"/>
    <cellStyle name="20% - Accent5 2 3 2 2 2 2 2 3 2" xfId="24267" xr:uid="{00000000-0005-0000-0000-000022320000}"/>
    <cellStyle name="20% - Accent5 2 3 2 2 2 2 2 3 2 2" xfId="50141" xr:uid="{00000000-0005-0000-0000-000023320000}"/>
    <cellStyle name="20% - Accent5 2 3 2 2 2 2 2 3 3" xfId="37225" xr:uid="{00000000-0005-0000-0000-000024320000}"/>
    <cellStyle name="20% - Accent5 2 3 2 2 2 2 2 4" xfId="17809" xr:uid="{00000000-0005-0000-0000-000025320000}"/>
    <cellStyle name="20% - Accent5 2 3 2 2 2 2 2 4 2" xfId="43683" xr:uid="{00000000-0005-0000-0000-000026320000}"/>
    <cellStyle name="20% - Accent5 2 3 2 2 2 2 2 5" xfId="30735" xr:uid="{00000000-0005-0000-0000-000027320000}"/>
    <cellStyle name="20% - Accent5 2 3 2 2 2 2 3" xfId="6505" xr:uid="{00000000-0005-0000-0000-000028320000}"/>
    <cellStyle name="20% - Accent5 2 3 2 2 2 2 3 2" xfId="12964" xr:uid="{00000000-0005-0000-0000-000029320000}"/>
    <cellStyle name="20% - Accent5 2 3 2 2 2 2 3 2 2" xfId="25881" xr:uid="{00000000-0005-0000-0000-00002A320000}"/>
    <cellStyle name="20% - Accent5 2 3 2 2 2 2 3 2 2 2" xfId="51755" xr:uid="{00000000-0005-0000-0000-00002B320000}"/>
    <cellStyle name="20% - Accent5 2 3 2 2 2 2 3 2 3" xfId="38839" xr:uid="{00000000-0005-0000-0000-00002C320000}"/>
    <cellStyle name="20% - Accent5 2 3 2 2 2 2 3 3" xfId="19423" xr:uid="{00000000-0005-0000-0000-00002D320000}"/>
    <cellStyle name="20% - Accent5 2 3 2 2 2 2 3 3 2" xfId="45297" xr:uid="{00000000-0005-0000-0000-00002E320000}"/>
    <cellStyle name="20% - Accent5 2 3 2 2 2 2 3 4" xfId="32381" xr:uid="{00000000-0005-0000-0000-00002F320000}"/>
    <cellStyle name="20% - Accent5 2 3 2 2 2 2 4" xfId="9736" xr:uid="{00000000-0005-0000-0000-000030320000}"/>
    <cellStyle name="20% - Accent5 2 3 2 2 2 2 4 2" xfId="22653" xr:uid="{00000000-0005-0000-0000-000031320000}"/>
    <cellStyle name="20% - Accent5 2 3 2 2 2 2 4 2 2" xfId="48527" xr:uid="{00000000-0005-0000-0000-000032320000}"/>
    <cellStyle name="20% - Accent5 2 3 2 2 2 2 4 3" xfId="35611" xr:uid="{00000000-0005-0000-0000-000033320000}"/>
    <cellStyle name="20% - Accent5 2 3 2 2 2 2 5" xfId="16195" xr:uid="{00000000-0005-0000-0000-000034320000}"/>
    <cellStyle name="20% - Accent5 2 3 2 2 2 2 5 2" xfId="42069" xr:uid="{00000000-0005-0000-0000-000035320000}"/>
    <cellStyle name="20% - Accent5 2 3 2 2 2 2 6" xfId="29121" xr:uid="{00000000-0005-0000-0000-000036320000}"/>
    <cellStyle name="20% - Accent5 2 3 2 2 2 3" xfId="4058" xr:uid="{00000000-0005-0000-0000-000037320000}"/>
    <cellStyle name="20% - Accent5 2 3 2 2 2 3 2" xfId="7312" xr:uid="{00000000-0005-0000-0000-000038320000}"/>
    <cellStyle name="20% - Accent5 2 3 2 2 2 3 2 2" xfId="13771" xr:uid="{00000000-0005-0000-0000-000039320000}"/>
    <cellStyle name="20% - Accent5 2 3 2 2 2 3 2 2 2" xfId="26688" xr:uid="{00000000-0005-0000-0000-00003A320000}"/>
    <cellStyle name="20% - Accent5 2 3 2 2 2 3 2 2 2 2" xfId="52562" xr:uid="{00000000-0005-0000-0000-00003B320000}"/>
    <cellStyle name="20% - Accent5 2 3 2 2 2 3 2 2 3" xfId="39646" xr:uid="{00000000-0005-0000-0000-00003C320000}"/>
    <cellStyle name="20% - Accent5 2 3 2 2 2 3 2 3" xfId="20230" xr:uid="{00000000-0005-0000-0000-00003D320000}"/>
    <cellStyle name="20% - Accent5 2 3 2 2 2 3 2 3 2" xfId="46104" xr:uid="{00000000-0005-0000-0000-00003E320000}"/>
    <cellStyle name="20% - Accent5 2 3 2 2 2 3 2 4" xfId="33188" xr:uid="{00000000-0005-0000-0000-00003F320000}"/>
    <cellStyle name="20% - Accent5 2 3 2 2 2 3 3" xfId="10543" xr:uid="{00000000-0005-0000-0000-000040320000}"/>
    <cellStyle name="20% - Accent5 2 3 2 2 2 3 3 2" xfId="23460" xr:uid="{00000000-0005-0000-0000-000041320000}"/>
    <cellStyle name="20% - Accent5 2 3 2 2 2 3 3 2 2" xfId="49334" xr:uid="{00000000-0005-0000-0000-000042320000}"/>
    <cellStyle name="20% - Accent5 2 3 2 2 2 3 3 3" xfId="36418" xr:uid="{00000000-0005-0000-0000-000043320000}"/>
    <cellStyle name="20% - Accent5 2 3 2 2 2 3 4" xfId="17002" xr:uid="{00000000-0005-0000-0000-000044320000}"/>
    <cellStyle name="20% - Accent5 2 3 2 2 2 3 4 2" xfId="42876" xr:uid="{00000000-0005-0000-0000-000045320000}"/>
    <cellStyle name="20% - Accent5 2 3 2 2 2 3 5" xfId="29928" xr:uid="{00000000-0005-0000-0000-000046320000}"/>
    <cellStyle name="20% - Accent5 2 3 2 2 2 4" xfId="5698" xr:uid="{00000000-0005-0000-0000-000047320000}"/>
    <cellStyle name="20% - Accent5 2 3 2 2 2 4 2" xfId="12157" xr:uid="{00000000-0005-0000-0000-000048320000}"/>
    <cellStyle name="20% - Accent5 2 3 2 2 2 4 2 2" xfId="25074" xr:uid="{00000000-0005-0000-0000-000049320000}"/>
    <cellStyle name="20% - Accent5 2 3 2 2 2 4 2 2 2" xfId="50948" xr:uid="{00000000-0005-0000-0000-00004A320000}"/>
    <cellStyle name="20% - Accent5 2 3 2 2 2 4 2 3" xfId="38032" xr:uid="{00000000-0005-0000-0000-00004B320000}"/>
    <cellStyle name="20% - Accent5 2 3 2 2 2 4 3" xfId="18616" xr:uid="{00000000-0005-0000-0000-00004C320000}"/>
    <cellStyle name="20% - Accent5 2 3 2 2 2 4 3 2" xfId="44490" xr:uid="{00000000-0005-0000-0000-00004D320000}"/>
    <cellStyle name="20% - Accent5 2 3 2 2 2 4 4" xfId="31574" xr:uid="{00000000-0005-0000-0000-00004E320000}"/>
    <cellStyle name="20% - Accent5 2 3 2 2 2 5" xfId="8929" xr:uid="{00000000-0005-0000-0000-00004F320000}"/>
    <cellStyle name="20% - Accent5 2 3 2 2 2 5 2" xfId="21846" xr:uid="{00000000-0005-0000-0000-000050320000}"/>
    <cellStyle name="20% - Accent5 2 3 2 2 2 5 2 2" xfId="47720" xr:uid="{00000000-0005-0000-0000-000051320000}"/>
    <cellStyle name="20% - Accent5 2 3 2 2 2 5 3" xfId="34804" xr:uid="{00000000-0005-0000-0000-000052320000}"/>
    <cellStyle name="20% - Accent5 2 3 2 2 2 6" xfId="15388" xr:uid="{00000000-0005-0000-0000-000053320000}"/>
    <cellStyle name="20% - Accent5 2 3 2 2 2 6 2" xfId="41262" xr:uid="{00000000-0005-0000-0000-000054320000}"/>
    <cellStyle name="20% - Accent5 2 3 2 2 2 7" xfId="28314" xr:uid="{00000000-0005-0000-0000-000055320000}"/>
    <cellStyle name="20% - Accent5 2 3 2 2 2 8" xfId="54176" xr:uid="{00000000-0005-0000-0000-000056320000}"/>
    <cellStyle name="20% - Accent5 2 3 2 2 3" xfId="2827" xr:uid="{00000000-0005-0000-0000-000057320000}"/>
    <cellStyle name="20% - Accent5 2 3 2 2 3 2" xfId="4484" xr:uid="{00000000-0005-0000-0000-000058320000}"/>
    <cellStyle name="20% - Accent5 2 3 2 2 3 2 2" xfId="7715" xr:uid="{00000000-0005-0000-0000-000059320000}"/>
    <cellStyle name="20% - Accent5 2 3 2 2 3 2 2 2" xfId="14174" xr:uid="{00000000-0005-0000-0000-00005A320000}"/>
    <cellStyle name="20% - Accent5 2 3 2 2 3 2 2 2 2" xfId="27091" xr:uid="{00000000-0005-0000-0000-00005B320000}"/>
    <cellStyle name="20% - Accent5 2 3 2 2 3 2 2 2 2 2" xfId="52965" xr:uid="{00000000-0005-0000-0000-00005C320000}"/>
    <cellStyle name="20% - Accent5 2 3 2 2 3 2 2 2 3" xfId="40049" xr:uid="{00000000-0005-0000-0000-00005D320000}"/>
    <cellStyle name="20% - Accent5 2 3 2 2 3 2 2 3" xfId="20633" xr:uid="{00000000-0005-0000-0000-00005E320000}"/>
    <cellStyle name="20% - Accent5 2 3 2 2 3 2 2 3 2" xfId="46507" xr:uid="{00000000-0005-0000-0000-00005F320000}"/>
    <cellStyle name="20% - Accent5 2 3 2 2 3 2 2 4" xfId="33591" xr:uid="{00000000-0005-0000-0000-000060320000}"/>
    <cellStyle name="20% - Accent5 2 3 2 2 3 2 3" xfId="10946" xr:uid="{00000000-0005-0000-0000-000061320000}"/>
    <cellStyle name="20% - Accent5 2 3 2 2 3 2 3 2" xfId="23863" xr:uid="{00000000-0005-0000-0000-000062320000}"/>
    <cellStyle name="20% - Accent5 2 3 2 2 3 2 3 2 2" xfId="49737" xr:uid="{00000000-0005-0000-0000-000063320000}"/>
    <cellStyle name="20% - Accent5 2 3 2 2 3 2 3 3" xfId="36821" xr:uid="{00000000-0005-0000-0000-000064320000}"/>
    <cellStyle name="20% - Accent5 2 3 2 2 3 2 4" xfId="17405" xr:uid="{00000000-0005-0000-0000-000065320000}"/>
    <cellStyle name="20% - Accent5 2 3 2 2 3 2 4 2" xfId="43279" xr:uid="{00000000-0005-0000-0000-000066320000}"/>
    <cellStyle name="20% - Accent5 2 3 2 2 3 2 5" xfId="30331" xr:uid="{00000000-0005-0000-0000-000067320000}"/>
    <cellStyle name="20% - Accent5 2 3 2 2 3 3" xfId="6101" xr:uid="{00000000-0005-0000-0000-000068320000}"/>
    <cellStyle name="20% - Accent5 2 3 2 2 3 3 2" xfId="12560" xr:uid="{00000000-0005-0000-0000-000069320000}"/>
    <cellStyle name="20% - Accent5 2 3 2 2 3 3 2 2" xfId="25477" xr:uid="{00000000-0005-0000-0000-00006A320000}"/>
    <cellStyle name="20% - Accent5 2 3 2 2 3 3 2 2 2" xfId="51351" xr:uid="{00000000-0005-0000-0000-00006B320000}"/>
    <cellStyle name="20% - Accent5 2 3 2 2 3 3 2 3" xfId="38435" xr:uid="{00000000-0005-0000-0000-00006C320000}"/>
    <cellStyle name="20% - Accent5 2 3 2 2 3 3 3" xfId="19019" xr:uid="{00000000-0005-0000-0000-00006D320000}"/>
    <cellStyle name="20% - Accent5 2 3 2 2 3 3 3 2" xfId="44893" xr:uid="{00000000-0005-0000-0000-00006E320000}"/>
    <cellStyle name="20% - Accent5 2 3 2 2 3 3 4" xfId="31977" xr:uid="{00000000-0005-0000-0000-00006F320000}"/>
    <cellStyle name="20% - Accent5 2 3 2 2 3 4" xfId="9332" xr:uid="{00000000-0005-0000-0000-000070320000}"/>
    <cellStyle name="20% - Accent5 2 3 2 2 3 4 2" xfId="22249" xr:uid="{00000000-0005-0000-0000-000071320000}"/>
    <cellStyle name="20% - Accent5 2 3 2 2 3 4 2 2" xfId="48123" xr:uid="{00000000-0005-0000-0000-000072320000}"/>
    <cellStyle name="20% - Accent5 2 3 2 2 3 4 3" xfId="35207" xr:uid="{00000000-0005-0000-0000-000073320000}"/>
    <cellStyle name="20% - Accent5 2 3 2 2 3 5" xfId="15791" xr:uid="{00000000-0005-0000-0000-000074320000}"/>
    <cellStyle name="20% - Accent5 2 3 2 2 3 5 2" xfId="41665" xr:uid="{00000000-0005-0000-0000-000075320000}"/>
    <cellStyle name="20% - Accent5 2 3 2 2 3 6" xfId="28717" xr:uid="{00000000-0005-0000-0000-000076320000}"/>
    <cellStyle name="20% - Accent5 2 3 2 2 4" xfId="3654" xr:uid="{00000000-0005-0000-0000-000077320000}"/>
    <cellStyle name="20% - Accent5 2 3 2 2 4 2" xfId="6908" xr:uid="{00000000-0005-0000-0000-000078320000}"/>
    <cellStyle name="20% - Accent5 2 3 2 2 4 2 2" xfId="13367" xr:uid="{00000000-0005-0000-0000-000079320000}"/>
    <cellStyle name="20% - Accent5 2 3 2 2 4 2 2 2" xfId="26284" xr:uid="{00000000-0005-0000-0000-00007A320000}"/>
    <cellStyle name="20% - Accent5 2 3 2 2 4 2 2 2 2" xfId="52158" xr:uid="{00000000-0005-0000-0000-00007B320000}"/>
    <cellStyle name="20% - Accent5 2 3 2 2 4 2 2 3" xfId="39242" xr:uid="{00000000-0005-0000-0000-00007C320000}"/>
    <cellStyle name="20% - Accent5 2 3 2 2 4 2 3" xfId="19826" xr:uid="{00000000-0005-0000-0000-00007D320000}"/>
    <cellStyle name="20% - Accent5 2 3 2 2 4 2 3 2" xfId="45700" xr:uid="{00000000-0005-0000-0000-00007E320000}"/>
    <cellStyle name="20% - Accent5 2 3 2 2 4 2 4" xfId="32784" xr:uid="{00000000-0005-0000-0000-00007F320000}"/>
    <cellStyle name="20% - Accent5 2 3 2 2 4 3" xfId="10139" xr:uid="{00000000-0005-0000-0000-000080320000}"/>
    <cellStyle name="20% - Accent5 2 3 2 2 4 3 2" xfId="23056" xr:uid="{00000000-0005-0000-0000-000081320000}"/>
    <cellStyle name="20% - Accent5 2 3 2 2 4 3 2 2" xfId="48930" xr:uid="{00000000-0005-0000-0000-000082320000}"/>
    <cellStyle name="20% - Accent5 2 3 2 2 4 3 3" xfId="36014" xr:uid="{00000000-0005-0000-0000-000083320000}"/>
    <cellStyle name="20% - Accent5 2 3 2 2 4 4" xfId="16598" xr:uid="{00000000-0005-0000-0000-000084320000}"/>
    <cellStyle name="20% - Accent5 2 3 2 2 4 4 2" xfId="42472" xr:uid="{00000000-0005-0000-0000-000085320000}"/>
    <cellStyle name="20% - Accent5 2 3 2 2 4 5" xfId="29524" xr:uid="{00000000-0005-0000-0000-000086320000}"/>
    <cellStyle name="20% - Accent5 2 3 2 2 5" xfId="5294" xr:uid="{00000000-0005-0000-0000-000087320000}"/>
    <cellStyle name="20% - Accent5 2 3 2 2 5 2" xfId="11753" xr:uid="{00000000-0005-0000-0000-000088320000}"/>
    <cellStyle name="20% - Accent5 2 3 2 2 5 2 2" xfId="24670" xr:uid="{00000000-0005-0000-0000-000089320000}"/>
    <cellStyle name="20% - Accent5 2 3 2 2 5 2 2 2" xfId="50544" xr:uid="{00000000-0005-0000-0000-00008A320000}"/>
    <cellStyle name="20% - Accent5 2 3 2 2 5 2 3" xfId="37628" xr:uid="{00000000-0005-0000-0000-00008B320000}"/>
    <cellStyle name="20% - Accent5 2 3 2 2 5 3" xfId="18212" xr:uid="{00000000-0005-0000-0000-00008C320000}"/>
    <cellStyle name="20% - Accent5 2 3 2 2 5 3 2" xfId="44086" xr:uid="{00000000-0005-0000-0000-00008D320000}"/>
    <cellStyle name="20% - Accent5 2 3 2 2 5 4" xfId="31170" xr:uid="{00000000-0005-0000-0000-00008E320000}"/>
    <cellStyle name="20% - Accent5 2 3 2 2 6" xfId="8525" xr:uid="{00000000-0005-0000-0000-00008F320000}"/>
    <cellStyle name="20% - Accent5 2 3 2 2 6 2" xfId="21442" xr:uid="{00000000-0005-0000-0000-000090320000}"/>
    <cellStyle name="20% - Accent5 2 3 2 2 6 2 2" xfId="47316" xr:uid="{00000000-0005-0000-0000-000091320000}"/>
    <cellStyle name="20% - Accent5 2 3 2 2 6 3" xfId="34400" xr:uid="{00000000-0005-0000-0000-000092320000}"/>
    <cellStyle name="20% - Accent5 2 3 2 2 7" xfId="14984" xr:uid="{00000000-0005-0000-0000-000093320000}"/>
    <cellStyle name="20% - Accent5 2 3 2 2 7 2" xfId="40858" xr:uid="{00000000-0005-0000-0000-000094320000}"/>
    <cellStyle name="20% - Accent5 2 3 2 2 8" xfId="27909" xr:uid="{00000000-0005-0000-0000-000095320000}"/>
    <cellStyle name="20% - Accent5 2 3 2 2 9" xfId="53772" xr:uid="{00000000-0005-0000-0000-000096320000}"/>
    <cellStyle name="20% - Accent5 2 3 2 3" xfId="2222" xr:uid="{00000000-0005-0000-0000-000097320000}"/>
    <cellStyle name="20% - Accent5 2 3 2 3 2" xfId="3036" xr:uid="{00000000-0005-0000-0000-000098320000}"/>
    <cellStyle name="20% - Accent5 2 3 2 3 2 2" xfId="4693" xr:uid="{00000000-0005-0000-0000-000099320000}"/>
    <cellStyle name="20% - Accent5 2 3 2 3 2 2 2" xfId="7924" xr:uid="{00000000-0005-0000-0000-00009A320000}"/>
    <cellStyle name="20% - Accent5 2 3 2 3 2 2 2 2" xfId="14383" xr:uid="{00000000-0005-0000-0000-00009B320000}"/>
    <cellStyle name="20% - Accent5 2 3 2 3 2 2 2 2 2" xfId="27300" xr:uid="{00000000-0005-0000-0000-00009C320000}"/>
    <cellStyle name="20% - Accent5 2 3 2 3 2 2 2 2 2 2" xfId="53174" xr:uid="{00000000-0005-0000-0000-00009D320000}"/>
    <cellStyle name="20% - Accent5 2 3 2 3 2 2 2 2 3" xfId="40258" xr:uid="{00000000-0005-0000-0000-00009E320000}"/>
    <cellStyle name="20% - Accent5 2 3 2 3 2 2 2 3" xfId="20842" xr:uid="{00000000-0005-0000-0000-00009F320000}"/>
    <cellStyle name="20% - Accent5 2 3 2 3 2 2 2 3 2" xfId="46716" xr:uid="{00000000-0005-0000-0000-0000A0320000}"/>
    <cellStyle name="20% - Accent5 2 3 2 3 2 2 2 4" xfId="33800" xr:uid="{00000000-0005-0000-0000-0000A1320000}"/>
    <cellStyle name="20% - Accent5 2 3 2 3 2 2 3" xfId="11155" xr:uid="{00000000-0005-0000-0000-0000A2320000}"/>
    <cellStyle name="20% - Accent5 2 3 2 3 2 2 3 2" xfId="24072" xr:uid="{00000000-0005-0000-0000-0000A3320000}"/>
    <cellStyle name="20% - Accent5 2 3 2 3 2 2 3 2 2" xfId="49946" xr:uid="{00000000-0005-0000-0000-0000A4320000}"/>
    <cellStyle name="20% - Accent5 2 3 2 3 2 2 3 3" xfId="37030" xr:uid="{00000000-0005-0000-0000-0000A5320000}"/>
    <cellStyle name="20% - Accent5 2 3 2 3 2 2 4" xfId="17614" xr:uid="{00000000-0005-0000-0000-0000A6320000}"/>
    <cellStyle name="20% - Accent5 2 3 2 3 2 2 4 2" xfId="43488" xr:uid="{00000000-0005-0000-0000-0000A7320000}"/>
    <cellStyle name="20% - Accent5 2 3 2 3 2 2 5" xfId="30540" xr:uid="{00000000-0005-0000-0000-0000A8320000}"/>
    <cellStyle name="20% - Accent5 2 3 2 3 2 3" xfId="6310" xr:uid="{00000000-0005-0000-0000-0000A9320000}"/>
    <cellStyle name="20% - Accent5 2 3 2 3 2 3 2" xfId="12769" xr:uid="{00000000-0005-0000-0000-0000AA320000}"/>
    <cellStyle name="20% - Accent5 2 3 2 3 2 3 2 2" xfId="25686" xr:uid="{00000000-0005-0000-0000-0000AB320000}"/>
    <cellStyle name="20% - Accent5 2 3 2 3 2 3 2 2 2" xfId="51560" xr:uid="{00000000-0005-0000-0000-0000AC320000}"/>
    <cellStyle name="20% - Accent5 2 3 2 3 2 3 2 3" xfId="38644" xr:uid="{00000000-0005-0000-0000-0000AD320000}"/>
    <cellStyle name="20% - Accent5 2 3 2 3 2 3 3" xfId="19228" xr:uid="{00000000-0005-0000-0000-0000AE320000}"/>
    <cellStyle name="20% - Accent5 2 3 2 3 2 3 3 2" xfId="45102" xr:uid="{00000000-0005-0000-0000-0000AF320000}"/>
    <cellStyle name="20% - Accent5 2 3 2 3 2 3 4" xfId="32186" xr:uid="{00000000-0005-0000-0000-0000B0320000}"/>
    <cellStyle name="20% - Accent5 2 3 2 3 2 4" xfId="9541" xr:uid="{00000000-0005-0000-0000-0000B1320000}"/>
    <cellStyle name="20% - Accent5 2 3 2 3 2 4 2" xfId="22458" xr:uid="{00000000-0005-0000-0000-0000B2320000}"/>
    <cellStyle name="20% - Accent5 2 3 2 3 2 4 2 2" xfId="48332" xr:uid="{00000000-0005-0000-0000-0000B3320000}"/>
    <cellStyle name="20% - Accent5 2 3 2 3 2 4 3" xfId="35416" xr:uid="{00000000-0005-0000-0000-0000B4320000}"/>
    <cellStyle name="20% - Accent5 2 3 2 3 2 5" xfId="16000" xr:uid="{00000000-0005-0000-0000-0000B5320000}"/>
    <cellStyle name="20% - Accent5 2 3 2 3 2 5 2" xfId="41874" xr:uid="{00000000-0005-0000-0000-0000B6320000}"/>
    <cellStyle name="20% - Accent5 2 3 2 3 2 6" xfId="28926" xr:uid="{00000000-0005-0000-0000-0000B7320000}"/>
    <cellStyle name="20% - Accent5 2 3 2 3 3" xfId="3863" xr:uid="{00000000-0005-0000-0000-0000B8320000}"/>
    <cellStyle name="20% - Accent5 2 3 2 3 3 2" xfId="7117" xr:uid="{00000000-0005-0000-0000-0000B9320000}"/>
    <cellStyle name="20% - Accent5 2 3 2 3 3 2 2" xfId="13576" xr:uid="{00000000-0005-0000-0000-0000BA320000}"/>
    <cellStyle name="20% - Accent5 2 3 2 3 3 2 2 2" xfId="26493" xr:uid="{00000000-0005-0000-0000-0000BB320000}"/>
    <cellStyle name="20% - Accent5 2 3 2 3 3 2 2 2 2" xfId="52367" xr:uid="{00000000-0005-0000-0000-0000BC320000}"/>
    <cellStyle name="20% - Accent5 2 3 2 3 3 2 2 3" xfId="39451" xr:uid="{00000000-0005-0000-0000-0000BD320000}"/>
    <cellStyle name="20% - Accent5 2 3 2 3 3 2 3" xfId="20035" xr:uid="{00000000-0005-0000-0000-0000BE320000}"/>
    <cellStyle name="20% - Accent5 2 3 2 3 3 2 3 2" xfId="45909" xr:uid="{00000000-0005-0000-0000-0000BF320000}"/>
    <cellStyle name="20% - Accent5 2 3 2 3 3 2 4" xfId="32993" xr:uid="{00000000-0005-0000-0000-0000C0320000}"/>
    <cellStyle name="20% - Accent5 2 3 2 3 3 3" xfId="10348" xr:uid="{00000000-0005-0000-0000-0000C1320000}"/>
    <cellStyle name="20% - Accent5 2 3 2 3 3 3 2" xfId="23265" xr:uid="{00000000-0005-0000-0000-0000C2320000}"/>
    <cellStyle name="20% - Accent5 2 3 2 3 3 3 2 2" xfId="49139" xr:uid="{00000000-0005-0000-0000-0000C3320000}"/>
    <cellStyle name="20% - Accent5 2 3 2 3 3 3 3" xfId="36223" xr:uid="{00000000-0005-0000-0000-0000C4320000}"/>
    <cellStyle name="20% - Accent5 2 3 2 3 3 4" xfId="16807" xr:uid="{00000000-0005-0000-0000-0000C5320000}"/>
    <cellStyle name="20% - Accent5 2 3 2 3 3 4 2" xfId="42681" xr:uid="{00000000-0005-0000-0000-0000C6320000}"/>
    <cellStyle name="20% - Accent5 2 3 2 3 3 5" xfId="29733" xr:uid="{00000000-0005-0000-0000-0000C7320000}"/>
    <cellStyle name="20% - Accent5 2 3 2 3 4" xfId="5503" xr:uid="{00000000-0005-0000-0000-0000C8320000}"/>
    <cellStyle name="20% - Accent5 2 3 2 3 4 2" xfId="11962" xr:uid="{00000000-0005-0000-0000-0000C9320000}"/>
    <cellStyle name="20% - Accent5 2 3 2 3 4 2 2" xfId="24879" xr:uid="{00000000-0005-0000-0000-0000CA320000}"/>
    <cellStyle name="20% - Accent5 2 3 2 3 4 2 2 2" xfId="50753" xr:uid="{00000000-0005-0000-0000-0000CB320000}"/>
    <cellStyle name="20% - Accent5 2 3 2 3 4 2 3" xfId="37837" xr:uid="{00000000-0005-0000-0000-0000CC320000}"/>
    <cellStyle name="20% - Accent5 2 3 2 3 4 3" xfId="18421" xr:uid="{00000000-0005-0000-0000-0000CD320000}"/>
    <cellStyle name="20% - Accent5 2 3 2 3 4 3 2" xfId="44295" xr:uid="{00000000-0005-0000-0000-0000CE320000}"/>
    <cellStyle name="20% - Accent5 2 3 2 3 4 4" xfId="31379" xr:uid="{00000000-0005-0000-0000-0000CF320000}"/>
    <cellStyle name="20% - Accent5 2 3 2 3 5" xfId="8734" xr:uid="{00000000-0005-0000-0000-0000D0320000}"/>
    <cellStyle name="20% - Accent5 2 3 2 3 5 2" xfId="21651" xr:uid="{00000000-0005-0000-0000-0000D1320000}"/>
    <cellStyle name="20% - Accent5 2 3 2 3 5 2 2" xfId="47525" xr:uid="{00000000-0005-0000-0000-0000D2320000}"/>
    <cellStyle name="20% - Accent5 2 3 2 3 5 3" xfId="34609" xr:uid="{00000000-0005-0000-0000-0000D3320000}"/>
    <cellStyle name="20% - Accent5 2 3 2 3 6" xfId="15193" xr:uid="{00000000-0005-0000-0000-0000D4320000}"/>
    <cellStyle name="20% - Accent5 2 3 2 3 6 2" xfId="41067" xr:uid="{00000000-0005-0000-0000-0000D5320000}"/>
    <cellStyle name="20% - Accent5 2 3 2 3 7" xfId="28119" xr:uid="{00000000-0005-0000-0000-0000D6320000}"/>
    <cellStyle name="20% - Accent5 2 3 2 3 8" xfId="53981" xr:uid="{00000000-0005-0000-0000-0000D7320000}"/>
    <cellStyle name="20% - Accent5 2 3 2 4" xfId="2633" xr:uid="{00000000-0005-0000-0000-0000D8320000}"/>
    <cellStyle name="20% - Accent5 2 3 2 4 2" xfId="4290" xr:uid="{00000000-0005-0000-0000-0000D9320000}"/>
    <cellStyle name="20% - Accent5 2 3 2 4 2 2" xfId="7521" xr:uid="{00000000-0005-0000-0000-0000DA320000}"/>
    <cellStyle name="20% - Accent5 2 3 2 4 2 2 2" xfId="13980" xr:uid="{00000000-0005-0000-0000-0000DB320000}"/>
    <cellStyle name="20% - Accent5 2 3 2 4 2 2 2 2" xfId="26897" xr:uid="{00000000-0005-0000-0000-0000DC320000}"/>
    <cellStyle name="20% - Accent5 2 3 2 4 2 2 2 2 2" xfId="52771" xr:uid="{00000000-0005-0000-0000-0000DD320000}"/>
    <cellStyle name="20% - Accent5 2 3 2 4 2 2 2 3" xfId="39855" xr:uid="{00000000-0005-0000-0000-0000DE320000}"/>
    <cellStyle name="20% - Accent5 2 3 2 4 2 2 3" xfId="20439" xr:uid="{00000000-0005-0000-0000-0000DF320000}"/>
    <cellStyle name="20% - Accent5 2 3 2 4 2 2 3 2" xfId="46313" xr:uid="{00000000-0005-0000-0000-0000E0320000}"/>
    <cellStyle name="20% - Accent5 2 3 2 4 2 2 4" xfId="33397" xr:uid="{00000000-0005-0000-0000-0000E1320000}"/>
    <cellStyle name="20% - Accent5 2 3 2 4 2 3" xfId="10752" xr:uid="{00000000-0005-0000-0000-0000E2320000}"/>
    <cellStyle name="20% - Accent5 2 3 2 4 2 3 2" xfId="23669" xr:uid="{00000000-0005-0000-0000-0000E3320000}"/>
    <cellStyle name="20% - Accent5 2 3 2 4 2 3 2 2" xfId="49543" xr:uid="{00000000-0005-0000-0000-0000E4320000}"/>
    <cellStyle name="20% - Accent5 2 3 2 4 2 3 3" xfId="36627" xr:uid="{00000000-0005-0000-0000-0000E5320000}"/>
    <cellStyle name="20% - Accent5 2 3 2 4 2 4" xfId="17211" xr:uid="{00000000-0005-0000-0000-0000E6320000}"/>
    <cellStyle name="20% - Accent5 2 3 2 4 2 4 2" xfId="43085" xr:uid="{00000000-0005-0000-0000-0000E7320000}"/>
    <cellStyle name="20% - Accent5 2 3 2 4 2 5" xfId="30137" xr:uid="{00000000-0005-0000-0000-0000E8320000}"/>
    <cellStyle name="20% - Accent5 2 3 2 4 3" xfId="5907" xr:uid="{00000000-0005-0000-0000-0000E9320000}"/>
    <cellStyle name="20% - Accent5 2 3 2 4 3 2" xfId="12366" xr:uid="{00000000-0005-0000-0000-0000EA320000}"/>
    <cellStyle name="20% - Accent5 2 3 2 4 3 2 2" xfId="25283" xr:uid="{00000000-0005-0000-0000-0000EB320000}"/>
    <cellStyle name="20% - Accent5 2 3 2 4 3 2 2 2" xfId="51157" xr:uid="{00000000-0005-0000-0000-0000EC320000}"/>
    <cellStyle name="20% - Accent5 2 3 2 4 3 2 3" xfId="38241" xr:uid="{00000000-0005-0000-0000-0000ED320000}"/>
    <cellStyle name="20% - Accent5 2 3 2 4 3 3" xfId="18825" xr:uid="{00000000-0005-0000-0000-0000EE320000}"/>
    <cellStyle name="20% - Accent5 2 3 2 4 3 3 2" xfId="44699" xr:uid="{00000000-0005-0000-0000-0000EF320000}"/>
    <cellStyle name="20% - Accent5 2 3 2 4 3 4" xfId="31783" xr:uid="{00000000-0005-0000-0000-0000F0320000}"/>
    <cellStyle name="20% - Accent5 2 3 2 4 4" xfId="9138" xr:uid="{00000000-0005-0000-0000-0000F1320000}"/>
    <cellStyle name="20% - Accent5 2 3 2 4 4 2" xfId="22055" xr:uid="{00000000-0005-0000-0000-0000F2320000}"/>
    <cellStyle name="20% - Accent5 2 3 2 4 4 2 2" xfId="47929" xr:uid="{00000000-0005-0000-0000-0000F3320000}"/>
    <cellStyle name="20% - Accent5 2 3 2 4 4 3" xfId="35013" xr:uid="{00000000-0005-0000-0000-0000F4320000}"/>
    <cellStyle name="20% - Accent5 2 3 2 4 5" xfId="15597" xr:uid="{00000000-0005-0000-0000-0000F5320000}"/>
    <cellStyle name="20% - Accent5 2 3 2 4 5 2" xfId="41471" xr:uid="{00000000-0005-0000-0000-0000F6320000}"/>
    <cellStyle name="20% - Accent5 2 3 2 4 6" xfId="28523" xr:uid="{00000000-0005-0000-0000-0000F7320000}"/>
    <cellStyle name="20% - Accent5 2 3 2 5" xfId="3460" xr:uid="{00000000-0005-0000-0000-0000F8320000}"/>
    <cellStyle name="20% - Accent5 2 3 2 5 2" xfId="6714" xr:uid="{00000000-0005-0000-0000-0000F9320000}"/>
    <cellStyle name="20% - Accent5 2 3 2 5 2 2" xfId="13173" xr:uid="{00000000-0005-0000-0000-0000FA320000}"/>
    <cellStyle name="20% - Accent5 2 3 2 5 2 2 2" xfId="26090" xr:uid="{00000000-0005-0000-0000-0000FB320000}"/>
    <cellStyle name="20% - Accent5 2 3 2 5 2 2 2 2" xfId="51964" xr:uid="{00000000-0005-0000-0000-0000FC320000}"/>
    <cellStyle name="20% - Accent5 2 3 2 5 2 2 3" xfId="39048" xr:uid="{00000000-0005-0000-0000-0000FD320000}"/>
    <cellStyle name="20% - Accent5 2 3 2 5 2 3" xfId="19632" xr:uid="{00000000-0005-0000-0000-0000FE320000}"/>
    <cellStyle name="20% - Accent5 2 3 2 5 2 3 2" xfId="45506" xr:uid="{00000000-0005-0000-0000-0000FF320000}"/>
    <cellStyle name="20% - Accent5 2 3 2 5 2 4" xfId="32590" xr:uid="{00000000-0005-0000-0000-000000330000}"/>
    <cellStyle name="20% - Accent5 2 3 2 5 3" xfId="9945" xr:uid="{00000000-0005-0000-0000-000001330000}"/>
    <cellStyle name="20% - Accent5 2 3 2 5 3 2" xfId="22862" xr:uid="{00000000-0005-0000-0000-000002330000}"/>
    <cellStyle name="20% - Accent5 2 3 2 5 3 2 2" xfId="48736" xr:uid="{00000000-0005-0000-0000-000003330000}"/>
    <cellStyle name="20% - Accent5 2 3 2 5 3 3" xfId="35820" xr:uid="{00000000-0005-0000-0000-000004330000}"/>
    <cellStyle name="20% - Accent5 2 3 2 5 4" xfId="16404" xr:uid="{00000000-0005-0000-0000-000005330000}"/>
    <cellStyle name="20% - Accent5 2 3 2 5 4 2" xfId="42278" xr:uid="{00000000-0005-0000-0000-000006330000}"/>
    <cellStyle name="20% - Accent5 2 3 2 5 5" xfId="29330" xr:uid="{00000000-0005-0000-0000-000007330000}"/>
    <cellStyle name="20% - Accent5 2 3 2 6" xfId="5100" xr:uid="{00000000-0005-0000-0000-000008330000}"/>
    <cellStyle name="20% - Accent5 2 3 2 6 2" xfId="11559" xr:uid="{00000000-0005-0000-0000-000009330000}"/>
    <cellStyle name="20% - Accent5 2 3 2 6 2 2" xfId="24476" xr:uid="{00000000-0005-0000-0000-00000A330000}"/>
    <cellStyle name="20% - Accent5 2 3 2 6 2 2 2" xfId="50350" xr:uid="{00000000-0005-0000-0000-00000B330000}"/>
    <cellStyle name="20% - Accent5 2 3 2 6 2 3" xfId="37434" xr:uid="{00000000-0005-0000-0000-00000C330000}"/>
    <cellStyle name="20% - Accent5 2 3 2 6 3" xfId="18018" xr:uid="{00000000-0005-0000-0000-00000D330000}"/>
    <cellStyle name="20% - Accent5 2 3 2 6 3 2" xfId="43892" xr:uid="{00000000-0005-0000-0000-00000E330000}"/>
    <cellStyle name="20% - Accent5 2 3 2 6 4" xfId="30976" xr:uid="{00000000-0005-0000-0000-00000F330000}"/>
    <cellStyle name="20% - Accent5 2 3 2 7" xfId="8330" xr:uid="{00000000-0005-0000-0000-000010330000}"/>
    <cellStyle name="20% - Accent5 2 3 2 7 2" xfId="21247" xr:uid="{00000000-0005-0000-0000-000011330000}"/>
    <cellStyle name="20% - Accent5 2 3 2 7 2 2" xfId="47121" xr:uid="{00000000-0005-0000-0000-000012330000}"/>
    <cellStyle name="20% - Accent5 2 3 2 7 3" xfId="34205" xr:uid="{00000000-0005-0000-0000-000013330000}"/>
    <cellStyle name="20% - Accent5 2 3 2 8" xfId="14789" xr:uid="{00000000-0005-0000-0000-000014330000}"/>
    <cellStyle name="20% - Accent5 2 3 2 8 2" xfId="40663" xr:uid="{00000000-0005-0000-0000-000015330000}"/>
    <cellStyle name="20% - Accent5 2 3 2 9" xfId="27713" xr:uid="{00000000-0005-0000-0000-000016330000}"/>
    <cellStyle name="20% - Accent5 2 3 3" xfId="1848" xr:uid="{00000000-0005-0000-0000-000017330000}"/>
    <cellStyle name="20% - Accent5 2 3 3 2" xfId="2290" xr:uid="{00000000-0005-0000-0000-000018330000}"/>
    <cellStyle name="20% - Accent5 2 3 3 2 2" xfId="3104" xr:uid="{00000000-0005-0000-0000-000019330000}"/>
    <cellStyle name="20% - Accent5 2 3 3 2 2 2" xfId="4761" xr:uid="{00000000-0005-0000-0000-00001A330000}"/>
    <cellStyle name="20% - Accent5 2 3 3 2 2 2 2" xfId="7992" xr:uid="{00000000-0005-0000-0000-00001B330000}"/>
    <cellStyle name="20% - Accent5 2 3 3 2 2 2 2 2" xfId="14451" xr:uid="{00000000-0005-0000-0000-00001C330000}"/>
    <cellStyle name="20% - Accent5 2 3 3 2 2 2 2 2 2" xfId="27368" xr:uid="{00000000-0005-0000-0000-00001D330000}"/>
    <cellStyle name="20% - Accent5 2 3 3 2 2 2 2 2 2 2" xfId="53242" xr:uid="{00000000-0005-0000-0000-00001E330000}"/>
    <cellStyle name="20% - Accent5 2 3 3 2 2 2 2 2 3" xfId="40326" xr:uid="{00000000-0005-0000-0000-00001F330000}"/>
    <cellStyle name="20% - Accent5 2 3 3 2 2 2 2 3" xfId="20910" xr:uid="{00000000-0005-0000-0000-000020330000}"/>
    <cellStyle name="20% - Accent5 2 3 3 2 2 2 2 3 2" xfId="46784" xr:uid="{00000000-0005-0000-0000-000021330000}"/>
    <cellStyle name="20% - Accent5 2 3 3 2 2 2 2 4" xfId="33868" xr:uid="{00000000-0005-0000-0000-000022330000}"/>
    <cellStyle name="20% - Accent5 2 3 3 2 2 2 3" xfId="11223" xr:uid="{00000000-0005-0000-0000-000023330000}"/>
    <cellStyle name="20% - Accent5 2 3 3 2 2 2 3 2" xfId="24140" xr:uid="{00000000-0005-0000-0000-000024330000}"/>
    <cellStyle name="20% - Accent5 2 3 3 2 2 2 3 2 2" xfId="50014" xr:uid="{00000000-0005-0000-0000-000025330000}"/>
    <cellStyle name="20% - Accent5 2 3 3 2 2 2 3 3" xfId="37098" xr:uid="{00000000-0005-0000-0000-000026330000}"/>
    <cellStyle name="20% - Accent5 2 3 3 2 2 2 4" xfId="17682" xr:uid="{00000000-0005-0000-0000-000027330000}"/>
    <cellStyle name="20% - Accent5 2 3 3 2 2 2 4 2" xfId="43556" xr:uid="{00000000-0005-0000-0000-000028330000}"/>
    <cellStyle name="20% - Accent5 2 3 3 2 2 2 5" xfId="30608" xr:uid="{00000000-0005-0000-0000-000029330000}"/>
    <cellStyle name="20% - Accent5 2 3 3 2 2 3" xfId="6378" xr:uid="{00000000-0005-0000-0000-00002A330000}"/>
    <cellStyle name="20% - Accent5 2 3 3 2 2 3 2" xfId="12837" xr:uid="{00000000-0005-0000-0000-00002B330000}"/>
    <cellStyle name="20% - Accent5 2 3 3 2 2 3 2 2" xfId="25754" xr:uid="{00000000-0005-0000-0000-00002C330000}"/>
    <cellStyle name="20% - Accent5 2 3 3 2 2 3 2 2 2" xfId="51628" xr:uid="{00000000-0005-0000-0000-00002D330000}"/>
    <cellStyle name="20% - Accent5 2 3 3 2 2 3 2 3" xfId="38712" xr:uid="{00000000-0005-0000-0000-00002E330000}"/>
    <cellStyle name="20% - Accent5 2 3 3 2 2 3 3" xfId="19296" xr:uid="{00000000-0005-0000-0000-00002F330000}"/>
    <cellStyle name="20% - Accent5 2 3 3 2 2 3 3 2" xfId="45170" xr:uid="{00000000-0005-0000-0000-000030330000}"/>
    <cellStyle name="20% - Accent5 2 3 3 2 2 3 4" xfId="32254" xr:uid="{00000000-0005-0000-0000-000031330000}"/>
    <cellStyle name="20% - Accent5 2 3 3 2 2 4" xfId="9609" xr:uid="{00000000-0005-0000-0000-000032330000}"/>
    <cellStyle name="20% - Accent5 2 3 3 2 2 4 2" xfId="22526" xr:uid="{00000000-0005-0000-0000-000033330000}"/>
    <cellStyle name="20% - Accent5 2 3 3 2 2 4 2 2" xfId="48400" xr:uid="{00000000-0005-0000-0000-000034330000}"/>
    <cellStyle name="20% - Accent5 2 3 3 2 2 4 3" xfId="35484" xr:uid="{00000000-0005-0000-0000-000035330000}"/>
    <cellStyle name="20% - Accent5 2 3 3 2 2 5" xfId="16068" xr:uid="{00000000-0005-0000-0000-000036330000}"/>
    <cellStyle name="20% - Accent5 2 3 3 2 2 5 2" xfId="41942" xr:uid="{00000000-0005-0000-0000-000037330000}"/>
    <cellStyle name="20% - Accent5 2 3 3 2 2 6" xfId="28994" xr:uid="{00000000-0005-0000-0000-000038330000}"/>
    <cellStyle name="20% - Accent5 2 3 3 2 3" xfId="3931" xr:uid="{00000000-0005-0000-0000-000039330000}"/>
    <cellStyle name="20% - Accent5 2 3 3 2 3 2" xfId="7185" xr:uid="{00000000-0005-0000-0000-00003A330000}"/>
    <cellStyle name="20% - Accent5 2 3 3 2 3 2 2" xfId="13644" xr:uid="{00000000-0005-0000-0000-00003B330000}"/>
    <cellStyle name="20% - Accent5 2 3 3 2 3 2 2 2" xfId="26561" xr:uid="{00000000-0005-0000-0000-00003C330000}"/>
    <cellStyle name="20% - Accent5 2 3 3 2 3 2 2 2 2" xfId="52435" xr:uid="{00000000-0005-0000-0000-00003D330000}"/>
    <cellStyle name="20% - Accent5 2 3 3 2 3 2 2 3" xfId="39519" xr:uid="{00000000-0005-0000-0000-00003E330000}"/>
    <cellStyle name="20% - Accent5 2 3 3 2 3 2 3" xfId="20103" xr:uid="{00000000-0005-0000-0000-00003F330000}"/>
    <cellStyle name="20% - Accent5 2 3 3 2 3 2 3 2" xfId="45977" xr:uid="{00000000-0005-0000-0000-000040330000}"/>
    <cellStyle name="20% - Accent5 2 3 3 2 3 2 4" xfId="33061" xr:uid="{00000000-0005-0000-0000-000041330000}"/>
    <cellStyle name="20% - Accent5 2 3 3 2 3 3" xfId="10416" xr:uid="{00000000-0005-0000-0000-000042330000}"/>
    <cellStyle name="20% - Accent5 2 3 3 2 3 3 2" xfId="23333" xr:uid="{00000000-0005-0000-0000-000043330000}"/>
    <cellStyle name="20% - Accent5 2 3 3 2 3 3 2 2" xfId="49207" xr:uid="{00000000-0005-0000-0000-000044330000}"/>
    <cellStyle name="20% - Accent5 2 3 3 2 3 3 3" xfId="36291" xr:uid="{00000000-0005-0000-0000-000045330000}"/>
    <cellStyle name="20% - Accent5 2 3 3 2 3 4" xfId="16875" xr:uid="{00000000-0005-0000-0000-000046330000}"/>
    <cellStyle name="20% - Accent5 2 3 3 2 3 4 2" xfId="42749" xr:uid="{00000000-0005-0000-0000-000047330000}"/>
    <cellStyle name="20% - Accent5 2 3 3 2 3 5" xfId="29801" xr:uid="{00000000-0005-0000-0000-000048330000}"/>
    <cellStyle name="20% - Accent5 2 3 3 2 4" xfId="5571" xr:uid="{00000000-0005-0000-0000-000049330000}"/>
    <cellStyle name="20% - Accent5 2 3 3 2 4 2" xfId="12030" xr:uid="{00000000-0005-0000-0000-00004A330000}"/>
    <cellStyle name="20% - Accent5 2 3 3 2 4 2 2" xfId="24947" xr:uid="{00000000-0005-0000-0000-00004B330000}"/>
    <cellStyle name="20% - Accent5 2 3 3 2 4 2 2 2" xfId="50821" xr:uid="{00000000-0005-0000-0000-00004C330000}"/>
    <cellStyle name="20% - Accent5 2 3 3 2 4 2 3" xfId="37905" xr:uid="{00000000-0005-0000-0000-00004D330000}"/>
    <cellStyle name="20% - Accent5 2 3 3 2 4 3" xfId="18489" xr:uid="{00000000-0005-0000-0000-00004E330000}"/>
    <cellStyle name="20% - Accent5 2 3 3 2 4 3 2" xfId="44363" xr:uid="{00000000-0005-0000-0000-00004F330000}"/>
    <cellStyle name="20% - Accent5 2 3 3 2 4 4" xfId="31447" xr:uid="{00000000-0005-0000-0000-000050330000}"/>
    <cellStyle name="20% - Accent5 2 3 3 2 5" xfId="8802" xr:uid="{00000000-0005-0000-0000-000051330000}"/>
    <cellStyle name="20% - Accent5 2 3 3 2 5 2" xfId="21719" xr:uid="{00000000-0005-0000-0000-000052330000}"/>
    <cellStyle name="20% - Accent5 2 3 3 2 5 2 2" xfId="47593" xr:uid="{00000000-0005-0000-0000-000053330000}"/>
    <cellStyle name="20% - Accent5 2 3 3 2 5 3" xfId="34677" xr:uid="{00000000-0005-0000-0000-000054330000}"/>
    <cellStyle name="20% - Accent5 2 3 3 2 6" xfId="15261" xr:uid="{00000000-0005-0000-0000-000055330000}"/>
    <cellStyle name="20% - Accent5 2 3 3 2 6 2" xfId="41135" xr:uid="{00000000-0005-0000-0000-000056330000}"/>
    <cellStyle name="20% - Accent5 2 3 3 2 7" xfId="28187" xr:uid="{00000000-0005-0000-0000-000057330000}"/>
    <cellStyle name="20% - Accent5 2 3 3 2 8" xfId="54049" xr:uid="{00000000-0005-0000-0000-000058330000}"/>
    <cellStyle name="20% - Accent5 2 3 3 3" xfId="2701" xr:uid="{00000000-0005-0000-0000-000059330000}"/>
    <cellStyle name="20% - Accent5 2 3 3 3 2" xfId="4358" xr:uid="{00000000-0005-0000-0000-00005A330000}"/>
    <cellStyle name="20% - Accent5 2 3 3 3 2 2" xfId="7589" xr:uid="{00000000-0005-0000-0000-00005B330000}"/>
    <cellStyle name="20% - Accent5 2 3 3 3 2 2 2" xfId="14048" xr:uid="{00000000-0005-0000-0000-00005C330000}"/>
    <cellStyle name="20% - Accent5 2 3 3 3 2 2 2 2" xfId="26965" xr:uid="{00000000-0005-0000-0000-00005D330000}"/>
    <cellStyle name="20% - Accent5 2 3 3 3 2 2 2 2 2" xfId="52839" xr:uid="{00000000-0005-0000-0000-00005E330000}"/>
    <cellStyle name="20% - Accent5 2 3 3 3 2 2 2 3" xfId="39923" xr:uid="{00000000-0005-0000-0000-00005F330000}"/>
    <cellStyle name="20% - Accent5 2 3 3 3 2 2 3" xfId="20507" xr:uid="{00000000-0005-0000-0000-000060330000}"/>
    <cellStyle name="20% - Accent5 2 3 3 3 2 2 3 2" xfId="46381" xr:uid="{00000000-0005-0000-0000-000061330000}"/>
    <cellStyle name="20% - Accent5 2 3 3 3 2 2 4" xfId="33465" xr:uid="{00000000-0005-0000-0000-000062330000}"/>
    <cellStyle name="20% - Accent5 2 3 3 3 2 3" xfId="10820" xr:uid="{00000000-0005-0000-0000-000063330000}"/>
    <cellStyle name="20% - Accent5 2 3 3 3 2 3 2" xfId="23737" xr:uid="{00000000-0005-0000-0000-000064330000}"/>
    <cellStyle name="20% - Accent5 2 3 3 3 2 3 2 2" xfId="49611" xr:uid="{00000000-0005-0000-0000-000065330000}"/>
    <cellStyle name="20% - Accent5 2 3 3 3 2 3 3" xfId="36695" xr:uid="{00000000-0005-0000-0000-000066330000}"/>
    <cellStyle name="20% - Accent5 2 3 3 3 2 4" xfId="17279" xr:uid="{00000000-0005-0000-0000-000067330000}"/>
    <cellStyle name="20% - Accent5 2 3 3 3 2 4 2" xfId="43153" xr:uid="{00000000-0005-0000-0000-000068330000}"/>
    <cellStyle name="20% - Accent5 2 3 3 3 2 5" xfId="30205" xr:uid="{00000000-0005-0000-0000-000069330000}"/>
    <cellStyle name="20% - Accent5 2 3 3 3 3" xfId="5975" xr:uid="{00000000-0005-0000-0000-00006A330000}"/>
    <cellStyle name="20% - Accent5 2 3 3 3 3 2" xfId="12434" xr:uid="{00000000-0005-0000-0000-00006B330000}"/>
    <cellStyle name="20% - Accent5 2 3 3 3 3 2 2" xfId="25351" xr:uid="{00000000-0005-0000-0000-00006C330000}"/>
    <cellStyle name="20% - Accent5 2 3 3 3 3 2 2 2" xfId="51225" xr:uid="{00000000-0005-0000-0000-00006D330000}"/>
    <cellStyle name="20% - Accent5 2 3 3 3 3 2 3" xfId="38309" xr:uid="{00000000-0005-0000-0000-00006E330000}"/>
    <cellStyle name="20% - Accent5 2 3 3 3 3 3" xfId="18893" xr:uid="{00000000-0005-0000-0000-00006F330000}"/>
    <cellStyle name="20% - Accent5 2 3 3 3 3 3 2" xfId="44767" xr:uid="{00000000-0005-0000-0000-000070330000}"/>
    <cellStyle name="20% - Accent5 2 3 3 3 3 4" xfId="31851" xr:uid="{00000000-0005-0000-0000-000071330000}"/>
    <cellStyle name="20% - Accent5 2 3 3 3 4" xfId="9206" xr:uid="{00000000-0005-0000-0000-000072330000}"/>
    <cellStyle name="20% - Accent5 2 3 3 3 4 2" xfId="22123" xr:uid="{00000000-0005-0000-0000-000073330000}"/>
    <cellStyle name="20% - Accent5 2 3 3 3 4 2 2" xfId="47997" xr:uid="{00000000-0005-0000-0000-000074330000}"/>
    <cellStyle name="20% - Accent5 2 3 3 3 4 3" xfId="35081" xr:uid="{00000000-0005-0000-0000-000075330000}"/>
    <cellStyle name="20% - Accent5 2 3 3 3 5" xfId="15665" xr:uid="{00000000-0005-0000-0000-000076330000}"/>
    <cellStyle name="20% - Accent5 2 3 3 3 5 2" xfId="41539" xr:uid="{00000000-0005-0000-0000-000077330000}"/>
    <cellStyle name="20% - Accent5 2 3 3 3 6" xfId="28591" xr:uid="{00000000-0005-0000-0000-000078330000}"/>
    <cellStyle name="20% - Accent5 2 3 3 4" xfId="3528" xr:uid="{00000000-0005-0000-0000-000079330000}"/>
    <cellStyle name="20% - Accent5 2 3 3 4 2" xfId="6782" xr:uid="{00000000-0005-0000-0000-00007A330000}"/>
    <cellStyle name="20% - Accent5 2 3 3 4 2 2" xfId="13241" xr:uid="{00000000-0005-0000-0000-00007B330000}"/>
    <cellStyle name="20% - Accent5 2 3 3 4 2 2 2" xfId="26158" xr:uid="{00000000-0005-0000-0000-00007C330000}"/>
    <cellStyle name="20% - Accent5 2 3 3 4 2 2 2 2" xfId="52032" xr:uid="{00000000-0005-0000-0000-00007D330000}"/>
    <cellStyle name="20% - Accent5 2 3 3 4 2 2 3" xfId="39116" xr:uid="{00000000-0005-0000-0000-00007E330000}"/>
    <cellStyle name="20% - Accent5 2 3 3 4 2 3" xfId="19700" xr:uid="{00000000-0005-0000-0000-00007F330000}"/>
    <cellStyle name="20% - Accent5 2 3 3 4 2 3 2" xfId="45574" xr:uid="{00000000-0005-0000-0000-000080330000}"/>
    <cellStyle name="20% - Accent5 2 3 3 4 2 4" xfId="32658" xr:uid="{00000000-0005-0000-0000-000081330000}"/>
    <cellStyle name="20% - Accent5 2 3 3 4 3" xfId="10013" xr:uid="{00000000-0005-0000-0000-000082330000}"/>
    <cellStyle name="20% - Accent5 2 3 3 4 3 2" xfId="22930" xr:uid="{00000000-0005-0000-0000-000083330000}"/>
    <cellStyle name="20% - Accent5 2 3 3 4 3 2 2" xfId="48804" xr:uid="{00000000-0005-0000-0000-000084330000}"/>
    <cellStyle name="20% - Accent5 2 3 3 4 3 3" xfId="35888" xr:uid="{00000000-0005-0000-0000-000085330000}"/>
    <cellStyle name="20% - Accent5 2 3 3 4 4" xfId="16472" xr:uid="{00000000-0005-0000-0000-000086330000}"/>
    <cellStyle name="20% - Accent5 2 3 3 4 4 2" xfId="42346" xr:uid="{00000000-0005-0000-0000-000087330000}"/>
    <cellStyle name="20% - Accent5 2 3 3 4 5" xfId="29398" xr:uid="{00000000-0005-0000-0000-000088330000}"/>
    <cellStyle name="20% - Accent5 2 3 3 5" xfId="5168" xr:uid="{00000000-0005-0000-0000-000089330000}"/>
    <cellStyle name="20% - Accent5 2 3 3 5 2" xfId="11627" xr:uid="{00000000-0005-0000-0000-00008A330000}"/>
    <cellStyle name="20% - Accent5 2 3 3 5 2 2" xfId="24544" xr:uid="{00000000-0005-0000-0000-00008B330000}"/>
    <cellStyle name="20% - Accent5 2 3 3 5 2 2 2" xfId="50418" xr:uid="{00000000-0005-0000-0000-00008C330000}"/>
    <cellStyle name="20% - Accent5 2 3 3 5 2 3" xfId="37502" xr:uid="{00000000-0005-0000-0000-00008D330000}"/>
    <cellStyle name="20% - Accent5 2 3 3 5 3" xfId="18086" xr:uid="{00000000-0005-0000-0000-00008E330000}"/>
    <cellStyle name="20% - Accent5 2 3 3 5 3 2" xfId="43960" xr:uid="{00000000-0005-0000-0000-00008F330000}"/>
    <cellStyle name="20% - Accent5 2 3 3 5 4" xfId="31044" xr:uid="{00000000-0005-0000-0000-000090330000}"/>
    <cellStyle name="20% - Accent5 2 3 3 6" xfId="8398" xr:uid="{00000000-0005-0000-0000-000091330000}"/>
    <cellStyle name="20% - Accent5 2 3 3 6 2" xfId="21315" xr:uid="{00000000-0005-0000-0000-000092330000}"/>
    <cellStyle name="20% - Accent5 2 3 3 6 2 2" xfId="47189" xr:uid="{00000000-0005-0000-0000-000093330000}"/>
    <cellStyle name="20% - Accent5 2 3 3 6 3" xfId="34273" xr:uid="{00000000-0005-0000-0000-000094330000}"/>
    <cellStyle name="20% - Accent5 2 3 3 7" xfId="14857" xr:uid="{00000000-0005-0000-0000-000095330000}"/>
    <cellStyle name="20% - Accent5 2 3 3 7 2" xfId="40731" xr:uid="{00000000-0005-0000-0000-000096330000}"/>
    <cellStyle name="20% - Accent5 2 3 3 8" xfId="27783" xr:uid="{00000000-0005-0000-0000-000097330000}"/>
    <cellStyle name="20% - Accent5 2 3 3 9" xfId="53646" xr:uid="{00000000-0005-0000-0000-000098330000}"/>
    <cellStyle name="20% - Accent5 2 3 4" xfId="2092" xr:uid="{00000000-0005-0000-0000-000099330000}"/>
    <cellStyle name="20% - Accent5 2 3 4 2" xfId="2908" xr:uid="{00000000-0005-0000-0000-00009A330000}"/>
    <cellStyle name="20% - Accent5 2 3 4 2 2" xfId="4565" xr:uid="{00000000-0005-0000-0000-00009B330000}"/>
    <cellStyle name="20% - Accent5 2 3 4 2 2 2" xfId="7796" xr:uid="{00000000-0005-0000-0000-00009C330000}"/>
    <cellStyle name="20% - Accent5 2 3 4 2 2 2 2" xfId="14255" xr:uid="{00000000-0005-0000-0000-00009D330000}"/>
    <cellStyle name="20% - Accent5 2 3 4 2 2 2 2 2" xfId="27172" xr:uid="{00000000-0005-0000-0000-00009E330000}"/>
    <cellStyle name="20% - Accent5 2 3 4 2 2 2 2 2 2" xfId="53046" xr:uid="{00000000-0005-0000-0000-00009F330000}"/>
    <cellStyle name="20% - Accent5 2 3 4 2 2 2 2 3" xfId="40130" xr:uid="{00000000-0005-0000-0000-0000A0330000}"/>
    <cellStyle name="20% - Accent5 2 3 4 2 2 2 3" xfId="20714" xr:uid="{00000000-0005-0000-0000-0000A1330000}"/>
    <cellStyle name="20% - Accent5 2 3 4 2 2 2 3 2" xfId="46588" xr:uid="{00000000-0005-0000-0000-0000A2330000}"/>
    <cellStyle name="20% - Accent5 2 3 4 2 2 2 4" xfId="33672" xr:uid="{00000000-0005-0000-0000-0000A3330000}"/>
    <cellStyle name="20% - Accent5 2 3 4 2 2 3" xfId="11027" xr:uid="{00000000-0005-0000-0000-0000A4330000}"/>
    <cellStyle name="20% - Accent5 2 3 4 2 2 3 2" xfId="23944" xr:uid="{00000000-0005-0000-0000-0000A5330000}"/>
    <cellStyle name="20% - Accent5 2 3 4 2 2 3 2 2" xfId="49818" xr:uid="{00000000-0005-0000-0000-0000A6330000}"/>
    <cellStyle name="20% - Accent5 2 3 4 2 2 3 3" xfId="36902" xr:uid="{00000000-0005-0000-0000-0000A7330000}"/>
    <cellStyle name="20% - Accent5 2 3 4 2 2 4" xfId="17486" xr:uid="{00000000-0005-0000-0000-0000A8330000}"/>
    <cellStyle name="20% - Accent5 2 3 4 2 2 4 2" xfId="43360" xr:uid="{00000000-0005-0000-0000-0000A9330000}"/>
    <cellStyle name="20% - Accent5 2 3 4 2 2 5" xfId="30412" xr:uid="{00000000-0005-0000-0000-0000AA330000}"/>
    <cellStyle name="20% - Accent5 2 3 4 2 3" xfId="6182" xr:uid="{00000000-0005-0000-0000-0000AB330000}"/>
    <cellStyle name="20% - Accent5 2 3 4 2 3 2" xfId="12641" xr:uid="{00000000-0005-0000-0000-0000AC330000}"/>
    <cellStyle name="20% - Accent5 2 3 4 2 3 2 2" xfId="25558" xr:uid="{00000000-0005-0000-0000-0000AD330000}"/>
    <cellStyle name="20% - Accent5 2 3 4 2 3 2 2 2" xfId="51432" xr:uid="{00000000-0005-0000-0000-0000AE330000}"/>
    <cellStyle name="20% - Accent5 2 3 4 2 3 2 3" xfId="38516" xr:uid="{00000000-0005-0000-0000-0000AF330000}"/>
    <cellStyle name="20% - Accent5 2 3 4 2 3 3" xfId="19100" xr:uid="{00000000-0005-0000-0000-0000B0330000}"/>
    <cellStyle name="20% - Accent5 2 3 4 2 3 3 2" xfId="44974" xr:uid="{00000000-0005-0000-0000-0000B1330000}"/>
    <cellStyle name="20% - Accent5 2 3 4 2 3 4" xfId="32058" xr:uid="{00000000-0005-0000-0000-0000B2330000}"/>
    <cellStyle name="20% - Accent5 2 3 4 2 4" xfId="9413" xr:uid="{00000000-0005-0000-0000-0000B3330000}"/>
    <cellStyle name="20% - Accent5 2 3 4 2 4 2" xfId="22330" xr:uid="{00000000-0005-0000-0000-0000B4330000}"/>
    <cellStyle name="20% - Accent5 2 3 4 2 4 2 2" xfId="48204" xr:uid="{00000000-0005-0000-0000-0000B5330000}"/>
    <cellStyle name="20% - Accent5 2 3 4 2 4 3" xfId="35288" xr:uid="{00000000-0005-0000-0000-0000B6330000}"/>
    <cellStyle name="20% - Accent5 2 3 4 2 5" xfId="15872" xr:uid="{00000000-0005-0000-0000-0000B7330000}"/>
    <cellStyle name="20% - Accent5 2 3 4 2 5 2" xfId="41746" xr:uid="{00000000-0005-0000-0000-0000B8330000}"/>
    <cellStyle name="20% - Accent5 2 3 4 2 6" xfId="28798" xr:uid="{00000000-0005-0000-0000-0000B9330000}"/>
    <cellStyle name="20% - Accent5 2 3 4 3" xfId="3735" xr:uid="{00000000-0005-0000-0000-0000BA330000}"/>
    <cellStyle name="20% - Accent5 2 3 4 3 2" xfId="6989" xr:uid="{00000000-0005-0000-0000-0000BB330000}"/>
    <cellStyle name="20% - Accent5 2 3 4 3 2 2" xfId="13448" xr:uid="{00000000-0005-0000-0000-0000BC330000}"/>
    <cellStyle name="20% - Accent5 2 3 4 3 2 2 2" xfId="26365" xr:uid="{00000000-0005-0000-0000-0000BD330000}"/>
    <cellStyle name="20% - Accent5 2 3 4 3 2 2 2 2" xfId="52239" xr:uid="{00000000-0005-0000-0000-0000BE330000}"/>
    <cellStyle name="20% - Accent5 2 3 4 3 2 2 3" xfId="39323" xr:uid="{00000000-0005-0000-0000-0000BF330000}"/>
    <cellStyle name="20% - Accent5 2 3 4 3 2 3" xfId="19907" xr:uid="{00000000-0005-0000-0000-0000C0330000}"/>
    <cellStyle name="20% - Accent5 2 3 4 3 2 3 2" xfId="45781" xr:uid="{00000000-0005-0000-0000-0000C1330000}"/>
    <cellStyle name="20% - Accent5 2 3 4 3 2 4" xfId="32865" xr:uid="{00000000-0005-0000-0000-0000C2330000}"/>
    <cellStyle name="20% - Accent5 2 3 4 3 3" xfId="10220" xr:uid="{00000000-0005-0000-0000-0000C3330000}"/>
    <cellStyle name="20% - Accent5 2 3 4 3 3 2" xfId="23137" xr:uid="{00000000-0005-0000-0000-0000C4330000}"/>
    <cellStyle name="20% - Accent5 2 3 4 3 3 2 2" xfId="49011" xr:uid="{00000000-0005-0000-0000-0000C5330000}"/>
    <cellStyle name="20% - Accent5 2 3 4 3 3 3" xfId="36095" xr:uid="{00000000-0005-0000-0000-0000C6330000}"/>
    <cellStyle name="20% - Accent5 2 3 4 3 4" xfId="16679" xr:uid="{00000000-0005-0000-0000-0000C7330000}"/>
    <cellStyle name="20% - Accent5 2 3 4 3 4 2" xfId="42553" xr:uid="{00000000-0005-0000-0000-0000C8330000}"/>
    <cellStyle name="20% - Accent5 2 3 4 3 5" xfId="29605" xr:uid="{00000000-0005-0000-0000-0000C9330000}"/>
    <cellStyle name="20% - Accent5 2 3 4 4" xfId="5375" xr:uid="{00000000-0005-0000-0000-0000CA330000}"/>
    <cellStyle name="20% - Accent5 2 3 4 4 2" xfId="11834" xr:uid="{00000000-0005-0000-0000-0000CB330000}"/>
    <cellStyle name="20% - Accent5 2 3 4 4 2 2" xfId="24751" xr:uid="{00000000-0005-0000-0000-0000CC330000}"/>
    <cellStyle name="20% - Accent5 2 3 4 4 2 2 2" xfId="50625" xr:uid="{00000000-0005-0000-0000-0000CD330000}"/>
    <cellStyle name="20% - Accent5 2 3 4 4 2 3" xfId="37709" xr:uid="{00000000-0005-0000-0000-0000CE330000}"/>
    <cellStyle name="20% - Accent5 2 3 4 4 3" xfId="18293" xr:uid="{00000000-0005-0000-0000-0000CF330000}"/>
    <cellStyle name="20% - Accent5 2 3 4 4 3 2" xfId="44167" xr:uid="{00000000-0005-0000-0000-0000D0330000}"/>
    <cellStyle name="20% - Accent5 2 3 4 4 4" xfId="31251" xr:uid="{00000000-0005-0000-0000-0000D1330000}"/>
    <cellStyle name="20% - Accent5 2 3 4 5" xfId="8606" xr:uid="{00000000-0005-0000-0000-0000D2330000}"/>
    <cellStyle name="20% - Accent5 2 3 4 5 2" xfId="21523" xr:uid="{00000000-0005-0000-0000-0000D3330000}"/>
    <cellStyle name="20% - Accent5 2 3 4 5 2 2" xfId="47397" xr:uid="{00000000-0005-0000-0000-0000D4330000}"/>
    <cellStyle name="20% - Accent5 2 3 4 5 3" xfId="34481" xr:uid="{00000000-0005-0000-0000-0000D5330000}"/>
    <cellStyle name="20% - Accent5 2 3 4 6" xfId="15065" xr:uid="{00000000-0005-0000-0000-0000D6330000}"/>
    <cellStyle name="20% - Accent5 2 3 4 6 2" xfId="40939" xr:uid="{00000000-0005-0000-0000-0000D7330000}"/>
    <cellStyle name="20% - Accent5 2 3 4 7" xfId="27991" xr:uid="{00000000-0005-0000-0000-0000D8330000}"/>
    <cellStyle name="20% - Accent5 2 3 4 8" xfId="53853" xr:uid="{00000000-0005-0000-0000-0000D9330000}"/>
    <cellStyle name="20% - Accent5 2 3 5" xfId="2506" xr:uid="{00000000-0005-0000-0000-0000DA330000}"/>
    <cellStyle name="20% - Accent5 2 3 5 2" xfId="4163" xr:uid="{00000000-0005-0000-0000-0000DB330000}"/>
    <cellStyle name="20% - Accent5 2 3 5 2 2" xfId="7394" xr:uid="{00000000-0005-0000-0000-0000DC330000}"/>
    <cellStyle name="20% - Accent5 2 3 5 2 2 2" xfId="13853" xr:uid="{00000000-0005-0000-0000-0000DD330000}"/>
    <cellStyle name="20% - Accent5 2 3 5 2 2 2 2" xfId="26770" xr:uid="{00000000-0005-0000-0000-0000DE330000}"/>
    <cellStyle name="20% - Accent5 2 3 5 2 2 2 2 2" xfId="52644" xr:uid="{00000000-0005-0000-0000-0000DF330000}"/>
    <cellStyle name="20% - Accent5 2 3 5 2 2 2 3" xfId="39728" xr:uid="{00000000-0005-0000-0000-0000E0330000}"/>
    <cellStyle name="20% - Accent5 2 3 5 2 2 3" xfId="20312" xr:uid="{00000000-0005-0000-0000-0000E1330000}"/>
    <cellStyle name="20% - Accent5 2 3 5 2 2 3 2" xfId="46186" xr:uid="{00000000-0005-0000-0000-0000E2330000}"/>
    <cellStyle name="20% - Accent5 2 3 5 2 2 4" xfId="33270" xr:uid="{00000000-0005-0000-0000-0000E3330000}"/>
    <cellStyle name="20% - Accent5 2 3 5 2 3" xfId="10625" xr:uid="{00000000-0005-0000-0000-0000E4330000}"/>
    <cellStyle name="20% - Accent5 2 3 5 2 3 2" xfId="23542" xr:uid="{00000000-0005-0000-0000-0000E5330000}"/>
    <cellStyle name="20% - Accent5 2 3 5 2 3 2 2" xfId="49416" xr:uid="{00000000-0005-0000-0000-0000E6330000}"/>
    <cellStyle name="20% - Accent5 2 3 5 2 3 3" xfId="36500" xr:uid="{00000000-0005-0000-0000-0000E7330000}"/>
    <cellStyle name="20% - Accent5 2 3 5 2 4" xfId="17084" xr:uid="{00000000-0005-0000-0000-0000E8330000}"/>
    <cellStyle name="20% - Accent5 2 3 5 2 4 2" xfId="42958" xr:uid="{00000000-0005-0000-0000-0000E9330000}"/>
    <cellStyle name="20% - Accent5 2 3 5 2 5" xfId="30010" xr:uid="{00000000-0005-0000-0000-0000EA330000}"/>
    <cellStyle name="20% - Accent5 2 3 5 3" xfId="5780" xr:uid="{00000000-0005-0000-0000-0000EB330000}"/>
    <cellStyle name="20% - Accent5 2 3 5 3 2" xfId="12239" xr:uid="{00000000-0005-0000-0000-0000EC330000}"/>
    <cellStyle name="20% - Accent5 2 3 5 3 2 2" xfId="25156" xr:uid="{00000000-0005-0000-0000-0000ED330000}"/>
    <cellStyle name="20% - Accent5 2 3 5 3 2 2 2" xfId="51030" xr:uid="{00000000-0005-0000-0000-0000EE330000}"/>
    <cellStyle name="20% - Accent5 2 3 5 3 2 3" xfId="38114" xr:uid="{00000000-0005-0000-0000-0000EF330000}"/>
    <cellStyle name="20% - Accent5 2 3 5 3 3" xfId="18698" xr:uid="{00000000-0005-0000-0000-0000F0330000}"/>
    <cellStyle name="20% - Accent5 2 3 5 3 3 2" xfId="44572" xr:uid="{00000000-0005-0000-0000-0000F1330000}"/>
    <cellStyle name="20% - Accent5 2 3 5 3 4" xfId="31656" xr:uid="{00000000-0005-0000-0000-0000F2330000}"/>
    <cellStyle name="20% - Accent5 2 3 5 4" xfId="9011" xr:uid="{00000000-0005-0000-0000-0000F3330000}"/>
    <cellStyle name="20% - Accent5 2 3 5 4 2" xfId="21928" xr:uid="{00000000-0005-0000-0000-0000F4330000}"/>
    <cellStyle name="20% - Accent5 2 3 5 4 2 2" xfId="47802" xr:uid="{00000000-0005-0000-0000-0000F5330000}"/>
    <cellStyle name="20% - Accent5 2 3 5 4 3" xfId="34886" xr:uid="{00000000-0005-0000-0000-0000F6330000}"/>
    <cellStyle name="20% - Accent5 2 3 5 5" xfId="15470" xr:uid="{00000000-0005-0000-0000-0000F7330000}"/>
    <cellStyle name="20% - Accent5 2 3 5 5 2" xfId="41344" xr:uid="{00000000-0005-0000-0000-0000F8330000}"/>
    <cellStyle name="20% - Accent5 2 3 5 6" xfId="28396" xr:uid="{00000000-0005-0000-0000-0000F9330000}"/>
    <cellStyle name="20% - Accent5 2 3 6" xfId="3326" xr:uid="{00000000-0005-0000-0000-0000FA330000}"/>
    <cellStyle name="20% - Accent5 2 3 6 2" xfId="6587" xr:uid="{00000000-0005-0000-0000-0000FB330000}"/>
    <cellStyle name="20% - Accent5 2 3 6 2 2" xfId="13046" xr:uid="{00000000-0005-0000-0000-0000FC330000}"/>
    <cellStyle name="20% - Accent5 2 3 6 2 2 2" xfId="25963" xr:uid="{00000000-0005-0000-0000-0000FD330000}"/>
    <cellStyle name="20% - Accent5 2 3 6 2 2 2 2" xfId="51837" xr:uid="{00000000-0005-0000-0000-0000FE330000}"/>
    <cellStyle name="20% - Accent5 2 3 6 2 2 3" xfId="38921" xr:uid="{00000000-0005-0000-0000-0000FF330000}"/>
    <cellStyle name="20% - Accent5 2 3 6 2 3" xfId="19505" xr:uid="{00000000-0005-0000-0000-000000340000}"/>
    <cellStyle name="20% - Accent5 2 3 6 2 3 2" xfId="45379" xr:uid="{00000000-0005-0000-0000-000001340000}"/>
    <cellStyle name="20% - Accent5 2 3 6 2 4" xfId="32463" xr:uid="{00000000-0005-0000-0000-000002340000}"/>
    <cellStyle name="20% - Accent5 2 3 6 3" xfId="9818" xr:uid="{00000000-0005-0000-0000-000003340000}"/>
    <cellStyle name="20% - Accent5 2 3 6 3 2" xfId="22735" xr:uid="{00000000-0005-0000-0000-000004340000}"/>
    <cellStyle name="20% - Accent5 2 3 6 3 2 2" xfId="48609" xr:uid="{00000000-0005-0000-0000-000005340000}"/>
    <cellStyle name="20% - Accent5 2 3 6 3 3" xfId="35693" xr:uid="{00000000-0005-0000-0000-000006340000}"/>
    <cellStyle name="20% - Accent5 2 3 6 4" xfId="16277" xr:uid="{00000000-0005-0000-0000-000007340000}"/>
    <cellStyle name="20% - Accent5 2 3 6 4 2" xfId="42151" xr:uid="{00000000-0005-0000-0000-000008340000}"/>
    <cellStyle name="20% - Accent5 2 3 6 5" xfId="29203" xr:uid="{00000000-0005-0000-0000-000009340000}"/>
    <cellStyle name="20% - Accent5 2 3 7" xfId="4973" xr:uid="{00000000-0005-0000-0000-00000A340000}"/>
    <cellStyle name="20% - Accent5 2 3 7 2" xfId="11432" xr:uid="{00000000-0005-0000-0000-00000B340000}"/>
    <cellStyle name="20% - Accent5 2 3 7 2 2" xfId="24349" xr:uid="{00000000-0005-0000-0000-00000C340000}"/>
    <cellStyle name="20% - Accent5 2 3 7 2 2 2" xfId="50223" xr:uid="{00000000-0005-0000-0000-00000D340000}"/>
    <cellStyle name="20% - Accent5 2 3 7 2 3" xfId="37307" xr:uid="{00000000-0005-0000-0000-00000E340000}"/>
    <cellStyle name="20% - Accent5 2 3 7 3" xfId="17891" xr:uid="{00000000-0005-0000-0000-00000F340000}"/>
    <cellStyle name="20% - Accent5 2 3 7 3 2" xfId="43765" xr:uid="{00000000-0005-0000-0000-000010340000}"/>
    <cellStyle name="20% - Accent5 2 3 7 4" xfId="30849" xr:uid="{00000000-0005-0000-0000-000011340000}"/>
    <cellStyle name="20% - Accent5 2 3 8" xfId="8204" xr:uid="{00000000-0005-0000-0000-000012340000}"/>
    <cellStyle name="20% - Accent5 2 3 8 2" xfId="21121" xr:uid="{00000000-0005-0000-0000-000013340000}"/>
    <cellStyle name="20% - Accent5 2 3 8 2 2" xfId="46995" xr:uid="{00000000-0005-0000-0000-000014340000}"/>
    <cellStyle name="20% - Accent5 2 3 8 3" xfId="34079" xr:uid="{00000000-0005-0000-0000-000015340000}"/>
    <cellStyle name="20% - Accent5 2 3 9" xfId="14663" xr:uid="{00000000-0005-0000-0000-000016340000}"/>
    <cellStyle name="20% - Accent5 2 3 9 2" xfId="40537" xr:uid="{00000000-0005-0000-0000-000017340000}"/>
    <cellStyle name="20% - Accent5 2 4" xfId="1774" xr:uid="{00000000-0005-0000-0000-000018340000}"/>
    <cellStyle name="20% - Accent5 2 4 2" xfId="2267" xr:uid="{00000000-0005-0000-0000-000019340000}"/>
    <cellStyle name="20% - Accent5 2 4 2 2" xfId="3081" xr:uid="{00000000-0005-0000-0000-00001A340000}"/>
    <cellStyle name="20% - Accent5 2 4 2 2 2" xfId="4738" xr:uid="{00000000-0005-0000-0000-00001B340000}"/>
    <cellStyle name="20% - Accent5 2 4 2 2 2 2" xfId="7969" xr:uid="{00000000-0005-0000-0000-00001C340000}"/>
    <cellStyle name="20% - Accent5 2 4 2 2 2 2 2" xfId="14428" xr:uid="{00000000-0005-0000-0000-00001D340000}"/>
    <cellStyle name="20% - Accent5 2 4 2 2 2 2 2 2" xfId="27345" xr:uid="{00000000-0005-0000-0000-00001E340000}"/>
    <cellStyle name="20% - Accent5 2 4 2 2 2 2 2 2 2" xfId="53219" xr:uid="{00000000-0005-0000-0000-00001F340000}"/>
    <cellStyle name="20% - Accent5 2 4 2 2 2 2 2 3" xfId="40303" xr:uid="{00000000-0005-0000-0000-000020340000}"/>
    <cellStyle name="20% - Accent5 2 4 2 2 2 2 3" xfId="20887" xr:uid="{00000000-0005-0000-0000-000021340000}"/>
    <cellStyle name="20% - Accent5 2 4 2 2 2 2 3 2" xfId="46761" xr:uid="{00000000-0005-0000-0000-000022340000}"/>
    <cellStyle name="20% - Accent5 2 4 2 2 2 2 4" xfId="33845" xr:uid="{00000000-0005-0000-0000-000023340000}"/>
    <cellStyle name="20% - Accent5 2 4 2 2 2 3" xfId="11200" xr:uid="{00000000-0005-0000-0000-000024340000}"/>
    <cellStyle name="20% - Accent5 2 4 2 2 2 3 2" xfId="24117" xr:uid="{00000000-0005-0000-0000-000025340000}"/>
    <cellStyle name="20% - Accent5 2 4 2 2 2 3 2 2" xfId="49991" xr:uid="{00000000-0005-0000-0000-000026340000}"/>
    <cellStyle name="20% - Accent5 2 4 2 2 2 3 3" xfId="37075" xr:uid="{00000000-0005-0000-0000-000027340000}"/>
    <cellStyle name="20% - Accent5 2 4 2 2 2 4" xfId="17659" xr:uid="{00000000-0005-0000-0000-000028340000}"/>
    <cellStyle name="20% - Accent5 2 4 2 2 2 4 2" xfId="43533" xr:uid="{00000000-0005-0000-0000-000029340000}"/>
    <cellStyle name="20% - Accent5 2 4 2 2 2 5" xfId="30585" xr:uid="{00000000-0005-0000-0000-00002A340000}"/>
    <cellStyle name="20% - Accent5 2 4 2 2 3" xfId="6355" xr:uid="{00000000-0005-0000-0000-00002B340000}"/>
    <cellStyle name="20% - Accent5 2 4 2 2 3 2" xfId="12814" xr:uid="{00000000-0005-0000-0000-00002C340000}"/>
    <cellStyle name="20% - Accent5 2 4 2 2 3 2 2" xfId="25731" xr:uid="{00000000-0005-0000-0000-00002D340000}"/>
    <cellStyle name="20% - Accent5 2 4 2 2 3 2 2 2" xfId="51605" xr:uid="{00000000-0005-0000-0000-00002E340000}"/>
    <cellStyle name="20% - Accent5 2 4 2 2 3 2 3" xfId="38689" xr:uid="{00000000-0005-0000-0000-00002F340000}"/>
    <cellStyle name="20% - Accent5 2 4 2 2 3 3" xfId="19273" xr:uid="{00000000-0005-0000-0000-000030340000}"/>
    <cellStyle name="20% - Accent5 2 4 2 2 3 3 2" xfId="45147" xr:uid="{00000000-0005-0000-0000-000031340000}"/>
    <cellStyle name="20% - Accent5 2 4 2 2 3 4" xfId="32231" xr:uid="{00000000-0005-0000-0000-000032340000}"/>
    <cellStyle name="20% - Accent5 2 4 2 2 4" xfId="9586" xr:uid="{00000000-0005-0000-0000-000033340000}"/>
    <cellStyle name="20% - Accent5 2 4 2 2 4 2" xfId="22503" xr:uid="{00000000-0005-0000-0000-000034340000}"/>
    <cellStyle name="20% - Accent5 2 4 2 2 4 2 2" xfId="48377" xr:uid="{00000000-0005-0000-0000-000035340000}"/>
    <cellStyle name="20% - Accent5 2 4 2 2 4 3" xfId="35461" xr:uid="{00000000-0005-0000-0000-000036340000}"/>
    <cellStyle name="20% - Accent5 2 4 2 2 5" xfId="16045" xr:uid="{00000000-0005-0000-0000-000037340000}"/>
    <cellStyle name="20% - Accent5 2 4 2 2 5 2" xfId="41919" xr:uid="{00000000-0005-0000-0000-000038340000}"/>
    <cellStyle name="20% - Accent5 2 4 2 2 6" xfId="28971" xr:uid="{00000000-0005-0000-0000-000039340000}"/>
    <cellStyle name="20% - Accent5 2 4 2 3" xfId="3908" xr:uid="{00000000-0005-0000-0000-00003A340000}"/>
    <cellStyle name="20% - Accent5 2 4 2 3 2" xfId="7162" xr:uid="{00000000-0005-0000-0000-00003B340000}"/>
    <cellStyle name="20% - Accent5 2 4 2 3 2 2" xfId="13621" xr:uid="{00000000-0005-0000-0000-00003C340000}"/>
    <cellStyle name="20% - Accent5 2 4 2 3 2 2 2" xfId="26538" xr:uid="{00000000-0005-0000-0000-00003D340000}"/>
    <cellStyle name="20% - Accent5 2 4 2 3 2 2 2 2" xfId="52412" xr:uid="{00000000-0005-0000-0000-00003E340000}"/>
    <cellStyle name="20% - Accent5 2 4 2 3 2 2 3" xfId="39496" xr:uid="{00000000-0005-0000-0000-00003F340000}"/>
    <cellStyle name="20% - Accent5 2 4 2 3 2 3" xfId="20080" xr:uid="{00000000-0005-0000-0000-000040340000}"/>
    <cellStyle name="20% - Accent5 2 4 2 3 2 3 2" xfId="45954" xr:uid="{00000000-0005-0000-0000-000041340000}"/>
    <cellStyle name="20% - Accent5 2 4 2 3 2 4" xfId="33038" xr:uid="{00000000-0005-0000-0000-000042340000}"/>
    <cellStyle name="20% - Accent5 2 4 2 3 3" xfId="10393" xr:uid="{00000000-0005-0000-0000-000043340000}"/>
    <cellStyle name="20% - Accent5 2 4 2 3 3 2" xfId="23310" xr:uid="{00000000-0005-0000-0000-000044340000}"/>
    <cellStyle name="20% - Accent5 2 4 2 3 3 2 2" xfId="49184" xr:uid="{00000000-0005-0000-0000-000045340000}"/>
    <cellStyle name="20% - Accent5 2 4 2 3 3 3" xfId="36268" xr:uid="{00000000-0005-0000-0000-000046340000}"/>
    <cellStyle name="20% - Accent5 2 4 2 3 4" xfId="16852" xr:uid="{00000000-0005-0000-0000-000047340000}"/>
    <cellStyle name="20% - Accent5 2 4 2 3 4 2" xfId="42726" xr:uid="{00000000-0005-0000-0000-000048340000}"/>
    <cellStyle name="20% - Accent5 2 4 2 3 5" xfId="29778" xr:uid="{00000000-0005-0000-0000-000049340000}"/>
    <cellStyle name="20% - Accent5 2 4 2 4" xfId="5548" xr:uid="{00000000-0005-0000-0000-00004A340000}"/>
    <cellStyle name="20% - Accent5 2 4 2 4 2" xfId="12007" xr:uid="{00000000-0005-0000-0000-00004B340000}"/>
    <cellStyle name="20% - Accent5 2 4 2 4 2 2" xfId="24924" xr:uid="{00000000-0005-0000-0000-00004C340000}"/>
    <cellStyle name="20% - Accent5 2 4 2 4 2 2 2" xfId="50798" xr:uid="{00000000-0005-0000-0000-00004D340000}"/>
    <cellStyle name="20% - Accent5 2 4 2 4 2 3" xfId="37882" xr:uid="{00000000-0005-0000-0000-00004E340000}"/>
    <cellStyle name="20% - Accent5 2 4 2 4 3" xfId="18466" xr:uid="{00000000-0005-0000-0000-00004F340000}"/>
    <cellStyle name="20% - Accent5 2 4 2 4 3 2" xfId="44340" xr:uid="{00000000-0005-0000-0000-000050340000}"/>
    <cellStyle name="20% - Accent5 2 4 2 4 4" xfId="31424" xr:uid="{00000000-0005-0000-0000-000051340000}"/>
    <cellStyle name="20% - Accent5 2 4 2 5" xfId="8779" xr:uid="{00000000-0005-0000-0000-000052340000}"/>
    <cellStyle name="20% - Accent5 2 4 2 5 2" xfId="21696" xr:uid="{00000000-0005-0000-0000-000053340000}"/>
    <cellStyle name="20% - Accent5 2 4 2 5 2 2" xfId="47570" xr:uid="{00000000-0005-0000-0000-000054340000}"/>
    <cellStyle name="20% - Accent5 2 4 2 5 3" xfId="34654" xr:uid="{00000000-0005-0000-0000-000055340000}"/>
    <cellStyle name="20% - Accent5 2 4 2 6" xfId="15238" xr:uid="{00000000-0005-0000-0000-000056340000}"/>
    <cellStyle name="20% - Accent5 2 4 2 6 2" xfId="41112" xr:uid="{00000000-0005-0000-0000-000057340000}"/>
    <cellStyle name="20% - Accent5 2 4 2 7" xfId="28164" xr:uid="{00000000-0005-0000-0000-000058340000}"/>
    <cellStyle name="20% - Accent5 2 4 2 8" xfId="54026" xr:uid="{00000000-0005-0000-0000-000059340000}"/>
    <cellStyle name="20% - Accent5 2 4 3" xfId="2678" xr:uid="{00000000-0005-0000-0000-00005A340000}"/>
    <cellStyle name="20% - Accent5 2 4 3 2" xfId="4335" xr:uid="{00000000-0005-0000-0000-00005B340000}"/>
    <cellStyle name="20% - Accent5 2 4 3 2 2" xfId="7566" xr:uid="{00000000-0005-0000-0000-00005C340000}"/>
    <cellStyle name="20% - Accent5 2 4 3 2 2 2" xfId="14025" xr:uid="{00000000-0005-0000-0000-00005D340000}"/>
    <cellStyle name="20% - Accent5 2 4 3 2 2 2 2" xfId="26942" xr:uid="{00000000-0005-0000-0000-00005E340000}"/>
    <cellStyle name="20% - Accent5 2 4 3 2 2 2 2 2" xfId="52816" xr:uid="{00000000-0005-0000-0000-00005F340000}"/>
    <cellStyle name="20% - Accent5 2 4 3 2 2 2 3" xfId="39900" xr:uid="{00000000-0005-0000-0000-000060340000}"/>
    <cellStyle name="20% - Accent5 2 4 3 2 2 3" xfId="20484" xr:uid="{00000000-0005-0000-0000-000061340000}"/>
    <cellStyle name="20% - Accent5 2 4 3 2 2 3 2" xfId="46358" xr:uid="{00000000-0005-0000-0000-000062340000}"/>
    <cellStyle name="20% - Accent5 2 4 3 2 2 4" xfId="33442" xr:uid="{00000000-0005-0000-0000-000063340000}"/>
    <cellStyle name="20% - Accent5 2 4 3 2 3" xfId="10797" xr:uid="{00000000-0005-0000-0000-000064340000}"/>
    <cellStyle name="20% - Accent5 2 4 3 2 3 2" xfId="23714" xr:uid="{00000000-0005-0000-0000-000065340000}"/>
    <cellStyle name="20% - Accent5 2 4 3 2 3 2 2" xfId="49588" xr:uid="{00000000-0005-0000-0000-000066340000}"/>
    <cellStyle name="20% - Accent5 2 4 3 2 3 3" xfId="36672" xr:uid="{00000000-0005-0000-0000-000067340000}"/>
    <cellStyle name="20% - Accent5 2 4 3 2 4" xfId="17256" xr:uid="{00000000-0005-0000-0000-000068340000}"/>
    <cellStyle name="20% - Accent5 2 4 3 2 4 2" xfId="43130" xr:uid="{00000000-0005-0000-0000-000069340000}"/>
    <cellStyle name="20% - Accent5 2 4 3 2 5" xfId="30182" xr:uid="{00000000-0005-0000-0000-00006A340000}"/>
    <cellStyle name="20% - Accent5 2 4 3 3" xfId="5952" xr:uid="{00000000-0005-0000-0000-00006B340000}"/>
    <cellStyle name="20% - Accent5 2 4 3 3 2" xfId="12411" xr:uid="{00000000-0005-0000-0000-00006C340000}"/>
    <cellStyle name="20% - Accent5 2 4 3 3 2 2" xfId="25328" xr:uid="{00000000-0005-0000-0000-00006D340000}"/>
    <cellStyle name="20% - Accent5 2 4 3 3 2 2 2" xfId="51202" xr:uid="{00000000-0005-0000-0000-00006E340000}"/>
    <cellStyle name="20% - Accent5 2 4 3 3 2 3" xfId="38286" xr:uid="{00000000-0005-0000-0000-00006F340000}"/>
    <cellStyle name="20% - Accent5 2 4 3 3 3" xfId="18870" xr:uid="{00000000-0005-0000-0000-000070340000}"/>
    <cellStyle name="20% - Accent5 2 4 3 3 3 2" xfId="44744" xr:uid="{00000000-0005-0000-0000-000071340000}"/>
    <cellStyle name="20% - Accent5 2 4 3 3 4" xfId="31828" xr:uid="{00000000-0005-0000-0000-000072340000}"/>
    <cellStyle name="20% - Accent5 2 4 3 4" xfId="9183" xr:uid="{00000000-0005-0000-0000-000073340000}"/>
    <cellStyle name="20% - Accent5 2 4 3 4 2" xfId="22100" xr:uid="{00000000-0005-0000-0000-000074340000}"/>
    <cellStyle name="20% - Accent5 2 4 3 4 2 2" xfId="47974" xr:uid="{00000000-0005-0000-0000-000075340000}"/>
    <cellStyle name="20% - Accent5 2 4 3 4 3" xfId="35058" xr:uid="{00000000-0005-0000-0000-000076340000}"/>
    <cellStyle name="20% - Accent5 2 4 3 5" xfId="15642" xr:uid="{00000000-0005-0000-0000-000077340000}"/>
    <cellStyle name="20% - Accent5 2 4 3 5 2" xfId="41516" xr:uid="{00000000-0005-0000-0000-000078340000}"/>
    <cellStyle name="20% - Accent5 2 4 3 6" xfId="28568" xr:uid="{00000000-0005-0000-0000-000079340000}"/>
    <cellStyle name="20% - Accent5 2 4 4" xfId="3505" xr:uid="{00000000-0005-0000-0000-00007A340000}"/>
    <cellStyle name="20% - Accent5 2 4 4 2" xfId="6759" xr:uid="{00000000-0005-0000-0000-00007B340000}"/>
    <cellStyle name="20% - Accent5 2 4 4 2 2" xfId="13218" xr:uid="{00000000-0005-0000-0000-00007C340000}"/>
    <cellStyle name="20% - Accent5 2 4 4 2 2 2" xfId="26135" xr:uid="{00000000-0005-0000-0000-00007D340000}"/>
    <cellStyle name="20% - Accent5 2 4 4 2 2 2 2" xfId="52009" xr:uid="{00000000-0005-0000-0000-00007E340000}"/>
    <cellStyle name="20% - Accent5 2 4 4 2 2 3" xfId="39093" xr:uid="{00000000-0005-0000-0000-00007F340000}"/>
    <cellStyle name="20% - Accent5 2 4 4 2 3" xfId="19677" xr:uid="{00000000-0005-0000-0000-000080340000}"/>
    <cellStyle name="20% - Accent5 2 4 4 2 3 2" xfId="45551" xr:uid="{00000000-0005-0000-0000-000081340000}"/>
    <cellStyle name="20% - Accent5 2 4 4 2 4" xfId="32635" xr:uid="{00000000-0005-0000-0000-000082340000}"/>
    <cellStyle name="20% - Accent5 2 4 4 3" xfId="9990" xr:uid="{00000000-0005-0000-0000-000083340000}"/>
    <cellStyle name="20% - Accent5 2 4 4 3 2" xfId="22907" xr:uid="{00000000-0005-0000-0000-000084340000}"/>
    <cellStyle name="20% - Accent5 2 4 4 3 2 2" xfId="48781" xr:uid="{00000000-0005-0000-0000-000085340000}"/>
    <cellStyle name="20% - Accent5 2 4 4 3 3" xfId="35865" xr:uid="{00000000-0005-0000-0000-000086340000}"/>
    <cellStyle name="20% - Accent5 2 4 4 4" xfId="16449" xr:uid="{00000000-0005-0000-0000-000087340000}"/>
    <cellStyle name="20% - Accent5 2 4 4 4 2" xfId="42323" xr:uid="{00000000-0005-0000-0000-000088340000}"/>
    <cellStyle name="20% - Accent5 2 4 4 5" xfId="29375" xr:uid="{00000000-0005-0000-0000-000089340000}"/>
    <cellStyle name="20% - Accent5 2 4 5" xfId="5145" xr:uid="{00000000-0005-0000-0000-00008A340000}"/>
    <cellStyle name="20% - Accent5 2 4 5 2" xfId="11604" xr:uid="{00000000-0005-0000-0000-00008B340000}"/>
    <cellStyle name="20% - Accent5 2 4 5 2 2" xfId="24521" xr:uid="{00000000-0005-0000-0000-00008C340000}"/>
    <cellStyle name="20% - Accent5 2 4 5 2 2 2" xfId="50395" xr:uid="{00000000-0005-0000-0000-00008D340000}"/>
    <cellStyle name="20% - Accent5 2 4 5 2 3" xfId="37479" xr:uid="{00000000-0005-0000-0000-00008E340000}"/>
    <cellStyle name="20% - Accent5 2 4 5 3" xfId="18063" xr:uid="{00000000-0005-0000-0000-00008F340000}"/>
    <cellStyle name="20% - Accent5 2 4 5 3 2" xfId="43937" xr:uid="{00000000-0005-0000-0000-000090340000}"/>
    <cellStyle name="20% - Accent5 2 4 5 4" xfId="31021" xr:uid="{00000000-0005-0000-0000-000091340000}"/>
    <cellStyle name="20% - Accent5 2 4 6" xfId="8375" xr:uid="{00000000-0005-0000-0000-000092340000}"/>
    <cellStyle name="20% - Accent5 2 4 6 2" xfId="21292" xr:uid="{00000000-0005-0000-0000-000093340000}"/>
    <cellStyle name="20% - Accent5 2 4 6 2 2" xfId="47166" xr:uid="{00000000-0005-0000-0000-000094340000}"/>
    <cellStyle name="20% - Accent5 2 4 6 3" xfId="34250" xr:uid="{00000000-0005-0000-0000-000095340000}"/>
    <cellStyle name="20% - Accent5 2 4 7" xfId="14834" xr:uid="{00000000-0005-0000-0000-000096340000}"/>
    <cellStyle name="20% - Accent5 2 4 7 2" xfId="40708" xr:uid="{00000000-0005-0000-0000-000097340000}"/>
    <cellStyle name="20% - Accent5 2 4 8" xfId="27760" xr:uid="{00000000-0005-0000-0000-000098340000}"/>
    <cellStyle name="20% - Accent5 2 4 9" xfId="53623" xr:uid="{00000000-0005-0000-0000-000099340000}"/>
    <cellStyle name="20% - Accent5 2 5" xfId="2072" xr:uid="{00000000-0005-0000-0000-00009A340000}"/>
    <cellStyle name="20% - Accent5 2 5 2" xfId="2890" xr:uid="{00000000-0005-0000-0000-00009B340000}"/>
    <cellStyle name="20% - Accent5 2 5 2 2" xfId="4547" xr:uid="{00000000-0005-0000-0000-00009C340000}"/>
    <cellStyle name="20% - Accent5 2 5 2 2 2" xfId="7778" xr:uid="{00000000-0005-0000-0000-00009D340000}"/>
    <cellStyle name="20% - Accent5 2 5 2 2 2 2" xfId="14237" xr:uid="{00000000-0005-0000-0000-00009E340000}"/>
    <cellStyle name="20% - Accent5 2 5 2 2 2 2 2" xfId="27154" xr:uid="{00000000-0005-0000-0000-00009F340000}"/>
    <cellStyle name="20% - Accent5 2 5 2 2 2 2 2 2" xfId="53028" xr:uid="{00000000-0005-0000-0000-0000A0340000}"/>
    <cellStyle name="20% - Accent5 2 5 2 2 2 2 3" xfId="40112" xr:uid="{00000000-0005-0000-0000-0000A1340000}"/>
    <cellStyle name="20% - Accent5 2 5 2 2 2 3" xfId="20696" xr:uid="{00000000-0005-0000-0000-0000A2340000}"/>
    <cellStyle name="20% - Accent5 2 5 2 2 2 3 2" xfId="46570" xr:uid="{00000000-0005-0000-0000-0000A3340000}"/>
    <cellStyle name="20% - Accent5 2 5 2 2 2 4" xfId="33654" xr:uid="{00000000-0005-0000-0000-0000A4340000}"/>
    <cellStyle name="20% - Accent5 2 5 2 2 3" xfId="11009" xr:uid="{00000000-0005-0000-0000-0000A5340000}"/>
    <cellStyle name="20% - Accent5 2 5 2 2 3 2" xfId="23926" xr:uid="{00000000-0005-0000-0000-0000A6340000}"/>
    <cellStyle name="20% - Accent5 2 5 2 2 3 2 2" xfId="49800" xr:uid="{00000000-0005-0000-0000-0000A7340000}"/>
    <cellStyle name="20% - Accent5 2 5 2 2 3 3" xfId="36884" xr:uid="{00000000-0005-0000-0000-0000A8340000}"/>
    <cellStyle name="20% - Accent5 2 5 2 2 4" xfId="17468" xr:uid="{00000000-0005-0000-0000-0000A9340000}"/>
    <cellStyle name="20% - Accent5 2 5 2 2 4 2" xfId="43342" xr:uid="{00000000-0005-0000-0000-0000AA340000}"/>
    <cellStyle name="20% - Accent5 2 5 2 2 5" xfId="30394" xr:uid="{00000000-0005-0000-0000-0000AB340000}"/>
    <cellStyle name="20% - Accent5 2 5 2 3" xfId="6164" xr:uid="{00000000-0005-0000-0000-0000AC340000}"/>
    <cellStyle name="20% - Accent5 2 5 2 3 2" xfId="12623" xr:uid="{00000000-0005-0000-0000-0000AD340000}"/>
    <cellStyle name="20% - Accent5 2 5 2 3 2 2" xfId="25540" xr:uid="{00000000-0005-0000-0000-0000AE340000}"/>
    <cellStyle name="20% - Accent5 2 5 2 3 2 2 2" xfId="51414" xr:uid="{00000000-0005-0000-0000-0000AF340000}"/>
    <cellStyle name="20% - Accent5 2 5 2 3 2 3" xfId="38498" xr:uid="{00000000-0005-0000-0000-0000B0340000}"/>
    <cellStyle name="20% - Accent5 2 5 2 3 3" xfId="19082" xr:uid="{00000000-0005-0000-0000-0000B1340000}"/>
    <cellStyle name="20% - Accent5 2 5 2 3 3 2" xfId="44956" xr:uid="{00000000-0005-0000-0000-0000B2340000}"/>
    <cellStyle name="20% - Accent5 2 5 2 3 4" xfId="32040" xr:uid="{00000000-0005-0000-0000-0000B3340000}"/>
    <cellStyle name="20% - Accent5 2 5 2 4" xfId="9395" xr:uid="{00000000-0005-0000-0000-0000B4340000}"/>
    <cellStyle name="20% - Accent5 2 5 2 4 2" xfId="22312" xr:uid="{00000000-0005-0000-0000-0000B5340000}"/>
    <cellStyle name="20% - Accent5 2 5 2 4 2 2" xfId="48186" xr:uid="{00000000-0005-0000-0000-0000B6340000}"/>
    <cellStyle name="20% - Accent5 2 5 2 4 3" xfId="35270" xr:uid="{00000000-0005-0000-0000-0000B7340000}"/>
    <cellStyle name="20% - Accent5 2 5 2 5" xfId="15854" xr:uid="{00000000-0005-0000-0000-0000B8340000}"/>
    <cellStyle name="20% - Accent5 2 5 2 5 2" xfId="41728" xr:uid="{00000000-0005-0000-0000-0000B9340000}"/>
    <cellStyle name="20% - Accent5 2 5 2 6" xfId="28780" xr:uid="{00000000-0005-0000-0000-0000BA340000}"/>
    <cellStyle name="20% - Accent5 2 5 3" xfId="3717" xr:uid="{00000000-0005-0000-0000-0000BB340000}"/>
    <cellStyle name="20% - Accent5 2 5 3 2" xfId="6971" xr:uid="{00000000-0005-0000-0000-0000BC340000}"/>
    <cellStyle name="20% - Accent5 2 5 3 2 2" xfId="13430" xr:uid="{00000000-0005-0000-0000-0000BD340000}"/>
    <cellStyle name="20% - Accent5 2 5 3 2 2 2" xfId="26347" xr:uid="{00000000-0005-0000-0000-0000BE340000}"/>
    <cellStyle name="20% - Accent5 2 5 3 2 2 2 2" xfId="52221" xr:uid="{00000000-0005-0000-0000-0000BF340000}"/>
    <cellStyle name="20% - Accent5 2 5 3 2 2 3" xfId="39305" xr:uid="{00000000-0005-0000-0000-0000C0340000}"/>
    <cellStyle name="20% - Accent5 2 5 3 2 3" xfId="19889" xr:uid="{00000000-0005-0000-0000-0000C1340000}"/>
    <cellStyle name="20% - Accent5 2 5 3 2 3 2" xfId="45763" xr:uid="{00000000-0005-0000-0000-0000C2340000}"/>
    <cellStyle name="20% - Accent5 2 5 3 2 4" xfId="32847" xr:uid="{00000000-0005-0000-0000-0000C3340000}"/>
    <cellStyle name="20% - Accent5 2 5 3 3" xfId="10202" xr:uid="{00000000-0005-0000-0000-0000C4340000}"/>
    <cellStyle name="20% - Accent5 2 5 3 3 2" xfId="23119" xr:uid="{00000000-0005-0000-0000-0000C5340000}"/>
    <cellStyle name="20% - Accent5 2 5 3 3 2 2" xfId="48993" xr:uid="{00000000-0005-0000-0000-0000C6340000}"/>
    <cellStyle name="20% - Accent5 2 5 3 3 3" xfId="36077" xr:uid="{00000000-0005-0000-0000-0000C7340000}"/>
    <cellStyle name="20% - Accent5 2 5 3 4" xfId="16661" xr:uid="{00000000-0005-0000-0000-0000C8340000}"/>
    <cellStyle name="20% - Accent5 2 5 3 4 2" xfId="42535" xr:uid="{00000000-0005-0000-0000-0000C9340000}"/>
    <cellStyle name="20% - Accent5 2 5 3 5" xfId="29587" xr:uid="{00000000-0005-0000-0000-0000CA340000}"/>
    <cellStyle name="20% - Accent5 2 5 4" xfId="5357" xr:uid="{00000000-0005-0000-0000-0000CB340000}"/>
    <cellStyle name="20% - Accent5 2 5 4 2" xfId="11816" xr:uid="{00000000-0005-0000-0000-0000CC340000}"/>
    <cellStyle name="20% - Accent5 2 5 4 2 2" xfId="24733" xr:uid="{00000000-0005-0000-0000-0000CD340000}"/>
    <cellStyle name="20% - Accent5 2 5 4 2 2 2" xfId="50607" xr:uid="{00000000-0005-0000-0000-0000CE340000}"/>
    <cellStyle name="20% - Accent5 2 5 4 2 3" xfId="37691" xr:uid="{00000000-0005-0000-0000-0000CF340000}"/>
    <cellStyle name="20% - Accent5 2 5 4 3" xfId="18275" xr:uid="{00000000-0005-0000-0000-0000D0340000}"/>
    <cellStyle name="20% - Accent5 2 5 4 3 2" xfId="44149" xr:uid="{00000000-0005-0000-0000-0000D1340000}"/>
    <cellStyle name="20% - Accent5 2 5 4 4" xfId="31233" xr:uid="{00000000-0005-0000-0000-0000D2340000}"/>
    <cellStyle name="20% - Accent5 2 5 5" xfId="8588" xr:uid="{00000000-0005-0000-0000-0000D3340000}"/>
    <cellStyle name="20% - Accent5 2 5 5 2" xfId="21505" xr:uid="{00000000-0005-0000-0000-0000D4340000}"/>
    <cellStyle name="20% - Accent5 2 5 5 2 2" xfId="47379" xr:uid="{00000000-0005-0000-0000-0000D5340000}"/>
    <cellStyle name="20% - Accent5 2 5 5 3" xfId="34463" xr:uid="{00000000-0005-0000-0000-0000D6340000}"/>
    <cellStyle name="20% - Accent5 2 5 6" xfId="15047" xr:uid="{00000000-0005-0000-0000-0000D7340000}"/>
    <cellStyle name="20% - Accent5 2 5 6 2" xfId="40921" xr:uid="{00000000-0005-0000-0000-0000D8340000}"/>
    <cellStyle name="20% - Accent5 2 5 7" xfId="27973" xr:uid="{00000000-0005-0000-0000-0000D9340000}"/>
    <cellStyle name="20% - Accent5 2 5 8" xfId="53835" xr:uid="{00000000-0005-0000-0000-0000DA340000}"/>
    <cellStyle name="20% - Accent5 2 6" xfId="2483" xr:uid="{00000000-0005-0000-0000-0000DB340000}"/>
    <cellStyle name="20% - Accent5 2 6 2" xfId="4140" xr:uid="{00000000-0005-0000-0000-0000DC340000}"/>
    <cellStyle name="20% - Accent5 2 6 2 2" xfId="7371" xr:uid="{00000000-0005-0000-0000-0000DD340000}"/>
    <cellStyle name="20% - Accent5 2 6 2 2 2" xfId="13830" xr:uid="{00000000-0005-0000-0000-0000DE340000}"/>
    <cellStyle name="20% - Accent5 2 6 2 2 2 2" xfId="26747" xr:uid="{00000000-0005-0000-0000-0000DF340000}"/>
    <cellStyle name="20% - Accent5 2 6 2 2 2 2 2" xfId="52621" xr:uid="{00000000-0005-0000-0000-0000E0340000}"/>
    <cellStyle name="20% - Accent5 2 6 2 2 2 3" xfId="39705" xr:uid="{00000000-0005-0000-0000-0000E1340000}"/>
    <cellStyle name="20% - Accent5 2 6 2 2 3" xfId="20289" xr:uid="{00000000-0005-0000-0000-0000E2340000}"/>
    <cellStyle name="20% - Accent5 2 6 2 2 3 2" xfId="46163" xr:uid="{00000000-0005-0000-0000-0000E3340000}"/>
    <cellStyle name="20% - Accent5 2 6 2 2 4" xfId="33247" xr:uid="{00000000-0005-0000-0000-0000E4340000}"/>
    <cellStyle name="20% - Accent5 2 6 2 3" xfId="10602" xr:uid="{00000000-0005-0000-0000-0000E5340000}"/>
    <cellStyle name="20% - Accent5 2 6 2 3 2" xfId="23519" xr:uid="{00000000-0005-0000-0000-0000E6340000}"/>
    <cellStyle name="20% - Accent5 2 6 2 3 2 2" xfId="49393" xr:uid="{00000000-0005-0000-0000-0000E7340000}"/>
    <cellStyle name="20% - Accent5 2 6 2 3 3" xfId="36477" xr:uid="{00000000-0005-0000-0000-0000E8340000}"/>
    <cellStyle name="20% - Accent5 2 6 2 4" xfId="17061" xr:uid="{00000000-0005-0000-0000-0000E9340000}"/>
    <cellStyle name="20% - Accent5 2 6 2 4 2" xfId="42935" xr:uid="{00000000-0005-0000-0000-0000EA340000}"/>
    <cellStyle name="20% - Accent5 2 6 2 5" xfId="29987" xr:uid="{00000000-0005-0000-0000-0000EB340000}"/>
    <cellStyle name="20% - Accent5 2 6 3" xfId="5757" xr:uid="{00000000-0005-0000-0000-0000EC340000}"/>
    <cellStyle name="20% - Accent5 2 6 3 2" xfId="12216" xr:uid="{00000000-0005-0000-0000-0000ED340000}"/>
    <cellStyle name="20% - Accent5 2 6 3 2 2" xfId="25133" xr:uid="{00000000-0005-0000-0000-0000EE340000}"/>
    <cellStyle name="20% - Accent5 2 6 3 2 2 2" xfId="51007" xr:uid="{00000000-0005-0000-0000-0000EF340000}"/>
    <cellStyle name="20% - Accent5 2 6 3 2 3" xfId="38091" xr:uid="{00000000-0005-0000-0000-0000F0340000}"/>
    <cellStyle name="20% - Accent5 2 6 3 3" xfId="18675" xr:uid="{00000000-0005-0000-0000-0000F1340000}"/>
    <cellStyle name="20% - Accent5 2 6 3 3 2" xfId="44549" xr:uid="{00000000-0005-0000-0000-0000F2340000}"/>
    <cellStyle name="20% - Accent5 2 6 3 4" xfId="31633" xr:uid="{00000000-0005-0000-0000-0000F3340000}"/>
    <cellStyle name="20% - Accent5 2 6 4" xfId="8988" xr:uid="{00000000-0005-0000-0000-0000F4340000}"/>
    <cellStyle name="20% - Accent5 2 6 4 2" xfId="21905" xr:uid="{00000000-0005-0000-0000-0000F5340000}"/>
    <cellStyle name="20% - Accent5 2 6 4 2 2" xfId="47779" xr:uid="{00000000-0005-0000-0000-0000F6340000}"/>
    <cellStyle name="20% - Accent5 2 6 4 3" xfId="34863" xr:uid="{00000000-0005-0000-0000-0000F7340000}"/>
    <cellStyle name="20% - Accent5 2 6 5" xfId="15447" xr:uid="{00000000-0005-0000-0000-0000F8340000}"/>
    <cellStyle name="20% - Accent5 2 6 5 2" xfId="41321" xr:uid="{00000000-0005-0000-0000-0000F9340000}"/>
    <cellStyle name="20% - Accent5 2 6 6" xfId="28373" xr:uid="{00000000-0005-0000-0000-0000FA340000}"/>
    <cellStyle name="20% - Accent5 2 7" xfId="3292" xr:uid="{00000000-0005-0000-0000-0000FB340000}"/>
    <cellStyle name="20% - Accent5 2 7 2" xfId="6564" xr:uid="{00000000-0005-0000-0000-0000FC340000}"/>
    <cellStyle name="20% - Accent5 2 7 2 2" xfId="13023" xr:uid="{00000000-0005-0000-0000-0000FD340000}"/>
    <cellStyle name="20% - Accent5 2 7 2 2 2" xfId="25940" xr:uid="{00000000-0005-0000-0000-0000FE340000}"/>
    <cellStyle name="20% - Accent5 2 7 2 2 2 2" xfId="51814" xr:uid="{00000000-0005-0000-0000-0000FF340000}"/>
    <cellStyle name="20% - Accent5 2 7 2 2 3" xfId="38898" xr:uid="{00000000-0005-0000-0000-000000350000}"/>
    <cellStyle name="20% - Accent5 2 7 2 3" xfId="19482" xr:uid="{00000000-0005-0000-0000-000001350000}"/>
    <cellStyle name="20% - Accent5 2 7 2 3 2" xfId="45356" xr:uid="{00000000-0005-0000-0000-000002350000}"/>
    <cellStyle name="20% - Accent5 2 7 2 4" xfId="32440" xr:uid="{00000000-0005-0000-0000-000003350000}"/>
    <cellStyle name="20% - Accent5 2 7 3" xfId="9795" xr:uid="{00000000-0005-0000-0000-000004350000}"/>
    <cellStyle name="20% - Accent5 2 7 3 2" xfId="22712" xr:uid="{00000000-0005-0000-0000-000005350000}"/>
    <cellStyle name="20% - Accent5 2 7 3 2 2" xfId="48586" xr:uid="{00000000-0005-0000-0000-000006350000}"/>
    <cellStyle name="20% - Accent5 2 7 3 3" xfId="35670" xr:uid="{00000000-0005-0000-0000-000007350000}"/>
    <cellStyle name="20% - Accent5 2 7 4" xfId="16254" xr:uid="{00000000-0005-0000-0000-000008350000}"/>
    <cellStyle name="20% - Accent5 2 7 4 2" xfId="42128" xr:uid="{00000000-0005-0000-0000-000009350000}"/>
    <cellStyle name="20% - Accent5 2 7 5" xfId="29180" xr:uid="{00000000-0005-0000-0000-00000A350000}"/>
    <cellStyle name="20% - Accent5 2 8" xfId="4950" xr:uid="{00000000-0005-0000-0000-00000B350000}"/>
    <cellStyle name="20% - Accent5 2 8 2" xfId="11409" xr:uid="{00000000-0005-0000-0000-00000C350000}"/>
    <cellStyle name="20% - Accent5 2 8 2 2" xfId="24326" xr:uid="{00000000-0005-0000-0000-00000D350000}"/>
    <cellStyle name="20% - Accent5 2 8 2 2 2" xfId="50200" xr:uid="{00000000-0005-0000-0000-00000E350000}"/>
    <cellStyle name="20% - Accent5 2 8 2 3" xfId="37284" xr:uid="{00000000-0005-0000-0000-00000F350000}"/>
    <cellStyle name="20% - Accent5 2 8 3" xfId="17868" xr:uid="{00000000-0005-0000-0000-000010350000}"/>
    <cellStyle name="20% - Accent5 2 8 3 2" xfId="43742" xr:uid="{00000000-0005-0000-0000-000011350000}"/>
    <cellStyle name="20% - Accent5 2 8 4" xfId="30826" xr:uid="{00000000-0005-0000-0000-000012350000}"/>
    <cellStyle name="20% - Accent5 2 9" xfId="8178" xr:uid="{00000000-0005-0000-0000-000013350000}"/>
    <cellStyle name="20% - Accent5 2 9 2" xfId="21096" xr:uid="{00000000-0005-0000-0000-000014350000}"/>
    <cellStyle name="20% - Accent5 2 9 2 2" xfId="46970" xr:uid="{00000000-0005-0000-0000-000015350000}"/>
    <cellStyle name="20% - Accent5 2 9 3" xfId="34054" xr:uid="{00000000-0005-0000-0000-000016350000}"/>
    <cellStyle name="20% - Accent5 20" xfId="30804" xr:uid="{00000000-0005-0000-0000-000017350000}"/>
    <cellStyle name="20% - Accent5 21" xfId="53420" xr:uid="{00000000-0005-0000-0000-000018350000}"/>
    <cellStyle name="20% - Accent5 22" xfId="78" xr:uid="{00000000-0005-0000-0000-000019350000}"/>
    <cellStyle name="20% - Accent5 3" xfId="262" xr:uid="{00000000-0005-0000-0000-00001A350000}"/>
    <cellStyle name="20% - Accent5 3 2" xfId="361" xr:uid="{00000000-0005-0000-0000-00001B350000}"/>
    <cellStyle name="20% - Accent5 3 2 10" xfId="53547" xr:uid="{00000000-0005-0000-0000-00001C350000}"/>
    <cellStyle name="20% - Accent5 3 2 11" xfId="1631" xr:uid="{00000000-0005-0000-0000-00001D350000}"/>
    <cellStyle name="20% - Accent5 3 2 2" xfId="472" xr:uid="{00000000-0005-0000-0000-00001E350000}"/>
    <cellStyle name="20% - Accent5 3 2 2 10" xfId="1956" xr:uid="{00000000-0005-0000-0000-00001F350000}"/>
    <cellStyle name="20% - Accent5 3 2 2 2" xfId="602" xr:uid="{00000000-0005-0000-0000-000020350000}"/>
    <cellStyle name="20% - Accent5 3 2 2 2 2" xfId="3200" xr:uid="{00000000-0005-0000-0000-000021350000}"/>
    <cellStyle name="20% - Accent5 3 2 2 2 2 2" xfId="4857" xr:uid="{00000000-0005-0000-0000-000022350000}"/>
    <cellStyle name="20% - Accent5 3 2 2 2 2 2 2" xfId="8088" xr:uid="{00000000-0005-0000-0000-000023350000}"/>
    <cellStyle name="20% - Accent5 3 2 2 2 2 2 2 2" xfId="14547" xr:uid="{00000000-0005-0000-0000-000024350000}"/>
    <cellStyle name="20% - Accent5 3 2 2 2 2 2 2 2 2" xfId="27464" xr:uid="{00000000-0005-0000-0000-000025350000}"/>
    <cellStyle name="20% - Accent5 3 2 2 2 2 2 2 2 2 2" xfId="53338" xr:uid="{00000000-0005-0000-0000-000026350000}"/>
    <cellStyle name="20% - Accent5 3 2 2 2 2 2 2 2 3" xfId="40422" xr:uid="{00000000-0005-0000-0000-000027350000}"/>
    <cellStyle name="20% - Accent5 3 2 2 2 2 2 2 3" xfId="21006" xr:uid="{00000000-0005-0000-0000-000028350000}"/>
    <cellStyle name="20% - Accent5 3 2 2 2 2 2 2 3 2" xfId="46880" xr:uid="{00000000-0005-0000-0000-000029350000}"/>
    <cellStyle name="20% - Accent5 3 2 2 2 2 2 2 4" xfId="33964" xr:uid="{00000000-0005-0000-0000-00002A350000}"/>
    <cellStyle name="20% - Accent5 3 2 2 2 2 2 3" xfId="11319" xr:uid="{00000000-0005-0000-0000-00002B350000}"/>
    <cellStyle name="20% - Accent5 3 2 2 2 2 2 3 2" xfId="24236" xr:uid="{00000000-0005-0000-0000-00002C350000}"/>
    <cellStyle name="20% - Accent5 3 2 2 2 2 2 3 2 2" xfId="50110" xr:uid="{00000000-0005-0000-0000-00002D350000}"/>
    <cellStyle name="20% - Accent5 3 2 2 2 2 2 3 3" xfId="37194" xr:uid="{00000000-0005-0000-0000-00002E350000}"/>
    <cellStyle name="20% - Accent5 3 2 2 2 2 2 4" xfId="17778" xr:uid="{00000000-0005-0000-0000-00002F350000}"/>
    <cellStyle name="20% - Accent5 3 2 2 2 2 2 4 2" xfId="43652" xr:uid="{00000000-0005-0000-0000-000030350000}"/>
    <cellStyle name="20% - Accent5 3 2 2 2 2 2 5" xfId="30704" xr:uid="{00000000-0005-0000-0000-000031350000}"/>
    <cellStyle name="20% - Accent5 3 2 2 2 2 3" xfId="6474" xr:uid="{00000000-0005-0000-0000-000032350000}"/>
    <cellStyle name="20% - Accent5 3 2 2 2 2 3 2" xfId="12933" xr:uid="{00000000-0005-0000-0000-000033350000}"/>
    <cellStyle name="20% - Accent5 3 2 2 2 2 3 2 2" xfId="25850" xr:uid="{00000000-0005-0000-0000-000034350000}"/>
    <cellStyle name="20% - Accent5 3 2 2 2 2 3 2 2 2" xfId="51724" xr:uid="{00000000-0005-0000-0000-000035350000}"/>
    <cellStyle name="20% - Accent5 3 2 2 2 2 3 2 3" xfId="38808" xr:uid="{00000000-0005-0000-0000-000036350000}"/>
    <cellStyle name="20% - Accent5 3 2 2 2 2 3 3" xfId="19392" xr:uid="{00000000-0005-0000-0000-000037350000}"/>
    <cellStyle name="20% - Accent5 3 2 2 2 2 3 3 2" xfId="45266" xr:uid="{00000000-0005-0000-0000-000038350000}"/>
    <cellStyle name="20% - Accent5 3 2 2 2 2 3 4" xfId="32350" xr:uid="{00000000-0005-0000-0000-000039350000}"/>
    <cellStyle name="20% - Accent5 3 2 2 2 2 4" xfId="9705" xr:uid="{00000000-0005-0000-0000-00003A350000}"/>
    <cellStyle name="20% - Accent5 3 2 2 2 2 4 2" xfId="22622" xr:uid="{00000000-0005-0000-0000-00003B350000}"/>
    <cellStyle name="20% - Accent5 3 2 2 2 2 4 2 2" xfId="48496" xr:uid="{00000000-0005-0000-0000-00003C350000}"/>
    <cellStyle name="20% - Accent5 3 2 2 2 2 4 3" xfId="35580" xr:uid="{00000000-0005-0000-0000-00003D350000}"/>
    <cellStyle name="20% - Accent5 3 2 2 2 2 5" xfId="16164" xr:uid="{00000000-0005-0000-0000-00003E350000}"/>
    <cellStyle name="20% - Accent5 3 2 2 2 2 5 2" xfId="42038" xr:uid="{00000000-0005-0000-0000-00003F350000}"/>
    <cellStyle name="20% - Accent5 3 2 2 2 2 6" xfId="29090" xr:uid="{00000000-0005-0000-0000-000040350000}"/>
    <cellStyle name="20% - Accent5 3 2 2 2 3" xfId="4027" xr:uid="{00000000-0005-0000-0000-000041350000}"/>
    <cellStyle name="20% - Accent5 3 2 2 2 3 2" xfId="7281" xr:uid="{00000000-0005-0000-0000-000042350000}"/>
    <cellStyle name="20% - Accent5 3 2 2 2 3 2 2" xfId="13740" xr:uid="{00000000-0005-0000-0000-000043350000}"/>
    <cellStyle name="20% - Accent5 3 2 2 2 3 2 2 2" xfId="26657" xr:uid="{00000000-0005-0000-0000-000044350000}"/>
    <cellStyle name="20% - Accent5 3 2 2 2 3 2 2 2 2" xfId="52531" xr:uid="{00000000-0005-0000-0000-000045350000}"/>
    <cellStyle name="20% - Accent5 3 2 2 2 3 2 2 3" xfId="39615" xr:uid="{00000000-0005-0000-0000-000046350000}"/>
    <cellStyle name="20% - Accent5 3 2 2 2 3 2 3" xfId="20199" xr:uid="{00000000-0005-0000-0000-000047350000}"/>
    <cellStyle name="20% - Accent5 3 2 2 2 3 2 3 2" xfId="46073" xr:uid="{00000000-0005-0000-0000-000048350000}"/>
    <cellStyle name="20% - Accent5 3 2 2 2 3 2 4" xfId="33157" xr:uid="{00000000-0005-0000-0000-000049350000}"/>
    <cellStyle name="20% - Accent5 3 2 2 2 3 3" xfId="10512" xr:uid="{00000000-0005-0000-0000-00004A350000}"/>
    <cellStyle name="20% - Accent5 3 2 2 2 3 3 2" xfId="23429" xr:uid="{00000000-0005-0000-0000-00004B350000}"/>
    <cellStyle name="20% - Accent5 3 2 2 2 3 3 2 2" xfId="49303" xr:uid="{00000000-0005-0000-0000-00004C350000}"/>
    <cellStyle name="20% - Accent5 3 2 2 2 3 3 3" xfId="36387" xr:uid="{00000000-0005-0000-0000-00004D350000}"/>
    <cellStyle name="20% - Accent5 3 2 2 2 3 4" xfId="16971" xr:uid="{00000000-0005-0000-0000-00004E350000}"/>
    <cellStyle name="20% - Accent5 3 2 2 2 3 4 2" xfId="42845" xr:uid="{00000000-0005-0000-0000-00004F350000}"/>
    <cellStyle name="20% - Accent5 3 2 2 2 3 5" xfId="29897" xr:uid="{00000000-0005-0000-0000-000050350000}"/>
    <cellStyle name="20% - Accent5 3 2 2 2 4" xfId="5667" xr:uid="{00000000-0005-0000-0000-000051350000}"/>
    <cellStyle name="20% - Accent5 3 2 2 2 4 2" xfId="12126" xr:uid="{00000000-0005-0000-0000-000052350000}"/>
    <cellStyle name="20% - Accent5 3 2 2 2 4 2 2" xfId="25043" xr:uid="{00000000-0005-0000-0000-000053350000}"/>
    <cellStyle name="20% - Accent5 3 2 2 2 4 2 2 2" xfId="50917" xr:uid="{00000000-0005-0000-0000-000054350000}"/>
    <cellStyle name="20% - Accent5 3 2 2 2 4 2 3" xfId="38001" xr:uid="{00000000-0005-0000-0000-000055350000}"/>
    <cellStyle name="20% - Accent5 3 2 2 2 4 3" xfId="18585" xr:uid="{00000000-0005-0000-0000-000056350000}"/>
    <cellStyle name="20% - Accent5 3 2 2 2 4 3 2" xfId="44459" xr:uid="{00000000-0005-0000-0000-000057350000}"/>
    <cellStyle name="20% - Accent5 3 2 2 2 4 4" xfId="31543" xr:uid="{00000000-0005-0000-0000-000058350000}"/>
    <cellStyle name="20% - Accent5 3 2 2 2 5" xfId="8898" xr:uid="{00000000-0005-0000-0000-000059350000}"/>
    <cellStyle name="20% - Accent5 3 2 2 2 5 2" xfId="21815" xr:uid="{00000000-0005-0000-0000-00005A350000}"/>
    <cellStyle name="20% - Accent5 3 2 2 2 5 2 2" xfId="47689" xr:uid="{00000000-0005-0000-0000-00005B350000}"/>
    <cellStyle name="20% - Accent5 3 2 2 2 5 3" xfId="34773" xr:uid="{00000000-0005-0000-0000-00005C350000}"/>
    <cellStyle name="20% - Accent5 3 2 2 2 6" xfId="15357" xr:uid="{00000000-0005-0000-0000-00005D350000}"/>
    <cellStyle name="20% - Accent5 3 2 2 2 6 2" xfId="41231" xr:uid="{00000000-0005-0000-0000-00005E350000}"/>
    <cellStyle name="20% - Accent5 3 2 2 2 7" xfId="28283" xr:uid="{00000000-0005-0000-0000-00005F350000}"/>
    <cellStyle name="20% - Accent5 3 2 2 2 8" xfId="54145" xr:uid="{00000000-0005-0000-0000-000060350000}"/>
    <cellStyle name="20% - Accent5 3 2 2 2 9" xfId="2387" xr:uid="{00000000-0005-0000-0000-000061350000}"/>
    <cellStyle name="20% - Accent5 3 2 2 3" xfId="601" xr:uid="{00000000-0005-0000-0000-000062350000}"/>
    <cellStyle name="20% - Accent5 3 2 2 3 2" xfId="4453" xr:uid="{00000000-0005-0000-0000-000063350000}"/>
    <cellStyle name="20% - Accent5 3 2 2 3 2 2" xfId="7684" xr:uid="{00000000-0005-0000-0000-000064350000}"/>
    <cellStyle name="20% - Accent5 3 2 2 3 2 2 2" xfId="14143" xr:uid="{00000000-0005-0000-0000-000065350000}"/>
    <cellStyle name="20% - Accent5 3 2 2 3 2 2 2 2" xfId="27060" xr:uid="{00000000-0005-0000-0000-000066350000}"/>
    <cellStyle name="20% - Accent5 3 2 2 3 2 2 2 2 2" xfId="52934" xr:uid="{00000000-0005-0000-0000-000067350000}"/>
    <cellStyle name="20% - Accent5 3 2 2 3 2 2 2 3" xfId="40018" xr:uid="{00000000-0005-0000-0000-000068350000}"/>
    <cellStyle name="20% - Accent5 3 2 2 3 2 2 3" xfId="20602" xr:uid="{00000000-0005-0000-0000-000069350000}"/>
    <cellStyle name="20% - Accent5 3 2 2 3 2 2 3 2" xfId="46476" xr:uid="{00000000-0005-0000-0000-00006A350000}"/>
    <cellStyle name="20% - Accent5 3 2 2 3 2 2 4" xfId="33560" xr:uid="{00000000-0005-0000-0000-00006B350000}"/>
    <cellStyle name="20% - Accent5 3 2 2 3 2 3" xfId="10915" xr:uid="{00000000-0005-0000-0000-00006C350000}"/>
    <cellStyle name="20% - Accent5 3 2 2 3 2 3 2" xfId="23832" xr:uid="{00000000-0005-0000-0000-00006D350000}"/>
    <cellStyle name="20% - Accent5 3 2 2 3 2 3 2 2" xfId="49706" xr:uid="{00000000-0005-0000-0000-00006E350000}"/>
    <cellStyle name="20% - Accent5 3 2 2 3 2 3 3" xfId="36790" xr:uid="{00000000-0005-0000-0000-00006F350000}"/>
    <cellStyle name="20% - Accent5 3 2 2 3 2 4" xfId="17374" xr:uid="{00000000-0005-0000-0000-000070350000}"/>
    <cellStyle name="20% - Accent5 3 2 2 3 2 4 2" xfId="43248" xr:uid="{00000000-0005-0000-0000-000071350000}"/>
    <cellStyle name="20% - Accent5 3 2 2 3 2 5" xfId="30300" xr:uid="{00000000-0005-0000-0000-000072350000}"/>
    <cellStyle name="20% - Accent5 3 2 2 3 3" xfId="6070" xr:uid="{00000000-0005-0000-0000-000073350000}"/>
    <cellStyle name="20% - Accent5 3 2 2 3 3 2" xfId="12529" xr:uid="{00000000-0005-0000-0000-000074350000}"/>
    <cellStyle name="20% - Accent5 3 2 2 3 3 2 2" xfId="25446" xr:uid="{00000000-0005-0000-0000-000075350000}"/>
    <cellStyle name="20% - Accent5 3 2 2 3 3 2 2 2" xfId="51320" xr:uid="{00000000-0005-0000-0000-000076350000}"/>
    <cellStyle name="20% - Accent5 3 2 2 3 3 2 3" xfId="38404" xr:uid="{00000000-0005-0000-0000-000077350000}"/>
    <cellStyle name="20% - Accent5 3 2 2 3 3 3" xfId="18988" xr:uid="{00000000-0005-0000-0000-000078350000}"/>
    <cellStyle name="20% - Accent5 3 2 2 3 3 3 2" xfId="44862" xr:uid="{00000000-0005-0000-0000-000079350000}"/>
    <cellStyle name="20% - Accent5 3 2 2 3 3 4" xfId="31946" xr:uid="{00000000-0005-0000-0000-00007A350000}"/>
    <cellStyle name="20% - Accent5 3 2 2 3 4" xfId="9301" xr:uid="{00000000-0005-0000-0000-00007B350000}"/>
    <cellStyle name="20% - Accent5 3 2 2 3 4 2" xfId="22218" xr:uid="{00000000-0005-0000-0000-00007C350000}"/>
    <cellStyle name="20% - Accent5 3 2 2 3 4 2 2" xfId="48092" xr:uid="{00000000-0005-0000-0000-00007D350000}"/>
    <cellStyle name="20% - Accent5 3 2 2 3 4 3" xfId="35176" xr:uid="{00000000-0005-0000-0000-00007E350000}"/>
    <cellStyle name="20% - Accent5 3 2 2 3 5" xfId="15760" xr:uid="{00000000-0005-0000-0000-00007F350000}"/>
    <cellStyle name="20% - Accent5 3 2 2 3 5 2" xfId="41634" xr:uid="{00000000-0005-0000-0000-000080350000}"/>
    <cellStyle name="20% - Accent5 3 2 2 3 6" xfId="28686" xr:uid="{00000000-0005-0000-0000-000081350000}"/>
    <cellStyle name="20% - Accent5 3 2 2 3 7" xfId="2796" xr:uid="{00000000-0005-0000-0000-000082350000}"/>
    <cellStyle name="20% - Accent5 3 2 2 4" xfId="3623" xr:uid="{00000000-0005-0000-0000-000083350000}"/>
    <cellStyle name="20% - Accent5 3 2 2 4 2" xfId="6877" xr:uid="{00000000-0005-0000-0000-000084350000}"/>
    <cellStyle name="20% - Accent5 3 2 2 4 2 2" xfId="13336" xr:uid="{00000000-0005-0000-0000-000085350000}"/>
    <cellStyle name="20% - Accent5 3 2 2 4 2 2 2" xfId="26253" xr:uid="{00000000-0005-0000-0000-000086350000}"/>
    <cellStyle name="20% - Accent5 3 2 2 4 2 2 2 2" xfId="52127" xr:uid="{00000000-0005-0000-0000-000087350000}"/>
    <cellStyle name="20% - Accent5 3 2 2 4 2 2 3" xfId="39211" xr:uid="{00000000-0005-0000-0000-000088350000}"/>
    <cellStyle name="20% - Accent5 3 2 2 4 2 3" xfId="19795" xr:uid="{00000000-0005-0000-0000-000089350000}"/>
    <cellStyle name="20% - Accent5 3 2 2 4 2 3 2" xfId="45669" xr:uid="{00000000-0005-0000-0000-00008A350000}"/>
    <cellStyle name="20% - Accent5 3 2 2 4 2 4" xfId="32753" xr:uid="{00000000-0005-0000-0000-00008B350000}"/>
    <cellStyle name="20% - Accent5 3 2 2 4 3" xfId="10108" xr:uid="{00000000-0005-0000-0000-00008C350000}"/>
    <cellStyle name="20% - Accent5 3 2 2 4 3 2" xfId="23025" xr:uid="{00000000-0005-0000-0000-00008D350000}"/>
    <cellStyle name="20% - Accent5 3 2 2 4 3 2 2" xfId="48899" xr:uid="{00000000-0005-0000-0000-00008E350000}"/>
    <cellStyle name="20% - Accent5 3 2 2 4 3 3" xfId="35983" xr:uid="{00000000-0005-0000-0000-00008F350000}"/>
    <cellStyle name="20% - Accent5 3 2 2 4 4" xfId="16567" xr:uid="{00000000-0005-0000-0000-000090350000}"/>
    <cellStyle name="20% - Accent5 3 2 2 4 4 2" xfId="42441" xr:uid="{00000000-0005-0000-0000-000091350000}"/>
    <cellStyle name="20% - Accent5 3 2 2 4 5" xfId="29493" xr:uid="{00000000-0005-0000-0000-000092350000}"/>
    <cellStyle name="20% - Accent5 3 2 2 5" xfId="5263" xr:uid="{00000000-0005-0000-0000-000093350000}"/>
    <cellStyle name="20% - Accent5 3 2 2 5 2" xfId="11722" xr:uid="{00000000-0005-0000-0000-000094350000}"/>
    <cellStyle name="20% - Accent5 3 2 2 5 2 2" xfId="24639" xr:uid="{00000000-0005-0000-0000-000095350000}"/>
    <cellStyle name="20% - Accent5 3 2 2 5 2 2 2" xfId="50513" xr:uid="{00000000-0005-0000-0000-000096350000}"/>
    <cellStyle name="20% - Accent5 3 2 2 5 2 3" xfId="37597" xr:uid="{00000000-0005-0000-0000-000097350000}"/>
    <cellStyle name="20% - Accent5 3 2 2 5 3" xfId="18181" xr:uid="{00000000-0005-0000-0000-000098350000}"/>
    <cellStyle name="20% - Accent5 3 2 2 5 3 2" xfId="44055" xr:uid="{00000000-0005-0000-0000-000099350000}"/>
    <cellStyle name="20% - Accent5 3 2 2 5 4" xfId="31139" xr:uid="{00000000-0005-0000-0000-00009A350000}"/>
    <cellStyle name="20% - Accent5 3 2 2 6" xfId="8494" xr:uid="{00000000-0005-0000-0000-00009B350000}"/>
    <cellStyle name="20% - Accent5 3 2 2 6 2" xfId="21411" xr:uid="{00000000-0005-0000-0000-00009C350000}"/>
    <cellStyle name="20% - Accent5 3 2 2 6 2 2" xfId="47285" xr:uid="{00000000-0005-0000-0000-00009D350000}"/>
    <cellStyle name="20% - Accent5 3 2 2 6 3" xfId="34369" xr:uid="{00000000-0005-0000-0000-00009E350000}"/>
    <cellStyle name="20% - Accent5 3 2 2 7" xfId="14953" xr:uid="{00000000-0005-0000-0000-00009F350000}"/>
    <cellStyle name="20% - Accent5 3 2 2 7 2" xfId="40827" xr:uid="{00000000-0005-0000-0000-0000A0350000}"/>
    <cellStyle name="20% - Accent5 3 2 2 8" xfId="27878" xr:uid="{00000000-0005-0000-0000-0000A1350000}"/>
    <cellStyle name="20% - Accent5 3 2 2 9" xfId="53741" xr:uid="{00000000-0005-0000-0000-0000A2350000}"/>
    <cellStyle name="20% - Accent5 3 2 3" xfId="603" xr:uid="{00000000-0005-0000-0000-0000A3350000}"/>
    <cellStyle name="20% - Accent5 3 2 3 2" xfId="3005" xr:uid="{00000000-0005-0000-0000-0000A4350000}"/>
    <cellStyle name="20% - Accent5 3 2 3 2 2" xfId="4662" xr:uid="{00000000-0005-0000-0000-0000A5350000}"/>
    <cellStyle name="20% - Accent5 3 2 3 2 2 2" xfId="7893" xr:uid="{00000000-0005-0000-0000-0000A6350000}"/>
    <cellStyle name="20% - Accent5 3 2 3 2 2 2 2" xfId="14352" xr:uid="{00000000-0005-0000-0000-0000A7350000}"/>
    <cellStyle name="20% - Accent5 3 2 3 2 2 2 2 2" xfId="27269" xr:uid="{00000000-0005-0000-0000-0000A8350000}"/>
    <cellStyle name="20% - Accent5 3 2 3 2 2 2 2 2 2" xfId="53143" xr:uid="{00000000-0005-0000-0000-0000A9350000}"/>
    <cellStyle name="20% - Accent5 3 2 3 2 2 2 2 3" xfId="40227" xr:uid="{00000000-0005-0000-0000-0000AA350000}"/>
    <cellStyle name="20% - Accent5 3 2 3 2 2 2 3" xfId="20811" xr:uid="{00000000-0005-0000-0000-0000AB350000}"/>
    <cellStyle name="20% - Accent5 3 2 3 2 2 2 3 2" xfId="46685" xr:uid="{00000000-0005-0000-0000-0000AC350000}"/>
    <cellStyle name="20% - Accent5 3 2 3 2 2 2 4" xfId="33769" xr:uid="{00000000-0005-0000-0000-0000AD350000}"/>
    <cellStyle name="20% - Accent5 3 2 3 2 2 3" xfId="11124" xr:uid="{00000000-0005-0000-0000-0000AE350000}"/>
    <cellStyle name="20% - Accent5 3 2 3 2 2 3 2" xfId="24041" xr:uid="{00000000-0005-0000-0000-0000AF350000}"/>
    <cellStyle name="20% - Accent5 3 2 3 2 2 3 2 2" xfId="49915" xr:uid="{00000000-0005-0000-0000-0000B0350000}"/>
    <cellStyle name="20% - Accent5 3 2 3 2 2 3 3" xfId="36999" xr:uid="{00000000-0005-0000-0000-0000B1350000}"/>
    <cellStyle name="20% - Accent5 3 2 3 2 2 4" xfId="17583" xr:uid="{00000000-0005-0000-0000-0000B2350000}"/>
    <cellStyle name="20% - Accent5 3 2 3 2 2 4 2" xfId="43457" xr:uid="{00000000-0005-0000-0000-0000B3350000}"/>
    <cellStyle name="20% - Accent5 3 2 3 2 2 5" xfId="30509" xr:uid="{00000000-0005-0000-0000-0000B4350000}"/>
    <cellStyle name="20% - Accent5 3 2 3 2 3" xfId="6279" xr:uid="{00000000-0005-0000-0000-0000B5350000}"/>
    <cellStyle name="20% - Accent5 3 2 3 2 3 2" xfId="12738" xr:uid="{00000000-0005-0000-0000-0000B6350000}"/>
    <cellStyle name="20% - Accent5 3 2 3 2 3 2 2" xfId="25655" xr:uid="{00000000-0005-0000-0000-0000B7350000}"/>
    <cellStyle name="20% - Accent5 3 2 3 2 3 2 2 2" xfId="51529" xr:uid="{00000000-0005-0000-0000-0000B8350000}"/>
    <cellStyle name="20% - Accent5 3 2 3 2 3 2 3" xfId="38613" xr:uid="{00000000-0005-0000-0000-0000B9350000}"/>
    <cellStyle name="20% - Accent5 3 2 3 2 3 3" xfId="19197" xr:uid="{00000000-0005-0000-0000-0000BA350000}"/>
    <cellStyle name="20% - Accent5 3 2 3 2 3 3 2" xfId="45071" xr:uid="{00000000-0005-0000-0000-0000BB350000}"/>
    <cellStyle name="20% - Accent5 3 2 3 2 3 4" xfId="32155" xr:uid="{00000000-0005-0000-0000-0000BC350000}"/>
    <cellStyle name="20% - Accent5 3 2 3 2 4" xfId="9510" xr:uid="{00000000-0005-0000-0000-0000BD350000}"/>
    <cellStyle name="20% - Accent5 3 2 3 2 4 2" xfId="22427" xr:uid="{00000000-0005-0000-0000-0000BE350000}"/>
    <cellStyle name="20% - Accent5 3 2 3 2 4 2 2" xfId="48301" xr:uid="{00000000-0005-0000-0000-0000BF350000}"/>
    <cellStyle name="20% - Accent5 3 2 3 2 4 3" xfId="35385" xr:uid="{00000000-0005-0000-0000-0000C0350000}"/>
    <cellStyle name="20% - Accent5 3 2 3 2 5" xfId="15969" xr:uid="{00000000-0005-0000-0000-0000C1350000}"/>
    <cellStyle name="20% - Accent5 3 2 3 2 5 2" xfId="41843" xr:uid="{00000000-0005-0000-0000-0000C2350000}"/>
    <cellStyle name="20% - Accent5 3 2 3 2 6" xfId="28895" xr:uid="{00000000-0005-0000-0000-0000C3350000}"/>
    <cellStyle name="20% - Accent5 3 2 3 3" xfId="3832" xr:uid="{00000000-0005-0000-0000-0000C4350000}"/>
    <cellStyle name="20% - Accent5 3 2 3 3 2" xfId="7086" xr:uid="{00000000-0005-0000-0000-0000C5350000}"/>
    <cellStyle name="20% - Accent5 3 2 3 3 2 2" xfId="13545" xr:uid="{00000000-0005-0000-0000-0000C6350000}"/>
    <cellStyle name="20% - Accent5 3 2 3 3 2 2 2" xfId="26462" xr:uid="{00000000-0005-0000-0000-0000C7350000}"/>
    <cellStyle name="20% - Accent5 3 2 3 3 2 2 2 2" xfId="52336" xr:uid="{00000000-0005-0000-0000-0000C8350000}"/>
    <cellStyle name="20% - Accent5 3 2 3 3 2 2 3" xfId="39420" xr:uid="{00000000-0005-0000-0000-0000C9350000}"/>
    <cellStyle name="20% - Accent5 3 2 3 3 2 3" xfId="20004" xr:uid="{00000000-0005-0000-0000-0000CA350000}"/>
    <cellStyle name="20% - Accent5 3 2 3 3 2 3 2" xfId="45878" xr:uid="{00000000-0005-0000-0000-0000CB350000}"/>
    <cellStyle name="20% - Accent5 3 2 3 3 2 4" xfId="32962" xr:uid="{00000000-0005-0000-0000-0000CC350000}"/>
    <cellStyle name="20% - Accent5 3 2 3 3 3" xfId="10317" xr:uid="{00000000-0005-0000-0000-0000CD350000}"/>
    <cellStyle name="20% - Accent5 3 2 3 3 3 2" xfId="23234" xr:uid="{00000000-0005-0000-0000-0000CE350000}"/>
    <cellStyle name="20% - Accent5 3 2 3 3 3 2 2" xfId="49108" xr:uid="{00000000-0005-0000-0000-0000CF350000}"/>
    <cellStyle name="20% - Accent5 3 2 3 3 3 3" xfId="36192" xr:uid="{00000000-0005-0000-0000-0000D0350000}"/>
    <cellStyle name="20% - Accent5 3 2 3 3 4" xfId="16776" xr:uid="{00000000-0005-0000-0000-0000D1350000}"/>
    <cellStyle name="20% - Accent5 3 2 3 3 4 2" xfId="42650" xr:uid="{00000000-0005-0000-0000-0000D2350000}"/>
    <cellStyle name="20% - Accent5 3 2 3 3 5" xfId="29702" xr:uid="{00000000-0005-0000-0000-0000D3350000}"/>
    <cellStyle name="20% - Accent5 3 2 3 4" xfId="5472" xr:uid="{00000000-0005-0000-0000-0000D4350000}"/>
    <cellStyle name="20% - Accent5 3 2 3 4 2" xfId="11931" xr:uid="{00000000-0005-0000-0000-0000D5350000}"/>
    <cellStyle name="20% - Accent5 3 2 3 4 2 2" xfId="24848" xr:uid="{00000000-0005-0000-0000-0000D6350000}"/>
    <cellStyle name="20% - Accent5 3 2 3 4 2 2 2" xfId="50722" xr:uid="{00000000-0005-0000-0000-0000D7350000}"/>
    <cellStyle name="20% - Accent5 3 2 3 4 2 3" xfId="37806" xr:uid="{00000000-0005-0000-0000-0000D8350000}"/>
    <cellStyle name="20% - Accent5 3 2 3 4 3" xfId="18390" xr:uid="{00000000-0005-0000-0000-0000D9350000}"/>
    <cellStyle name="20% - Accent5 3 2 3 4 3 2" xfId="44264" xr:uid="{00000000-0005-0000-0000-0000DA350000}"/>
    <cellStyle name="20% - Accent5 3 2 3 4 4" xfId="31348" xr:uid="{00000000-0005-0000-0000-0000DB350000}"/>
    <cellStyle name="20% - Accent5 3 2 3 5" xfId="8703" xr:uid="{00000000-0005-0000-0000-0000DC350000}"/>
    <cellStyle name="20% - Accent5 3 2 3 5 2" xfId="21620" xr:uid="{00000000-0005-0000-0000-0000DD350000}"/>
    <cellStyle name="20% - Accent5 3 2 3 5 2 2" xfId="47494" xr:uid="{00000000-0005-0000-0000-0000DE350000}"/>
    <cellStyle name="20% - Accent5 3 2 3 5 3" xfId="34578" xr:uid="{00000000-0005-0000-0000-0000DF350000}"/>
    <cellStyle name="20% - Accent5 3 2 3 6" xfId="15162" xr:uid="{00000000-0005-0000-0000-0000E0350000}"/>
    <cellStyle name="20% - Accent5 3 2 3 6 2" xfId="41036" xr:uid="{00000000-0005-0000-0000-0000E1350000}"/>
    <cellStyle name="20% - Accent5 3 2 3 7" xfId="28088" xr:uid="{00000000-0005-0000-0000-0000E2350000}"/>
    <cellStyle name="20% - Accent5 3 2 3 8" xfId="53950" xr:uid="{00000000-0005-0000-0000-0000E3350000}"/>
    <cellStyle name="20% - Accent5 3 2 3 9" xfId="2191" xr:uid="{00000000-0005-0000-0000-0000E4350000}"/>
    <cellStyle name="20% - Accent5 3 2 4" xfId="600" xr:uid="{00000000-0005-0000-0000-0000E5350000}"/>
    <cellStyle name="20% - Accent5 3 2 4 2" xfId="4259" xr:uid="{00000000-0005-0000-0000-0000E6350000}"/>
    <cellStyle name="20% - Accent5 3 2 4 2 2" xfId="7490" xr:uid="{00000000-0005-0000-0000-0000E7350000}"/>
    <cellStyle name="20% - Accent5 3 2 4 2 2 2" xfId="13949" xr:uid="{00000000-0005-0000-0000-0000E8350000}"/>
    <cellStyle name="20% - Accent5 3 2 4 2 2 2 2" xfId="26866" xr:uid="{00000000-0005-0000-0000-0000E9350000}"/>
    <cellStyle name="20% - Accent5 3 2 4 2 2 2 2 2" xfId="52740" xr:uid="{00000000-0005-0000-0000-0000EA350000}"/>
    <cellStyle name="20% - Accent5 3 2 4 2 2 2 3" xfId="39824" xr:uid="{00000000-0005-0000-0000-0000EB350000}"/>
    <cellStyle name="20% - Accent5 3 2 4 2 2 3" xfId="20408" xr:uid="{00000000-0005-0000-0000-0000EC350000}"/>
    <cellStyle name="20% - Accent5 3 2 4 2 2 3 2" xfId="46282" xr:uid="{00000000-0005-0000-0000-0000ED350000}"/>
    <cellStyle name="20% - Accent5 3 2 4 2 2 4" xfId="33366" xr:uid="{00000000-0005-0000-0000-0000EE350000}"/>
    <cellStyle name="20% - Accent5 3 2 4 2 3" xfId="10721" xr:uid="{00000000-0005-0000-0000-0000EF350000}"/>
    <cellStyle name="20% - Accent5 3 2 4 2 3 2" xfId="23638" xr:uid="{00000000-0005-0000-0000-0000F0350000}"/>
    <cellStyle name="20% - Accent5 3 2 4 2 3 2 2" xfId="49512" xr:uid="{00000000-0005-0000-0000-0000F1350000}"/>
    <cellStyle name="20% - Accent5 3 2 4 2 3 3" xfId="36596" xr:uid="{00000000-0005-0000-0000-0000F2350000}"/>
    <cellStyle name="20% - Accent5 3 2 4 2 4" xfId="17180" xr:uid="{00000000-0005-0000-0000-0000F3350000}"/>
    <cellStyle name="20% - Accent5 3 2 4 2 4 2" xfId="43054" xr:uid="{00000000-0005-0000-0000-0000F4350000}"/>
    <cellStyle name="20% - Accent5 3 2 4 2 5" xfId="30106" xr:uid="{00000000-0005-0000-0000-0000F5350000}"/>
    <cellStyle name="20% - Accent5 3 2 4 3" xfId="5876" xr:uid="{00000000-0005-0000-0000-0000F6350000}"/>
    <cellStyle name="20% - Accent5 3 2 4 3 2" xfId="12335" xr:uid="{00000000-0005-0000-0000-0000F7350000}"/>
    <cellStyle name="20% - Accent5 3 2 4 3 2 2" xfId="25252" xr:uid="{00000000-0005-0000-0000-0000F8350000}"/>
    <cellStyle name="20% - Accent5 3 2 4 3 2 2 2" xfId="51126" xr:uid="{00000000-0005-0000-0000-0000F9350000}"/>
    <cellStyle name="20% - Accent5 3 2 4 3 2 3" xfId="38210" xr:uid="{00000000-0005-0000-0000-0000FA350000}"/>
    <cellStyle name="20% - Accent5 3 2 4 3 3" xfId="18794" xr:uid="{00000000-0005-0000-0000-0000FB350000}"/>
    <cellStyle name="20% - Accent5 3 2 4 3 3 2" xfId="44668" xr:uid="{00000000-0005-0000-0000-0000FC350000}"/>
    <cellStyle name="20% - Accent5 3 2 4 3 4" xfId="31752" xr:uid="{00000000-0005-0000-0000-0000FD350000}"/>
    <cellStyle name="20% - Accent5 3 2 4 4" xfId="9107" xr:uid="{00000000-0005-0000-0000-0000FE350000}"/>
    <cellStyle name="20% - Accent5 3 2 4 4 2" xfId="22024" xr:uid="{00000000-0005-0000-0000-0000FF350000}"/>
    <cellStyle name="20% - Accent5 3 2 4 4 2 2" xfId="47898" xr:uid="{00000000-0005-0000-0000-000000360000}"/>
    <cellStyle name="20% - Accent5 3 2 4 4 3" xfId="34982" xr:uid="{00000000-0005-0000-0000-000001360000}"/>
    <cellStyle name="20% - Accent5 3 2 4 5" xfId="15566" xr:uid="{00000000-0005-0000-0000-000002360000}"/>
    <cellStyle name="20% - Accent5 3 2 4 5 2" xfId="41440" xr:uid="{00000000-0005-0000-0000-000003360000}"/>
    <cellStyle name="20% - Accent5 3 2 4 6" xfId="28492" xr:uid="{00000000-0005-0000-0000-000004360000}"/>
    <cellStyle name="20% - Accent5 3 2 4 7" xfId="2602" xr:uid="{00000000-0005-0000-0000-000005360000}"/>
    <cellStyle name="20% - Accent5 3 2 5" xfId="3429" xr:uid="{00000000-0005-0000-0000-000006360000}"/>
    <cellStyle name="20% - Accent5 3 2 5 2" xfId="6683" xr:uid="{00000000-0005-0000-0000-000007360000}"/>
    <cellStyle name="20% - Accent5 3 2 5 2 2" xfId="13142" xr:uid="{00000000-0005-0000-0000-000008360000}"/>
    <cellStyle name="20% - Accent5 3 2 5 2 2 2" xfId="26059" xr:uid="{00000000-0005-0000-0000-000009360000}"/>
    <cellStyle name="20% - Accent5 3 2 5 2 2 2 2" xfId="51933" xr:uid="{00000000-0005-0000-0000-00000A360000}"/>
    <cellStyle name="20% - Accent5 3 2 5 2 2 3" xfId="39017" xr:uid="{00000000-0005-0000-0000-00000B360000}"/>
    <cellStyle name="20% - Accent5 3 2 5 2 3" xfId="19601" xr:uid="{00000000-0005-0000-0000-00000C360000}"/>
    <cellStyle name="20% - Accent5 3 2 5 2 3 2" xfId="45475" xr:uid="{00000000-0005-0000-0000-00000D360000}"/>
    <cellStyle name="20% - Accent5 3 2 5 2 4" xfId="32559" xr:uid="{00000000-0005-0000-0000-00000E360000}"/>
    <cellStyle name="20% - Accent5 3 2 5 3" xfId="9914" xr:uid="{00000000-0005-0000-0000-00000F360000}"/>
    <cellStyle name="20% - Accent5 3 2 5 3 2" xfId="22831" xr:uid="{00000000-0005-0000-0000-000010360000}"/>
    <cellStyle name="20% - Accent5 3 2 5 3 2 2" xfId="48705" xr:uid="{00000000-0005-0000-0000-000011360000}"/>
    <cellStyle name="20% - Accent5 3 2 5 3 3" xfId="35789" xr:uid="{00000000-0005-0000-0000-000012360000}"/>
    <cellStyle name="20% - Accent5 3 2 5 4" xfId="16373" xr:uid="{00000000-0005-0000-0000-000013360000}"/>
    <cellStyle name="20% - Accent5 3 2 5 4 2" xfId="42247" xr:uid="{00000000-0005-0000-0000-000014360000}"/>
    <cellStyle name="20% - Accent5 3 2 5 5" xfId="29299" xr:uid="{00000000-0005-0000-0000-000015360000}"/>
    <cellStyle name="20% - Accent5 3 2 6" xfId="5069" xr:uid="{00000000-0005-0000-0000-000016360000}"/>
    <cellStyle name="20% - Accent5 3 2 6 2" xfId="11528" xr:uid="{00000000-0005-0000-0000-000017360000}"/>
    <cellStyle name="20% - Accent5 3 2 6 2 2" xfId="24445" xr:uid="{00000000-0005-0000-0000-000018360000}"/>
    <cellStyle name="20% - Accent5 3 2 6 2 2 2" xfId="50319" xr:uid="{00000000-0005-0000-0000-000019360000}"/>
    <cellStyle name="20% - Accent5 3 2 6 2 3" xfId="37403" xr:uid="{00000000-0005-0000-0000-00001A360000}"/>
    <cellStyle name="20% - Accent5 3 2 6 3" xfId="17987" xr:uid="{00000000-0005-0000-0000-00001B360000}"/>
    <cellStyle name="20% - Accent5 3 2 6 3 2" xfId="43861" xr:uid="{00000000-0005-0000-0000-00001C360000}"/>
    <cellStyle name="20% - Accent5 3 2 6 4" xfId="30945" xr:uid="{00000000-0005-0000-0000-00001D360000}"/>
    <cellStyle name="20% - Accent5 3 2 7" xfId="8299" xr:uid="{00000000-0005-0000-0000-00001E360000}"/>
    <cellStyle name="20% - Accent5 3 2 7 2" xfId="21216" xr:uid="{00000000-0005-0000-0000-00001F360000}"/>
    <cellStyle name="20% - Accent5 3 2 7 2 2" xfId="47090" xr:uid="{00000000-0005-0000-0000-000020360000}"/>
    <cellStyle name="20% - Accent5 3 2 7 3" xfId="34174" xr:uid="{00000000-0005-0000-0000-000021360000}"/>
    <cellStyle name="20% - Accent5 3 2 8" xfId="14758" xr:uid="{00000000-0005-0000-0000-000022360000}"/>
    <cellStyle name="20% - Accent5 3 2 8 2" xfId="40632" xr:uid="{00000000-0005-0000-0000-000023360000}"/>
    <cellStyle name="20% - Accent5 3 2 9" xfId="27682" xr:uid="{00000000-0005-0000-0000-000024360000}"/>
    <cellStyle name="20% - Accent5 3 3" xfId="436" xr:uid="{00000000-0005-0000-0000-000025360000}"/>
    <cellStyle name="20% - Accent5 3 3 2" xfId="605" xr:uid="{00000000-0005-0000-0000-000026360000}"/>
    <cellStyle name="20% - Accent5 3 3 3" xfId="604" xr:uid="{00000000-0005-0000-0000-000027360000}"/>
    <cellStyle name="20% - Accent5 3 3 4" xfId="1667" xr:uid="{00000000-0005-0000-0000-000028360000}"/>
    <cellStyle name="20% - Accent5 3 4" xfId="606" xr:uid="{00000000-0005-0000-0000-000029360000}"/>
    <cellStyle name="20% - Accent5 3 4 10" xfId="53495" xr:uid="{00000000-0005-0000-0000-00002A360000}"/>
    <cellStyle name="20% - Accent5 3 4 11" xfId="1555" xr:uid="{00000000-0005-0000-0000-00002B360000}"/>
    <cellStyle name="20% - Accent5 3 4 2" xfId="1904" xr:uid="{00000000-0005-0000-0000-00002C360000}"/>
    <cellStyle name="20% - Accent5 3 4 2 2" xfId="2335" xr:uid="{00000000-0005-0000-0000-00002D360000}"/>
    <cellStyle name="20% - Accent5 3 4 2 2 2" xfId="3148" xr:uid="{00000000-0005-0000-0000-00002E360000}"/>
    <cellStyle name="20% - Accent5 3 4 2 2 2 2" xfId="4805" xr:uid="{00000000-0005-0000-0000-00002F360000}"/>
    <cellStyle name="20% - Accent5 3 4 2 2 2 2 2" xfId="8036" xr:uid="{00000000-0005-0000-0000-000030360000}"/>
    <cellStyle name="20% - Accent5 3 4 2 2 2 2 2 2" xfId="14495" xr:uid="{00000000-0005-0000-0000-000031360000}"/>
    <cellStyle name="20% - Accent5 3 4 2 2 2 2 2 2 2" xfId="27412" xr:uid="{00000000-0005-0000-0000-000032360000}"/>
    <cellStyle name="20% - Accent5 3 4 2 2 2 2 2 2 2 2" xfId="53286" xr:uid="{00000000-0005-0000-0000-000033360000}"/>
    <cellStyle name="20% - Accent5 3 4 2 2 2 2 2 2 3" xfId="40370" xr:uid="{00000000-0005-0000-0000-000034360000}"/>
    <cellStyle name="20% - Accent5 3 4 2 2 2 2 2 3" xfId="20954" xr:uid="{00000000-0005-0000-0000-000035360000}"/>
    <cellStyle name="20% - Accent5 3 4 2 2 2 2 2 3 2" xfId="46828" xr:uid="{00000000-0005-0000-0000-000036360000}"/>
    <cellStyle name="20% - Accent5 3 4 2 2 2 2 2 4" xfId="33912" xr:uid="{00000000-0005-0000-0000-000037360000}"/>
    <cellStyle name="20% - Accent5 3 4 2 2 2 2 3" xfId="11267" xr:uid="{00000000-0005-0000-0000-000038360000}"/>
    <cellStyle name="20% - Accent5 3 4 2 2 2 2 3 2" xfId="24184" xr:uid="{00000000-0005-0000-0000-000039360000}"/>
    <cellStyle name="20% - Accent5 3 4 2 2 2 2 3 2 2" xfId="50058" xr:uid="{00000000-0005-0000-0000-00003A360000}"/>
    <cellStyle name="20% - Accent5 3 4 2 2 2 2 3 3" xfId="37142" xr:uid="{00000000-0005-0000-0000-00003B360000}"/>
    <cellStyle name="20% - Accent5 3 4 2 2 2 2 4" xfId="17726" xr:uid="{00000000-0005-0000-0000-00003C360000}"/>
    <cellStyle name="20% - Accent5 3 4 2 2 2 2 4 2" xfId="43600" xr:uid="{00000000-0005-0000-0000-00003D360000}"/>
    <cellStyle name="20% - Accent5 3 4 2 2 2 2 5" xfId="30652" xr:uid="{00000000-0005-0000-0000-00003E360000}"/>
    <cellStyle name="20% - Accent5 3 4 2 2 2 3" xfId="6422" xr:uid="{00000000-0005-0000-0000-00003F360000}"/>
    <cellStyle name="20% - Accent5 3 4 2 2 2 3 2" xfId="12881" xr:uid="{00000000-0005-0000-0000-000040360000}"/>
    <cellStyle name="20% - Accent5 3 4 2 2 2 3 2 2" xfId="25798" xr:uid="{00000000-0005-0000-0000-000041360000}"/>
    <cellStyle name="20% - Accent5 3 4 2 2 2 3 2 2 2" xfId="51672" xr:uid="{00000000-0005-0000-0000-000042360000}"/>
    <cellStyle name="20% - Accent5 3 4 2 2 2 3 2 3" xfId="38756" xr:uid="{00000000-0005-0000-0000-000043360000}"/>
    <cellStyle name="20% - Accent5 3 4 2 2 2 3 3" xfId="19340" xr:uid="{00000000-0005-0000-0000-000044360000}"/>
    <cellStyle name="20% - Accent5 3 4 2 2 2 3 3 2" xfId="45214" xr:uid="{00000000-0005-0000-0000-000045360000}"/>
    <cellStyle name="20% - Accent5 3 4 2 2 2 3 4" xfId="32298" xr:uid="{00000000-0005-0000-0000-000046360000}"/>
    <cellStyle name="20% - Accent5 3 4 2 2 2 4" xfId="9653" xr:uid="{00000000-0005-0000-0000-000047360000}"/>
    <cellStyle name="20% - Accent5 3 4 2 2 2 4 2" xfId="22570" xr:uid="{00000000-0005-0000-0000-000048360000}"/>
    <cellStyle name="20% - Accent5 3 4 2 2 2 4 2 2" xfId="48444" xr:uid="{00000000-0005-0000-0000-000049360000}"/>
    <cellStyle name="20% - Accent5 3 4 2 2 2 4 3" xfId="35528" xr:uid="{00000000-0005-0000-0000-00004A360000}"/>
    <cellStyle name="20% - Accent5 3 4 2 2 2 5" xfId="16112" xr:uid="{00000000-0005-0000-0000-00004B360000}"/>
    <cellStyle name="20% - Accent5 3 4 2 2 2 5 2" xfId="41986" xr:uid="{00000000-0005-0000-0000-00004C360000}"/>
    <cellStyle name="20% - Accent5 3 4 2 2 2 6" xfId="29038" xr:uid="{00000000-0005-0000-0000-00004D360000}"/>
    <cellStyle name="20% - Accent5 3 4 2 2 3" xfId="3975" xr:uid="{00000000-0005-0000-0000-00004E360000}"/>
    <cellStyle name="20% - Accent5 3 4 2 2 3 2" xfId="7229" xr:uid="{00000000-0005-0000-0000-00004F360000}"/>
    <cellStyle name="20% - Accent5 3 4 2 2 3 2 2" xfId="13688" xr:uid="{00000000-0005-0000-0000-000050360000}"/>
    <cellStyle name="20% - Accent5 3 4 2 2 3 2 2 2" xfId="26605" xr:uid="{00000000-0005-0000-0000-000051360000}"/>
    <cellStyle name="20% - Accent5 3 4 2 2 3 2 2 2 2" xfId="52479" xr:uid="{00000000-0005-0000-0000-000052360000}"/>
    <cellStyle name="20% - Accent5 3 4 2 2 3 2 2 3" xfId="39563" xr:uid="{00000000-0005-0000-0000-000053360000}"/>
    <cellStyle name="20% - Accent5 3 4 2 2 3 2 3" xfId="20147" xr:uid="{00000000-0005-0000-0000-000054360000}"/>
    <cellStyle name="20% - Accent5 3 4 2 2 3 2 3 2" xfId="46021" xr:uid="{00000000-0005-0000-0000-000055360000}"/>
    <cellStyle name="20% - Accent5 3 4 2 2 3 2 4" xfId="33105" xr:uid="{00000000-0005-0000-0000-000056360000}"/>
    <cellStyle name="20% - Accent5 3 4 2 2 3 3" xfId="10460" xr:uid="{00000000-0005-0000-0000-000057360000}"/>
    <cellStyle name="20% - Accent5 3 4 2 2 3 3 2" xfId="23377" xr:uid="{00000000-0005-0000-0000-000058360000}"/>
    <cellStyle name="20% - Accent5 3 4 2 2 3 3 2 2" xfId="49251" xr:uid="{00000000-0005-0000-0000-000059360000}"/>
    <cellStyle name="20% - Accent5 3 4 2 2 3 3 3" xfId="36335" xr:uid="{00000000-0005-0000-0000-00005A360000}"/>
    <cellStyle name="20% - Accent5 3 4 2 2 3 4" xfId="16919" xr:uid="{00000000-0005-0000-0000-00005B360000}"/>
    <cellStyle name="20% - Accent5 3 4 2 2 3 4 2" xfId="42793" xr:uid="{00000000-0005-0000-0000-00005C360000}"/>
    <cellStyle name="20% - Accent5 3 4 2 2 3 5" xfId="29845" xr:uid="{00000000-0005-0000-0000-00005D360000}"/>
    <cellStyle name="20% - Accent5 3 4 2 2 4" xfId="5615" xr:uid="{00000000-0005-0000-0000-00005E360000}"/>
    <cellStyle name="20% - Accent5 3 4 2 2 4 2" xfId="12074" xr:uid="{00000000-0005-0000-0000-00005F360000}"/>
    <cellStyle name="20% - Accent5 3 4 2 2 4 2 2" xfId="24991" xr:uid="{00000000-0005-0000-0000-000060360000}"/>
    <cellStyle name="20% - Accent5 3 4 2 2 4 2 2 2" xfId="50865" xr:uid="{00000000-0005-0000-0000-000061360000}"/>
    <cellStyle name="20% - Accent5 3 4 2 2 4 2 3" xfId="37949" xr:uid="{00000000-0005-0000-0000-000062360000}"/>
    <cellStyle name="20% - Accent5 3 4 2 2 4 3" xfId="18533" xr:uid="{00000000-0005-0000-0000-000063360000}"/>
    <cellStyle name="20% - Accent5 3 4 2 2 4 3 2" xfId="44407" xr:uid="{00000000-0005-0000-0000-000064360000}"/>
    <cellStyle name="20% - Accent5 3 4 2 2 4 4" xfId="31491" xr:uid="{00000000-0005-0000-0000-000065360000}"/>
    <cellStyle name="20% - Accent5 3 4 2 2 5" xfId="8846" xr:uid="{00000000-0005-0000-0000-000066360000}"/>
    <cellStyle name="20% - Accent5 3 4 2 2 5 2" xfId="21763" xr:uid="{00000000-0005-0000-0000-000067360000}"/>
    <cellStyle name="20% - Accent5 3 4 2 2 5 2 2" xfId="47637" xr:uid="{00000000-0005-0000-0000-000068360000}"/>
    <cellStyle name="20% - Accent5 3 4 2 2 5 3" xfId="34721" xr:uid="{00000000-0005-0000-0000-000069360000}"/>
    <cellStyle name="20% - Accent5 3 4 2 2 6" xfId="15305" xr:uid="{00000000-0005-0000-0000-00006A360000}"/>
    <cellStyle name="20% - Accent5 3 4 2 2 6 2" xfId="41179" xr:uid="{00000000-0005-0000-0000-00006B360000}"/>
    <cellStyle name="20% - Accent5 3 4 2 2 7" xfId="28231" xr:uid="{00000000-0005-0000-0000-00006C360000}"/>
    <cellStyle name="20% - Accent5 3 4 2 2 8" xfId="54093" xr:uid="{00000000-0005-0000-0000-00006D360000}"/>
    <cellStyle name="20% - Accent5 3 4 2 3" xfId="2744" xr:uid="{00000000-0005-0000-0000-00006E360000}"/>
    <cellStyle name="20% - Accent5 3 4 2 3 2" xfId="4401" xr:uid="{00000000-0005-0000-0000-00006F360000}"/>
    <cellStyle name="20% - Accent5 3 4 2 3 2 2" xfId="7632" xr:uid="{00000000-0005-0000-0000-000070360000}"/>
    <cellStyle name="20% - Accent5 3 4 2 3 2 2 2" xfId="14091" xr:uid="{00000000-0005-0000-0000-000071360000}"/>
    <cellStyle name="20% - Accent5 3 4 2 3 2 2 2 2" xfId="27008" xr:uid="{00000000-0005-0000-0000-000072360000}"/>
    <cellStyle name="20% - Accent5 3 4 2 3 2 2 2 2 2" xfId="52882" xr:uid="{00000000-0005-0000-0000-000073360000}"/>
    <cellStyle name="20% - Accent5 3 4 2 3 2 2 2 3" xfId="39966" xr:uid="{00000000-0005-0000-0000-000074360000}"/>
    <cellStyle name="20% - Accent5 3 4 2 3 2 2 3" xfId="20550" xr:uid="{00000000-0005-0000-0000-000075360000}"/>
    <cellStyle name="20% - Accent5 3 4 2 3 2 2 3 2" xfId="46424" xr:uid="{00000000-0005-0000-0000-000076360000}"/>
    <cellStyle name="20% - Accent5 3 4 2 3 2 2 4" xfId="33508" xr:uid="{00000000-0005-0000-0000-000077360000}"/>
    <cellStyle name="20% - Accent5 3 4 2 3 2 3" xfId="10863" xr:uid="{00000000-0005-0000-0000-000078360000}"/>
    <cellStyle name="20% - Accent5 3 4 2 3 2 3 2" xfId="23780" xr:uid="{00000000-0005-0000-0000-000079360000}"/>
    <cellStyle name="20% - Accent5 3 4 2 3 2 3 2 2" xfId="49654" xr:uid="{00000000-0005-0000-0000-00007A360000}"/>
    <cellStyle name="20% - Accent5 3 4 2 3 2 3 3" xfId="36738" xr:uid="{00000000-0005-0000-0000-00007B360000}"/>
    <cellStyle name="20% - Accent5 3 4 2 3 2 4" xfId="17322" xr:uid="{00000000-0005-0000-0000-00007C360000}"/>
    <cellStyle name="20% - Accent5 3 4 2 3 2 4 2" xfId="43196" xr:uid="{00000000-0005-0000-0000-00007D360000}"/>
    <cellStyle name="20% - Accent5 3 4 2 3 2 5" xfId="30248" xr:uid="{00000000-0005-0000-0000-00007E360000}"/>
    <cellStyle name="20% - Accent5 3 4 2 3 3" xfId="6018" xr:uid="{00000000-0005-0000-0000-00007F360000}"/>
    <cellStyle name="20% - Accent5 3 4 2 3 3 2" xfId="12477" xr:uid="{00000000-0005-0000-0000-000080360000}"/>
    <cellStyle name="20% - Accent5 3 4 2 3 3 2 2" xfId="25394" xr:uid="{00000000-0005-0000-0000-000081360000}"/>
    <cellStyle name="20% - Accent5 3 4 2 3 3 2 2 2" xfId="51268" xr:uid="{00000000-0005-0000-0000-000082360000}"/>
    <cellStyle name="20% - Accent5 3 4 2 3 3 2 3" xfId="38352" xr:uid="{00000000-0005-0000-0000-000083360000}"/>
    <cellStyle name="20% - Accent5 3 4 2 3 3 3" xfId="18936" xr:uid="{00000000-0005-0000-0000-000084360000}"/>
    <cellStyle name="20% - Accent5 3 4 2 3 3 3 2" xfId="44810" xr:uid="{00000000-0005-0000-0000-000085360000}"/>
    <cellStyle name="20% - Accent5 3 4 2 3 3 4" xfId="31894" xr:uid="{00000000-0005-0000-0000-000086360000}"/>
    <cellStyle name="20% - Accent5 3 4 2 3 4" xfId="9249" xr:uid="{00000000-0005-0000-0000-000087360000}"/>
    <cellStyle name="20% - Accent5 3 4 2 3 4 2" xfId="22166" xr:uid="{00000000-0005-0000-0000-000088360000}"/>
    <cellStyle name="20% - Accent5 3 4 2 3 4 2 2" xfId="48040" xr:uid="{00000000-0005-0000-0000-000089360000}"/>
    <cellStyle name="20% - Accent5 3 4 2 3 4 3" xfId="35124" xr:uid="{00000000-0005-0000-0000-00008A360000}"/>
    <cellStyle name="20% - Accent5 3 4 2 3 5" xfId="15708" xr:uid="{00000000-0005-0000-0000-00008B360000}"/>
    <cellStyle name="20% - Accent5 3 4 2 3 5 2" xfId="41582" xr:uid="{00000000-0005-0000-0000-00008C360000}"/>
    <cellStyle name="20% - Accent5 3 4 2 3 6" xfId="28634" xr:uid="{00000000-0005-0000-0000-00008D360000}"/>
    <cellStyle name="20% - Accent5 3 4 2 4" xfId="3571" xr:uid="{00000000-0005-0000-0000-00008E360000}"/>
    <cellStyle name="20% - Accent5 3 4 2 4 2" xfId="6825" xr:uid="{00000000-0005-0000-0000-00008F360000}"/>
    <cellStyle name="20% - Accent5 3 4 2 4 2 2" xfId="13284" xr:uid="{00000000-0005-0000-0000-000090360000}"/>
    <cellStyle name="20% - Accent5 3 4 2 4 2 2 2" xfId="26201" xr:uid="{00000000-0005-0000-0000-000091360000}"/>
    <cellStyle name="20% - Accent5 3 4 2 4 2 2 2 2" xfId="52075" xr:uid="{00000000-0005-0000-0000-000092360000}"/>
    <cellStyle name="20% - Accent5 3 4 2 4 2 2 3" xfId="39159" xr:uid="{00000000-0005-0000-0000-000093360000}"/>
    <cellStyle name="20% - Accent5 3 4 2 4 2 3" xfId="19743" xr:uid="{00000000-0005-0000-0000-000094360000}"/>
    <cellStyle name="20% - Accent5 3 4 2 4 2 3 2" xfId="45617" xr:uid="{00000000-0005-0000-0000-000095360000}"/>
    <cellStyle name="20% - Accent5 3 4 2 4 2 4" xfId="32701" xr:uid="{00000000-0005-0000-0000-000096360000}"/>
    <cellStyle name="20% - Accent5 3 4 2 4 3" xfId="10056" xr:uid="{00000000-0005-0000-0000-000097360000}"/>
    <cellStyle name="20% - Accent5 3 4 2 4 3 2" xfId="22973" xr:uid="{00000000-0005-0000-0000-000098360000}"/>
    <cellStyle name="20% - Accent5 3 4 2 4 3 2 2" xfId="48847" xr:uid="{00000000-0005-0000-0000-000099360000}"/>
    <cellStyle name="20% - Accent5 3 4 2 4 3 3" xfId="35931" xr:uid="{00000000-0005-0000-0000-00009A360000}"/>
    <cellStyle name="20% - Accent5 3 4 2 4 4" xfId="16515" xr:uid="{00000000-0005-0000-0000-00009B360000}"/>
    <cellStyle name="20% - Accent5 3 4 2 4 4 2" xfId="42389" xr:uid="{00000000-0005-0000-0000-00009C360000}"/>
    <cellStyle name="20% - Accent5 3 4 2 4 5" xfId="29441" xr:uid="{00000000-0005-0000-0000-00009D360000}"/>
    <cellStyle name="20% - Accent5 3 4 2 5" xfId="5211" xr:uid="{00000000-0005-0000-0000-00009E360000}"/>
    <cellStyle name="20% - Accent5 3 4 2 5 2" xfId="11670" xr:uid="{00000000-0005-0000-0000-00009F360000}"/>
    <cellStyle name="20% - Accent5 3 4 2 5 2 2" xfId="24587" xr:uid="{00000000-0005-0000-0000-0000A0360000}"/>
    <cellStyle name="20% - Accent5 3 4 2 5 2 2 2" xfId="50461" xr:uid="{00000000-0005-0000-0000-0000A1360000}"/>
    <cellStyle name="20% - Accent5 3 4 2 5 2 3" xfId="37545" xr:uid="{00000000-0005-0000-0000-0000A2360000}"/>
    <cellStyle name="20% - Accent5 3 4 2 5 3" xfId="18129" xr:uid="{00000000-0005-0000-0000-0000A3360000}"/>
    <cellStyle name="20% - Accent5 3 4 2 5 3 2" xfId="44003" xr:uid="{00000000-0005-0000-0000-0000A4360000}"/>
    <cellStyle name="20% - Accent5 3 4 2 5 4" xfId="31087" xr:uid="{00000000-0005-0000-0000-0000A5360000}"/>
    <cellStyle name="20% - Accent5 3 4 2 6" xfId="8442" xr:uid="{00000000-0005-0000-0000-0000A6360000}"/>
    <cellStyle name="20% - Accent5 3 4 2 6 2" xfId="21359" xr:uid="{00000000-0005-0000-0000-0000A7360000}"/>
    <cellStyle name="20% - Accent5 3 4 2 6 2 2" xfId="47233" xr:uid="{00000000-0005-0000-0000-0000A8360000}"/>
    <cellStyle name="20% - Accent5 3 4 2 6 3" xfId="34317" xr:uid="{00000000-0005-0000-0000-0000A9360000}"/>
    <cellStyle name="20% - Accent5 3 4 2 7" xfId="14901" xr:uid="{00000000-0005-0000-0000-0000AA360000}"/>
    <cellStyle name="20% - Accent5 3 4 2 7 2" xfId="40775" xr:uid="{00000000-0005-0000-0000-0000AB360000}"/>
    <cellStyle name="20% - Accent5 3 4 2 8" xfId="27826" xr:uid="{00000000-0005-0000-0000-0000AC360000}"/>
    <cellStyle name="20% - Accent5 3 4 2 9" xfId="53689" xr:uid="{00000000-0005-0000-0000-0000AD360000}"/>
    <cellStyle name="20% - Accent5 3 4 3" xfId="2139" xr:uid="{00000000-0005-0000-0000-0000AE360000}"/>
    <cellStyle name="20% - Accent5 3 4 3 2" xfId="2953" xr:uid="{00000000-0005-0000-0000-0000AF360000}"/>
    <cellStyle name="20% - Accent5 3 4 3 2 2" xfId="4610" xr:uid="{00000000-0005-0000-0000-0000B0360000}"/>
    <cellStyle name="20% - Accent5 3 4 3 2 2 2" xfId="7841" xr:uid="{00000000-0005-0000-0000-0000B1360000}"/>
    <cellStyle name="20% - Accent5 3 4 3 2 2 2 2" xfId="14300" xr:uid="{00000000-0005-0000-0000-0000B2360000}"/>
    <cellStyle name="20% - Accent5 3 4 3 2 2 2 2 2" xfId="27217" xr:uid="{00000000-0005-0000-0000-0000B3360000}"/>
    <cellStyle name="20% - Accent5 3 4 3 2 2 2 2 2 2" xfId="53091" xr:uid="{00000000-0005-0000-0000-0000B4360000}"/>
    <cellStyle name="20% - Accent5 3 4 3 2 2 2 2 3" xfId="40175" xr:uid="{00000000-0005-0000-0000-0000B5360000}"/>
    <cellStyle name="20% - Accent5 3 4 3 2 2 2 3" xfId="20759" xr:uid="{00000000-0005-0000-0000-0000B6360000}"/>
    <cellStyle name="20% - Accent5 3 4 3 2 2 2 3 2" xfId="46633" xr:uid="{00000000-0005-0000-0000-0000B7360000}"/>
    <cellStyle name="20% - Accent5 3 4 3 2 2 2 4" xfId="33717" xr:uid="{00000000-0005-0000-0000-0000B8360000}"/>
    <cellStyle name="20% - Accent5 3 4 3 2 2 3" xfId="11072" xr:uid="{00000000-0005-0000-0000-0000B9360000}"/>
    <cellStyle name="20% - Accent5 3 4 3 2 2 3 2" xfId="23989" xr:uid="{00000000-0005-0000-0000-0000BA360000}"/>
    <cellStyle name="20% - Accent5 3 4 3 2 2 3 2 2" xfId="49863" xr:uid="{00000000-0005-0000-0000-0000BB360000}"/>
    <cellStyle name="20% - Accent5 3 4 3 2 2 3 3" xfId="36947" xr:uid="{00000000-0005-0000-0000-0000BC360000}"/>
    <cellStyle name="20% - Accent5 3 4 3 2 2 4" xfId="17531" xr:uid="{00000000-0005-0000-0000-0000BD360000}"/>
    <cellStyle name="20% - Accent5 3 4 3 2 2 4 2" xfId="43405" xr:uid="{00000000-0005-0000-0000-0000BE360000}"/>
    <cellStyle name="20% - Accent5 3 4 3 2 2 5" xfId="30457" xr:uid="{00000000-0005-0000-0000-0000BF360000}"/>
    <cellStyle name="20% - Accent5 3 4 3 2 3" xfId="6227" xr:uid="{00000000-0005-0000-0000-0000C0360000}"/>
    <cellStyle name="20% - Accent5 3 4 3 2 3 2" xfId="12686" xr:uid="{00000000-0005-0000-0000-0000C1360000}"/>
    <cellStyle name="20% - Accent5 3 4 3 2 3 2 2" xfId="25603" xr:uid="{00000000-0005-0000-0000-0000C2360000}"/>
    <cellStyle name="20% - Accent5 3 4 3 2 3 2 2 2" xfId="51477" xr:uid="{00000000-0005-0000-0000-0000C3360000}"/>
    <cellStyle name="20% - Accent5 3 4 3 2 3 2 3" xfId="38561" xr:uid="{00000000-0005-0000-0000-0000C4360000}"/>
    <cellStyle name="20% - Accent5 3 4 3 2 3 3" xfId="19145" xr:uid="{00000000-0005-0000-0000-0000C5360000}"/>
    <cellStyle name="20% - Accent5 3 4 3 2 3 3 2" xfId="45019" xr:uid="{00000000-0005-0000-0000-0000C6360000}"/>
    <cellStyle name="20% - Accent5 3 4 3 2 3 4" xfId="32103" xr:uid="{00000000-0005-0000-0000-0000C7360000}"/>
    <cellStyle name="20% - Accent5 3 4 3 2 4" xfId="9458" xr:uid="{00000000-0005-0000-0000-0000C8360000}"/>
    <cellStyle name="20% - Accent5 3 4 3 2 4 2" xfId="22375" xr:uid="{00000000-0005-0000-0000-0000C9360000}"/>
    <cellStyle name="20% - Accent5 3 4 3 2 4 2 2" xfId="48249" xr:uid="{00000000-0005-0000-0000-0000CA360000}"/>
    <cellStyle name="20% - Accent5 3 4 3 2 4 3" xfId="35333" xr:uid="{00000000-0005-0000-0000-0000CB360000}"/>
    <cellStyle name="20% - Accent5 3 4 3 2 5" xfId="15917" xr:uid="{00000000-0005-0000-0000-0000CC360000}"/>
    <cellStyle name="20% - Accent5 3 4 3 2 5 2" xfId="41791" xr:uid="{00000000-0005-0000-0000-0000CD360000}"/>
    <cellStyle name="20% - Accent5 3 4 3 2 6" xfId="28843" xr:uid="{00000000-0005-0000-0000-0000CE360000}"/>
    <cellStyle name="20% - Accent5 3 4 3 3" xfId="3780" xr:uid="{00000000-0005-0000-0000-0000CF360000}"/>
    <cellStyle name="20% - Accent5 3 4 3 3 2" xfId="7034" xr:uid="{00000000-0005-0000-0000-0000D0360000}"/>
    <cellStyle name="20% - Accent5 3 4 3 3 2 2" xfId="13493" xr:uid="{00000000-0005-0000-0000-0000D1360000}"/>
    <cellStyle name="20% - Accent5 3 4 3 3 2 2 2" xfId="26410" xr:uid="{00000000-0005-0000-0000-0000D2360000}"/>
    <cellStyle name="20% - Accent5 3 4 3 3 2 2 2 2" xfId="52284" xr:uid="{00000000-0005-0000-0000-0000D3360000}"/>
    <cellStyle name="20% - Accent5 3 4 3 3 2 2 3" xfId="39368" xr:uid="{00000000-0005-0000-0000-0000D4360000}"/>
    <cellStyle name="20% - Accent5 3 4 3 3 2 3" xfId="19952" xr:uid="{00000000-0005-0000-0000-0000D5360000}"/>
    <cellStyle name="20% - Accent5 3 4 3 3 2 3 2" xfId="45826" xr:uid="{00000000-0005-0000-0000-0000D6360000}"/>
    <cellStyle name="20% - Accent5 3 4 3 3 2 4" xfId="32910" xr:uid="{00000000-0005-0000-0000-0000D7360000}"/>
    <cellStyle name="20% - Accent5 3 4 3 3 3" xfId="10265" xr:uid="{00000000-0005-0000-0000-0000D8360000}"/>
    <cellStyle name="20% - Accent5 3 4 3 3 3 2" xfId="23182" xr:uid="{00000000-0005-0000-0000-0000D9360000}"/>
    <cellStyle name="20% - Accent5 3 4 3 3 3 2 2" xfId="49056" xr:uid="{00000000-0005-0000-0000-0000DA360000}"/>
    <cellStyle name="20% - Accent5 3 4 3 3 3 3" xfId="36140" xr:uid="{00000000-0005-0000-0000-0000DB360000}"/>
    <cellStyle name="20% - Accent5 3 4 3 3 4" xfId="16724" xr:uid="{00000000-0005-0000-0000-0000DC360000}"/>
    <cellStyle name="20% - Accent5 3 4 3 3 4 2" xfId="42598" xr:uid="{00000000-0005-0000-0000-0000DD360000}"/>
    <cellStyle name="20% - Accent5 3 4 3 3 5" xfId="29650" xr:uid="{00000000-0005-0000-0000-0000DE360000}"/>
    <cellStyle name="20% - Accent5 3 4 3 4" xfId="5420" xr:uid="{00000000-0005-0000-0000-0000DF360000}"/>
    <cellStyle name="20% - Accent5 3 4 3 4 2" xfId="11879" xr:uid="{00000000-0005-0000-0000-0000E0360000}"/>
    <cellStyle name="20% - Accent5 3 4 3 4 2 2" xfId="24796" xr:uid="{00000000-0005-0000-0000-0000E1360000}"/>
    <cellStyle name="20% - Accent5 3 4 3 4 2 2 2" xfId="50670" xr:uid="{00000000-0005-0000-0000-0000E2360000}"/>
    <cellStyle name="20% - Accent5 3 4 3 4 2 3" xfId="37754" xr:uid="{00000000-0005-0000-0000-0000E3360000}"/>
    <cellStyle name="20% - Accent5 3 4 3 4 3" xfId="18338" xr:uid="{00000000-0005-0000-0000-0000E4360000}"/>
    <cellStyle name="20% - Accent5 3 4 3 4 3 2" xfId="44212" xr:uid="{00000000-0005-0000-0000-0000E5360000}"/>
    <cellStyle name="20% - Accent5 3 4 3 4 4" xfId="31296" xr:uid="{00000000-0005-0000-0000-0000E6360000}"/>
    <cellStyle name="20% - Accent5 3 4 3 5" xfId="8651" xr:uid="{00000000-0005-0000-0000-0000E7360000}"/>
    <cellStyle name="20% - Accent5 3 4 3 5 2" xfId="21568" xr:uid="{00000000-0005-0000-0000-0000E8360000}"/>
    <cellStyle name="20% - Accent5 3 4 3 5 2 2" xfId="47442" xr:uid="{00000000-0005-0000-0000-0000E9360000}"/>
    <cellStyle name="20% - Accent5 3 4 3 5 3" xfId="34526" xr:uid="{00000000-0005-0000-0000-0000EA360000}"/>
    <cellStyle name="20% - Accent5 3 4 3 6" xfId="15110" xr:uid="{00000000-0005-0000-0000-0000EB360000}"/>
    <cellStyle name="20% - Accent5 3 4 3 6 2" xfId="40984" xr:uid="{00000000-0005-0000-0000-0000EC360000}"/>
    <cellStyle name="20% - Accent5 3 4 3 7" xfId="28036" xr:uid="{00000000-0005-0000-0000-0000ED360000}"/>
    <cellStyle name="20% - Accent5 3 4 3 8" xfId="53898" xr:uid="{00000000-0005-0000-0000-0000EE360000}"/>
    <cellStyle name="20% - Accent5 3 4 4" xfId="2550" xr:uid="{00000000-0005-0000-0000-0000EF360000}"/>
    <cellStyle name="20% - Accent5 3 4 4 2" xfId="4207" xr:uid="{00000000-0005-0000-0000-0000F0360000}"/>
    <cellStyle name="20% - Accent5 3 4 4 2 2" xfId="7438" xr:uid="{00000000-0005-0000-0000-0000F1360000}"/>
    <cellStyle name="20% - Accent5 3 4 4 2 2 2" xfId="13897" xr:uid="{00000000-0005-0000-0000-0000F2360000}"/>
    <cellStyle name="20% - Accent5 3 4 4 2 2 2 2" xfId="26814" xr:uid="{00000000-0005-0000-0000-0000F3360000}"/>
    <cellStyle name="20% - Accent5 3 4 4 2 2 2 2 2" xfId="52688" xr:uid="{00000000-0005-0000-0000-0000F4360000}"/>
    <cellStyle name="20% - Accent5 3 4 4 2 2 2 3" xfId="39772" xr:uid="{00000000-0005-0000-0000-0000F5360000}"/>
    <cellStyle name="20% - Accent5 3 4 4 2 2 3" xfId="20356" xr:uid="{00000000-0005-0000-0000-0000F6360000}"/>
    <cellStyle name="20% - Accent5 3 4 4 2 2 3 2" xfId="46230" xr:uid="{00000000-0005-0000-0000-0000F7360000}"/>
    <cellStyle name="20% - Accent5 3 4 4 2 2 4" xfId="33314" xr:uid="{00000000-0005-0000-0000-0000F8360000}"/>
    <cellStyle name="20% - Accent5 3 4 4 2 3" xfId="10669" xr:uid="{00000000-0005-0000-0000-0000F9360000}"/>
    <cellStyle name="20% - Accent5 3 4 4 2 3 2" xfId="23586" xr:uid="{00000000-0005-0000-0000-0000FA360000}"/>
    <cellStyle name="20% - Accent5 3 4 4 2 3 2 2" xfId="49460" xr:uid="{00000000-0005-0000-0000-0000FB360000}"/>
    <cellStyle name="20% - Accent5 3 4 4 2 3 3" xfId="36544" xr:uid="{00000000-0005-0000-0000-0000FC360000}"/>
    <cellStyle name="20% - Accent5 3 4 4 2 4" xfId="17128" xr:uid="{00000000-0005-0000-0000-0000FD360000}"/>
    <cellStyle name="20% - Accent5 3 4 4 2 4 2" xfId="43002" xr:uid="{00000000-0005-0000-0000-0000FE360000}"/>
    <cellStyle name="20% - Accent5 3 4 4 2 5" xfId="30054" xr:uid="{00000000-0005-0000-0000-0000FF360000}"/>
    <cellStyle name="20% - Accent5 3 4 4 3" xfId="5824" xr:uid="{00000000-0005-0000-0000-000000370000}"/>
    <cellStyle name="20% - Accent5 3 4 4 3 2" xfId="12283" xr:uid="{00000000-0005-0000-0000-000001370000}"/>
    <cellStyle name="20% - Accent5 3 4 4 3 2 2" xfId="25200" xr:uid="{00000000-0005-0000-0000-000002370000}"/>
    <cellStyle name="20% - Accent5 3 4 4 3 2 2 2" xfId="51074" xr:uid="{00000000-0005-0000-0000-000003370000}"/>
    <cellStyle name="20% - Accent5 3 4 4 3 2 3" xfId="38158" xr:uid="{00000000-0005-0000-0000-000004370000}"/>
    <cellStyle name="20% - Accent5 3 4 4 3 3" xfId="18742" xr:uid="{00000000-0005-0000-0000-000005370000}"/>
    <cellStyle name="20% - Accent5 3 4 4 3 3 2" xfId="44616" xr:uid="{00000000-0005-0000-0000-000006370000}"/>
    <cellStyle name="20% - Accent5 3 4 4 3 4" xfId="31700" xr:uid="{00000000-0005-0000-0000-000007370000}"/>
    <cellStyle name="20% - Accent5 3 4 4 4" xfId="9055" xr:uid="{00000000-0005-0000-0000-000008370000}"/>
    <cellStyle name="20% - Accent5 3 4 4 4 2" xfId="21972" xr:uid="{00000000-0005-0000-0000-000009370000}"/>
    <cellStyle name="20% - Accent5 3 4 4 4 2 2" xfId="47846" xr:uid="{00000000-0005-0000-0000-00000A370000}"/>
    <cellStyle name="20% - Accent5 3 4 4 4 3" xfId="34930" xr:uid="{00000000-0005-0000-0000-00000B370000}"/>
    <cellStyle name="20% - Accent5 3 4 4 5" xfId="15514" xr:uid="{00000000-0005-0000-0000-00000C370000}"/>
    <cellStyle name="20% - Accent5 3 4 4 5 2" xfId="41388" xr:uid="{00000000-0005-0000-0000-00000D370000}"/>
    <cellStyle name="20% - Accent5 3 4 4 6" xfId="28440" xr:uid="{00000000-0005-0000-0000-00000E370000}"/>
    <cellStyle name="20% - Accent5 3 4 5" xfId="3375" xr:uid="{00000000-0005-0000-0000-00000F370000}"/>
    <cellStyle name="20% - Accent5 3 4 5 2" xfId="6631" xr:uid="{00000000-0005-0000-0000-000010370000}"/>
    <cellStyle name="20% - Accent5 3 4 5 2 2" xfId="13090" xr:uid="{00000000-0005-0000-0000-000011370000}"/>
    <cellStyle name="20% - Accent5 3 4 5 2 2 2" xfId="26007" xr:uid="{00000000-0005-0000-0000-000012370000}"/>
    <cellStyle name="20% - Accent5 3 4 5 2 2 2 2" xfId="51881" xr:uid="{00000000-0005-0000-0000-000013370000}"/>
    <cellStyle name="20% - Accent5 3 4 5 2 2 3" xfId="38965" xr:uid="{00000000-0005-0000-0000-000014370000}"/>
    <cellStyle name="20% - Accent5 3 4 5 2 3" xfId="19549" xr:uid="{00000000-0005-0000-0000-000015370000}"/>
    <cellStyle name="20% - Accent5 3 4 5 2 3 2" xfId="45423" xr:uid="{00000000-0005-0000-0000-000016370000}"/>
    <cellStyle name="20% - Accent5 3 4 5 2 4" xfId="32507" xr:uid="{00000000-0005-0000-0000-000017370000}"/>
    <cellStyle name="20% - Accent5 3 4 5 3" xfId="9862" xr:uid="{00000000-0005-0000-0000-000018370000}"/>
    <cellStyle name="20% - Accent5 3 4 5 3 2" xfId="22779" xr:uid="{00000000-0005-0000-0000-000019370000}"/>
    <cellStyle name="20% - Accent5 3 4 5 3 2 2" xfId="48653" xr:uid="{00000000-0005-0000-0000-00001A370000}"/>
    <cellStyle name="20% - Accent5 3 4 5 3 3" xfId="35737" xr:uid="{00000000-0005-0000-0000-00001B370000}"/>
    <cellStyle name="20% - Accent5 3 4 5 4" xfId="16321" xr:uid="{00000000-0005-0000-0000-00001C370000}"/>
    <cellStyle name="20% - Accent5 3 4 5 4 2" xfId="42195" xr:uid="{00000000-0005-0000-0000-00001D370000}"/>
    <cellStyle name="20% - Accent5 3 4 5 5" xfId="29247" xr:uid="{00000000-0005-0000-0000-00001E370000}"/>
    <cellStyle name="20% - Accent5 3 4 6" xfId="5017" xr:uid="{00000000-0005-0000-0000-00001F370000}"/>
    <cellStyle name="20% - Accent5 3 4 6 2" xfId="11476" xr:uid="{00000000-0005-0000-0000-000020370000}"/>
    <cellStyle name="20% - Accent5 3 4 6 2 2" xfId="24393" xr:uid="{00000000-0005-0000-0000-000021370000}"/>
    <cellStyle name="20% - Accent5 3 4 6 2 2 2" xfId="50267" xr:uid="{00000000-0005-0000-0000-000022370000}"/>
    <cellStyle name="20% - Accent5 3 4 6 2 3" xfId="37351" xr:uid="{00000000-0005-0000-0000-000023370000}"/>
    <cellStyle name="20% - Accent5 3 4 6 3" xfId="17935" xr:uid="{00000000-0005-0000-0000-000024370000}"/>
    <cellStyle name="20% - Accent5 3 4 6 3 2" xfId="43809" xr:uid="{00000000-0005-0000-0000-000025370000}"/>
    <cellStyle name="20% - Accent5 3 4 6 4" xfId="30893" xr:uid="{00000000-0005-0000-0000-000026370000}"/>
    <cellStyle name="20% - Accent5 3 4 7" xfId="8247" xr:uid="{00000000-0005-0000-0000-000027370000}"/>
    <cellStyle name="20% - Accent5 3 4 7 2" xfId="21164" xr:uid="{00000000-0005-0000-0000-000028370000}"/>
    <cellStyle name="20% - Accent5 3 4 7 2 2" xfId="47038" xr:uid="{00000000-0005-0000-0000-000029370000}"/>
    <cellStyle name="20% - Accent5 3 4 7 3" xfId="34122" xr:uid="{00000000-0005-0000-0000-00002A370000}"/>
    <cellStyle name="20% - Accent5 3 4 8" xfId="14706" xr:uid="{00000000-0005-0000-0000-00002B370000}"/>
    <cellStyle name="20% - Accent5 3 4 8 2" xfId="40580" xr:uid="{00000000-0005-0000-0000-00002C370000}"/>
    <cellStyle name="20% - Accent5 3 4 9" xfId="27630" xr:uid="{00000000-0005-0000-0000-00002D370000}"/>
    <cellStyle name="20% - Accent5 3 5" xfId="599" xr:uid="{00000000-0005-0000-0000-00002E370000}"/>
    <cellStyle name="20% - Accent5 3 6" xfId="1073" xr:uid="{00000000-0005-0000-0000-00002F370000}"/>
    <cellStyle name="20% - Accent5 4" xfId="232" xr:uid="{00000000-0005-0000-0000-000030370000}"/>
    <cellStyle name="20% - Accent5 4 2" xfId="422" xr:uid="{00000000-0005-0000-0000-000031370000}"/>
    <cellStyle name="20% - Accent5 4 2 2" xfId="609" xr:uid="{00000000-0005-0000-0000-000032370000}"/>
    <cellStyle name="20% - Accent5 4 2 3" xfId="608" xr:uid="{00000000-0005-0000-0000-000033370000}"/>
    <cellStyle name="20% - Accent5 4 2 4" xfId="1668" xr:uid="{00000000-0005-0000-0000-000034370000}"/>
    <cellStyle name="20% - Accent5 4 3" xfId="610" xr:uid="{00000000-0005-0000-0000-000035370000}"/>
    <cellStyle name="20% - Accent5 4 3 10" xfId="53533" xr:uid="{00000000-0005-0000-0000-000036370000}"/>
    <cellStyle name="20% - Accent5 4 3 11" xfId="1617" xr:uid="{00000000-0005-0000-0000-000037370000}"/>
    <cellStyle name="20% - Accent5 4 3 2" xfId="1942" xr:uid="{00000000-0005-0000-0000-000038370000}"/>
    <cellStyle name="20% - Accent5 4 3 2 2" xfId="2373" xr:uid="{00000000-0005-0000-0000-000039370000}"/>
    <cellStyle name="20% - Accent5 4 3 2 2 2" xfId="3186" xr:uid="{00000000-0005-0000-0000-00003A370000}"/>
    <cellStyle name="20% - Accent5 4 3 2 2 2 2" xfId="4843" xr:uid="{00000000-0005-0000-0000-00003B370000}"/>
    <cellStyle name="20% - Accent5 4 3 2 2 2 2 2" xfId="8074" xr:uid="{00000000-0005-0000-0000-00003C370000}"/>
    <cellStyle name="20% - Accent5 4 3 2 2 2 2 2 2" xfId="14533" xr:uid="{00000000-0005-0000-0000-00003D370000}"/>
    <cellStyle name="20% - Accent5 4 3 2 2 2 2 2 2 2" xfId="27450" xr:uid="{00000000-0005-0000-0000-00003E370000}"/>
    <cellStyle name="20% - Accent5 4 3 2 2 2 2 2 2 2 2" xfId="53324" xr:uid="{00000000-0005-0000-0000-00003F370000}"/>
    <cellStyle name="20% - Accent5 4 3 2 2 2 2 2 2 3" xfId="40408" xr:uid="{00000000-0005-0000-0000-000040370000}"/>
    <cellStyle name="20% - Accent5 4 3 2 2 2 2 2 3" xfId="20992" xr:uid="{00000000-0005-0000-0000-000041370000}"/>
    <cellStyle name="20% - Accent5 4 3 2 2 2 2 2 3 2" xfId="46866" xr:uid="{00000000-0005-0000-0000-000042370000}"/>
    <cellStyle name="20% - Accent5 4 3 2 2 2 2 2 4" xfId="33950" xr:uid="{00000000-0005-0000-0000-000043370000}"/>
    <cellStyle name="20% - Accent5 4 3 2 2 2 2 3" xfId="11305" xr:uid="{00000000-0005-0000-0000-000044370000}"/>
    <cellStyle name="20% - Accent5 4 3 2 2 2 2 3 2" xfId="24222" xr:uid="{00000000-0005-0000-0000-000045370000}"/>
    <cellStyle name="20% - Accent5 4 3 2 2 2 2 3 2 2" xfId="50096" xr:uid="{00000000-0005-0000-0000-000046370000}"/>
    <cellStyle name="20% - Accent5 4 3 2 2 2 2 3 3" xfId="37180" xr:uid="{00000000-0005-0000-0000-000047370000}"/>
    <cellStyle name="20% - Accent5 4 3 2 2 2 2 4" xfId="17764" xr:uid="{00000000-0005-0000-0000-000048370000}"/>
    <cellStyle name="20% - Accent5 4 3 2 2 2 2 4 2" xfId="43638" xr:uid="{00000000-0005-0000-0000-000049370000}"/>
    <cellStyle name="20% - Accent5 4 3 2 2 2 2 5" xfId="30690" xr:uid="{00000000-0005-0000-0000-00004A370000}"/>
    <cellStyle name="20% - Accent5 4 3 2 2 2 3" xfId="6460" xr:uid="{00000000-0005-0000-0000-00004B370000}"/>
    <cellStyle name="20% - Accent5 4 3 2 2 2 3 2" xfId="12919" xr:uid="{00000000-0005-0000-0000-00004C370000}"/>
    <cellStyle name="20% - Accent5 4 3 2 2 2 3 2 2" xfId="25836" xr:uid="{00000000-0005-0000-0000-00004D370000}"/>
    <cellStyle name="20% - Accent5 4 3 2 2 2 3 2 2 2" xfId="51710" xr:uid="{00000000-0005-0000-0000-00004E370000}"/>
    <cellStyle name="20% - Accent5 4 3 2 2 2 3 2 3" xfId="38794" xr:uid="{00000000-0005-0000-0000-00004F370000}"/>
    <cellStyle name="20% - Accent5 4 3 2 2 2 3 3" xfId="19378" xr:uid="{00000000-0005-0000-0000-000050370000}"/>
    <cellStyle name="20% - Accent5 4 3 2 2 2 3 3 2" xfId="45252" xr:uid="{00000000-0005-0000-0000-000051370000}"/>
    <cellStyle name="20% - Accent5 4 3 2 2 2 3 4" xfId="32336" xr:uid="{00000000-0005-0000-0000-000052370000}"/>
    <cellStyle name="20% - Accent5 4 3 2 2 2 4" xfId="9691" xr:uid="{00000000-0005-0000-0000-000053370000}"/>
    <cellStyle name="20% - Accent5 4 3 2 2 2 4 2" xfId="22608" xr:uid="{00000000-0005-0000-0000-000054370000}"/>
    <cellStyle name="20% - Accent5 4 3 2 2 2 4 2 2" xfId="48482" xr:uid="{00000000-0005-0000-0000-000055370000}"/>
    <cellStyle name="20% - Accent5 4 3 2 2 2 4 3" xfId="35566" xr:uid="{00000000-0005-0000-0000-000056370000}"/>
    <cellStyle name="20% - Accent5 4 3 2 2 2 5" xfId="16150" xr:uid="{00000000-0005-0000-0000-000057370000}"/>
    <cellStyle name="20% - Accent5 4 3 2 2 2 5 2" xfId="42024" xr:uid="{00000000-0005-0000-0000-000058370000}"/>
    <cellStyle name="20% - Accent5 4 3 2 2 2 6" xfId="29076" xr:uid="{00000000-0005-0000-0000-000059370000}"/>
    <cellStyle name="20% - Accent5 4 3 2 2 3" xfId="4013" xr:uid="{00000000-0005-0000-0000-00005A370000}"/>
    <cellStyle name="20% - Accent5 4 3 2 2 3 2" xfId="7267" xr:uid="{00000000-0005-0000-0000-00005B370000}"/>
    <cellStyle name="20% - Accent5 4 3 2 2 3 2 2" xfId="13726" xr:uid="{00000000-0005-0000-0000-00005C370000}"/>
    <cellStyle name="20% - Accent5 4 3 2 2 3 2 2 2" xfId="26643" xr:uid="{00000000-0005-0000-0000-00005D370000}"/>
    <cellStyle name="20% - Accent5 4 3 2 2 3 2 2 2 2" xfId="52517" xr:uid="{00000000-0005-0000-0000-00005E370000}"/>
    <cellStyle name="20% - Accent5 4 3 2 2 3 2 2 3" xfId="39601" xr:uid="{00000000-0005-0000-0000-00005F370000}"/>
    <cellStyle name="20% - Accent5 4 3 2 2 3 2 3" xfId="20185" xr:uid="{00000000-0005-0000-0000-000060370000}"/>
    <cellStyle name="20% - Accent5 4 3 2 2 3 2 3 2" xfId="46059" xr:uid="{00000000-0005-0000-0000-000061370000}"/>
    <cellStyle name="20% - Accent5 4 3 2 2 3 2 4" xfId="33143" xr:uid="{00000000-0005-0000-0000-000062370000}"/>
    <cellStyle name="20% - Accent5 4 3 2 2 3 3" xfId="10498" xr:uid="{00000000-0005-0000-0000-000063370000}"/>
    <cellStyle name="20% - Accent5 4 3 2 2 3 3 2" xfId="23415" xr:uid="{00000000-0005-0000-0000-000064370000}"/>
    <cellStyle name="20% - Accent5 4 3 2 2 3 3 2 2" xfId="49289" xr:uid="{00000000-0005-0000-0000-000065370000}"/>
    <cellStyle name="20% - Accent5 4 3 2 2 3 3 3" xfId="36373" xr:uid="{00000000-0005-0000-0000-000066370000}"/>
    <cellStyle name="20% - Accent5 4 3 2 2 3 4" xfId="16957" xr:uid="{00000000-0005-0000-0000-000067370000}"/>
    <cellStyle name="20% - Accent5 4 3 2 2 3 4 2" xfId="42831" xr:uid="{00000000-0005-0000-0000-000068370000}"/>
    <cellStyle name="20% - Accent5 4 3 2 2 3 5" xfId="29883" xr:uid="{00000000-0005-0000-0000-000069370000}"/>
    <cellStyle name="20% - Accent5 4 3 2 2 4" xfId="5653" xr:uid="{00000000-0005-0000-0000-00006A370000}"/>
    <cellStyle name="20% - Accent5 4 3 2 2 4 2" xfId="12112" xr:uid="{00000000-0005-0000-0000-00006B370000}"/>
    <cellStyle name="20% - Accent5 4 3 2 2 4 2 2" xfId="25029" xr:uid="{00000000-0005-0000-0000-00006C370000}"/>
    <cellStyle name="20% - Accent5 4 3 2 2 4 2 2 2" xfId="50903" xr:uid="{00000000-0005-0000-0000-00006D370000}"/>
    <cellStyle name="20% - Accent5 4 3 2 2 4 2 3" xfId="37987" xr:uid="{00000000-0005-0000-0000-00006E370000}"/>
    <cellStyle name="20% - Accent5 4 3 2 2 4 3" xfId="18571" xr:uid="{00000000-0005-0000-0000-00006F370000}"/>
    <cellStyle name="20% - Accent5 4 3 2 2 4 3 2" xfId="44445" xr:uid="{00000000-0005-0000-0000-000070370000}"/>
    <cellStyle name="20% - Accent5 4 3 2 2 4 4" xfId="31529" xr:uid="{00000000-0005-0000-0000-000071370000}"/>
    <cellStyle name="20% - Accent5 4 3 2 2 5" xfId="8884" xr:uid="{00000000-0005-0000-0000-000072370000}"/>
    <cellStyle name="20% - Accent5 4 3 2 2 5 2" xfId="21801" xr:uid="{00000000-0005-0000-0000-000073370000}"/>
    <cellStyle name="20% - Accent5 4 3 2 2 5 2 2" xfId="47675" xr:uid="{00000000-0005-0000-0000-000074370000}"/>
    <cellStyle name="20% - Accent5 4 3 2 2 5 3" xfId="34759" xr:uid="{00000000-0005-0000-0000-000075370000}"/>
    <cellStyle name="20% - Accent5 4 3 2 2 6" xfId="15343" xr:uid="{00000000-0005-0000-0000-000076370000}"/>
    <cellStyle name="20% - Accent5 4 3 2 2 6 2" xfId="41217" xr:uid="{00000000-0005-0000-0000-000077370000}"/>
    <cellStyle name="20% - Accent5 4 3 2 2 7" xfId="28269" xr:uid="{00000000-0005-0000-0000-000078370000}"/>
    <cellStyle name="20% - Accent5 4 3 2 2 8" xfId="54131" xr:uid="{00000000-0005-0000-0000-000079370000}"/>
    <cellStyle name="20% - Accent5 4 3 2 3" xfId="2782" xr:uid="{00000000-0005-0000-0000-00007A370000}"/>
    <cellStyle name="20% - Accent5 4 3 2 3 2" xfId="4439" xr:uid="{00000000-0005-0000-0000-00007B370000}"/>
    <cellStyle name="20% - Accent5 4 3 2 3 2 2" xfId="7670" xr:uid="{00000000-0005-0000-0000-00007C370000}"/>
    <cellStyle name="20% - Accent5 4 3 2 3 2 2 2" xfId="14129" xr:uid="{00000000-0005-0000-0000-00007D370000}"/>
    <cellStyle name="20% - Accent5 4 3 2 3 2 2 2 2" xfId="27046" xr:uid="{00000000-0005-0000-0000-00007E370000}"/>
    <cellStyle name="20% - Accent5 4 3 2 3 2 2 2 2 2" xfId="52920" xr:uid="{00000000-0005-0000-0000-00007F370000}"/>
    <cellStyle name="20% - Accent5 4 3 2 3 2 2 2 3" xfId="40004" xr:uid="{00000000-0005-0000-0000-000080370000}"/>
    <cellStyle name="20% - Accent5 4 3 2 3 2 2 3" xfId="20588" xr:uid="{00000000-0005-0000-0000-000081370000}"/>
    <cellStyle name="20% - Accent5 4 3 2 3 2 2 3 2" xfId="46462" xr:uid="{00000000-0005-0000-0000-000082370000}"/>
    <cellStyle name="20% - Accent5 4 3 2 3 2 2 4" xfId="33546" xr:uid="{00000000-0005-0000-0000-000083370000}"/>
    <cellStyle name="20% - Accent5 4 3 2 3 2 3" xfId="10901" xr:uid="{00000000-0005-0000-0000-000084370000}"/>
    <cellStyle name="20% - Accent5 4 3 2 3 2 3 2" xfId="23818" xr:uid="{00000000-0005-0000-0000-000085370000}"/>
    <cellStyle name="20% - Accent5 4 3 2 3 2 3 2 2" xfId="49692" xr:uid="{00000000-0005-0000-0000-000086370000}"/>
    <cellStyle name="20% - Accent5 4 3 2 3 2 3 3" xfId="36776" xr:uid="{00000000-0005-0000-0000-000087370000}"/>
    <cellStyle name="20% - Accent5 4 3 2 3 2 4" xfId="17360" xr:uid="{00000000-0005-0000-0000-000088370000}"/>
    <cellStyle name="20% - Accent5 4 3 2 3 2 4 2" xfId="43234" xr:uid="{00000000-0005-0000-0000-000089370000}"/>
    <cellStyle name="20% - Accent5 4 3 2 3 2 5" xfId="30286" xr:uid="{00000000-0005-0000-0000-00008A370000}"/>
    <cellStyle name="20% - Accent5 4 3 2 3 3" xfId="6056" xr:uid="{00000000-0005-0000-0000-00008B370000}"/>
    <cellStyle name="20% - Accent5 4 3 2 3 3 2" xfId="12515" xr:uid="{00000000-0005-0000-0000-00008C370000}"/>
    <cellStyle name="20% - Accent5 4 3 2 3 3 2 2" xfId="25432" xr:uid="{00000000-0005-0000-0000-00008D370000}"/>
    <cellStyle name="20% - Accent5 4 3 2 3 3 2 2 2" xfId="51306" xr:uid="{00000000-0005-0000-0000-00008E370000}"/>
    <cellStyle name="20% - Accent5 4 3 2 3 3 2 3" xfId="38390" xr:uid="{00000000-0005-0000-0000-00008F370000}"/>
    <cellStyle name="20% - Accent5 4 3 2 3 3 3" xfId="18974" xr:uid="{00000000-0005-0000-0000-000090370000}"/>
    <cellStyle name="20% - Accent5 4 3 2 3 3 3 2" xfId="44848" xr:uid="{00000000-0005-0000-0000-000091370000}"/>
    <cellStyle name="20% - Accent5 4 3 2 3 3 4" xfId="31932" xr:uid="{00000000-0005-0000-0000-000092370000}"/>
    <cellStyle name="20% - Accent5 4 3 2 3 4" xfId="9287" xr:uid="{00000000-0005-0000-0000-000093370000}"/>
    <cellStyle name="20% - Accent5 4 3 2 3 4 2" xfId="22204" xr:uid="{00000000-0005-0000-0000-000094370000}"/>
    <cellStyle name="20% - Accent5 4 3 2 3 4 2 2" xfId="48078" xr:uid="{00000000-0005-0000-0000-000095370000}"/>
    <cellStyle name="20% - Accent5 4 3 2 3 4 3" xfId="35162" xr:uid="{00000000-0005-0000-0000-000096370000}"/>
    <cellStyle name="20% - Accent5 4 3 2 3 5" xfId="15746" xr:uid="{00000000-0005-0000-0000-000097370000}"/>
    <cellStyle name="20% - Accent5 4 3 2 3 5 2" xfId="41620" xr:uid="{00000000-0005-0000-0000-000098370000}"/>
    <cellStyle name="20% - Accent5 4 3 2 3 6" xfId="28672" xr:uid="{00000000-0005-0000-0000-000099370000}"/>
    <cellStyle name="20% - Accent5 4 3 2 4" xfId="3609" xr:uid="{00000000-0005-0000-0000-00009A370000}"/>
    <cellStyle name="20% - Accent5 4 3 2 4 2" xfId="6863" xr:uid="{00000000-0005-0000-0000-00009B370000}"/>
    <cellStyle name="20% - Accent5 4 3 2 4 2 2" xfId="13322" xr:uid="{00000000-0005-0000-0000-00009C370000}"/>
    <cellStyle name="20% - Accent5 4 3 2 4 2 2 2" xfId="26239" xr:uid="{00000000-0005-0000-0000-00009D370000}"/>
    <cellStyle name="20% - Accent5 4 3 2 4 2 2 2 2" xfId="52113" xr:uid="{00000000-0005-0000-0000-00009E370000}"/>
    <cellStyle name="20% - Accent5 4 3 2 4 2 2 3" xfId="39197" xr:uid="{00000000-0005-0000-0000-00009F370000}"/>
    <cellStyle name="20% - Accent5 4 3 2 4 2 3" xfId="19781" xr:uid="{00000000-0005-0000-0000-0000A0370000}"/>
    <cellStyle name="20% - Accent5 4 3 2 4 2 3 2" xfId="45655" xr:uid="{00000000-0005-0000-0000-0000A1370000}"/>
    <cellStyle name="20% - Accent5 4 3 2 4 2 4" xfId="32739" xr:uid="{00000000-0005-0000-0000-0000A2370000}"/>
    <cellStyle name="20% - Accent5 4 3 2 4 3" xfId="10094" xr:uid="{00000000-0005-0000-0000-0000A3370000}"/>
    <cellStyle name="20% - Accent5 4 3 2 4 3 2" xfId="23011" xr:uid="{00000000-0005-0000-0000-0000A4370000}"/>
    <cellStyle name="20% - Accent5 4 3 2 4 3 2 2" xfId="48885" xr:uid="{00000000-0005-0000-0000-0000A5370000}"/>
    <cellStyle name="20% - Accent5 4 3 2 4 3 3" xfId="35969" xr:uid="{00000000-0005-0000-0000-0000A6370000}"/>
    <cellStyle name="20% - Accent5 4 3 2 4 4" xfId="16553" xr:uid="{00000000-0005-0000-0000-0000A7370000}"/>
    <cellStyle name="20% - Accent5 4 3 2 4 4 2" xfId="42427" xr:uid="{00000000-0005-0000-0000-0000A8370000}"/>
    <cellStyle name="20% - Accent5 4 3 2 4 5" xfId="29479" xr:uid="{00000000-0005-0000-0000-0000A9370000}"/>
    <cellStyle name="20% - Accent5 4 3 2 5" xfId="5249" xr:uid="{00000000-0005-0000-0000-0000AA370000}"/>
    <cellStyle name="20% - Accent5 4 3 2 5 2" xfId="11708" xr:uid="{00000000-0005-0000-0000-0000AB370000}"/>
    <cellStyle name="20% - Accent5 4 3 2 5 2 2" xfId="24625" xr:uid="{00000000-0005-0000-0000-0000AC370000}"/>
    <cellStyle name="20% - Accent5 4 3 2 5 2 2 2" xfId="50499" xr:uid="{00000000-0005-0000-0000-0000AD370000}"/>
    <cellStyle name="20% - Accent5 4 3 2 5 2 3" xfId="37583" xr:uid="{00000000-0005-0000-0000-0000AE370000}"/>
    <cellStyle name="20% - Accent5 4 3 2 5 3" xfId="18167" xr:uid="{00000000-0005-0000-0000-0000AF370000}"/>
    <cellStyle name="20% - Accent5 4 3 2 5 3 2" xfId="44041" xr:uid="{00000000-0005-0000-0000-0000B0370000}"/>
    <cellStyle name="20% - Accent5 4 3 2 5 4" xfId="31125" xr:uid="{00000000-0005-0000-0000-0000B1370000}"/>
    <cellStyle name="20% - Accent5 4 3 2 6" xfId="8480" xr:uid="{00000000-0005-0000-0000-0000B2370000}"/>
    <cellStyle name="20% - Accent5 4 3 2 6 2" xfId="21397" xr:uid="{00000000-0005-0000-0000-0000B3370000}"/>
    <cellStyle name="20% - Accent5 4 3 2 6 2 2" xfId="47271" xr:uid="{00000000-0005-0000-0000-0000B4370000}"/>
    <cellStyle name="20% - Accent5 4 3 2 6 3" xfId="34355" xr:uid="{00000000-0005-0000-0000-0000B5370000}"/>
    <cellStyle name="20% - Accent5 4 3 2 7" xfId="14939" xr:uid="{00000000-0005-0000-0000-0000B6370000}"/>
    <cellStyle name="20% - Accent5 4 3 2 7 2" xfId="40813" xr:uid="{00000000-0005-0000-0000-0000B7370000}"/>
    <cellStyle name="20% - Accent5 4 3 2 8" xfId="27864" xr:uid="{00000000-0005-0000-0000-0000B8370000}"/>
    <cellStyle name="20% - Accent5 4 3 2 9" xfId="53727" xr:uid="{00000000-0005-0000-0000-0000B9370000}"/>
    <cellStyle name="20% - Accent5 4 3 3" xfId="2177" xr:uid="{00000000-0005-0000-0000-0000BA370000}"/>
    <cellStyle name="20% - Accent5 4 3 3 2" xfId="2991" xr:uid="{00000000-0005-0000-0000-0000BB370000}"/>
    <cellStyle name="20% - Accent5 4 3 3 2 2" xfId="4648" xr:uid="{00000000-0005-0000-0000-0000BC370000}"/>
    <cellStyle name="20% - Accent5 4 3 3 2 2 2" xfId="7879" xr:uid="{00000000-0005-0000-0000-0000BD370000}"/>
    <cellStyle name="20% - Accent5 4 3 3 2 2 2 2" xfId="14338" xr:uid="{00000000-0005-0000-0000-0000BE370000}"/>
    <cellStyle name="20% - Accent5 4 3 3 2 2 2 2 2" xfId="27255" xr:uid="{00000000-0005-0000-0000-0000BF370000}"/>
    <cellStyle name="20% - Accent5 4 3 3 2 2 2 2 2 2" xfId="53129" xr:uid="{00000000-0005-0000-0000-0000C0370000}"/>
    <cellStyle name="20% - Accent5 4 3 3 2 2 2 2 3" xfId="40213" xr:uid="{00000000-0005-0000-0000-0000C1370000}"/>
    <cellStyle name="20% - Accent5 4 3 3 2 2 2 3" xfId="20797" xr:uid="{00000000-0005-0000-0000-0000C2370000}"/>
    <cellStyle name="20% - Accent5 4 3 3 2 2 2 3 2" xfId="46671" xr:uid="{00000000-0005-0000-0000-0000C3370000}"/>
    <cellStyle name="20% - Accent5 4 3 3 2 2 2 4" xfId="33755" xr:uid="{00000000-0005-0000-0000-0000C4370000}"/>
    <cellStyle name="20% - Accent5 4 3 3 2 2 3" xfId="11110" xr:uid="{00000000-0005-0000-0000-0000C5370000}"/>
    <cellStyle name="20% - Accent5 4 3 3 2 2 3 2" xfId="24027" xr:uid="{00000000-0005-0000-0000-0000C6370000}"/>
    <cellStyle name="20% - Accent5 4 3 3 2 2 3 2 2" xfId="49901" xr:uid="{00000000-0005-0000-0000-0000C7370000}"/>
    <cellStyle name="20% - Accent5 4 3 3 2 2 3 3" xfId="36985" xr:uid="{00000000-0005-0000-0000-0000C8370000}"/>
    <cellStyle name="20% - Accent5 4 3 3 2 2 4" xfId="17569" xr:uid="{00000000-0005-0000-0000-0000C9370000}"/>
    <cellStyle name="20% - Accent5 4 3 3 2 2 4 2" xfId="43443" xr:uid="{00000000-0005-0000-0000-0000CA370000}"/>
    <cellStyle name="20% - Accent5 4 3 3 2 2 5" xfId="30495" xr:uid="{00000000-0005-0000-0000-0000CB370000}"/>
    <cellStyle name="20% - Accent5 4 3 3 2 3" xfId="6265" xr:uid="{00000000-0005-0000-0000-0000CC370000}"/>
    <cellStyle name="20% - Accent5 4 3 3 2 3 2" xfId="12724" xr:uid="{00000000-0005-0000-0000-0000CD370000}"/>
    <cellStyle name="20% - Accent5 4 3 3 2 3 2 2" xfId="25641" xr:uid="{00000000-0005-0000-0000-0000CE370000}"/>
    <cellStyle name="20% - Accent5 4 3 3 2 3 2 2 2" xfId="51515" xr:uid="{00000000-0005-0000-0000-0000CF370000}"/>
    <cellStyle name="20% - Accent5 4 3 3 2 3 2 3" xfId="38599" xr:uid="{00000000-0005-0000-0000-0000D0370000}"/>
    <cellStyle name="20% - Accent5 4 3 3 2 3 3" xfId="19183" xr:uid="{00000000-0005-0000-0000-0000D1370000}"/>
    <cellStyle name="20% - Accent5 4 3 3 2 3 3 2" xfId="45057" xr:uid="{00000000-0005-0000-0000-0000D2370000}"/>
    <cellStyle name="20% - Accent5 4 3 3 2 3 4" xfId="32141" xr:uid="{00000000-0005-0000-0000-0000D3370000}"/>
    <cellStyle name="20% - Accent5 4 3 3 2 4" xfId="9496" xr:uid="{00000000-0005-0000-0000-0000D4370000}"/>
    <cellStyle name="20% - Accent5 4 3 3 2 4 2" xfId="22413" xr:uid="{00000000-0005-0000-0000-0000D5370000}"/>
    <cellStyle name="20% - Accent5 4 3 3 2 4 2 2" xfId="48287" xr:uid="{00000000-0005-0000-0000-0000D6370000}"/>
    <cellStyle name="20% - Accent5 4 3 3 2 4 3" xfId="35371" xr:uid="{00000000-0005-0000-0000-0000D7370000}"/>
    <cellStyle name="20% - Accent5 4 3 3 2 5" xfId="15955" xr:uid="{00000000-0005-0000-0000-0000D8370000}"/>
    <cellStyle name="20% - Accent5 4 3 3 2 5 2" xfId="41829" xr:uid="{00000000-0005-0000-0000-0000D9370000}"/>
    <cellStyle name="20% - Accent5 4 3 3 2 6" xfId="28881" xr:uid="{00000000-0005-0000-0000-0000DA370000}"/>
    <cellStyle name="20% - Accent5 4 3 3 3" xfId="3818" xr:uid="{00000000-0005-0000-0000-0000DB370000}"/>
    <cellStyle name="20% - Accent5 4 3 3 3 2" xfId="7072" xr:uid="{00000000-0005-0000-0000-0000DC370000}"/>
    <cellStyle name="20% - Accent5 4 3 3 3 2 2" xfId="13531" xr:uid="{00000000-0005-0000-0000-0000DD370000}"/>
    <cellStyle name="20% - Accent5 4 3 3 3 2 2 2" xfId="26448" xr:uid="{00000000-0005-0000-0000-0000DE370000}"/>
    <cellStyle name="20% - Accent5 4 3 3 3 2 2 2 2" xfId="52322" xr:uid="{00000000-0005-0000-0000-0000DF370000}"/>
    <cellStyle name="20% - Accent5 4 3 3 3 2 2 3" xfId="39406" xr:uid="{00000000-0005-0000-0000-0000E0370000}"/>
    <cellStyle name="20% - Accent5 4 3 3 3 2 3" xfId="19990" xr:uid="{00000000-0005-0000-0000-0000E1370000}"/>
    <cellStyle name="20% - Accent5 4 3 3 3 2 3 2" xfId="45864" xr:uid="{00000000-0005-0000-0000-0000E2370000}"/>
    <cellStyle name="20% - Accent5 4 3 3 3 2 4" xfId="32948" xr:uid="{00000000-0005-0000-0000-0000E3370000}"/>
    <cellStyle name="20% - Accent5 4 3 3 3 3" xfId="10303" xr:uid="{00000000-0005-0000-0000-0000E4370000}"/>
    <cellStyle name="20% - Accent5 4 3 3 3 3 2" xfId="23220" xr:uid="{00000000-0005-0000-0000-0000E5370000}"/>
    <cellStyle name="20% - Accent5 4 3 3 3 3 2 2" xfId="49094" xr:uid="{00000000-0005-0000-0000-0000E6370000}"/>
    <cellStyle name="20% - Accent5 4 3 3 3 3 3" xfId="36178" xr:uid="{00000000-0005-0000-0000-0000E7370000}"/>
    <cellStyle name="20% - Accent5 4 3 3 3 4" xfId="16762" xr:uid="{00000000-0005-0000-0000-0000E8370000}"/>
    <cellStyle name="20% - Accent5 4 3 3 3 4 2" xfId="42636" xr:uid="{00000000-0005-0000-0000-0000E9370000}"/>
    <cellStyle name="20% - Accent5 4 3 3 3 5" xfId="29688" xr:uid="{00000000-0005-0000-0000-0000EA370000}"/>
    <cellStyle name="20% - Accent5 4 3 3 4" xfId="5458" xr:uid="{00000000-0005-0000-0000-0000EB370000}"/>
    <cellStyle name="20% - Accent5 4 3 3 4 2" xfId="11917" xr:uid="{00000000-0005-0000-0000-0000EC370000}"/>
    <cellStyle name="20% - Accent5 4 3 3 4 2 2" xfId="24834" xr:uid="{00000000-0005-0000-0000-0000ED370000}"/>
    <cellStyle name="20% - Accent5 4 3 3 4 2 2 2" xfId="50708" xr:uid="{00000000-0005-0000-0000-0000EE370000}"/>
    <cellStyle name="20% - Accent5 4 3 3 4 2 3" xfId="37792" xr:uid="{00000000-0005-0000-0000-0000EF370000}"/>
    <cellStyle name="20% - Accent5 4 3 3 4 3" xfId="18376" xr:uid="{00000000-0005-0000-0000-0000F0370000}"/>
    <cellStyle name="20% - Accent5 4 3 3 4 3 2" xfId="44250" xr:uid="{00000000-0005-0000-0000-0000F1370000}"/>
    <cellStyle name="20% - Accent5 4 3 3 4 4" xfId="31334" xr:uid="{00000000-0005-0000-0000-0000F2370000}"/>
    <cellStyle name="20% - Accent5 4 3 3 5" xfId="8689" xr:uid="{00000000-0005-0000-0000-0000F3370000}"/>
    <cellStyle name="20% - Accent5 4 3 3 5 2" xfId="21606" xr:uid="{00000000-0005-0000-0000-0000F4370000}"/>
    <cellStyle name="20% - Accent5 4 3 3 5 2 2" xfId="47480" xr:uid="{00000000-0005-0000-0000-0000F5370000}"/>
    <cellStyle name="20% - Accent5 4 3 3 5 3" xfId="34564" xr:uid="{00000000-0005-0000-0000-0000F6370000}"/>
    <cellStyle name="20% - Accent5 4 3 3 6" xfId="15148" xr:uid="{00000000-0005-0000-0000-0000F7370000}"/>
    <cellStyle name="20% - Accent5 4 3 3 6 2" xfId="41022" xr:uid="{00000000-0005-0000-0000-0000F8370000}"/>
    <cellStyle name="20% - Accent5 4 3 3 7" xfId="28074" xr:uid="{00000000-0005-0000-0000-0000F9370000}"/>
    <cellStyle name="20% - Accent5 4 3 3 8" xfId="53936" xr:uid="{00000000-0005-0000-0000-0000FA370000}"/>
    <cellStyle name="20% - Accent5 4 3 4" xfId="2588" xr:uid="{00000000-0005-0000-0000-0000FB370000}"/>
    <cellStyle name="20% - Accent5 4 3 4 2" xfId="4245" xr:uid="{00000000-0005-0000-0000-0000FC370000}"/>
    <cellStyle name="20% - Accent5 4 3 4 2 2" xfId="7476" xr:uid="{00000000-0005-0000-0000-0000FD370000}"/>
    <cellStyle name="20% - Accent5 4 3 4 2 2 2" xfId="13935" xr:uid="{00000000-0005-0000-0000-0000FE370000}"/>
    <cellStyle name="20% - Accent5 4 3 4 2 2 2 2" xfId="26852" xr:uid="{00000000-0005-0000-0000-0000FF370000}"/>
    <cellStyle name="20% - Accent5 4 3 4 2 2 2 2 2" xfId="52726" xr:uid="{00000000-0005-0000-0000-000000380000}"/>
    <cellStyle name="20% - Accent5 4 3 4 2 2 2 3" xfId="39810" xr:uid="{00000000-0005-0000-0000-000001380000}"/>
    <cellStyle name="20% - Accent5 4 3 4 2 2 3" xfId="20394" xr:uid="{00000000-0005-0000-0000-000002380000}"/>
    <cellStyle name="20% - Accent5 4 3 4 2 2 3 2" xfId="46268" xr:uid="{00000000-0005-0000-0000-000003380000}"/>
    <cellStyle name="20% - Accent5 4 3 4 2 2 4" xfId="33352" xr:uid="{00000000-0005-0000-0000-000004380000}"/>
    <cellStyle name="20% - Accent5 4 3 4 2 3" xfId="10707" xr:uid="{00000000-0005-0000-0000-000005380000}"/>
    <cellStyle name="20% - Accent5 4 3 4 2 3 2" xfId="23624" xr:uid="{00000000-0005-0000-0000-000006380000}"/>
    <cellStyle name="20% - Accent5 4 3 4 2 3 2 2" xfId="49498" xr:uid="{00000000-0005-0000-0000-000007380000}"/>
    <cellStyle name="20% - Accent5 4 3 4 2 3 3" xfId="36582" xr:uid="{00000000-0005-0000-0000-000008380000}"/>
    <cellStyle name="20% - Accent5 4 3 4 2 4" xfId="17166" xr:uid="{00000000-0005-0000-0000-000009380000}"/>
    <cellStyle name="20% - Accent5 4 3 4 2 4 2" xfId="43040" xr:uid="{00000000-0005-0000-0000-00000A380000}"/>
    <cellStyle name="20% - Accent5 4 3 4 2 5" xfId="30092" xr:uid="{00000000-0005-0000-0000-00000B380000}"/>
    <cellStyle name="20% - Accent5 4 3 4 3" xfId="5862" xr:uid="{00000000-0005-0000-0000-00000C380000}"/>
    <cellStyle name="20% - Accent5 4 3 4 3 2" xfId="12321" xr:uid="{00000000-0005-0000-0000-00000D380000}"/>
    <cellStyle name="20% - Accent5 4 3 4 3 2 2" xfId="25238" xr:uid="{00000000-0005-0000-0000-00000E380000}"/>
    <cellStyle name="20% - Accent5 4 3 4 3 2 2 2" xfId="51112" xr:uid="{00000000-0005-0000-0000-00000F380000}"/>
    <cellStyle name="20% - Accent5 4 3 4 3 2 3" xfId="38196" xr:uid="{00000000-0005-0000-0000-000010380000}"/>
    <cellStyle name="20% - Accent5 4 3 4 3 3" xfId="18780" xr:uid="{00000000-0005-0000-0000-000011380000}"/>
    <cellStyle name="20% - Accent5 4 3 4 3 3 2" xfId="44654" xr:uid="{00000000-0005-0000-0000-000012380000}"/>
    <cellStyle name="20% - Accent5 4 3 4 3 4" xfId="31738" xr:uid="{00000000-0005-0000-0000-000013380000}"/>
    <cellStyle name="20% - Accent5 4 3 4 4" xfId="9093" xr:uid="{00000000-0005-0000-0000-000014380000}"/>
    <cellStyle name="20% - Accent5 4 3 4 4 2" xfId="22010" xr:uid="{00000000-0005-0000-0000-000015380000}"/>
    <cellStyle name="20% - Accent5 4 3 4 4 2 2" xfId="47884" xr:uid="{00000000-0005-0000-0000-000016380000}"/>
    <cellStyle name="20% - Accent5 4 3 4 4 3" xfId="34968" xr:uid="{00000000-0005-0000-0000-000017380000}"/>
    <cellStyle name="20% - Accent5 4 3 4 5" xfId="15552" xr:uid="{00000000-0005-0000-0000-000018380000}"/>
    <cellStyle name="20% - Accent5 4 3 4 5 2" xfId="41426" xr:uid="{00000000-0005-0000-0000-000019380000}"/>
    <cellStyle name="20% - Accent5 4 3 4 6" xfId="28478" xr:uid="{00000000-0005-0000-0000-00001A380000}"/>
    <cellStyle name="20% - Accent5 4 3 5" xfId="3415" xr:uid="{00000000-0005-0000-0000-00001B380000}"/>
    <cellStyle name="20% - Accent5 4 3 5 2" xfId="6669" xr:uid="{00000000-0005-0000-0000-00001C380000}"/>
    <cellStyle name="20% - Accent5 4 3 5 2 2" xfId="13128" xr:uid="{00000000-0005-0000-0000-00001D380000}"/>
    <cellStyle name="20% - Accent5 4 3 5 2 2 2" xfId="26045" xr:uid="{00000000-0005-0000-0000-00001E380000}"/>
    <cellStyle name="20% - Accent5 4 3 5 2 2 2 2" xfId="51919" xr:uid="{00000000-0005-0000-0000-00001F380000}"/>
    <cellStyle name="20% - Accent5 4 3 5 2 2 3" xfId="39003" xr:uid="{00000000-0005-0000-0000-000020380000}"/>
    <cellStyle name="20% - Accent5 4 3 5 2 3" xfId="19587" xr:uid="{00000000-0005-0000-0000-000021380000}"/>
    <cellStyle name="20% - Accent5 4 3 5 2 3 2" xfId="45461" xr:uid="{00000000-0005-0000-0000-000022380000}"/>
    <cellStyle name="20% - Accent5 4 3 5 2 4" xfId="32545" xr:uid="{00000000-0005-0000-0000-000023380000}"/>
    <cellStyle name="20% - Accent5 4 3 5 3" xfId="9900" xr:uid="{00000000-0005-0000-0000-000024380000}"/>
    <cellStyle name="20% - Accent5 4 3 5 3 2" xfId="22817" xr:uid="{00000000-0005-0000-0000-000025380000}"/>
    <cellStyle name="20% - Accent5 4 3 5 3 2 2" xfId="48691" xr:uid="{00000000-0005-0000-0000-000026380000}"/>
    <cellStyle name="20% - Accent5 4 3 5 3 3" xfId="35775" xr:uid="{00000000-0005-0000-0000-000027380000}"/>
    <cellStyle name="20% - Accent5 4 3 5 4" xfId="16359" xr:uid="{00000000-0005-0000-0000-000028380000}"/>
    <cellStyle name="20% - Accent5 4 3 5 4 2" xfId="42233" xr:uid="{00000000-0005-0000-0000-000029380000}"/>
    <cellStyle name="20% - Accent5 4 3 5 5" xfId="29285" xr:uid="{00000000-0005-0000-0000-00002A380000}"/>
    <cellStyle name="20% - Accent5 4 3 6" xfId="5055" xr:uid="{00000000-0005-0000-0000-00002B380000}"/>
    <cellStyle name="20% - Accent5 4 3 6 2" xfId="11514" xr:uid="{00000000-0005-0000-0000-00002C380000}"/>
    <cellStyle name="20% - Accent5 4 3 6 2 2" xfId="24431" xr:uid="{00000000-0005-0000-0000-00002D380000}"/>
    <cellStyle name="20% - Accent5 4 3 6 2 2 2" xfId="50305" xr:uid="{00000000-0005-0000-0000-00002E380000}"/>
    <cellStyle name="20% - Accent5 4 3 6 2 3" xfId="37389" xr:uid="{00000000-0005-0000-0000-00002F380000}"/>
    <cellStyle name="20% - Accent5 4 3 6 3" xfId="17973" xr:uid="{00000000-0005-0000-0000-000030380000}"/>
    <cellStyle name="20% - Accent5 4 3 6 3 2" xfId="43847" xr:uid="{00000000-0005-0000-0000-000031380000}"/>
    <cellStyle name="20% - Accent5 4 3 6 4" xfId="30931" xr:uid="{00000000-0005-0000-0000-000032380000}"/>
    <cellStyle name="20% - Accent5 4 3 7" xfId="8285" xr:uid="{00000000-0005-0000-0000-000033380000}"/>
    <cellStyle name="20% - Accent5 4 3 7 2" xfId="21202" xr:uid="{00000000-0005-0000-0000-000034380000}"/>
    <cellStyle name="20% - Accent5 4 3 7 2 2" xfId="47076" xr:uid="{00000000-0005-0000-0000-000035380000}"/>
    <cellStyle name="20% - Accent5 4 3 7 3" xfId="34160" xr:uid="{00000000-0005-0000-0000-000036380000}"/>
    <cellStyle name="20% - Accent5 4 3 8" xfId="14744" xr:uid="{00000000-0005-0000-0000-000037380000}"/>
    <cellStyle name="20% - Accent5 4 3 8 2" xfId="40618" xr:uid="{00000000-0005-0000-0000-000038380000}"/>
    <cellStyle name="20% - Accent5 4 3 9" xfId="27668" xr:uid="{00000000-0005-0000-0000-000039380000}"/>
    <cellStyle name="20% - Accent5 4 4" xfId="607" xr:uid="{00000000-0005-0000-0000-00003A380000}"/>
    <cellStyle name="20% - Accent5 4 5" xfId="1074" xr:uid="{00000000-0005-0000-0000-00003B380000}"/>
    <cellStyle name="20% - Accent5 5" xfId="305" xr:uid="{00000000-0005-0000-0000-00003C380000}"/>
    <cellStyle name="20% - Accent5 5 2" xfId="452" xr:uid="{00000000-0005-0000-0000-00003D380000}"/>
    <cellStyle name="20% - Accent5 5 2 2" xfId="613" xr:uid="{00000000-0005-0000-0000-00003E380000}"/>
    <cellStyle name="20% - Accent5 5 2 3" xfId="612" xr:uid="{00000000-0005-0000-0000-00003F380000}"/>
    <cellStyle name="20% - Accent5 5 2 4" xfId="1669" xr:uid="{00000000-0005-0000-0000-000040380000}"/>
    <cellStyle name="20% - Accent5 5 3" xfId="614" xr:uid="{00000000-0005-0000-0000-000041380000}"/>
    <cellStyle name="20% - Accent5 5 3 10" xfId="53511" xr:uid="{00000000-0005-0000-0000-000042380000}"/>
    <cellStyle name="20% - Accent5 5 3 11" xfId="1592" xr:uid="{00000000-0005-0000-0000-000043380000}"/>
    <cellStyle name="20% - Accent5 5 3 2" xfId="1920" xr:uid="{00000000-0005-0000-0000-000044380000}"/>
    <cellStyle name="20% - Accent5 5 3 2 2" xfId="2351" xr:uid="{00000000-0005-0000-0000-000045380000}"/>
    <cellStyle name="20% - Accent5 5 3 2 2 2" xfId="3164" xr:uid="{00000000-0005-0000-0000-000046380000}"/>
    <cellStyle name="20% - Accent5 5 3 2 2 2 2" xfId="4821" xr:uid="{00000000-0005-0000-0000-000047380000}"/>
    <cellStyle name="20% - Accent5 5 3 2 2 2 2 2" xfId="8052" xr:uid="{00000000-0005-0000-0000-000048380000}"/>
    <cellStyle name="20% - Accent5 5 3 2 2 2 2 2 2" xfId="14511" xr:uid="{00000000-0005-0000-0000-000049380000}"/>
    <cellStyle name="20% - Accent5 5 3 2 2 2 2 2 2 2" xfId="27428" xr:uid="{00000000-0005-0000-0000-00004A380000}"/>
    <cellStyle name="20% - Accent5 5 3 2 2 2 2 2 2 2 2" xfId="53302" xr:uid="{00000000-0005-0000-0000-00004B380000}"/>
    <cellStyle name="20% - Accent5 5 3 2 2 2 2 2 2 3" xfId="40386" xr:uid="{00000000-0005-0000-0000-00004C380000}"/>
    <cellStyle name="20% - Accent5 5 3 2 2 2 2 2 3" xfId="20970" xr:uid="{00000000-0005-0000-0000-00004D380000}"/>
    <cellStyle name="20% - Accent5 5 3 2 2 2 2 2 3 2" xfId="46844" xr:uid="{00000000-0005-0000-0000-00004E380000}"/>
    <cellStyle name="20% - Accent5 5 3 2 2 2 2 2 4" xfId="33928" xr:uid="{00000000-0005-0000-0000-00004F380000}"/>
    <cellStyle name="20% - Accent5 5 3 2 2 2 2 3" xfId="11283" xr:uid="{00000000-0005-0000-0000-000050380000}"/>
    <cellStyle name="20% - Accent5 5 3 2 2 2 2 3 2" xfId="24200" xr:uid="{00000000-0005-0000-0000-000051380000}"/>
    <cellStyle name="20% - Accent5 5 3 2 2 2 2 3 2 2" xfId="50074" xr:uid="{00000000-0005-0000-0000-000052380000}"/>
    <cellStyle name="20% - Accent5 5 3 2 2 2 2 3 3" xfId="37158" xr:uid="{00000000-0005-0000-0000-000053380000}"/>
    <cellStyle name="20% - Accent5 5 3 2 2 2 2 4" xfId="17742" xr:uid="{00000000-0005-0000-0000-000054380000}"/>
    <cellStyle name="20% - Accent5 5 3 2 2 2 2 4 2" xfId="43616" xr:uid="{00000000-0005-0000-0000-000055380000}"/>
    <cellStyle name="20% - Accent5 5 3 2 2 2 2 5" xfId="30668" xr:uid="{00000000-0005-0000-0000-000056380000}"/>
    <cellStyle name="20% - Accent5 5 3 2 2 2 3" xfId="6438" xr:uid="{00000000-0005-0000-0000-000057380000}"/>
    <cellStyle name="20% - Accent5 5 3 2 2 2 3 2" xfId="12897" xr:uid="{00000000-0005-0000-0000-000058380000}"/>
    <cellStyle name="20% - Accent5 5 3 2 2 2 3 2 2" xfId="25814" xr:uid="{00000000-0005-0000-0000-000059380000}"/>
    <cellStyle name="20% - Accent5 5 3 2 2 2 3 2 2 2" xfId="51688" xr:uid="{00000000-0005-0000-0000-00005A380000}"/>
    <cellStyle name="20% - Accent5 5 3 2 2 2 3 2 3" xfId="38772" xr:uid="{00000000-0005-0000-0000-00005B380000}"/>
    <cellStyle name="20% - Accent5 5 3 2 2 2 3 3" xfId="19356" xr:uid="{00000000-0005-0000-0000-00005C380000}"/>
    <cellStyle name="20% - Accent5 5 3 2 2 2 3 3 2" xfId="45230" xr:uid="{00000000-0005-0000-0000-00005D380000}"/>
    <cellStyle name="20% - Accent5 5 3 2 2 2 3 4" xfId="32314" xr:uid="{00000000-0005-0000-0000-00005E380000}"/>
    <cellStyle name="20% - Accent5 5 3 2 2 2 4" xfId="9669" xr:uid="{00000000-0005-0000-0000-00005F380000}"/>
    <cellStyle name="20% - Accent5 5 3 2 2 2 4 2" xfId="22586" xr:uid="{00000000-0005-0000-0000-000060380000}"/>
    <cellStyle name="20% - Accent5 5 3 2 2 2 4 2 2" xfId="48460" xr:uid="{00000000-0005-0000-0000-000061380000}"/>
    <cellStyle name="20% - Accent5 5 3 2 2 2 4 3" xfId="35544" xr:uid="{00000000-0005-0000-0000-000062380000}"/>
    <cellStyle name="20% - Accent5 5 3 2 2 2 5" xfId="16128" xr:uid="{00000000-0005-0000-0000-000063380000}"/>
    <cellStyle name="20% - Accent5 5 3 2 2 2 5 2" xfId="42002" xr:uid="{00000000-0005-0000-0000-000064380000}"/>
    <cellStyle name="20% - Accent5 5 3 2 2 2 6" xfId="29054" xr:uid="{00000000-0005-0000-0000-000065380000}"/>
    <cellStyle name="20% - Accent5 5 3 2 2 3" xfId="3991" xr:uid="{00000000-0005-0000-0000-000066380000}"/>
    <cellStyle name="20% - Accent5 5 3 2 2 3 2" xfId="7245" xr:uid="{00000000-0005-0000-0000-000067380000}"/>
    <cellStyle name="20% - Accent5 5 3 2 2 3 2 2" xfId="13704" xr:uid="{00000000-0005-0000-0000-000068380000}"/>
    <cellStyle name="20% - Accent5 5 3 2 2 3 2 2 2" xfId="26621" xr:uid="{00000000-0005-0000-0000-000069380000}"/>
    <cellStyle name="20% - Accent5 5 3 2 2 3 2 2 2 2" xfId="52495" xr:uid="{00000000-0005-0000-0000-00006A380000}"/>
    <cellStyle name="20% - Accent5 5 3 2 2 3 2 2 3" xfId="39579" xr:uid="{00000000-0005-0000-0000-00006B380000}"/>
    <cellStyle name="20% - Accent5 5 3 2 2 3 2 3" xfId="20163" xr:uid="{00000000-0005-0000-0000-00006C380000}"/>
    <cellStyle name="20% - Accent5 5 3 2 2 3 2 3 2" xfId="46037" xr:uid="{00000000-0005-0000-0000-00006D380000}"/>
    <cellStyle name="20% - Accent5 5 3 2 2 3 2 4" xfId="33121" xr:uid="{00000000-0005-0000-0000-00006E380000}"/>
    <cellStyle name="20% - Accent5 5 3 2 2 3 3" xfId="10476" xr:uid="{00000000-0005-0000-0000-00006F380000}"/>
    <cellStyle name="20% - Accent5 5 3 2 2 3 3 2" xfId="23393" xr:uid="{00000000-0005-0000-0000-000070380000}"/>
    <cellStyle name="20% - Accent5 5 3 2 2 3 3 2 2" xfId="49267" xr:uid="{00000000-0005-0000-0000-000071380000}"/>
    <cellStyle name="20% - Accent5 5 3 2 2 3 3 3" xfId="36351" xr:uid="{00000000-0005-0000-0000-000072380000}"/>
    <cellStyle name="20% - Accent5 5 3 2 2 3 4" xfId="16935" xr:uid="{00000000-0005-0000-0000-000073380000}"/>
    <cellStyle name="20% - Accent5 5 3 2 2 3 4 2" xfId="42809" xr:uid="{00000000-0005-0000-0000-000074380000}"/>
    <cellStyle name="20% - Accent5 5 3 2 2 3 5" xfId="29861" xr:uid="{00000000-0005-0000-0000-000075380000}"/>
    <cellStyle name="20% - Accent5 5 3 2 2 4" xfId="5631" xr:uid="{00000000-0005-0000-0000-000076380000}"/>
    <cellStyle name="20% - Accent5 5 3 2 2 4 2" xfId="12090" xr:uid="{00000000-0005-0000-0000-000077380000}"/>
    <cellStyle name="20% - Accent5 5 3 2 2 4 2 2" xfId="25007" xr:uid="{00000000-0005-0000-0000-000078380000}"/>
    <cellStyle name="20% - Accent5 5 3 2 2 4 2 2 2" xfId="50881" xr:uid="{00000000-0005-0000-0000-000079380000}"/>
    <cellStyle name="20% - Accent5 5 3 2 2 4 2 3" xfId="37965" xr:uid="{00000000-0005-0000-0000-00007A380000}"/>
    <cellStyle name="20% - Accent5 5 3 2 2 4 3" xfId="18549" xr:uid="{00000000-0005-0000-0000-00007B380000}"/>
    <cellStyle name="20% - Accent5 5 3 2 2 4 3 2" xfId="44423" xr:uid="{00000000-0005-0000-0000-00007C380000}"/>
    <cellStyle name="20% - Accent5 5 3 2 2 4 4" xfId="31507" xr:uid="{00000000-0005-0000-0000-00007D380000}"/>
    <cellStyle name="20% - Accent5 5 3 2 2 5" xfId="8862" xr:uid="{00000000-0005-0000-0000-00007E380000}"/>
    <cellStyle name="20% - Accent5 5 3 2 2 5 2" xfId="21779" xr:uid="{00000000-0005-0000-0000-00007F380000}"/>
    <cellStyle name="20% - Accent5 5 3 2 2 5 2 2" xfId="47653" xr:uid="{00000000-0005-0000-0000-000080380000}"/>
    <cellStyle name="20% - Accent5 5 3 2 2 5 3" xfId="34737" xr:uid="{00000000-0005-0000-0000-000081380000}"/>
    <cellStyle name="20% - Accent5 5 3 2 2 6" xfId="15321" xr:uid="{00000000-0005-0000-0000-000082380000}"/>
    <cellStyle name="20% - Accent5 5 3 2 2 6 2" xfId="41195" xr:uid="{00000000-0005-0000-0000-000083380000}"/>
    <cellStyle name="20% - Accent5 5 3 2 2 7" xfId="28247" xr:uid="{00000000-0005-0000-0000-000084380000}"/>
    <cellStyle name="20% - Accent5 5 3 2 2 8" xfId="54109" xr:uid="{00000000-0005-0000-0000-000085380000}"/>
    <cellStyle name="20% - Accent5 5 3 2 3" xfId="2760" xr:uid="{00000000-0005-0000-0000-000086380000}"/>
    <cellStyle name="20% - Accent5 5 3 2 3 2" xfId="4417" xr:uid="{00000000-0005-0000-0000-000087380000}"/>
    <cellStyle name="20% - Accent5 5 3 2 3 2 2" xfId="7648" xr:uid="{00000000-0005-0000-0000-000088380000}"/>
    <cellStyle name="20% - Accent5 5 3 2 3 2 2 2" xfId="14107" xr:uid="{00000000-0005-0000-0000-000089380000}"/>
    <cellStyle name="20% - Accent5 5 3 2 3 2 2 2 2" xfId="27024" xr:uid="{00000000-0005-0000-0000-00008A380000}"/>
    <cellStyle name="20% - Accent5 5 3 2 3 2 2 2 2 2" xfId="52898" xr:uid="{00000000-0005-0000-0000-00008B380000}"/>
    <cellStyle name="20% - Accent5 5 3 2 3 2 2 2 3" xfId="39982" xr:uid="{00000000-0005-0000-0000-00008C380000}"/>
    <cellStyle name="20% - Accent5 5 3 2 3 2 2 3" xfId="20566" xr:uid="{00000000-0005-0000-0000-00008D380000}"/>
    <cellStyle name="20% - Accent5 5 3 2 3 2 2 3 2" xfId="46440" xr:uid="{00000000-0005-0000-0000-00008E380000}"/>
    <cellStyle name="20% - Accent5 5 3 2 3 2 2 4" xfId="33524" xr:uid="{00000000-0005-0000-0000-00008F380000}"/>
    <cellStyle name="20% - Accent5 5 3 2 3 2 3" xfId="10879" xr:uid="{00000000-0005-0000-0000-000090380000}"/>
    <cellStyle name="20% - Accent5 5 3 2 3 2 3 2" xfId="23796" xr:uid="{00000000-0005-0000-0000-000091380000}"/>
    <cellStyle name="20% - Accent5 5 3 2 3 2 3 2 2" xfId="49670" xr:uid="{00000000-0005-0000-0000-000092380000}"/>
    <cellStyle name="20% - Accent5 5 3 2 3 2 3 3" xfId="36754" xr:uid="{00000000-0005-0000-0000-000093380000}"/>
    <cellStyle name="20% - Accent5 5 3 2 3 2 4" xfId="17338" xr:uid="{00000000-0005-0000-0000-000094380000}"/>
    <cellStyle name="20% - Accent5 5 3 2 3 2 4 2" xfId="43212" xr:uid="{00000000-0005-0000-0000-000095380000}"/>
    <cellStyle name="20% - Accent5 5 3 2 3 2 5" xfId="30264" xr:uid="{00000000-0005-0000-0000-000096380000}"/>
    <cellStyle name="20% - Accent5 5 3 2 3 3" xfId="6034" xr:uid="{00000000-0005-0000-0000-000097380000}"/>
    <cellStyle name="20% - Accent5 5 3 2 3 3 2" xfId="12493" xr:uid="{00000000-0005-0000-0000-000098380000}"/>
    <cellStyle name="20% - Accent5 5 3 2 3 3 2 2" xfId="25410" xr:uid="{00000000-0005-0000-0000-000099380000}"/>
    <cellStyle name="20% - Accent5 5 3 2 3 3 2 2 2" xfId="51284" xr:uid="{00000000-0005-0000-0000-00009A380000}"/>
    <cellStyle name="20% - Accent5 5 3 2 3 3 2 3" xfId="38368" xr:uid="{00000000-0005-0000-0000-00009B380000}"/>
    <cellStyle name="20% - Accent5 5 3 2 3 3 3" xfId="18952" xr:uid="{00000000-0005-0000-0000-00009C380000}"/>
    <cellStyle name="20% - Accent5 5 3 2 3 3 3 2" xfId="44826" xr:uid="{00000000-0005-0000-0000-00009D380000}"/>
    <cellStyle name="20% - Accent5 5 3 2 3 3 4" xfId="31910" xr:uid="{00000000-0005-0000-0000-00009E380000}"/>
    <cellStyle name="20% - Accent5 5 3 2 3 4" xfId="9265" xr:uid="{00000000-0005-0000-0000-00009F380000}"/>
    <cellStyle name="20% - Accent5 5 3 2 3 4 2" xfId="22182" xr:uid="{00000000-0005-0000-0000-0000A0380000}"/>
    <cellStyle name="20% - Accent5 5 3 2 3 4 2 2" xfId="48056" xr:uid="{00000000-0005-0000-0000-0000A1380000}"/>
    <cellStyle name="20% - Accent5 5 3 2 3 4 3" xfId="35140" xr:uid="{00000000-0005-0000-0000-0000A2380000}"/>
    <cellStyle name="20% - Accent5 5 3 2 3 5" xfId="15724" xr:uid="{00000000-0005-0000-0000-0000A3380000}"/>
    <cellStyle name="20% - Accent5 5 3 2 3 5 2" xfId="41598" xr:uid="{00000000-0005-0000-0000-0000A4380000}"/>
    <cellStyle name="20% - Accent5 5 3 2 3 6" xfId="28650" xr:uid="{00000000-0005-0000-0000-0000A5380000}"/>
    <cellStyle name="20% - Accent5 5 3 2 4" xfId="3587" xr:uid="{00000000-0005-0000-0000-0000A6380000}"/>
    <cellStyle name="20% - Accent5 5 3 2 4 2" xfId="6841" xr:uid="{00000000-0005-0000-0000-0000A7380000}"/>
    <cellStyle name="20% - Accent5 5 3 2 4 2 2" xfId="13300" xr:uid="{00000000-0005-0000-0000-0000A8380000}"/>
    <cellStyle name="20% - Accent5 5 3 2 4 2 2 2" xfId="26217" xr:uid="{00000000-0005-0000-0000-0000A9380000}"/>
    <cellStyle name="20% - Accent5 5 3 2 4 2 2 2 2" xfId="52091" xr:uid="{00000000-0005-0000-0000-0000AA380000}"/>
    <cellStyle name="20% - Accent5 5 3 2 4 2 2 3" xfId="39175" xr:uid="{00000000-0005-0000-0000-0000AB380000}"/>
    <cellStyle name="20% - Accent5 5 3 2 4 2 3" xfId="19759" xr:uid="{00000000-0005-0000-0000-0000AC380000}"/>
    <cellStyle name="20% - Accent5 5 3 2 4 2 3 2" xfId="45633" xr:uid="{00000000-0005-0000-0000-0000AD380000}"/>
    <cellStyle name="20% - Accent5 5 3 2 4 2 4" xfId="32717" xr:uid="{00000000-0005-0000-0000-0000AE380000}"/>
    <cellStyle name="20% - Accent5 5 3 2 4 3" xfId="10072" xr:uid="{00000000-0005-0000-0000-0000AF380000}"/>
    <cellStyle name="20% - Accent5 5 3 2 4 3 2" xfId="22989" xr:uid="{00000000-0005-0000-0000-0000B0380000}"/>
    <cellStyle name="20% - Accent5 5 3 2 4 3 2 2" xfId="48863" xr:uid="{00000000-0005-0000-0000-0000B1380000}"/>
    <cellStyle name="20% - Accent5 5 3 2 4 3 3" xfId="35947" xr:uid="{00000000-0005-0000-0000-0000B2380000}"/>
    <cellStyle name="20% - Accent5 5 3 2 4 4" xfId="16531" xr:uid="{00000000-0005-0000-0000-0000B3380000}"/>
    <cellStyle name="20% - Accent5 5 3 2 4 4 2" xfId="42405" xr:uid="{00000000-0005-0000-0000-0000B4380000}"/>
    <cellStyle name="20% - Accent5 5 3 2 4 5" xfId="29457" xr:uid="{00000000-0005-0000-0000-0000B5380000}"/>
    <cellStyle name="20% - Accent5 5 3 2 5" xfId="5227" xr:uid="{00000000-0005-0000-0000-0000B6380000}"/>
    <cellStyle name="20% - Accent5 5 3 2 5 2" xfId="11686" xr:uid="{00000000-0005-0000-0000-0000B7380000}"/>
    <cellStyle name="20% - Accent5 5 3 2 5 2 2" xfId="24603" xr:uid="{00000000-0005-0000-0000-0000B8380000}"/>
    <cellStyle name="20% - Accent5 5 3 2 5 2 2 2" xfId="50477" xr:uid="{00000000-0005-0000-0000-0000B9380000}"/>
    <cellStyle name="20% - Accent5 5 3 2 5 2 3" xfId="37561" xr:uid="{00000000-0005-0000-0000-0000BA380000}"/>
    <cellStyle name="20% - Accent5 5 3 2 5 3" xfId="18145" xr:uid="{00000000-0005-0000-0000-0000BB380000}"/>
    <cellStyle name="20% - Accent5 5 3 2 5 3 2" xfId="44019" xr:uid="{00000000-0005-0000-0000-0000BC380000}"/>
    <cellStyle name="20% - Accent5 5 3 2 5 4" xfId="31103" xr:uid="{00000000-0005-0000-0000-0000BD380000}"/>
    <cellStyle name="20% - Accent5 5 3 2 6" xfId="8458" xr:uid="{00000000-0005-0000-0000-0000BE380000}"/>
    <cellStyle name="20% - Accent5 5 3 2 6 2" xfId="21375" xr:uid="{00000000-0005-0000-0000-0000BF380000}"/>
    <cellStyle name="20% - Accent5 5 3 2 6 2 2" xfId="47249" xr:uid="{00000000-0005-0000-0000-0000C0380000}"/>
    <cellStyle name="20% - Accent5 5 3 2 6 3" xfId="34333" xr:uid="{00000000-0005-0000-0000-0000C1380000}"/>
    <cellStyle name="20% - Accent5 5 3 2 7" xfId="14917" xr:uid="{00000000-0005-0000-0000-0000C2380000}"/>
    <cellStyle name="20% - Accent5 5 3 2 7 2" xfId="40791" xr:uid="{00000000-0005-0000-0000-0000C3380000}"/>
    <cellStyle name="20% - Accent5 5 3 2 8" xfId="27842" xr:uid="{00000000-0005-0000-0000-0000C4380000}"/>
    <cellStyle name="20% - Accent5 5 3 2 9" xfId="53705" xr:uid="{00000000-0005-0000-0000-0000C5380000}"/>
    <cellStyle name="20% - Accent5 5 3 3" xfId="2155" xr:uid="{00000000-0005-0000-0000-0000C6380000}"/>
    <cellStyle name="20% - Accent5 5 3 3 2" xfId="2969" xr:uid="{00000000-0005-0000-0000-0000C7380000}"/>
    <cellStyle name="20% - Accent5 5 3 3 2 2" xfId="4626" xr:uid="{00000000-0005-0000-0000-0000C8380000}"/>
    <cellStyle name="20% - Accent5 5 3 3 2 2 2" xfId="7857" xr:uid="{00000000-0005-0000-0000-0000C9380000}"/>
    <cellStyle name="20% - Accent5 5 3 3 2 2 2 2" xfId="14316" xr:uid="{00000000-0005-0000-0000-0000CA380000}"/>
    <cellStyle name="20% - Accent5 5 3 3 2 2 2 2 2" xfId="27233" xr:uid="{00000000-0005-0000-0000-0000CB380000}"/>
    <cellStyle name="20% - Accent5 5 3 3 2 2 2 2 2 2" xfId="53107" xr:uid="{00000000-0005-0000-0000-0000CC380000}"/>
    <cellStyle name="20% - Accent5 5 3 3 2 2 2 2 3" xfId="40191" xr:uid="{00000000-0005-0000-0000-0000CD380000}"/>
    <cellStyle name="20% - Accent5 5 3 3 2 2 2 3" xfId="20775" xr:uid="{00000000-0005-0000-0000-0000CE380000}"/>
    <cellStyle name="20% - Accent5 5 3 3 2 2 2 3 2" xfId="46649" xr:uid="{00000000-0005-0000-0000-0000CF380000}"/>
    <cellStyle name="20% - Accent5 5 3 3 2 2 2 4" xfId="33733" xr:uid="{00000000-0005-0000-0000-0000D0380000}"/>
    <cellStyle name="20% - Accent5 5 3 3 2 2 3" xfId="11088" xr:uid="{00000000-0005-0000-0000-0000D1380000}"/>
    <cellStyle name="20% - Accent5 5 3 3 2 2 3 2" xfId="24005" xr:uid="{00000000-0005-0000-0000-0000D2380000}"/>
    <cellStyle name="20% - Accent5 5 3 3 2 2 3 2 2" xfId="49879" xr:uid="{00000000-0005-0000-0000-0000D3380000}"/>
    <cellStyle name="20% - Accent5 5 3 3 2 2 3 3" xfId="36963" xr:uid="{00000000-0005-0000-0000-0000D4380000}"/>
    <cellStyle name="20% - Accent5 5 3 3 2 2 4" xfId="17547" xr:uid="{00000000-0005-0000-0000-0000D5380000}"/>
    <cellStyle name="20% - Accent5 5 3 3 2 2 4 2" xfId="43421" xr:uid="{00000000-0005-0000-0000-0000D6380000}"/>
    <cellStyle name="20% - Accent5 5 3 3 2 2 5" xfId="30473" xr:uid="{00000000-0005-0000-0000-0000D7380000}"/>
    <cellStyle name="20% - Accent5 5 3 3 2 3" xfId="6243" xr:uid="{00000000-0005-0000-0000-0000D8380000}"/>
    <cellStyle name="20% - Accent5 5 3 3 2 3 2" xfId="12702" xr:uid="{00000000-0005-0000-0000-0000D9380000}"/>
    <cellStyle name="20% - Accent5 5 3 3 2 3 2 2" xfId="25619" xr:uid="{00000000-0005-0000-0000-0000DA380000}"/>
    <cellStyle name="20% - Accent5 5 3 3 2 3 2 2 2" xfId="51493" xr:uid="{00000000-0005-0000-0000-0000DB380000}"/>
    <cellStyle name="20% - Accent5 5 3 3 2 3 2 3" xfId="38577" xr:uid="{00000000-0005-0000-0000-0000DC380000}"/>
    <cellStyle name="20% - Accent5 5 3 3 2 3 3" xfId="19161" xr:uid="{00000000-0005-0000-0000-0000DD380000}"/>
    <cellStyle name="20% - Accent5 5 3 3 2 3 3 2" xfId="45035" xr:uid="{00000000-0005-0000-0000-0000DE380000}"/>
    <cellStyle name="20% - Accent5 5 3 3 2 3 4" xfId="32119" xr:uid="{00000000-0005-0000-0000-0000DF380000}"/>
    <cellStyle name="20% - Accent5 5 3 3 2 4" xfId="9474" xr:uid="{00000000-0005-0000-0000-0000E0380000}"/>
    <cellStyle name="20% - Accent5 5 3 3 2 4 2" xfId="22391" xr:uid="{00000000-0005-0000-0000-0000E1380000}"/>
    <cellStyle name="20% - Accent5 5 3 3 2 4 2 2" xfId="48265" xr:uid="{00000000-0005-0000-0000-0000E2380000}"/>
    <cellStyle name="20% - Accent5 5 3 3 2 4 3" xfId="35349" xr:uid="{00000000-0005-0000-0000-0000E3380000}"/>
    <cellStyle name="20% - Accent5 5 3 3 2 5" xfId="15933" xr:uid="{00000000-0005-0000-0000-0000E4380000}"/>
    <cellStyle name="20% - Accent5 5 3 3 2 5 2" xfId="41807" xr:uid="{00000000-0005-0000-0000-0000E5380000}"/>
    <cellStyle name="20% - Accent5 5 3 3 2 6" xfId="28859" xr:uid="{00000000-0005-0000-0000-0000E6380000}"/>
    <cellStyle name="20% - Accent5 5 3 3 3" xfId="3796" xr:uid="{00000000-0005-0000-0000-0000E7380000}"/>
    <cellStyle name="20% - Accent5 5 3 3 3 2" xfId="7050" xr:uid="{00000000-0005-0000-0000-0000E8380000}"/>
    <cellStyle name="20% - Accent5 5 3 3 3 2 2" xfId="13509" xr:uid="{00000000-0005-0000-0000-0000E9380000}"/>
    <cellStyle name="20% - Accent5 5 3 3 3 2 2 2" xfId="26426" xr:uid="{00000000-0005-0000-0000-0000EA380000}"/>
    <cellStyle name="20% - Accent5 5 3 3 3 2 2 2 2" xfId="52300" xr:uid="{00000000-0005-0000-0000-0000EB380000}"/>
    <cellStyle name="20% - Accent5 5 3 3 3 2 2 3" xfId="39384" xr:uid="{00000000-0005-0000-0000-0000EC380000}"/>
    <cellStyle name="20% - Accent5 5 3 3 3 2 3" xfId="19968" xr:uid="{00000000-0005-0000-0000-0000ED380000}"/>
    <cellStyle name="20% - Accent5 5 3 3 3 2 3 2" xfId="45842" xr:uid="{00000000-0005-0000-0000-0000EE380000}"/>
    <cellStyle name="20% - Accent5 5 3 3 3 2 4" xfId="32926" xr:uid="{00000000-0005-0000-0000-0000EF380000}"/>
    <cellStyle name="20% - Accent5 5 3 3 3 3" xfId="10281" xr:uid="{00000000-0005-0000-0000-0000F0380000}"/>
    <cellStyle name="20% - Accent5 5 3 3 3 3 2" xfId="23198" xr:uid="{00000000-0005-0000-0000-0000F1380000}"/>
    <cellStyle name="20% - Accent5 5 3 3 3 3 2 2" xfId="49072" xr:uid="{00000000-0005-0000-0000-0000F2380000}"/>
    <cellStyle name="20% - Accent5 5 3 3 3 3 3" xfId="36156" xr:uid="{00000000-0005-0000-0000-0000F3380000}"/>
    <cellStyle name="20% - Accent5 5 3 3 3 4" xfId="16740" xr:uid="{00000000-0005-0000-0000-0000F4380000}"/>
    <cellStyle name="20% - Accent5 5 3 3 3 4 2" xfId="42614" xr:uid="{00000000-0005-0000-0000-0000F5380000}"/>
    <cellStyle name="20% - Accent5 5 3 3 3 5" xfId="29666" xr:uid="{00000000-0005-0000-0000-0000F6380000}"/>
    <cellStyle name="20% - Accent5 5 3 3 4" xfId="5436" xr:uid="{00000000-0005-0000-0000-0000F7380000}"/>
    <cellStyle name="20% - Accent5 5 3 3 4 2" xfId="11895" xr:uid="{00000000-0005-0000-0000-0000F8380000}"/>
    <cellStyle name="20% - Accent5 5 3 3 4 2 2" xfId="24812" xr:uid="{00000000-0005-0000-0000-0000F9380000}"/>
    <cellStyle name="20% - Accent5 5 3 3 4 2 2 2" xfId="50686" xr:uid="{00000000-0005-0000-0000-0000FA380000}"/>
    <cellStyle name="20% - Accent5 5 3 3 4 2 3" xfId="37770" xr:uid="{00000000-0005-0000-0000-0000FB380000}"/>
    <cellStyle name="20% - Accent5 5 3 3 4 3" xfId="18354" xr:uid="{00000000-0005-0000-0000-0000FC380000}"/>
    <cellStyle name="20% - Accent5 5 3 3 4 3 2" xfId="44228" xr:uid="{00000000-0005-0000-0000-0000FD380000}"/>
    <cellStyle name="20% - Accent5 5 3 3 4 4" xfId="31312" xr:uid="{00000000-0005-0000-0000-0000FE380000}"/>
    <cellStyle name="20% - Accent5 5 3 3 5" xfId="8667" xr:uid="{00000000-0005-0000-0000-0000FF380000}"/>
    <cellStyle name="20% - Accent5 5 3 3 5 2" xfId="21584" xr:uid="{00000000-0005-0000-0000-000000390000}"/>
    <cellStyle name="20% - Accent5 5 3 3 5 2 2" xfId="47458" xr:uid="{00000000-0005-0000-0000-000001390000}"/>
    <cellStyle name="20% - Accent5 5 3 3 5 3" xfId="34542" xr:uid="{00000000-0005-0000-0000-000002390000}"/>
    <cellStyle name="20% - Accent5 5 3 3 6" xfId="15126" xr:uid="{00000000-0005-0000-0000-000003390000}"/>
    <cellStyle name="20% - Accent5 5 3 3 6 2" xfId="41000" xr:uid="{00000000-0005-0000-0000-000004390000}"/>
    <cellStyle name="20% - Accent5 5 3 3 7" xfId="28052" xr:uid="{00000000-0005-0000-0000-000005390000}"/>
    <cellStyle name="20% - Accent5 5 3 3 8" xfId="53914" xr:uid="{00000000-0005-0000-0000-000006390000}"/>
    <cellStyle name="20% - Accent5 5 3 4" xfId="2566" xr:uid="{00000000-0005-0000-0000-000007390000}"/>
    <cellStyle name="20% - Accent5 5 3 4 2" xfId="4223" xr:uid="{00000000-0005-0000-0000-000008390000}"/>
    <cellStyle name="20% - Accent5 5 3 4 2 2" xfId="7454" xr:uid="{00000000-0005-0000-0000-000009390000}"/>
    <cellStyle name="20% - Accent5 5 3 4 2 2 2" xfId="13913" xr:uid="{00000000-0005-0000-0000-00000A390000}"/>
    <cellStyle name="20% - Accent5 5 3 4 2 2 2 2" xfId="26830" xr:uid="{00000000-0005-0000-0000-00000B390000}"/>
    <cellStyle name="20% - Accent5 5 3 4 2 2 2 2 2" xfId="52704" xr:uid="{00000000-0005-0000-0000-00000C390000}"/>
    <cellStyle name="20% - Accent5 5 3 4 2 2 2 3" xfId="39788" xr:uid="{00000000-0005-0000-0000-00000D390000}"/>
    <cellStyle name="20% - Accent5 5 3 4 2 2 3" xfId="20372" xr:uid="{00000000-0005-0000-0000-00000E390000}"/>
    <cellStyle name="20% - Accent5 5 3 4 2 2 3 2" xfId="46246" xr:uid="{00000000-0005-0000-0000-00000F390000}"/>
    <cellStyle name="20% - Accent5 5 3 4 2 2 4" xfId="33330" xr:uid="{00000000-0005-0000-0000-000010390000}"/>
    <cellStyle name="20% - Accent5 5 3 4 2 3" xfId="10685" xr:uid="{00000000-0005-0000-0000-000011390000}"/>
    <cellStyle name="20% - Accent5 5 3 4 2 3 2" xfId="23602" xr:uid="{00000000-0005-0000-0000-000012390000}"/>
    <cellStyle name="20% - Accent5 5 3 4 2 3 2 2" xfId="49476" xr:uid="{00000000-0005-0000-0000-000013390000}"/>
    <cellStyle name="20% - Accent5 5 3 4 2 3 3" xfId="36560" xr:uid="{00000000-0005-0000-0000-000014390000}"/>
    <cellStyle name="20% - Accent5 5 3 4 2 4" xfId="17144" xr:uid="{00000000-0005-0000-0000-000015390000}"/>
    <cellStyle name="20% - Accent5 5 3 4 2 4 2" xfId="43018" xr:uid="{00000000-0005-0000-0000-000016390000}"/>
    <cellStyle name="20% - Accent5 5 3 4 2 5" xfId="30070" xr:uid="{00000000-0005-0000-0000-000017390000}"/>
    <cellStyle name="20% - Accent5 5 3 4 3" xfId="5840" xr:uid="{00000000-0005-0000-0000-000018390000}"/>
    <cellStyle name="20% - Accent5 5 3 4 3 2" xfId="12299" xr:uid="{00000000-0005-0000-0000-000019390000}"/>
    <cellStyle name="20% - Accent5 5 3 4 3 2 2" xfId="25216" xr:uid="{00000000-0005-0000-0000-00001A390000}"/>
    <cellStyle name="20% - Accent5 5 3 4 3 2 2 2" xfId="51090" xr:uid="{00000000-0005-0000-0000-00001B390000}"/>
    <cellStyle name="20% - Accent5 5 3 4 3 2 3" xfId="38174" xr:uid="{00000000-0005-0000-0000-00001C390000}"/>
    <cellStyle name="20% - Accent5 5 3 4 3 3" xfId="18758" xr:uid="{00000000-0005-0000-0000-00001D390000}"/>
    <cellStyle name="20% - Accent5 5 3 4 3 3 2" xfId="44632" xr:uid="{00000000-0005-0000-0000-00001E390000}"/>
    <cellStyle name="20% - Accent5 5 3 4 3 4" xfId="31716" xr:uid="{00000000-0005-0000-0000-00001F390000}"/>
    <cellStyle name="20% - Accent5 5 3 4 4" xfId="9071" xr:uid="{00000000-0005-0000-0000-000020390000}"/>
    <cellStyle name="20% - Accent5 5 3 4 4 2" xfId="21988" xr:uid="{00000000-0005-0000-0000-000021390000}"/>
    <cellStyle name="20% - Accent5 5 3 4 4 2 2" xfId="47862" xr:uid="{00000000-0005-0000-0000-000022390000}"/>
    <cellStyle name="20% - Accent5 5 3 4 4 3" xfId="34946" xr:uid="{00000000-0005-0000-0000-000023390000}"/>
    <cellStyle name="20% - Accent5 5 3 4 5" xfId="15530" xr:uid="{00000000-0005-0000-0000-000024390000}"/>
    <cellStyle name="20% - Accent5 5 3 4 5 2" xfId="41404" xr:uid="{00000000-0005-0000-0000-000025390000}"/>
    <cellStyle name="20% - Accent5 5 3 4 6" xfId="28456" xr:uid="{00000000-0005-0000-0000-000026390000}"/>
    <cellStyle name="20% - Accent5 5 3 5" xfId="3391" xr:uid="{00000000-0005-0000-0000-000027390000}"/>
    <cellStyle name="20% - Accent5 5 3 5 2" xfId="6647" xr:uid="{00000000-0005-0000-0000-000028390000}"/>
    <cellStyle name="20% - Accent5 5 3 5 2 2" xfId="13106" xr:uid="{00000000-0005-0000-0000-000029390000}"/>
    <cellStyle name="20% - Accent5 5 3 5 2 2 2" xfId="26023" xr:uid="{00000000-0005-0000-0000-00002A390000}"/>
    <cellStyle name="20% - Accent5 5 3 5 2 2 2 2" xfId="51897" xr:uid="{00000000-0005-0000-0000-00002B390000}"/>
    <cellStyle name="20% - Accent5 5 3 5 2 2 3" xfId="38981" xr:uid="{00000000-0005-0000-0000-00002C390000}"/>
    <cellStyle name="20% - Accent5 5 3 5 2 3" xfId="19565" xr:uid="{00000000-0005-0000-0000-00002D390000}"/>
    <cellStyle name="20% - Accent5 5 3 5 2 3 2" xfId="45439" xr:uid="{00000000-0005-0000-0000-00002E390000}"/>
    <cellStyle name="20% - Accent5 5 3 5 2 4" xfId="32523" xr:uid="{00000000-0005-0000-0000-00002F390000}"/>
    <cellStyle name="20% - Accent5 5 3 5 3" xfId="9878" xr:uid="{00000000-0005-0000-0000-000030390000}"/>
    <cellStyle name="20% - Accent5 5 3 5 3 2" xfId="22795" xr:uid="{00000000-0005-0000-0000-000031390000}"/>
    <cellStyle name="20% - Accent5 5 3 5 3 2 2" xfId="48669" xr:uid="{00000000-0005-0000-0000-000032390000}"/>
    <cellStyle name="20% - Accent5 5 3 5 3 3" xfId="35753" xr:uid="{00000000-0005-0000-0000-000033390000}"/>
    <cellStyle name="20% - Accent5 5 3 5 4" xfId="16337" xr:uid="{00000000-0005-0000-0000-000034390000}"/>
    <cellStyle name="20% - Accent5 5 3 5 4 2" xfId="42211" xr:uid="{00000000-0005-0000-0000-000035390000}"/>
    <cellStyle name="20% - Accent5 5 3 5 5" xfId="29263" xr:uid="{00000000-0005-0000-0000-000036390000}"/>
    <cellStyle name="20% - Accent5 5 3 6" xfId="5033" xr:uid="{00000000-0005-0000-0000-000037390000}"/>
    <cellStyle name="20% - Accent5 5 3 6 2" xfId="11492" xr:uid="{00000000-0005-0000-0000-000038390000}"/>
    <cellStyle name="20% - Accent5 5 3 6 2 2" xfId="24409" xr:uid="{00000000-0005-0000-0000-000039390000}"/>
    <cellStyle name="20% - Accent5 5 3 6 2 2 2" xfId="50283" xr:uid="{00000000-0005-0000-0000-00003A390000}"/>
    <cellStyle name="20% - Accent5 5 3 6 2 3" xfId="37367" xr:uid="{00000000-0005-0000-0000-00003B390000}"/>
    <cellStyle name="20% - Accent5 5 3 6 3" xfId="17951" xr:uid="{00000000-0005-0000-0000-00003C390000}"/>
    <cellStyle name="20% - Accent5 5 3 6 3 2" xfId="43825" xr:uid="{00000000-0005-0000-0000-00003D390000}"/>
    <cellStyle name="20% - Accent5 5 3 6 4" xfId="30909" xr:uid="{00000000-0005-0000-0000-00003E390000}"/>
    <cellStyle name="20% - Accent5 5 3 7" xfId="8263" xr:uid="{00000000-0005-0000-0000-00003F390000}"/>
    <cellStyle name="20% - Accent5 5 3 7 2" xfId="21180" xr:uid="{00000000-0005-0000-0000-000040390000}"/>
    <cellStyle name="20% - Accent5 5 3 7 2 2" xfId="47054" xr:uid="{00000000-0005-0000-0000-000041390000}"/>
    <cellStyle name="20% - Accent5 5 3 7 3" xfId="34138" xr:uid="{00000000-0005-0000-0000-000042390000}"/>
    <cellStyle name="20% - Accent5 5 3 8" xfId="14722" xr:uid="{00000000-0005-0000-0000-000043390000}"/>
    <cellStyle name="20% - Accent5 5 3 8 2" xfId="40596" xr:uid="{00000000-0005-0000-0000-000044390000}"/>
    <cellStyle name="20% - Accent5 5 3 9" xfId="27646" xr:uid="{00000000-0005-0000-0000-000045390000}"/>
    <cellStyle name="20% - Accent5 5 4" xfId="611" xr:uid="{00000000-0005-0000-0000-000046390000}"/>
    <cellStyle name="20% - Accent5 5 5" xfId="1075" xr:uid="{00000000-0005-0000-0000-000047390000}"/>
    <cellStyle name="20% - Accent5 6" xfId="204" xr:uid="{00000000-0005-0000-0000-000048390000}"/>
    <cellStyle name="20% - Accent5 6 2" xfId="401" xr:uid="{00000000-0005-0000-0000-000049390000}"/>
    <cellStyle name="20% - Accent5 6 2 2" xfId="617" xr:uid="{00000000-0005-0000-0000-00004A390000}"/>
    <cellStyle name="20% - Accent5 6 2 3" xfId="616" xr:uid="{00000000-0005-0000-0000-00004B390000}"/>
    <cellStyle name="20% - Accent5 6 3" xfId="618" xr:uid="{00000000-0005-0000-0000-00004C390000}"/>
    <cellStyle name="20% - Accent5 6 4" xfId="615" xr:uid="{00000000-0005-0000-0000-00004D390000}"/>
    <cellStyle name="20% - Accent5 6 5" xfId="1076" xr:uid="{00000000-0005-0000-0000-00004E390000}"/>
    <cellStyle name="20% - Accent5 7" xfId="488" xr:uid="{00000000-0005-0000-0000-00004F390000}"/>
    <cellStyle name="20% - Accent5 7 2" xfId="620" xr:uid="{00000000-0005-0000-0000-000050390000}"/>
    <cellStyle name="20% - Accent5 7 2 2" xfId="1078" xr:uid="{00000000-0005-0000-0000-000051390000}"/>
    <cellStyle name="20% - Accent5 7 3" xfId="619" xr:uid="{00000000-0005-0000-0000-000052390000}"/>
    <cellStyle name="20% - Accent5 7 3 10" xfId="27586" xr:uid="{00000000-0005-0000-0000-000053390000}"/>
    <cellStyle name="20% - Accent5 7 3 11" xfId="53452" xr:uid="{00000000-0005-0000-0000-000054390000}"/>
    <cellStyle name="20% - Accent5 7 3 12" xfId="1079" xr:uid="{00000000-0005-0000-0000-000055390000}"/>
    <cellStyle name="20% - Accent5 7 3 2" xfId="1742" xr:uid="{00000000-0005-0000-0000-000056390000}"/>
    <cellStyle name="20% - Accent5 7 3 2 10" xfId="53598" xr:uid="{00000000-0005-0000-0000-000057390000}"/>
    <cellStyle name="20% - Accent5 7 3 2 2" xfId="2007" xr:uid="{00000000-0005-0000-0000-000058390000}"/>
    <cellStyle name="20% - Accent5 7 3 2 2 2" xfId="2438" xr:uid="{00000000-0005-0000-0000-000059390000}"/>
    <cellStyle name="20% - Accent5 7 3 2 2 2 2" xfId="3251" xr:uid="{00000000-0005-0000-0000-00005A390000}"/>
    <cellStyle name="20% - Accent5 7 3 2 2 2 2 2" xfId="4908" xr:uid="{00000000-0005-0000-0000-00005B390000}"/>
    <cellStyle name="20% - Accent5 7 3 2 2 2 2 2 2" xfId="8139" xr:uid="{00000000-0005-0000-0000-00005C390000}"/>
    <cellStyle name="20% - Accent5 7 3 2 2 2 2 2 2 2" xfId="14598" xr:uid="{00000000-0005-0000-0000-00005D390000}"/>
    <cellStyle name="20% - Accent5 7 3 2 2 2 2 2 2 2 2" xfId="27515" xr:uid="{00000000-0005-0000-0000-00005E390000}"/>
    <cellStyle name="20% - Accent5 7 3 2 2 2 2 2 2 2 2 2" xfId="53389" xr:uid="{00000000-0005-0000-0000-00005F390000}"/>
    <cellStyle name="20% - Accent5 7 3 2 2 2 2 2 2 2 3" xfId="40473" xr:uid="{00000000-0005-0000-0000-000060390000}"/>
    <cellStyle name="20% - Accent5 7 3 2 2 2 2 2 2 3" xfId="21057" xr:uid="{00000000-0005-0000-0000-000061390000}"/>
    <cellStyle name="20% - Accent5 7 3 2 2 2 2 2 2 3 2" xfId="46931" xr:uid="{00000000-0005-0000-0000-000062390000}"/>
    <cellStyle name="20% - Accent5 7 3 2 2 2 2 2 2 4" xfId="34015" xr:uid="{00000000-0005-0000-0000-000063390000}"/>
    <cellStyle name="20% - Accent5 7 3 2 2 2 2 2 3" xfId="11370" xr:uid="{00000000-0005-0000-0000-000064390000}"/>
    <cellStyle name="20% - Accent5 7 3 2 2 2 2 2 3 2" xfId="24287" xr:uid="{00000000-0005-0000-0000-000065390000}"/>
    <cellStyle name="20% - Accent5 7 3 2 2 2 2 2 3 2 2" xfId="50161" xr:uid="{00000000-0005-0000-0000-000066390000}"/>
    <cellStyle name="20% - Accent5 7 3 2 2 2 2 2 3 3" xfId="37245" xr:uid="{00000000-0005-0000-0000-000067390000}"/>
    <cellStyle name="20% - Accent5 7 3 2 2 2 2 2 4" xfId="17829" xr:uid="{00000000-0005-0000-0000-000068390000}"/>
    <cellStyle name="20% - Accent5 7 3 2 2 2 2 2 4 2" xfId="43703" xr:uid="{00000000-0005-0000-0000-000069390000}"/>
    <cellStyle name="20% - Accent5 7 3 2 2 2 2 2 5" xfId="30755" xr:uid="{00000000-0005-0000-0000-00006A390000}"/>
    <cellStyle name="20% - Accent5 7 3 2 2 2 2 3" xfId="6525" xr:uid="{00000000-0005-0000-0000-00006B390000}"/>
    <cellStyle name="20% - Accent5 7 3 2 2 2 2 3 2" xfId="12984" xr:uid="{00000000-0005-0000-0000-00006C390000}"/>
    <cellStyle name="20% - Accent5 7 3 2 2 2 2 3 2 2" xfId="25901" xr:uid="{00000000-0005-0000-0000-00006D390000}"/>
    <cellStyle name="20% - Accent5 7 3 2 2 2 2 3 2 2 2" xfId="51775" xr:uid="{00000000-0005-0000-0000-00006E390000}"/>
    <cellStyle name="20% - Accent5 7 3 2 2 2 2 3 2 3" xfId="38859" xr:uid="{00000000-0005-0000-0000-00006F390000}"/>
    <cellStyle name="20% - Accent5 7 3 2 2 2 2 3 3" xfId="19443" xr:uid="{00000000-0005-0000-0000-000070390000}"/>
    <cellStyle name="20% - Accent5 7 3 2 2 2 2 3 3 2" xfId="45317" xr:uid="{00000000-0005-0000-0000-000071390000}"/>
    <cellStyle name="20% - Accent5 7 3 2 2 2 2 3 4" xfId="32401" xr:uid="{00000000-0005-0000-0000-000072390000}"/>
    <cellStyle name="20% - Accent5 7 3 2 2 2 2 4" xfId="9756" xr:uid="{00000000-0005-0000-0000-000073390000}"/>
    <cellStyle name="20% - Accent5 7 3 2 2 2 2 4 2" xfId="22673" xr:uid="{00000000-0005-0000-0000-000074390000}"/>
    <cellStyle name="20% - Accent5 7 3 2 2 2 2 4 2 2" xfId="48547" xr:uid="{00000000-0005-0000-0000-000075390000}"/>
    <cellStyle name="20% - Accent5 7 3 2 2 2 2 4 3" xfId="35631" xr:uid="{00000000-0005-0000-0000-000076390000}"/>
    <cellStyle name="20% - Accent5 7 3 2 2 2 2 5" xfId="16215" xr:uid="{00000000-0005-0000-0000-000077390000}"/>
    <cellStyle name="20% - Accent5 7 3 2 2 2 2 5 2" xfId="42089" xr:uid="{00000000-0005-0000-0000-000078390000}"/>
    <cellStyle name="20% - Accent5 7 3 2 2 2 2 6" xfId="29141" xr:uid="{00000000-0005-0000-0000-000079390000}"/>
    <cellStyle name="20% - Accent5 7 3 2 2 2 3" xfId="4078" xr:uid="{00000000-0005-0000-0000-00007A390000}"/>
    <cellStyle name="20% - Accent5 7 3 2 2 2 3 2" xfId="7332" xr:uid="{00000000-0005-0000-0000-00007B390000}"/>
    <cellStyle name="20% - Accent5 7 3 2 2 2 3 2 2" xfId="13791" xr:uid="{00000000-0005-0000-0000-00007C390000}"/>
    <cellStyle name="20% - Accent5 7 3 2 2 2 3 2 2 2" xfId="26708" xr:uid="{00000000-0005-0000-0000-00007D390000}"/>
    <cellStyle name="20% - Accent5 7 3 2 2 2 3 2 2 2 2" xfId="52582" xr:uid="{00000000-0005-0000-0000-00007E390000}"/>
    <cellStyle name="20% - Accent5 7 3 2 2 2 3 2 2 3" xfId="39666" xr:uid="{00000000-0005-0000-0000-00007F390000}"/>
    <cellStyle name="20% - Accent5 7 3 2 2 2 3 2 3" xfId="20250" xr:uid="{00000000-0005-0000-0000-000080390000}"/>
    <cellStyle name="20% - Accent5 7 3 2 2 2 3 2 3 2" xfId="46124" xr:uid="{00000000-0005-0000-0000-000081390000}"/>
    <cellStyle name="20% - Accent5 7 3 2 2 2 3 2 4" xfId="33208" xr:uid="{00000000-0005-0000-0000-000082390000}"/>
    <cellStyle name="20% - Accent5 7 3 2 2 2 3 3" xfId="10563" xr:uid="{00000000-0005-0000-0000-000083390000}"/>
    <cellStyle name="20% - Accent5 7 3 2 2 2 3 3 2" xfId="23480" xr:uid="{00000000-0005-0000-0000-000084390000}"/>
    <cellStyle name="20% - Accent5 7 3 2 2 2 3 3 2 2" xfId="49354" xr:uid="{00000000-0005-0000-0000-000085390000}"/>
    <cellStyle name="20% - Accent5 7 3 2 2 2 3 3 3" xfId="36438" xr:uid="{00000000-0005-0000-0000-000086390000}"/>
    <cellStyle name="20% - Accent5 7 3 2 2 2 3 4" xfId="17022" xr:uid="{00000000-0005-0000-0000-000087390000}"/>
    <cellStyle name="20% - Accent5 7 3 2 2 2 3 4 2" xfId="42896" xr:uid="{00000000-0005-0000-0000-000088390000}"/>
    <cellStyle name="20% - Accent5 7 3 2 2 2 3 5" xfId="29948" xr:uid="{00000000-0005-0000-0000-000089390000}"/>
    <cellStyle name="20% - Accent5 7 3 2 2 2 4" xfId="5718" xr:uid="{00000000-0005-0000-0000-00008A390000}"/>
    <cellStyle name="20% - Accent5 7 3 2 2 2 4 2" xfId="12177" xr:uid="{00000000-0005-0000-0000-00008B390000}"/>
    <cellStyle name="20% - Accent5 7 3 2 2 2 4 2 2" xfId="25094" xr:uid="{00000000-0005-0000-0000-00008C390000}"/>
    <cellStyle name="20% - Accent5 7 3 2 2 2 4 2 2 2" xfId="50968" xr:uid="{00000000-0005-0000-0000-00008D390000}"/>
    <cellStyle name="20% - Accent5 7 3 2 2 2 4 2 3" xfId="38052" xr:uid="{00000000-0005-0000-0000-00008E390000}"/>
    <cellStyle name="20% - Accent5 7 3 2 2 2 4 3" xfId="18636" xr:uid="{00000000-0005-0000-0000-00008F390000}"/>
    <cellStyle name="20% - Accent5 7 3 2 2 2 4 3 2" xfId="44510" xr:uid="{00000000-0005-0000-0000-000090390000}"/>
    <cellStyle name="20% - Accent5 7 3 2 2 2 4 4" xfId="31594" xr:uid="{00000000-0005-0000-0000-000091390000}"/>
    <cellStyle name="20% - Accent5 7 3 2 2 2 5" xfId="8949" xr:uid="{00000000-0005-0000-0000-000092390000}"/>
    <cellStyle name="20% - Accent5 7 3 2 2 2 5 2" xfId="21866" xr:uid="{00000000-0005-0000-0000-000093390000}"/>
    <cellStyle name="20% - Accent5 7 3 2 2 2 5 2 2" xfId="47740" xr:uid="{00000000-0005-0000-0000-000094390000}"/>
    <cellStyle name="20% - Accent5 7 3 2 2 2 5 3" xfId="34824" xr:uid="{00000000-0005-0000-0000-000095390000}"/>
    <cellStyle name="20% - Accent5 7 3 2 2 2 6" xfId="15408" xr:uid="{00000000-0005-0000-0000-000096390000}"/>
    <cellStyle name="20% - Accent5 7 3 2 2 2 6 2" xfId="41282" xr:uid="{00000000-0005-0000-0000-000097390000}"/>
    <cellStyle name="20% - Accent5 7 3 2 2 2 7" xfId="28334" xr:uid="{00000000-0005-0000-0000-000098390000}"/>
    <cellStyle name="20% - Accent5 7 3 2 2 2 8" xfId="54196" xr:uid="{00000000-0005-0000-0000-000099390000}"/>
    <cellStyle name="20% - Accent5 7 3 2 2 3" xfId="2847" xr:uid="{00000000-0005-0000-0000-00009A390000}"/>
    <cellStyle name="20% - Accent5 7 3 2 2 3 2" xfId="4504" xr:uid="{00000000-0005-0000-0000-00009B390000}"/>
    <cellStyle name="20% - Accent5 7 3 2 2 3 2 2" xfId="7735" xr:uid="{00000000-0005-0000-0000-00009C390000}"/>
    <cellStyle name="20% - Accent5 7 3 2 2 3 2 2 2" xfId="14194" xr:uid="{00000000-0005-0000-0000-00009D390000}"/>
    <cellStyle name="20% - Accent5 7 3 2 2 3 2 2 2 2" xfId="27111" xr:uid="{00000000-0005-0000-0000-00009E390000}"/>
    <cellStyle name="20% - Accent5 7 3 2 2 3 2 2 2 2 2" xfId="52985" xr:uid="{00000000-0005-0000-0000-00009F390000}"/>
    <cellStyle name="20% - Accent5 7 3 2 2 3 2 2 2 3" xfId="40069" xr:uid="{00000000-0005-0000-0000-0000A0390000}"/>
    <cellStyle name="20% - Accent5 7 3 2 2 3 2 2 3" xfId="20653" xr:uid="{00000000-0005-0000-0000-0000A1390000}"/>
    <cellStyle name="20% - Accent5 7 3 2 2 3 2 2 3 2" xfId="46527" xr:uid="{00000000-0005-0000-0000-0000A2390000}"/>
    <cellStyle name="20% - Accent5 7 3 2 2 3 2 2 4" xfId="33611" xr:uid="{00000000-0005-0000-0000-0000A3390000}"/>
    <cellStyle name="20% - Accent5 7 3 2 2 3 2 3" xfId="10966" xr:uid="{00000000-0005-0000-0000-0000A4390000}"/>
    <cellStyle name="20% - Accent5 7 3 2 2 3 2 3 2" xfId="23883" xr:uid="{00000000-0005-0000-0000-0000A5390000}"/>
    <cellStyle name="20% - Accent5 7 3 2 2 3 2 3 2 2" xfId="49757" xr:uid="{00000000-0005-0000-0000-0000A6390000}"/>
    <cellStyle name="20% - Accent5 7 3 2 2 3 2 3 3" xfId="36841" xr:uid="{00000000-0005-0000-0000-0000A7390000}"/>
    <cellStyle name="20% - Accent5 7 3 2 2 3 2 4" xfId="17425" xr:uid="{00000000-0005-0000-0000-0000A8390000}"/>
    <cellStyle name="20% - Accent5 7 3 2 2 3 2 4 2" xfId="43299" xr:uid="{00000000-0005-0000-0000-0000A9390000}"/>
    <cellStyle name="20% - Accent5 7 3 2 2 3 2 5" xfId="30351" xr:uid="{00000000-0005-0000-0000-0000AA390000}"/>
    <cellStyle name="20% - Accent5 7 3 2 2 3 3" xfId="6121" xr:uid="{00000000-0005-0000-0000-0000AB390000}"/>
    <cellStyle name="20% - Accent5 7 3 2 2 3 3 2" xfId="12580" xr:uid="{00000000-0005-0000-0000-0000AC390000}"/>
    <cellStyle name="20% - Accent5 7 3 2 2 3 3 2 2" xfId="25497" xr:uid="{00000000-0005-0000-0000-0000AD390000}"/>
    <cellStyle name="20% - Accent5 7 3 2 2 3 3 2 2 2" xfId="51371" xr:uid="{00000000-0005-0000-0000-0000AE390000}"/>
    <cellStyle name="20% - Accent5 7 3 2 2 3 3 2 3" xfId="38455" xr:uid="{00000000-0005-0000-0000-0000AF390000}"/>
    <cellStyle name="20% - Accent5 7 3 2 2 3 3 3" xfId="19039" xr:uid="{00000000-0005-0000-0000-0000B0390000}"/>
    <cellStyle name="20% - Accent5 7 3 2 2 3 3 3 2" xfId="44913" xr:uid="{00000000-0005-0000-0000-0000B1390000}"/>
    <cellStyle name="20% - Accent5 7 3 2 2 3 3 4" xfId="31997" xr:uid="{00000000-0005-0000-0000-0000B2390000}"/>
    <cellStyle name="20% - Accent5 7 3 2 2 3 4" xfId="9352" xr:uid="{00000000-0005-0000-0000-0000B3390000}"/>
    <cellStyle name="20% - Accent5 7 3 2 2 3 4 2" xfId="22269" xr:uid="{00000000-0005-0000-0000-0000B4390000}"/>
    <cellStyle name="20% - Accent5 7 3 2 2 3 4 2 2" xfId="48143" xr:uid="{00000000-0005-0000-0000-0000B5390000}"/>
    <cellStyle name="20% - Accent5 7 3 2 2 3 4 3" xfId="35227" xr:uid="{00000000-0005-0000-0000-0000B6390000}"/>
    <cellStyle name="20% - Accent5 7 3 2 2 3 5" xfId="15811" xr:uid="{00000000-0005-0000-0000-0000B7390000}"/>
    <cellStyle name="20% - Accent5 7 3 2 2 3 5 2" xfId="41685" xr:uid="{00000000-0005-0000-0000-0000B8390000}"/>
    <cellStyle name="20% - Accent5 7 3 2 2 3 6" xfId="28737" xr:uid="{00000000-0005-0000-0000-0000B9390000}"/>
    <cellStyle name="20% - Accent5 7 3 2 2 4" xfId="3674" xr:uid="{00000000-0005-0000-0000-0000BA390000}"/>
    <cellStyle name="20% - Accent5 7 3 2 2 4 2" xfId="6928" xr:uid="{00000000-0005-0000-0000-0000BB390000}"/>
    <cellStyle name="20% - Accent5 7 3 2 2 4 2 2" xfId="13387" xr:uid="{00000000-0005-0000-0000-0000BC390000}"/>
    <cellStyle name="20% - Accent5 7 3 2 2 4 2 2 2" xfId="26304" xr:uid="{00000000-0005-0000-0000-0000BD390000}"/>
    <cellStyle name="20% - Accent5 7 3 2 2 4 2 2 2 2" xfId="52178" xr:uid="{00000000-0005-0000-0000-0000BE390000}"/>
    <cellStyle name="20% - Accent5 7 3 2 2 4 2 2 3" xfId="39262" xr:uid="{00000000-0005-0000-0000-0000BF390000}"/>
    <cellStyle name="20% - Accent5 7 3 2 2 4 2 3" xfId="19846" xr:uid="{00000000-0005-0000-0000-0000C0390000}"/>
    <cellStyle name="20% - Accent5 7 3 2 2 4 2 3 2" xfId="45720" xr:uid="{00000000-0005-0000-0000-0000C1390000}"/>
    <cellStyle name="20% - Accent5 7 3 2 2 4 2 4" xfId="32804" xr:uid="{00000000-0005-0000-0000-0000C2390000}"/>
    <cellStyle name="20% - Accent5 7 3 2 2 4 3" xfId="10159" xr:uid="{00000000-0005-0000-0000-0000C3390000}"/>
    <cellStyle name="20% - Accent5 7 3 2 2 4 3 2" xfId="23076" xr:uid="{00000000-0005-0000-0000-0000C4390000}"/>
    <cellStyle name="20% - Accent5 7 3 2 2 4 3 2 2" xfId="48950" xr:uid="{00000000-0005-0000-0000-0000C5390000}"/>
    <cellStyle name="20% - Accent5 7 3 2 2 4 3 3" xfId="36034" xr:uid="{00000000-0005-0000-0000-0000C6390000}"/>
    <cellStyle name="20% - Accent5 7 3 2 2 4 4" xfId="16618" xr:uid="{00000000-0005-0000-0000-0000C7390000}"/>
    <cellStyle name="20% - Accent5 7 3 2 2 4 4 2" xfId="42492" xr:uid="{00000000-0005-0000-0000-0000C8390000}"/>
    <cellStyle name="20% - Accent5 7 3 2 2 4 5" xfId="29544" xr:uid="{00000000-0005-0000-0000-0000C9390000}"/>
    <cellStyle name="20% - Accent5 7 3 2 2 5" xfId="5314" xr:uid="{00000000-0005-0000-0000-0000CA390000}"/>
    <cellStyle name="20% - Accent5 7 3 2 2 5 2" xfId="11773" xr:uid="{00000000-0005-0000-0000-0000CB390000}"/>
    <cellStyle name="20% - Accent5 7 3 2 2 5 2 2" xfId="24690" xr:uid="{00000000-0005-0000-0000-0000CC390000}"/>
    <cellStyle name="20% - Accent5 7 3 2 2 5 2 2 2" xfId="50564" xr:uid="{00000000-0005-0000-0000-0000CD390000}"/>
    <cellStyle name="20% - Accent5 7 3 2 2 5 2 3" xfId="37648" xr:uid="{00000000-0005-0000-0000-0000CE390000}"/>
    <cellStyle name="20% - Accent5 7 3 2 2 5 3" xfId="18232" xr:uid="{00000000-0005-0000-0000-0000CF390000}"/>
    <cellStyle name="20% - Accent5 7 3 2 2 5 3 2" xfId="44106" xr:uid="{00000000-0005-0000-0000-0000D0390000}"/>
    <cellStyle name="20% - Accent5 7 3 2 2 5 4" xfId="31190" xr:uid="{00000000-0005-0000-0000-0000D1390000}"/>
    <cellStyle name="20% - Accent5 7 3 2 2 6" xfId="8545" xr:uid="{00000000-0005-0000-0000-0000D2390000}"/>
    <cellStyle name="20% - Accent5 7 3 2 2 6 2" xfId="21462" xr:uid="{00000000-0005-0000-0000-0000D3390000}"/>
    <cellStyle name="20% - Accent5 7 3 2 2 6 2 2" xfId="47336" xr:uid="{00000000-0005-0000-0000-0000D4390000}"/>
    <cellStyle name="20% - Accent5 7 3 2 2 6 3" xfId="34420" xr:uid="{00000000-0005-0000-0000-0000D5390000}"/>
    <cellStyle name="20% - Accent5 7 3 2 2 7" xfId="15004" xr:uid="{00000000-0005-0000-0000-0000D6390000}"/>
    <cellStyle name="20% - Accent5 7 3 2 2 7 2" xfId="40878" xr:uid="{00000000-0005-0000-0000-0000D7390000}"/>
    <cellStyle name="20% - Accent5 7 3 2 2 8" xfId="27929" xr:uid="{00000000-0005-0000-0000-0000D8390000}"/>
    <cellStyle name="20% - Accent5 7 3 2 2 9" xfId="53792" xr:uid="{00000000-0005-0000-0000-0000D9390000}"/>
    <cellStyle name="20% - Accent5 7 3 2 3" xfId="2242" xr:uid="{00000000-0005-0000-0000-0000DA390000}"/>
    <cellStyle name="20% - Accent5 7 3 2 3 2" xfId="3056" xr:uid="{00000000-0005-0000-0000-0000DB390000}"/>
    <cellStyle name="20% - Accent5 7 3 2 3 2 2" xfId="4713" xr:uid="{00000000-0005-0000-0000-0000DC390000}"/>
    <cellStyle name="20% - Accent5 7 3 2 3 2 2 2" xfId="7944" xr:uid="{00000000-0005-0000-0000-0000DD390000}"/>
    <cellStyle name="20% - Accent5 7 3 2 3 2 2 2 2" xfId="14403" xr:uid="{00000000-0005-0000-0000-0000DE390000}"/>
    <cellStyle name="20% - Accent5 7 3 2 3 2 2 2 2 2" xfId="27320" xr:uid="{00000000-0005-0000-0000-0000DF390000}"/>
    <cellStyle name="20% - Accent5 7 3 2 3 2 2 2 2 2 2" xfId="53194" xr:uid="{00000000-0005-0000-0000-0000E0390000}"/>
    <cellStyle name="20% - Accent5 7 3 2 3 2 2 2 2 3" xfId="40278" xr:uid="{00000000-0005-0000-0000-0000E1390000}"/>
    <cellStyle name="20% - Accent5 7 3 2 3 2 2 2 3" xfId="20862" xr:uid="{00000000-0005-0000-0000-0000E2390000}"/>
    <cellStyle name="20% - Accent5 7 3 2 3 2 2 2 3 2" xfId="46736" xr:uid="{00000000-0005-0000-0000-0000E3390000}"/>
    <cellStyle name="20% - Accent5 7 3 2 3 2 2 2 4" xfId="33820" xr:uid="{00000000-0005-0000-0000-0000E4390000}"/>
    <cellStyle name="20% - Accent5 7 3 2 3 2 2 3" xfId="11175" xr:uid="{00000000-0005-0000-0000-0000E5390000}"/>
    <cellStyle name="20% - Accent5 7 3 2 3 2 2 3 2" xfId="24092" xr:uid="{00000000-0005-0000-0000-0000E6390000}"/>
    <cellStyle name="20% - Accent5 7 3 2 3 2 2 3 2 2" xfId="49966" xr:uid="{00000000-0005-0000-0000-0000E7390000}"/>
    <cellStyle name="20% - Accent5 7 3 2 3 2 2 3 3" xfId="37050" xr:uid="{00000000-0005-0000-0000-0000E8390000}"/>
    <cellStyle name="20% - Accent5 7 3 2 3 2 2 4" xfId="17634" xr:uid="{00000000-0005-0000-0000-0000E9390000}"/>
    <cellStyle name="20% - Accent5 7 3 2 3 2 2 4 2" xfId="43508" xr:uid="{00000000-0005-0000-0000-0000EA390000}"/>
    <cellStyle name="20% - Accent5 7 3 2 3 2 2 5" xfId="30560" xr:uid="{00000000-0005-0000-0000-0000EB390000}"/>
    <cellStyle name="20% - Accent5 7 3 2 3 2 3" xfId="6330" xr:uid="{00000000-0005-0000-0000-0000EC390000}"/>
    <cellStyle name="20% - Accent5 7 3 2 3 2 3 2" xfId="12789" xr:uid="{00000000-0005-0000-0000-0000ED390000}"/>
    <cellStyle name="20% - Accent5 7 3 2 3 2 3 2 2" xfId="25706" xr:uid="{00000000-0005-0000-0000-0000EE390000}"/>
    <cellStyle name="20% - Accent5 7 3 2 3 2 3 2 2 2" xfId="51580" xr:uid="{00000000-0005-0000-0000-0000EF390000}"/>
    <cellStyle name="20% - Accent5 7 3 2 3 2 3 2 3" xfId="38664" xr:uid="{00000000-0005-0000-0000-0000F0390000}"/>
    <cellStyle name="20% - Accent5 7 3 2 3 2 3 3" xfId="19248" xr:uid="{00000000-0005-0000-0000-0000F1390000}"/>
    <cellStyle name="20% - Accent5 7 3 2 3 2 3 3 2" xfId="45122" xr:uid="{00000000-0005-0000-0000-0000F2390000}"/>
    <cellStyle name="20% - Accent5 7 3 2 3 2 3 4" xfId="32206" xr:uid="{00000000-0005-0000-0000-0000F3390000}"/>
    <cellStyle name="20% - Accent5 7 3 2 3 2 4" xfId="9561" xr:uid="{00000000-0005-0000-0000-0000F4390000}"/>
    <cellStyle name="20% - Accent5 7 3 2 3 2 4 2" xfId="22478" xr:uid="{00000000-0005-0000-0000-0000F5390000}"/>
    <cellStyle name="20% - Accent5 7 3 2 3 2 4 2 2" xfId="48352" xr:uid="{00000000-0005-0000-0000-0000F6390000}"/>
    <cellStyle name="20% - Accent5 7 3 2 3 2 4 3" xfId="35436" xr:uid="{00000000-0005-0000-0000-0000F7390000}"/>
    <cellStyle name="20% - Accent5 7 3 2 3 2 5" xfId="16020" xr:uid="{00000000-0005-0000-0000-0000F8390000}"/>
    <cellStyle name="20% - Accent5 7 3 2 3 2 5 2" xfId="41894" xr:uid="{00000000-0005-0000-0000-0000F9390000}"/>
    <cellStyle name="20% - Accent5 7 3 2 3 2 6" xfId="28946" xr:uid="{00000000-0005-0000-0000-0000FA390000}"/>
    <cellStyle name="20% - Accent5 7 3 2 3 3" xfId="3883" xr:uid="{00000000-0005-0000-0000-0000FB390000}"/>
    <cellStyle name="20% - Accent5 7 3 2 3 3 2" xfId="7137" xr:uid="{00000000-0005-0000-0000-0000FC390000}"/>
    <cellStyle name="20% - Accent5 7 3 2 3 3 2 2" xfId="13596" xr:uid="{00000000-0005-0000-0000-0000FD390000}"/>
    <cellStyle name="20% - Accent5 7 3 2 3 3 2 2 2" xfId="26513" xr:uid="{00000000-0005-0000-0000-0000FE390000}"/>
    <cellStyle name="20% - Accent5 7 3 2 3 3 2 2 2 2" xfId="52387" xr:uid="{00000000-0005-0000-0000-0000FF390000}"/>
    <cellStyle name="20% - Accent5 7 3 2 3 3 2 2 3" xfId="39471" xr:uid="{00000000-0005-0000-0000-0000003A0000}"/>
    <cellStyle name="20% - Accent5 7 3 2 3 3 2 3" xfId="20055" xr:uid="{00000000-0005-0000-0000-0000013A0000}"/>
    <cellStyle name="20% - Accent5 7 3 2 3 3 2 3 2" xfId="45929" xr:uid="{00000000-0005-0000-0000-0000023A0000}"/>
    <cellStyle name="20% - Accent5 7 3 2 3 3 2 4" xfId="33013" xr:uid="{00000000-0005-0000-0000-0000033A0000}"/>
    <cellStyle name="20% - Accent5 7 3 2 3 3 3" xfId="10368" xr:uid="{00000000-0005-0000-0000-0000043A0000}"/>
    <cellStyle name="20% - Accent5 7 3 2 3 3 3 2" xfId="23285" xr:uid="{00000000-0005-0000-0000-0000053A0000}"/>
    <cellStyle name="20% - Accent5 7 3 2 3 3 3 2 2" xfId="49159" xr:uid="{00000000-0005-0000-0000-0000063A0000}"/>
    <cellStyle name="20% - Accent5 7 3 2 3 3 3 3" xfId="36243" xr:uid="{00000000-0005-0000-0000-0000073A0000}"/>
    <cellStyle name="20% - Accent5 7 3 2 3 3 4" xfId="16827" xr:uid="{00000000-0005-0000-0000-0000083A0000}"/>
    <cellStyle name="20% - Accent5 7 3 2 3 3 4 2" xfId="42701" xr:uid="{00000000-0005-0000-0000-0000093A0000}"/>
    <cellStyle name="20% - Accent5 7 3 2 3 3 5" xfId="29753" xr:uid="{00000000-0005-0000-0000-00000A3A0000}"/>
    <cellStyle name="20% - Accent5 7 3 2 3 4" xfId="5523" xr:uid="{00000000-0005-0000-0000-00000B3A0000}"/>
    <cellStyle name="20% - Accent5 7 3 2 3 4 2" xfId="11982" xr:uid="{00000000-0005-0000-0000-00000C3A0000}"/>
    <cellStyle name="20% - Accent5 7 3 2 3 4 2 2" xfId="24899" xr:uid="{00000000-0005-0000-0000-00000D3A0000}"/>
    <cellStyle name="20% - Accent5 7 3 2 3 4 2 2 2" xfId="50773" xr:uid="{00000000-0005-0000-0000-00000E3A0000}"/>
    <cellStyle name="20% - Accent5 7 3 2 3 4 2 3" xfId="37857" xr:uid="{00000000-0005-0000-0000-00000F3A0000}"/>
    <cellStyle name="20% - Accent5 7 3 2 3 4 3" xfId="18441" xr:uid="{00000000-0005-0000-0000-0000103A0000}"/>
    <cellStyle name="20% - Accent5 7 3 2 3 4 3 2" xfId="44315" xr:uid="{00000000-0005-0000-0000-0000113A0000}"/>
    <cellStyle name="20% - Accent5 7 3 2 3 4 4" xfId="31399" xr:uid="{00000000-0005-0000-0000-0000123A0000}"/>
    <cellStyle name="20% - Accent5 7 3 2 3 5" xfId="8754" xr:uid="{00000000-0005-0000-0000-0000133A0000}"/>
    <cellStyle name="20% - Accent5 7 3 2 3 5 2" xfId="21671" xr:uid="{00000000-0005-0000-0000-0000143A0000}"/>
    <cellStyle name="20% - Accent5 7 3 2 3 5 2 2" xfId="47545" xr:uid="{00000000-0005-0000-0000-0000153A0000}"/>
    <cellStyle name="20% - Accent5 7 3 2 3 5 3" xfId="34629" xr:uid="{00000000-0005-0000-0000-0000163A0000}"/>
    <cellStyle name="20% - Accent5 7 3 2 3 6" xfId="15213" xr:uid="{00000000-0005-0000-0000-0000173A0000}"/>
    <cellStyle name="20% - Accent5 7 3 2 3 6 2" xfId="41087" xr:uid="{00000000-0005-0000-0000-0000183A0000}"/>
    <cellStyle name="20% - Accent5 7 3 2 3 7" xfId="28139" xr:uid="{00000000-0005-0000-0000-0000193A0000}"/>
    <cellStyle name="20% - Accent5 7 3 2 3 8" xfId="54001" xr:uid="{00000000-0005-0000-0000-00001A3A0000}"/>
    <cellStyle name="20% - Accent5 7 3 2 4" xfId="2653" xr:uid="{00000000-0005-0000-0000-00001B3A0000}"/>
    <cellStyle name="20% - Accent5 7 3 2 4 2" xfId="4310" xr:uid="{00000000-0005-0000-0000-00001C3A0000}"/>
    <cellStyle name="20% - Accent5 7 3 2 4 2 2" xfId="7541" xr:uid="{00000000-0005-0000-0000-00001D3A0000}"/>
    <cellStyle name="20% - Accent5 7 3 2 4 2 2 2" xfId="14000" xr:uid="{00000000-0005-0000-0000-00001E3A0000}"/>
    <cellStyle name="20% - Accent5 7 3 2 4 2 2 2 2" xfId="26917" xr:uid="{00000000-0005-0000-0000-00001F3A0000}"/>
    <cellStyle name="20% - Accent5 7 3 2 4 2 2 2 2 2" xfId="52791" xr:uid="{00000000-0005-0000-0000-0000203A0000}"/>
    <cellStyle name="20% - Accent5 7 3 2 4 2 2 2 3" xfId="39875" xr:uid="{00000000-0005-0000-0000-0000213A0000}"/>
    <cellStyle name="20% - Accent5 7 3 2 4 2 2 3" xfId="20459" xr:uid="{00000000-0005-0000-0000-0000223A0000}"/>
    <cellStyle name="20% - Accent5 7 3 2 4 2 2 3 2" xfId="46333" xr:uid="{00000000-0005-0000-0000-0000233A0000}"/>
    <cellStyle name="20% - Accent5 7 3 2 4 2 2 4" xfId="33417" xr:uid="{00000000-0005-0000-0000-0000243A0000}"/>
    <cellStyle name="20% - Accent5 7 3 2 4 2 3" xfId="10772" xr:uid="{00000000-0005-0000-0000-0000253A0000}"/>
    <cellStyle name="20% - Accent5 7 3 2 4 2 3 2" xfId="23689" xr:uid="{00000000-0005-0000-0000-0000263A0000}"/>
    <cellStyle name="20% - Accent5 7 3 2 4 2 3 2 2" xfId="49563" xr:uid="{00000000-0005-0000-0000-0000273A0000}"/>
    <cellStyle name="20% - Accent5 7 3 2 4 2 3 3" xfId="36647" xr:uid="{00000000-0005-0000-0000-0000283A0000}"/>
    <cellStyle name="20% - Accent5 7 3 2 4 2 4" xfId="17231" xr:uid="{00000000-0005-0000-0000-0000293A0000}"/>
    <cellStyle name="20% - Accent5 7 3 2 4 2 4 2" xfId="43105" xr:uid="{00000000-0005-0000-0000-00002A3A0000}"/>
    <cellStyle name="20% - Accent5 7 3 2 4 2 5" xfId="30157" xr:uid="{00000000-0005-0000-0000-00002B3A0000}"/>
    <cellStyle name="20% - Accent5 7 3 2 4 3" xfId="5927" xr:uid="{00000000-0005-0000-0000-00002C3A0000}"/>
    <cellStyle name="20% - Accent5 7 3 2 4 3 2" xfId="12386" xr:uid="{00000000-0005-0000-0000-00002D3A0000}"/>
    <cellStyle name="20% - Accent5 7 3 2 4 3 2 2" xfId="25303" xr:uid="{00000000-0005-0000-0000-00002E3A0000}"/>
    <cellStyle name="20% - Accent5 7 3 2 4 3 2 2 2" xfId="51177" xr:uid="{00000000-0005-0000-0000-00002F3A0000}"/>
    <cellStyle name="20% - Accent5 7 3 2 4 3 2 3" xfId="38261" xr:uid="{00000000-0005-0000-0000-0000303A0000}"/>
    <cellStyle name="20% - Accent5 7 3 2 4 3 3" xfId="18845" xr:uid="{00000000-0005-0000-0000-0000313A0000}"/>
    <cellStyle name="20% - Accent5 7 3 2 4 3 3 2" xfId="44719" xr:uid="{00000000-0005-0000-0000-0000323A0000}"/>
    <cellStyle name="20% - Accent5 7 3 2 4 3 4" xfId="31803" xr:uid="{00000000-0005-0000-0000-0000333A0000}"/>
    <cellStyle name="20% - Accent5 7 3 2 4 4" xfId="9158" xr:uid="{00000000-0005-0000-0000-0000343A0000}"/>
    <cellStyle name="20% - Accent5 7 3 2 4 4 2" xfId="22075" xr:uid="{00000000-0005-0000-0000-0000353A0000}"/>
    <cellStyle name="20% - Accent5 7 3 2 4 4 2 2" xfId="47949" xr:uid="{00000000-0005-0000-0000-0000363A0000}"/>
    <cellStyle name="20% - Accent5 7 3 2 4 4 3" xfId="35033" xr:uid="{00000000-0005-0000-0000-0000373A0000}"/>
    <cellStyle name="20% - Accent5 7 3 2 4 5" xfId="15617" xr:uid="{00000000-0005-0000-0000-0000383A0000}"/>
    <cellStyle name="20% - Accent5 7 3 2 4 5 2" xfId="41491" xr:uid="{00000000-0005-0000-0000-0000393A0000}"/>
    <cellStyle name="20% - Accent5 7 3 2 4 6" xfId="28543" xr:uid="{00000000-0005-0000-0000-00003A3A0000}"/>
    <cellStyle name="20% - Accent5 7 3 2 5" xfId="3480" xr:uid="{00000000-0005-0000-0000-00003B3A0000}"/>
    <cellStyle name="20% - Accent5 7 3 2 5 2" xfId="6734" xr:uid="{00000000-0005-0000-0000-00003C3A0000}"/>
    <cellStyle name="20% - Accent5 7 3 2 5 2 2" xfId="13193" xr:uid="{00000000-0005-0000-0000-00003D3A0000}"/>
    <cellStyle name="20% - Accent5 7 3 2 5 2 2 2" xfId="26110" xr:uid="{00000000-0005-0000-0000-00003E3A0000}"/>
    <cellStyle name="20% - Accent5 7 3 2 5 2 2 2 2" xfId="51984" xr:uid="{00000000-0005-0000-0000-00003F3A0000}"/>
    <cellStyle name="20% - Accent5 7 3 2 5 2 2 3" xfId="39068" xr:uid="{00000000-0005-0000-0000-0000403A0000}"/>
    <cellStyle name="20% - Accent5 7 3 2 5 2 3" xfId="19652" xr:uid="{00000000-0005-0000-0000-0000413A0000}"/>
    <cellStyle name="20% - Accent5 7 3 2 5 2 3 2" xfId="45526" xr:uid="{00000000-0005-0000-0000-0000423A0000}"/>
    <cellStyle name="20% - Accent5 7 3 2 5 2 4" xfId="32610" xr:uid="{00000000-0005-0000-0000-0000433A0000}"/>
    <cellStyle name="20% - Accent5 7 3 2 5 3" xfId="9965" xr:uid="{00000000-0005-0000-0000-0000443A0000}"/>
    <cellStyle name="20% - Accent5 7 3 2 5 3 2" xfId="22882" xr:uid="{00000000-0005-0000-0000-0000453A0000}"/>
    <cellStyle name="20% - Accent5 7 3 2 5 3 2 2" xfId="48756" xr:uid="{00000000-0005-0000-0000-0000463A0000}"/>
    <cellStyle name="20% - Accent5 7 3 2 5 3 3" xfId="35840" xr:uid="{00000000-0005-0000-0000-0000473A0000}"/>
    <cellStyle name="20% - Accent5 7 3 2 5 4" xfId="16424" xr:uid="{00000000-0005-0000-0000-0000483A0000}"/>
    <cellStyle name="20% - Accent5 7 3 2 5 4 2" xfId="42298" xr:uid="{00000000-0005-0000-0000-0000493A0000}"/>
    <cellStyle name="20% - Accent5 7 3 2 5 5" xfId="29350" xr:uid="{00000000-0005-0000-0000-00004A3A0000}"/>
    <cellStyle name="20% - Accent5 7 3 2 6" xfId="5120" xr:uid="{00000000-0005-0000-0000-00004B3A0000}"/>
    <cellStyle name="20% - Accent5 7 3 2 6 2" xfId="11579" xr:uid="{00000000-0005-0000-0000-00004C3A0000}"/>
    <cellStyle name="20% - Accent5 7 3 2 6 2 2" xfId="24496" xr:uid="{00000000-0005-0000-0000-00004D3A0000}"/>
    <cellStyle name="20% - Accent5 7 3 2 6 2 2 2" xfId="50370" xr:uid="{00000000-0005-0000-0000-00004E3A0000}"/>
    <cellStyle name="20% - Accent5 7 3 2 6 2 3" xfId="37454" xr:uid="{00000000-0005-0000-0000-00004F3A0000}"/>
    <cellStyle name="20% - Accent5 7 3 2 6 3" xfId="18038" xr:uid="{00000000-0005-0000-0000-0000503A0000}"/>
    <cellStyle name="20% - Accent5 7 3 2 6 3 2" xfId="43912" xr:uid="{00000000-0005-0000-0000-0000513A0000}"/>
    <cellStyle name="20% - Accent5 7 3 2 6 4" xfId="30996" xr:uid="{00000000-0005-0000-0000-0000523A0000}"/>
    <cellStyle name="20% - Accent5 7 3 2 7" xfId="8350" xr:uid="{00000000-0005-0000-0000-0000533A0000}"/>
    <cellStyle name="20% - Accent5 7 3 2 7 2" xfId="21267" xr:uid="{00000000-0005-0000-0000-0000543A0000}"/>
    <cellStyle name="20% - Accent5 7 3 2 7 2 2" xfId="47141" xr:uid="{00000000-0005-0000-0000-0000553A0000}"/>
    <cellStyle name="20% - Accent5 7 3 2 7 3" xfId="34225" xr:uid="{00000000-0005-0000-0000-0000563A0000}"/>
    <cellStyle name="20% - Accent5 7 3 2 8" xfId="14809" xr:uid="{00000000-0005-0000-0000-0000573A0000}"/>
    <cellStyle name="20% - Accent5 7 3 2 8 2" xfId="40683" xr:uid="{00000000-0005-0000-0000-0000583A0000}"/>
    <cellStyle name="20% - Accent5 7 3 2 9" xfId="27735" xr:uid="{00000000-0005-0000-0000-0000593A0000}"/>
    <cellStyle name="20% - Accent5 7 3 3" xfId="1849" xr:uid="{00000000-0005-0000-0000-00005A3A0000}"/>
    <cellStyle name="20% - Accent5 7 3 3 2" xfId="2291" xr:uid="{00000000-0005-0000-0000-00005B3A0000}"/>
    <cellStyle name="20% - Accent5 7 3 3 2 2" xfId="3105" xr:uid="{00000000-0005-0000-0000-00005C3A0000}"/>
    <cellStyle name="20% - Accent5 7 3 3 2 2 2" xfId="4762" xr:uid="{00000000-0005-0000-0000-00005D3A0000}"/>
    <cellStyle name="20% - Accent5 7 3 3 2 2 2 2" xfId="7993" xr:uid="{00000000-0005-0000-0000-00005E3A0000}"/>
    <cellStyle name="20% - Accent5 7 3 3 2 2 2 2 2" xfId="14452" xr:uid="{00000000-0005-0000-0000-00005F3A0000}"/>
    <cellStyle name="20% - Accent5 7 3 3 2 2 2 2 2 2" xfId="27369" xr:uid="{00000000-0005-0000-0000-0000603A0000}"/>
    <cellStyle name="20% - Accent5 7 3 3 2 2 2 2 2 2 2" xfId="53243" xr:uid="{00000000-0005-0000-0000-0000613A0000}"/>
    <cellStyle name="20% - Accent5 7 3 3 2 2 2 2 2 3" xfId="40327" xr:uid="{00000000-0005-0000-0000-0000623A0000}"/>
    <cellStyle name="20% - Accent5 7 3 3 2 2 2 2 3" xfId="20911" xr:uid="{00000000-0005-0000-0000-0000633A0000}"/>
    <cellStyle name="20% - Accent5 7 3 3 2 2 2 2 3 2" xfId="46785" xr:uid="{00000000-0005-0000-0000-0000643A0000}"/>
    <cellStyle name="20% - Accent5 7 3 3 2 2 2 2 4" xfId="33869" xr:uid="{00000000-0005-0000-0000-0000653A0000}"/>
    <cellStyle name="20% - Accent5 7 3 3 2 2 2 3" xfId="11224" xr:uid="{00000000-0005-0000-0000-0000663A0000}"/>
    <cellStyle name="20% - Accent5 7 3 3 2 2 2 3 2" xfId="24141" xr:uid="{00000000-0005-0000-0000-0000673A0000}"/>
    <cellStyle name="20% - Accent5 7 3 3 2 2 2 3 2 2" xfId="50015" xr:uid="{00000000-0005-0000-0000-0000683A0000}"/>
    <cellStyle name="20% - Accent5 7 3 3 2 2 2 3 3" xfId="37099" xr:uid="{00000000-0005-0000-0000-0000693A0000}"/>
    <cellStyle name="20% - Accent5 7 3 3 2 2 2 4" xfId="17683" xr:uid="{00000000-0005-0000-0000-00006A3A0000}"/>
    <cellStyle name="20% - Accent5 7 3 3 2 2 2 4 2" xfId="43557" xr:uid="{00000000-0005-0000-0000-00006B3A0000}"/>
    <cellStyle name="20% - Accent5 7 3 3 2 2 2 5" xfId="30609" xr:uid="{00000000-0005-0000-0000-00006C3A0000}"/>
    <cellStyle name="20% - Accent5 7 3 3 2 2 3" xfId="6379" xr:uid="{00000000-0005-0000-0000-00006D3A0000}"/>
    <cellStyle name="20% - Accent5 7 3 3 2 2 3 2" xfId="12838" xr:uid="{00000000-0005-0000-0000-00006E3A0000}"/>
    <cellStyle name="20% - Accent5 7 3 3 2 2 3 2 2" xfId="25755" xr:uid="{00000000-0005-0000-0000-00006F3A0000}"/>
    <cellStyle name="20% - Accent5 7 3 3 2 2 3 2 2 2" xfId="51629" xr:uid="{00000000-0005-0000-0000-0000703A0000}"/>
    <cellStyle name="20% - Accent5 7 3 3 2 2 3 2 3" xfId="38713" xr:uid="{00000000-0005-0000-0000-0000713A0000}"/>
    <cellStyle name="20% - Accent5 7 3 3 2 2 3 3" xfId="19297" xr:uid="{00000000-0005-0000-0000-0000723A0000}"/>
    <cellStyle name="20% - Accent5 7 3 3 2 2 3 3 2" xfId="45171" xr:uid="{00000000-0005-0000-0000-0000733A0000}"/>
    <cellStyle name="20% - Accent5 7 3 3 2 2 3 4" xfId="32255" xr:uid="{00000000-0005-0000-0000-0000743A0000}"/>
    <cellStyle name="20% - Accent5 7 3 3 2 2 4" xfId="9610" xr:uid="{00000000-0005-0000-0000-0000753A0000}"/>
    <cellStyle name="20% - Accent5 7 3 3 2 2 4 2" xfId="22527" xr:uid="{00000000-0005-0000-0000-0000763A0000}"/>
    <cellStyle name="20% - Accent5 7 3 3 2 2 4 2 2" xfId="48401" xr:uid="{00000000-0005-0000-0000-0000773A0000}"/>
    <cellStyle name="20% - Accent5 7 3 3 2 2 4 3" xfId="35485" xr:uid="{00000000-0005-0000-0000-0000783A0000}"/>
    <cellStyle name="20% - Accent5 7 3 3 2 2 5" xfId="16069" xr:uid="{00000000-0005-0000-0000-0000793A0000}"/>
    <cellStyle name="20% - Accent5 7 3 3 2 2 5 2" xfId="41943" xr:uid="{00000000-0005-0000-0000-00007A3A0000}"/>
    <cellStyle name="20% - Accent5 7 3 3 2 2 6" xfId="28995" xr:uid="{00000000-0005-0000-0000-00007B3A0000}"/>
    <cellStyle name="20% - Accent5 7 3 3 2 3" xfId="3932" xr:uid="{00000000-0005-0000-0000-00007C3A0000}"/>
    <cellStyle name="20% - Accent5 7 3 3 2 3 2" xfId="7186" xr:uid="{00000000-0005-0000-0000-00007D3A0000}"/>
    <cellStyle name="20% - Accent5 7 3 3 2 3 2 2" xfId="13645" xr:uid="{00000000-0005-0000-0000-00007E3A0000}"/>
    <cellStyle name="20% - Accent5 7 3 3 2 3 2 2 2" xfId="26562" xr:uid="{00000000-0005-0000-0000-00007F3A0000}"/>
    <cellStyle name="20% - Accent5 7 3 3 2 3 2 2 2 2" xfId="52436" xr:uid="{00000000-0005-0000-0000-0000803A0000}"/>
    <cellStyle name="20% - Accent5 7 3 3 2 3 2 2 3" xfId="39520" xr:uid="{00000000-0005-0000-0000-0000813A0000}"/>
    <cellStyle name="20% - Accent5 7 3 3 2 3 2 3" xfId="20104" xr:uid="{00000000-0005-0000-0000-0000823A0000}"/>
    <cellStyle name="20% - Accent5 7 3 3 2 3 2 3 2" xfId="45978" xr:uid="{00000000-0005-0000-0000-0000833A0000}"/>
    <cellStyle name="20% - Accent5 7 3 3 2 3 2 4" xfId="33062" xr:uid="{00000000-0005-0000-0000-0000843A0000}"/>
    <cellStyle name="20% - Accent5 7 3 3 2 3 3" xfId="10417" xr:uid="{00000000-0005-0000-0000-0000853A0000}"/>
    <cellStyle name="20% - Accent5 7 3 3 2 3 3 2" xfId="23334" xr:uid="{00000000-0005-0000-0000-0000863A0000}"/>
    <cellStyle name="20% - Accent5 7 3 3 2 3 3 2 2" xfId="49208" xr:uid="{00000000-0005-0000-0000-0000873A0000}"/>
    <cellStyle name="20% - Accent5 7 3 3 2 3 3 3" xfId="36292" xr:uid="{00000000-0005-0000-0000-0000883A0000}"/>
    <cellStyle name="20% - Accent5 7 3 3 2 3 4" xfId="16876" xr:uid="{00000000-0005-0000-0000-0000893A0000}"/>
    <cellStyle name="20% - Accent5 7 3 3 2 3 4 2" xfId="42750" xr:uid="{00000000-0005-0000-0000-00008A3A0000}"/>
    <cellStyle name="20% - Accent5 7 3 3 2 3 5" xfId="29802" xr:uid="{00000000-0005-0000-0000-00008B3A0000}"/>
    <cellStyle name="20% - Accent5 7 3 3 2 4" xfId="5572" xr:uid="{00000000-0005-0000-0000-00008C3A0000}"/>
    <cellStyle name="20% - Accent5 7 3 3 2 4 2" xfId="12031" xr:uid="{00000000-0005-0000-0000-00008D3A0000}"/>
    <cellStyle name="20% - Accent5 7 3 3 2 4 2 2" xfId="24948" xr:uid="{00000000-0005-0000-0000-00008E3A0000}"/>
    <cellStyle name="20% - Accent5 7 3 3 2 4 2 2 2" xfId="50822" xr:uid="{00000000-0005-0000-0000-00008F3A0000}"/>
    <cellStyle name="20% - Accent5 7 3 3 2 4 2 3" xfId="37906" xr:uid="{00000000-0005-0000-0000-0000903A0000}"/>
    <cellStyle name="20% - Accent5 7 3 3 2 4 3" xfId="18490" xr:uid="{00000000-0005-0000-0000-0000913A0000}"/>
    <cellStyle name="20% - Accent5 7 3 3 2 4 3 2" xfId="44364" xr:uid="{00000000-0005-0000-0000-0000923A0000}"/>
    <cellStyle name="20% - Accent5 7 3 3 2 4 4" xfId="31448" xr:uid="{00000000-0005-0000-0000-0000933A0000}"/>
    <cellStyle name="20% - Accent5 7 3 3 2 5" xfId="8803" xr:uid="{00000000-0005-0000-0000-0000943A0000}"/>
    <cellStyle name="20% - Accent5 7 3 3 2 5 2" xfId="21720" xr:uid="{00000000-0005-0000-0000-0000953A0000}"/>
    <cellStyle name="20% - Accent5 7 3 3 2 5 2 2" xfId="47594" xr:uid="{00000000-0005-0000-0000-0000963A0000}"/>
    <cellStyle name="20% - Accent5 7 3 3 2 5 3" xfId="34678" xr:uid="{00000000-0005-0000-0000-0000973A0000}"/>
    <cellStyle name="20% - Accent5 7 3 3 2 6" xfId="15262" xr:uid="{00000000-0005-0000-0000-0000983A0000}"/>
    <cellStyle name="20% - Accent5 7 3 3 2 6 2" xfId="41136" xr:uid="{00000000-0005-0000-0000-0000993A0000}"/>
    <cellStyle name="20% - Accent5 7 3 3 2 7" xfId="28188" xr:uid="{00000000-0005-0000-0000-00009A3A0000}"/>
    <cellStyle name="20% - Accent5 7 3 3 2 8" xfId="54050" xr:uid="{00000000-0005-0000-0000-00009B3A0000}"/>
    <cellStyle name="20% - Accent5 7 3 3 3" xfId="2702" xr:uid="{00000000-0005-0000-0000-00009C3A0000}"/>
    <cellStyle name="20% - Accent5 7 3 3 3 2" xfId="4359" xr:uid="{00000000-0005-0000-0000-00009D3A0000}"/>
    <cellStyle name="20% - Accent5 7 3 3 3 2 2" xfId="7590" xr:uid="{00000000-0005-0000-0000-00009E3A0000}"/>
    <cellStyle name="20% - Accent5 7 3 3 3 2 2 2" xfId="14049" xr:uid="{00000000-0005-0000-0000-00009F3A0000}"/>
    <cellStyle name="20% - Accent5 7 3 3 3 2 2 2 2" xfId="26966" xr:uid="{00000000-0005-0000-0000-0000A03A0000}"/>
    <cellStyle name="20% - Accent5 7 3 3 3 2 2 2 2 2" xfId="52840" xr:uid="{00000000-0005-0000-0000-0000A13A0000}"/>
    <cellStyle name="20% - Accent5 7 3 3 3 2 2 2 3" xfId="39924" xr:uid="{00000000-0005-0000-0000-0000A23A0000}"/>
    <cellStyle name="20% - Accent5 7 3 3 3 2 2 3" xfId="20508" xr:uid="{00000000-0005-0000-0000-0000A33A0000}"/>
    <cellStyle name="20% - Accent5 7 3 3 3 2 2 3 2" xfId="46382" xr:uid="{00000000-0005-0000-0000-0000A43A0000}"/>
    <cellStyle name="20% - Accent5 7 3 3 3 2 2 4" xfId="33466" xr:uid="{00000000-0005-0000-0000-0000A53A0000}"/>
    <cellStyle name="20% - Accent5 7 3 3 3 2 3" xfId="10821" xr:uid="{00000000-0005-0000-0000-0000A63A0000}"/>
    <cellStyle name="20% - Accent5 7 3 3 3 2 3 2" xfId="23738" xr:uid="{00000000-0005-0000-0000-0000A73A0000}"/>
    <cellStyle name="20% - Accent5 7 3 3 3 2 3 2 2" xfId="49612" xr:uid="{00000000-0005-0000-0000-0000A83A0000}"/>
    <cellStyle name="20% - Accent5 7 3 3 3 2 3 3" xfId="36696" xr:uid="{00000000-0005-0000-0000-0000A93A0000}"/>
    <cellStyle name="20% - Accent5 7 3 3 3 2 4" xfId="17280" xr:uid="{00000000-0005-0000-0000-0000AA3A0000}"/>
    <cellStyle name="20% - Accent5 7 3 3 3 2 4 2" xfId="43154" xr:uid="{00000000-0005-0000-0000-0000AB3A0000}"/>
    <cellStyle name="20% - Accent5 7 3 3 3 2 5" xfId="30206" xr:uid="{00000000-0005-0000-0000-0000AC3A0000}"/>
    <cellStyle name="20% - Accent5 7 3 3 3 3" xfId="5976" xr:uid="{00000000-0005-0000-0000-0000AD3A0000}"/>
    <cellStyle name="20% - Accent5 7 3 3 3 3 2" xfId="12435" xr:uid="{00000000-0005-0000-0000-0000AE3A0000}"/>
    <cellStyle name="20% - Accent5 7 3 3 3 3 2 2" xfId="25352" xr:uid="{00000000-0005-0000-0000-0000AF3A0000}"/>
    <cellStyle name="20% - Accent5 7 3 3 3 3 2 2 2" xfId="51226" xr:uid="{00000000-0005-0000-0000-0000B03A0000}"/>
    <cellStyle name="20% - Accent5 7 3 3 3 3 2 3" xfId="38310" xr:uid="{00000000-0005-0000-0000-0000B13A0000}"/>
    <cellStyle name="20% - Accent5 7 3 3 3 3 3" xfId="18894" xr:uid="{00000000-0005-0000-0000-0000B23A0000}"/>
    <cellStyle name="20% - Accent5 7 3 3 3 3 3 2" xfId="44768" xr:uid="{00000000-0005-0000-0000-0000B33A0000}"/>
    <cellStyle name="20% - Accent5 7 3 3 3 3 4" xfId="31852" xr:uid="{00000000-0005-0000-0000-0000B43A0000}"/>
    <cellStyle name="20% - Accent5 7 3 3 3 4" xfId="9207" xr:uid="{00000000-0005-0000-0000-0000B53A0000}"/>
    <cellStyle name="20% - Accent5 7 3 3 3 4 2" xfId="22124" xr:uid="{00000000-0005-0000-0000-0000B63A0000}"/>
    <cellStyle name="20% - Accent5 7 3 3 3 4 2 2" xfId="47998" xr:uid="{00000000-0005-0000-0000-0000B73A0000}"/>
    <cellStyle name="20% - Accent5 7 3 3 3 4 3" xfId="35082" xr:uid="{00000000-0005-0000-0000-0000B83A0000}"/>
    <cellStyle name="20% - Accent5 7 3 3 3 5" xfId="15666" xr:uid="{00000000-0005-0000-0000-0000B93A0000}"/>
    <cellStyle name="20% - Accent5 7 3 3 3 5 2" xfId="41540" xr:uid="{00000000-0005-0000-0000-0000BA3A0000}"/>
    <cellStyle name="20% - Accent5 7 3 3 3 6" xfId="28592" xr:uid="{00000000-0005-0000-0000-0000BB3A0000}"/>
    <cellStyle name="20% - Accent5 7 3 3 4" xfId="3529" xr:uid="{00000000-0005-0000-0000-0000BC3A0000}"/>
    <cellStyle name="20% - Accent5 7 3 3 4 2" xfId="6783" xr:uid="{00000000-0005-0000-0000-0000BD3A0000}"/>
    <cellStyle name="20% - Accent5 7 3 3 4 2 2" xfId="13242" xr:uid="{00000000-0005-0000-0000-0000BE3A0000}"/>
    <cellStyle name="20% - Accent5 7 3 3 4 2 2 2" xfId="26159" xr:uid="{00000000-0005-0000-0000-0000BF3A0000}"/>
    <cellStyle name="20% - Accent5 7 3 3 4 2 2 2 2" xfId="52033" xr:uid="{00000000-0005-0000-0000-0000C03A0000}"/>
    <cellStyle name="20% - Accent5 7 3 3 4 2 2 3" xfId="39117" xr:uid="{00000000-0005-0000-0000-0000C13A0000}"/>
    <cellStyle name="20% - Accent5 7 3 3 4 2 3" xfId="19701" xr:uid="{00000000-0005-0000-0000-0000C23A0000}"/>
    <cellStyle name="20% - Accent5 7 3 3 4 2 3 2" xfId="45575" xr:uid="{00000000-0005-0000-0000-0000C33A0000}"/>
    <cellStyle name="20% - Accent5 7 3 3 4 2 4" xfId="32659" xr:uid="{00000000-0005-0000-0000-0000C43A0000}"/>
    <cellStyle name="20% - Accent5 7 3 3 4 3" xfId="10014" xr:uid="{00000000-0005-0000-0000-0000C53A0000}"/>
    <cellStyle name="20% - Accent5 7 3 3 4 3 2" xfId="22931" xr:uid="{00000000-0005-0000-0000-0000C63A0000}"/>
    <cellStyle name="20% - Accent5 7 3 3 4 3 2 2" xfId="48805" xr:uid="{00000000-0005-0000-0000-0000C73A0000}"/>
    <cellStyle name="20% - Accent5 7 3 3 4 3 3" xfId="35889" xr:uid="{00000000-0005-0000-0000-0000C83A0000}"/>
    <cellStyle name="20% - Accent5 7 3 3 4 4" xfId="16473" xr:uid="{00000000-0005-0000-0000-0000C93A0000}"/>
    <cellStyle name="20% - Accent5 7 3 3 4 4 2" xfId="42347" xr:uid="{00000000-0005-0000-0000-0000CA3A0000}"/>
    <cellStyle name="20% - Accent5 7 3 3 4 5" xfId="29399" xr:uid="{00000000-0005-0000-0000-0000CB3A0000}"/>
    <cellStyle name="20% - Accent5 7 3 3 5" xfId="5169" xr:uid="{00000000-0005-0000-0000-0000CC3A0000}"/>
    <cellStyle name="20% - Accent5 7 3 3 5 2" xfId="11628" xr:uid="{00000000-0005-0000-0000-0000CD3A0000}"/>
    <cellStyle name="20% - Accent5 7 3 3 5 2 2" xfId="24545" xr:uid="{00000000-0005-0000-0000-0000CE3A0000}"/>
    <cellStyle name="20% - Accent5 7 3 3 5 2 2 2" xfId="50419" xr:uid="{00000000-0005-0000-0000-0000CF3A0000}"/>
    <cellStyle name="20% - Accent5 7 3 3 5 2 3" xfId="37503" xr:uid="{00000000-0005-0000-0000-0000D03A0000}"/>
    <cellStyle name="20% - Accent5 7 3 3 5 3" xfId="18087" xr:uid="{00000000-0005-0000-0000-0000D13A0000}"/>
    <cellStyle name="20% - Accent5 7 3 3 5 3 2" xfId="43961" xr:uid="{00000000-0005-0000-0000-0000D23A0000}"/>
    <cellStyle name="20% - Accent5 7 3 3 5 4" xfId="31045" xr:uid="{00000000-0005-0000-0000-0000D33A0000}"/>
    <cellStyle name="20% - Accent5 7 3 3 6" xfId="8399" xr:uid="{00000000-0005-0000-0000-0000D43A0000}"/>
    <cellStyle name="20% - Accent5 7 3 3 6 2" xfId="21316" xr:uid="{00000000-0005-0000-0000-0000D53A0000}"/>
    <cellStyle name="20% - Accent5 7 3 3 6 2 2" xfId="47190" xr:uid="{00000000-0005-0000-0000-0000D63A0000}"/>
    <cellStyle name="20% - Accent5 7 3 3 6 3" xfId="34274" xr:uid="{00000000-0005-0000-0000-0000D73A0000}"/>
    <cellStyle name="20% - Accent5 7 3 3 7" xfId="14858" xr:uid="{00000000-0005-0000-0000-0000D83A0000}"/>
    <cellStyle name="20% - Accent5 7 3 3 7 2" xfId="40732" xr:uid="{00000000-0005-0000-0000-0000D93A0000}"/>
    <cellStyle name="20% - Accent5 7 3 3 8" xfId="27784" xr:uid="{00000000-0005-0000-0000-0000DA3A0000}"/>
    <cellStyle name="20% - Accent5 7 3 3 9" xfId="53647" xr:uid="{00000000-0005-0000-0000-0000DB3A0000}"/>
    <cellStyle name="20% - Accent5 7 3 4" xfId="2093" xr:uid="{00000000-0005-0000-0000-0000DC3A0000}"/>
    <cellStyle name="20% - Accent5 7 3 4 2" xfId="2909" xr:uid="{00000000-0005-0000-0000-0000DD3A0000}"/>
    <cellStyle name="20% - Accent5 7 3 4 2 2" xfId="4566" xr:uid="{00000000-0005-0000-0000-0000DE3A0000}"/>
    <cellStyle name="20% - Accent5 7 3 4 2 2 2" xfId="7797" xr:uid="{00000000-0005-0000-0000-0000DF3A0000}"/>
    <cellStyle name="20% - Accent5 7 3 4 2 2 2 2" xfId="14256" xr:uid="{00000000-0005-0000-0000-0000E03A0000}"/>
    <cellStyle name="20% - Accent5 7 3 4 2 2 2 2 2" xfId="27173" xr:uid="{00000000-0005-0000-0000-0000E13A0000}"/>
    <cellStyle name="20% - Accent5 7 3 4 2 2 2 2 2 2" xfId="53047" xr:uid="{00000000-0005-0000-0000-0000E23A0000}"/>
    <cellStyle name="20% - Accent5 7 3 4 2 2 2 2 3" xfId="40131" xr:uid="{00000000-0005-0000-0000-0000E33A0000}"/>
    <cellStyle name="20% - Accent5 7 3 4 2 2 2 3" xfId="20715" xr:uid="{00000000-0005-0000-0000-0000E43A0000}"/>
    <cellStyle name="20% - Accent5 7 3 4 2 2 2 3 2" xfId="46589" xr:uid="{00000000-0005-0000-0000-0000E53A0000}"/>
    <cellStyle name="20% - Accent5 7 3 4 2 2 2 4" xfId="33673" xr:uid="{00000000-0005-0000-0000-0000E63A0000}"/>
    <cellStyle name="20% - Accent5 7 3 4 2 2 3" xfId="11028" xr:uid="{00000000-0005-0000-0000-0000E73A0000}"/>
    <cellStyle name="20% - Accent5 7 3 4 2 2 3 2" xfId="23945" xr:uid="{00000000-0005-0000-0000-0000E83A0000}"/>
    <cellStyle name="20% - Accent5 7 3 4 2 2 3 2 2" xfId="49819" xr:uid="{00000000-0005-0000-0000-0000E93A0000}"/>
    <cellStyle name="20% - Accent5 7 3 4 2 2 3 3" xfId="36903" xr:uid="{00000000-0005-0000-0000-0000EA3A0000}"/>
    <cellStyle name="20% - Accent5 7 3 4 2 2 4" xfId="17487" xr:uid="{00000000-0005-0000-0000-0000EB3A0000}"/>
    <cellStyle name="20% - Accent5 7 3 4 2 2 4 2" xfId="43361" xr:uid="{00000000-0005-0000-0000-0000EC3A0000}"/>
    <cellStyle name="20% - Accent5 7 3 4 2 2 5" xfId="30413" xr:uid="{00000000-0005-0000-0000-0000ED3A0000}"/>
    <cellStyle name="20% - Accent5 7 3 4 2 3" xfId="6183" xr:uid="{00000000-0005-0000-0000-0000EE3A0000}"/>
    <cellStyle name="20% - Accent5 7 3 4 2 3 2" xfId="12642" xr:uid="{00000000-0005-0000-0000-0000EF3A0000}"/>
    <cellStyle name="20% - Accent5 7 3 4 2 3 2 2" xfId="25559" xr:uid="{00000000-0005-0000-0000-0000F03A0000}"/>
    <cellStyle name="20% - Accent5 7 3 4 2 3 2 2 2" xfId="51433" xr:uid="{00000000-0005-0000-0000-0000F13A0000}"/>
    <cellStyle name="20% - Accent5 7 3 4 2 3 2 3" xfId="38517" xr:uid="{00000000-0005-0000-0000-0000F23A0000}"/>
    <cellStyle name="20% - Accent5 7 3 4 2 3 3" xfId="19101" xr:uid="{00000000-0005-0000-0000-0000F33A0000}"/>
    <cellStyle name="20% - Accent5 7 3 4 2 3 3 2" xfId="44975" xr:uid="{00000000-0005-0000-0000-0000F43A0000}"/>
    <cellStyle name="20% - Accent5 7 3 4 2 3 4" xfId="32059" xr:uid="{00000000-0005-0000-0000-0000F53A0000}"/>
    <cellStyle name="20% - Accent5 7 3 4 2 4" xfId="9414" xr:uid="{00000000-0005-0000-0000-0000F63A0000}"/>
    <cellStyle name="20% - Accent5 7 3 4 2 4 2" xfId="22331" xr:uid="{00000000-0005-0000-0000-0000F73A0000}"/>
    <cellStyle name="20% - Accent5 7 3 4 2 4 2 2" xfId="48205" xr:uid="{00000000-0005-0000-0000-0000F83A0000}"/>
    <cellStyle name="20% - Accent5 7 3 4 2 4 3" xfId="35289" xr:uid="{00000000-0005-0000-0000-0000F93A0000}"/>
    <cellStyle name="20% - Accent5 7 3 4 2 5" xfId="15873" xr:uid="{00000000-0005-0000-0000-0000FA3A0000}"/>
    <cellStyle name="20% - Accent5 7 3 4 2 5 2" xfId="41747" xr:uid="{00000000-0005-0000-0000-0000FB3A0000}"/>
    <cellStyle name="20% - Accent5 7 3 4 2 6" xfId="28799" xr:uid="{00000000-0005-0000-0000-0000FC3A0000}"/>
    <cellStyle name="20% - Accent5 7 3 4 3" xfId="3736" xr:uid="{00000000-0005-0000-0000-0000FD3A0000}"/>
    <cellStyle name="20% - Accent5 7 3 4 3 2" xfId="6990" xr:uid="{00000000-0005-0000-0000-0000FE3A0000}"/>
    <cellStyle name="20% - Accent5 7 3 4 3 2 2" xfId="13449" xr:uid="{00000000-0005-0000-0000-0000FF3A0000}"/>
    <cellStyle name="20% - Accent5 7 3 4 3 2 2 2" xfId="26366" xr:uid="{00000000-0005-0000-0000-0000003B0000}"/>
    <cellStyle name="20% - Accent5 7 3 4 3 2 2 2 2" xfId="52240" xr:uid="{00000000-0005-0000-0000-0000013B0000}"/>
    <cellStyle name="20% - Accent5 7 3 4 3 2 2 3" xfId="39324" xr:uid="{00000000-0005-0000-0000-0000023B0000}"/>
    <cellStyle name="20% - Accent5 7 3 4 3 2 3" xfId="19908" xr:uid="{00000000-0005-0000-0000-0000033B0000}"/>
    <cellStyle name="20% - Accent5 7 3 4 3 2 3 2" xfId="45782" xr:uid="{00000000-0005-0000-0000-0000043B0000}"/>
    <cellStyle name="20% - Accent5 7 3 4 3 2 4" xfId="32866" xr:uid="{00000000-0005-0000-0000-0000053B0000}"/>
    <cellStyle name="20% - Accent5 7 3 4 3 3" xfId="10221" xr:uid="{00000000-0005-0000-0000-0000063B0000}"/>
    <cellStyle name="20% - Accent5 7 3 4 3 3 2" xfId="23138" xr:uid="{00000000-0005-0000-0000-0000073B0000}"/>
    <cellStyle name="20% - Accent5 7 3 4 3 3 2 2" xfId="49012" xr:uid="{00000000-0005-0000-0000-0000083B0000}"/>
    <cellStyle name="20% - Accent5 7 3 4 3 3 3" xfId="36096" xr:uid="{00000000-0005-0000-0000-0000093B0000}"/>
    <cellStyle name="20% - Accent5 7 3 4 3 4" xfId="16680" xr:uid="{00000000-0005-0000-0000-00000A3B0000}"/>
    <cellStyle name="20% - Accent5 7 3 4 3 4 2" xfId="42554" xr:uid="{00000000-0005-0000-0000-00000B3B0000}"/>
    <cellStyle name="20% - Accent5 7 3 4 3 5" xfId="29606" xr:uid="{00000000-0005-0000-0000-00000C3B0000}"/>
    <cellStyle name="20% - Accent5 7 3 4 4" xfId="5376" xr:uid="{00000000-0005-0000-0000-00000D3B0000}"/>
    <cellStyle name="20% - Accent5 7 3 4 4 2" xfId="11835" xr:uid="{00000000-0005-0000-0000-00000E3B0000}"/>
    <cellStyle name="20% - Accent5 7 3 4 4 2 2" xfId="24752" xr:uid="{00000000-0005-0000-0000-00000F3B0000}"/>
    <cellStyle name="20% - Accent5 7 3 4 4 2 2 2" xfId="50626" xr:uid="{00000000-0005-0000-0000-0000103B0000}"/>
    <cellStyle name="20% - Accent5 7 3 4 4 2 3" xfId="37710" xr:uid="{00000000-0005-0000-0000-0000113B0000}"/>
    <cellStyle name="20% - Accent5 7 3 4 4 3" xfId="18294" xr:uid="{00000000-0005-0000-0000-0000123B0000}"/>
    <cellStyle name="20% - Accent5 7 3 4 4 3 2" xfId="44168" xr:uid="{00000000-0005-0000-0000-0000133B0000}"/>
    <cellStyle name="20% - Accent5 7 3 4 4 4" xfId="31252" xr:uid="{00000000-0005-0000-0000-0000143B0000}"/>
    <cellStyle name="20% - Accent5 7 3 4 5" xfId="8607" xr:uid="{00000000-0005-0000-0000-0000153B0000}"/>
    <cellStyle name="20% - Accent5 7 3 4 5 2" xfId="21524" xr:uid="{00000000-0005-0000-0000-0000163B0000}"/>
    <cellStyle name="20% - Accent5 7 3 4 5 2 2" xfId="47398" xr:uid="{00000000-0005-0000-0000-0000173B0000}"/>
    <cellStyle name="20% - Accent5 7 3 4 5 3" xfId="34482" xr:uid="{00000000-0005-0000-0000-0000183B0000}"/>
    <cellStyle name="20% - Accent5 7 3 4 6" xfId="15066" xr:uid="{00000000-0005-0000-0000-0000193B0000}"/>
    <cellStyle name="20% - Accent5 7 3 4 6 2" xfId="40940" xr:uid="{00000000-0005-0000-0000-00001A3B0000}"/>
    <cellStyle name="20% - Accent5 7 3 4 7" xfId="27992" xr:uid="{00000000-0005-0000-0000-00001B3B0000}"/>
    <cellStyle name="20% - Accent5 7 3 4 8" xfId="53854" xr:uid="{00000000-0005-0000-0000-00001C3B0000}"/>
    <cellStyle name="20% - Accent5 7 3 5" xfId="2507" xr:uid="{00000000-0005-0000-0000-00001D3B0000}"/>
    <cellStyle name="20% - Accent5 7 3 5 2" xfId="4164" xr:uid="{00000000-0005-0000-0000-00001E3B0000}"/>
    <cellStyle name="20% - Accent5 7 3 5 2 2" xfId="7395" xr:uid="{00000000-0005-0000-0000-00001F3B0000}"/>
    <cellStyle name="20% - Accent5 7 3 5 2 2 2" xfId="13854" xr:uid="{00000000-0005-0000-0000-0000203B0000}"/>
    <cellStyle name="20% - Accent5 7 3 5 2 2 2 2" xfId="26771" xr:uid="{00000000-0005-0000-0000-0000213B0000}"/>
    <cellStyle name="20% - Accent5 7 3 5 2 2 2 2 2" xfId="52645" xr:uid="{00000000-0005-0000-0000-0000223B0000}"/>
    <cellStyle name="20% - Accent5 7 3 5 2 2 2 3" xfId="39729" xr:uid="{00000000-0005-0000-0000-0000233B0000}"/>
    <cellStyle name="20% - Accent5 7 3 5 2 2 3" xfId="20313" xr:uid="{00000000-0005-0000-0000-0000243B0000}"/>
    <cellStyle name="20% - Accent5 7 3 5 2 2 3 2" xfId="46187" xr:uid="{00000000-0005-0000-0000-0000253B0000}"/>
    <cellStyle name="20% - Accent5 7 3 5 2 2 4" xfId="33271" xr:uid="{00000000-0005-0000-0000-0000263B0000}"/>
    <cellStyle name="20% - Accent5 7 3 5 2 3" xfId="10626" xr:uid="{00000000-0005-0000-0000-0000273B0000}"/>
    <cellStyle name="20% - Accent5 7 3 5 2 3 2" xfId="23543" xr:uid="{00000000-0005-0000-0000-0000283B0000}"/>
    <cellStyle name="20% - Accent5 7 3 5 2 3 2 2" xfId="49417" xr:uid="{00000000-0005-0000-0000-0000293B0000}"/>
    <cellStyle name="20% - Accent5 7 3 5 2 3 3" xfId="36501" xr:uid="{00000000-0005-0000-0000-00002A3B0000}"/>
    <cellStyle name="20% - Accent5 7 3 5 2 4" xfId="17085" xr:uid="{00000000-0005-0000-0000-00002B3B0000}"/>
    <cellStyle name="20% - Accent5 7 3 5 2 4 2" xfId="42959" xr:uid="{00000000-0005-0000-0000-00002C3B0000}"/>
    <cellStyle name="20% - Accent5 7 3 5 2 5" xfId="30011" xr:uid="{00000000-0005-0000-0000-00002D3B0000}"/>
    <cellStyle name="20% - Accent5 7 3 5 3" xfId="5781" xr:uid="{00000000-0005-0000-0000-00002E3B0000}"/>
    <cellStyle name="20% - Accent5 7 3 5 3 2" xfId="12240" xr:uid="{00000000-0005-0000-0000-00002F3B0000}"/>
    <cellStyle name="20% - Accent5 7 3 5 3 2 2" xfId="25157" xr:uid="{00000000-0005-0000-0000-0000303B0000}"/>
    <cellStyle name="20% - Accent5 7 3 5 3 2 2 2" xfId="51031" xr:uid="{00000000-0005-0000-0000-0000313B0000}"/>
    <cellStyle name="20% - Accent5 7 3 5 3 2 3" xfId="38115" xr:uid="{00000000-0005-0000-0000-0000323B0000}"/>
    <cellStyle name="20% - Accent5 7 3 5 3 3" xfId="18699" xr:uid="{00000000-0005-0000-0000-0000333B0000}"/>
    <cellStyle name="20% - Accent5 7 3 5 3 3 2" xfId="44573" xr:uid="{00000000-0005-0000-0000-0000343B0000}"/>
    <cellStyle name="20% - Accent5 7 3 5 3 4" xfId="31657" xr:uid="{00000000-0005-0000-0000-0000353B0000}"/>
    <cellStyle name="20% - Accent5 7 3 5 4" xfId="9012" xr:uid="{00000000-0005-0000-0000-0000363B0000}"/>
    <cellStyle name="20% - Accent5 7 3 5 4 2" xfId="21929" xr:uid="{00000000-0005-0000-0000-0000373B0000}"/>
    <cellStyle name="20% - Accent5 7 3 5 4 2 2" xfId="47803" xr:uid="{00000000-0005-0000-0000-0000383B0000}"/>
    <cellStyle name="20% - Accent5 7 3 5 4 3" xfId="34887" xr:uid="{00000000-0005-0000-0000-0000393B0000}"/>
    <cellStyle name="20% - Accent5 7 3 5 5" xfId="15471" xr:uid="{00000000-0005-0000-0000-00003A3B0000}"/>
    <cellStyle name="20% - Accent5 7 3 5 5 2" xfId="41345" xr:uid="{00000000-0005-0000-0000-00003B3B0000}"/>
    <cellStyle name="20% - Accent5 7 3 5 6" xfId="28397" xr:uid="{00000000-0005-0000-0000-00003C3B0000}"/>
    <cellStyle name="20% - Accent5 7 3 6" xfId="3327" xr:uid="{00000000-0005-0000-0000-00003D3B0000}"/>
    <cellStyle name="20% - Accent5 7 3 6 2" xfId="6588" xr:uid="{00000000-0005-0000-0000-00003E3B0000}"/>
    <cellStyle name="20% - Accent5 7 3 6 2 2" xfId="13047" xr:uid="{00000000-0005-0000-0000-00003F3B0000}"/>
    <cellStyle name="20% - Accent5 7 3 6 2 2 2" xfId="25964" xr:uid="{00000000-0005-0000-0000-0000403B0000}"/>
    <cellStyle name="20% - Accent5 7 3 6 2 2 2 2" xfId="51838" xr:uid="{00000000-0005-0000-0000-0000413B0000}"/>
    <cellStyle name="20% - Accent5 7 3 6 2 2 3" xfId="38922" xr:uid="{00000000-0005-0000-0000-0000423B0000}"/>
    <cellStyle name="20% - Accent5 7 3 6 2 3" xfId="19506" xr:uid="{00000000-0005-0000-0000-0000433B0000}"/>
    <cellStyle name="20% - Accent5 7 3 6 2 3 2" xfId="45380" xr:uid="{00000000-0005-0000-0000-0000443B0000}"/>
    <cellStyle name="20% - Accent5 7 3 6 2 4" xfId="32464" xr:uid="{00000000-0005-0000-0000-0000453B0000}"/>
    <cellStyle name="20% - Accent5 7 3 6 3" xfId="9819" xr:uid="{00000000-0005-0000-0000-0000463B0000}"/>
    <cellStyle name="20% - Accent5 7 3 6 3 2" xfId="22736" xr:uid="{00000000-0005-0000-0000-0000473B0000}"/>
    <cellStyle name="20% - Accent5 7 3 6 3 2 2" xfId="48610" xr:uid="{00000000-0005-0000-0000-0000483B0000}"/>
    <cellStyle name="20% - Accent5 7 3 6 3 3" xfId="35694" xr:uid="{00000000-0005-0000-0000-0000493B0000}"/>
    <cellStyle name="20% - Accent5 7 3 6 4" xfId="16278" xr:uid="{00000000-0005-0000-0000-00004A3B0000}"/>
    <cellStyle name="20% - Accent5 7 3 6 4 2" xfId="42152" xr:uid="{00000000-0005-0000-0000-00004B3B0000}"/>
    <cellStyle name="20% - Accent5 7 3 6 5" xfId="29204" xr:uid="{00000000-0005-0000-0000-00004C3B0000}"/>
    <cellStyle name="20% - Accent5 7 3 7" xfId="4974" xr:uid="{00000000-0005-0000-0000-00004D3B0000}"/>
    <cellStyle name="20% - Accent5 7 3 7 2" xfId="11433" xr:uid="{00000000-0005-0000-0000-00004E3B0000}"/>
    <cellStyle name="20% - Accent5 7 3 7 2 2" xfId="24350" xr:uid="{00000000-0005-0000-0000-00004F3B0000}"/>
    <cellStyle name="20% - Accent5 7 3 7 2 2 2" xfId="50224" xr:uid="{00000000-0005-0000-0000-0000503B0000}"/>
    <cellStyle name="20% - Accent5 7 3 7 2 3" xfId="37308" xr:uid="{00000000-0005-0000-0000-0000513B0000}"/>
    <cellStyle name="20% - Accent5 7 3 7 3" xfId="17892" xr:uid="{00000000-0005-0000-0000-0000523B0000}"/>
    <cellStyle name="20% - Accent5 7 3 7 3 2" xfId="43766" xr:uid="{00000000-0005-0000-0000-0000533B0000}"/>
    <cellStyle name="20% - Accent5 7 3 7 4" xfId="30850" xr:uid="{00000000-0005-0000-0000-0000543B0000}"/>
    <cellStyle name="20% - Accent5 7 3 8" xfId="8205" xr:uid="{00000000-0005-0000-0000-0000553B0000}"/>
    <cellStyle name="20% - Accent5 7 3 8 2" xfId="21122" xr:uid="{00000000-0005-0000-0000-0000563B0000}"/>
    <cellStyle name="20% - Accent5 7 3 8 2 2" xfId="46996" xr:uid="{00000000-0005-0000-0000-0000573B0000}"/>
    <cellStyle name="20% - Accent5 7 3 8 3" xfId="34080" xr:uid="{00000000-0005-0000-0000-0000583B0000}"/>
    <cellStyle name="20% - Accent5 7 3 9" xfId="14664" xr:uid="{00000000-0005-0000-0000-0000593B0000}"/>
    <cellStyle name="20% - Accent5 7 3 9 2" xfId="40538" xr:uid="{00000000-0005-0000-0000-00005A3B0000}"/>
    <cellStyle name="20% - Accent5 7 4" xfId="1077" xr:uid="{00000000-0005-0000-0000-00005B3B0000}"/>
    <cellStyle name="20% - Accent5 8" xfId="377" xr:uid="{00000000-0005-0000-0000-00005C3B0000}"/>
    <cellStyle name="20% - Accent5 8 2" xfId="622" xr:uid="{00000000-0005-0000-0000-00005D3B0000}"/>
    <cellStyle name="20% - Accent5 8 3" xfId="621" xr:uid="{00000000-0005-0000-0000-00005E3B0000}"/>
    <cellStyle name="20% - Accent5 8 4" xfId="1509" xr:uid="{00000000-0005-0000-0000-00005F3B0000}"/>
    <cellStyle name="20% - Accent5 9" xfId="623" xr:uid="{00000000-0005-0000-0000-0000603B0000}"/>
    <cellStyle name="20% - Accent5 9 2" xfId="1526" xr:uid="{00000000-0005-0000-0000-0000613B0000}"/>
    <cellStyle name="20% - Accent6 10" xfId="624" xr:uid="{00000000-0005-0000-0000-0000623B0000}"/>
    <cellStyle name="20% - Accent6 10 10" xfId="53480" xr:uid="{00000000-0005-0000-0000-0000633B0000}"/>
    <cellStyle name="20% - Accent6 10 11" xfId="1532" xr:uid="{00000000-0005-0000-0000-0000643B0000}"/>
    <cellStyle name="20% - Accent6 10 2" xfId="1889" xr:uid="{00000000-0005-0000-0000-0000653B0000}"/>
    <cellStyle name="20% - Accent6 10 2 2" xfId="2320" xr:uid="{00000000-0005-0000-0000-0000663B0000}"/>
    <cellStyle name="20% - Accent6 10 2 2 2" xfId="3133" xr:uid="{00000000-0005-0000-0000-0000673B0000}"/>
    <cellStyle name="20% - Accent6 10 2 2 2 2" xfId="4790" xr:uid="{00000000-0005-0000-0000-0000683B0000}"/>
    <cellStyle name="20% - Accent6 10 2 2 2 2 2" xfId="8021" xr:uid="{00000000-0005-0000-0000-0000693B0000}"/>
    <cellStyle name="20% - Accent6 10 2 2 2 2 2 2" xfId="14480" xr:uid="{00000000-0005-0000-0000-00006A3B0000}"/>
    <cellStyle name="20% - Accent6 10 2 2 2 2 2 2 2" xfId="27397" xr:uid="{00000000-0005-0000-0000-00006B3B0000}"/>
    <cellStyle name="20% - Accent6 10 2 2 2 2 2 2 2 2" xfId="53271" xr:uid="{00000000-0005-0000-0000-00006C3B0000}"/>
    <cellStyle name="20% - Accent6 10 2 2 2 2 2 2 3" xfId="40355" xr:uid="{00000000-0005-0000-0000-00006D3B0000}"/>
    <cellStyle name="20% - Accent6 10 2 2 2 2 2 3" xfId="20939" xr:uid="{00000000-0005-0000-0000-00006E3B0000}"/>
    <cellStyle name="20% - Accent6 10 2 2 2 2 2 3 2" xfId="46813" xr:uid="{00000000-0005-0000-0000-00006F3B0000}"/>
    <cellStyle name="20% - Accent6 10 2 2 2 2 2 4" xfId="33897" xr:uid="{00000000-0005-0000-0000-0000703B0000}"/>
    <cellStyle name="20% - Accent6 10 2 2 2 2 3" xfId="11252" xr:uid="{00000000-0005-0000-0000-0000713B0000}"/>
    <cellStyle name="20% - Accent6 10 2 2 2 2 3 2" xfId="24169" xr:uid="{00000000-0005-0000-0000-0000723B0000}"/>
    <cellStyle name="20% - Accent6 10 2 2 2 2 3 2 2" xfId="50043" xr:uid="{00000000-0005-0000-0000-0000733B0000}"/>
    <cellStyle name="20% - Accent6 10 2 2 2 2 3 3" xfId="37127" xr:uid="{00000000-0005-0000-0000-0000743B0000}"/>
    <cellStyle name="20% - Accent6 10 2 2 2 2 4" xfId="17711" xr:uid="{00000000-0005-0000-0000-0000753B0000}"/>
    <cellStyle name="20% - Accent6 10 2 2 2 2 4 2" xfId="43585" xr:uid="{00000000-0005-0000-0000-0000763B0000}"/>
    <cellStyle name="20% - Accent6 10 2 2 2 2 5" xfId="30637" xr:uid="{00000000-0005-0000-0000-0000773B0000}"/>
    <cellStyle name="20% - Accent6 10 2 2 2 3" xfId="6407" xr:uid="{00000000-0005-0000-0000-0000783B0000}"/>
    <cellStyle name="20% - Accent6 10 2 2 2 3 2" xfId="12866" xr:uid="{00000000-0005-0000-0000-0000793B0000}"/>
    <cellStyle name="20% - Accent6 10 2 2 2 3 2 2" xfId="25783" xr:uid="{00000000-0005-0000-0000-00007A3B0000}"/>
    <cellStyle name="20% - Accent6 10 2 2 2 3 2 2 2" xfId="51657" xr:uid="{00000000-0005-0000-0000-00007B3B0000}"/>
    <cellStyle name="20% - Accent6 10 2 2 2 3 2 3" xfId="38741" xr:uid="{00000000-0005-0000-0000-00007C3B0000}"/>
    <cellStyle name="20% - Accent6 10 2 2 2 3 3" xfId="19325" xr:uid="{00000000-0005-0000-0000-00007D3B0000}"/>
    <cellStyle name="20% - Accent6 10 2 2 2 3 3 2" xfId="45199" xr:uid="{00000000-0005-0000-0000-00007E3B0000}"/>
    <cellStyle name="20% - Accent6 10 2 2 2 3 4" xfId="32283" xr:uid="{00000000-0005-0000-0000-00007F3B0000}"/>
    <cellStyle name="20% - Accent6 10 2 2 2 4" xfId="9638" xr:uid="{00000000-0005-0000-0000-0000803B0000}"/>
    <cellStyle name="20% - Accent6 10 2 2 2 4 2" xfId="22555" xr:uid="{00000000-0005-0000-0000-0000813B0000}"/>
    <cellStyle name="20% - Accent6 10 2 2 2 4 2 2" xfId="48429" xr:uid="{00000000-0005-0000-0000-0000823B0000}"/>
    <cellStyle name="20% - Accent6 10 2 2 2 4 3" xfId="35513" xr:uid="{00000000-0005-0000-0000-0000833B0000}"/>
    <cellStyle name="20% - Accent6 10 2 2 2 5" xfId="16097" xr:uid="{00000000-0005-0000-0000-0000843B0000}"/>
    <cellStyle name="20% - Accent6 10 2 2 2 5 2" xfId="41971" xr:uid="{00000000-0005-0000-0000-0000853B0000}"/>
    <cellStyle name="20% - Accent6 10 2 2 2 6" xfId="29023" xr:uid="{00000000-0005-0000-0000-0000863B0000}"/>
    <cellStyle name="20% - Accent6 10 2 2 3" xfId="3960" xr:uid="{00000000-0005-0000-0000-0000873B0000}"/>
    <cellStyle name="20% - Accent6 10 2 2 3 2" xfId="7214" xr:uid="{00000000-0005-0000-0000-0000883B0000}"/>
    <cellStyle name="20% - Accent6 10 2 2 3 2 2" xfId="13673" xr:uid="{00000000-0005-0000-0000-0000893B0000}"/>
    <cellStyle name="20% - Accent6 10 2 2 3 2 2 2" xfId="26590" xr:uid="{00000000-0005-0000-0000-00008A3B0000}"/>
    <cellStyle name="20% - Accent6 10 2 2 3 2 2 2 2" xfId="52464" xr:uid="{00000000-0005-0000-0000-00008B3B0000}"/>
    <cellStyle name="20% - Accent6 10 2 2 3 2 2 3" xfId="39548" xr:uid="{00000000-0005-0000-0000-00008C3B0000}"/>
    <cellStyle name="20% - Accent6 10 2 2 3 2 3" xfId="20132" xr:uid="{00000000-0005-0000-0000-00008D3B0000}"/>
    <cellStyle name="20% - Accent6 10 2 2 3 2 3 2" xfId="46006" xr:uid="{00000000-0005-0000-0000-00008E3B0000}"/>
    <cellStyle name="20% - Accent6 10 2 2 3 2 4" xfId="33090" xr:uid="{00000000-0005-0000-0000-00008F3B0000}"/>
    <cellStyle name="20% - Accent6 10 2 2 3 3" xfId="10445" xr:uid="{00000000-0005-0000-0000-0000903B0000}"/>
    <cellStyle name="20% - Accent6 10 2 2 3 3 2" xfId="23362" xr:uid="{00000000-0005-0000-0000-0000913B0000}"/>
    <cellStyle name="20% - Accent6 10 2 2 3 3 2 2" xfId="49236" xr:uid="{00000000-0005-0000-0000-0000923B0000}"/>
    <cellStyle name="20% - Accent6 10 2 2 3 3 3" xfId="36320" xr:uid="{00000000-0005-0000-0000-0000933B0000}"/>
    <cellStyle name="20% - Accent6 10 2 2 3 4" xfId="16904" xr:uid="{00000000-0005-0000-0000-0000943B0000}"/>
    <cellStyle name="20% - Accent6 10 2 2 3 4 2" xfId="42778" xr:uid="{00000000-0005-0000-0000-0000953B0000}"/>
    <cellStyle name="20% - Accent6 10 2 2 3 5" xfId="29830" xr:uid="{00000000-0005-0000-0000-0000963B0000}"/>
    <cellStyle name="20% - Accent6 10 2 2 4" xfId="5600" xr:uid="{00000000-0005-0000-0000-0000973B0000}"/>
    <cellStyle name="20% - Accent6 10 2 2 4 2" xfId="12059" xr:uid="{00000000-0005-0000-0000-0000983B0000}"/>
    <cellStyle name="20% - Accent6 10 2 2 4 2 2" xfId="24976" xr:uid="{00000000-0005-0000-0000-0000993B0000}"/>
    <cellStyle name="20% - Accent6 10 2 2 4 2 2 2" xfId="50850" xr:uid="{00000000-0005-0000-0000-00009A3B0000}"/>
    <cellStyle name="20% - Accent6 10 2 2 4 2 3" xfId="37934" xr:uid="{00000000-0005-0000-0000-00009B3B0000}"/>
    <cellStyle name="20% - Accent6 10 2 2 4 3" xfId="18518" xr:uid="{00000000-0005-0000-0000-00009C3B0000}"/>
    <cellStyle name="20% - Accent6 10 2 2 4 3 2" xfId="44392" xr:uid="{00000000-0005-0000-0000-00009D3B0000}"/>
    <cellStyle name="20% - Accent6 10 2 2 4 4" xfId="31476" xr:uid="{00000000-0005-0000-0000-00009E3B0000}"/>
    <cellStyle name="20% - Accent6 10 2 2 5" xfId="8831" xr:uid="{00000000-0005-0000-0000-00009F3B0000}"/>
    <cellStyle name="20% - Accent6 10 2 2 5 2" xfId="21748" xr:uid="{00000000-0005-0000-0000-0000A03B0000}"/>
    <cellStyle name="20% - Accent6 10 2 2 5 2 2" xfId="47622" xr:uid="{00000000-0005-0000-0000-0000A13B0000}"/>
    <cellStyle name="20% - Accent6 10 2 2 5 3" xfId="34706" xr:uid="{00000000-0005-0000-0000-0000A23B0000}"/>
    <cellStyle name="20% - Accent6 10 2 2 6" xfId="15290" xr:uid="{00000000-0005-0000-0000-0000A33B0000}"/>
    <cellStyle name="20% - Accent6 10 2 2 6 2" xfId="41164" xr:uid="{00000000-0005-0000-0000-0000A43B0000}"/>
    <cellStyle name="20% - Accent6 10 2 2 7" xfId="28216" xr:uid="{00000000-0005-0000-0000-0000A53B0000}"/>
    <cellStyle name="20% - Accent6 10 2 2 8" xfId="54078" xr:uid="{00000000-0005-0000-0000-0000A63B0000}"/>
    <cellStyle name="20% - Accent6 10 2 3" xfId="2729" xr:uid="{00000000-0005-0000-0000-0000A73B0000}"/>
    <cellStyle name="20% - Accent6 10 2 3 2" xfId="4386" xr:uid="{00000000-0005-0000-0000-0000A83B0000}"/>
    <cellStyle name="20% - Accent6 10 2 3 2 2" xfId="7617" xr:uid="{00000000-0005-0000-0000-0000A93B0000}"/>
    <cellStyle name="20% - Accent6 10 2 3 2 2 2" xfId="14076" xr:uid="{00000000-0005-0000-0000-0000AA3B0000}"/>
    <cellStyle name="20% - Accent6 10 2 3 2 2 2 2" xfId="26993" xr:uid="{00000000-0005-0000-0000-0000AB3B0000}"/>
    <cellStyle name="20% - Accent6 10 2 3 2 2 2 2 2" xfId="52867" xr:uid="{00000000-0005-0000-0000-0000AC3B0000}"/>
    <cellStyle name="20% - Accent6 10 2 3 2 2 2 3" xfId="39951" xr:uid="{00000000-0005-0000-0000-0000AD3B0000}"/>
    <cellStyle name="20% - Accent6 10 2 3 2 2 3" xfId="20535" xr:uid="{00000000-0005-0000-0000-0000AE3B0000}"/>
    <cellStyle name="20% - Accent6 10 2 3 2 2 3 2" xfId="46409" xr:uid="{00000000-0005-0000-0000-0000AF3B0000}"/>
    <cellStyle name="20% - Accent6 10 2 3 2 2 4" xfId="33493" xr:uid="{00000000-0005-0000-0000-0000B03B0000}"/>
    <cellStyle name="20% - Accent6 10 2 3 2 3" xfId="10848" xr:uid="{00000000-0005-0000-0000-0000B13B0000}"/>
    <cellStyle name="20% - Accent6 10 2 3 2 3 2" xfId="23765" xr:uid="{00000000-0005-0000-0000-0000B23B0000}"/>
    <cellStyle name="20% - Accent6 10 2 3 2 3 2 2" xfId="49639" xr:uid="{00000000-0005-0000-0000-0000B33B0000}"/>
    <cellStyle name="20% - Accent6 10 2 3 2 3 3" xfId="36723" xr:uid="{00000000-0005-0000-0000-0000B43B0000}"/>
    <cellStyle name="20% - Accent6 10 2 3 2 4" xfId="17307" xr:uid="{00000000-0005-0000-0000-0000B53B0000}"/>
    <cellStyle name="20% - Accent6 10 2 3 2 4 2" xfId="43181" xr:uid="{00000000-0005-0000-0000-0000B63B0000}"/>
    <cellStyle name="20% - Accent6 10 2 3 2 5" xfId="30233" xr:uid="{00000000-0005-0000-0000-0000B73B0000}"/>
    <cellStyle name="20% - Accent6 10 2 3 3" xfId="6003" xr:uid="{00000000-0005-0000-0000-0000B83B0000}"/>
    <cellStyle name="20% - Accent6 10 2 3 3 2" xfId="12462" xr:uid="{00000000-0005-0000-0000-0000B93B0000}"/>
    <cellStyle name="20% - Accent6 10 2 3 3 2 2" xfId="25379" xr:uid="{00000000-0005-0000-0000-0000BA3B0000}"/>
    <cellStyle name="20% - Accent6 10 2 3 3 2 2 2" xfId="51253" xr:uid="{00000000-0005-0000-0000-0000BB3B0000}"/>
    <cellStyle name="20% - Accent6 10 2 3 3 2 3" xfId="38337" xr:uid="{00000000-0005-0000-0000-0000BC3B0000}"/>
    <cellStyle name="20% - Accent6 10 2 3 3 3" xfId="18921" xr:uid="{00000000-0005-0000-0000-0000BD3B0000}"/>
    <cellStyle name="20% - Accent6 10 2 3 3 3 2" xfId="44795" xr:uid="{00000000-0005-0000-0000-0000BE3B0000}"/>
    <cellStyle name="20% - Accent6 10 2 3 3 4" xfId="31879" xr:uid="{00000000-0005-0000-0000-0000BF3B0000}"/>
    <cellStyle name="20% - Accent6 10 2 3 4" xfId="9234" xr:uid="{00000000-0005-0000-0000-0000C03B0000}"/>
    <cellStyle name="20% - Accent6 10 2 3 4 2" xfId="22151" xr:uid="{00000000-0005-0000-0000-0000C13B0000}"/>
    <cellStyle name="20% - Accent6 10 2 3 4 2 2" xfId="48025" xr:uid="{00000000-0005-0000-0000-0000C23B0000}"/>
    <cellStyle name="20% - Accent6 10 2 3 4 3" xfId="35109" xr:uid="{00000000-0005-0000-0000-0000C33B0000}"/>
    <cellStyle name="20% - Accent6 10 2 3 5" xfId="15693" xr:uid="{00000000-0005-0000-0000-0000C43B0000}"/>
    <cellStyle name="20% - Accent6 10 2 3 5 2" xfId="41567" xr:uid="{00000000-0005-0000-0000-0000C53B0000}"/>
    <cellStyle name="20% - Accent6 10 2 3 6" xfId="28619" xr:uid="{00000000-0005-0000-0000-0000C63B0000}"/>
    <cellStyle name="20% - Accent6 10 2 4" xfId="3556" xr:uid="{00000000-0005-0000-0000-0000C73B0000}"/>
    <cellStyle name="20% - Accent6 10 2 4 2" xfId="6810" xr:uid="{00000000-0005-0000-0000-0000C83B0000}"/>
    <cellStyle name="20% - Accent6 10 2 4 2 2" xfId="13269" xr:uid="{00000000-0005-0000-0000-0000C93B0000}"/>
    <cellStyle name="20% - Accent6 10 2 4 2 2 2" xfId="26186" xr:uid="{00000000-0005-0000-0000-0000CA3B0000}"/>
    <cellStyle name="20% - Accent6 10 2 4 2 2 2 2" xfId="52060" xr:uid="{00000000-0005-0000-0000-0000CB3B0000}"/>
    <cellStyle name="20% - Accent6 10 2 4 2 2 3" xfId="39144" xr:uid="{00000000-0005-0000-0000-0000CC3B0000}"/>
    <cellStyle name="20% - Accent6 10 2 4 2 3" xfId="19728" xr:uid="{00000000-0005-0000-0000-0000CD3B0000}"/>
    <cellStyle name="20% - Accent6 10 2 4 2 3 2" xfId="45602" xr:uid="{00000000-0005-0000-0000-0000CE3B0000}"/>
    <cellStyle name="20% - Accent6 10 2 4 2 4" xfId="32686" xr:uid="{00000000-0005-0000-0000-0000CF3B0000}"/>
    <cellStyle name="20% - Accent6 10 2 4 3" xfId="10041" xr:uid="{00000000-0005-0000-0000-0000D03B0000}"/>
    <cellStyle name="20% - Accent6 10 2 4 3 2" xfId="22958" xr:uid="{00000000-0005-0000-0000-0000D13B0000}"/>
    <cellStyle name="20% - Accent6 10 2 4 3 2 2" xfId="48832" xr:uid="{00000000-0005-0000-0000-0000D23B0000}"/>
    <cellStyle name="20% - Accent6 10 2 4 3 3" xfId="35916" xr:uid="{00000000-0005-0000-0000-0000D33B0000}"/>
    <cellStyle name="20% - Accent6 10 2 4 4" xfId="16500" xr:uid="{00000000-0005-0000-0000-0000D43B0000}"/>
    <cellStyle name="20% - Accent6 10 2 4 4 2" xfId="42374" xr:uid="{00000000-0005-0000-0000-0000D53B0000}"/>
    <cellStyle name="20% - Accent6 10 2 4 5" xfId="29426" xr:uid="{00000000-0005-0000-0000-0000D63B0000}"/>
    <cellStyle name="20% - Accent6 10 2 5" xfId="5196" xr:uid="{00000000-0005-0000-0000-0000D73B0000}"/>
    <cellStyle name="20% - Accent6 10 2 5 2" xfId="11655" xr:uid="{00000000-0005-0000-0000-0000D83B0000}"/>
    <cellStyle name="20% - Accent6 10 2 5 2 2" xfId="24572" xr:uid="{00000000-0005-0000-0000-0000D93B0000}"/>
    <cellStyle name="20% - Accent6 10 2 5 2 2 2" xfId="50446" xr:uid="{00000000-0005-0000-0000-0000DA3B0000}"/>
    <cellStyle name="20% - Accent6 10 2 5 2 3" xfId="37530" xr:uid="{00000000-0005-0000-0000-0000DB3B0000}"/>
    <cellStyle name="20% - Accent6 10 2 5 3" xfId="18114" xr:uid="{00000000-0005-0000-0000-0000DC3B0000}"/>
    <cellStyle name="20% - Accent6 10 2 5 3 2" xfId="43988" xr:uid="{00000000-0005-0000-0000-0000DD3B0000}"/>
    <cellStyle name="20% - Accent6 10 2 5 4" xfId="31072" xr:uid="{00000000-0005-0000-0000-0000DE3B0000}"/>
    <cellStyle name="20% - Accent6 10 2 6" xfId="8427" xr:uid="{00000000-0005-0000-0000-0000DF3B0000}"/>
    <cellStyle name="20% - Accent6 10 2 6 2" xfId="21344" xr:uid="{00000000-0005-0000-0000-0000E03B0000}"/>
    <cellStyle name="20% - Accent6 10 2 6 2 2" xfId="47218" xr:uid="{00000000-0005-0000-0000-0000E13B0000}"/>
    <cellStyle name="20% - Accent6 10 2 6 3" xfId="34302" xr:uid="{00000000-0005-0000-0000-0000E23B0000}"/>
    <cellStyle name="20% - Accent6 10 2 7" xfId="14886" xr:uid="{00000000-0005-0000-0000-0000E33B0000}"/>
    <cellStyle name="20% - Accent6 10 2 7 2" xfId="40760" xr:uid="{00000000-0005-0000-0000-0000E43B0000}"/>
    <cellStyle name="20% - Accent6 10 2 8" xfId="27811" xr:uid="{00000000-0005-0000-0000-0000E53B0000}"/>
    <cellStyle name="20% - Accent6 10 2 9" xfId="53674" xr:uid="{00000000-0005-0000-0000-0000E63B0000}"/>
    <cellStyle name="20% - Accent6 10 3" xfId="2124" xr:uid="{00000000-0005-0000-0000-0000E73B0000}"/>
    <cellStyle name="20% - Accent6 10 3 2" xfId="2938" xr:uid="{00000000-0005-0000-0000-0000E83B0000}"/>
    <cellStyle name="20% - Accent6 10 3 2 2" xfId="4595" xr:uid="{00000000-0005-0000-0000-0000E93B0000}"/>
    <cellStyle name="20% - Accent6 10 3 2 2 2" xfId="7826" xr:uid="{00000000-0005-0000-0000-0000EA3B0000}"/>
    <cellStyle name="20% - Accent6 10 3 2 2 2 2" xfId="14285" xr:uid="{00000000-0005-0000-0000-0000EB3B0000}"/>
    <cellStyle name="20% - Accent6 10 3 2 2 2 2 2" xfId="27202" xr:uid="{00000000-0005-0000-0000-0000EC3B0000}"/>
    <cellStyle name="20% - Accent6 10 3 2 2 2 2 2 2" xfId="53076" xr:uid="{00000000-0005-0000-0000-0000ED3B0000}"/>
    <cellStyle name="20% - Accent6 10 3 2 2 2 2 3" xfId="40160" xr:uid="{00000000-0005-0000-0000-0000EE3B0000}"/>
    <cellStyle name="20% - Accent6 10 3 2 2 2 3" xfId="20744" xr:uid="{00000000-0005-0000-0000-0000EF3B0000}"/>
    <cellStyle name="20% - Accent6 10 3 2 2 2 3 2" xfId="46618" xr:uid="{00000000-0005-0000-0000-0000F03B0000}"/>
    <cellStyle name="20% - Accent6 10 3 2 2 2 4" xfId="33702" xr:uid="{00000000-0005-0000-0000-0000F13B0000}"/>
    <cellStyle name="20% - Accent6 10 3 2 2 3" xfId="11057" xr:uid="{00000000-0005-0000-0000-0000F23B0000}"/>
    <cellStyle name="20% - Accent6 10 3 2 2 3 2" xfId="23974" xr:uid="{00000000-0005-0000-0000-0000F33B0000}"/>
    <cellStyle name="20% - Accent6 10 3 2 2 3 2 2" xfId="49848" xr:uid="{00000000-0005-0000-0000-0000F43B0000}"/>
    <cellStyle name="20% - Accent6 10 3 2 2 3 3" xfId="36932" xr:uid="{00000000-0005-0000-0000-0000F53B0000}"/>
    <cellStyle name="20% - Accent6 10 3 2 2 4" xfId="17516" xr:uid="{00000000-0005-0000-0000-0000F63B0000}"/>
    <cellStyle name="20% - Accent6 10 3 2 2 4 2" xfId="43390" xr:uid="{00000000-0005-0000-0000-0000F73B0000}"/>
    <cellStyle name="20% - Accent6 10 3 2 2 5" xfId="30442" xr:uid="{00000000-0005-0000-0000-0000F83B0000}"/>
    <cellStyle name="20% - Accent6 10 3 2 3" xfId="6212" xr:uid="{00000000-0005-0000-0000-0000F93B0000}"/>
    <cellStyle name="20% - Accent6 10 3 2 3 2" xfId="12671" xr:uid="{00000000-0005-0000-0000-0000FA3B0000}"/>
    <cellStyle name="20% - Accent6 10 3 2 3 2 2" xfId="25588" xr:uid="{00000000-0005-0000-0000-0000FB3B0000}"/>
    <cellStyle name="20% - Accent6 10 3 2 3 2 2 2" xfId="51462" xr:uid="{00000000-0005-0000-0000-0000FC3B0000}"/>
    <cellStyle name="20% - Accent6 10 3 2 3 2 3" xfId="38546" xr:uid="{00000000-0005-0000-0000-0000FD3B0000}"/>
    <cellStyle name="20% - Accent6 10 3 2 3 3" xfId="19130" xr:uid="{00000000-0005-0000-0000-0000FE3B0000}"/>
    <cellStyle name="20% - Accent6 10 3 2 3 3 2" xfId="45004" xr:uid="{00000000-0005-0000-0000-0000FF3B0000}"/>
    <cellStyle name="20% - Accent6 10 3 2 3 4" xfId="32088" xr:uid="{00000000-0005-0000-0000-0000003C0000}"/>
    <cellStyle name="20% - Accent6 10 3 2 4" xfId="9443" xr:uid="{00000000-0005-0000-0000-0000013C0000}"/>
    <cellStyle name="20% - Accent6 10 3 2 4 2" xfId="22360" xr:uid="{00000000-0005-0000-0000-0000023C0000}"/>
    <cellStyle name="20% - Accent6 10 3 2 4 2 2" xfId="48234" xr:uid="{00000000-0005-0000-0000-0000033C0000}"/>
    <cellStyle name="20% - Accent6 10 3 2 4 3" xfId="35318" xr:uid="{00000000-0005-0000-0000-0000043C0000}"/>
    <cellStyle name="20% - Accent6 10 3 2 5" xfId="15902" xr:uid="{00000000-0005-0000-0000-0000053C0000}"/>
    <cellStyle name="20% - Accent6 10 3 2 5 2" xfId="41776" xr:uid="{00000000-0005-0000-0000-0000063C0000}"/>
    <cellStyle name="20% - Accent6 10 3 2 6" xfId="28828" xr:uid="{00000000-0005-0000-0000-0000073C0000}"/>
    <cellStyle name="20% - Accent6 10 3 3" xfId="3765" xr:uid="{00000000-0005-0000-0000-0000083C0000}"/>
    <cellStyle name="20% - Accent6 10 3 3 2" xfId="7019" xr:uid="{00000000-0005-0000-0000-0000093C0000}"/>
    <cellStyle name="20% - Accent6 10 3 3 2 2" xfId="13478" xr:uid="{00000000-0005-0000-0000-00000A3C0000}"/>
    <cellStyle name="20% - Accent6 10 3 3 2 2 2" xfId="26395" xr:uid="{00000000-0005-0000-0000-00000B3C0000}"/>
    <cellStyle name="20% - Accent6 10 3 3 2 2 2 2" xfId="52269" xr:uid="{00000000-0005-0000-0000-00000C3C0000}"/>
    <cellStyle name="20% - Accent6 10 3 3 2 2 3" xfId="39353" xr:uid="{00000000-0005-0000-0000-00000D3C0000}"/>
    <cellStyle name="20% - Accent6 10 3 3 2 3" xfId="19937" xr:uid="{00000000-0005-0000-0000-00000E3C0000}"/>
    <cellStyle name="20% - Accent6 10 3 3 2 3 2" xfId="45811" xr:uid="{00000000-0005-0000-0000-00000F3C0000}"/>
    <cellStyle name="20% - Accent6 10 3 3 2 4" xfId="32895" xr:uid="{00000000-0005-0000-0000-0000103C0000}"/>
    <cellStyle name="20% - Accent6 10 3 3 3" xfId="10250" xr:uid="{00000000-0005-0000-0000-0000113C0000}"/>
    <cellStyle name="20% - Accent6 10 3 3 3 2" xfId="23167" xr:uid="{00000000-0005-0000-0000-0000123C0000}"/>
    <cellStyle name="20% - Accent6 10 3 3 3 2 2" xfId="49041" xr:uid="{00000000-0005-0000-0000-0000133C0000}"/>
    <cellStyle name="20% - Accent6 10 3 3 3 3" xfId="36125" xr:uid="{00000000-0005-0000-0000-0000143C0000}"/>
    <cellStyle name="20% - Accent6 10 3 3 4" xfId="16709" xr:uid="{00000000-0005-0000-0000-0000153C0000}"/>
    <cellStyle name="20% - Accent6 10 3 3 4 2" xfId="42583" xr:uid="{00000000-0005-0000-0000-0000163C0000}"/>
    <cellStyle name="20% - Accent6 10 3 3 5" xfId="29635" xr:uid="{00000000-0005-0000-0000-0000173C0000}"/>
    <cellStyle name="20% - Accent6 10 3 4" xfId="5405" xr:uid="{00000000-0005-0000-0000-0000183C0000}"/>
    <cellStyle name="20% - Accent6 10 3 4 2" xfId="11864" xr:uid="{00000000-0005-0000-0000-0000193C0000}"/>
    <cellStyle name="20% - Accent6 10 3 4 2 2" xfId="24781" xr:uid="{00000000-0005-0000-0000-00001A3C0000}"/>
    <cellStyle name="20% - Accent6 10 3 4 2 2 2" xfId="50655" xr:uid="{00000000-0005-0000-0000-00001B3C0000}"/>
    <cellStyle name="20% - Accent6 10 3 4 2 3" xfId="37739" xr:uid="{00000000-0005-0000-0000-00001C3C0000}"/>
    <cellStyle name="20% - Accent6 10 3 4 3" xfId="18323" xr:uid="{00000000-0005-0000-0000-00001D3C0000}"/>
    <cellStyle name="20% - Accent6 10 3 4 3 2" xfId="44197" xr:uid="{00000000-0005-0000-0000-00001E3C0000}"/>
    <cellStyle name="20% - Accent6 10 3 4 4" xfId="31281" xr:uid="{00000000-0005-0000-0000-00001F3C0000}"/>
    <cellStyle name="20% - Accent6 10 3 5" xfId="8636" xr:uid="{00000000-0005-0000-0000-0000203C0000}"/>
    <cellStyle name="20% - Accent6 10 3 5 2" xfId="21553" xr:uid="{00000000-0005-0000-0000-0000213C0000}"/>
    <cellStyle name="20% - Accent6 10 3 5 2 2" xfId="47427" xr:uid="{00000000-0005-0000-0000-0000223C0000}"/>
    <cellStyle name="20% - Accent6 10 3 5 3" xfId="34511" xr:uid="{00000000-0005-0000-0000-0000233C0000}"/>
    <cellStyle name="20% - Accent6 10 3 6" xfId="15095" xr:uid="{00000000-0005-0000-0000-0000243C0000}"/>
    <cellStyle name="20% - Accent6 10 3 6 2" xfId="40969" xr:uid="{00000000-0005-0000-0000-0000253C0000}"/>
    <cellStyle name="20% - Accent6 10 3 7" xfId="28021" xr:uid="{00000000-0005-0000-0000-0000263C0000}"/>
    <cellStyle name="20% - Accent6 10 3 8" xfId="53883" xr:uid="{00000000-0005-0000-0000-0000273C0000}"/>
    <cellStyle name="20% - Accent6 10 4" xfId="2535" xr:uid="{00000000-0005-0000-0000-0000283C0000}"/>
    <cellStyle name="20% - Accent6 10 4 2" xfId="4192" xr:uid="{00000000-0005-0000-0000-0000293C0000}"/>
    <cellStyle name="20% - Accent6 10 4 2 2" xfId="7423" xr:uid="{00000000-0005-0000-0000-00002A3C0000}"/>
    <cellStyle name="20% - Accent6 10 4 2 2 2" xfId="13882" xr:uid="{00000000-0005-0000-0000-00002B3C0000}"/>
    <cellStyle name="20% - Accent6 10 4 2 2 2 2" xfId="26799" xr:uid="{00000000-0005-0000-0000-00002C3C0000}"/>
    <cellStyle name="20% - Accent6 10 4 2 2 2 2 2" xfId="52673" xr:uid="{00000000-0005-0000-0000-00002D3C0000}"/>
    <cellStyle name="20% - Accent6 10 4 2 2 2 3" xfId="39757" xr:uid="{00000000-0005-0000-0000-00002E3C0000}"/>
    <cellStyle name="20% - Accent6 10 4 2 2 3" xfId="20341" xr:uid="{00000000-0005-0000-0000-00002F3C0000}"/>
    <cellStyle name="20% - Accent6 10 4 2 2 3 2" xfId="46215" xr:uid="{00000000-0005-0000-0000-0000303C0000}"/>
    <cellStyle name="20% - Accent6 10 4 2 2 4" xfId="33299" xr:uid="{00000000-0005-0000-0000-0000313C0000}"/>
    <cellStyle name="20% - Accent6 10 4 2 3" xfId="10654" xr:uid="{00000000-0005-0000-0000-0000323C0000}"/>
    <cellStyle name="20% - Accent6 10 4 2 3 2" xfId="23571" xr:uid="{00000000-0005-0000-0000-0000333C0000}"/>
    <cellStyle name="20% - Accent6 10 4 2 3 2 2" xfId="49445" xr:uid="{00000000-0005-0000-0000-0000343C0000}"/>
    <cellStyle name="20% - Accent6 10 4 2 3 3" xfId="36529" xr:uid="{00000000-0005-0000-0000-0000353C0000}"/>
    <cellStyle name="20% - Accent6 10 4 2 4" xfId="17113" xr:uid="{00000000-0005-0000-0000-0000363C0000}"/>
    <cellStyle name="20% - Accent6 10 4 2 4 2" xfId="42987" xr:uid="{00000000-0005-0000-0000-0000373C0000}"/>
    <cellStyle name="20% - Accent6 10 4 2 5" xfId="30039" xr:uid="{00000000-0005-0000-0000-0000383C0000}"/>
    <cellStyle name="20% - Accent6 10 4 3" xfId="5809" xr:uid="{00000000-0005-0000-0000-0000393C0000}"/>
    <cellStyle name="20% - Accent6 10 4 3 2" xfId="12268" xr:uid="{00000000-0005-0000-0000-00003A3C0000}"/>
    <cellStyle name="20% - Accent6 10 4 3 2 2" xfId="25185" xr:uid="{00000000-0005-0000-0000-00003B3C0000}"/>
    <cellStyle name="20% - Accent6 10 4 3 2 2 2" xfId="51059" xr:uid="{00000000-0005-0000-0000-00003C3C0000}"/>
    <cellStyle name="20% - Accent6 10 4 3 2 3" xfId="38143" xr:uid="{00000000-0005-0000-0000-00003D3C0000}"/>
    <cellStyle name="20% - Accent6 10 4 3 3" xfId="18727" xr:uid="{00000000-0005-0000-0000-00003E3C0000}"/>
    <cellStyle name="20% - Accent6 10 4 3 3 2" xfId="44601" xr:uid="{00000000-0005-0000-0000-00003F3C0000}"/>
    <cellStyle name="20% - Accent6 10 4 3 4" xfId="31685" xr:uid="{00000000-0005-0000-0000-0000403C0000}"/>
    <cellStyle name="20% - Accent6 10 4 4" xfId="9040" xr:uid="{00000000-0005-0000-0000-0000413C0000}"/>
    <cellStyle name="20% - Accent6 10 4 4 2" xfId="21957" xr:uid="{00000000-0005-0000-0000-0000423C0000}"/>
    <cellStyle name="20% - Accent6 10 4 4 2 2" xfId="47831" xr:uid="{00000000-0005-0000-0000-0000433C0000}"/>
    <cellStyle name="20% - Accent6 10 4 4 3" xfId="34915" xr:uid="{00000000-0005-0000-0000-0000443C0000}"/>
    <cellStyle name="20% - Accent6 10 4 5" xfId="15499" xr:uid="{00000000-0005-0000-0000-0000453C0000}"/>
    <cellStyle name="20% - Accent6 10 4 5 2" xfId="41373" xr:uid="{00000000-0005-0000-0000-0000463C0000}"/>
    <cellStyle name="20% - Accent6 10 4 6" xfId="28425" xr:uid="{00000000-0005-0000-0000-0000473C0000}"/>
    <cellStyle name="20% - Accent6 10 5" xfId="3357" xr:uid="{00000000-0005-0000-0000-0000483C0000}"/>
    <cellStyle name="20% - Accent6 10 5 2" xfId="6616" xr:uid="{00000000-0005-0000-0000-0000493C0000}"/>
    <cellStyle name="20% - Accent6 10 5 2 2" xfId="13075" xr:uid="{00000000-0005-0000-0000-00004A3C0000}"/>
    <cellStyle name="20% - Accent6 10 5 2 2 2" xfId="25992" xr:uid="{00000000-0005-0000-0000-00004B3C0000}"/>
    <cellStyle name="20% - Accent6 10 5 2 2 2 2" xfId="51866" xr:uid="{00000000-0005-0000-0000-00004C3C0000}"/>
    <cellStyle name="20% - Accent6 10 5 2 2 3" xfId="38950" xr:uid="{00000000-0005-0000-0000-00004D3C0000}"/>
    <cellStyle name="20% - Accent6 10 5 2 3" xfId="19534" xr:uid="{00000000-0005-0000-0000-00004E3C0000}"/>
    <cellStyle name="20% - Accent6 10 5 2 3 2" xfId="45408" xr:uid="{00000000-0005-0000-0000-00004F3C0000}"/>
    <cellStyle name="20% - Accent6 10 5 2 4" xfId="32492" xr:uid="{00000000-0005-0000-0000-0000503C0000}"/>
    <cellStyle name="20% - Accent6 10 5 3" xfId="9847" xr:uid="{00000000-0005-0000-0000-0000513C0000}"/>
    <cellStyle name="20% - Accent6 10 5 3 2" xfId="22764" xr:uid="{00000000-0005-0000-0000-0000523C0000}"/>
    <cellStyle name="20% - Accent6 10 5 3 2 2" xfId="48638" xr:uid="{00000000-0005-0000-0000-0000533C0000}"/>
    <cellStyle name="20% - Accent6 10 5 3 3" xfId="35722" xr:uid="{00000000-0005-0000-0000-0000543C0000}"/>
    <cellStyle name="20% - Accent6 10 5 4" xfId="16306" xr:uid="{00000000-0005-0000-0000-0000553C0000}"/>
    <cellStyle name="20% - Accent6 10 5 4 2" xfId="42180" xr:uid="{00000000-0005-0000-0000-0000563C0000}"/>
    <cellStyle name="20% - Accent6 10 5 5" xfId="29232" xr:uid="{00000000-0005-0000-0000-0000573C0000}"/>
    <cellStyle name="20% - Accent6 10 6" xfId="5002" xr:uid="{00000000-0005-0000-0000-0000583C0000}"/>
    <cellStyle name="20% - Accent6 10 6 2" xfId="11461" xr:uid="{00000000-0005-0000-0000-0000593C0000}"/>
    <cellStyle name="20% - Accent6 10 6 2 2" xfId="24378" xr:uid="{00000000-0005-0000-0000-00005A3C0000}"/>
    <cellStyle name="20% - Accent6 10 6 2 2 2" xfId="50252" xr:uid="{00000000-0005-0000-0000-00005B3C0000}"/>
    <cellStyle name="20% - Accent6 10 6 2 3" xfId="37336" xr:uid="{00000000-0005-0000-0000-00005C3C0000}"/>
    <cellStyle name="20% - Accent6 10 6 3" xfId="17920" xr:uid="{00000000-0005-0000-0000-00005D3C0000}"/>
    <cellStyle name="20% - Accent6 10 6 3 2" xfId="43794" xr:uid="{00000000-0005-0000-0000-00005E3C0000}"/>
    <cellStyle name="20% - Accent6 10 6 4" xfId="30878" xr:uid="{00000000-0005-0000-0000-00005F3C0000}"/>
    <cellStyle name="20% - Accent6 10 7" xfId="8232" xr:uid="{00000000-0005-0000-0000-0000603C0000}"/>
    <cellStyle name="20% - Accent6 10 7 2" xfId="21149" xr:uid="{00000000-0005-0000-0000-0000613C0000}"/>
    <cellStyle name="20% - Accent6 10 7 2 2" xfId="47023" xr:uid="{00000000-0005-0000-0000-0000623C0000}"/>
    <cellStyle name="20% - Accent6 10 7 3" xfId="34107" xr:uid="{00000000-0005-0000-0000-0000633C0000}"/>
    <cellStyle name="20% - Accent6 10 8" xfId="14691" xr:uid="{00000000-0005-0000-0000-0000643C0000}"/>
    <cellStyle name="20% - Accent6 10 8 2" xfId="40565" xr:uid="{00000000-0005-0000-0000-0000653C0000}"/>
    <cellStyle name="20% - Accent6 10 9" xfId="27615" xr:uid="{00000000-0005-0000-0000-0000663C0000}"/>
    <cellStyle name="20% - Accent6 11" xfId="1767" xr:uid="{00000000-0005-0000-0000-0000673C0000}"/>
    <cellStyle name="20% - Accent6 11 2" xfId="2261" xr:uid="{00000000-0005-0000-0000-0000683C0000}"/>
    <cellStyle name="20% - Accent6 11 2 2" xfId="3075" xr:uid="{00000000-0005-0000-0000-0000693C0000}"/>
    <cellStyle name="20% - Accent6 11 2 2 2" xfId="4732" xr:uid="{00000000-0005-0000-0000-00006A3C0000}"/>
    <cellStyle name="20% - Accent6 11 2 2 2 2" xfId="7963" xr:uid="{00000000-0005-0000-0000-00006B3C0000}"/>
    <cellStyle name="20% - Accent6 11 2 2 2 2 2" xfId="14422" xr:uid="{00000000-0005-0000-0000-00006C3C0000}"/>
    <cellStyle name="20% - Accent6 11 2 2 2 2 2 2" xfId="27339" xr:uid="{00000000-0005-0000-0000-00006D3C0000}"/>
    <cellStyle name="20% - Accent6 11 2 2 2 2 2 2 2" xfId="53213" xr:uid="{00000000-0005-0000-0000-00006E3C0000}"/>
    <cellStyle name="20% - Accent6 11 2 2 2 2 2 3" xfId="40297" xr:uid="{00000000-0005-0000-0000-00006F3C0000}"/>
    <cellStyle name="20% - Accent6 11 2 2 2 2 3" xfId="20881" xr:uid="{00000000-0005-0000-0000-0000703C0000}"/>
    <cellStyle name="20% - Accent6 11 2 2 2 2 3 2" xfId="46755" xr:uid="{00000000-0005-0000-0000-0000713C0000}"/>
    <cellStyle name="20% - Accent6 11 2 2 2 2 4" xfId="33839" xr:uid="{00000000-0005-0000-0000-0000723C0000}"/>
    <cellStyle name="20% - Accent6 11 2 2 2 3" xfId="11194" xr:uid="{00000000-0005-0000-0000-0000733C0000}"/>
    <cellStyle name="20% - Accent6 11 2 2 2 3 2" xfId="24111" xr:uid="{00000000-0005-0000-0000-0000743C0000}"/>
    <cellStyle name="20% - Accent6 11 2 2 2 3 2 2" xfId="49985" xr:uid="{00000000-0005-0000-0000-0000753C0000}"/>
    <cellStyle name="20% - Accent6 11 2 2 2 3 3" xfId="37069" xr:uid="{00000000-0005-0000-0000-0000763C0000}"/>
    <cellStyle name="20% - Accent6 11 2 2 2 4" xfId="17653" xr:uid="{00000000-0005-0000-0000-0000773C0000}"/>
    <cellStyle name="20% - Accent6 11 2 2 2 4 2" xfId="43527" xr:uid="{00000000-0005-0000-0000-0000783C0000}"/>
    <cellStyle name="20% - Accent6 11 2 2 2 5" xfId="30579" xr:uid="{00000000-0005-0000-0000-0000793C0000}"/>
    <cellStyle name="20% - Accent6 11 2 2 3" xfId="6349" xr:uid="{00000000-0005-0000-0000-00007A3C0000}"/>
    <cellStyle name="20% - Accent6 11 2 2 3 2" xfId="12808" xr:uid="{00000000-0005-0000-0000-00007B3C0000}"/>
    <cellStyle name="20% - Accent6 11 2 2 3 2 2" xfId="25725" xr:uid="{00000000-0005-0000-0000-00007C3C0000}"/>
    <cellStyle name="20% - Accent6 11 2 2 3 2 2 2" xfId="51599" xr:uid="{00000000-0005-0000-0000-00007D3C0000}"/>
    <cellStyle name="20% - Accent6 11 2 2 3 2 3" xfId="38683" xr:uid="{00000000-0005-0000-0000-00007E3C0000}"/>
    <cellStyle name="20% - Accent6 11 2 2 3 3" xfId="19267" xr:uid="{00000000-0005-0000-0000-00007F3C0000}"/>
    <cellStyle name="20% - Accent6 11 2 2 3 3 2" xfId="45141" xr:uid="{00000000-0005-0000-0000-0000803C0000}"/>
    <cellStyle name="20% - Accent6 11 2 2 3 4" xfId="32225" xr:uid="{00000000-0005-0000-0000-0000813C0000}"/>
    <cellStyle name="20% - Accent6 11 2 2 4" xfId="9580" xr:uid="{00000000-0005-0000-0000-0000823C0000}"/>
    <cellStyle name="20% - Accent6 11 2 2 4 2" xfId="22497" xr:uid="{00000000-0005-0000-0000-0000833C0000}"/>
    <cellStyle name="20% - Accent6 11 2 2 4 2 2" xfId="48371" xr:uid="{00000000-0005-0000-0000-0000843C0000}"/>
    <cellStyle name="20% - Accent6 11 2 2 4 3" xfId="35455" xr:uid="{00000000-0005-0000-0000-0000853C0000}"/>
    <cellStyle name="20% - Accent6 11 2 2 5" xfId="16039" xr:uid="{00000000-0005-0000-0000-0000863C0000}"/>
    <cellStyle name="20% - Accent6 11 2 2 5 2" xfId="41913" xr:uid="{00000000-0005-0000-0000-0000873C0000}"/>
    <cellStyle name="20% - Accent6 11 2 2 6" xfId="28965" xr:uid="{00000000-0005-0000-0000-0000883C0000}"/>
    <cellStyle name="20% - Accent6 11 2 3" xfId="3902" xr:uid="{00000000-0005-0000-0000-0000893C0000}"/>
    <cellStyle name="20% - Accent6 11 2 3 2" xfId="7156" xr:uid="{00000000-0005-0000-0000-00008A3C0000}"/>
    <cellStyle name="20% - Accent6 11 2 3 2 2" xfId="13615" xr:uid="{00000000-0005-0000-0000-00008B3C0000}"/>
    <cellStyle name="20% - Accent6 11 2 3 2 2 2" xfId="26532" xr:uid="{00000000-0005-0000-0000-00008C3C0000}"/>
    <cellStyle name="20% - Accent6 11 2 3 2 2 2 2" xfId="52406" xr:uid="{00000000-0005-0000-0000-00008D3C0000}"/>
    <cellStyle name="20% - Accent6 11 2 3 2 2 3" xfId="39490" xr:uid="{00000000-0005-0000-0000-00008E3C0000}"/>
    <cellStyle name="20% - Accent6 11 2 3 2 3" xfId="20074" xr:uid="{00000000-0005-0000-0000-00008F3C0000}"/>
    <cellStyle name="20% - Accent6 11 2 3 2 3 2" xfId="45948" xr:uid="{00000000-0005-0000-0000-0000903C0000}"/>
    <cellStyle name="20% - Accent6 11 2 3 2 4" xfId="33032" xr:uid="{00000000-0005-0000-0000-0000913C0000}"/>
    <cellStyle name="20% - Accent6 11 2 3 3" xfId="10387" xr:uid="{00000000-0005-0000-0000-0000923C0000}"/>
    <cellStyle name="20% - Accent6 11 2 3 3 2" xfId="23304" xr:uid="{00000000-0005-0000-0000-0000933C0000}"/>
    <cellStyle name="20% - Accent6 11 2 3 3 2 2" xfId="49178" xr:uid="{00000000-0005-0000-0000-0000943C0000}"/>
    <cellStyle name="20% - Accent6 11 2 3 3 3" xfId="36262" xr:uid="{00000000-0005-0000-0000-0000953C0000}"/>
    <cellStyle name="20% - Accent6 11 2 3 4" xfId="16846" xr:uid="{00000000-0005-0000-0000-0000963C0000}"/>
    <cellStyle name="20% - Accent6 11 2 3 4 2" xfId="42720" xr:uid="{00000000-0005-0000-0000-0000973C0000}"/>
    <cellStyle name="20% - Accent6 11 2 3 5" xfId="29772" xr:uid="{00000000-0005-0000-0000-0000983C0000}"/>
    <cellStyle name="20% - Accent6 11 2 4" xfId="5542" xr:uid="{00000000-0005-0000-0000-0000993C0000}"/>
    <cellStyle name="20% - Accent6 11 2 4 2" xfId="12001" xr:uid="{00000000-0005-0000-0000-00009A3C0000}"/>
    <cellStyle name="20% - Accent6 11 2 4 2 2" xfId="24918" xr:uid="{00000000-0005-0000-0000-00009B3C0000}"/>
    <cellStyle name="20% - Accent6 11 2 4 2 2 2" xfId="50792" xr:uid="{00000000-0005-0000-0000-00009C3C0000}"/>
    <cellStyle name="20% - Accent6 11 2 4 2 3" xfId="37876" xr:uid="{00000000-0005-0000-0000-00009D3C0000}"/>
    <cellStyle name="20% - Accent6 11 2 4 3" xfId="18460" xr:uid="{00000000-0005-0000-0000-00009E3C0000}"/>
    <cellStyle name="20% - Accent6 11 2 4 3 2" xfId="44334" xr:uid="{00000000-0005-0000-0000-00009F3C0000}"/>
    <cellStyle name="20% - Accent6 11 2 4 4" xfId="31418" xr:uid="{00000000-0005-0000-0000-0000A03C0000}"/>
    <cellStyle name="20% - Accent6 11 2 5" xfId="8773" xr:uid="{00000000-0005-0000-0000-0000A13C0000}"/>
    <cellStyle name="20% - Accent6 11 2 5 2" xfId="21690" xr:uid="{00000000-0005-0000-0000-0000A23C0000}"/>
    <cellStyle name="20% - Accent6 11 2 5 2 2" xfId="47564" xr:uid="{00000000-0005-0000-0000-0000A33C0000}"/>
    <cellStyle name="20% - Accent6 11 2 5 3" xfId="34648" xr:uid="{00000000-0005-0000-0000-0000A43C0000}"/>
    <cellStyle name="20% - Accent6 11 2 6" xfId="15232" xr:uid="{00000000-0005-0000-0000-0000A53C0000}"/>
    <cellStyle name="20% - Accent6 11 2 6 2" xfId="41106" xr:uid="{00000000-0005-0000-0000-0000A63C0000}"/>
    <cellStyle name="20% - Accent6 11 2 7" xfId="28158" xr:uid="{00000000-0005-0000-0000-0000A73C0000}"/>
    <cellStyle name="20% - Accent6 11 2 8" xfId="54020" xr:uid="{00000000-0005-0000-0000-0000A83C0000}"/>
    <cellStyle name="20% - Accent6 11 3" xfId="2672" xr:uid="{00000000-0005-0000-0000-0000A93C0000}"/>
    <cellStyle name="20% - Accent6 11 3 2" xfId="4329" xr:uid="{00000000-0005-0000-0000-0000AA3C0000}"/>
    <cellStyle name="20% - Accent6 11 3 2 2" xfId="7560" xr:uid="{00000000-0005-0000-0000-0000AB3C0000}"/>
    <cellStyle name="20% - Accent6 11 3 2 2 2" xfId="14019" xr:uid="{00000000-0005-0000-0000-0000AC3C0000}"/>
    <cellStyle name="20% - Accent6 11 3 2 2 2 2" xfId="26936" xr:uid="{00000000-0005-0000-0000-0000AD3C0000}"/>
    <cellStyle name="20% - Accent6 11 3 2 2 2 2 2" xfId="52810" xr:uid="{00000000-0005-0000-0000-0000AE3C0000}"/>
    <cellStyle name="20% - Accent6 11 3 2 2 2 3" xfId="39894" xr:uid="{00000000-0005-0000-0000-0000AF3C0000}"/>
    <cellStyle name="20% - Accent6 11 3 2 2 3" xfId="20478" xr:uid="{00000000-0005-0000-0000-0000B03C0000}"/>
    <cellStyle name="20% - Accent6 11 3 2 2 3 2" xfId="46352" xr:uid="{00000000-0005-0000-0000-0000B13C0000}"/>
    <cellStyle name="20% - Accent6 11 3 2 2 4" xfId="33436" xr:uid="{00000000-0005-0000-0000-0000B23C0000}"/>
    <cellStyle name="20% - Accent6 11 3 2 3" xfId="10791" xr:uid="{00000000-0005-0000-0000-0000B33C0000}"/>
    <cellStyle name="20% - Accent6 11 3 2 3 2" xfId="23708" xr:uid="{00000000-0005-0000-0000-0000B43C0000}"/>
    <cellStyle name="20% - Accent6 11 3 2 3 2 2" xfId="49582" xr:uid="{00000000-0005-0000-0000-0000B53C0000}"/>
    <cellStyle name="20% - Accent6 11 3 2 3 3" xfId="36666" xr:uid="{00000000-0005-0000-0000-0000B63C0000}"/>
    <cellStyle name="20% - Accent6 11 3 2 4" xfId="17250" xr:uid="{00000000-0005-0000-0000-0000B73C0000}"/>
    <cellStyle name="20% - Accent6 11 3 2 4 2" xfId="43124" xr:uid="{00000000-0005-0000-0000-0000B83C0000}"/>
    <cellStyle name="20% - Accent6 11 3 2 5" xfId="30176" xr:uid="{00000000-0005-0000-0000-0000B93C0000}"/>
    <cellStyle name="20% - Accent6 11 3 3" xfId="5946" xr:uid="{00000000-0005-0000-0000-0000BA3C0000}"/>
    <cellStyle name="20% - Accent6 11 3 3 2" xfId="12405" xr:uid="{00000000-0005-0000-0000-0000BB3C0000}"/>
    <cellStyle name="20% - Accent6 11 3 3 2 2" xfId="25322" xr:uid="{00000000-0005-0000-0000-0000BC3C0000}"/>
    <cellStyle name="20% - Accent6 11 3 3 2 2 2" xfId="51196" xr:uid="{00000000-0005-0000-0000-0000BD3C0000}"/>
    <cellStyle name="20% - Accent6 11 3 3 2 3" xfId="38280" xr:uid="{00000000-0005-0000-0000-0000BE3C0000}"/>
    <cellStyle name="20% - Accent6 11 3 3 3" xfId="18864" xr:uid="{00000000-0005-0000-0000-0000BF3C0000}"/>
    <cellStyle name="20% - Accent6 11 3 3 3 2" xfId="44738" xr:uid="{00000000-0005-0000-0000-0000C03C0000}"/>
    <cellStyle name="20% - Accent6 11 3 3 4" xfId="31822" xr:uid="{00000000-0005-0000-0000-0000C13C0000}"/>
    <cellStyle name="20% - Accent6 11 3 4" xfId="9177" xr:uid="{00000000-0005-0000-0000-0000C23C0000}"/>
    <cellStyle name="20% - Accent6 11 3 4 2" xfId="22094" xr:uid="{00000000-0005-0000-0000-0000C33C0000}"/>
    <cellStyle name="20% - Accent6 11 3 4 2 2" xfId="47968" xr:uid="{00000000-0005-0000-0000-0000C43C0000}"/>
    <cellStyle name="20% - Accent6 11 3 4 3" xfId="35052" xr:uid="{00000000-0005-0000-0000-0000C53C0000}"/>
    <cellStyle name="20% - Accent6 11 3 5" xfId="15636" xr:uid="{00000000-0005-0000-0000-0000C63C0000}"/>
    <cellStyle name="20% - Accent6 11 3 5 2" xfId="41510" xr:uid="{00000000-0005-0000-0000-0000C73C0000}"/>
    <cellStyle name="20% - Accent6 11 3 6" xfId="28562" xr:uid="{00000000-0005-0000-0000-0000C83C0000}"/>
    <cellStyle name="20% - Accent6 11 4" xfId="3499" xr:uid="{00000000-0005-0000-0000-0000C93C0000}"/>
    <cellStyle name="20% - Accent6 11 4 2" xfId="6753" xr:uid="{00000000-0005-0000-0000-0000CA3C0000}"/>
    <cellStyle name="20% - Accent6 11 4 2 2" xfId="13212" xr:uid="{00000000-0005-0000-0000-0000CB3C0000}"/>
    <cellStyle name="20% - Accent6 11 4 2 2 2" xfId="26129" xr:uid="{00000000-0005-0000-0000-0000CC3C0000}"/>
    <cellStyle name="20% - Accent6 11 4 2 2 2 2" xfId="52003" xr:uid="{00000000-0005-0000-0000-0000CD3C0000}"/>
    <cellStyle name="20% - Accent6 11 4 2 2 3" xfId="39087" xr:uid="{00000000-0005-0000-0000-0000CE3C0000}"/>
    <cellStyle name="20% - Accent6 11 4 2 3" xfId="19671" xr:uid="{00000000-0005-0000-0000-0000CF3C0000}"/>
    <cellStyle name="20% - Accent6 11 4 2 3 2" xfId="45545" xr:uid="{00000000-0005-0000-0000-0000D03C0000}"/>
    <cellStyle name="20% - Accent6 11 4 2 4" xfId="32629" xr:uid="{00000000-0005-0000-0000-0000D13C0000}"/>
    <cellStyle name="20% - Accent6 11 4 3" xfId="9984" xr:uid="{00000000-0005-0000-0000-0000D23C0000}"/>
    <cellStyle name="20% - Accent6 11 4 3 2" xfId="22901" xr:uid="{00000000-0005-0000-0000-0000D33C0000}"/>
    <cellStyle name="20% - Accent6 11 4 3 2 2" xfId="48775" xr:uid="{00000000-0005-0000-0000-0000D43C0000}"/>
    <cellStyle name="20% - Accent6 11 4 3 3" xfId="35859" xr:uid="{00000000-0005-0000-0000-0000D53C0000}"/>
    <cellStyle name="20% - Accent6 11 4 4" xfId="16443" xr:uid="{00000000-0005-0000-0000-0000D63C0000}"/>
    <cellStyle name="20% - Accent6 11 4 4 2" xfId="42317" xr:uid="{00000000-0005-0000-0000-0000D73C0000}"/>
    <cellStyle name="20% - Accent6 11 4 5" xfId="29369" xr:uid="{00000000-0005-0000-0000-0000D83C0000}"/>
    <cellStyle name="20% - Accent6 11 5" xfId="5139" xr:uid="{00000000-0005-0000-0000-0000D93C0000}"/>
    <cellStyle name="20% - Accent6 11 5 2" xfId="11598" xr:uid="{00000000-0005-0000-0000-0000DA3C0000}"/>
    <cellStyle name="20% - Accent6 11 5 2 2" xfId="24515" xr:uid="{00000000-0005-0000-0000-0000DB3C0000}"/>
    <cellStyle name="20% - Accent6 11 5 2 2 2" xfId="50389" xr:uid="{00000000-0005-0000-0000-0000DC3C0000}"/>
    <cellStyle name="20% - Accent6 11 5 2 3" xfId="37473" xr:uid="{00000000-0005-0000-0000-0000DD3C0000}"/>
    <cellStyle name="20% - Accent6 11 5 3" xfId="18057" xr:uid="{00000000-0005-0000-0000-0000DE3C0000}"/>
    <cellStyle name="20% - Accent6 11 5 3 2" xfId="43931" xr:uid="{00000000-0005-0000-0000-0000DF3C0000}"/>
    <cellStyle name="20% - Accent6 11 5 4" xfId="31015" xr:uid="{00000000-0005-0000-0000-0000E03C0000}"/>
    <cellStyle name="20% - Accent6 11 6" xfId="8369" xr:uid="{00000000-0005-0000-0000-0000E13C0000}"/>
    <cellStyle name="20% - Accent6 11 6 2" xfId="21286" xr:uid="{00000000-0005-0000-0000-0000E23C0000}"/>
    <cellStyle name="20% - Accent6 11 6 2 2" xfId="47160" xr:uid="{00000000-0005-0000-0000-0000E33C0000}"/>
    <cellStyle name="20% - Accent6 11 6 3" xfId="34244" xr:uid="{00000000-0005-0000-0000-0000E43C0000}"/>
    <cellStyle name="20% - Accent6 11 7" xfId="14828" xr:uid="{00000000-0005-0000-0000-0000E53C0000}"/>
    <cellStyle name="20% - Accent6 11 7 2" xfId="40702" xr:uid="{00000000-0005-0000-0000-0000E63C0000}"/>
    <cellStyle name="20% - Accent6 11 8" xfId="27754" xr:uid="{00000000-0005-0000-0000-0000E73C0000}"/>
    <cellStyle name="20% - Accent6 11 9" xfId="53617" xr:uid="{00000000-0005-0000-0000-0000E83C0000}"/>
    <cellStyle name="20% - Accent6 12" xfId="2048" xr:uid="{00000000-0005-0000-0000-0000E93C0000}"/>
    <cellStyle name="20% - Accent6 12 2" xfId="2457" xr:uid="{00000000-0005-0000-0000-0000EA3C0000}"/>
    <cellStyle name="20% - Accent6 12 2 2" xfId="3270" xr:uid="{00000000-0005-0000-0000-0000EB3C0000}"/>
    <cellStyle name="20% - Accent6 12 2 2 2" xfId="4927" xr:uid="{00000000-0005-0000-0000-0000EC3C0000}"/>
    <cellStyle name="20% - Accent6 12 2 2 2 2" xfId="8158" xr:uid="{00000000-0005-0000-0000-0000ED3C0000}"/>
    <cellStyle name="20% - Accent6 12 2 2 2 2 2" xfId="14617" xr:uid="{00000000-0005-0000-0000-0000EE3C0000}"/>
    <cellStyle name="20% - Accent6 12 2 2 2 2 2 2" xfId="27534" xr:uid="{00000000-0005-0000-0000-0000EF3C0000}"/>
    <cellStyle name="20% - Accent6 12 2 2 2 2 2 2 2" xfId="53408" xr:uid="{00000000-0005-0000-0000-0000F03C0000}"/>
    <cellStyle name="20% - Accent6 12 2 2 2 2 2 3" xfId="40492" xr:uid="{00000000-0005-0000-0000-0000F13C0000}"/>
    <cellStyle name="20% - Accent6 12 2 2 2 2 3" xfId="21076" xr:uid="{00000000-0005-0000-0000-0000F23C0000}"/>
    <cellStyle name="20% - Accent6 12 2 2 2 2 3 2" xfId="46950" xr:uid="{00000000-0005-0000-0000-0000F33C0000}"/>
    <cellStyle name="20% - Accent6 12 2 2 2 2 4" xfId="34034" xr:uid="{00000000-0005-0000-0000-0000F43C0000}"/>
    <cellStyle name="20% - Accent6 12 2 2 2 3" xfId="11389" xr:uid="{00000000-0005-0000-0000-0000F53C0000}"/>
    <cellStyle name="20% - Accent6 12 2 2 2 3 2" xfId="24306" xr:uid="{00000000-0005-0000-0000-0000F63C0000}"/>
    <cellStyle name="20% - Accent6 12 2 2 2 3 2 2" xfId="50180" xr:uid="{00000000-0005-0000-0000-0000F73C0000}"/>
    <cellStyle name="20% - Accent6 12 2 2 2 3 3" xfId="37264" xr:uid="{00000000-0005-0000-0000-0000F83C0000}"/>
    <cellStyle name="20% - Accent6 12 2 2 2 4" xfId="17848" xr:uid="{00000000-0005-0000-0000-0000F93C0000}"/>
    <cellStyle name="20% - Accent6 12 2 2 2 4 2" xfId="43722" xr:uid="{00000000-0005-0000-0000-0000FA3C0000}"/>
    <cellStyle name="20% - Accent6 12 2 2 2 5" xfId="30774" xr:uid="{00000000-0005-0000-0000-0000FB3C0000}"/>
    <cellStyle name="20% - Accent6 12 2 2 3" xfId="6544" xr:uid="{00000000-0005-0000-0000-0000FC3C0000}"/>
    <cellStyle name="20% - Accent6 12 2 2 3 2" xfId="13003" xr:uid="{00000000-0005-0000-0000-0000FD3C0000}"/>
    <cellStyle name="20% - Accent6 12 2 2 3 2 2" xfId="25920" xr:uid="{00000000-0005-0000-0000-0000FE3C0000}"/>
    <cellStyle name="20% - Accent6 12 2 2 3 2 2 2" xfId="51794" xr:uid="{00000000-0005-0000-0000-0000FF3C0000}"/>
    <cellStyle name="20% - Accent6 12 2 2 3 2 3" xfId="38878" xr:uid="{00000000-0005-0000-0000-0000003D0000}"/>
    <cellStyle name="20% - Accent6 12 2 2 3 3" xfId="19462" xr:uid="{00000000-0005-0000-0000-0000013D0000}"/>
    <cellStyle name="20% - Accent6 12 2 2 3 3 2" xfId="45336" xr:uid="{00000000-0005-0000-0000-0000023D0000}"/>
    <cellStyle name="20% - Accent6 12 2 2 3 4" xfId="32420" xr:uid="{00000000-0005-0000-0000-0000033D0000}"/>
    <cellStyle name="20% - Accent6 12 2 2 4" xfId="9775" xr:uid="{00000000-0005-0000-0000-0000043D0000}"/>
    <cellStyle name="20% - Accent6 12 2 2 4 2" xfId="22692" xr:uid="{00000000-0005-0000-0000-0000053D0000}"/>
    <cellStyle name="20% - Accent6 12 2 2 4 2 2" xfId="48566" xr:uid="{00000000-0005-0000-0000-0000063D0000}"/>
    <cellStyle name="20% - Accent6 12 2 2 4 3" xfId="35650" xr:uid="{00000000-0005-0000-0000-0000073D0000}"/>
    <cellStyle name="20% - Accent6 12 2 2 5" xfId="16234" xr:uid="{00000000-0005-0000-0000-0000083D0000}"/>
    <cellStyle name="20% - Accent6 12 2 2 5 2" xfId="42108" xr:uid="{00000000-0005-0000-0000-0000093D0000}"/>
    <cellStyle name="20% - Accent6 12 2 2 6" xfId="29160" xr:uid="{00000000-0005-0000-0000-00000A3D0000}"/>
    <cellStyle name="20% - Accent6 12 2 3" xfId="4097" xr:uid="{00000000-0005-0000-0000-00000B3D0000}"/>
    <cellStyle name="20% - Accent6 12 2 3 2" xfId="7351" xr:uid="{00000000-0005-0000-0000-00000C3D0000}"/>
    <cellStyle name="20% - Accent6 12 2 3 2 2" xfId="13810" xr:uid="{00000000-0005-0000-0000-00000D3D0000}"/>
    <cellStyle name="20% - Accent6 12 2 3 2 2 2" xfId="26727" xr:uid="{00000000-0005-0000-0000-00000E3D0000}"/>
    <cellStyle name="20% - Accent6 12 2 3 2 2 2 2" xfId="52601" xr:uid="{00000000-0005-0000-0000-00000F3D0000}"/>
    <cellStyle name="20% - Accent6 12 2 3 2 2 3" xfId="39685" xr:uid="{00000000-0005-0000-0000-0000103D0000}"/>
    <cellStyle name="20% - Accent6 12 2 3 2 3" xfId="20269" xr:uid="{00000000-0005-0000-0000-0000113D0000}"/>
    <cellStyle name="20% - Accent6 12 2 3 2 3 2" xfId="46143" xr:uid="{00000000-0005-0000-0000-0000123D0000}"/>
    <cellStyle name="20% - Accent6 12 2 3 2 4" xfId="33227" xr:uid="{00000000-0005-0000-0000-0000133D0000}"/>
    <cellStyle name="20% - Accent6 12 2 3 3" xfId="10582" xr:uid="{00000000-0005-0000-0000-0000143D0000}"/>
    <cellStyle name="20% - Accent6 12 2 3 3 2" xfId="23499" xr:uid="{00000000-0005-0000-0000-0000153D0000}"/>
    <cellStyle name="20% - Accent6 12 2 3 3 2 2" xfId="49373" xr:uid="{00000000-0005-0000-0000-0000163D0000}"/>
    <cellStyle name="20% - Accent6 12 2 3 3 3" xfId="36457" xr:uid="{00000000-0005-0000-0000-0000173D0000}"/>
    <cellStyle name="20% - Accent6 12 2 3 4" xfId="17041" xr:uid="{00000000-0005-0000-0000-0000183D0000}"/>
    <cellStyle name="20% - Accent6 12 2 3 4 2" xfId="42915" xr:uid="{00000000-0005-0000-0000-0000193D0000}"/>
    <cellStyle name="20% - Accent6 12 2 3 5" xfId="29967" xr:uid="{00000000-0005-0000-0000-00001A3D0000}"/>
    <cellStyle name="20% - Accent6 12 2 4" xfId="5737" xr:uid="{00000000-0005-0000-0000-00001B3D0000}"/>
    <cellStyle name="20% - Accent6 12 2 4 2" xfId="12196" xr:uid="{00000000-0005-0000-0000-00001C3D0000}"/>
    <cellStyle name="20% - Accent6 12 2 4 2 2" xfId="25113" xr:uid="{00000000-0005-0000-0000-00001D3D0000}"/>
    <cellStyle name="20% - Accent6 12 2 4 2 2 2" xfId="50987" xr:uid="{00000000-0005-0000-0000-00001E3D0000}"/>
    <cellStyle name="20% - Accent6 12 2 4 2 3" xfId="38071" xr:uid="{00000000-0005-0000-0000-00001F3D0000}"/>
    <cellStyle name="20% - Accent6 12 2 4 3" xfId="18655" xr:uid="{00000000-0005-0000-0000-0000203D0000}"/>
    <cellStyle name="20% - Accent6 12 2 4 3 2" xfId="44529" xr:uid="{00000000-0005-0000-0000-0000213D0000}"/>
    <cellStyle name="20% - Accent6 12 2 4 4" xfId="31613" xr:uid="{00000000-0005-0000-0000-0000223D0000}"/>
    <cellStyle name="20% - Accent6 12 2 5" xfId="8968" xr:uid="{00000000-0005-0000-0000-0000233D0000}"/>
    <cellStyle name="20% - Accent6 12 2 5 2" xfId="21885" xr:uid="{00000000-0005-0000-0000-0000243D0000}"/>
    <cellStyle name="20% - Accent6 12 2 5 2 2" xfId="47759" xr:uid="{00000000-0005-0000-0000-0000253D0000}"/>
    <cellStyle name="20% - Accent6 12 2 5 3" xfId="34843" xr:uid="{00000000-0005-0000-0000-0000263D0000}"/>
    <cellStyle name="20% - Accent6 12 2 6" xfId="15427" xr:uid="{00000000-0005-0000-0000-0000273D0000}"/>
    <cellStyle name="20% - Accent6 12 2 6 2" xfId="41301" xr:uid="{00000000-0005-0000-0000-0000283D0000}"/>
    <cellStyle name="20% - Accent6 12 2 7" xfId="28353" xr:uid="{00000000-0005-0000-0000-0000293D0000}"/>
    <cellStyle name="20% - Accent6 12 2 8" xfId="54215" xr:uid="{00000000-0005-0000-0000-00002A3D0000}"/>
    <cellStyle name="20% - Accent6 12 3" xfId="2866" xr:uid="{00000000-0005-0000-0000-00002B3D0000}"/>
    <cellStyle name="20% - Accent6 12 3 2" xfId="4523" xr:uid="{00000000-0005-0000-0000-00002C3D0000}"/>
    <cellStyle name="20% - Accent6 12 3 2 2" xfId="7754" xr:uid="{00000000-0005-0000-0000-00002D3D0000}"/>
    <cellStyle name="20% - Accent6 12 3 2 2 2" xfId="14213" xr:uid="{00000000-0005-0000-0000-00002E3D0000}"/>
    <cellStyle name="20% - Accent6 12 3 2 2 2 2" xfId="27130" xr:uid="{00000000-0005-0000-0000-00002F3D0000}"/>
    <cellStyle name="20% - Accent6 12 3 2 2 2 2 2" xfId="53004" xr:uid="{00000000-0005-0000-0000-0000303D0000}"/>
    <cellStyle name="20% - Accent6 12 3 2 2 2 3" xfId="40088" xr:uid="{00000000-0005-0000-0000-0000313D0000}"/>
    <cellStyle name="20% - Accent6 12 3 2 2 3" xfId="20672" xr:uid="{00000000-0005-0000-0000-0000323D0000}"/>
    <cellStyle name="20% - Accent6 12 3 2 2 3 2" xfId="46546" xr:uid="{00000000-0005-0000-0000-0000333D0000}"/>
    <cellStyle name="20% - Accent6 12 3 2 2 4" xfId="33630" xr:uid="{00000000-0005-0000-0000-0000343D0000}"/>
    <cellStyle name="20% - Accent6 12 3 2 3" xfId="10985" xr:uid="{00000000-0005-0000-0000-0000353D0000}"/>
    <cellStyle name="20% - Accent6 12 3 2 3 2" xfId="23902" xr:uid="{00000000-0005-0000-0000-0000363D0000}"/>
    <cellStyle name="20% - Accent6 12 3 2 3 2 2" xfId="49776" xr:uid="{00000000-0005-0000-0000-0000373D0000}"/>
    <cellStyle name="20% - Accent6 12 3 2 3 3" xfId="36860" xr:uid="{00000000-0005-0000-0000-0000383D0000}"/>
    <cellStyle name="20% - Accent6 12 3 2 4" xfId="17444" xr:uid="{00000000-0005-0000-0000-0000393D0000}"/>
    <cellStyle name="20% - Accent6 12 3 2 4 2" xfId="43318" xr:uid="{00000000-0005-0000-0000-00003A3D0000}"/>
    <cellStyle name="20% - Accent6 12 3 2 5" xfId="30370" xr:uid="{00000000-0005-0000-0000-00003B3D0000}"/>
    <cellStyle name="20% - Accent6 12 3 3" xfId="6140" xr:uid="{00000000-0005-0000-0000-00003C3D0000}"/>
    <cellStyle name="20% - Accent6 12 3 3 2" xfId="12599" xr:uid="{00000000-0005-0000-0000-00003D3D0000}"/>
    <cellStyle name="20% - Accent6 12 3 3 2 2" xfId="25516" xr:uid="{00000000-0005-0000-0000-00003E3D0000}"/>
    <cellStyle name="20% - Accent6 12 3 3 2 2 2" xfId="51390" xr:uid="{00000000-0005-0000-0000-00003F3D0000}"/>
    <cellStyle name="20% - Accent6 12 3 3 2 3" xfId="38474" xr:uid="{00000000-0005-0000-0000-0000403D0000}"/>
    <cellStyle name="20% - Accent6 12 3 3 3" xfId="19058" xr:uid="{00000000-0005-0000-0000-0000413D0000}"/>
    <cellStyle name="20% - Accent6 12 3 3 3 2" xfId="44932" xr:uid="{00000000-0005-0000-0000-0000423D0000}"/>
    <cellStyle name="20% - Accent6 12 3 3 4" xfId="32016" xr:uid="{00000000-0005-0000-0000-0000433D0000}"/>
    <cellStyle name="20% - Accent6 12 3 4" xfId="9371" xr:uid="{00000000-0005-0000-0000-0000443D0000}"/>
    <cellStyle name="20% - Accent6 12 3 4 2" xfId="22288" xr:uid="{00000000-0005-0000-0000-0000453D0000}"/>
    <cellStyle name="20% - Accent6 12 3 4 2 2" xfId="48162" xr:uid="{00000000-0005-0000-0000-0000463D0000}"/>
    <cellStyle name="20% - Accent6 12 3 4 3" xfId="35246" xr:uid="{00000000-0005-0000-0000-0000473D0000}"/>
    <cellStyle name="20% - Accent6 12 3 5" xfId="15830" xr:uid="{00000000-0005-0000-0000-0000483D0000}"/>
    <cellStyle name="20% - Accent6 12 3 5 2" xfId="41704" xr:uid="{00000000-0005-0000-0000-0000493D0000}"/>
    <cellStyle name="20% - Accent6 12 3 6" xfId="28756" xr:uid="{00000000-0005-0000-0000-00004A3D0000}"/>
    <cellStyle name="20% - Accent6 12 4" xfId="3693" xr:uid="{00000000-0005-0000-0000-00004B3D0000}"/>
    <cellStyle name="20% - Accent6 12 4 2" xfId="6947" xr:uid="{00000000-0005-0000-0000-00004C3D0000}"/>
    <cellStyle name="20% - Accent6 12 4 2 2" xfId="13406" xr:uid="{00000000-0005-0000-0000-00004D3D0000}"/>
    <cellStyle name="20% - Accent6 12 4 2 2 2" xfId="26323" xr:uid="{00000000-0005-0000-0000-00004E3D0000}"/>
    <cellStyle name="20% - Accent6 12 4 2 2 2 2" xfId="52197" xr:uid="{00000000-0005-0000-0000-00004F3D0000}"/>
    <cellStyle name="20% - Accent6 12 4 2 2 3" xfId="39281" xr:uid="{00000000-0005-0000-0000-0000503D0000}"/>
    <cellStyle name="20% - Accent6 12 4 2 3" xfId="19865" xr:uid="{00000000-0005-0000-0000-0000513D0000}"/>
    <cellStyle name="20% - Accent6 12 4 2 3 2" xfId="45739" xr:uid="{00000000-0005-0000-0000-0000523D0000}"/>
    <cellStyle name="20% - Accent6 12 4 2 4" xfId="32823" xr:uid="{00000000-0005-0000-0000-0000533D0000}"/>
    <cellStyle name="20% - Accent6 12 4 3" xfId="10178" xr:uid="{00000000-0005-0000-0000-0000543D0000}"/>
    <cellStyle name="20% - Accent6 12 4 3 2" xfId="23095" xr:uid="{00000000-0005-0000-0000-0000553D0000}"/>
    <cellStyle name="20% - Accent6 12 4 3 2 2" xfId="48969" xr:uid="{00000000-0005-0000-0000-0000563D0000}"/>
    <cellStyle name="20% - Accent6 12 4 3 3" xfId="36053" xr:uid="{00000000-0005-0000-0000-0000573D0000}"/>
    <cellStyle name="20% - Accent6 12 4 4" xfId="16637" xr:uid="{00000000-0005-0000-0000-0000583D0000}"/>
    <cellStyle name="20% - Accent6 12 4 4 2" xfId="42511" xr:uid="{00000000-0005-0000-0000-0000593D0000}"/>
    <cellStyle name="20% - Accent6 12 4 5" xfId="29563" xr:uid="{00000000-0005-0000-0000-00005A3D0000}"/>
    <cellStyle name="20% - Accent6 12 5" xfId="5333" xr:uid="{00000000-0005-0000-0000-00005B3D0000}"/>
    <cellStyle name="20% - Accent6 12 5 2" xfId="11792" xr:uid="{00000000-0005-0000-0000-00005C3D0000}"/>
    <cellStyle name="20% - Accent6 12 5 2 2" xfId="24709" xr:uid="{00000000-0005-0000-0000-00005D3D0000}"/>
    <cellStyle name="20% - Accent6 12 5 2 2 2" xfId="50583" xr:uid="{00000000-0005-0000-0000-00005E3D0000}"/>
    <cellStyle name="20% - Accent6 12 5 2 3" xfId="37667" xr:uid="{00000000-0005-0000-0000-00005F3D0000}"/>
    <cellStyle name="20% - Accent6 12 5 3" xfId="18251" xr:uid="{00000000-0005-0000-0000-0000603D0000}"/>
    <cellStyle name="20% - Accent6 12 5 3 2" xfId="44125" xr:uid="{00000000-0005-0000-0000-0000613D0000}"/>
    <cellStyle name="20% - Accent6 12 5 4" xfId="31209" xr:uid="{00000000-0005-0000-0000-0000623D0000}"/>
    <cellStyle name="20% - Accent6 12 6" xfId="8564" xr:uid="{00000000-0005-0000-0000-0000633D0000}"/>
    <cellStyle name="20% - Accent6 12 6 2" xfId="21481" xr:uid="{00000000-0005-0000-0000-0000643D0000}"/>
    <cellStyle name="20% - Accent6 12 6 2 2" xfId="47355" xr:uid="{00000000-0005-0000-0000-0000653D0000}"/>
    <cellStyle name="20% - Accent6 12 6 3" xfId="34439" xr:uid="{00000000-0005-0000-0000-0000663D0000}"/>
    <cellStyle name="20% - Accent6 12 7" xfId="15023" xr:uid="{00000000-0005-0000-0000-0000673D0000}"/>
    <cellStyle name="20% - Accent6 12 7 2" xfId="40897" xr:uid="{00000000-0005-0000-0000-0000683D0000}"/>
    <cellStyle name="20% - Accent6 12 8" xfId="27949" xr:uid="{00000000-0005-0000-0000-0000693D0000}"/>
    <cellStyle name="20% - Accent6 12 9" xfId="53811" xr:uid="{00000000-0005-0000-0000-00006A3D0000}"/>
    <cellStyle name="20% - Accent6 13" xfId="2062" xr:uid="{00000000-0005-0000-0000-00006B3D0000}"/>
    <cellStyle name="20% - Accent6 13 2" xfId="2880" xr:uid="{00000000-0005-0000-0000-00006C3D0000}"/>
    <cellStyle name="20% - Accent6 13 2 2" xfId="4537" xr:uid="{00000000-0005-0000-0000-00006D3D0000}"/>
    <cellStyle name="20% - Accent6 13 2 2 2" xfId="7768" xr:uid="{00000000-0005-0000-0000-00006E3D0000}"/>
    <cellStyle name="20% - Accent6 13 2 2 2 2" xfId="14227" xr:uid="{00000000-0005-0000-0000-00006F3D0000}"/>
    <cellStyle name="20% - Accent6 13 2 2 2 2 2" xfId="27144" xr:uid="{00000000-0005-0000-0000-0000703D0000}"/>
    <cellStyle name="20% - Accent6 13 2 2 2 2 2 2" xfId="53018" xr:uid="{00000000-0005-0000-0000-0000713D0000}"/>
    <cellStyle name="20% - Accent6 13 2 2 2 2 3" xfId="40102" xr:uid="{00000000-0005-0000-0000-0000723D0000}"/>
    <cellStyle name="20% - Accent6 13 2 2 2 3" xfId="20686" xr:uid="{00000000-0005-0000-0000-0000733D0000}"/>
    <cellStyle name="20% - Accent6 13 2 2 2 3 2" xfId="46560" xr:uid="{00000000-0005-0000-0000-0000743D0000}"/>
    <cellStyle name="20% - Accent6 13 2 2 2 4" xfId="33644" xr:uid="{00000000-0005-0000-0000-0000753D0000}"/>
    <cellStyle name="20% - Accent6 13 2 2 3" xfId="10999" xr:uid="{00000000-0005-0000-0000-0000763D0000}"/>
    <cellStyle name="20% - Accent6 13 2 2 3 2" xfId="23916" xr:uid="{00000000-0005-0000-0000-0000773D0000}"/>
    <cellStyle name="20% - Accent6 13 2 2 3 2 2" xfId="49790" xr:uid="{00000000-0005-0000-0000-0000783D0000}"/>
    <cellStyle name="20% - Accent6 13 2 2 3 3" xfId="36874" xr:uid="{00000000-0005-0000-0000-0000793D0000}"/>
    <cellStyle name="20% - Accent6 13 2 2 4" xfId="17458" xr:uid="{00000000-0005-0000-0000-00007A3D0000}"/>
    <cellStyle name="20% - Accent6 13 2 2 4 2" xfId="43332" xr:uid="{00000000-0005-0000-0000-00007B3D0000}"/>
    <cellStyle name="20% - Accent6 13 2 2 5" xfId="30384" xr:uid="{00000000-0005-0000-0000-00007C3D0000}"/>
    <cellStyle name="20% - Accent6 13 2 3" xfId="6154" xr:uid="{00000000-0005-0000-0000-00007D3D0000}"/>
    <cellStyle name="20% - Accent6 13 2 3 2" xfId="12613" xr:uid="{00000000-0005-0000-0000-00007E3D0000}"/>
    <cellStyle name="20% - Accent6 13 2 3 2 2" xfId="25530" xr:uid="{00000000-0005-0000-0000-00007F3D0000}"/>
    <cellStyle name="20% - Accent6 13 2 3 2 2 2" xfId="51404" xr:uid="{00000000-0005-0000-0000-0000803D0000}"/>
    <cellStyle name="20% - Accent6 13 2 3 2 3" xfId="38488" xr:uid="{00000000-0005-0000-0000-0000813D0000}"/>
    <cellStyle name="20% - Accent6 13 2 3 3" xfId="19072" xr:uid="{00000000-0005-0000-0000-0000823D0000}"/>
    <cellStyle name="20% - Accent6 13 2 3 3 2" xfId="44946" xr:uid="{00000000-0005-0000-0000-0000833D0000}"/>
    <cellStyle name="20% - Accent6 13 2 3 4" xfId="32030" xr:uid="{00000000-0005-0000-0000-0000843D0000}"/>
    <cellStyle name="20% - Accent6 13 2 4" xfId="9385" xr:uid="{00000000-0005-0000-0000-0000853D0000}"/>
    <cellStyle name="20% - Accent6 13 2 4 2" xfId="22302" xr:uid="{00000000-0005-0000-0000-0000863D0000}"/>
    <cellStyle name="20% - Accent6 13 2 4 2 2" xfId="48176" xr:uid="{00000000-0005-0000-0000-0000873D0000}"/>
    <cellStyle name="20% - Accent6 13 2 4 3" xfId="35260" xr:uid="{00000000-0005-0000-0000-0000883D0000}"/>
    <cellStyle name="20% - Accent6 13 2 5" xfId="15844" xr:uid="{00000000-0005-0000-0000-0000893D0000}"/>
    <cellStyle name="20% - Accent6 13 2 5 2" xfId="41718" xr:uid="{00000000-0005-0000-0000-00008A3D0000}"/>
    <cellStyle name="20% - Accent6 13 2 6" xfId="28770" xr:uid="{00000000-0005-0000-0000-00008B3D0000}"/>
    <cellStyle name="20% - Accent6 13 3" xfId="3707" xr:uid="{00000000-0005-0000-0000-00008C3D0000}"/>
    <cellStyle name="20% - Accent6 13 3 2" xfId="6961" xr:uid="{00000000-0005-0000-0000-00008D3D0000}"/>
    <cellStyle name="20% - Accent6 13 3 2 2" xfId="13420" xr:uid="{00000000-0005-0000-0000-00008E3D0000}"/>
    <cellStyle name="20% - Accent6 13 3 2 2 2" xfId="26337" xr:uid="{00000000-0005-0000-0000-00008F3D0000}"/>
    <cellStyle name="20% - Accent6 13 3 2 2 2 2" xfId="52211" xr:uid="{00000000-0005-0000-0000-0000903D0000}"/>
    <cellStyle name="20% - Accent6 13 3 2 2 3" xfId="39295" xr:uid="{00000000-0005-0000-0000-0000913D0000}"/>
    <cellStyle name="20% - Accent6 13 3 2 3" xfId="19879" xr:uid="{00000000-0005-0000-0000-0000923D0000}"/>
    <cellStyle name="20% - Accent6 13 3 2 3 2" xfId="45753" xr:uid="{00000000-0005-0000-0000-0000933D0000}"/>
    <cellStyle name="20% - Accent6 13 3 2 4" xfId="32837" xr:uid="{00000000-0005-0000-0000-0000943D0000}"/>
    <cellStyle name="20% - Accent6 13 3 3" xfId="10192" xr:uid="{00000000-0005-0000-0000-0000953D0000}"/>
    <cellStyle name="20% - Accent6 13 3 3 2" xfId="23109" xr:uid="{00000000-0005-0000-0000-0000963D0000}"/>
    <cellStyle name="20% - Accent6 13 3 3 2 2" xfId="48983" xr:uid="{00000000-0005-0000-0000-0000973D0000}"/>
    <cellStyle name="20% - Accent6 13 3 3 3" xfId="36067" xr:uid="{00000000-0005-0000-0000-0000983D0000}"/>
    <cellStyle name="20% - Accent6 13 3 4" xfId="16651" xr:uid="{00000000-0005-0000-0000-0000993D0000}"/>
    <cellStyle name="20% - Accent6 13 3 4 2" xfId="42525" xr:uid="{00000000-0005-0000-0000-00009A3D0000}"/>
    <cellStyle name="20% - Accent6 13 3 5" xfId="29577" xr:uid="{00000000-0005-0000-0000-00009B3D0000}"/>
    <cellStyle name="20% - Accent6 13 4" xfId="5347" xr:uid="{00000000-0005-0000-0000-00009C3D0000}"/>
    <cellStyle name="20% - Accent6 13 4 2" xfId="11806" xr:uid="{00000000-0005-0000-0000-00009D3D0000}"/>
    <cellStyle name="20% - Accent6 13 4 2 2" xfId="24723" xr:uid="{00000000-0005-0000-0000-00009E3D0000}"/>
    <cellStyle name="20% - Accent6 13 4 2 2 2" xfId="50597" xr:uid="{00000000-0005-0000-0000-00009F3D0000}"/>
    <cellStyle name="20% - Accent6 13 4 2 3" xfId="37681" xr:uid="{00000000-0005-0000-0000-0000A03D0000}"/>
    <cellStyle name="20% - Accent6 13 4 3" xfId="18265" xr:uid="{00000000-0005-0000-0000-0000A13D0000}"/>
    <cellStyle name="20% - Accent6 13 4 3 2" xfId="44139" xr:uid="{00000000-0005-0000-0000-0000A23D0000}"/>
    <cellStyle name="20% - Accent6 13 4 4" xfId="31223" xr:uid="{00000000-0005-0000-0000-0000A33D0000}"/>
    <cellStyle name="20% - Accent6 13 5" xfId="8578" xr:uid="{00000000-0005-0000-0000-0000A43D0000}"/>
    <cellStyle name="20% - Accent6 13 5 2" xfId="21495" xr:uid="{00000000-0005-0000-0000-0000A53D0000}"/>
    <cellStyle name="20% - Accent6 13 5 2 2" xfId="47369" xr:uid="{00000000-0005-0000-0000-0000A63D0000}"/>
    <cellStyle name="20% - Accent6 13 5 3" xfId="34453" xr:uid="{00000000-0005-0000-0000-0000A73D0000}"/>
    <cellStyle name="20% - Accent6 13 6" xfId="15037" xr:uid="{00000000-0005-0000-0000-0000A83D0000}"/>
    <cellStyle name="20% - Accent6 13 6 2" xfId="40911" xr:uid="{00000000-0005-0000-0000-0000A93D0000}"/>
    <cellStyle name="20% - Accent6 13 7" xfId="27963" xr:uid="{00000000-0005-0000-0000-0000AA3D0000}"/>
    <cellStyle name="20% - Accent6 13 8" xfId="53825" xr:uid="{00000000-0005-0000-0000-0000AB3D0000}"/>
    <cellStyle name="20% - Accent6 14" xfId="2477" xr:uid="{00000000-0005-0000-0000-0000AC3D0000}"/>
    <cellStyle name="20% - Accent6 14 2" xfId="4134" xr:uid="{00000000-0005-0000-0000-0000AD3D0000}"/>
    <cellStyle name="20% - Accent6 14 2 2" xfId="7365" xr:uid="{00000000-0005-0000-0000-0000AE3D0000}"/>
    <cellStyle name="20% - Accent6 14 2 2 2" xfId="13824" xr:uid="{00000000-0005-0000-0000-0000AF3D0000}"/>
    <cellStyle name="20% - Accent6 14 2 2 2 2" xfId="26741" xr:uid="{00000000-0005-0000-0000-0000B03D0000}"/>
    <cellStyle name="20% - Accent6 14 2 2 2 2 2" xfId="52615" xr:uid="{00000000-0005-0000-0000-0000B13D0000}"/>
    <cellStyle name="20% - Accent6 14 2 2 2 3" xfId="39699" xr:uid="{00000000-0005-0000-0000-0000B23D0000}"/>
    <cellStyle name="20% - Accent6 14 2 2 3" xfId="20283" xr:uid="{00000000-0005-0000-0000-0000B33D0000}"/>
    <cellStyle name="20% - Accent6 14 2 2 3 2" xfId="46157" xr:uid="{00000000-0005-0000-0000-0000B43D0000}"/>
    <cellStyle name="20% - Accent6 14 2 2 4" xfId="33241" xr:uid="{00000000-0005-0000-0000-0000B53D0000}"/>
    <cellStyle name="20% - Accent6 14 2 3" xfId="10596" xr:uid="{00000000-0005-0000-0000-0000B63D0000}"/>
    <cellStyle name="20% - Accent6 14 2 3 2" xfId="23513" xr:uid="{00000000-0005-0000-0000-0000B73D0000}"/>
    <cellStyle name="20% - Accent6 14 2 3 2 2" xfId="49387" xr:uid="{00000000-0005-0000-0000-0000B83D0000}"/>
    <cellStyle name="20% - Accent6 14 2 3 3" xfId="36471" xr:uid="{00000000-0005-0000-0000-0000B93D0000}"/>
    <cellStyle name="20% - Accent6 14 2 4" xfId="17055" xr:uid="{00000000-0005-0000-0000-0000BA3D0000}"/>
    <cellStyle name="20% - Accent6 14 2 4 2" xfId="42929" xr:uid="{00000000-0005-0000-0000-0000BB3D0000}"/>
    <cellStyle name="20% - Accent6 14 2 5" xfId="29981" xr:uid="{00000000-0005-0000-0000-0000BC3D0000}"/>
    <cellStyle name="20% - Accent6 14 3" xfId="5751" xr:uid="{00000000-0005-0000-0000-0000BD3D0000}"/>
    <cellStyle name="20% - Accent6 14 3 2" xfId="12210" xr:uid="{00000000-0005-0000-0000-0000BE3D0000}"/>
    <cellStyle name="20% - Accent6 14 3 2 2" xfId="25127" xr:uid="{00000000-0005-0000-0000-0000BF3D0000}"/>
    <cellStyle name="20% - Accent6 14 3 2 2 2" xfId="51001" xr:uid="{00000000-0005-0000-0000-0000C03D0000}"/>
    <cellStyle name="20% - Accent6 14 3 2 3" xfId="38085" xr:uid="{00000000-0005-0000-0000-0000C13D0000}"/>
    <cellStyle name="20% - Accent6 14 3 3" xfId="18669" xr:uid="{00000000-0005-0000-0000-0000C23D0000}"/>
    <cellStyle name="20% - Accent6 14 3 3 2" xfId="44543" xr:uid="{00000000-0005-0000-0000-0000C33D0000}"/>
    <cellStyle name="20% - Accent6 14 3 4" xfId="31627" xr:uid="{00000000-0005-0000-0000-0000C43D0000}"/>
    <cellStyle name="20% - Accent6 14 4" xfId="8982" xr:uid="{00000000-0005-0000-0000-0000C53D0000}"/>
    <cellStyle name="20% - Accent6 14 4 2" xfId="21899" xr:uid="{00000000-0005-0000-0000-0000C63D0000}"/>
    <cellStyle name="20% - Accent6 14 4 2 2" xfId="47773" xr:uid="{00000000-0005-0000-0000-0000C73D0000}"/>
    <cellStyle name="20% - Accent6 14 4 3" xfId="34857" xr:uid="{00000000-0005-0000-0000-0000C83D0000}"/>
    <cellStyle name="20% - Accent6 14 5" xfId="15441" xr:uid="{00000000-0005-0000-0000-0000C93D0000}"/>
    <cellStyle name="20% - Accent6 14 5 2" xfId="41315" xr:uid="{00000000-0005-0000-0000-0000CA3D0000}"/>
    <cellStyle name="20% - Accent6 14 6" xfId="28367" xr:uid="{00000000-0005-0000-0000-0000CB3D0000}"/>
    <cellStyle name="20% - Accent6 15" xfId="3286" xr:uid="{00000000-0005-0000-0000-0000CC3D0000}"/>
    <cellStyle name="20% - Accent6 15 2" xfId="6558" xr:uid="{00000000-0005-0000-0000-0000CD3D0000}"/>
    <cellStyle name="20% - Accent6 15 2 2" xfId="13017" xr:uid="{00000000-0005-0000-0000-0000CE3D0000}"/>
    <cellStyle name="20% - Accent6 15 2 2 2" xfId="25934" xr:uid="{00000000-0005-0000-0000-0000CF3D0000}"/>
    <cellStyle name="20% - Accent6 15 2 2 2 2" xfId="51808" xr:uid="{00000000-0005-0000-0000-0000D03D0000}"/>
    <cellStyle name="20% - Accent6 15 2 2 3" xfId="38892" xr:uid="{00000000-0005-0000-0000-0000D13D0000}"/>
    <cellStyle name="20% - Accent6 15 2 3" xfId="19476" xr:uid="{00000000-0005-0000-0000-0000D23D0000}"/>
    <cellStyle name="20% - Accent6 15 2 3 2" xfId="45350" xr:uid="{00000000-0005-0000-0000-0000D33D0000}"/>
    <cellStyle name="20% - Accent6 15 2 4" xfId="32434" xr:uid="{00000000-0005-0000-0000-0000D43D0000}"/>
    <cellStyle name="20% - Accent6 15 3" xfId="9789" xr:uid="{00000000-0005-0000-0000-0000D53D0000}"/>
    <cellStyle name="20% - Accent6 15 3 2" xfId="22706" xr:uid="{00000000-0005-0000-0000-0000D63D0000}"/>
    <cellStyle name="20% - Accent6 15 3 2 2" xfId="48580" xr:uid="{00000000-0005-0000-0000-0000D73D0000}"/>
    <cellStyle name="20% - Accent6 15 3 3" xfId="35664" xr:uid="{00000000-0005-0000-0000-0000D83D0000}"/>
    <cellStyle name="20% - Accent6 15 4" xfId="16248" xr:uid="{00000000-0005-0000-0000-0000D93D0000}"/>
    <cellStyle name="20% - Accent6 15 4 2" xfId="42122" xr:uid="{00000000-0005-0000-0000-0000DA3D0000}"/>
    <cellStyle name="20% - Accent6 15 5" xfId="29174" xr:uid="{00000000-0005-0000-0000-0000DB3D0000}"/>
    <cellStyle name="20% - Accent6 16" xfId="4944" xr:uid="{00000000-0005-0000-0000-0000DC3D0000}"/>
    <cellStyle name="20% - Accent6 16 2" xfId="11403" xr:uid="{00000000-0005-0000-0000-0000DD3D0000}"/>
    <cellStyle name="20% - Accent6 16 2 2" xfId="24320" xr:uid="{00000000-0005-0000-0000-0000DE3D0000}"/>
    <cellStyle name="20% - Accent6 16 2 2 2" xfId="50194" xr:uid="{00000000-0005-0000-0000-0000DF3D0000}"/>
    <cellStyle name="20% - Accent6 16 2 3" xfId="37278" xr:uid="{00000000-0005-0000-0000-0000E03D0000}"/>
    <cellStyle name="20% - Accent6 16 3" xfId="17862" xr:uid="{00000000-0005-0000-0000-0000E13D0000}"/>
    <cellStyle name="20% - Accent6 16 3 2" xfId="43736" xr:uid="{00000000-0005-0000-0000-0000E23D0000}"/>
    <cellStyle name="20% - Accent6 16 4" xfId="30820" xr:uid="{00000000-0005-0000-0000-0000E33D0000}"/>
    <cellStyle name="20% - Accent6 17" xfId="8172" xr:uid="{00000000-0005-0000-0000-0000E43D0000}"/>
    <cellStyle name="20% - Accent6 17 2" xfId="21090" xr:uid="{00000000-0005-0000-0000-0000E53D0000}"/>
    <cellStyle name="20% - Accent6 17 2 2" xfId="46964" xr:uid="{00000000-0005-0000-0000-0000E63D0000}"/>
    <cellStyle name="20% - Accent6 17 3" xfId="34048" xr:uid="{00000000-0005-0000-0000-0000E73D0000}"/>
    <cellStyle name="20% - Accent6 18" xfId="14632" xr:uid="{00000000-0005-0000-0000-0000E83D0000}"/>
    <cellStyle name="20% - Accent6 18 2" xfId="40506" xr:uid="{00000000-0005-0000-0000-0000E93D0000}"/>
    <cellStyle name="20% - Accent6 19" xfId="27550" xr:uid="{00000000-0005-0000-0000-0000EA3D0000}"/>
    <cellStyle name="20% - Accent6 2" xfId="25" xr:uid="{00000000-0005-0000-0000-0000EB3D0000}"/>
    <cellStyle name="20% - Accent6 2 10" xfId="14639" xr:uid="{00000000-0005-0000-0000-0000EC3D0000}"/>
    <cellStyle name="20% - Accent6 2 10 2" xfId="40513" xr:uid="{00000000-0005-0000-0000-0000ED3D0000}"/>
    <cellStyle name="20% - Accent6 2 11" xfId="27557" xr:uid="{00000000-0005-0000-0000-0000EE3D0000}"/>
    <cellStyle name="20% - Accent6 2 12" xfId="53429" xr:uid="{00000000-0005-0000-0000-0000EF3D0000}"/>
    <cellStyle name="20% - Accent6 2 13" xfId="1080" xr:uid="{00000000-0005-0000-0000-0000F03D0000}"/>
    <cellStyle name="20% - Accent6 2 2" xfId="1081" xr:uid="{00000000-0005-0000-0000-0000F13D0000}"/>
    <cellStyle name="20% - Accent6 2 3" xfId="1082" xr:uid="{00000000-0005-0000-0000-0000F23D0000}"/>
    <cellStyle name="20% - Accent6 2 3 10" xfId="27587" xr:uid="{00000000-0005-0000-0000-0000F33D0000}"/>
    <cellStyle name="20% - Accent6 2 3 11" xfId="53453" xr:uid="{00000000-0005-0000-0000-0000F43D0000}"/>
    <cellStyle name="20% - Accent6 2 3 2" xfId="1670" xr:uid="{00000000-0005-0000-0000-0000F53D0000}"/>
    <cellStyle name="20% - Accent6 2 3 2 10" xfId="53579" xr:uid="{00000000-0005-0000-0000-0000F63D0000}"/>
    <cellStyle name="20% - Accent6 2 3 2 2" xfId="1988" xr:uid="{00000000-0005-0000-0000-0000F73D0000}"/>
    <cellStyle name="20% - Accent6 2 3 2 2 2" xfId="2419" xr:uid="{00000000-0005-0000-0000-0000F83D0000}"/>
    <cellStyle name="20% - Accent6 2 3 2 2 2 2" xfId="3232" xr:uid="{00000000-0005-0000-0000-0000F93D0000}"/>
    <cellStyle name="20% - Accent6 2 3 2 2 2 2 2" xfId="4889" xr:uid="{00000000-0005-0000-0000-0000FA3D0000}"/>
    <cellStyle name="20% - Accent6 2 3 2 2 2 2 2 2" xfId="8120" xr:uid="{00000000-0005-0000-0000-0000FB3D0000}"/>
    <cellStyle name="20% - Accent6 2 3 2 2 2 2 2 2 2" xfId="14579" xr:uid="{00000000-0005-0000-0000-0000FC3D0000}"/>
    <cellStyle name="20% - Accent6 2 3 2 2 2 2 2 2 2 2" xfId="27496" xr:uid="{00000000-0005-0000-0000-0000FD3D0000}"/>
    <cellStyle name="20% - Accent6 2 3 2 2 2 2 2 2 2 2 2" xfId="53370" xr:uid="{00000000-0005-0000-0000-0000FE3D0000}"/>
    <cellStyle name="20% - Accent6 2 3 2 2 2 2 2 2 2 3" xfId="40454" xr:uid="{00000000-0005-0000-0000-0000FF3D0000}"/>
    <cellStyle name="20% - Accent6 2 3 2 2 2 2 2 2 3" xfId="21038" xr:uid="{00000000-0005-0000-0000-0000003E0000}"/>
    <cellStyle name="20% - Accent6 2 3 2 2 2 2 2 2 3 2" xfId="46912" xr:uid="{00000000-0005-0000-0000-0000013E0000}"/>
    <cellStyle name="20% - Accent6 2 3 2 2 2 2 2 2 4" xfId="33996" xr:uid="{00000000-0005-0000-0000-0000023E0000}"/>
    <cellStyle name="20% - Accent6 2 3 2 2 2 2 2 3" xfId="11351" xr:uid="{00000000-0005-0000-0000-0000033E0000}"/>
    <cellStyle name="20% - Accent6 2 3 2 2 2 2 2 3 2" xfId="24268" xr:uid="{00000000-0005-0000-0000-0000043E0000}"/>
    <cellStyle name="20% - Accent6 2 3 2 2 2 2 2 3 2 2" xfId="50142" xr:uid="{00000000-0005-0000-0000-0000053E0000}"/>
    <cellStyle name="20% - Accent6 2 3 2 2 2 2 2 3 3" xfId="37226" xr:uid="{00000000-0005-0000-0000-0000063E0000}"/>
    <cellStyle name="20% - Accent6 2 3 2 2 2 2 2 4" xfId="17810" xr:uid="{00000000-0005-0000-0000-0000073E0000}"/>
    <cellStyle name="20% - Accent6 2 3 2 2 2 2 2 4 2" xfId="43684" xr:uid="{00000000-0005-0000-0000-0000083E0000}"/>
    <cellStyle name="20% - Accent6 2 3 2 2 2 2 2 5" xfId="30736" xr:uid="{00000000-0005-0000-0000-0000093E0000}"/>
    <cellStyle name="20% - Accent6 2 3 2 2 2 2 3" xfId="6506" xr:uid="{00000000-0005-0000-0000-00000A3E0000}"/>
    <cellStyle name="20% - Accent6 2 3 2 2 2 2 3 2" xfId="12965" xr:uid="{00000000-0005-0000-0000-00000B3E0000}"/>
    <cellStyle name="20% - Accent6 2 3 2 2 2 2 3 2 2" xfId="25882" xr:uid="{00000000-0005-0000-0000-00000C3E0000}"/>
    <cellStyle name="20% - Accent6 2 3 2 2 2 2 3 2 2 2" xfId="51756" xr:uid="{00000000-0005-0000-0000-00000D3E0000}"/>
    <cellStyle name="20% - Accent6 2 3 2 2 2 2 3 2 3" xfId="38840" xr:uid="{00000000-0005-0000-0000-00000E3E0000}"/>
    <cellStyle name="20% - Accent6 2 3 2 2 2 2 3 3" xfId="19424" xr:uid="{00000000-0005-0000-0000-00000F3E0000}"/>
    <cellStyle name="20% - Accent6 2 3 2 2 2 2 3 3 2" xfId="45298" xr:uid="{00000000-0005-0000-0000-0000103E0000}"/>
    <cellStyle name="20% - Accent6 2 3 2 2 2 2 3 4" xfId="32382" xr:uid="{00000000-0005-0000-0000-0000113E0000}"/>
    <cellStyle name="20% - Accent6 2 3 2 2 2 2 4" xfId="9737" xr:uid="{00000000-0005-0000-0000-0000123E0000}"/>
    <cellStyle name="20% - Accent6 2 3 2 2 2 2 4 2" xfId="22654" xr:uid="{00000000-0005-0000-0000-0000133E0000}"/>
    <cellStyle name="20% - Accent6 2 3 2 2 2 2 4 2 2" xfId="48528" xr:uid="{00000000-0005-0000-0000-0000143E0000}"/>
    <cellStyle name="20% - Accent6 2 3 2 2 2 2 4 3" xfId="35612" xr:uid="{00000000-0005-0000-0000-0000153E0000}"/>
    <cellStyle name="20% - Accent6 2 3 2 2 2 2 5" xfId="16196" xr:uid="{00000000-0005-0000-0000-0000163E0000}"/>
    <cellStyle name="20% - Accent6 2 3 2 2 2 2 5 2" xfId="42070" xr:uid="{00000000-0005-0000-0000-0000173E0000}"/>
    <cellStyle name="20% - Accent6 2 3 2 2 2 2 6" xfId="29122" xr:uid="{00000000-0005-0000-0000-0000183E0000}"/>
    <cellStyle name="20% - Accent6 2 3 2 2 2 3" xfId="4059" xr:uid="{00000000-0005-0000-0000-0000193E0000}"/>
    <cellStyle name="20% - Accent6 2 3 2 2 2 3 2" xfId="7313" xr:uid="{00000000-0005-0000-0000-00001A3E0000}"/>
    <cellStyle name="20% - Accent6 2 3 2 2 2 3 2 2" xfId="13772" xr:uid="{00000000-0005-0000-0000-00001B3E0000}"/>
    <cellStyle name="20% - Accent6 2 3 2 2 2 3 2 2 2" xfId="26689" xr:uid="{00000000-0005-0000-0000-00001C3E0000}"/>
    <cellStyle name="20% - Accent6 2 3 2 2 2 3 2 2 2 2" xfId="52563" xr:uid="{00000000-0005-0000-0000-00001D3E0000}"/>
    <cellStyle name="20% - Accent6 2 3 2 2 2 3 2 2 3" xfId="39647" xr:uid="{00000000-0005-0000-0000-00001E3E0000}"/>
    <cellStyle name="20% - Accent6 2 3 2 2 2 3 2 3" xfId="20231" xr:uid="{00000000-0005-0000-0000-00001F3E0000}"/>
    <cellStyle name="20% - Accent6 2 3 2 2 2 3 2 3 2" xfId="46105" xr:uid="{00000000-0005-0000-0000-0000203E0000}"/>
    <cellStyle name="20% - Accent6 2 3 2 2 2 3 2 4" xfId="33189" xr:uid="{00000000-0005-0000-0000-0000213E0000}"/>
    <cellStyle name="20% - Accent6 2 3 2 2 2 3 3" xfId="10544" xr:uid="{00000000-0005-0000-0000-0000223E0000}"/>
    <cellStyle name="20% - Accent6 2 3 2 2 2 3 3 2" xfId="23461" xr:uid="{00000000-0005-0000-0000-0000233E0000}"/>
    <cellStyle name="20% - Accent6 2 3 2 2 2 3 3 2 2" xfId="49335" xr:uid="{00000000-0005-0000-0000-0000243E0000}"/>
    <cellStyle name="20% - Accent6 2 3 2 2 2 3 3 3" xfId="36419" xr:uid="{00000000-0005-0000-0000-0000253E0000}"/>
    <cellStyle name="20% - Accent6 2 3 2 2 2 3 4" xfId="17003" xr:uid="{00000000-0005-0000-0000-0000263E0000}"/>
    <cellStyle name="20% - Accent6 2 3 2 2 2 3 4 2" xfId="42877" xr:uid="{00000000-0005-0000-0000-0000273E0000}"/>
    <cellStyle name="20% - Accent6 2 3 2 2 2 3 5" xfId="29929" xr:uid="{00000000-0005-0000-0000-0000283E0000}"/>
    <cellStyle name="20% - Accent6 2 3 2 2 2 4" xfId="5699" xr:uid="{00000000-0005-0000-0000-0000293E0000}"/>
    <cellStyle name="20% - Accent6 2 3 2 2 2 4 2" xfId="12158" xr:uid="{00000000-0005-0000-0000-00002A3E0000}"/>
    <cellStyle name="20% - Accent6 2 3 2 2 2 4 2 2" xfId="25075" xr:uid="{00000000-0005-0000-0000-00002B3E0000}"/>
    <cellStyle name="20% - Accent6 2 3 2 2 2 4 2 2 2" xfId="50949" xr:uid="{00000000-0005-0000-0000-00002C3E0000}"/>
    <cellStyle name="20% - Accent6 2 3 2 2 2 4 2 3" xfId="38033" xr:uid="{00000000-0005-0000-0000-00002D3E0000}"/>
    <cellStyle name="20% - Accent6 2 3 2 2 2 4 3" xfId="18617" xr:uid="{00000000-0005-0000-0000-00002E3E0000}"/>
    <cellStyle name="20% - Accent6 2 3 2 2 2 4 3 2" xfId="44491" xr:uid="{00000000-0005-0000-0000-00002F3E0000}"/>
    <cellStyle name="20% - Accent6 2 3 2 2 2 4 4" xfId="31575" xr:uid="{00000000-0005-0000-0000-0000303E0000}"/>
    <cellStyle name="20% - Accent6 2 3 2 2 2 5" xfId="8930" xr:uid="{00000000-0005-0000-0000-0000313E0000}"/>
    <cellStyle name="20% - Accent6 2 3 2 2 2 5 2" xfId="21847" xr:uid="{00000000-0005-0000-0000-0000323E0000}"/>
    <cellStyle name="20% - Accent6 2 3 2 2 2 5 2 2" xfId="47721" xr:uid="{00000000-0005-0000-0000-0000333E0000}"/>
    <cellStyle name="20% - Accent6 2 3 2 2 2 5 3" xfId="34805" xr:uid="{00000000-0005-0000-0000-0000343E0000}"/>
    <cellStyle name="20% - Accent6 2 3 2 2 2 6" xfId="15389" xr:uid="{00000000-0005-0000-0000-0000353E0000}"/>
    <cellStyle name="20% - Accent6 2 3 2 2 2 6 2" xfId="41263" xr:uid="{00000000-0005-0000-0000-0000363E0000}"/>
    <cellStyle name="20% - Accent6 2 3 2 2 2 7" xfId="28315" xr:uid="{00000000-0005-0000-0000-0000373E0000}"/>
    <cellStyle name="20% - Accent6 2 3 2 2 2 8" xfId="54177" xr:uid="{00000000-0005-0000-0000-0000383E0000}"/>
    <cellStyle name="20% - Accent6 2 3 2 2 3" xfId="2828" xr:uid="{00000000-0005-0000-0000-0000393E0000}"/>
    <cellStyle name="20% - Accent6 2 3 2 2 3 2" xfId="4485" xr:uid="{00000000-0005-0000-0000-00003A3E0000}"/>
    <cellStyle name="20% - Accent6 2 3 2 2 3 2 2" xfId="7716" xr:uid="{00000000-0005-0000-0000-00003B3E0000}"/>
    <cellStyle name="20% - Accent6 2 3 2 2 3 2 2 2" xfId="14175" xr:uid="{00000000-0005-0000-0000-00003C3E0000}"/>
    <cellStyle name="20% - Accent6 2 3 2 2 3 2 2 2 2" xfId="27092" xr:uid="{00000000-0005-0000-0000-00003D3E0000}"/>
    <cellStyle name="20% - Accent6 2 3 2 2 3 2 2 2 2 2" xfId="52966" xr:uid="{00000000-0005-0000-0000-00003E3E0000}"/>
    <cellStyle name="20% - Accent6 2 3 2 2 3 2 2 2 3" xfId="40050" xr:uid="{00000000-0005-0000-0000-00003F3E0000}"/>
    <cellStyle name="20% - Accent6 2 3 2 2 3 2 2 3" xfId="20634" xr:uid="{00000000-0005-0000-0000-0000403E0000}"/>
    <cellStyle name="20% - Accent6 2 3 2 2 3 2 2 3 2" xfId="46508" xr:uid="{00000000-0005-0000-0000-0000413E0000}"/>
    <cellStyle name="20% - Accent6 2 3 2 2 3 2 2 4" xfId="33592" xr:uid="{00000000-0005-0000-0000-0000423E0000}"/>
    <cellStyle name="20% - Accent6 2 3 2 2 3 2 3" xfId="10947" xr:uid="{00000000-0005-0000-0000-0000433E0000}"/>
    <cellStyle name="20% - Accent6 2 3 2 2 3 2 3 2" xfId="23864" xr:uid="{00000000-0005-0000-0000-0000443E0000}"/>
    <cellStyle name="20% - Accent6 2 3 2 2 3 2 3 2 2" xfId="49738" xr:uid="{00000000-0005-0000-0000-0000453E0000}"/>
    <cellStyle name="20% - Accent6 2 3 2 2 3 2 3 3" xfId="36822" xr:uid="{00000000-0005-0000-0000-0000463E0000}"/>
    <cellStyle name="20% - Accent6 2 3 2 2 3 2 4" xfId="17406" xr:uid="{00000000-0005-0000-0000-0000473E0000}"/>
    <cellStyle name="20% - Accent6 2 3 2 2 3 2 4 2" xfId="43280" xr:uid="{00000000-0005-0000-0000-0000483E0000}"/>
    <cellStyle name="20% - Accent6 2 3 2 2 3 2 5" xfId="30332" xr:uid="{00000000-0005-0000-0000-0000493E0000}"/>
    <cellStyle name="20% - Accent6 2 3 2 2 3 3" xfId="6102" xr:uid="{00000000-0005-0000-0000-00004A3E0000}"/>
    <cellStyle name="20% - Accent6 2 3 2 2 3 3 2" xfId="12561" xr:uid="{00000000-0005-0000-0000-00004B3E0000}"/>
    <cellStyle name="20% - Accent6 2 3 2 2 3 3 2 2" xfId="25478" xr:uid="{00000000-0005-0000-0000-00004C3E0000}"/>
    <cellStyle name="20% - Accent6 2 3 2 2 3 3 2 2 2" xfId="51352" xr:uid="{00000000-0005-0000-0000-00004D3E0000}"/>
    <cellStyle name="20% - Accent6 2 3 2 2 3 3 2 3" xfId="38436" xr:uid="{00000000-0005-0000-0000-00004E3E0000}"/>
    <cellStyle name="20% - Accent6 2 3 2 2 3 3 3" xfId="19020" xr:uid="{00000000-0005-0000-0000-00004F3E0000}"/>
    <cellStyle name="20% - Accent6 2 3 2 2 3 3 3 2" xfId="44894" xr:uid="{00000000-0005-0000-0000-0000503E0000}"/>
    <cellStyle name="20% - Accent6 2 3 2 2 3 3 4" xfId="31978" xr:uid="{00000000-0005-0000-0000-0000513E0000}"/>
    <cellStyle name="20% - Accent6 2 3 2 2 3 4" xfId="9333" xr:uid="{00000000-0005-0000-0000-0000523E0000}"/>
    <cellStyle name="20% - Accent6 2 3 2 2 3 4 2" xfId="22250" xr:uid="{00000000-0005-0000-0000-0000533E0000}"/>
    <cellStyle name="20% - Accent6 2 3 2 2 3 4 2 2" xfId="48124" xr:uid="{00000000-0005-0000-0000-0000543E0000}"/>
    <cellStyle name="20% - Accent6 2 3 2 2 3 4 3" xfId="35208" xr:uid="{00000000-0005-0000-0000-0000553E0000}"/>
    <cellStyle name="20% - Accent6 2 3 2 2 3 5" xfId="15792" xr:uid="{00000000-0005-0000-0000-0000563E0000}"/>
    <cellStyle name="20% - Accent6 2 3 2 2 3 5 2" xfId="41666" xr:uid="{00000000-0005-0000-0000-0000573E0000}"/>
    <cellStyle name="20% - Accent6 2 3 2 2 3 6" xfId="28718" xr:uid="{00000000-0005-0000-0000-0000583E0000}"/>
    <cellStyle name="20% - Accent6 2 3 2 2 4" xfId="3655" xr:uid="{00000000-0005-0000-0000-0000593E0000}"/>
    <cellStyle name="20% - Accent6 2 3 2 2 4 2" xfId="6909" xr:uid="{00000000-0005-0000-0000-00005A3E0000}"/>
    <cellStyle name="20% - Accent6 2 3 2 2 4 2 2" xfId="13368" xr:uid="{00000000-0005-0000-0000-00005B3E0000}"/>
    <cellStyle name="20% - Accent6 2 3 2 2 4 2 2 2" xfId="26285" xr:uid="{00000000-0005-0000-0000-00005C3E0000}"/>
    <cellStyle name="20% - Accent6 2 3 2 2 4 2 2 2 2" xfId="52159" xr:uid="{00000000-0005-0000-0000-00005D3E0000}"/>
    <cellStyle name="20% - Accent6 2 3 2 2 4 2 2 3" xfId="39243" xr:uid="{00000000-0005-0000-0000-00005E3E0000}"/>
    <cellStyle name="20% - Accent6 2 3 2 2 4 2 3" xfId="19827" xr:uid="{00000000-0005-0000-0000-00005F3E0000}"/>
    <cellStyle name="20% - Accent6 2 3 2 2 4 2 3 2" xfId="45701" xr:uid="{00000000-0005-0000-0000-0000603E0000}"/>
    <cellStyle name="20% - Accent6 2 3 2 2 4 2 4" xfId="32785" xr:uid="{00000000-0005-0000-0000-0000613E0000}"/>
    <cellStyle name="20% - Accent6 2 3 2 2 4 3" xfId="10140" xr:uid="{00000000-0005-0000-0000-0000623E0000}"/>
    <cellStyle name="20% - Accent6 2 3 2 2 4 3 2" xfId="23057" xr:uid="{00000000-0005-0000-0000-0000633E0000}"/>
    <cellStyle name="20% - Accent6 2 3 2 2 4 3 2 2" xfId="48931" xr:uid="{00000000-0005-0000-0000-0000643E0000}"/>
    <cellStyle name="20% - Accent6 2 3 2 2 4 3 3" xfId="36015" xr:uid="{00000000-0005-0000-0000-0000653E0000}"/>
    <cellStyle name="20% - Accent6 2 3 2 2 4 4" xfId="16599" xr:uid="{00000000-0005-0000-0000-0000663E0000}"/>
    <cellStyle name="20% - Accent6 2 3 2 2 4 4 2" xfId="42473" xr:uid="{00000000-0005-0000-0000-0000673E0000}"/>
    <cellStyle name="20% - Accent6 2 3 2 2 4 5" xfId="29525" xr:uid="{00000000-0005-0000-0000-0000683E0000}"/>
    <cellStyle name="20% - Accent6 2 3 2 2 5" xfId="5295" xr:uid="{00000000-0005-0000-0000-0000693E0000}"/>
    <cellStyle name="20% - Accent6 2 3 2 2 5 2" xfId="11754" xr:uid="{00000000-0005-0000-0000-00006A3E0000}"/>
    <cellStyle name="20% - Accent6 2 3 2 2 5 2 2" xfId="24671" xr:uid="{00000000-0005-0000-0000-00006B3E0000}"/>
    <cellStyle name="20% - Accent6 2 3 2 2 5 2 2 2" xfId="50545" xr:uid="{00000000-0005-0000-0000-00006C3E0000}"/>
    <cellStyle name="20% - Accent6 2 3 2 2 5 2 3" xfId="37629" xr:uid="{00000000-0005-0000-0000-00006D3E0000}"/>
    <cellStyle name="20% - Accent6 2 3 2 2 5 3" xfId="18213" xr:uid="{00000000-0005-0000-0000-00006E3E0000}"/>
    <cellStyle name="20% - Accent6 2 3 2 2 5 3 2" xfId="44087" xr:uid="{00000000-0005-0000-0000-00006F3E0000}"/>
    <cellStyle name="20% - Accent6 2 3 2 2 5 4" xfId="31171" xr:uid="{00000000-0005-0000-0000-0000703E0000}"/>
    <cellStyle name="20% - Accent6 2 3 2 2 6" xfId="8526" xr:uid="{00000000-0005-0000-0000-0000713E0000}"/>
    <cellStyle name="20% - Accent6 2 3 2 2 6 2" xfId="21443" xr:uid="{00000000-0005-0000-0000-0000723E0000}"/>
    <cellStyle name="20% - Accent6 2 3 2 2 6 2 2" xfId="47317" xr:uid="{00000000-0005-0000-0000-0000733E0000}"/>
    <cellStyle name="20% - Accent6 2 3 2 2 6 3" xfId="34401" xr:uid="{00000000-0005-0000-0000-0000743E0000}"/>
    <cellStyle name="20% - Accent6 2 3 2 2 7" xfId="14985" xr:uid="{00000000-0005-0000-0000-0000753E0000}"/>
    <cellStyle name="20% - Accent6 2 3 2 2 7 2" xfId="40859" xr:uid="{00000000-0005-0000-0000-0000763E0000}"/>
    <cellStyle name="20% - Accent6 2 3 2 2 8" xfId="27910" xr:uid="{00000000-0005-0000-0000-0000773E0000}"/>
    <cellStyle name="20% - Accent6 2 3 2 2 9" xfId="53773" xr:uid="{00000000-0005-0000-0000-0000783E0000}"/>
    <cellStyle name="20% - Accent6 2 3 2 3" xfId="2223" xr:uid="{00000000-0005-0000-0000-0000793E0000}"/>
    <cellStyle name="20% - Accent6 2 3 2 3 2" xfId="3037" xr:uid="{00000000-0005-0000-0000-00007A3E0000}"/>
    <cellStyle name="20% - Accent6 2 3 2 3 2 2" xfId="4694" xr:uid="{00000000-0005-0000-0000-00007B3E0000}"/>
    <cellStyle name="20% - Accent6 2 3 2 3 2 2 2" xfId="7925" xr:uid="{00000000-0005-0000-0000-00007C3E0000}"/>
    <cellStyle name="20% - Accent6 2 3 2 3 2 2 2 2" xfId="14384" xr:uid="{00000000-0005-0000-0000-00007D3E0000}"/>
    <cellStyle name="20% - Accent6 2 3 2 3 2 2 2 2 2" xfId="27301" xr:uid="{00000000-0005-0000-0000-00007E3E0000}"/>
    <cellStyle name="20% - Accent6 2 3 2 3 2 2 2 2 2 2" xfId="53175" xr:uid="{00000000-0005-0000-0000-00007F3E0000}"/>
    <cellStyle name="20% - Accent6 2 3 2 3 2 2 2 2 3" xfId="40259" xr:uid="{00000000-0005-0000-0000-0000803E0000}"/>
    <cellStyle name="20% - Accent6 2 3 2 3 2 2 2 3" xfId="20843" xr:uid="{00000000-0005-0000-0000-0000813E0000}"/>
    <cellStyle name="20% - Accent6 2 3 2 3 2 2 2 3 2" xfId="46717" xr:uid="{00000000-0005-0000-0000-0000823E0000}"/>
    <cellStyle name="20% - Accent6 2 3 2 3 2 2 2 4" xfId="33801" xr:uid="{00000000-0005-0000-0000-0000833E0000}"/>
    <cellStyle name="20% - Accent6 2 3 2 3 2 2 3" xfId="11156" xr:uid="{00000000-0005-0000-0000-0000843E0000}"/>
    <cellStyle name="20% - Accent6 2 3 2 3 2 2 3 2" xfId="24073" xr:uid="{00000000-0005-0000-0000-0000853E0000}"/>
    <cellStyle name="20% - Accent6 2 3 2 3 2 2 3 2 2" xfId="49947" xr:uid="{00000000-0005-0000-0000-0000863E0000}"/>
    <cellStyle name="20% - Accent6 2 3 2 3 2 2 3 3" xfId="37031" xr:uid="{00000000-0005-0000-0000-0000873E0000}"/>
    <cellStyle name="20% - Accent6 2 3 2 3 2 2 4" xfId="17615" xr:uid="{00000000-0005-0000-0000-0000883E0000}"/>
    <cellStyle name="20% - Accent6 2 3 2 3 2 2 4 2" xfId="43489" xr:uid="{00000000-0005-0000-0000-0000893E0000}"/>
    <cellStyle name="20% - Accent6 2 3 2 3 2 2 5" xfId="30541" xr:uid="{00000000-0005-0000-0000-00008A3E0000}"/>
    <cellStyle name="20% - Accent6 2 3 2 3 2 3" xfId="6311" xr:uid="{00000000-0005-0000-0000-00008B3E0000}"/>
    <cellStyle name="20% - Accent6 2 3 2 3 2 3 2" xfId="12770" xr:uid="{00000000-0005-0000-0000-00008C3E0000}"/>
    <cellStyle name="20% - Accent6 2 3 2 3 2 3 2 2" xfId="25687" xr:uid="{00000000-0005-0000-0000-00008D3E0000}"/>
    <cellStyle name="20% - Accent6 2 3 2 3 2 3 2 2 2" xfId="51561" xr:uid="{00000000-0005-0000-0000-00008E3E0000}"/>
    <cellStyle name="20% - Accent6 2 3 2 3 2 3 2 3" xfId="38645" xr:uid="{00000000-0005-0000-0000-00008F3E0000}"/>
    <cellStyle name="20% - Accent6 2 3 2 3 2 3 3" xfId="19229" xr:uid="{00000000-0005-0000-0000-0000903E0000}"/>
    <cellStyle name="20% - Accent6 2 3 2 3 2 3 3 2" xfId="45103" xr:uid="{00000000-0005-0000-0000-0000913E0000}"/>
    <cellStyle name="20% - Accent6 2 3 2 3 2 3 4" xfId="32187" xr:uid="{00000000-0005-0000-0000-0000923E0000}"/>
    <cellStyle name="20% - Accent6 2 3 2 3 2 4" xfId="9542" xr:uid="{00000000-0005-0000-0000-0000933E0000}"/>
    <cellStyle name="20% - Accent6 2 3 2 3 2 4 2" xfId="22459" xr:uid="{00000000-0005-0000-0000-0000943E0000}"/>
    <cellStyle name="20% - Accent6 2 3 2 3 2 4 2 2" xfId="48333" xr:uid="{00000000-0005-0000-0000-0000953E0000}"/>
    <cellStyle name="20% - Accent6 2 3 2 3 2 4 3" xfId="35417" xr:uid="{00000000-0005-0000-0000-0000963E0000}"/>
    <cellStyle name="20% - Accent6 2 3 2 3 2 5" xfId="16001" xr:uid="{00000000-0005-0000-0000-0000973E0000}"/>
    <cellStyle name="20% - Accent6 2 3 2 3 2 5 2" xfId="41875" xr:uid="{00000000-0005-0000-0000-0000983E0000}"/>
    <cellStyle name="20% - Accent6 2 3 2 3 2 6" xfId="28927" xr:uid="{00000000-0005-0000-0000-0000993E0000}"/>
    <cellStyle name="20% - Accent6 2 3 2 3 3" xfId="3864" xr:uid="{00000000-0005-0000-0000-00009A3E0000}"/>
    <cellStyle name="20% - Accent6 2 3 2 3 3 2" xfId="7118" xr:uid="{00000000-0005-0000-0000-00009B3E0000}"/>
    <cellStyle name="20% - Accent6 2 3 2 3 3 2 2" xfId="13577" xr:uid="{00000000-0005-0000-0000-00009C3E0000}"/>
    <cellStyle name="20% - Accent6 2 3 2 3 3 2 2 2" xfId="26494" xr:uid="{00000000-0005-0000-0000-00009D3E0000}"/>
    <cellStyle name="20% - Accent6 2 3 2 3 3 2 2 2 2" xfId="52368" xr:uid="{00000000-0005-0000-0000-00009E3E0000}"/>
    <cellStyle name="20% - Accent6 2 3 2 3 3 2 2 3" xfId="39452" xr:uid="{00000000-0005-0000-0000-00009F3E0000}"/>
    <cellStyle name="20% - Accent6 2 3 2 3 3 2 3" xfId="20036" xr:uid="{00000000-0005-0000-0000-0000A03E0000}"/>
    <cellStyle name="20% - Accent6 2 3 2 3 3 2 3 2" xfId="45910" xr:uid="{00000000-0005-0000-0000-0000A13E0000}"/>
    <cellStyle name="20% - Accent6 2 3 2 3 3 2 4" xfId="32994" xr:uid="{00000000-0005-0000-0000-0000A23E0000}"/>
    <cellStyle name="20% - Accent6 2 3 2 3 3 3" xfId="10349" xr:uid="{00000000-0005-0000-0000-0000A33E0000}"/>
    <cellStyle name="20% - Accent6 2 3 2 3 3 3 2" xfId="23266" xr:uid="{00000000-0005-0000-0000-0000A43E0000}"/>
    <cellStyle name="20% - Accent6 2 3 2 3 3 3 2 2" xfId="49140" xr:uid="{00000000-0005-0000-0000-0000A53E0000}"/>
    <cellStyle name="20% - Accent6 2 3 2 3 3 3 3" xfId="36224" xr:uid="{00000000-0005-0000-0000-0000A63E0000}"/>
    <cellStyle name="20% - Accent6 2 3 2 3 3 4" xfId="16808" xr:uid="{00000000-0005-0000-0000-0000A73E0000}"/>
    <cellStyle name="20% - Accent6 2 3 2 3 3 4 2" xfId="42682" xr:uid="{00000000-0005-0000-0000-0000A83E0000}"/>
    <cellStyle name="20% - Accent6 2 3 2 3 3 5" xfId="29734" xr:uid="{00000000-0005-0000-0000-0000A93E0000}"/>
    <cellStyle name="20% - Accent6 2 3 2 3 4" xfId="5504" xr:uid="{00000000-0005-0000-0000-0000AA3E0000}"/>
    <cellStyle name="20% - Accent6 2 3 2 3 4 2" xfId="11963" xr:uid="{00000000-0005-0000-0000-0000AB3E0000}"/>
    <cellStyle name="20% - Accent6 2 3 2 3 4 2 2" xfId="24880" xr:uid="{00000000-0005-0000-0000-0000AC3E0000}"/>
    <cellStyle name="20% - Accent6 2 3 2 3 4 2 2 2" xfId="50754" xr:uid="{00000000-0005-0000-0000-0000AD3E0000}"/>
    <cellStyle name="20% - Accent6 2 3 2 3 4 2 3" xfId="37838" xr:uid="{00000000-0005-0000-0000-0000AE3E0000}"/>
    <cellStyle name="20% - Accent6 2 3 2 3 4 3" xfId="18422" xr:uid="{00000000-0005-0000-0000-0000AF3E0000}"/>
    <cellStyle name="20% - Accent6 2 3 2 3 4 3 2" xfId="44296" xr:uid="{00000000-0005-0000-0000-0000B03E0000}"/>
    <cellStyle name="20% - Accent6 2 3 2 3 4 4" xfId="31380" xr:uid="{00000000-0005-0000-0000-0000B13E0000}"/>
    <cellStyle name="20% - Accent6 2 3 2 3 5" xfId="8735" xr:uid="{00000000-0005-0000-0000-0000B23E0000}"/>
    <cellStyle name="20% - Accent6 2 3 2 3 5 2" xfId="21652" xr:uid="{00000000-0005-0000-0000-0000B33E0000}"/>
    <cellStyle name="20% - Accent6 2 3 2 3 5 2 2" xfId="47526" xr:uid="{00000000-0005-0000-0000-0000B43E0000}"/>
    <cellStyle name="20% - Accent6 2 3 2 3 5 3" xfId="34610" xr:uid="{00000000-0005-0000-0000-0000B53E0000}"/>
    <cellStyle name="20% - Accent6 2 3 2 3 6" xfId="15194" xr:uid="{00000000-0005-0000-0000-0000B63E0000}"/>
    <cellStyle name="20% - Accent6 2 3 2 3 6 2" xfId="41068" xr:uid="{00000000-0005-0000-0000-0000B73E0000}"/>
    <cellStyle name="20% - Accent6 2 3 2 3 7" xfId="28120" xr:uid="{00000000-0005-0000-0000-0000B83E0000}"/>
    <cellStyle name="20% - Accent6 2 3 2 3 8" xfId="53982" xr:uid="{00000000-0005-0000-0000-0000B93E0000}"/>
    <cellStyle name="20% - Accent6 2 3 2 4" xfId="2634" xr:uid="{00000000-0005-0000-0000-0000BA3E0000}"/>
    <cellStyle name="20% - Accent6 2 3 2 4 2" xfId="4291" xr:uid="{00000000-0005-0000-0000-0000BB3E0000}"/>
    <cellStyle name="20% - Accent6 2 3 2 4 2 2" xfId="7522" xr:uid="{00000000-0005-0000-0000-0000BC3E0000}"/>
    <cellStyle name="20% - Accent6 2 3 2 4 2 2 2" xfId="13981" xr:uid="{00000000-0005-0000-0000-0000BD3E0000}"/>
    <cellStyle name="20% - Accent6 2 3 2 4 2 2 2 2" xfId="26898" xr:uid="{00000000-0005-0000-0000-0000BE3E0000}"/>
    <cellStyle name="20% - Accent6 2 3 2 4 2 2 2 2 2" xfId="52772" xr:uid="{00000000-0005-0000-0000-0000BF3E0000}"/>
    <cellStyle name="20% - Accent6 2 3 2 4 2 2 2 3" xfId="39856" xr:uid="{00000000-0005-0000-0000-0000C03E0000}"/>
    <cellStyle name="20% - Accent6 2 3 2 4 2 2 3" xfId="20440" xr:uid="{00000000-0005-0000-0000-0000C13E0000}"/>
    <cellStyle name="20% - Accent6 2 3 2 4 2 2 3 2" xfId="46314" xr:uid="{00000000-0005-0000-0000-0000C23E0000}"/>
    <cellStyle name="20% - Accent6 2 3 2 4 2 2 4" xfId="33398" xr:uid="{00000000-0005-0000-0000-0000C33E0000}"/>
    <cellStyle name="20% - Accent6 2 3 2 4 2 3" xfId="10753" xr:uid="{00000000-0005-0000-0000-0000C43E0000}"/>
    <cellStyle name="20% - Accent6 2 3 2 4 2 3 2" xfId="23670" xr:uid="{00000000-0005-0000-0000-0000C53E0000}"/>
    <cellStyle name="20% - Accent6 2 3 2 4 2 3 2 2" xfId="49544" xr:uid="{00000000-0005-0000-0000-0000C63E0000}"/>
    <cellStyle name="20% - Accent6 2 3 2 4 2 3 3" xfId="36628" xr:uid="{00000000-0005-0000-0000-0000C73E0000}"/>
    <cellStyle name="20% - Accent6 2 3 2 4 2 4" xfId="17212" xr:uid="{00000000-0005-0000-0000-0000C83E0000}"/>
    <cellStyle name="20% - Accent6 2 3 2 4 2 4 2" xfId="43086" xr:uid="{00000000-0005-0000-0000-0000C93E0000}"/>
    <cellStyle name="20% - Accent6 2 3 2 4 2 5" xfId="30138" xr:uid="{00000000-0005-0000-0000-0000CA3E0000}"/>
    <cellStyle name="20% - Accent6 2 3 2 4 3" xfId="5908" xr:uid="{00000000-0005-0000-0000-0000CB3E0000}"/>
    <cellStyle name="20% - Accent6 2 3 2 4 3 2" xfId="12367" xr:uid="{00000000-0005-0000-0000-0000CC3E0000}"/>
    <cellStyle name="20% - Accent6 2 3 2 4 3 2 2" xfId="25284" xr:uid="{00000000-0005-0000-0000-0000CD3E0000}"/>
    <cellStyle name="20% - Accent6 2 3 2 4 3 2 2 2" xfId="51158" xr:uid="{00000000-0005-0000-0000-0000CE3E0000}"/>
    <cellStyle name="20% - Accent6 2 3 2 4 3 2 3" xfId="38242" xr:uid="{00000000-0005-0000-0000-0000CF3E0000}"/>
    <cellStyle name="20% - Accent6 2 3 2 4 3 3" xfId="18826" xr:uid="{00000000-0005-0000-0000-0000D03E0000}"/>
    <cellStyle name="20% - Accent6 2 3 2 4 3 3 2" xfId="44700" xr:uid="{00000000-0005-0000-0000-0000D13E0000}"/>
    <cellStyle name="20% - Accent6 2 3 2 4 3 4" xfId="31784" xr:uid="{00000000-0005-0000-0000-0000D23E0000}"/>
    <cellStyle name="20% - Accent6 2 3 2 4 4" xfId="9139" xr:uid="{00000000-0005-0000-0000-0000D33E0000}"/>
    <cellStyle name="20% - Accent6 2 3 2 4 4 2" xfId="22056" xr:uid="{00000000-0005-0000-0000-0000D43E0000}"/>
    <cellStyle name="20% - Accent6 2 3 2 4 4 2 2" xfId="47930" xr:uid="{00000000-0005-0000-0000-0000D53E0000}"/>
    <cellStyle name="20% - Accent6 2 3 2 4 4 3" xfId="35014" xr:uid="{00000000-0005-0000-0000-0000D63E0000}"/>
    <cellStyle name="20% - Accent6 2 3 2 4 5" xfId="15598" xr:uid="{00000000-0005-0000-0000-0000D73E0000}"/>
    <cellStyle name="20% - Accent6 2 3 2 4 5 2" xfId="41472" xr:uid="{00000000-0005-0000-0000-0000D83E0000}"/>
    <cellStyle name="20% - Accent6 2 3 2 4 6" xfId="28524" xr:uid="{00000000-0005-0000-0000-0000D93E0000}"/>
    <cellStyle name="20% - Accent6 2 3 2 5" xfId="3461" xr:uid="{00000000-0005-0000-0000-0000DA3E0000}"/>
    <cellStyle name="20% - Accent6 2 3 2 5 2" xfId="6715" xr:uid="{00000000-0005-0000-0000-0000DB3E0000}"/>
    <cellStyle name="20% - Accent6 2 3 2 5 2 2" xfId="13174" xr:uid="{00000000-0005-0000-0000-0000DC3E0000}"/>
    <cellStyle name="20% - Accent6 2 3 2 5 2 2 2" xfId="26091" xr:uid="{00000000-0005-0000-0000-0000DD3E0000}"/>
    <cellStyle name="20% - Accent6 2 3 2 5 2 2 2 2" xfId="51965" xr:uid="{00000000-0005-0000-0000-0000DE3E0000}"/>
    <cellStyle name="20% - Accent6 2 3 2 5 2 2 3" xfId="39049" xr:uid="{00000000-0005-0000-0000-0000DF3E0000}"/>
    <cellStyle name="20% - Accent6 2 3 2 5 2 3" xfId="19633" xr:uid="{00000000-0005-0000-0000-0000E03E0000}"/>
    <cellStyle name="20% - Accent6 2 3 2 5 2 3 2" xfId="45507" xr:uid="{00000000-0005-0000-0000-0000E13E0000}"/>
    <cellStyle name="20% - Accent6 2 3 2 5 2 4" xfId="32591" xr:uid="{00000000-0005-0000-0000-0000E23E0000}"/>
    <cellStyle name="20% - Accent6 2 3 2 5 3" xfId="9946" xr:uid="{00000000-0005-0000-0000-0000E33E0000}"/>
    <cellStyle name="20% - Accent6 2 3 2 5 3 2" xfId="22863" xr:uid="{00000000-0005-0000-0000-0000E43E0000}"/>
    <cellStyle name="20% - Accent6 2 3 2 5 3 2 2" xfId="48737" xr:uid="{00000000-0005-0000-0000-0000E53E0000}"/>
    <cellStyle name="20% - Accent6 2 3 2 5 3 3" xfId="35821" xr:uid="{00000000-0005-0000-0000-0000E63E0000}"/>
    <cellStyle name="20% - Accent6 2 3 2 5 4" xfId="16405" xr:uid="{00000000-0005-0000-0000-0000E73E0000}"/>
    <cellStyle name="20% - Accent6 2 3 2 5 4 2" xfId="42279" xr:uid="{00000000-0005-0000-0000-0000E83E0000}"/>
    <cellStyle name="20% - Accent6 2 3 2 5 5" xfId="29331" xr:uid="{00000000-0005-0000-0000-0000E93E0000}"/>
    <cellStyle name="20% - Accent6 2 3 2 6" xfId="5101" xr:uid="{00000000-0005-0000-0000-0000EA3E0000}"/>
    <cellStyle name="20% - Accent6 2 3 2 6 2" xfId="11560" xr:uid="{00000000-0005-0000-0000-0000EB3E0000}"/>
    <cellStyle name="20% - Accent6 2 3 2 6 2 2" xfId="24477" xr:uid="{00000000-0005-0000-0000-0000EC3E0000}"/>
    <cellStyle name="20% - Accent6 2 3 2 6 2 2 2" xfId="50351" xr:uid="{00000000-0005-0000-0000-0000ED3E0000}"/>
    <cellStyle name="20% - Accent6 2 3 2 6 2 3" xfId="37435" xr:uid="{00000000-0005-0000-0000-0000EE3E0000}"/>
    <cellStyle name="20% - Accent6 2 3 2 6 3" xfId="18019" xr:uid="{00000000-0005-0000-0000-0000EF3E0000}"/>
    <cellStyle name="20% - Accent6 2 3 2 6 3 2" xfId="43893" xr:uid="{00000000-0005-0000-0000-0000F03E0000}"/>
    <cellStyle name="20% - Accent6 2 3 2 6 4" xfId="30977" xr:uid="{00000000-0005-0000-0000-0000F13E0000}"/>
    <cellStyle name="20% - Accent6 2 3 2 7" xfId="8331" xr:uid="{00000000-0005-0000-0000-0000F23E0000}"/>
    <cellStyle name="20% - Accent6 2 3 2 7 2" xfId="21248" xr:uid="{00000000-0005-0000-0000-0000F33E0000}"/>
    <cellStyle name="20% - Accent6 2 3 2 7 2 2" xfId="47122" xr:uid="{00000000-0005-0000-0000-0000F43E0000}"/>
    <cellStyle name="20% - Accent6 2 3 2 7 3" xfId="34206" xr:uid="{00000000-0005-0000-0000-0000F53E0000}"/>
    <cellStyle name="20% - Accent6 2 3 2 8" xfId="14790" xr:uid="{00000000-0005-0000-0000-0000F63E0000}"/>
    <cellStyle name="20% - Accent6 2 3 2 8 2" xfId="40664" xr:uid="{00000000-0005-0000-0000-0000F73E0000}"/>
    <cellStyle name="20% - Accent6 2 3 2 9" xfId="27715" xr:uid="{00000000-0005-0000-0000-0000F83E0000}"/>
    <cellStyle name="20% - Accent6 2 3 3" xfId="1850" xr:uid="{00000000-0005-0000-0000-0000F93E0000}"/>
    <cellStyle name="20% - Accent6 2 3 3 2" xfId="2292" xr:uid="{00000000-0005-0000-0000-0000FA3E0000}"/>
    <cellStyle name="20% - Accent6 2 3 3 2 2" xfId="3106" xr:uid="{00000000-0005-0000-0000-0000FB3E0000}"/>
    <cellStyle name="20% - Accent6 2 3 3 2 2 2" xfId="4763" xr:uid="{00000000-0005-0000-0000-0000FC3E0000}"/>
    <cellStyle name="20% - Accent6 2 3 3 2 2 2 2" xfId="7994" xr:uid="{00000000-0005-0000-0000-0000FD3E0000}"/>
    <cellStyle name="20% - Accent6 2 3 3 2 2 2 2 2" xfId="14453" xr:uid="{00000000-0005-0000-0000-0000FE3E0000}"/>
    <cellStyle name="20% - Accent6 2 3 3 2 2 2 2 2 2" xfId="27370" xr:uid="{00000000-0005-0000-0000-0000FF3E0000}"/>
    <cellStyle name="20% - Accent6 2 3 3 2 2 2 2 2 2 2" xfId="53244" xr:uid="{00000000-0005-0000-0000-0000003F0000}"/>
    <cellStyle name="20% - Accent6 2 3 3 2 2 2 2 2 3" xfId="40328" xr:uid="{00000000-0005-0000-0000-0000013F0000}"/>
    <cellStyle name="20% - Accent6 2 3 3 2 2 2 2 3" xfId="20912" xr:uid="{00000000-0005-0000-0000-0000023F0000}"/>
    <cellStyle name="20% - Accent6 2 3 3 2 2 2 2 3 2" xfId="46786" xr:uid="{00000000-0005-0000-0000-0000033F0000}"/>
    <cellStyle name="20% - Accent6 2 3 3 2 2 2 2 4" xfId="33870" xr:uid="{00000000-0005-0000-0000-0000043F0000}"/>
    <cellStyle name="20% - Accent6 2 3 3 2 2 2 3" xfId="11225" xr:uid="{00000000-0005-0000-0000-0000053F0000}"/>
    <cellStyle name="20% - Accent6 2 3 3 2 2 2 3 2" xfId="24142" xr:uid="{00000000-0005-0000-0000-0000063F0000}"/>
    <cellStyle name="20% - Accent6 2 3 3 2 2 2 3 2 2" xfId="50016" xr:uid="{00000000-0005-0000-0000-0000073F0000}"/>
    <cellStyle name="20% - Accent6 2 3 3 2 2 2 3 3" xfId="37100" xr:uid="{00000000-0005-0000-0000-0000083F0000}"/>
    <cellStyle name="20% - Accent6 2 3 3 2 2 2 4" xfId="17684" xr:uid="{00000000-0005-0000-0000-0000093F0000}"/>
    <cellStyle name="20% - Accent6 2 3 3 2 2 2 4 2" xfId="43558" xr:uid="{00000000-0005-0000-0000-00000A3F0000}"/>
    <cellStyle name="20% - Accent6 2 3 3 2 2 2 5" xfId="30610" xr:uid="{00000000-0005-0000-0000-00000B3F0000}"/>
    <cellStyle name="20% - Accent6 2 3 3 2 2 3" xfId="6380" xr:uid="{00000000-0005-0000-0000-00000C3F0000}"/>
    <cellStyle name="20% - Accent6 2 3 3 2 2 3 2" xfId="12839" xr:uid="{00000000-0005-0000-0000-00000D3F0000}"/>
    <cellStyle name="20% - Accent6 2 3 3 2 2 3 2 2" xfId="25756" xr:uid="{00000000-0005-0000-0000-00000E3F0000}"/>
    <cellStyle name="20% - Accent6 2 3 3 2 2 3 2 2 2" xfId="51630" xr:uid="{00000000-0005-0000-0000-00000F3F0000}"/>
    <cellStyle name="20% - Accent6 2 3 3 2 2 3 2 3" xfId="38714" xr:uid="{00000000-0005-0000-0000-0000103F0000}"/>
    <cellStyle name="20% - Accent6 2 3 3 2 2 3 3" xfId="19298" xr:uid="{00000000-0005-0000-0000-0000113F0000}"/>
    <cellStyle name="20% - Accent6 2 3 3 2 2 3 3 2" xfId="45172" xr:uid="{00000000-0005-0000-0000-0000123F0000}"/>
    <cellStyle name="20% - Accent6 2 3 3 2 2 3 4" xfId="32256" xr:uid="{00000000-0005-0000-0000-0000133F0000}"/>
    <cellStyle name="20% - Accent6 2 3 3 2 2 4" xfId="9611" xr:uid="{00000000-0005-0000-0000-0000143F0000}"/>
    <cellStyle name="20% - Accent6 2 3 3 2 2 4 2" xfId="22528" xr:uid="{00000000-0005-0000-0000-0000153F0000}"/>
    <cellStyle name="20% - Accent6 2 3 3 2 2 4 2 2" xfId="48402" xr:uid="{00000000-0005-0000-0000-0000163F0000}"/>
    <cellStyle name="20% - Accent6 2 3 3 2 2 4 3" xfId="35486" xr:uid="{00000000-0005-0000-0000-0000173F0000}"/>
    <cellStyle name="20% - Accent6 2 3 3 2 2 5" xfId="16070" xr:uid="{00000000-0005-0000-0000-0000183F0000}"/>
    <cellStyle name="20% - Accent6 2 3 3 2 2 5 2" xfId="41944" xr:uid="{00000000-0005-0000-0000-0000193F0000}"/>
    <cellStyle name="20% - Accent6 2 3 3 2 2 6" xfId="28996" xr:uid="{00000000-0005-0000-0000-00001A3F0000}"/>
    <cellStyle name="20% - Accent6 2 3 3 2 3" xfId="3933" xr:uid="{00000000-0005-0000-0000-00001B3F0000}"/>
    <cellStyle name="20% - Accent6 2 3 3 2 3 2" xfId="7187" xr:uid="{00000000-0005-0000-0000-00001C3F0000}"/>
    <cellStyle name="20% - Accent6 2 3 3 2 3 2 2" xfId="13646" xr:uid="{00000000-0005-0000-0000-00001D3F0000}"/>
    <cellStyle name="20% - Accent6 2 3 3 2 3 2 2 2" xfId="26563" xr:uid="{00000000-0005-0000-0000-00001E3F0000}"/>
    <cellStyle name="20% - Accent6 2 3 3 2 3 2 2 2 2" xfId="52437" xr:uid="{00000000-0005-0000-0000-00001F3F0000}"/>
    <cellStyle name="20% - Accent6 2 3 3 2 3 2 2 3" xfId="39521" xr:uid="{00000000-0005-0000-0000-0000203F0000}"/>
    <cellStyle name="20% - Accent6 2 3 3 2 3 2 3" xfId="20105" xr:uid="{00000000-0005-0000-0000-0000213F0000}"/>
    <cellStyle name="20% - Accent6 2 3 3 2 3 2 3 2" xfId="45979" xr:uid="{00000000-0005-0000-0000-0000223F0000}"/>
    <cellStyle name="20% - Accent6 2 3 3 2 3 2 4" xfId="33063" xr:uid="{00000000-0005-0000-0000-0000233F0000}"/>
    <cellStyle name="20% - Accent6 2 3 3 2 3 3" xfId="10418" xr:uid="{00000000-0005-0000-0000-0000243F0000}"/>
    <cellStyle name="20% - Accent6 2 3 3 2 3 3 2" xfId="23335" xr:uid="{00000000-0005-0000-0000-0000253F0000}"/>
    <cellStyle name="20% - Accent6 2 3 3 2 3 3 2 2" xfId="49209" xr:uid="{00000000-0005-0000-0000-0000263F0000}"/>
    <cellStyle name="20% - Accent6 2 3 3 2 3 3 3" xfId="36293" xr:uid="{00000000-0005-0000-0000-0000273F0000}"/>
    <cellStyle name="20% - Accent6 2 3 3 2 3 4" xfId="16877" xr:uid="{00000000-0005-0000-0000-0000283F0000}"/>
    <cellStyle name="20% - Accent6 2 3 3 2 3 4 2" xfId="42751" xr:uid="{00000000-0005-0000-0000-0000293F0000}"/>
    <cellStyle name="20% - Accent6 2 3 3 2 3 5" xfId="29803" xr:uid="{00000000-0005-0000-0000-00002A3F0000}"/>
    <cellStyle name="20% - Accent6 2 3 3 2 4" xfId="5573" xr:uid="{00000000-0005-0000-0000-00002B3F0000}"/>
    <cellStyle name="20% - Accent6 2 3 3 2 4 2" xfId="12032" xr:uid="{00000000-0005-0000-0000-00002C3F0000}"/>
    <cellStyle name="20% - Accent6 2 3 3 2 4 2 2" xfId="24949" xr:uid="{00000000-0005-0000-0000-00002D3F0000}"/>
    <cellStyle name="20% - Accent6 2 3 3 2 4 2 2 2" xfId="50823" xr:uid="{00000000-0005-0000-0000-00002E3F0000}"/>
    <cellStyle name="20% - Accent6 2 3 3 2 4 2 3" xfId="37907" xr:uid="{00000000-0005-0000-0000-00002F3F0000}"/>
    <cellStyle name="20% - Accent6 2 3 3 2 4 3" xfId="18491" xr:uid="{00000000-0005-0000-0000-0000303F0000}"/>
    <cellStyle name="20% - Accent6 2 3 3 2 4 3 2" xfId="44365" xr:uid="{00000000-0005-0000-0000-0000313F0000}"/>
    <cellStyle name="20% - Accent6 2 3 3 2 4 4" xfId="31449" xr:uid="{00000000-0005-0000-0000-0000323F0000}"/>
    <cellStyle name="20% - Accent6 2 3 3 2 5" xfId="8804" xr:uid="{00000000-0005-0000-0000-0000333F0000}"/>
    <cellStyle name="20% - Accent6 2 3 3 2 5 2" xfId="21721" xr:uid="{00000000-0005-0000-0000-0000343F0000}"/>
    <cellStyle name="20% - Accent6 2 3 3 2 5 2 2" xfId="47595" xr:uid="{00000000-0005-0000-0000-0000353F0000}"/>
    <cellStyle name="20% - Accent6 2 3 3 2 5 3" xfId="34679" xr:uid="{00000000-0005-0000-0000-0000363F0000}"/>
    <cellStyle name="20% - Accent6 2 3 3 2 6" xfId="15263" xr:uid="{00000000-0005-0000-0000-0000373F0000}"/>
    <cellStyle name="20% - Accent6 2 3 3 2 6 2" xfId="41137" xr:uid="{00000000-0005-0000-0000-0000383F0000}"/>
    <cellStyle name="20% - Accent6 2 3 3 2 7" xfId="28189" xr:uid="{00000000-0005-0000-0000-0000393F0000}"/>
    <cellStyle name="20% - Accent6 2 3 3 2 8" xfId="54051" xr:uid="{00000000-0005-0000-0000-00003A3F0000}"/>
    <cellStyle name="20% - Accent6 2 3 3 3" xfId="2703" xr:uid="{00000000-0005-0000-0000-00003B3F0000}"/>
    <cellStyle name="20% - Accent6 2 3 3 3 2" xfId="4360" xr:uid="{00000000-0005-0000-0000-00003C3F0000}"/>
    <cellStyle name="20% - Accent6 2 3 3 3 2 2" xfId="7591" xr:uid="{00000000-0005-0000-0000-00003D3F0000}"/>
    <cellStyle name="20% - Accent6 2 3 3 3 2 2 2" xfId="14050" xr:uid="{00000000-0005-0000-0000-00003E3F0000}"/>
    <cellStyle name="20% - Accent6 2 3 3 3 2 2 2 2" xfId="26967" xr:uid="{00000000-0005-0000-0000-00003F3F0000}"/>
    <cellStyle name="20% - Accent6 2 3 3 3 2 2 2 2 2" xfId="52841" xr:uid="{00000000-0005-0000-0000-0000403F0000}"/>
    <cellStyle name="20% - Accent6 2 3 3 3 2 2 2 3" xfId="39925" xr:uid="{00000000-0005-0000-0000-0000413F0000}"/>
    <cellStyle name="20% - Accent6 2 3 3 3 2 2 3" xfId="20509" xr:uid="{00000000-0005-0000-0000-0000423F0000}"/>
    <cellStyle name="20% - Accent6 2 3 3 3 2 2 3 2" xfId="46383" xr:uid="{00000000-0005-0000-0000-0000433F0000}"/>
    <cellStyle name="20% - Accent6 2 3 3 3 2 2 4" xfId="33467" xr:uid="{00000000-0005-0000-0000-0000443F0000}"/>
    <cellStyle name="20% - Accent6 2 3 3 3 2 3" xfId="10822" xr:uid="{00000000-0005-0000-0000-0000453F0000}"/>
    <cellStyle name="20% - Accent6 2 3 3 3 2 3 2" xfId="23739" xr:uid="{00000000-0005-0000-0000-0000463F0000}"/>
    <cellStyle name="20% - Accent6 2 3 3 3 2 3 2 2" xfId="49613" xr:uid="{00000000-0005-0000-0000-0000473F0000}"/>
    <cellStyle name="20% - Accent6 2 3 3 3 2 3 3" xfId="36697" xr:uid="{00000000-0005-0000-0000-0000483F0000}"/>
    <cellStyle name="20% - Accent6 2 3 3 3 2 4" xfId="17281" xr:uid="{00000000-0005-0000-0000-0000493F0000}"/>
    <cellStyle name="20% - Accent6 2 3 3 3 2 4 2" xfId="43155" xr:uid="{00000000-0005-0000-0000-00004A3F0000}"/>
    <cellStyle name="20% - Accent6 2 3 3 3 2 5" xfId="30207" xr:uid="{00000000-0005-0000-0000-00004B3F0000}"/>
    <cellStyle name="20% - Accent6 2 3 3 3 3" xfId="5977" xr:uid="{00000000-0005-0000-0000-00004C3F0000}"/>
    <cellStyle name="20% - Accent6 2 3 3 3 3 2" xfId="12436" xr:uid="{00000000-0005-0000-0000-00004D3F0000}"/>
    <cellStyle name="20% - Accent6 2 3 3 3 3 2 2" xfId="25353" xr:uid="{00000000-0005-0000-0000-00004E3F0000}"/>
    <cellStyle name="20% - Accent6 2 3 3 3 3 2 2 2" xfId="51227" xr:uid="{00000000-0005-0000-0000-00004F3F0000}"/>
    <cellStyle name="20% - Accent6 2 3 3 3 3 2 3" xfId="38311" xr:uid="{00000000-0005-0000-0000-0000503F0000}"/>
    <cellStyle name="20% - Accent6 2 3 3 3 3 3" xfId="18895" xr:uid="{00000000-0005-0000-0000-0000513F0000}"/>
    <cellStyle name="20% - Accent6 2 3 3 3 3 3 2" xfId="44769" xr:uid="{00000000-0005-0000-0000-0000523F0000}"/>
    <cellStyle name="20% - Accent6 2 3 3 3 3 4" xfId="31853" xr:uid="{00000000-0005-0000-0000-0000533F0000}"/>
    <cellStyle name="20% - Accent6 2 3 3 3 4" xfId="9208" xr:uid="{00000000-0005-0000-0000-0000543F0000}"/>
    <cellStyle name="20% - Accent6 2 3 3 3 4 2" xfId="22125" xr:uid="{00000000-0005-0000-0000-0000553F0000}"/>
    <cellStyle name="20% - Accent6 2 3 3 3 4 2 2" xfId="47999" xr:uid="{00000000-0005-0000-0000-0000563F0000}"/>
    <cellStyle name="20% - Accent6 2 3 3 3 4 3" xfId="35083" xr:uid="{00000000-0005-0000-0000-0000573F0000}"/>
    <cellStyle name="20% - Accent6 2 3 3 3 5" xfId="15667" xr:uid="{00000000-0005-0000-0000-0000583F0000}"/>
    <cellStyle name="20% - Accent6 2 3 3 3 5 2" xfId="41541" xr:uid="{00000000-0005-0000-0000-0000593F0000}"/>
    <cellStyle name="20% - Accent6 2 3 3 3 6" xfId="28593" xr:uid="{00000000-0005-0000-0000-00005A3F0000}"/>
    <cellStyle name="20% - Accent6 2 3 3 4" xfId="3530" xr:uid="{00000000-0005-0000-0000-00005B3F0000}"/>
    <cellStyle name="20% - Accent6 2 3 3 4 2" xfId="6784" xr:uid="{00000000-0005-0000-0000-00005C3F0000}"/>
    <cellStyle name="20% - Accent6 2 3 3 4 2 2" xfId="13243" xr:uid="{00000000-0005-0000-0000-00005D3F0000}"/>
    <cellStyle name="20% - Accent6 2 3 3 4 2 2 2" xfId="26160" xr:uid="{00000000-0005-0000-0000-00005E3F0000}"/>
    <cellStyle name="20% - Accent6 2 3 3 4 2 2 2 2" xfId="52034" xr:uid="{00000000-0005-0000-0000-00005F3F0000}"/>
    <cellStyle name="20% - Accent6 2 3 3 4 2 2 3" xfId="39118" xr:uid="{00000000-0005-0000-0000-0000603F0000}"/>
    <cellStyle name="20% - Accent6 2 3 3 4 2 3" xfId="19702" xr:uid="{00000000-0005-0000-0000-0000613F0000}"/>
    <cellStyle name="20% - Accent6 2 3 3 4 2 3 2" xfId="45576" xr:uid="{00000000-0005-0000-0000-0000623F0000}"/>
    <cellStyle name="20% - Accent6 2 3 3 4 2 4" xfId="32660" xr:uid="{00000000-0005-0000-0000-0000633F0000}"/>
    <cellStyle name="20% - Accent6 2 3 3 4 3" xfId="10015" xr:uid="{00000000-0005-0000-0000-0000643F0000}"/>
    <cellStyle name="20% - Accent6 2 3 3 4 3 2" xfId="22932" xr:uid="{00000000-0005-0000-0000-0000653F0000}"/>
    <cellStyle name="20% - Accent6 2 3 3 4 3 2 2" xfId="48806" xr:uid="{00000000-0005-0000-0000-0000663F0000}"/>
    <cellStyle name="20% - Accent6 2 3 3 4 3 3" xfId="35890" xr:uid="{00000000-0005-0000-0000-0000673F0000}"/>
    <cellStyle name="20% - Accent6 2 3 3 4 4" xfId="16474" xr:uid="{00000000-0005-0000-0000-0000683F0000}"/>
    <cellStyle name="20% - Accent6 2 3 3 4 4 2" xfId="42348" xr:uid="{00000000-0005-0000-0000-0000693F0000}"/>
    <cellStyle name="20% - Accent6 2 3 3 4 5" xfId="29400" xr:uid="{00000000-0005-0000-0000-00006A3F0000}"/>
    <cellStyle name="20% - Accent6 2 3 3 5" xfId="5170" xr:uid="{00000000-0005-0000-0000-00006B3F0000}"/>
    <cellStyle name="20% - Accent6 2 3 3 5 2" xfId="11629" xr:uid="{00000000-0005-0000-0000-00006C3F0000}"/>
    <cellStyle name="20% - Accent6 2 3 3 5 2 2" xfId="24546" xr:uid="{00000000-0005-0000-0000-00006D3F0000}"/>
    <cellStyle name="20% - Accent6 2 3 3 5 2 2 2" xfId="50420" xr:uid="{00000000-0005-0000-0000-00006E3F0000}"/>
    <cellStyle name="20% - Accent6 2 3 3 5 2 3" xfId="37504" xr:uid="{00000000-0005-0000-0000-00006F3F0000}"/>
    <cellStyle name="20% - Accent6 2 3 3 5 3" xfId="18088" xr:uid="{00000000-0005-0000-0000-0000703F0000}"/>
    <cellStyle name="20% - Accent6 2 3 3 5 3 2" xfId="43962" xr:uid="{00000000-0005-0000-0000-0000713F0000}"/>
    <cellStyle name="20% - Accent6 2 3 3 5 4" xfId="31046" xr:uid="{00000000-0005-0000-0000-0000723F0000}"/>
    <cellStyle name="20% - Accent6 2 3 3 6" xfId="8400" xr:uid="{00000000-0005-0000-0000-0000733F0000}"/>
    <cellStyle name="20% - Accent6 2 3 3 6 2" xfId="21317" xr:uid="{00000000-0005-0000-0000-0000743F0000}"/>
    <cellStyle name="20% - Accent6 2 3 3 6 2 2" xfId="47191" xr:uid="{00000000-0005-0000-0000-0000753F0000}"/>
    <cellStyle name="20% - Accent6 2 3 3 6 3" xfId="34275" xr:uid="{00000000-0005-0000-0000-0000763F0000}"/>
    <cellStyle name="20% - Accent6 2 3 3 7" xfId="14859" xr:uid="{00000000-0005-0000-0000-0000773F0000}"/>
    <cellStyle name="20% - Accent6 2 3 3 7 2" xfId="40733" xr:uid="{00000000-0005-0000-0000-0000783F0000}"/>
    <cellStyle name="20% - Accent6 2 3 3 8" xfId="27785" xr:uid="{00000000-0005-0000-0000-0000793F0000}"/>
    <cellStyle name="20% - Accent6 2 3 3 9" xfId="53648" xr:uid="{00000000-0005-0000-0000-00007A3F0000}"/>
    <cellStyle name="20% - Accent6 2 3 4" xfId="2094" xr:uid="{00000000-0005-0000-0000-00007B3F0000}"/>
    <cellStyle name="20% - Accent6 2 3 4 2" xfId="2910" xr:uid="{00000000-0005-0000-0000-00007C3F0000}"/>
    <cellStyle name="20% - Accent6 2 3 4 2 2" xfId="4567" xr:uid="{00000000-0005-0000-0000-00007D3F0000}"/>
    <cellStyle name="20% - Accent6 2 3 4 2 2 2" xfId="7798" xr:uid="{00000000-0005-0000-0000-00007E3F0000}"/>
    <cellStyle name="20% - Accent6 2 3 4 2 2 2 2" xfId="14257" xr:uid="{00000000-0005-0000-0000-00007F3F0000}"/>
    <cellStyle name="20% - Accent6 2 3 4 2 2 2 2 2" xfId="27174" xr:uid="{00000000-0005-0000-0000-0000803F0000}"/>
    <cellStyle name="20% - Accent6 2 3 4 2 2 2 2 2 2" xfId="53048" xr:uid="{00000000-0005-0000-0000-0000813F0000}"/>
    <cellStyle name="20% - Accent6 2 3 4 2 2 2 2 3" xfId="40132" xr:uid="{00000000-0005-0000-0000-0000823F0000}"/>
    <cellStyle name="20% - Accent6 2 3 4 2 2 2 3" xfId="20716" xr:uid="{00000000-0005-0000-0000-0000833F0000}"/>
    <cellStyle name="20% - Accent6 2 3 4 2 2 2 3 2" xfId="46590" xr:uid="{00000000-0005-0000-0000-0000843F0000}"/>
    <cellStyle name="20% - Accent6 2 3 4 2 2 2 4" xfId="33674" xr:uid="{00000000-0005-0000-0000-0000853F0000}"/>
    <cellStyle name="20% - Accent6 2 3 4 2 2 3" xfId="11029" xr:uid="{00000000-0005-0000-0000-0000863F0000}"/>
    <cellStyle name="20% - Accent6 2 3 4 2 2 3 2" xfId="23946" xr:uid="{00000000-0005-0000-0000-0000873F0000}"/>
    <cellStyle name="20% - Accent6 2 3 4 2 2 3 2 2" xfId="49820" xr:uid="{00000000-0005-0000-0000-0000883F0000}"/>
    <cellStyle name="20% - Accent6 2 3 4 2 2 3 3" xfId="36904" xr:uid="{00000000-0005-0000-0000-0000893F0000}"/>
    <cellStyle name="20% - Accent6 2 3 4 2 2 4" xfId="17488" xr:uid="{00000000-0005-0000-0000-00008A3F0000}"/>
    <cellStyle name="20% - Accent6 2 3 4 2 2 4 2" xfId="43362" xr:uid="{00000000-0005-0000-0000-00008B3F0000}"/>
    <cellStyle name="20% - Accent6 2 3 4 2 2 5" xfId="30414" xr:uid="{00000000-0005-0000-0000-00008C3F0000}"/>
    <cellStyle name="20% - Accent6 2 3 4 2 3" xfId="6184" xr:uid="{00000000-0005-0000-0000-00008D3F0000}"/>
    <cellStyle name="20% - Accent6 2 3 4 2 3 2" xfId="12643" xr:uid="{00000000-0005-0000-0000-00008E3F0000}"/>
    <cellStyle name="20% - Accent6 2 3 4 2 3 2 2" xfId="25560" xr:uid="{00000000-0005-0000-0000-00008F3F0000}"/>
    <cellStyle name="20% - Accent6 2 3 4 2 3 2 2 2" xfId="51434" xr:uid="{00000000-0005-0000-0000-0000903F0000}"/>
    <cellStyle name="20% - Accent6 2 3 4 2 3 2 3" xfId="38518" xr:uid="{00000000-0005-0000-0000-0000913F0000}"/>
    <cellStyle name="20% - Accent6 2 3 4 2 3 3" xfId="19102" xr:uid="{00000000-0005-0000-0000-0000923F0000}"/>
    <cellStyle name="20% - Accent6 2 3 4 2 3 3 2" xfId="44976" xr:uid="{00000000-0005-0000-0000-0000933F0000}"/>
    <cellStyle name="20% - Accent6 2 3 4 2 3 4" xfId="32060" xr:uid="{00000000-0005-0000-0000-0000943F0000}"/>
    <cellStyle name="20% - Accent6 2 3 4 2 4" xfId="9415" xr:uid="{00000000-0005-0000-0000-0000953F0000}"/>
    <cellStyle name="20% - Accent6 2 3 4 2 4 2" xfId="22332" xr:uid="{00000000-0005-0000-0000-0000963F0000}"/>
    <cellStyle name="20% - Accent6 2 3 4 2 4 2 2" xfId="48206" xr:uid="{00000000-0005-0000-0000-0000973F0000}"/>
    <cellStyle name="20% - Accent6 2 3 4 2 4 3" xfId="35290" xr:uid="{00000000-0005-0000-0000-0000983F0000}"/>
    <cellStyle name="20% - Accent6 2 3 4 2 5" xfId="15874" xr:uid="{00000000-0005-0000-0000-0000993F0000}"/>
    <cellStyle name="20% - Accent6 2 3 4 2 5 2" xfId="41748" xr:uid="{00000000-0005-0000-0000-00009A3F0000}"/>
    <cellStyle name="20% - Accent6 2 3 4 2 6" xfId="28800" xr:uid="{00000000-0005-0000-0000-00009B3F0000}"/>
    <cellStyle name="20% - Accent6 2 3 4 3" xfId="3737" xr:uid="{00000000-0005-0000-0000-00009C3F0000}"/>
    <cellStyle name="20% - Accent6 2 3 4 3 2" xfId="6991" xr:uid="{00000000-0005-0000-0000-00009D3F0000}"/>
    <cellStyle name="20% - Accent6 2 3 4 3 2 2" xfId="13450" xr:uid="{00000000-0005-0000-0000-00009E3F0000}"/>
    <cellStyle name="20% - Accent6 2 3 4 3 2 2 2" xfId="26367" xr:uid="{00000000-0005-0000-0000-00009F3F0000}"/>
    <cellStyle name="20% - Accent6 2 3 4 3 2 2 2 2" xfId="52241" xr:uid="{00000000-0005-0000-0000-0000A03F0000}"/>
    <cellStyle name="20% - Accent6 2 3 4 3 2 2 3" xfId="39325" xr:uid="{00000000-0005-0000-0000-0000A13F0000}"/>
    <cellStyle name="20% - Accent6 2 3 4 3 2 3" xfId="19909" xr:uid="{00000000-0005-0000-0000-0000A23F0000}"/>
    <cellStyle name="20% - Accent6 2 3 4 3 2 3 2" xfId="45783" xr:uid="{00000000-0005-0000-0000-0000A33F0000}"/>
    <cellStyle name="20% - Accent6 2 3 4 3 2 4" xfId="32867" xr:uid="{00000000-0005-0000-0000-0000A43F0000}"/>
    <cellStyle name="20% - Accent6 2 3 4 3 3" xfId="10222" xr:uid="{00000000-0005-0000-0000-0000A53F0000}"/>
    <cellStyle name="20% - Accent6 2 3 4 3 3 2" xfId="23139" xr:uid="{00000000-0005-0000-0000-0000A63F0000}"/>
    <cellStyle name="20% - Accent6 2 3 4 3 3 2 2" xfId="49013" xr:uid="{00000000-0005-0000-0000-0000A73F0000}"/>
    <cellStyle name="20% - Accent6 2 3 4 3 3 3" xfId="36097" xr:uid="{00000000-0005-0000-0000-0000A83F0000}"/>
    <cellStyle name="20% - Accent6 2 3 4 3 4" xfId="16681" xr:uid="{00000000-0005-0000-0000-0000A93F0000}"/>
    <cellStyle name="20% - Accent6 2 3 4 3 4 2" xfId="42555" xr:uid="{00000000-0005-0000-0000-0000AA3F0000}"/>
    <cellStyle name="20% - Accent6 2 3 4 3 5" xfId="29607" xr:uid="{00000000-0005-0000-0000-0000AB3F0000}"/>
    <cellStyle name="20% - Accent6 2 3 4 4" xfId="5377" xr:uid="{00000000-0005-0000-0000-0000AC3F0000}"/>
    <cellStyle name="20% - Accent6 2 3 4 4 2" xfId="11836" xr:uid="{00000000-0005-0000-0000-0000AD3F0000}"/>
    <cellStyle name="20% - Accent6 2 3 4 4 2 2" xfId="24753" xr:uid="{00000000-0005-0000-0000-0000AE3F0000}"/>
    <cellStyle name="20% - Accent6 2 3 4 4 2 2 2" xfId="50627" xr:uid="{00000000-0005-0000-0000-0000AF3F0000}"/>
    <cellStyle name="20% - Accent6 2 3 4 4 2 3" xfId="37711" xr:uid="{00000000-0005-0000-0000-0000B03F0000}"/>
    <cellStyle name="20% - Accent6 2 3 4 4 3" xfId="18295" xr:uid="{00000000-0005-0000-0000-0000B13F0000}"/>
    <cellStyle name="20% - Accent6 2 3 4 4 3 2" xfId="44169" xr:uid="{00000000-0005-0000-0000-0000B23F0000}"/>
    <cellStyle name="20% - Accent6 2 3 4 4 4" xfId="31253" xr:uid="{00000000-0005-0000-0000-0000B33F0000}"/>
    <cellStyle name="20% - Accent6 2 3 4 5" xfId="8608" xr:uid="{00000000-0005-0000-0000-0000B43F0000}"/>
    <cellStyle name="20% - Accent6 2 3 4 5 2" xfId="21525" xr:uid="{00000000-0005-0000-0000-0000B53F0000}"/>
    <cellStyle name="20% - Accent6 2 3 4 5 2 2" xfId="47399" xr:uid="{00000000-0005-0000-0000-0000B63F0000}"/>
    <cellStyle name="20% - Accent6 2 3 4 5 3" xfId="34483" xr:uid="{00000000-0005-0000-0000-0000B73F0000}"/>
    <cellStyle name="20% - Accent6 2 3 4 6" xfId="15067" xr:uid="{00000000-0005-0000-0000-0000B83F0000}"/>
    <cellStyle name="20% - Accent6 2 3 4 6 2" xfId="40941" xr:uid="{00000000-0005-0000-0000-0000B93F0000}"/>
    <cellStyle name="20% - Accent6 2 3 4 7" xfId="27993" xr:uid="{00000000-0005-0000-0000-0000BA3F0000}"/>
    <cellStyle name="20% - Accent6 2 3 4 8" xfId="53855" xr:uid="{00000000-0005-0000-0000-0000BB3F0000}"/>
    <cellStyle name="20% - Accent6 2 3 5" xfId="2508" xr:uid="{00000000-0005-0000-0000-0000BC3F0000}"/>
    <cellStyle name="20% - Accent6 2 3 5 2" xfId="4165" xr:uid="{00000000-0005-0000-0000-0000BD3F0000}"/>
    <cellStyle name="20% - Accent6 2 3 5 2 2" xfId="7396" xr:uid="{00000000-0005-0000-0000-0000BE3F0000}"/>
    <cellStyle name="20% - Accent6 2 3 5 2 2 2" xfId="13855" xr:uid="{00000000-0005-0000-0000-0000BF3F0000}"/>
    <cellStyle name="20% - Accent6 2 3 5 2 2 2 2" xfId="26772" xr:uid="{00000000-0005-0000-0000-0000C03F0000}"/>
    <cellStyle name="20% - Accent6 2 3 5 2 2 2 2 2" xfId="52646" xr:uid="{00000000-0005-0000-0000-0000C13F0000}"/>
    <cellStyle name="20% - Accent6 2 3 5 2 2 2 3" xfId="39730" xr:uid="{00000000-0005-0000-0000-0000C23F0000}"/>
    <cellStyle name="20% - Accent6 2 3 5 2 2 3" xfId="20314" xr:uid="{00000000-0005-0000-0000-0000C33F0000}"/>
    <cellStyle name="20% - Accent6 2 3 5 2 2 3 2" xfId="46188" xr:uid="{00000000-0005-0000-0000-0000C43F0000}"/>
    <cellStyle name="20% - Accent6 2 3 5 2 2 4" xfId="33272" xr:uid="{00000000-0005-0000-0000-0000C53F0000}"/>
    <cellStyle name="20% - Accent6 2 3 5 2 3" xfId="10627" xr:uid="{00000000-0005-0000-0000-0000C63F0000}"/>
    <cellStyle name="20% - Accent6 2 3 5 2 3 2" xfId="23544" xr:uid="{00000000-0005-0000-0000-0000C73F0000}"/>
    <cellStyle name="20% - Accent6 2 3 5 2 3 2 2" xfId="49418" xr:uid="{00000000-0005-0000-0000-0000C83F0000}"/>
    <cellStyle name="20% - Accent6 2 3 5 2 3 3" xfId="36502" xr:uid="{00000000-0005-0000-0000-0000C93F0000}"/>
    <cellStyle name="20% - Accent6 2 3 5 2 4" xfId="17086" xr:uid="{00000000-0005-0000-0000-0000CA3F0000}"/>
    <cellStyle name="20% - Accent6 2 3 5 2 4 2" xfId="42960" xr:uid="{00000000-0005-0000-0000-0000CB3F0000}"/>
    <cellStyle name="20% - Accent6 2 3 5 2 5" xfId="30012" xr:uid="{00000000-0005-0000-0000-0000CC3F0000}"/>
    <cellStyle name="20% - Accent6 2 3 5 3" xfId="5782" xr:uid="{00000000-0005-0000-0000-0000CD3F0000}"/>
    <cellStyle name="20% - Accent6 2 3 5 3 2" xfId="12241" xr:uid="{00000000-0005-0000-0000-0000CE3F0000}"/>
    <cellStyle name="20% - Accent6 2 3 5 3 2 2" xfId="25158" xr:uid="{00000000-0005-0000-0000-0000CF3F0000}"/>
    <cellStyle name="20% - Accent6 2 3 5 3 2 2 2" xfId="51032" xr:uid="{00000000-0005-0000-0000-0000D03F0000}"/>
    <cellStyle name="20% - Accent6 2 3 5 3 2 3" xfId="38116" xr:uid="{00000000-0005-0000-0000-0000D13F0000}"/>
    <cellStyle name="20% - Accent6 2 3 5 3 3" xfId="18700" xr:uid="{00000000-0005-0000-0000-0000D23F0000}"/>
    <cellStyle name="20% - Accent6 2 3 5 3 3 2" xfId="44574" xr:uid="{00000000-0005-0000-0000-0000D33F0000}"/>
    <cellStyle name="20% - Accent6 2 3 5 3 4" xfId="31658" xr:uid="{00000000-0005-0000-0000-0000D43F0000}"/>
    <cellStyle name="20% - Accent6 2 3 5 4" xfId="9013" xr:uid="{00000000-0005-0000-0000-0000D53F0000}"/>
    <cellStyle name="20% - Accent6 2 3 5 4 2" xfId="21930" xr:uid="{00000000-0005-0000-0000-0000D63F0000}"/>
    <cellStyle name="20% - Accent6 2 3 5 4 2 2" xfId="47804" xr:uid="{00000000-0005-0000-0000-0000D73F0000}"/>
    <cellStyle name="20% - Accent6 2 3 5 4 3" xfId="34888" xr:uid="{00000000-0005-0000-0000-0000D83F0000}"/>
    <cellStyle name="20% - Accent6 2 3 5 5" xfId="15472" xr:uid="{00000000-0005-0000-0000-0000D93F0000}"/>
    <cellStyle name="20% - Accent6 2 3 5 5 2" xfId="41346" xr:uid="{00000000-0005-0000-0000-0000DA3F0000}"/>
    <cellStyle name="20% - Accent6 2 3 5 6" xfId="28398" xr:uid="{00000000-0005-0000-0000-0000DB3F0000}"/>
    <cellStyle name="20% - Accent6 2 3 6" xfId="3328" xr:uid="{00000000-0005-0000-0000-0000DC3F0000}"/>
    <cellStyle name="20% - Accent6 2 3 6 2" xfId="6589" xr:uid="{00000000-0005-0000-0000-0000DD3F0000}"/>
    <cellStyle name="20% - Accent6 2 3 6 2 2" xfId="13048" xr:uid="{00000000-0005-0000-0000-0000DE3F0000}"/>
    <cellStyle name="20% - Accent6 2 3 6 2 2 2" xfId="25965" xr:uid="{00000000-0005-0000-0000-0000DF3F0000}"/>
    <cellStyle name="20% - Accent6 2 3 6 2 2 2 2" xfId="51839" xr:uid="{00000000-0005-0000-0000-0000E03F0000}"/>
    <cellStyle name="20% - Accent6 2 3 6 2 2 3" xfId="38923" xr:uid="{00000000-0005-0000-0000-0000E13F0000}"/>
    <cellStyle name="20% - Accent6 2 3 6 2 3" xfId="19507" xr:uid="{00000000-0005-0000-0000-0000E23F0000}"/>
    <cellStyle name="20% - Accent6 2 3 6 2 3 2" xfId="45381" xr:uid="{00000000-0005-0000-0000-0000E33F0000}"/>
    <cellStyle name="20% - Accent6 2 3 6 2 4" xfId="32465" xr:uid="{00000000-0005-0000-0000-0000E43F0000}"/>
    <cellStyle name="20% - Accent6 2 3 6 3" xfId="9820" xr:uid="{00000000-0005-0000-0000-0000E53F0000}"/>
    <cellStyle name="20% - Accent6 2 3 6 3 2" xfId="22737" xr:uid="{00000000-0005-0000-0000-0000E63F0000}"/>
    <cellStyle name="20% - Accent6 2 3 6 3 2 2" xfId="48611" xr:uid="{00000000-0005-0000-0000-0000E73F0000}"/>
    <cellStyle name="20% - Accent6 2 3 6 3 3" xfId="35695" xr:uid="{00000000-0005-0000-0000-0000E83F0000}"/>
    <cellStyle name="20% - Accent6 2 3 6 4" xfId="16279" xr:uid="{00000000-0005-0000-0000-0000E93F0000}"/>
    <cellStyle name="20% - Accent6 2 3 6 4 2" xfId="42153" xr:uid="{00000000-0005-0000-0000-0000EA3F0000}"/>
    <cellStyle name="20% - Accent6 2 3 6 5" xfId="29205" xr:uid="{00000000-0005-0000-0000-0000EB3F0000}"/>
    <cellStyle name="20% - Accent6 2 3 7" xfId="4975" xr:uid="{00000000-0005-0000-0000-0000EC3F0000}"/>
    <cellStyle name="20% - Accent6 2 3 7 2" xfId="11434" xr:uid="{00000000-0005-0000-0000-0000ED3F0000}"/>
    <cellStyle name="20% - Accent6 2 3 7 2 2" xfId="24351" xr:uid="{00000000-0005-0000-0000-0000EE3F0000}"/>
    <cellStyle name="20% - Accent6 2 3 7 2 2 2" xfId="50225" xr:uid="{00000000-0005-0000-0000-0000EF3F0000}"/>
    <cellStyle name="20% - Accent6 2 3 7 2 3" xfId="37309" xr:uid="{00000000-0005-0000-0000-0000F03F0000}"/>
    <cellStyle name="20% - Accent6 2 3 7 3" xfId="17893" xr:uid="{00000000-0005-0000-0000-0000F13F0000}"/>
    <cellStyle name="20% - Accent6 2 3 7 3 2" xfId="43767" xr:uid="{00000000-0005-0000-0000-0000F23F0000}"/>
    <cellStyle name="20% - Accent6 2 3 7 4" xfId="30851" xr:uid="{00000000-0005-0000-0000-0000F33F0000}"/>
    <cellStyle name="20% - Accent6 2 3 8" xfId="8206" xr:uid="{00000000-0005-0000-0000-0000F43F0000}"/>
    <cellStyle name="20% - Accent6 2 3 8 2" xfId="21123" xr:uid="{00000000-0005-0000-0000-0000F53F0000}"/>
    <cellStyle name="20% - Accent6 2 3 8 2 2" xfId="46997" xr:uid="{00000000-0005-0000-0000-0000F63F0000}"/>
    <cellStyle name="20% - Accent6 2 3 8 3" xfId="34081" xr:uid="{00000000-0005-0000-0000-0000F73F0000}"/>
    <cellStyle name="20% - Accent6 2 3 9" xfId="14665" xr:uid="{00000000-0005-0000-0000-0000F83F0000}"/>
    <cellStyle name="20% - Accent6 2 3 9 2" xfId="40539" xr:uid="{00000000-0005-0000-0000-0000F93F0000}"/>
    <cellStyle name="20% - Accent6 2 4" xfId="1775" xr:uid="{00000000-0005-0000-0000-0000FA3F0000}"/>
    <cellStyle name="20% - Accent6 2 4 2" xfId="2268" xr:uid="{00000000-0005-0000-0000-0000FB3F0000}"/>
    <cellStyle name="20% - Accent6 2 4 2 2" xfId="3082" xr:uid="{00000000-0005-0000-0000-0000FC3F0000}"/>
    <cellStyle name="20% - Accent6 2 4 2 2 2" xfId="4739" xr:uid="{00000000-0005-0000-0000-0000FD3F0000}"/>
    <cellStyle name="20% - Accent6 2 4 2 2 2 2" xfId="7970" xr:uid="{00000000-0005-0000-0000-0000FE3F0000}"/>
    <cellStyle name="20% - Accent6 2 4 2 2 2 2 2" xfId="14429" xr:uid="{00000000-0005-0000-0000-0000FF3F0000}"/>
    <cellStyle name="20% - Accent6 2 4 2 2 2 2 2 2" xfId="27346" xr:uid="{00000000-0005-0000-0000-000000400000}"/>
    <cellStyle name="20% - Accent6 2 4 2 2 2 2 2 2 2" xfId="53220" xr:uid="{00000000-0005-0000-0000-000001400000}"/>
    <cellStyle name="20% - Accent6 2 4 2 2 2 2 2 3" xfId="40304" xr:uid="{00000000-0005-0000-0000-000002400000}"/>
    <cellStyle name="20% - Accent6 2 4 2 2 2 2 3" xfId="20888" xr:uid="{00000000-0005-0000-0000-000003400000}"/>
    <cellStyle name="20% - Accent6 2 4 2 2 2 2 3 2" xfId="46762" xr:uid="{00000000-0005-0000-0000-000004400000}"/>
    <cellStyle name="20% - Accent6 2 4 2 2 2 2 4" xfId="33846" xr:uid="{00000000-0005-0000-0000-000005400000}"/>
    <cellStyle name="20% - Accent6 2 4 2 2 2 3" xfId="11201" xr:uid="{00000000-0005-0000-0000-000006400000}"/>
    <cellStyle name="20% - Accent6 2 4 2 2 2 3 2" xfId="24118" xr:uid="{00000000-0005-0000-0000-000007400000}"/>
    <cellStyle name="20% - Accent6 2 4 2 2 2 3 2 2" xfId="49992" xr:uid="{00000000-0005-0000-0000-000008400000}"/>
    <cellStyle name="20% - Accent6 2 4 2 2 2 3 3" xfId="37076" xr:uid="{00000000-0005-0000-0000-000009400000}"/>
    <cellStyle name="20% - Accent6 2 4 2 2 2 4" xfId="17660" xr:uid="{00000000-0005-0000-0000-00000A400000}"/>
    <cellStyle name="20% - Accent6 2 4 2 2 2 4 2" xfId="43534" xr:uid="{00000000-0005-0000-0000-00000B400000}"/>
    <cellStyle name="20% - Accent6 2 4 2 2 2 5" xfId="30586" xr:uid="{00000000-0005-0000-0000-00000C400000}"/>
    <cellStyle name="20% - Accent6 2 4 2 2 3" xfId="6356" xr:uid="{00000000-0005-0000-0000-00000D400000}"/>
    <cellStyle name="20% - Accent6 2 4 2 2 3 2" xfId="12815" xr:uid="{00000000-0005-0000-0000-00000E400000}"/>
    <cellStyle name="20% - Accent6 2 4 2 2 3 2 2" xfId="25732" xr:uid="{00000000-0005-0000-0000-00000F400000}"/>
    <cellStyle name="20% - Accent6 2 4 2 2 3 2 2 2" xfId="51606" xr:uid="{00000000-0005-0000-0000-000010400000}"/>
    <cellStyle name="20% - Accent6 2 4 2 2 3 2 3" xfId="38690" xr:uid="{00000000-0005-0000-0000-000011400000}"/>
    <cellStyle name="20% - Accent6 2 4 2 2 3 3" xfId="19274" xr:uid="{00000000-0005-0000-0000-000012400000}"/>
    <cellStyle name="20% - Accent6 2 4 2 2 3 3 2" xfId="45148" xr:uid="{00000000-0005-0000-0000-000013400000}"/>
    <cellStyle name="20% - Accent6 2 4 2 2 3 4" xfId="32232" xr:uid="{00000000-0005-0000-0000-000014400000}"/>
    <cellStyle name="20% - Accent6 2 4 2 2 4" xfId="9587" xr:uid="{00000000-0005-0000-0000-000015400000}"/>
    <cellStyle name="20% - Accent6 2 4 2 2 4 2" xfId="22504" xr:uid="{00000000-0005-0000-0000-000016400000}"/>
    <cellStyle name="20% - Accent6 2 4 2 2 4 2 2" xfId="48378" xr:uid="{00000000-0005-0000-0000-000017400000}"/>
    <cellStyle name="20% - Accent6 2 4 2 2 4 3" xfId="35462" xr:uid="{00000000-0005-0000-0000-000018400000}"/>
    <cellStyle name="20% - Accent6 2 4 2 2 5" xfId="16046" xr:uid="{00000000-0005-0000-0000-000019400000}"/>
    <cellStyle name="20% - Accent6 2 4 2 2 5 2" xfId="41920" xr:uid="{00000000-0005-0000-0000-00001A400000}"/>
    <cellStyle name="20% - Accent6 2 4 2 2 6" xfId="28972" xr:uid="{00000000-0005-0000-0000-00001B400000}"/>
    <cellStyle name="20% - Accent6 2 4 2 3" xfId="3909" xr:uid="{00000000-0005-0000-0000-00001C400000}"/>
    <cellStyle name="20% - Accent6 2 4 2 3 2" xfId="7163" xr:uid="{00000000-0005-0000-0000-00001D400000}"/>
    <cellStyle name="20% - Accent6 2 4 2 3 2 2" xfId="13622" xr:uid="{00000000-0005-0000-0000-00001E400000}"/>
    <cellStyle name="20% - Accent6 2 4 2 3 2 2 2" xfId="26539" xr:uid="{00000000-0005-0000-0000-00001F400000}"/>
    <cellStyle name="20% - Accent6 2 4 2 3 2 2 2 2" xfId="52413" xr:uid="{00000000-0005-0000-0000-000020400000}"/>
    <cellStyle name="20% - Accent6 2 4 2 3 2 2 3" xfId="39497" xr:uid="{00000000-0005-0000-0000-000021400000}"/>
    <cellStyle name="20% - Accent6 2 4 2 3 2 3" xfId="20081" xr:uid="{00000000-0005-0000-0000-000022400000}"/>
    <cellStyle name="20% - Accent6 2 4 2 3 2 3 2" xfId="45955" xr:uid="{00000000-0005-0000-0000-000023400000}"/>
    <cellStyle name="20% - Accent6 2 4 2 3 2 4" xfId="33039" xr:uid="{00000000-0005-0000-0000-000024400000}"/>
    <cellStyle name="20% - Accent6 2 4 2 3 3" xfId="10394" xr:uid="{00000000-0005-0000-0000-000025400000}"/>
    <cellStyle name="20% - Accent6 2 4 2 3 3 2" xfId="23311" xr:uid="{00000000-0005-0000-0000-000026400000}"/>
    <cellStyle name="20% - Accent6 2 4 2 3 3 2 2" xfId="49185" xr:uid="{00000000-0005-0000-0000-000027400000}"/>
    <cellStyle name="20% - Accent6 2 4 2 3 3 3" xfId="36269" xr:uid="{00000000-0005-0000-0000-000028400000}"/>
    <cellStyle name="20% - Accent6 2 4 2 3 4" xfId="16853" xr:uid="{00000000-0005-0000-0000-000029400000}"/>
    <cellStyle name="20% - Accent6 2 4 2 3 4 2" xfId="42727" xr:uid="{00000000-0005-0000-0000-00002A400000}"/>
    <cellStyle name="20% - Accent6 2 4 2 3 5" xfId="29779" xr:uid="{00000000-0005-0000-0000-00002B400000}"/>
    <cellStyle name="20% - Accent6 2 4 2 4" xfId="5549" xr:uid="{00000000-0005-0000-0000-00002C400000}"/>
    <cellStyle name="20% - Accent6 2 4 2 4 2" xfId="12008" xr:uid="{00000000-0005-0000-0000-00002D400000}"/>
    <cellStyle name="20% - Accent6 2 4 2 4 2 2" xfId="24925" xr:uid="{00000000-0005-0000-0000-00002E400000}"/>
    <cellStyle name="20% - Accent6 2 4 2 4 2 2 2" xfId="50799" xr:uid="{00000000-0005-0000-0000-00002F400000}"/>
    <cellStyle name="20% - Accent6 2 4 2 4 2 3" xfId="37883" xr:uid="{00000000-0005-0000-0000-000030400000}"/>
    <cellStyle name="20% - Accent6 2 4 2 4 3" xfId="18467" xr:uid="{00000000-0005-0000-0000-000031400000}"/>
    <cellStyle name="20% - Accent6 2 4 2 4 3 2" xfId="44341" xr:uid="{00000000-0005-0000-0000-000032400000}"/>
    <cellStyle name="20% - Accent6 2 4 2 4 4" xfId="31425" xr:uid="{00000000-0005-0000-0000-000033400000}"/>
    <cellStyle name="20% - Accent6 2 4 2 5" xfId="8780" xr:uid="{00000000-0005-0000-0000-000034400000}"/>
    <cellStyle name="20% - Accent6 2 4 2 5 2" xfId="21697" xr:uid="{00000000-0005-0000-0000-000035400000}"/>
    <cellStyle name="20% - Accent6 2 4 2 5 2 2" xfId="47571" xr:uid="{00000000-0005-0000-0000-000036400000}"/>
    <cellStyle name="20% - Accent6 2 4 2 5 3" xfId="34655" xr:uid="{00000000-0005-0000-0000-000037400000}"/>
    <cellStyle name="20% - Accent6 2 4 2 6" xfId="15239" xr:uid="{00000000-0005-0000-0000-000038400000}"/>
    <cellStyle name="20% - Accent6 2 4 2 6 2" xfId="41113" xr:uid="{00000000-0005-0000-0000-000039400000}"/>
    <cellStyle name="20% - Accent6 2 4 2 7" xfId="28165" xr:uid="{00000000-0005-0000-0000-00003A400000}"/>
    <cellStyle name="20% - Accent6 2 4 2 8" xfId="54027" xr:uid="{00000000-0005-0000-0000-00003B400000}"/>
    <cellStyle name="20% - Accent6 2 4 3" xfId="2679" xr:uid="{00000000-0005-0000-0000-00003C400000}"/>
    <cellStyle name="20% - Accent6 2 4 3 2" xfId="4336" xr:uid="{00000000-0005-0000-0000-00003D400000}"/>
    <cellStyle name="20% - Accent6 2 4 3 2 2" xfId="7567" xr:uid="{00000000-0005-0000-0000-00003E400000}"/>
    <cellStyle name="20% - Accent6 2 4 3 2 2 2" xfId="14026" xr:uid="{00000000-0005-0000-0000-00003F400000}"/>
    <cellStyle name="20% - Accent6 2 4 3 2 2 2 2" xfId="26943" xr:uid="{00000000-0005-0000-0000-000040400000}"/>
    <cellStyle name="20% - Accent6 2 4 3 2 2 2 2 2" xfId="52817" xr:uid="{00000000-0005-0000-0000-000041400000}"/>
    <cellStyle name="20% - Accent6 2 4 3 2 2 2 3" xfId="39901" xr:uid="{00000000-0005-0000-0000-000042400000}"/>
    <cellStyle name="20% - Accent6 2 4 3 2 2 3" xfId="20485" xr:uid="{00000000-0005-0000-0000-000043400000}"/>
    <cellStyle name="20% - Accent6 2 4 3 2 2 3 2" xfId="46359" xr:uid="{00000000-0005-0000-0000-000044400000}"/>
    <cellStyle name="20% - Accent6 2 4 3 2 2 4" xfId="33443" xr:uid="{00000000-0005-0000-0000-000045400000}"/>
    <cellStyle name="20% - Accent6 2 4 3 2 3" xfId="10798" xr:uid="{00000000-0005-0000-0000-000046400000}"/>
    <cellStyle name="20% - Accent6 2 4 3 2 3 2" xfId="23715" xr:uid="{00000000-0005-0000-0000-000047400000}"/>
    <cellStyle name="20% - Accent6 2 4 3 2 3 2 2" xfId="49589" xr:uid="{00000000-0005-0000-0000-000048400000}"/>
    <cellStyle name="20% - Accent6 2 4 3 2 3 3" xfId="36673" xr:uid="{00000000-0005-0000-0000-000049400000}"/>
    <cellStyle name="20% - Accent6 2 4 3 2 4" xfId="17257" xr:uid="{00000000-0005-0000-0000-00004A400000}"/>
    <cellStyle name="20% - Accent6 2 4 3 2 4 2" xfId="43131" xr:uid="{00000000-0005-0000-0000-00004B400000}"/>
    <cellStyle name="20% - Accent6 2 4 3 2 5" xfId="30183" xr:uid="{00000000-0005-0000-0000-00004C400000}"/>
    <cellStyle name="20% - Accent6 2 4 3 3" xfId="5953" xr:uid="{00000000-0005-0000-0000-00004D400000}"/>
    <cellStyle name="20% - Accent6 2 4 3 3 2" xfId="12412" xr:uid="{00000000-0005-0000-0000-00004E400000}"/>
    <cellStyle name="20% - Accent6 2 4 3 3 2 2" xfId="25329" xr:uid="{00000000-0005-0000-0000-00004F400000}"/>
    <cellStyle name="20% - Accent6 2 4 3 3 2 2 2" xfId="51203" xr:uid="{00000000-0005-0000-0000-000050400000}"/>
    <cellStyle name="20% - Accent6 2 4 3 3 2 3" xfId="38287" xr:uid="{00000000-0005-0000-0000-000051400000}"/>
    <cellStyle name="20% - Accent6 2 4 3 3 3" xfId="18871" xr:uid="{00000000-0005-0000-0000-000052400000}"/>
    <cellStyle name="20% - Accent6 2 4 3 3 3 2" xfId="44745" xr:uid="{00000000-0005-0000-0000-000053400000}"/>
    <cellStyle name="20% - Accent6 2 4 3 3 4" xfId="31829" xr:uid="{00000000-0005-0000-0000-000054400000}"/>
    <cellStyle name="20% - Accent6 2 4 3 4" xfId="9184" xr:uid="{00000000-0005-0000-0000-000055400000}"/>
    <cellStyle name="20% - Accent6 2 4 3 4 2" xfId="22101" xr:uid="{00000000-0005-0000-0000-000056400000}"/>
    <cellStyle name="20% - Accent6 2 4 3 4 2 2" xfId="47975" xr:uid="{00000000-0005-0000-0000-000057400000}"/>
    <cellStyle name="20% - Accent6 2 4 3 4 3" xfId="35059" xr:uid="{00000000-0005-0000-0000-000058400000}"/>
    <cellStyle name="20% - Accent6 2 4 3 5" xfId="15643" xr:uid="{00000000-0005-0000-0000-000059400000}"/>
    <cellStyle name="20% - Accent6 2 4 3 5 2" xfId="41517" xr:uid="{00000000-0005-0000-0000-00005A400000}"/>
    <cellStyle name="20% - Accent6 2 4 3 6" xfId="28569" xr:uid="{00000000-0005-0000-0000-00005B400000}"/>
    <cellStyle name="20% - Accent6 2 4 4" xfId="3506" xr:uid="{00000000-0005-0000-0000-00005C400000}"/>
    <cellStyle name="20% - Accent6 2 4 4 2" xfId="6760" xr:uid="{00000000-0005-0000-0000-00005D400000}"/>
    <cellStyle name="20% - Accent6 2 4 4 2 2" xfId="13219" xr:uid="{00000000-0005-0000-0000-00005E400000}"/>
    <cellStyle name="20% - Accent6 2 4 4 2 2 2" xfId="26136" xr:uid="{00000000-0005-0000-0000-00005F400000}"/>
    <cellStyle name="20% - Accent6 2 4 4 2 2 2 2" xfId="52010" xr:uid="{00000000-0005-0000-0000-000060400000}"/>
    <cellStyle name="20% - Accent6 2 4 4 2 2 3" xfId="39094" xr:uid="{00000000-0005-0000-0000-000061400000}"/>
    <cellStyle name="20% - Accent6 2 4 4 2 3" xfId="19678" xr:uid="{00000000-0005-0000-0000-000062400000}"/>
    <cellStyle name="20% - Accent6 2 4 4 2 3 2" xfId="45552" xr:uid="{00000000-0005-0000-0000-000063400000}"/>
    <cellStyle name="20% - Accent6 2 4 4 2 4" xfId="32636" xr:uid="{00000000-0005-0000-0000-000064400000}"/>
    <cellStyle name="20% - Accent6 2 4 4 3" xfId="9991" xr:uid="{00000000-0005-0000-0000-000065400000}"/>
    <cellStyle name="20% - Accent6 2 4 4 3 2" xfId="22908" xr:uid="{00000000-0005-0000-0000-000066400000}"/>
    <cellStyle name="20% - Accent6 2 4 4 3 2 2" xfId="48782" xr:uid="{00000000-0005-0000-0000-000067400000}"/>
    <cellStyle name="20% - Accent6 2 4 4 3 3" xfId="35866" xr:uid="{00000000-0005-0000-0000-000068400000}"/>
    <cellStyle name="20% - Accent6 2 4 4 4" xfId="16450" xr:uid="{00000000-0005-0000-0000-000069400000}"/>
    <cellStyle name="20% - Accent6 2 4 4 4 2" xfId="42324" xr:uid="{00000000-0005-0000-0000-00006A400000}"/>
    <cellStyle name="20% - Accent6 2 4 4 5" xfId="29376" xr:uid="{00000000-0005-0000-0000-00006B400000}"/>
    <cellStyle name="20% - Accent6 2 4 5" xfId="5146" xr:uid="{00000000-0005-0000-0000-00006C400000}"/>
    <cellStyle name="20% - Accent6 2 4 5 2" xfId="11605" xr:uid="{00000000-0005-0000-0000-00006D400000}"/>
    <cellStyle name="20% - Accent6 2 4 5 2 2" xfId="24522" xr:uid="{00000000-0005-0000-0000-00006E400000}"/>
    <cellStyle name="20% - Accent6 2 4 5 2 2 2" xfId="50396" xr:uid="{00000000-0005-0000-0000-00006F400000}"/>
    <cellStyle name="20% - Accent6 2 4 5 2 3" xfId="37480" xr:uid="{00000000-0005-0000-0000-000070400000}"/>
    <cellStyle name="20% - Accent6 2 4 5 3" xfId="18064" xr:uid="{00000000-0005-0000-0000-000071400000}"/>
    <cellStyle name="20% - Accent6 2 4 5 3 2" xfId="43938" xr:uid="{00000000-0005-0000-0000-000072400000}"/>
    <cellStyle name="20% - Accent6 2 4 5 4" xfId="31022" xr:uid="{00000000-0005-0000-0000-000073400000}"/>
    <cellStyle name="20% - Accent6 2 4 6" xfId="8376" xr:uid="{00000000-0005-0000-0000-000074400000}"/>
    <cellStyle name="20% - Accent6 2 4 6 2" xfId="21293" xr:uid="{00000000-0005-0000-0000-000075400000}"/>
    <cellStyle name="20% - Accent6 2 4 6 2 2" xfId="47167" xr:uid="{00000000-0005-0000-0000-000076400000}"/>
    <cellStyle name="20% - Accent6 2 4 6 3" xfId="34251" xr:uid="{00000000-0005-0000-0000-000077400000}"/>
    <cellStyle name="20% - Accent6 2 4 7" xfId="14835" xr:uid="{00000000-0005-0000-0000-000078400000}"/>
    <cellStyle name="20% - Accent6 2 4 7 2" xfId="40709" xr:uid="{00000000-0005-0000-0000-000079400000}"/>
    <cellStyle name="20% - Accent6 2 4 8" xfId="27761" xr:uid="{00000000-0005-0000-0000-00007A400000}"/>
    <cellStyle name="20% - Accent6 2 4 9" xfId="53624" xr:uid="{00000000-0005-0000-0000-00007B400000}"/>
    <cellStyle name="20% - Accent6 2 5" xfId="2073" xr:uid="{00000000-0005-0000-0000-00007C400000}"/>
    <cellStyle name="20% - Accent6 2 5 2" xfId="2891" xr:uid="{00000000-0005-0000-0000-00007D400000}"/>
    <cellStyle name="20% - Accent6 2 5 2 2" xfId="4548" xr:uid="{00000000-0005-0000-0000-00007E400000}"/>
    <cellStyle name="20% - Accent6 2 5 2 2 2" xfId="7779" xr:uid="{00000000-0005-0000-0000-00007F400000}"/>
    <cellStyle name="20% - Accent6 2 5 2 2 2 2" xfId="14238" xr:uid="{00000000-0005-0000-0000-000080400000}"/>
    <cellStyle name="20% - Accent6 2 5 2 2 2 2 2" xfId="27155" xr:uid="{00000000-0005-0000-0000-000081400000}"/>
    <cellStyle name="20% - Accent6 2 5 2 2 2 2 2 2" xfId="53029" xr:uid="{00000000-0005-0000-0000-000082400000}"/>
    <cellStyle name="20% - Accent6 2 5 2 2 2 2 3" xfId="40113" xr:uid="{00000000-0005-0000-0000-000083400000}"/>
    <cellStyle name="20% - Accent6 2 5 2 2 2 3" xfId="20697" xr:uid="{00000000-0005-0000-0000-000084400000}"/>
    <cellStyle name="20% - Accent6 2 5 2 2 2 3 2" xfId="46571" xr:uid="{00000000-0005-0000-0000-000085400000}"/>
    <cellStyle name="20% - Accent6 2 5 2 2 2 4" xfId="33655" xr:uid="{00000000-0005-0000-0000-000086400000}"/>
    <cellStyle name="20% - Accent6 2 5 2 2 3" xfId="11010" xr:uid="{00000000-0005-0000-0000-000087400000}"/>
    <cellStyle name="20% - Accent6 2 5 2 2 3 2" xfId="23927" xr:uid="{00000000-0005-0000-0000-000088400000}"/>
    <cellStyle name="20% - Accent6 2 5 2 2 3 2 2" xfId="49801" xr:uid="{00000000-0005-0000-0000-000089400000}"/>
    <cellStyle name="20% - Accent6 2 5 2 2 3 3" xfId="36885" xr:uid="{00000000-0005-0000-0000-00008A400000}"/>
    <cellStyle name="20% - Accent6 2 5 2 2 4" xfId="17469" xr:uid="{00000000-0005-0000-0000-00008B400000}"/>
    <cellStyle name="20% - Accent6 2 5 2 2 4 2" xfId="43343" xr:uid="{00000000-0005-0000-0000-00008C400000}"/>
    <cellStyle name="20% - Accent6 2 5 2 2 5" xfId="30395" xr:uid="{00000000-0005-0000-0000-00008D400000}"/>
    <cellStyle name="20% - Accent6 2 5 2 3" xfId="6165" xr:uid="{00000000-0005-0000-0000-00008E400000}"/>
    <cellStyle name="20% - Accent6 2 5 2 3 2" xfId="12624" xr:uid="{00000000-0005-0000-0000-00008F400000}"/>
    <cellStyle name="20% - Accent6 2 5 2 3 2 2" xfId="25541" xr:uid="{00000000-0005-0000-0000-000090400000}"/>
    <cellStyle name="20% - Accent6 2 5 2 3 2 2 2" xfId="51415" xr:uid="{00000000-0005-0000-0000-000091400000}"/>
    <cellStyle name="20% - Accent6 2 5 2 3 2 3" xfId="38499" xr:uid="{00000000-0005-0000-0000-000092400000}"/>
    <cellStyle name="20% - Accent6 2 5 2 3 3" xfId="19083" xr:uid="{00000000-0005-0000-0000-000093400000}"/>
    <cellStyle name="20% - Accent6 2 5 2 3 3 2" xfId="44957" xr:uid="{00000000-0005-0000-0000-000094400000}"/>
    <cellStyle name="20% - Accent6 2 5 2 3 4" xfId="32041" xr:uid="{00000000-0005-0000-0000-000095400000}"/>
    <cellStyle name="20% - Accent6 2 5 2 4" xfId="9396" xr:uid="{00000000-0005-0000-0000-000096400000}"/>
    <cellStyle name="20% - Accent6 2 5 2 4 2" xfId="22313" xr:uid="{00000000-0005-0000-0000-000097400000}"/>
    <cellStyle name="20% - Accent6 2 5 2 4 2 2" xfId="48187" xr:uid="{00000000-0005-0000-0000-000098400000}"/>
    <cellStyle name="20% - Accent6 2 5 2 4 3" xfId="35271" xr:uid="{00000000-0005-0000-0000-000099400000}"/>
    <cellStyle name="20% - Accent6 2 5 2 5" xfId="15855" xr:uid="{00000000-0005-0000-0000-00009A400000}"/>
    <cellStyle name="20% - Accent6 2 5 2 5 2" xfId="41729" xr:uid="{00000000-0005-0000-0000-00009B400000}"/>
    <cellStyle name="20% - Accent6 2 5 2 6" xfId="28781" xr:uid="{00000000-0005-0000-0000-00009C400000}"/>
    <cellStyle name="20% - Accent6 2 5 3" xfId="3718" xr:uid="{00000000-0005-0000-0000-00009D400000}"/>
    <cellStyle name="20% - Accent6 2 5 3 2" xfId="6972" xr:uid="{00000000-0005-0000-0000-00009E400000}"/>
    <cellStyle name="20% - Accent6 2 5 3 2 2" xfId="13431" xr:uid="{00000000-0005-0000-0000-00009F400000}"/>
    <cellStyle name="20% - Accent6 2 5 3 2 2 2" xfId="26348" xr:uid="{00000000-0005-0000-0000-0000A0400000}"/>
    <cellStyle name="20% - Accent6 2 5 3 2 2 2 2" xfId="52222" xr:uid="{00000000-0005-0000-0000-0000A1400000}"/>
    <cellStyle name="20% - Accent6 2 5 3 2 2 3" xfId="39306" xr:uid="{00000000-0005-0000-0000-0000A2400000}"/>
    <cellStyle name="20% - Accent6 2 5 3 2 3" xfId="19890" xr:uid="{00000000-0005-0000-0000-0000A3400000}"/>
    <cellStyle name="20% - Accent6 2 5 3 2 3 2" xfId="45764" xr:uid="{00000000-0005-0000-0000-0000A4400000}"/>
    <cellStyle name="20% - Accent6 2 5 3 2 4" xfId="32848" xr:uid="{00000000-0005-0000-0000-0000A5400000}"/>
    <cellStyle name="20% - Accent6 2 5 3 3" xfId="10203" xr:uid="{00000000-0005-0000-0000-0000A6400000}"/>
    <cellStyle name="20% - Accent6 2 5 3 3 2" xfId="23120" xr:uid="{00000000-0005-0000-0000-0000A7400000}"/>
    <cellStyle name="20% - Accent6 2 5 3 3 2 2" xfId="48994" xr:uid="{00000000-0005-0000-0000-0000A8400000}"/>
    <cellStyle name="20% - Accent6 2 5 3 3 3" xfId="36078" xr:uid="{00000000-0005-0000-0000-0000A9400000}"/>
    <cellStyle name="20% - Accent6 2 5 3 4" xfId="16662" xr:uid="{00000000-0005-0000-0000-0000AA400000}"/>
    <cellStyle name="20% - Accent6 2 5 3 4 2" xfId="42536" xr:uid="{00000000-0005-0000-0000-0000AB400000}"/>
    <cellStyle name="20% - Accent6 2 5 3 5" xfId="29588" xr:uid="{00000000-0005-0000-0000-0000AC400000}"/>
    <cellStyle name="20% - Accent6 2 5 4" xfId="5358" xr:uid="{00000000-0005-0000-0000-0000AD400000}"/>
    <cellStyle name="20% - Accent6 2 5 4 2" xfId="11817" xr:uid="{00000000-0005-0000-0000-0000AE400000}"/>
    <cellStyle name="20% - Accent6 2 5 4 2 2" xfId="24734" xr:uid="{00000000-0005-0000-0000-0000AF400000}"/>
    <cellStyle name="20% - Accent6 2 5 4 2 2 2" xfId="50608" xr:uid="{00000000-0005-0000-0000-0000B0400000}"/>
    <cellStyle name="20% - Accent6 2 5 4 2 3" xfId="37692" xr:uid="{00000000-0005-0000-0000-0000B1400000}"/>
    <cellStyle name="20% - Accent6 2 5 4 3" xfId="18276" xr:uid="{00000000-0005-0000-0000-0000B2400000}"/>
    <cellStyle name="20% - Accent6 2 5 4 3 2" xfId="44150" xr:uid="{00000000-0005-0000-0000-0000B3400000}"/>
    <cellStyle name="20% - Accent6 2 5 4 4" xfId="31234" xr:uid="{00000000-0005-0000-0000-0000B4400000}"/>
    <cellStyle name="20% - Accent6 2 5 5" xfId="8589" xr:uid="{00000000-0005-0000-0000-0000B5400000}"/>
    <cellStyle name="20% - Accent6 2 5 5 2" xfId="21506" xr:uid="{00000000-0005-0000-0000-0000B6400000}"/>
    <cellStyle name="20% - Accent6 2 5 5 2 2" xfId="47380" xr:uid="{00000000-0005-0000-0000-0000B7400000}"/>
    <cellStyle name="20% - Accent6 2 5 5 3" xfId="34464" xr:uid="{00000000-0005-0000-0000-0000B8400000}"/>
    <cellStyle name="20% - Accent6 2 5 6" xfId="15048" xr:uid="{00000000-0005-0000-0000-0000B9400000}"/>
    <cellStyle name="20% - Accent6 2 5 6 2" xfId="40922" xr:uid="{00000000-0005-0000-0000-0000BA400000}"/>
    <cellStyle name="20% - Accent6 2 5 7" xfId="27974" xr:uid="{00000000-0005-0000-0000-0000BB400000}"/>
    <cellStyle name="20% - Accent6 2 5 8" xfId="53836" xr:uid="{00000000-0005-0000-0000-0000BC400000}"/>
    <cellStyle name="20% - Accent6 2 6" xfId="2484" xr:uid="{00000000-0005-0000-0000-0000BD400000}"/>
    <cellStyle name="20% - Accent6 2 6 2" xfId="4141" xr:uid="{00000000-0005-0000-0000-0000BE400000}"/>
    <cellStyle name="20% - Accent6 2 6 2 2" xfId="7372" xr:uid="{00000000-0005-0000-0000-0000BF400000}"/>
    <cellStyle name="20% - Accent6 2 6 2 2 2" xfId="13831" xr:uid="{00000000-0005-0000-0000-0000C0400000}"/>
    <cellStyle name="20% - Accent6 2 6 2 2 2 2" xfId="26748" xr:uid="{00000000-0005-0000-0000-0000C1400000}"/>
    <cellStyle name="20% - Accent6 2 6 2 2 2 2 2" xfId="52622" xr:uid="{00000000-0005-0000-0000-0000C2400000}"/>
    <cellStyle name="20% - Accent6 2 6 2 2 2 3" xfId="39706" xr:uid="{00000000-0005-0000-0000-0000C3400000}"/>
    <cellStyle name="20% - Accent6 2 6 2 2 3" xfId="20290" xr:uid="{00000000-0005-0000-0000-0000C4400000}"/>
    <cellStyle name="20% - Accent6 2 6 2 2 3 2" xfId="46164" xr:uid="{00000000-0005-0000-0000-0000C5400000}"/>
    <cellStyle name="20% - Accent6 2 6 2 2 4" xfId="33248" xr:uid="{00000000-0005-0000-0000-0000C6400000}"/>
    <cellStyle name="20% - Accent6 2 6 2 3" xfId="10603" xr:uid="{00000000-0005-0000-0000-0000C7400000}"/>
    <cellStyle name="20% - Accent6 2 6 2 3 2" xfId="23520" xr:uid="{00000000-0005-0000-0000-0000C8400000}"/>
    <cellStyle name="20% - Accent6 2 6 2 3 2 2" xfId="49394" xr:uid="{00000000-0005-0000-0000-0000C9400000}"/>
    <cellStyle name="20% - Accent6 2 6 2 3 3" xfId="36478" xr:uid="{00000000-0005-0000-0000-0000CA400000}"/>
    <cellStyle name="20% - Accent6 2 6 2 4" xfId="17062" xr:uid="{00000000-0005-0000-0000-0000CB400000}"/>
    <cellStyle name="20% - Accent6 2 6 2 4 2" xfId="42936" xr:uid="{00000000-0005-0000-0000-0000CC400000}"/>
    <cellStyle name="20% - Accent6 2 6 2 5" xfId="29988" xr:uid="{00000000-0005-0000-0000-0000CD400000}"/>
    <cellStyle name="20% - Accent6 2 6 3" xfId="5758" xr:uid="{00000000-0005-0000-0000-0000CE400000}"/>
    <cellStyle name="20% - Accent6 2 6 3 2" xfId="12217" xr:uid="{00000000-0005-0000-0000-0000CF400000}"/>
    <cellStyle name="20% - Accent6 2 6 3 2 2" xfId="25134" xr:uid="{00000000-0005-0000-0000-0000D0400000}"/>
    <cellStyle name="20% - Accent6 2 6 3 2 2 2" xfId="51008" xr:uid="{00000000-0005-0000-0000-0000D1400000}"/>
    <cellStyle name="20% - Accent6 2 6 3 2 3" xfId="38092" xr:uid="{00000000-0005-0000-0000-0000D2400000}"/>
    <cellStyle name="20% - Accent6 2 6 3 3" xfId="18676" xr:uid="{00000000-0005-0000-0000-0000D3400000}"/>
    <cellStyle name="20% - Accent6 2 6 3 3 2" xfId="44550" xr:uid="{00000000-0005-0000-0000-0000D4400000}"/>
    <cellStyle name="20% - Accent6 2 6 3 4" xfId="31634" xr:uid="{00000000-0005-0000-0000-0000D5400000}"/>
    <cellStyle name="20% - Accent6 2 6 4" xfId="8989" xr:uid="{00000000-0005-0000-0000-0000D6400000}"/>
    <cellStyle name="20% - Accent6 2 6 4 2" xfId="21906" xr:uid="{00000000-0005-0000-0000-0000D7400000}"/>
    <cellStyle name="20% - Accent6 2 6 4 2 2" xfId="47780" xr:uid="{00000000-0005-0000-0000-0000D8400000}"/>
    <cellStyle name="20% - Accent6 2 6 4 3" xfId="34864" xr:uid="{00000000-0005-0000-0000-0000D9400000}"/>
    <cellStyle name="20% - Accent6 2 6 5" xfId="15448" xr:uid="{00000000-0005-0000-0000-0000DA400000}"/>
    <cellStyle name="20% - Accent6 2 6 5 2" xfId="41322" xr:uid="{00000000-0005-0000-0000-0000DB400000}"/>
    <cellStyle name="20% - Accent6 2 6 6" xfId="28374" xr:uid="{00000000-0005-0000-0000-0000DC400000}"/>
    <cellStyle name="20% - Accent6 2 7" xfId="3293" xr:uid="{00000000-0005-0000-0000-0000DD400000}"/>
    <cellStyle name="20% - Accent6 2 7 2" xfId="6565" xr:uid="{00000000-0005-0000-0000-0000DE400000}"/>
    <cellStyle name="20% - Accent6 2 7 2 2" xfId="13024" xr:uid="{00000000-0005-0000-0000-0000DF400000}"/>
    <cellStyle name="20% - Accent6 2 7 2 2 2" xfId="25941" xr:uid="{00000000-0005-0000-0000-0000E0400000}"/>
    <cellStyle name="20% - Accent6 2 7 2 2 2 2" xfId="51815" xr:uid="{00000000-0005-0000-0000-0000E1400000}"/>
    <cellStyle name="20% - Accent6 2 7 2 2 3" xfId="38899" xr:uid="{00000000-0005-0000-0000-0000E2400000}"/>
    <cellStyle name="20% - Accent6 2 7 2 3" xfId="19483" xr:uid="{00000000-0005-0000-0000-0000E3400000}"/>
    <cellStyle name="20% - Accent6 2 7 2 3 2" xfId="45357" xr:uid="{00000000-0005-0000-0000-0000E4400000}"/>
    <cellStyle name="20% - Accent6 2 7 2 4" xfId="32441" xr:uid="{00000000-0005-0000-0000-0000E5400000}"/>
    <cellStyle name="20% - Accent6 2 7 3" xfId="9796" xr:uid="{00000000-0005-0000-0000-0000E6400000}"/>
    <cellStyle name="20% - Accent6 2 7 3 2" xfId="22713" xr:uid="{00000000-0005-0000-0000-0000E7400000}"/>
    <cellStyle name="20% - Accent6 2 7 3 2 2" xfId="48587" xr:uid="{00000000-0005-0000-0000-0000E8400000}"/>
    <cellStyle name="20% - Accent6 2 7 3 3" xfId="35671" xr:uid="{00000000-0005-0000-0000-0000E9400000}"/>
    <cellStyle name="20% - Accent6 2 7 4" xfId="16255" xr:uid="{00000000-0005-0000-0000-0000EA400000}"/>
    <cellStyle name="20% - Accent6 2 7 4 2" xfId="42129" xr:uid="{00000000-0005-0000-0000-0000EB400000}"/>
    <cellStyle name="20% - Accent6 2 7 5" xfId="29181" xr:uid="{00000000-0005-0000-0000-0000EC400000}"/>
    <cellStyle name="20% - Accent6 2 8" xfId="4951" xr:uid="{00000000-0005-0000-0000-0000ED400000}"/>
    <cellStyle name="20% - Accent6 2 8 2" xfId="11410" xr:uid="{00000000-0005-0000-0000-0000EE400000}"/>
    <cellStyle name="20% - Accent6 2 8 2 2" xfId="24327" xr:uid="{00000000-0005-0000-0000-0000EF400000}"/>
    <cellStyle name="20% - Accent6 2 8 2 2 2" xfId="50201" xr:uid="{00000000-0005-0000-0000-0000F0400000}"/>
    <cellStyle name="20% - Accent6 2 8 2 3" xfId="37285" xr:uid="{00000000-0005-0000-0000-0000F1400000}"/>
    <cellStyle name="20% - Accent6 2 8 3" xfId="17869" xr:uid="{00000000-0005-0000-0000-0000F2400000}"/>
    <cellStyle name="20% - Accent6 2 8 3 2" xfId="43743" xr:uid="{00000000-0005-0000-0000-0000F3400000}"/>
    <cellStyle name="20% - Accent6 2 8 4" xfId="30827" xr:uid="{00000000-0005-0000-0000-0000F4400000}"/>
    <cellStyle name="20% - Accent6 2 9" xfId="8179" xr:uid="{00000000-0005-0000-0000-0000F5400000}"/>
    <cellStyle name="20% - Accent6 2 9 2" xfId="21097" xr:uid="{00000000-0005-0000-0000-0000F6400000}"/>
    <cellStyle name="20% - Accent6 2 9 2 2" xfId="46971" xr:uid="{00000000-0005-0000-0000-0000F7400000}"/>
    <cellStyle name="20% - Accent6 2 9 3" xfId="34055" xr:uid="{00000000-0005-0000-0000-0000F8400000}"/>
    <cellStyle name="20% - Accent6 20" xfId="30786" xr:uid="{00000000-0005-0000-0000-0000F9400000}"/>
    <cellStyle name="20% - Accent6 21" xfId="53422" xr:uid="{00000000-0005-0000-0000-0000FA400000}"/>
    <cellStyle name="20% - Accent6 22" xfId="79" xr:uid="{00000000-0005-0000-0000-0000FB400000}"/>
    <cellStyle name="20% - Accent6 3" xfId="263" xr:uid="{00000000-0005-0000-0000-0000FC400000}"/>
    <cellStyle name="20% - Accent6 3 2" xfId="362" xr:uid="{00000000-0005-0000-0000-0000FD400000}"/>
    <cellStyle name="20% - Accent6 3 2 10" xfId="53548" xr:uid="{00000000-0005-0000-0000-0000FE400000}"/>
    <cellStyle name="20% - Accent6 3 2 11" xfId="1632" xr:uid="{00000000-0005-0000-0000-0000FF400000}"/>
    <cellStyle name="20% - Accent6 3 2 2" xfId="473" xr:uid="{00000000-0005-0000-0000-000000410000}"/>
    <cellStyle name="20% - Accent6 3 2 2 10" xfId="1957" xr:uid="{00000000-0005-0000-0000-000001410000}"/>
    <cellStyle name="20% - Accent6 3 2 2 2" xfId="628" xr:uid="{00000000-0005-0000-0000-000002410000}"/>
    <cellStyle name="20% - Accent6 3 2 2 2 2" xfId="3201" xr:uid="{00000000-0005-0000-0000-000003410000}"/>
    <cellStyle name="20% - Accent6 3 2 2 2 2 2" xfId="4858" xr:uid="{00000000-0005-0000-0000-000004410000}"/>
    <cellStyle name="20% - Accent6 3 2 2 2 2 2 2" xfId="8089" xr:uid="{00000000-0005-0000-0000-000005410000}"/>
    <cellStyle name="20% - Accent6 3 2 2 2 2 2 2 2" xfId="14548" xr:uid="{00000000-0005-0000-0000-000006410000}"/>
    <cellStyle name="20% - Accent6 3 2 2 2 2 2 2 2 2" xfId="27465" xr:uid="{00000000-0005-0000-0000-000007410000}"/>
    <cellStyle name="20% - Accent6 3 2 2 2 2 2 2 2 2 2" xfId="53339" xr:uid="{00000000-0005-0000-0000-000008410000}"/>
    <cellStyle name="20% - Accent6 3 2 2 2 2 2 2 2 3" xfId="40423" xr:uid="{00000000-0005-0000-0000-000009410000}"/>
    <cellStyle name="20% - Accent6 3 2 2 2 2 2 2 3" xfId="21007" xr:uid="{00000000-0005-0000-0000-00000A410000}"/>
    <cellStyle name="20% - Accent6 3 2 2 2 2 2 2 3 2" xfId="46881" xr:uid="{00000000-0005-0000-0000-00000B410000}"/>
    <cellStyle name="20% - Accent6 3 2 2 2 2 2 2 4" xfId="33965" xr:uid="{00000000-0005-0000-0000-00000C410000}"/>
    <cellStyle name="20% - Accent6 3 2 2 2 2 2 3" xfId="11320" xr:uid="{00000000-0005-0000-0000-00000D410000}"/>
    <cellStyle name="20% - Accent6 3 2 2 2 2 2 3 2" xfId="24237" xr:uid="{00000000-0005-0000-0000-00000E410000}"/>
    <cellStyle name="20% - Accent6 3 2 2 2 2 2 3 2 2" xfId="50111" xr:uid="{00000000-0005-0000-0000-00000F410000}"/>
    <cellStyle name="20% - Accent6 3 2 2 2 2 2 3 3" xfId="37195" xr:uid="{00000000-0005-0000-0000-000010410000}"/>
    <cellStyle name="20% - Accent6 3 2 2 2 2 2 4" xfId="17779" xr:uid="{00000000-0005-0000-0000-000011410000}"/>
    <cellStyle name="20% - Accent6 3 2 2 2 2 2 4 2" xfId="43653" xr:uid="{00000000-0005-0000-0000-000012410000}"/>
    <cellStyle name="20% - Accent6 3 2 2 2 2 2 5" xfId="30705" xr:uid="{00000000-0005-0000-0000-000013410000}"/>
    <cellStyle name="20% - Accent6 3 2 2 2 2 3" xfId="6475" xr:uid="{00000000-0005-0000-0000-000014410000}"/>
    <cellStyle name="20% - Accent6 3 2 2 2 2 3 2" xfId="12934" xr:uid="{00000000-0005-0000-0000-000015410000}"/>
    <cellStyle name="20% - Accent6 3 2 2 2 2 3 2 2" xfId="25851" xr:uid="{00000000-0005-0000-0000-000016410000}"/>
    <cellStyle name="20% - Accent6 3 2 2 2 2 3 2 2 2" xfId="51725" xr:uid="{00000000-0005-0000-0000-000017410000}"/>
    <cellStyle name="20% - Accent6 3 2 2 2 2 3 2 3" xfId="38809" xr:uid="{00000000-0005-0000-0000-000018410000}"/>
    <cellStyle name="20% - Accent6 3 2 2 2 2 3 3" xfId="19393" xr:uid="{00000000-0005-0000-0000-000019410000}"/>
    <cellStyle name="20% - Accent6 3 2 2 2 2 3 3 2" xfId="45267" xr:uid="{00000000-0005-0000-0000-00001A410000}"/>
    <cellStyle name="20% - Accent6 3 2 2 2 2 3 4" xfId="32351" xr:uid="{00000000-0005-0000-0000-00001B410000}"/>
    <cellStyle name="20% - Accent6 3 2 2 2 2 4" xfId="9706" xr:uid="{00000000-0005-0000-0000-00001C410000}"/>
    <cellStyle name="20% - Accent6 3 2 2 2 2 4 2" xfId="22623" xr:uid="{00000000-0005-0000-0000-00001D410000}"/>
    <cellStyle name="20% - Accent6 3 2 2 2 2 4 2 2" xfId="48497" xr:uid="{00000000-0005-0000-0000-00001E410000}"/>
    <cellStyle name="20% - Accent6 3 2 2 2 2 4 3" xfId="35581" xr:uid="{00000000-0005-0000-0000-00001F410000}"/>
    <cellStyle name="20% - Accent6 3 2 2 2 2 5" xfId="16165" xr:uid="{00000000-0005-0000-0000-000020410000}"/>
    <cellStyle name="20% - Accent6 3 2 2 2 2 5 2" xfId="42039" xr:uid="{00000000-0005-0000-0000-000021410000}"/>
    <cellStyle name="20% - Accent6 3 2 2 2 2 6" xfId="29091" xr:uid="{00000000-0005-0000-0000-000022410000}"/>
    <cellStyle name="20% - Accent6 3 2 2 2 3" xfId="4028" xr:uid="{00000000-0005-0000-0000-000023410000}"/>
    <cellStyle name="20% - Accent6 3 2 2 2 3 2" xfId="7282" xr:uid="{00000000-0005-0000-0000-000024410000}"/>
    <cellStyle name="20% - Accent6 3 2 2 2 3 2 2" xfId="13741" xr:uid="{00000000-0005-0000-0000-000025410000}"/>
    <cellStyle name="20% - Accent6 3 2 2 2 3 2 2 2" xfId="26658" xr:uid="{00000000-0005-0000-0000-000026410000}"/>
    <cellStyle name="20% - Accent6 3 2 2 2 3 2 2 2 2" xfId="52532" xr:uid="{00000000-0005-0000-0000-000027410000}"/>
    <cellStyle name="20% - Accent6 3 2 2 2 3 2 2 3" xfId="39616" xr:uid="{00000000-0005-0000-0000-000028410000}"/>
    <cellStyle name="20% - Accent6 3 2 2 2 3 2 3" xfId="20200" xr:uid="{00000000-0005-0000-0000-000029410000}"/>
    <cellStyle name="20% - Accent6 3 2 2 2 3 2 3 2" xfId="46074" xr:uid="{00000000-0005-0000-0000-00002A410000}"/>
    <cellStyle name="20% - Accent6 3 2 2 2 3 2 4" xfId="33158" xr:uid="{00000000-0005-0000-0000-00002B410000}"/>
    <cellStyle name="20% - Accent6 3 2 2 2 3 3" xfId="10513" xr:uid="{00000000-0005-0000-0000-00002C410000}"/>
    <cellStyle name="20% - Accent6 3 2 2 2 3 3 2" xfId="23430" xr:uid="{00000000-0005-0000-0000-00002D410000}"/>
    <cellStyle name="20% - Accent6 3 2 2 2 3 3 2 2" xfId="49304" xr:uid="{00000000-0005-0000-0000-00002E410000}"/>
    <cellStyle name="20% - Accent6 3 2 2 2 3 3 3" xfId="36388" xr:uid="{00000000-0005-0000-0000-00002F410000}"/>
    <cellStyle name="20% - Accent6 3 2 2 2 3 4" xfId="16972" xr:uid="{00000000-0005-0000-0000-000030410000}"/>
    <cellStyle name="20% - Accent6 3 2 2 2 3 4 2" xfId="42846" xr:uid="{00000000-0005-0000-0000-000031410000}"/>
    <cellStyle name="20% - Accent6 3 2 2 2 3 5" xfId="29898" xr:uid="{00000000-0005-0000-0000-000032410000}"/>
    <cellStyle name="20% - Accent6 3 2 2 2 4" xfId="5668" xr:uid="{00000000-0005-0000-0000-000033410000}"/>
    <cellStyle name="20% - Accent6 3 2 2 2 4 2" xfId="12127" xr:uid="{00000000-0005-0000-0000-000034410000}"/>
    <cellStyle name="20% - Accent6 3 2 2 2 4 2 2" xfId="25044" xr:uid="{00000000-0005-0000-0000-000035410000}"/>
    <cellStyle name="20% - Accent6 3 2 2 2 4 2 2 2" xfId="50918" xr:uid="{00000000-0005-0000-0000-000036410000}"/>
    <cellStyle name="20% - Accent6 3 2 2 2 4 2 3" xfId="38002" xr:uid="{00000000-0005-0000-0000-000037410000}"/>
    <cellStyle name="20% - Accent6 3 2 2 2 4 3" xfId="18586" xr:uid="{00000000-0005-0000-0000-000038410000}"/>
    <cellStyle name="20% - Accent6 3 2 2 2 4 3 2" xfId="44460" xr:uid="{00000000-0005-0000-0000-000039410000}"/>
    <cellStyle name="20% - Accent6 3 2 2 2 4 4" xfId="31544" xr:uid="{00000000-0005-0000-0000-00003A410000}"/>
    <cellStyle name="20% - Accent6 3 2 2 2 5" xfId="8899" xr:uid="{00000000-0005-0000-0000-00003B410000}"/>
    <cellStyle name="20% - Accent6 3 2 2 2 5 2" xfId="21816" xr:uid="{00000000-0005-0000-0000-00003C410000}"/>
    <cellStyle name="20% - Accent6 3 2 2 2 5 2 2" xfId="47690" xr:uid="{00000000-0005-0000-0000-00003D410000}"/>
    <cellStyle name="20% - Accent6 3 2 2 2 5 3" xfId="34774" xr:uid="{00000000-0005-0000-0000-00003E410000}"/>
    <cellStyle name="20% - Accent6 3 2 2 2 6" xfId="15358" xr:uid="{00000000-0005-0000-0000-00003F410000}"/>
    <cellStyle name="20% - Accent6 3 2 2 2 6 2" xfId="41232" xr:uid="{00000000-0005-0000-0000-000040410000}"/>
    <cellStyle name="20% - Accent6 3 2 2 2 7" xfId="28284" xr:uid="{00000000-0005-0000-0000-000041410000}"/>
    <cellStyle name="20% - Accent6 3 2 2 2 8" xfId="54146" xr:uid="{00000000-0005-0000-0000-000042410000}"/>
    <cellStyle name="20% - Accent6 3 2 2 2 9" xfId="2388" xr:uid="{00000000-0005-0000-0000-000043410000}"/>
    <cellStyle name="20% - Accent6 3 2 2 3" xfId="627" xr:uid="{00000000-0005-0000-0000-000044410000}"/>
    <cellStyle name="20% - Accent6 3 2 2 3 2" xfId="4454" xr:uid="{00000000-0005-0000-0000-000045410000}"/>
    <cellStyle name="20% - Accent6 3 2 2 3 2 2" xfId="7685" xr:uid="{00000000-0005-0000-0000-000046410000}"/>
    <cellStyle name="20% - Accent6 3 2 2 3 2 2 2" xfId="14144" xr:uid="{00000000-0005-0000-0000-000047410000}"/>
    <cellStyle name="20% - Accent6 3 2 2 3 2 2 2 2" xfId="27061" xr:uid="{00000000-0005-0000-0000-000048410000}"/>
    <cellStyle name="20% - Accent6 3 2 2 3 2 2 2 2 2" xfId="52935" xr:uid="{00000000-0005-0000-0000-000049410000}"/>
    <cellStyle name="20% - Accent6 3 2 2 3 2 2 2 3" xfId="40019" xr:uid="{00000000-0005-0000-0000-00004A410000}"/>
    <cellStyle name="20% - Accent6 3 2 2 3 2 2 3" xfId="20603" xr:uid="{00000000-0005-0000-0000-00004B410000}"/>
    <cellStyle name="20% - Accent6 3 2 2 3 2 2 3 2" xfId="46477" xr:uid="{00000000-0005-0000-0000-00004C410000}"/>
    <cellStyle name="20% - Accent6 3 2 2 3 2 2 4" xfId="33561" xr:uid="{00000000-0005-0000-0000-00004D410000}"/>
    <cellStyle name="20% - Accent6 3 2 2 3 2 3" xfId="10916" xr:uid="{00000000-0005-0000-0000-00004E410000}"/>
    <cellStyle name="20% - Accent6 3 2 2 3 2 3 2" xfId="23833" xr:uid="{00000000-0005-0000-0000-00004F410000}"/>
    <cellStyle name="20% - Accent6 3 2 2 3 2 3 2 2" xfId="49707" xr:uid="{00000000-0005-0000-0000-000050410000}"/>
    <cellStyle name="20% - Accent6 3 2 2 3 2 3 3" xfId="36791" xr:uid="{00000000-0005-0000-0000-000051410000}"/>
    <cellStyle name="20% - Accent6 3 2 2 3 2 4" xfId="17375" xr:uid="{00000000-0005-0000-0000-000052410000}"/>
    <cellStyle name="20% - Accent6 3 2 2 3 2 4 2" xfId="43249" xr:uid="{00000000-0005-0000-0000-000053410000}"/>
    <cellStyle name="20% - Accent6 3 2 2 3 2 5" xfId="30301" xr:uid="{00000000-0005-0000-0000-000054410000}"/>
    <cellStyle name="20% - Accent6 3 2 2 3 3" xfId="6071" xr:uid="{00000000-0005-0000-0000-000055410000}"/>
    <cellStyle name="20% - Accent6 3 2 2 3 3 2" xfId="12530" xr:uid="{00000000-0005-0000-0000-000056410000}"/>
    <cellStyle name="20% - Accent6 3 2 2 3 3 2 2" xfId="25447" xr:uid="{00000000-0005-0000-0000-000057410000}"/>
    <cellStyle name="20% - Accent6 3 2 2 3 3 2 2 2" xfId="51321" xr:uid="{00000000-0005-0000-0000-000058410000}"/>
    <cellStyle name="20% - Accent6 3 2 2 3 3 2 3" xfId="38405" xr:uid="{00000000-0005-0000-0000-000059410000}"/>
    <cellStyle name="20% - Accent6 3 2 2 3 3 3" xfId="18989" xr:uid="{00000000-0005-0000-0000-00005A410000}"/>
    <cellStyle name="20% - Accent6 3 2 2 3 3 3 2" xfId="44863" xr:uid="{00000000-0005-0000-0000-00005B410000}"/>
    <cellStyle name="20% - Accent6 3 2 2 3 3 4" xfId="31947" xr:uid="{00000000-0005-0000-0000-00005C410000}"/>
    <cellStyle name="20% - Accent6 3 2 2 3 4" xfId="9302" xr:uid="{00000000-0005-0000-0000-00005D410000}"/>
    <cellStyle name="20% - Accent6 3 2 2 3 4 2" xfId="22219" xr:uid="{00000000-0005-0000-0000-00005E410000}"/>
    <cellStyle name="20% - Accent6 3 2 2 3 4 2 2" xfId="48093" xr:uid="{00000000-0005-0000-0000-00005F410000}"/>
    <cellStyle name="20% - Accent6 3 2 2 3 4 3" xfId="35177" xr:uid="{00000000-0005-0000-0000-000060410000}"/>
    <cellStyle name="20% - Accent6 3 2 2 3 5" xfId="15761" xr:uid="{00000000-0005-0000-0000-000061410000}"/>
    <cellStyle name="20% - Accent6 3 2 2 3 5 2" xfId="41635" xr:uid="{00000000-0005-0000-0000-000062410000}"/>
    <cellStyle name="20% - Accent6 3 2 2 3 6" xfId="28687" xr:uid="{00000000-0005-0000-0000-000063410000}"/>
    <cellStyle name="20% - Accent6 3 2 2 3 7" xfId="2797" xr:uid="{00000000-0005-0000-0000-000064410000}"/>
    <cellStyle name="20% - Accent6 3 2 2 4" xfId="3624" xr:uid="{00000000-0005-0000-0000-000065410000}"/>
    <cellStyle name="20% - Accent6 3 2 2 4 2" xfId="6878" xr:uid="{00000000-0005-0000-0000-000066410000}"/>
    <cellStyle name="20% - Accent6 3 2 2 4 2 2" xfId="13337" xr:uid="{00000000-0005-0000-0000-000067410000}"/>
    <cellStyle name="20% - Accent6 3 2 2 4 2 2 2" xfId="26254" xr:uid="{00000000-0005-0000-0000-000068410000}"/>
    <cellStyle name="20% - Accent6 3 2 2 4 2 2 2 2" xfId="52128" xr:uid="{00000000-0005-0000-0000-000069410000}"/>
    <cellStyle name="20% - Accent6 3 2 2 4 2 2 3" xfId="39212" xr:uid="{00000000-0005-0000-0000-00006A410000}"/>
    <cellStyle name="20% - Accent6 3 2 2 4 2 3" xfId="19796" xr:uid="{00000000-0005-0000-0000-00006B410000}"/>
    <cellStyle name="20% - Accent6 3 2 2 4 2 3 2" xfId="45670" xr:uid="{00000000-0005-0000-0000-00006C410000}"/>
    <cellStyle name="20% - Accent6 3 2 2 4 2 4" xfId="32754" xr:uid="{00000000-0005-0000-0000-00006D410000}"/>
    <cellStyle name="20% - Accent6 3 2 2 4 3" xfId="10109" xr:uid="{00000000-0005-0000-0000-00006E410000}"/>
    <cellStyle name="20% - Accent6 3 2 2 4 3 2" xfId="23026" xr:uid="{00000000-0005-0000-0000-00006F410000}"/>
    <cellStyle name="20% - Accent6 3 2 2 4 3 2 2" xfId="48900" xr:uid="{00000000-0005-0000-0000-000070410000}"/>
    <cellStyle name="20% - Accent6 3 2 2 4 3 3" xfId="35984" xr:uid="{00000000-0005-0000-0000-000071410000}"/>
    <cellStyle name="20% - Accent6 3 2 2 4 4" xfId="16568" xr:uid="{00000000-0005-0000-0000-000072410000}"/>
    <cellStyle name="20% - Accent6 3 2 2 4 4 2" xfId="42442" xr:uid="{00000000-0005-0000-0000-000073410000}"/>
    <cellStyle name="20% - Accent6 3 2 2 4 5" xfId="29494" xr:uid="{00000000-0005-0000-0000-000074410000}"/>
    <cellStyle name="20% - Accent6 3 2 2 5" xfId="5264" xr:uid="{00000000-0005-0000-0000-000075410000}"/>
    <cellStyle name="20% - Accent6 3 2 2 5 2" xfId="11723" xr:uid="{00000000-0005-0000-0000-000076410000}"/>
    <cellStyle name="20% - Accent6 3 2 2 5 2 2" xfId="24640" xr:uid="{00000000-0005-0000-0000-000077410000}"/>
    <cellStyle name="20% - Accent6 3 2 2 5 2 2 2" xfId="50514" xr:uid="{00000000-0005-0000-0000-000078410000}"/>
    <cellStyle name="20% - Accent6 3 2 2 5 2 3" xfId="37598" xr:uid="{00000000-0005-0000-0000-000079410000}"/>
    <cellStyle name="20% - Accent6 3 2 2 5 3" xfId="18182" xr:uid="{00000000-0005-0000-0000-00007A410000}"/>
    <cellStyle name="20% - Accent6 3 2 2 5 3 2" xfId="44056" xr:uid="{00000000-0005-0000-0000-00007B410000}"/>
    <cellStyle name="20% - Accent6 3 2 2 5 4" xfId="31140" xr:uid="{00000000-0005-0000-0000-00007C410000}"/>
    <cellStyle name="20% - Accent6 3 2 2 6" xfId="8495" xr:uid="{00000000-0005-0000-0000-00007D410000}"/>
    <cellStyle name="20% - Accent6 3 2 2 6 2" xfId="21412" xr:uid="{00000000-0005-0000-0000-00007E410000}"/>
    <cellStyle name="20% - Accent6 3 2 2 6 2 2" xfId="47286" xr:uid="{00000000-0005-0000-0000-00007F410000}"/>
    <cellStyle name="20% - Accent6 3 2 2 6 3" xfId="34370" xr:uid="{00000000-0005-0000-0000-000080410000}"/>
    <cellStyle name="20% - Accent6 3 2 2 7" xfId="14954" xr:uid="{00000000-0005-0000-0000-000081410000}"/>
    <cellStyle name="20% - Accent6 3 2 2 7 2" xfId="40828" xr:uid="{00000000-0005-0000-0000-000082410000}"/>
    <cellStyle name="20% - Accent6 3 2 2 8" xfId="27879" xr:uid="{00000000-0005-0000-0000-000083410000}"/>
    <cellStyle name="20% - Accent6 3 2 2 9" xfId="53742" xr:uid="{00000000-0005-0000-0000-000084410000}"/>
    <cellStyle name="20% - Accent6 3 2 3" xfId="629" xr:uid="{00000000-0005-0000-0000-000085410000}"/>
    <cellStyle name="20% - Accent6 3 2 3 2" xfId="3006" xr:uid="{00000000-0005-0000-0000-000086410000}"/>
    <cellStyle name="20% - Accent6 3 2 3 2 2" xfId="4663" xr:uid="{00000000-0005-0000-0000-000087410000}"/>
    <cellStyle name="20% - Accent6 3 2 3 2 2 2" xfId="7894" xr:uid="{00000000-0005-0000-0000-000088410000}"/>
    <cellStyle name="20% - Accent6 3 2 3 2 2 2 2" xfId="14353" xr:uid="{00000000-0005-0000-0000-000089410000}"/>
    <cellStyle name="20% - Accent6 3 2 3 2 2 2 2 2" xfId="27270" xr:uid="{00000000-0005-0000-0000-00008A410000}"/>
    <cellStyle name="20% - Accent6 3 2 3 2 2 2 2 2 2" xfId="53144" xr:uid="{00000000-0005-0000-0000-00008B410000}"/>
    <cellStyle name="20% - Accent6 3 2 3 2 2 2 2 3" xfId="40228" xr:uid="{00000000-0005-0000-0000-00008C410000}"/>
    <cellStyle name="20% - Accent6 3 2 3 2 2 2 3" xfId="20812" xr:uid="{00000000-0005-0000-0000-00008D410000}"/>
    <cellStyle name="20% - Accent6 3 2 3 2 2 2 3 2" xfId="46686" xr:uid="{00000000-0005-0000-0000-00008E410000}"/>
    <cellStyle name="20% - Accent6 3 2 3 2 2 2 4" xfId="33770" xr:uid="{00000000-0005-0000-0000-00008F410000}"/>
    <cellStyle name="20% - Accent6 3 2 3 2 2 3" xfId="11125" xr:uid="{00000000-0005-0000-0000-000090410000}"/>
    <cellStyle name="20% - Accent6 3 2 3 2 2 3 2" xfId="24042" xr:uid="{00000000-0005-0000-0000-000091410000}"/>
    <cellStyle name="20% - Accent6 3 2 3 2 2 3 2 2" xfId="49916" xr:uid="{00000000-0005-0000-0000-000092410000}"/>
    <cellStyle name="20% - Accent6 3 2 3 2 2 3 3" xfId="37000" xr:uid="{00000000-0005-0000-0000-000093410000}"/>
    <cellStyle name="20% - Accent6 3 2 3 2 2 4" xfId="17584" xr:uid="{00000000-0005-0000-0000-000094410000}"/>
    <cellStyle name="20% - Accent6 3 2 3 2 2 4 2" xfId="43458" xr:uid="{00000000-0005-0000-0000-000095410000}"/>
    <cellStyle name="20% - Accent6 3 2 3 2 2 5" xfId="30510" xr:uid="{00000000-0005-0000-0000-000096410000}"/>
    <cellStyle name="20% - Accent6 3 2 3 2 3" xfId="6280" xr:uid="{00000000-0005-0000-0000-000097410000}"/>
    <cellStyle name="20% - Accent6 3 2 3 2 3 2" xfId="12739" xr:uid="{00000000-0005-0000-0000-000098410000}"/>
    <cellStyle name="20% - Accent6 3 2 3 2 3 2 2" xfId="25656" xr:uid="{00000000-0005-0000-0000-000099410000}"/>
    <cellStyle name="20% - Accent6 3 2 3 2 3 2 2 2" xfId="51530" xr:uid="{00000000-0005-0000-0000-00009A410000}"/>
    <cellStyle name="20% - Accent6 3 2 3 2 3 2 3" xfId="38614" xr:uid="{00000000-0005-0000-0000-00009B410000}"/>
    <cellStyle name="20% - Accent6 3 2 3 2 3 3" xfId="19198" xr:uid="{00000000-0005-0000-0000-00009C410000}"/>
    <cellStyle name="20% - Accent6 3 2 3 2 3 3 2" xfId="45072" xr:uid="{00000000-0005-0000-0000-00009D410000}"/>
    <cellStyle name="20% - Accent6 3 2 3 2 3 4" xfId="32156" xr:uid="{00000000-0005-0000-0000-00009E410000}"/>
    <cellStyle name="20% - Accent6 3 2 3 2 4" xfId="9511" xr:uid="{00000000-0005-0000-0000-00009F410000}"/>
    <cellStyle name="20% - Accent6 3 2 3 2 4 2" xfId="22428" xr:uid="{00000000-0005-0000-0000-0000A0410000}"/>
    <cellStyle name="20% - Accent6 3 2 3 2 4 2 2" xfId="48302" xr:uid="{00000000-0005-0000-0000-0000A1410000}"/>
    <cellStyle name="20% - Accent6 3 2 3 2 4 3" xfId="35386" xr:uid="{00000000-0005-0000-0000-0000A2410000}"/>
    <cellStyle name="20% - Accent6 3 2 3 2 5" xfId="15970" xr:uid="{00000000-0005-0000-0000-0000A3410000}"/>
    <cellStyle name="20% - Accent6 3 2 3 2 5 2" xfId="41844" xr:uid="{00000000-0005-0000-0000-0000A4410000}"/>
    <cellStyle name="20% - Accent6 3 2 3 2 6" xfId="28896" xr:uid="{00000000-0005-0000-0000-0000A5410000}"/>
    <cellStyle name="20% - Accent6 3 2 3 3" xfId="3833" xr:uid="{00000000-0005-0000-0000-0000A6410000}"/>
    <cellStyle name="20% - Accent6 3 2 3 3 2" xfId="7087" xr:uid="{00000000-0005-0000-0000-0000A7410000}"/>
    <cellStyle name="20% - Accent6 3 2 3 3 2 2" xfId="13546" xr:uid="{00000000-0005-0000-0000-0000A8410000}"/>
    <cellStyle name="20% - Accent6 3 2 3 3 2 2 2" xfId="26463" xr:uid="{00000000-0005-0000-0000-0000A9410000}"/>
    <cellStyle name="20% - Accent6 3 2 3 3 2 2 2 2" xfId="52337" xr:uid="{00000000-0005-0000-0000-0000AA410000}"/>
    <cellStyle name="20% - Accent6 3 2 3 3 2 2 3" xfId="39421" xr:uid="{00000000-0005-0000-0000-0000AB410000}"/>
    <cellStyle name="20% - Accent6 3 2 3 3 2 3" xfId="20005" xr:uid="{00000000-0005-0000-0000-0000AC410000}"/>
    <cellStyle name="20% - Accent6 3 2 3 3 2 3 2" xfId="45879" xr:uid="{00000000-0005-0000-0000-0000AD410000}"/>
    <cellStyle name="20% - Accent6 3 2 3 3 2 4" xfId="32963" xr:uid="{00000000-0005-0000-0000-0000AE410000}"/>
    <cellStyle name="20% - Accent6 3 2 3 3 3" xfId="10318" xr:uid="{00000000-0005-0000-0000-0000AF410000}"/>
    <cellStyle name="20% - Accent6 3 2 3 3 3 2" xfId="23235" xr:uid="{00000000-0005-0000-0000-0000B0410000}"/>
    <cellStyle name="20% - Accent6 3 2 3 3 3 2 2" xfId="49109" xr:uid="{00000000-0005-0000-0000-0000B1410000}"/>
    <cellStyle name="20% - Accent6 3 2 3 3 3 3" xfId="36193" xr:uid="{00000000-0005-0000-0000-0000B2410000}"/>
    <cellStyle name="20% - Accent6 3 2 3 3 4" xfId="16777" xr:uid="{00000000-0005-0000-0000-0000B3410000}"/>
    <cellStyle name="20% - Accent6 3 2 3 3 4 2" xfId="42651" xr:uid="{00000000-0005-0000-0000-0000B4410000}"/>
    <cellStyle name="20% - Accent6 3 2 3 3 5" xfId="29703" xr:uid="{00000000-0005-0000-0000-0000B5410000}"/>
    <cellStyle name="20% - Accent6 3 2 3 4" xfId="5473" xr:uid="{00000000-0005-0000-0000-0000B6410000}"/>
    <cellStyle name="20% - Accent6 3 2 3 4 2" xfId="11932" xr:uid="{00000000-0005-0000-0000-0000B7410000}"/>
    <cellStyle name="20% - Accent6 3 2 3 4 2 2" xfId="24849" xr:uid="{00000000-0005-0000-0000-0000B8410000}"/>
    <cellStyle name="20% - Accent6 3 2 3 4 2 2 2" xfId="50723" xr:uid="{00000000-0005-0000-0000-0000B9410000}"/>
    <cellStyle name="20% - Accent6 3 2 3 4 2 3" xfId="37807" xr:uid="{00000000-0005-0000-0000-0000BA410000}"/>
    <cellStyle name="20% - Accent6 3 2 3 4 3" xfId="18391" xr:uid="{00000000-0005-0000-0000-0000BB410000}"/>
    <cellStyle name="20% - Accent6 3 2 3 4 3 2" xfId="44265" xr:uid="{00000000-0005-0000-0000-0000BC410000}"/>
    <cellStyle name="20% - Accent6 3 2 3 4 4" xfId="31349" xr:uid="{00000000-0005-0000-0000-0000BD410000}"/>
    <cellStyle name="20% - Accent6 3 2 3 5" xfId="8704" xr:uid="{00000000-0005-0000-0000-0000BE410000}"/>
    <cellStyle name="20% - Accent6 3 2 3 5 2" xfId="21621" xr:uid="{00000000-0005-0000-0000-0000BF410000}"/>
    <cellStyle name="20% - Accent6 3 2 3 5 2 2" xfId="47495" xr:uid="{00000000-0005-0000-0000-0000C0410000}"/>
    <cellStyle name="20% - Accent6 3 2 3 5 3" xfId="34579" xr:uid="{00000000-0005-0000-0000-0000C1410000}"/>
    <cellStyle name="20% - Accent6 3 2 3 6" xfId="15163" xr:uid="{00000000-0005-0000-0000-0000C2410000}"/>
    <cellStyle name="20% - Accent6 3 2 3 6 2" xfId="41037" xr:uid="{00000000-0005-0000-0000-0000C3410000}"/>
    <cellStyle name="20% - Accent6 3 2 3 7" xfId="28089" xr:uid="{00000000-0005-0000-0000-0000C4410000}"/>
    <cellStyle name="20% - Accent6 3 2 3 8" xfId="53951" xr:uid="{00000000-0005-0000-0000-0000C5410000}"/>
    <cellStyle name="20% - Accent6 3 2 3 9" xfId="2192" xr:uid="{00000000-0005-0000-0000-0000C6410000}"/>
    <cellStyle name="20% - Accent6 3 2 4" xfId="626" xr:uid="{00000000-0005-0000-0000-0000C7410000}"/>
    <cellStyle name="20% - Accent6 3 2 4 2" xfId="4260" xr:uid="{00000000-0005-0000-0000-0000C8410000}"/>
    <cellStyle name="20% - Accent6 3 2 4 2 2" xfId="7491" xr:uid="{00000000-0005-0000-0000-0000C9410000}"/>
    <cellStyle name="20% - Accent6 3 2 4 2 2 2" xfId="13950" xr:uid="{00000000-0005-0000-0000-0000CA410000}"/>
    <cellStyle name="20% - Accent6 3 2 4 2 2 2 2" xfId="26867" xr:uid="{00000000-0005-0000-0000-0000CB410000}"/>
    <cellStyle name="20% - Accent6 3 2 4 2 2 2 2 2" xfId="52741" xr:uid="{00000000-0005-0000-0000-0000CC410000}"/>
    <cellStyle name="20% - Accent6 3 2 4 2 2 2 3" xfId="39825" xr:uid="{00000000-0005-0000-0000-0000CD410000}"/>
    <cellStyle name="20% - Accent6 3 2 4 2 2 3" xfId="20409" xr:uid="{00000000-0005-0000-0000-0000CE410000}"/>
    <cellStyle name="20% - Accent6 3 2 4 2 2 3 2" xfId="46283" xr:uid="{00000000-0005-0000-0000-0000CF410000}"/>
    <cellStyle name="20% - Accent6 3 2 4 2 2 4" xfId="33367" xr:uid="{00000000-0005-0000-0000-0000D0410000}"/>
    <cellStyle name="20% - Accent6 3 2 4 2 3" xfId="10722" xr:uid="{00000000-0005-0000-0000-0000D1410000}"/>
    <cellStyle name="20% - Accent6 3 2 4 2 3 2" xfId="23639" xr:uid="{00000000-0005-0000-0000-0000D2410000}"/>
    <cellStyle name="20% - Accent6 3 2 4 2 3 2 2" xfId="49513" xr:uid="{00000000-0005-0000-0000-0000D3410000}"/>
    <cellStyle name="20% - Accent6 3 2 4 2 3 3" xfId="36597" xr:uid="{00000000-0005-0000-0000-0000D4410000}"/>
    <cellStyle name="20% - Accent6 3 2 4 2 4" xfId="17181" xr:uid="{00000000-0005-0000-0000-0000D5410000}"/>
    <cellStyle name="20% - Accent6 3 2 4 2 4 2" xfId="43055" xr:uid="{00000000-0005-0000-0000-0000D6410000}"/>
    <cellStyle name="20% - Accent6 3 2 4 2 5" xfId="30107" xr:uid="{00000000-0005-0000-0000-0000D7410000}"/>
    <cellStyle name="20% - Accent6 3 2 4 3" xfId="5877" xr:uid="{00000000-0005-0000-0000-0000D8410000}"/>
    <cellStyle name="20% - Accent6 3 2 4 3 2" xfId="12336" xr:uid="{00000000-0005-0000-0000-0000D9410000}"/>
    <cellStyle name="20% - Accent6 3 2 4 3 2 2" xfId="25253" xr:uid="{00000000-0005-0000-0000-0000DA410000}"/>
    <cellStyle name="20% - Accent6 3 2 4 3 2 2 2" xfId="51127" xr:uid="{00000000-0005-0000-0000-0000DB410000}"/>
    <cellStyle name="20% - Accent6 3 2 4 3 2 3" xfId="38211" xr:uid="{00000000-0005-0000-0000-0000DC410000}"/>
    <cellStyle name="20% - Accent6 3 2 4 3 3" xfId="18795" xr:uid="{00000000-0005-0000-0000-0000DD410000}"/>
    <cellStyle name="20% - Accent6 3 2 4 3 3 2" xfId="44669" xr:uid="{00000000-0005-0000-0000-0000DE410000}"/>
    <cellStyle name="20% - Accent6 3 2 4 3 4" xfId="31753" xr:uid="{00000000-0005-0000-0000-0000DF410000}"/>
    <cellStyle name="20% - Accent6 3 2 4 4" xfId="9108" xr:uid="{00000000-0005-0000-0000-0000E0410000}"/>
    <cellStyle name="20% - Accent6 3 2 4 4 2" xfId="22025" xr:uid="{00000000-0005-0000-0000-0000E1410000}"/>
    <cellStyle name="20% - Accent6 3 2 4 4 2 2" xfId="47899" xr:uid="{00000000-0005-0000-0000-0000E2410000}"/>
    <cellStyle name="20% - Accent6 3 2 4 4 3" xfId="34983" xr:uid="{00000000-0005-0000-0000-0000E3410000}"/>
    <cellStyle name="20% - Accent6 3 2 4 5" xfId="15567" xr:uid="{00000000-0005-0000-0000-0000E4410000}"/>
    <cellStyle name="20% - Accent6 3 2 4 5 2" xfId="41441" xr:uid="{00000000-0005-0000-0000-0000E5410000}"/>
    <cellStyle name="20% - Accent6 3 2 4 6" xfId="28493" xr:uid="{00000000-0005-0000-0000-0000E6410000}"/>
    <cellStyle name="20% - Accent6 3 2 4 7" xfId="2603" xr:uid="{00000000-0005-0000-0000-0000E7410000}"/>
    <cellStyle name="20% - Accent6 3 2 5" xfId="3430" xr:uid="{00000000-0005-0000-0000-0000E8410000}"/>
    <cellStyle name="20% - Accent6 3 2 5 2" xfId="6684" xr:uid="{00000000-0005-0000-0000-0000E9410000}"/>
    <cellStyle name="20% - Accent6 3 2 5 2 2" xfId="13143" xr:uid="{00000000-0005-0000-0000-0000EA410000}"/>
    <cellStyle name="20% - Accent6 3 2 5 2 2 2" xfId="26060" xr:uid="{00000000-0005-0000-0000-0000EB410000}"/>
    <cellStyle name="20% - Accent6 3 2 5 2 2 2 2" xfId="51934" xr:uid="{00000000-0005-0000-0000-0000EC410000}"/>
    <cellStyle name="20% - Accent6 3 2 5 2 2 3" xfId="39018" xr:uid="{00000000-0005-0000-0000-0000ED410000}"/>
    <cellStyle name="20% - Accent6 3 2 5 2 3" xfId="19602" xr:uid="{00000000-0005-0000-0000-0000EE410000}"/>
    <cellStyle name="20% - Accent6 3 2 5 2 3 2" xfId="45476" xr:uid="{00000000-0005-0000-0000-0000EF410000}"/>
    <cellStyle name="20% - Accent6 3 2 5 2 4" xfId="32560" xr:uid="{00000000-0005-0000-0000-0000F0410000}"/>
    <cellStyle name="20% - Accent6 3 2 5 3" xfId="9915" xr:uid="{00000000-0005-0000-0000-0000F1410000}"/>
    <cellStyle name="20% - Accent6 3 2 5 3 2" xfId="22832" xr:uid="{00000000-0005-0000-0000-0000F2410000}"/>
    <cellStyle name="20% - Accent6 3 2 5 3 2 2" xfId="48706" xr:uid="{00000000-0005-0000-0000-0000F3410000}"/>
    <cellStyle name="20% - Accent6 3 2 5 3 3" xfId="35790" xr:uid="{00000000-0005-0000-0000-0000F4410000}"/>
    <cellStyle name="20% - Accent6 3 2 5 4" xfId="16374" xr:uid="{00000000-0005-0000-0000-0000F5410000}"/>
    <cellStyle name="20% - Accent6 3 2 5 4 2" xfId="42248" xr:uid="{00000000-0005-0000-0000-0000F6410000}"/>
    <cellStyle name="20% - Accent6 3 2 5 5" xfId="29300" xr:uid="{00000000-0005-0000-0000-0000F7410000}"/>
    <cellStyle name="20% - Accent6 3 2 6" xfId="5070" xr:uid="{00000000-0005-0000-0000-0000F8410000}"/>
    <cellStyle name="20% - Accent6 3 2 6 2" xfId="11529" xr:uid="{00000000-0005-0000-0000-0000F9410000}"/>
    <cellStyle name="20% - Accent6 3 2 6 2 2" xfId="24446" xr:uid="{00000000-0005-0000-0000-0000FA410000}"/>
    <cellStyle name="20% - Accent6 3 2 6 2 2 2" xfId="50320" xr:uid="{00000000-0005-0000-0000-0000FB410000}"/>
    <cellStyle name="20% - Accent6 3 2 6 2 3" xfId="37404" xr:uid="{00000000-0005-0000-0000-0000FC410000}"/>
    <cellStyle name="20% - Accent6 3 2 6 3" xfId="17988" xr:uid="{00000000-0005-0000-0000-0000FD410000}"/>
    <cellStyle name="20% - Accent6 3 2 6 3 2" xfId="43862" xr:uid="{00000000-0005-0000-0000-0000FE410000}"/>
    <cellStyle name="20% - Accent6 3 2 6 4" xfId="30946" xr:uid="{00000000-0005-0000-0000-0000FF410000}"/>
    <cellStyle name="20% - Accent6 3 2 7" xfId="8300" xr:uid="{00000000-0005-0000-0000-000000420000}"/>
    <cellStyle name="20% - Accent6 3 2 7 2" xfId="21217" xr:uid="{00000000-0005-0000-0000-000001420000}"/>
    <cellStyle name="20% - Accent6 3 2 7 2 2" xfId="47091" xr:uid="{00000000-0005-0000-0000-000002420000}"/>
    <cellStyle name="20% - Accent6 3 2 7 3" xfId="34175" xr:uid="{00000000-0005-0000-0000-000003420000}"/>
    <cellStyle name="20% - Accent6 3 2 8" xfId="14759" xr:uid="{00000000-0005-0000-0000-000004420000}"/>
    <cellStyle name="20% - Accent6 3 2 8 2" xfId="40633" xr:uid="{00000000-0005-0000-0000-000005420000}"/>
    <cellStyle name="20% - Accent6 3 2 9" xfId="27683" xr:uid="{00000000-0005-0000-0000-000006420000}"/>
    <cellStyle name="20% - Accent6 3 3" xfId="437" xr:uid="{00000000-0005-0000-0000-000007420000}"/>
    <cellStyle name="20% - Accent6 3 3 2" xfId="631" xr:uid="{00000000-0005-0000-0000-000008420000}"/>
    <cellStyle name="20% - Accent6 3 3 3" xfId="630" xr:uid="{00000000-0005-0000-0000-000009420000}"/>
    <cellStyle name="20% - Accent6 3 3 4" xfId="1671" xr:uid="{00000000-0005-0000-0000-00000A420000}"/>
    <cellStyle name="20% - Accent6 3 4" xfId="632" xr:uid="{00000000-0005-0000-0000-00000B420000}"/>
    <cellStyle name="20% - Accent6 3 4 10" xfId="53496" xr:uid="{00000000-0005-0000-0000-00000C420000}"/>
    <cellStyle name="20% - Accent6 3 4 11" xfId="1556" xr:uid="{00000000-0005-0000-0000-00000D420000}"/>
    <cellStyle name="20% - Accent6 3 4 2" xfId="1905" xr:uid="{00000000-0005-0000-0000-00000E420000}"/>
    <cellStyle name="20% - Accent6 3 4 2 2" xfId="2336" xr:uid="{00000000-0005-0000-0000-00000F420000}"/>
    <cellStyle name="20% - Accent6 3 4 2 2 2" xfId="3149" xr:uid="{00000000-0005-0000-0000-000010420000}"/>
    <cellStyle name="20% - Accent6 3 4 2 2 2 2" xfId="4806" xr:uid="{00000000-0005-0000-0000-000011420000}"/>
    <cellStyle name="20% - Accent6 3 4 2 2 2 2 2" xfId="8037" xr:uid="{00000000-0005-0000-0000-000012420000}"/>
    <cellStyle name="20% - Accent6 3 4 2 2 2 2 2 2" xfId="14496" xr:uid="{00000000-0005-0000-0000-000013420000}"/>
    <cellStyle name="20% - Accent6 3 4 2 2 2 2 2 2 2" xfId="27413" xr:uid="{00000000-0005-0000-0000-000014420000}"/>
    <cellStyle name="20% - Accent6 3 4 2 2 2 2 2 2 2 2" xfId="53287" xr:uid="{00000000-0005-0000-0000-000015420000}"/>
    <cellStyle name="20% - Accent6 3 4 2 2 2 2 2 2 3" xfId="40371" xr:uid="{00000000-0005-0000-0000-000016420000}"/>
    <cellStyle name="20% - Accent6 3 4 2 2 2 2 2 3" xfId="20955" xr:uid="{00000000-0005-0000-0000-000017420000}"/>
    <cellStyle name="20% - Accent6 3 4 2 2 2 2 2 3 2" xfId="46829" xr:uid="{00000000-0005-0000-0000-000018420000}"/>
    <cellStyle name="20% - Accent6 3 4 2 2 2 2 2 4" xfId="33913" xr:uid="{00000000-0005-0000-0000-000019420000}"/>
    <cellStyle name="20% - Accent6 3 4 2 2 2 2 3" xfId="11268" xr:uid="{00000000-0005-0000-0000-00001A420000}"/>
    <cellStyle name="20% - Accent6 3 4 2 2 2 2 3 2" xfId="24185" xr:uid="{00000000-0005-0000-0000-00001B420000}"/>
    <cellStyle name="20% - Accent6 3 4 2 2 2 2 3 2 2" xfId="50059" xr:uid="{00000000-0005-0000-0000-00001C420000}"/>
    <cellStyle name="20% - Accent6 3 4 2 2 2 2 3 3" xfId="37143" xr:uid="{00000000-0005-0000-0000-00001D420000}"/>
    <cellStyle name="20% - Accent6 3 4 2 2 2 2 4" xfId="17727" xr:uid="{00000000-0005-0000-0000-00001E420000}"/>
    <cellStyle name="20% - Accent6 3 4 2 2 2 2 4 2" xfId="43601" xr:uid="{00000000-0005-0000-0000-00001F420000}"/>
    <cellStyle name="20% - Accent6 3 4 2 2 2 2 5" xfId="30653" xr:uid="{00000000-0005-0000-0000-000020420000}"/>
    <cellStyle name="20% - Accent6 3 4 2 2 2 3" xfId="6423" xr:uid="{00000000-0005-0000-0000-000021420000}"/>
    <cellStyle name="20% - Accent6 3 4 2 2 2 3 2" xfId="12882" xr:uid="{00000000-0005-0000-0000-000022420000}"/>
    <cellStyle name="20% - Accent6 3 4 2 2 2 3 2 2" xfId="25799" xr:uid="{00000000-0005-0000-0000-000023420000}"/>
    <cellStyle name="20% - Accent6 3 4 2 2 2 3 2 2 2" xfId="51673" xr:uid="{00000000-0005-0000-0000-000024420000}"/>
    <cellStyle name="20% - Accent6 3 4 2 2 2 3 2 3" xfId="38757" xr:uid="{00000000-0005-0000-0000-000025420000}"/>
    <cellStyle name="20% - Accent6 3 4 2 2 2 3 3" xfId="19341" xr:uid="{00000000-0005-0000-0000-000026420000}"/>
    <cellStyle name="20% - Accent6 3 4 2 2 2 3 3 2" xfId="45215" xr:uid="{00000000-0005-0000-0000-000027420000}"/>
    <cellStyle name="20% - Accent6 3 4 2 2 2 3 4" xfId="32299" xr:uid="{00000000-0005-0000-0000-000028420000}"/>
    <cellStyle name="20% - Accent6 3 4 2 2 2 4" xfId="9654" xr:uid="{00000000-0005-0000-0000-000029420000}"/>
    <cellStyle name="20% - Accent6 3 4 2 2 2 4 2" xfId="22571" xr:uid="{00000000-0005-0000-0000-00002A420000}"/>
    <cellStyle name="20% - Accent6 3 4 2 2 2 4 2 2" xfId="48445" xr:uid="{00000000-0005-0000-0000-00002B420000}"/>
    <cellStyle name="20% - Accent6 3 4 2 2 2 4 3" xfId="35529" xr:uid="{00000000-0005-0000-0000-00002C420000}"/>
    <cellStyle name="20% - Accent6 3 4 2 2 2 5" xfId="16113" xr:uid="{00000000-0005-0000-0000-00002D420000}"/>
    <cellStyle name="20% - Accent6 3 4 2 2 2 5 2" xfId="41987" xr:uid="{00000000-0005-0000-0000-00002E420000}"/>
    <cellStyle name="20% - Accent6 3 4 2 2 2 6" xfId="29039" xr:uid="{00000000-0005-0000-0000-00002F420000}"/>
    <cellStyle name="20% - Accent6 3 4 2 2 3" xfId="3976" xr:uid="{00000000-0005-0000-0000-000030420000}"/>
    <cellStyle name="20% - Accent6 3 4 2 2 3 2" xfId="7230" xr:uid="{00000000-0005-0000-0000-000031420000}"/>
    <cellStyle name="20% - Accent6 3 4 2 2 3 2 2" xfId="13689" xr:uid="{00000000-0005-0000-0000-000032420000}"/>
    <cellStyle name="20% - Accent6 3 4 2 2 3 2 2 2" xfId="26606" xr:uid="{00000000-0005-0000-0000-000033420000}"/>
    <cellStyle name="20% - Accent6 3 4 2 2 3 2 2 2 2" xfId="52480" xr:uid="{00000000-0005-0000-0000-000034420000}"/>
    <cellStyle name="20% - Accent6 3 4 2 2 3 2 2 3" xfId="39564" xr:uid="{00000000-0005-0000-0000-000035420000}"/>
    <cellStyle name="20% - Accent6 3 4 2 2 3 2 3" xfId="20148" xr:uid="{00000000-0005-0000-0000-000036420000}"/>
    <cellStyle name="20% - Accent6 3 4 2 2 3 2 3 2" xfId="46022" xr:uid="{00000000-0005-0000-0000-000037420000}"/>
    <cellStyle name="20% - Accent6 3 4 2 2 3 2 4" xfId="33106" xr:uid="{00000000-0005-0000-0000-000038420000}"/>
    <cellStyle name="20% - Accent6 3 4 2 2 3 3" xfId="10461" xr:uid="{00000000-0005-0000-0000-000039420000}"/>
    <cellStyle name="20% - Accent6 3 4 2 2 3 3 2" xfId="23378" xr:uid="{00000000-0005-0000-0000-00003A420000}"/>
    <cellStyle name="20% - Accent6 3 4 2 2 3 3 2 2" xfId="49252" xr:uid="{00000000-0005-0000-0000-00003B420000}"/>
    <cellStyle name="20% - Accent6 3 4 2 2 3 3 3" xfId="36336" xr:uid="{00000000-0005-0000-0000-00003C420000}"/>
    <cellStyle name="20% - Accent6 3 4 2 2 3 4" xfId="16920" xr:uid="{00000000-0005-0000-0000-00003D420000}"/>
    <cellStyle name="20% - Accent6 3 4 2 2 3 4 2" xfId="42794" xr:uid="{00000000-0005-0000-0000-00003E420000}"/>
    <cellStyle name="20% - Accent6 3 4 2 2 3 5" xfId="29846" xr:uid="{00000000-0005-0000-0000-00003F420000}"/>
    <cellStyle name="20% - Accent6 3 4 2 2 4" xfId="5616" xr:uid="{00000000-0005-0000-0000-000040420000}"/>
    <cellStyle name="20% - Accent6 3 4 2 2 4 2" xfId="12075" xr:uid="{00000000-0005-0000-0000-000041420000}"/>
    <cellStyle name="20% - Accent6 3 4 2 2 4 2 2" xfId="24992" xr:uid="{00000000-0005-0000-0000-000042420000}"/>
    <cellStyle name="20% - Accent6 3 4 2 2 4 2 2 2" xfId="50866" xr:uid="{00000000-0005-0000-0000-000043420000}"/>
    <cellStyle name="20% - Accent6 3 4 2 2 4 2 3" xfId="37950" xr:uid="{00000000-0005-0000-0000-000044420000}"/>
    <cellStyle name="20% - Accent6 3 4 2 2 4 3" xfId="18534" xr:uid="{00000000-0005-0000-0000-000045420000}"/>
    <cellStyle name="20% - Accent6 3 4 2 2 4 3 2" xfId="44408" xr:uid="{00000000-0005-0000-0000-000046420000}"/>
    <cellStyle name="20% - Accent6 3 4 2 2 4 4" xfId="31492" xr:uid="{00000000-0005-0000-0000-000047420000}"/>
    <cellStyle name="20% - Accent6 3 4 2 2 5" xfId="8847" xr:uid="{00000000-0005-0000-0000-000048420000}"/>
    <cellStyle name="20% - Accent6 3 4 2 2 5 2" xfId="21764" xr:uid="{00000000-0005-0000-0000-000049420000}"/>
    <cellStyle name="20% - Accent6 3 4 2 2 5 2 2" xfId="47638" xr:uid="{00000000-0005-0000-0000-00004A420000}"/>
    <cellStyle name="20% - Accent6 3 4 2 2 5 3" xfId="34722" xr:uid="{00000000-0005-0000-0000-00004B420000}"/>
    <cellStyle name="20% - Accent6 3 4 2 2 6" xfId="15306" xr:uid="{00000000-0005-0000-0000-00004C420000}"/>
    <cellStyle name="20% - Accent6 3 4 2 2 6 2" xfId="41180" xr:uid="{00000000-0005-0000-0000-00004D420000}"/>
    <cellStyle name="20% - Accent6 3 4 2 2 7" xfId="28232" xr:uid="{00000000-0005-0000-0000-00004E420000}"/>
    <cellStyle name="20% - Accent6 3 4 2 2 8" xfId="54094" xr:uid="{00000000-0005-0000-0000-00004F420000}"/>
    <cellStyle name="20% - Accent6 3 4 2 3" xfId="2745" xr:uid="{00000000-0005-0000-0000-000050420000}"/>
    <cellStyle name="20% - Accent6 3 4 2 3 2" xfId="4402" xr:uid="{00000000-0005-0000-0000-000051420000}"/>
    <cellStyle name="20% - Accent6 3 4 2 3 2 2" xfId="7633" xr:uid="{00000000-0005-0000-0000-000052420000}"/>
    <cellStyle name="20% - Accent6 3 4 2 3 2 2 2" xfId="14092" xr:uid="{00000000-0005-0000-0000-000053420000}"/>
    <cellStyle name="20% - Accent6 3 4 2 3 2 2 2 2" xfId="27009" xr:uid="{00000000-0005-0000-0000-000054420000}"/>
    <cellStyle name="20% - Accent6 3 4 2 3 2 2 2 2 2" xfId="52883" xr:uid="{00000000-0005-0000-0000-000055420000}"/>
    <cellStyle name="20% - Accent6 3 4 2 3 2 2 2 3" xfId="39967" xr:uid="{00000000-0005-0000-0000-000056420000}"/>
    <cellStyle name="20% - Accent6 3 4 2 3 2 2 3" xfId="20551" xr:uid="{00000000-0005-0000-0000-000057420000}"/>
    <cellStyle name="20% - Accent6 3 4 2 3 2 2 3 2" xfId="46425" xr:uid="{00000000-0005-0000-0000-000058420000}"/>
    <cellStyle name="20% - Accent6 3 4 2 3 2 2 4" xfId="33509" xr:uid="{00000000-0005-0000-0000-000059420000}"/>
    <cellStyle name="20% - Accent6 3 4 2 3 2 3" xfId="10864" xr:uid="{00000000-0005-0000-0000-00005A420000}"/>
    <cellStyle name="20% - Accent6 3 4 2 3 2 3 2" xfId="23781" xr:uid="{00000000-0005-0000-0000-00005B420000}"/>
    <cellStyle name="20% - Accent6 3 4 2 3 2 3 2 2" xfId="49655" xr:uid="{00000000-0005-0000-0000-00005C420000}"/>
    <cellStyle name="20% - Accent6 3 4 2 3 2 3 3" xfId="36739" xr:uid="{00000000-0005-0000-0000-00005D420000}"/>
    <cellStyle name="20% - Accent6 3 4 2 3 2 4" xfId="17323" xr:uid="{00000000-0005-0000-0000-00005E420000}"/>
    <cellStyle name="20% - Accent6 3 4 2 3 2 4 2" xfId="43197" xr:uid="{00000000-0005-0000-0000-00005F420000}"/>
    <cellStyle name="20% - Accent6 3 4 2 3 2 5" xfId="30249" xr:uid="{00000000-0005-0000-0000-000060420000}"/>
    <cellStyle name="20% - Accent6 3 4 2 3 3" xfId="6019" xr:uid="{00000000-0005-0000-0000-000061420000}"/>
    <cellStyle name="20% - Accent6 3 4 2 3 3 2" xfId="12478" xr:uid="{00000000-0005-0000-0000-000062420000}"/>
    <cellStyle name="20% - Accent6 3 4 2 3 3 2 2" xfId="25395" xr:uid="{00000000-0005-0000-0000-000063420000}"/>
    <cellStyle name="20% - Accent6 3 4 2 3 3 2 2 2" xfId="51269" xr:uid="{00000000-0005-0000-0000-000064420000}"/>
    <cellStyle name="20% - Accent6 3 4 2 3 3 2 3" xfId="38353" xr:uid="{00000000-0005-0000-0000-000065420000}"/>
    <cellStyle name="20% - Accent6 3 4 2 3 3 3" xfId="18937" xr:uid="{00000000-0005-0000-0000-000066420000}"/>
    <cellStyle name="20% - Accent6 3 4 2 3 3 3 2" xfId="44811" xr:uid="{00000000-0005-0000-0000-000067420000}"/>
    <cellStyle name="20% - Accent6 3 4 2 3 3 4" xfId="31895" xr:uid="{00000000-0005-0000-0000-000068420000}"/>
    <cellStyle name="20% - Accent6 3 4 2 3 4" xfId="9250" xr:uid="{00000000-0005-0000-0000-000069420000}"/>
    <cellStyle name="20% - Accent6 3 4 2 3 4 2" xfId="22167" xr:uid="{00000000-0005-0000-0000-00006A420000}"/>
    <cellStyle name="20% - Accent6 3 4 2 3 4 2 2" xfId="48041" xr:uid="{00000000-0005-0000-0000-00006B420000}"/>
    <cellStyle name="20% - Accent6 3 4 2 3 4 3" xfId="35125" xr:uid="{00000000-0005-0000-0000-00006C420000}"/>
    <cellStyle name="20% - Accent6 3 4 2 3 5" xfId="15709" xr:uid="{00000000-0005-0000-0000-00006D420000}"/>
    <cellStyle name="20% - Accent6 3 4 2 3 5 2" xfId="41583" xr:uid="{00000000-0005-0000-0000-00006E420000}"/>
    <cellStyle name="20% - Accent6 3 4 2 3 6" xfId="28635" xr:uid="{00000000-0005-0000-0000-00006F420000}"/>
    <cellStyle name="20% - Accent6 3 4 2 4" xfId="3572" xr:uid="{00000000-0005-0000-0000-000070420000}"/>
    <cellStyle name="20% - Accent6 3 4 2 4 2" xfId="6826" xr:uid="{00000000-0005-0000-0000-000071420000}"/>
    <cellStyle name="20% - Accent6 3 4 2 4 2 2" xfId="13285" xr:uid="{00000000-0005-0000-0000-000072420000}"/>
    <cellStyle name="20% - Accent6 3 4 2 4 2 2 2" xfId="26202" xr:uid="{00000000-0005-0000-0000-000073420000}"/>
    <cellStyle name="20% - Accent6 3 4 2 4 2 2 2 2" xfId="52076" xr:uid="{00000000-0005-0000-0000-000074420000}"/>
    <cellStyle name="20% - Accent6 3 4 2 4 2 2 3" xfId="39160" xr:uid="{00000000-0005-0000-0000-000075420000}"/>
    <cellStyle name="20% - Accent6 3 4 2 4 2 3" xfId="19744" xr:uid="{00000000-0005-0000-0000-000076420000}"/>
    <cellStyle name="20% - Accent6 3 4 2 4 2 3 2" xfId="45618" xr:uid="{00000000-0005-0000-0000-000077420000}"/>
    <cellStyle name="20% - Accent6 3 4 2 4 2 4" xfId="32702" xr:uid="{00000000-0005-0000-0000-000078420000}"/>
    <cellStyle name="20% - Accent6 3 4 2 4 3" xfId="10057" xr:uid="{00000000-0005-0000-0000-000079420000}"/>
    <cellStyle name="20% - Accent6 3 4 2 4 3 2" xfId="22974" xr:uid="{00000000-0005-0000-0000-00007A420000}"/>
    <cellStyle name="20% - Accent6 3 4 2 4 3 2 2" xfId="48848" xr:uid="{00000000-0005-0000-0000-00007B420000}"/>
    <cellStyle name="20% - Accent6 3 4 2 4 3 3" xfId="35932" xr:uid="{00000000-0005-0000-0000-00007C420000}"/>
    <cellStyle name="20% - Accent6 3 4 2 4 4" xfId="16516" xr:uid="{00000000-0005-0000-0000-00007D420000}"/>
    <cellStyle name="20% - Accent6 3 4 2 4 4 2" xfId="42390" xr:uid="{00000000-0005-0000-0000-00007E420000}"/>
    <cellStyle name="20% - Accent6 3 4 2 4 5" xfId="29442" xr:uid="{00000000-0005-0000-0000-00007F420000}"/>
    <cellStyle name="20% - Accent6 3 4 2 5" xfId="5212" xr:uid="{00000000-0005-0000-0000-000080420000}"/>
    <cellStyle name="20% - Accent6 3 4 2 5 2" xfId="11671" xr:uid="{00000000-0005-0000-0000-000081420000}"/>
    <cellStyle name="20% - Accent6 3 4 2 5 2 2" xfId="24588" xr:uid="{00000000-0005-0000-0000-000082420000}"/>
    <cellStyle name="20% - Accent6 3 4 2 5 2 2 2" xfId="50462" xr:uid="{00000000-0005-0000-0000-000083420000}"/>
    <cellStyle name="20% - Accent6 3 4 2 5 2 3" xfId="37546" xr:uid="{00000000-0005-0000-0000-000084420000}"/>
    <cellStyle name="20% - Accent6 3 4 2 5 3" xfId="18130" xr:uid="{00000000-0005-0000-0000-000085420000}"/>
    <cellStyle name="20% - Accent6 3 4 2 5 3 2" xfId="44004" xr:uid="{00000000-0005-0000-0000-000086420000}"/>
    <cellStyle name="20% - Accent6 3 4 2 5 4" xfId="31088" xr:uid="{00000000-0005-0000-0000-000087420000}"/>
    <cellStyle name="20% - Accent6 3 4 2 6" xfId="8443" xr:uid="{00000000-0005-0000-0000-000088420000}"/>
    <cellStyle name="20% - Accent6 3 4 2 6 2" xfId="21360" xr:uid="{00000000-0005-0000-0000-000089420000}"/>
    <cellStyle name="20% - Accent6 3 4 2 6 2 2" xfId="47234" xr:uid="{00000000-0005-0000-0000-00008A420000}"/>
    <cellStyle name="20% - Accent6 3 4 2 6 3" xfId="34318" xr:uid="{00000000-0005-0000-0000-00008B420000}"/>
    <cellStyle name="20% - Accent6 3 4 2 7" xfId="14902" xr:uid="{00000000-0005-0000-0000-00008C420000}"/>
    <cellStyle name="20% - Accent6 3 4 2 7 2" xfId="40776" xr:uid="{00000000-0005-0000-0000-00008D420000}"/>
    <cellStyle name="20% - Accent6 3 4 2 8" xfId="27827" xr:uid="{00000000-0005-0000-0000-00008E420000}"/>
    <cellStyle name="20% - Accent6 3 4 2 9" xfId="53690" xr:uid="{00000000-0005-0000-0000-00008F420000}"/>
    <cellStyle name="20% - Accent6 3 4 3" xfId="2140" xr:uid="{00000000-0005-0000-0000-000090420000}"/>
    <cellStyle name="20% - Accent6 3 4 3 2" xfId="2954" xr:uid="{00000000-0005-0000-0000-000091420000}"/>
    <cellStyle name="20% - Accent6 3 4 3 2 2" xfId="4611" xr:uid="{00000000-0005-0000-0000-000092420000}"/>
    <cellStyle name="20% - Accent6 3 4 3 2 2 2" xfId="7842" xr:uid="{00000000-0005-0000-0000-000093420000}"/>
    <cellStyle name="20% - Accent6 3 4 3 2 2 2 2" xfId="14301" xr:uid="{00000000-0005-0000-0000-000094420000}"/>
    <cellStyle name="20% - Accent6 3 4 3 2 2 2 2 2" xfId="27218" xr:uid="{00000000-0005-0000-0000-000095420000}"/>
    <cellStyle name="20% - Accent6 3 4 3 2 2 2 2 2 2" xfId="53092" xr:uid="{00000000-0005-0000-0000-000096420000}"/>
    <cellStyle name="20% - Accent6 3 4 3 2 2 2 2 3" xfId="40176" xr:uid="{00000000-0005-0000-0000-000097420000}"/>
    <cellStyle name="20% - Accent6 3 4 3 2 2 2 3" xfId="20760" xr:uid="{00000000-0005-0000-0000-000098420000}"/>
    <cellStyle name="20% - Accent6 3 4 3 2 2 2 3 2" xfId="46634" xr:uid="{00000000-0005-0000-0000-000099420000}"/>
    <cellStyle name="20% - Accent6 3 4 3 2 2 2 4" xfId="33718" xr:uid="{00000000-0005-0000-0000-00009A420000}"/>
    <cellStyle name="20% - Accent6 3 4 3 2 2 3" xfId="11073" xr:uid="{00000000-0005-0000-0000-00009B420000}"/>
    <cellStyle name="20% - Accent6 3 4 3 2 2 3 2" xfId="23990" xr:uid="{00000000-0005-0000-0000-00009C420000}"/>
    <cellStyle name="20% - Accent6 3 4 3 2 2 3 2 2" xfId="49864" xr:uid="{00000000-0005-0000-0000-00009D420000}"/>
    <cellStyle name="20% - Accent6 3 4 3 2 2 3 3" xfId="36948" xr:uid="{00000000-0005-0000-0000-00009E420000}"/>
    <cellStyle name="20% - Accent6 3 4 3 2 2 4" xfId="17532" xr:uid="{00000000-0005-0000-0000-00009F420000}"/>
    <cellStyle name="20% - Accent6 3 4 3 2 2 4 2" xfId="43406" xr:uid="{00000000-0005-0000-0000-0000A0420000}"/>
    <cellStyle name="20% - Accent6 3 4 3 2 2 5" xfId="30458" xr:uid="{00000000-0005-0000-0000-0000A1420000}"/>
    <cellStyle name="20% - Accent6 3 4 3 2 3" xfId="6228" xr:uid="{00000000-0005-0000-0000-0000A2420000}"/>
    <cellStyle name="20% - Accent6 3 4 3 2 3 2" xfId="12687" xr:uid="{00000000-0005-0000-0000-0000A3420000}"/>
    <cellStyle name="20% - Accent6 3 4 3 2 3 2 2" xfId="25604" xr:uid="{00000000-0005-0000-0000-0000A4420000}"/>
    <cellStyle name="20% - Accent6 3 4 3 2 3 2 2 2" xfId="51478" xr:uid="{00000000-0005-0000-0000-0000A5420000}"/>
    <cellStyle name="20% - Accent6 3 4 3 2 3 2 3" xfId="38562" xr:uid="{00000000-0005-0000-0000-0000A6420000}"/>
    <cellStyle name="20% - Accent6 3 4 3 2 3 3" xfId="19146" xr:uid="{00000000-0005-0000-0000-0000A7420000}"/>
    <cellStyle name="20% - Accent6 3 4 3 2 3 3 2" xfId="45020" xr:uid="{00000000-0005-0000-0000-0000A8420000}"/>
    <cellStyle name="20% - Accent6 3 4 3 2 3 4" xfId="32104" xr:uid="{00000000-0005-0000-0000-0000A9420000}"/>
    <cellStyle name="20% - Accent6 3 4 3 2 4" xfId="9459" xr:uid="{00000000-0005-0000-0000-0000AA420000}"/>
    <cellStyle name="20% - Accent6 3 4 3 2 4 2" xfId="22376" xr:uid="{00000000-0005-0000-0000-0000AB420000}"/>
    <cellStyle name="20% - Accent6 3 4 3 2 4 2 2" xfId="48250" xr:uid="{00000000-0005-0000-0000-0000AC420000}"/>
    <cellStyle name="20% - Accent6 3 4 3 2 4 3" xfId="35334" xr:uid="{00000000-0005-0000-0000-0000AD420000}"/>
    <cellStyle name="20% - Accent6 3 4 3 2 5" xfId="15918" xr:uid="{00000000-0005-0000-0000-0000AE420000}"/>
    <cellStyle name="20% - Accent6 3 4 3 2 5 2" xfId="41792" xr:uid="{00000000-0005-0000-0000-0000AF420000}"/>
    <cellStyle name="20% - Accent6 3 4 3 2 6" xfId="28844" xr:uid="{00000000-0005-0000-0000-0000B0420000}"/>
    <cellStyle name="20% - Accent6 3 4 3 3" xfId="3781" xr:uid="{00000000-0005-0000-0000-0000B1420000}"/>
    <cellStyle name="20% - Accent6 3 4 3 3 2" xfId="7035" xr:uid="{00000000-0005-0000-0000-0000B2420000}"/>
    <cellStyle name="20% - Accent6 3 4 3 3 2 2" xfId="13494" xr:uid="{00000000-0005-0000-0000-0000B3420000}"/>
    <cellStyle name="20% - Accent6 3 4 3 3 2 2 2" xfId="26411" xr:uid="{00000000-0005-0000-0000-0000B4420000}"/>
    <cellStyle name="20% - Accent6 3 4 3 3 2 2 2 2" xfId="52285" xr:uid="{00000000-0005-0000-0000-0000B5420000}"/>
    <cellStyle name="20% - Accent6 3 4 3 3 2 2 3" xfId="39369" xr:uid="{00000000-0005-0000-0000-0000B6420000}"/>
    <cellStyle name="20% - Accent6 3 4 3 3 2 3" xfId="19953" xr:uid="{00000000-0005-0000-0000-0000B7420000}"/>
    <cellStyle name="20% - Accent6 3 4 3 3 2 3 2" xfId="45827" xr:uid="{00000000-0005-0000-0000-0000B8420000}"/>
    <cellStyle name="20% - Accent6 3 4 3 3 2 4" xfId="32911" xr:uid="{00000000-0005-0000-0000-0000B9420000}"/>
    <cellStyle name="20% - Accent6 3 4 3 3 3" xfId="10266" xr:uid="{00000000-0005-0000-0000-0000BA420000}"/>
    <cellStyle name="20% - Accent6 3 4 3 3 3 2" xfId="23183" xr:uid="{00000000-0005-0000-0000-0000BB420000}"/>
    <cellStyle name="20% - Accent6 3 4 3 3 3 2 2" xfId="49057" xr:uid="{00000000-0005-0000-0000-0000BC420000}"/>
    <cellStyle name="20% - Accent6 3 4 3 3 3 3" xfId="36141" xr:uid="{00000000-0005-0000-0000-0000BD420000}"/>
    <cellStyle name="20% - Accent6 3 4 3 3 4" xfId="16725" xr:uid="{00000000-0005-0000-0000-0000BE420000}"/>
    <cellStyle name="20% - Accent6 3 4 3 3 4 2" xfId="42599" xr:uid="{00000000-0005-0000-0000-0000BF420000}"/>
    <cellStyle name="20% - Accent6 3 4 3 3 5" xfId="29651" xr:uid="{00000000-0005-0000-0000-0000C0420000}"/>
    <cellStyle name="20% - Accent6 3 4 3 4" xfId="5421" xr:uid="{00000000-0005-0000-0000-0000C1420000}"/>
    <cellStyle name="20% - Accent6 3 4 3 4 2" xfId="11880" xr:uid="{00000000-0005-0000-0000-0000C2420000}"/>
    <cellStyle name="20% - Accent6 3 4 3 4 2 2" xfId="24797" xr:uid="{00000000-0005-0000-0000-0000C3420000}"/>
    <cellStyle name="20% - Accent6 3 4 3 4 2 2 2" xfId="50671" xr:uid="{00000000-0005-0000-0000-0000C4420000}"/>
    <cellStyle name="20% - Accent6 3 4 3 4 2 3" xfId="37755" xr:uid="{00000000-0005-0000-0000-0000C5420000}"/>
    <cellStyle name="20% - Accent6 3 4 3 4 3" xfId="18339" xr:uid="{00000000-0005-0000-0000-0000C6420000}"/>
    <cellStyle name="20% - Accent6 3 4 3 4 3 2" xfId="44213" xr:uid="{00000000-0005-0000-0000-0000C7420000}"/>
    <cellStyle name="20% - Accent6 3 4 3 4 4" xfId="31297" xr:uid="{00000000-0005-0000-0000-0000C8420000}"/>
    <cellStyle name="20% - Accent6 3 4 3 5" xfId="8652" xr:uid="{00000000-0005-0000-0000-0000C9420000}"/>
    <cellStyle name="20% - Accent6 3 4 3 5 2" xfId="21569" xr:uid="{00000000-0005-0000-0000-0000CA420000}"/>
    <cellStyle name="20% - Accent6 3 4 3 5 2 2" xfId="47443" xr:uid="{00000000-0005-0000-0000-0000CB420000}"/>
    <cellStyle name="20% - Accent6 3 4 3 5 3" xfId="34527" xr:uid="{00000000-0005-0000-0000-0000CC420000}"/>
    <cellStyle name="20% - Accent6 3 4 3 6" xfId="15111" xr:uid="{00000000-0005-0000-0000-0000CD420000}"/>
    <cellStyle name="20% - Accent6 3 4 3 6 2" xfId="40985" xr:uid="{00000000-0005-0000-0000-0000CE420000}"/>
    <cellStyle name="20% - Accent6 3 4 3 7" xfId="28037" xr:uid="{00000000-0005-0000-0000-0000CF420000}"/>
    <cellStyle name="20% - Accent6 3 4 3 8" xfId="53899" xr:uid="{00000000-0005-0000-0000-0000D0420000}"/>
    <cellStyle name="20% - Accent6 3 4 4" xfId="2551" xr:uid="{00000000-0005-0000-0000-0000D1420000}"/>
    <cellStyle name="20% - Accent6 3 4 4 2" xfId="4208" xr:uid="{00000000-0005-0000-0000-0000D2420000}"/>
    <cellStyle name="20% - Accent6 3 4 4 2 2" xfId="7439" xr:uid="{00000000-0005-0000-0000-0000D3420000}"/>
    <cellStyle name="20% - Accent6 3 4 4 2 2 2" xfId="13898" xr:uid="{00000000-0005-0000-0000-0000D4420000}"/>
    <cellStyle name="20% - Accent6 3 4 4 2 2 2 2" xfId="26815" xr:uid="{00000000-0005-0000-0000-0000D5420000}"/>
    <cellStyle name="20% - Accent6 3 4 4 2 2 2 2 2" xfId="52689" xr:uid="{00000000-0005-0000-0000-0000D6420000}"/>
    <cellStyle name="20% - Accent6 3 4 4 2 2 2 3" xfId="39773" xr:uid="{00000000-0005-0000-0000-0000D7420000}"/>
    <cellStyle name="20% - Accent6 3 4 4 2 2 3" xfId="20357" xr:uid="{00000000-0005-0000-0000-0000D8420000}"/>
    <cellStyle name="20% - Accent6 3 4 4 2 2 3 2" xfId="46231" xr:uid="{00000000-0005-0000-0000-0000D9420000}"/>
    <cellStyle name="20% - Accent6 3 4 4 2 2 4" xfId="33315" xr:uid="{00000000-0005-0000-0000-0000DA420000}"/>
    <cellStyle name="20% - Accent6 3 4 4 2 3" xfId="10670" xr:uid="{00000000-0005-0000-0000-0000DB420000}"/>
    <cellStyle name="20% - Accent6 3 4 4 2 3 2" xfId="23587" xr:uid="{00000000-0005-0000-0000-0000DC420000}"/>
    <cellStyle name="20% - Accent6 3 4 4 2 3 2 2" xfId="49461" xr:uid="{00000000-0005-0000-0000-0000DD420000}"/>
    <cellStyle name="20% - Accent6 3 4 4 2 3 3" xfId="36545" xr:uid="{00000000-0005-0000-0000-0000DE420000}"/>
    <cellStyle name="20% - Accent6 3 4 4 2 4" xfId="17129" xr:uid="{00000000-0005-0000-0000-0000DF420000}"/>
    <cellStyle name="20% - Accent6 3 4 4 2 4 2" xfId="43003" xr:uid="{00000000-0005-0000-0000-0000E0420000}"/>
    <cellStyle name="20% - Accent6 3 4 4 2 5" xfId="30055" xr:uid="{00000000-0005-0000-0000-0000E1420000}"/>
    <cellStyle name="20% - Accent6 3 4 4 3" xfId="5825" xr:uid="{00000000-0005-0000-0000-0000E2420000}"/>
    <cellStyle name="20% - Accent6 3 4 4 3 2" xfId="12284" xr:uid="{00000000-0005-0000-0000-0000E3420000}"/>
    <cellStyle name="20% - Accent6 3 4 4 3 2 2" xfId="25201" xr:uid="{00000000-0005-0000-0000-0000E4420000}"/>
    <cellStyle name="20% - Accent6 3 4 4 3 2 2 2" xfId="51075" xr:uid="{00000000-0005-0000-0000-0000E5420000}"/>
    <cellStyle name="20% - Accent6 3 4 4 3 2 3" xfId="38159" xr:uid="{00000000-0005-0000-0000-0000E6420000}"/>
    <cellStyle name="20% - Accent6 3 4 4 3 3" xfId="18743" xr:uid="{00000000-0005-0000-0000-0000E7420000}"/>
    <cellStyle name="20% - Accent6 3 4 4 3 3 2" xfId="44617" xr:uid="{00000000-0005-0000-0000-0000E8420000}"/>
    <cellStyle name="20% - Accent6 3 4 4 3 4" xfId="31701" xr:uid="{00000000-0005-0000-0000-0000E9420000}"/>
    <cellStyle name="20% - Accent6 3 4 4 4" xfId="9056" xr:uid="{00000000-0005-0000-0000-0000EA420000}"/>
    <cellStyle name="20% - Accent6 3 4 4 4 2" xfId="21973" xr:uid="{00000000-0005-0000-0000-0000EB420000}"/>
    <cellStyle name="20% - Accent6 3 4 4 4 2 2" xfId="47847" xr:uid="{00000000-0005-0000-0000-0000EC420000}"/>
    <cellStyle name="20% - Accent6 3 4 4 4 3" xfId="34931" xr:uid="{00000000-0005-0000-0000-0000ED420000}"/>
    <cellStyle name="20% - Accent6 3 4 4 5" xfId="15515" xr:uid="{00000000-0005-0000-0000-0000EE420000}"/>
    <cellStyle name="20% - Accent6 3 4 4 5 2" xfId="41389" xr:uid="{00000000-0005-0000-0000-0000EF420000}"/>
    <cellStyle name="20% - Accent6 3 4 4 6" xfId="28441" xr:uid="{00000000-0005-0000-0000-0000F0420000}"/>
    <cellStyle name="20% - Accent6 3 4 5" xfId="3376" xr:uid="{00000000-0005-0000-0000-0000F1420000}"/>
    <cellStyle name="20% - Accent6 3 4 5 2" xfId="6632" xr:uid="{00000000-0005-0000-0000-0000F2420000}"/>
    <cellStyle name="20% - Accent6 3 4 5 2 2" xfId="13091" xr:uid="{00000000-0005-0000-0000-0000F3420000}"/>
    <cellStyle name="20% - Accent6 3 4 5 2 2 2" xfId="26008" xr:uid="{00000000-0005-0000-0000-0000F4420000}"/>
    <cellStyle name="20% - Accent6 3 4 5 2 2 2 2" xfId="51882" xr:uid="{00000000-0005-0000-0000-0000F5420000}"/>
    <cellStyle name="20% - Accent6 3 4 5 2 2 3" xfId="38966" xr:uid="{00000000-0005-0000-0000-0000F6420000}"/>
    <cellStyle name="20% - Accent6 3 4 5 2 3" xfId="19550" xr:uid="{00000000-0005-0000-0000-0000F7420000}"/>
    <cellStyle name="20% - Accent6 3 4 5 2 3 2" xfId="45424" xr:uid="{00000000-0005-0000-0000-0000F8420000}"/>
    <cellStyle name="20% - Accent6 3 4 5 2 4" xfId="32508" xr:uid="{00000000-0005-0000-0000-0000F9420000}"/>
    <cellStyle name="20% - Accent6 3 4 5 3" xfId="9863" xr:uid="{00000000-0005-0000-0000-0000FA420000}"/>
    <cellStyle name="20% - Accent6 3 4 5 3 2" xfId="22780" xr:uid="{00000000-0005-0000-0000-0000FB420000}"/>
    <cellStyle name="20% - Accent6 3 4 5 3 2 2" xfId="48654" xr:uid="{00000000-0005-0000-0000-0000FC420000}"/>
    <cellStyle name="20% - Accent6 3 4 5 3 3" xfId="35738" xr:uid="{00000000-0005-0000-0000-0000FD420000}"/>
    <cellStyle name="20% - Accent6 3 4 5 4" xfId="16322" xr:uid="{00000000-0005-0000-0000-0000FE420000}"/>
    <cellStyle name="20% - Accent6 3 4 5 4 2" xfId="42196" xr:uid="{00000000-0005-0000-0000-0000FF420000}"/>
    <cellStyle name="20% - Accent6 3 4 5 5" xfId="29248" xr:uid="{00000000-0005-0000-0000-000000430000}"/>
    <cellStyle name="20% - Accent6 3 4 6" xfId="5018" xr:uid="{00000000-0005-0000-0000-000001430000}"/>
    <cellStyle name="20% - Accent6 3 4 6 2" xfId="11477" xr:uid="{00000000-0005-0000-0000-000002430000}"/>
    <cellStyle name="20% - Accent6 3 4 6 2 2" xfId="24394" xr:uid="{00000000-0005-0000-0000-000003430000}"/>
    <cellStyle name="20% - Accent6 3 4 6 2 2 2" xfId="50268" xr:uid="{00000000-0005-0000-0000-000004430000}"/>
    <cellStyle name="20% - Accent6 3 4 6 2 3" xfId="37352" xr:uid="{00000000-0005-0000-0000-000005430000}"/>
    <cellStyle name="20% - Accent6 3 4 6 3" xfId="17936" xr:uid="{00000000-0005-0000-0000-000006430000}"/>
    <cellStyle name="20% - Accent6 3 4 6 3 2" xfId="43810" xr:uid="{00000000-0005-0000-0000-000007430000}"/>
    <cellStyle name="20% - Accent6 3 4 6 4" xfId="30894" xr:uid="{00000000-0005-0000-0000-000008430000}"/>
    <cellStyle name="20% - Accent6 3 4 7" xfId="8248" xr:uid="{00000000-0005-0000-0000-000009430000}"/>
    <cellStyle name="20% - Accent6 3 4 7 2" xfId="21165" xr:uid="{00000000-0005-0000-0000-00000A430000}"/>
    <cellStyle name="20% - Accent6 3 4 7 2 2" xfId="47039" xr:uid="{00000000-0005-0000-0000-00000B430000}"/>
    <cellStyle name="20% - Accent6 3 4 7 3" xfId="34123" xr:uid="{00000000-0005-0000-0000-00000C430000}"/>
    <cellStyle name="20% - Accent6 3 4 8" xfId="14707" xr:uid="{00000000-0005-0000-0000-00000D430000}"/>
    <cellStyle name="20% - Accent6 3 4 8 2" xfId="40581" xr:uid="{00000000-0005-0000-0000-00000E430000}"/>
    <cellStyle name="20% - Accent6 3 4 9" xfId="27631" xr:uid="{00000000-0005-0000-0000-00000F430000}"/>
    <cellStyle name="20% - Accent6 3 5" xfId="625" xr:uid="{00000000-0005-0000-0000-000010430000}"/>
    <cellStyle name="20% - Accent6 3 6" xfId="1083" xr:uid="{00000000-0005-0000-0000-000011430000}"/>
    <cellStyle name="20% - Accent6 4" xfId="233" xr:uid="{00000000-0005-0000-0000-000012430000}"/>
    <cellStyle name="20% - Accent6 4 2" xfId="423" xr:uid="{00000000-0005-0000-0000-000013430000}"/>
    <cellStyle name="20% - Accent6 4 2 2" xfId="635" xr:uid="{00000000-0005-0000-0000-000014430000}"/>
    <cellStyle name="20% - Accent6 4 2 3" xfId="634" xr:uid="{00000000-0005-0000-0000-000015430000}"/>
    <cellStyle name="20% - Accent6 4 2 4" xfId="1672" xr:uid="{00000000-0005-0000-0000-000016430000}"/>
    <cellStyle name="20% - Accent6 4 3" xfId="636" xr:uid="{00000000-0005-0000-0000-000017430000}"/>
    <cellStyle name="20% - Accent6 4 3 10" xfId="53534" xr:uid="{00000000-0005-0000-0000-000018430000}"/>
    <cellStyle name="20% - Accent6 4 3 11" xfId="1618" xr:uid="{00000000-0005-0000-0000-000019430000}"/>
    <cellStyle name="20% - Accent6 4 3 2" xfId="1943" xr:uid="{00000000-0005-0000-0000-00001A430000}"/>
    <cellStyle name="20% - Accent6 4 3 2 2" xfId="2374" xr:uid="{00000000-0005-0000-0000-00001B430000}"/>
    <cellStyle name="20% - Accent6 4 3 2 2 2" xfId="3187" xr:uid="{00000000-0005-0000-0000-00001C430000}"/>
    <cellStyle name="20% - Accent6 4 3 2 2 2 2" xfId="4844" xr:uid="{00000000-0005-0000-0000-00001D430000}"/>
    <cellStyle name="20% - Accent6 4 3 2 2 2 2 2" xfId="8075" xr:uid="{00000000-0005-0000-0000-00001E430000}"/>
    <cellStyle name="20% - Accent6 4 3 2 2 2 2 2 2" xfId="14534" xr:uid="{00000000-0005-0000-0000-00001F430000}"/>
    <cellStyle name="20% - Accent6 4 3 2 2 2 2 2 2 2" xfId="27451" xr:uid="{00000000-0005-0000-0000-000020430000}"/>
    <cellStyle name="20% - Accent6 4 3 2 2 2 2 2 2 2 2" xfId="53325" xr:uid="{00000000-0005-0000-0000-000021430000}"/>
    <cellStyle name="20% - Accent6 4 3 2 2 2 2 2 2 3" xfId="40409" xr:uid="{00000000-0005-0000-0000-000022430000}"/>
    <cellStyle name="20% - Accent6 4 3 2 2 2 2 2 3" xfId="20993" xr:uid="{00000000-0005-0000-0000-000023430000}"/>
    <cellStyle name="20% - Accent6 4 3 2 2 2 2 2 3 2" xfId="46867" xr:uid="{00000000-0005-0000-0000-000024430000}"/>
    <cellStyle name="20% - Accent6 4 3 2 2 2 2 2 4" xfId="33951" xr:uid="{00000000-0005-0000-0000-000025430000}"/>
    <cellStyle name="20% - Accent6 4 3 2 2 2 2 3" xfId="11306" xr:uid="{00000000-0005-0000-0000-000026430000}"/>
    <cellStyle name="20% - Accent6 4 3 2 2 2 2 3 2" xfId="24223" xr:uid="{00000000-0005-0000-0000-000027430000}"/>
    <cellStyle name="20% - Accent6 4 3 2 2 2 2 3 2 2" xfId="50097" xr:uid="{00000000-0005-0000-0000-000028430000}"/>
    <cellStyle name="20% - Accent6 4 3 2 2 2 2 3 3" xfId="37181" xr:uid="{00000000-0005-0000-0000-000029430000}"/>
    <cellStyle name="20% - Accent6 4 3 2 2 2 2 4" xfId="17765" xr:uid="{00000000-0005-0000-0000-00002A430000}"/>
    <cellStyle name="20% - Accent6 4 3 2 2 2 2 4 2" xfId="43639" xr:uid="{00000000-0005-0000-0000-00002B430000}"/>
    <cellStyle name="20% - Accent6 4 3 2 2 2 2 5" xfId="30691" xr:uid="{00000000-0005-0000-0000-00002C430000}"/>
    <cellStyle name="20% - Accent6 4 3 2 2 2 3" xfId="6461" xr:uid="{00000000-0005-0000-0000-00002D430000}"/>
    <cellStyle name="20% - Accent6 4 3 2 2 2 3 2" xfId="12920" xr:uid="{00000000-0005-0000-0000-00002E430000}"/>
    <cellStyle name="20% - Accent6 4 3 2 2 2 3 2 2" xfId="25837" xr:uid="{00000000-0005-0000-0000-00002F430000}"/>
    <cellStyle name="20% - Accent6 4 3 2 2 2 3 2 2 2" xfId="51711" xr:uid="{00000000-0005-0000-0000-000030430000}"/>
    <cellStyle name="20% - Accent6 4 3 2 2 2 3 2 3" xfId="38795" xr:uid="{00000000-0005-0000-0000-000031430000}"/>
    <cellStyle name="20% - Accent6 4 3 2 2 2 3 3" xfId="19379" xr:uid="{00000000-0005-0000-0000-000032430000}"/>
    <cellStyle name="20% - Accent6 4 3 2 2 2 3 3 2" xfId="45253" xr:uid="{00000000-0005-0000-0000-000033430000}"/>
    <cellStyle name="20% - Accent6 4 3 2 2 2 3 4" xfId="32337" xr:uid="{00000000-0005-0000-0000-000034430000}"/>
    <cellStyle name="20% - Accent6 4 3 2 2 2 4" xfId="9692" xr:uid="{00000000-0005-0000-0000-000035430000}"/>
    <cellStyle name="20% - Accent6 4 3 2 2 2 4 2" xfId="22609" xr:uid="{00000000-0005-0000-0000-000036430000}"/>
    <cellStyle name="20% - Accent6 4 3 2 2 2 4 2 2" xfId="48483" xr:uid="{00000000-0005-0000-0000-000037430000}"/>
    <cellStyle name="20% - Accent6 4 3 2 2 2 4 3" xfId="35567" xr:uid="{00000000-0005-0000-0000-000038430000}"/>
    <cellStyle name="20% - Accent6 4 3 2 2 2 5" xfId="16151" xr:uid="{00000000-0005-0000-0000-000039430000}"/>
    <cellStyle name="20% - Accent6 4 3 2 2 2 5 2" xfId="42025" xr:uid="{00000000-0005-0000-0000-00003A430000}"/>
    <cellStyle name="20% - Accent6 4 3 2 2 2 6" xfId="29077" xr:uid="{00000000-0005-0000-0000-00003B430000}"/>
    <cellStyle name="20% - Accent6 4 3 2 2 3" xfId="4014" xr:uid="{00000000-0005-0000-0000-00003C430000}"/>
    <cellStyle name="20% - Accent6 4 3 2 2 3 2" xfId="7268" xr:uid="{00000000-0005-0000-0000-00003D430000}"/>
    <cellStyle name="20% - Accent6 4 3 2 2 3 2 2" xfId="13727" xr:uid="{00000000-0005-0000-0000-00003E430000}"/>
    <cellStyle name="20% - Accent6 4 3 2 2 3 2 2 2" xfId="26644" xr:uid="{00000000-0005-0000-0000-00003F430000}"/>
    <cellStyle name="20% - Accent6 4 3 2 2 3 2 2 2 2" xfId="52518" xr:uid="{00000000-0005-0000-0000-000040430000}"/>
    <cellStyle name="20% - Accent6 4 3 2 2 3 2 2 3" xfId="39602" xr:uid="{00000000-0005-0000-0000-000041430000}"/>
    <cellStyle name="20% - Accent6 4 3 2 2 3 2 3" xfId="20186" xr:uid="{00000000-0005-0000-0000-000042430000}"/>
    <cellStyle name="20% - Accent6 4 3 2 2 3 2 3 2" xfId="46060" xr:uid="{00000000-0005-0000-0000-000043430000}"/>
    <cellStyle name="20% - Accent6 4 3 2 2 3 2 4" xfId="33144" xr:uid="{00000000-0005-0000-0000-000044430000}"/>
    <cellStyle name="20% - Accent6 4 3 2 2 3 3" xfId="10499" xr:uid="{00000000-0005-0000-0000-000045430000}"/>
    <cellStyle name="20% - Accent6 4 3 2 2 3 3 2" xfId="23416" xr:uid="{00000000-0005-0000-0000-000046430000}"/>
    <cellStyle name="20% - Accent6 4 3 2 2 3 3 2 2" xfId="49290" xr:uid="{00000000-0005-0000-0000-000047430000}"/>
    <cellStyle name="20% - Accent6 4 3 2 2 3 3 3" xfId="36374" xr:uid="{00000000-0005-0000-0000-000048430000}"/>
    <cellStyle name="20% - Accent6 4 3 2 2 3 4" xfId="16958" xr:uid="{00000000-0005-0000-0000-000049430000}"/>
    <cellStyle name="20% - Accent6 4 3 2 2 3 4 2" xfId="42832" xr:uid="{00000000-0005-0000-0000-00004A430000}"/>
    <cellStyle name="20% - Accent6 4 3 2 2 3 5" xfId="29884" xr:uid="{00000000-0005-0000-0000-00004B430000}"/>
    <cellStyle name="20% - Accent6 4 3 2 2 4" xfId="5654" xr:uid="{00000000-0005-0000-0000-00004C430000}"/>
    <cellStyle name="20% - Accent6 4 3 2 2 4 2" xfId="12113" xr:uid="{00000000-0005-0000-0000-00004D430000}"/>
    <cellStyle name="20% - Accent6 4 3 2 2 4 2 2" xfId="25030" xr:uid="{00000000-0005-0000-0000-00004E430000}"/>
    <cellStyle name="20% - Accent6 4 3 2 2 4 2 2 2" xfId="50904" xr:uid="{00000000-0005-0000-0000-00004F430000}"/>
    <cellStyle name="20% - Accent6 4 3 2 2 4 2 3" xfId="37988" xr:uid="{00000000-0005-0000-0000-000050430000}"/>
    <cellStyle name="20% - Accent6 4 3 2 2 4 3" xfId="18572" xr:uid="{00000000-0005-0000-0000-000051430000}"/>
    <cellStyle name="20% - Accent6 4 3 2 2 4 3 2" xfId="44446" xr:uid="{00000000-0005-0000-0000-000052430000}"/>
    <cellStyle name="20% - Accent6 4 3 2 2 4 4" xfId="31530" xr:uid="{00000000-0005-0000-0000-000053430000}"/>
    <cellStyle name="20% - Accent6 4 3 2 2 5" xfId="8885" xr:uid="{00000000-0005-0000-0000-000054430000}"/>
    <cellStyle name="20% - Accent6 4 3 2 2 5 2" xfId="21802" xr:uid="{00000000-0005-0000-0000-000055430000}"/>
    <cellStyle name="20% - Accent6 4 3 2 2 5 2 2" xfId="47676" xr:uid="{00000000-0005-0000-0000-000056430000}"/>
    <cellStyle name="20% - Accent6 4 3 2 2 5 3" xfId="34760" xr:uid="{00000000-0005-0000-0000-000057430000}"/>
    <cellStyle name="20% - Accent6 4 3 2 2 6" xfId="15344" xr:uid="{00000000-0005-0000-0000-000058430000}"/>
    <cellStyle name="20% - Accent6 4 3 2 2 6 2" xfId="41218" xr:uid="{00000000-0005-0000-0000-000059430000}"/>
    <cellStyle name="20% - Accent6 4 3 2 2 7" xfId="28270" xr:uid="{00000000-0005-0000-0000-00005A430000}"/>
    <cellStyle name="20% - Accent6 4 3 2 2 8" xfId="54132" xr:uid="{00000000-0005-0000-0000-00005B430000}"/>
    <cellStyle name="20% - Accent6 4 3 2 3" xfId="2783" xr:uid="{00000000-0005-0000-0000-00005C430000}"/>
    <cellStyle name="20% - Accent6 4 3 2 3 2" xfId="4440" xr:uid="{00000000-0005-0000-0000-00005D430000}"/>
    <cellStyle name="20% - Accent6 4 3 2 3 2 2" xfId="7671" xr:uid="{00000000-0005-0000-0000-00005E430000}"/>
    <cellStyle name="20% - Accent6 4 3 2 3 2 2 2" xfId="14130" xr:uid="{00000000-0005-0000-0000-00005F430000}"/>
    <cellStyle name="20% - Accent6 4 3 2 3 2 2 2 2" xfId="27047" xr:uid="{00000000-0005-0000-0000-000060430000}"/>
    <cellStyle name="20% - Accent6 4 3 2 3 2 2 2 2 2" xfId="52921" xr:uid="{00000000-0005-0000-0000-000061430000}"/>
    <cellStyle name="20% - Accent6 4 3 2 3 2 2 2 3" xfId="40005" xr:uid="{00000000-0005-0000-0000-000062430000}"/>
    <cellStyle name="20% - Accent6 4 3 2 3 2 2 3" xfId="20589" xr:uid="{00000000-0005-0000-0000-000063430000}"/>
    <cellStyle name="20% - Accent6 4 3 2 3 2 2 3 2" xfId="46463" xr:uid="{00000000-0005-0000-0000-000064430000}"/>
    <cellStyle name="20% - Accent6 4 3 2 3 2 2 4" xfId="33547" xr:uid="{00000000-0005-0000-0000-000065430000}"/>
    <cellStyle name="20% - Accent6 4 3 2 3 2 3" xfId="10902" xr:uid="{00000000-0005-0000-0000-000066430000}"/>
    <cellStyle name="20% - Accent6 4 3 2 3 2 3 2" xfId="23819" xr:uid="{00000000-0005-0000-0000-000067430000}"/>
    <cellStyle name="20% - Accent6 4 3 2 3 2 3 2 2" xfId="49693" xr:uid="{00000000-0005-0000-0000-000068430000}"/>
    <cellStyle name="20% - Accent6 4 3 2 3 2 3 3" xfId="36777" xr:uid="{00000000-0005-0000-0000-000069430000}"/>
    <cellStyle name="20% - Accent6 4 3 2 3 2 4" xfId="17361" xr:uid="{00000000-0005-0000-0000-00006A430000}"/>
    <cellStyle name="20% - Accent6 4 3 2 3 2 4 2" xfId="43235" xr:uid="{00000000-0005-0000-0000-00006B430000}"/>
    <cellStyle name="20% - Accent6 4 3 2 3 2 5" xfId="30287" xr:uid="{00000000-0005-0000-0000-00006C430000}"/>
    <cellStyle name="20% - Accent6 4 3 2 3 3" xfId="6057" xr:uid="{00000000-0005-0000-0000-00006D430000}"/>
    <cellStyle name="20% - Accent6 4 3 2 3 3 2" xfId="12516" xr:uid="{00000000-0005-0000-0000-00006E430000}"/>
    <cellStyle name="20% - Accent6 4 3 2 3 3 2 2" xfId="25433" xr:uid="{00000000-0005-0000-0000-00006F430000}"/>
    <cellStyle name="20% - Accent6 4 3 2 3 3 2 2 2" xfId="51307" xr:uid="{00000000-0005-0000-0000-000070430000}"/>
    <cellStyle name="20% - Accent6 4 3 2 3 3 2 3" xfId="38391" xr:uid="{00000000-0005-0000-0000-000071430000}"/>
    <cellStyle name="20% - Accent6 4 3 2 3 3 3" xfId="18975" xr:uid="{00000000-0005-0000-0000-000072430000}"/>
    <cellStyle name="20% - Accent6 4 3 2 3 3 3 2" xfId="44849" xr:uid="{00000000-0005-0000-0000-000073430000}"/>
    <cellStyle name="20% - Accent6 4 3 2 3 3 4" xfId="31933" xr:uid="{00000000-0005-0000-0000-000074430000}"/>
    <cellStyle name="20% - Accent6 4 3 2 3 4" xfId="9288" xr:uid="{00000000-0005-0000-0000-000075430000}"/>
    <cellStyle name="20% - Accent6 4 3 2 3 4 2" xfId="22205" xr:uid="{00000000-0005-0000-0000-000076430000}"/>
    <cellStyle name="20% - Accent6 4 3 2 3 4 2 2" xfId="48079" xr:uid="{00000000-0005-0000-0000-000077430000}"/>
    <cellStyle name="20% - Accent6 4 3 2 3 4 3" xfId="35163" xr:uid="{00000000-0005-0000-0000-000078430000}"/>
    <cellStyle name="20% - Accent6 4 3 2 3 5" xfId="15747" xr:uid="{00000000-0005-0000-0000-000079430000}"/>
    <cellStyle name="20% - Accent6 4 3 2 3 5 2" xfId="41621" xr:uid="{00000000-0005-0000-0000-00007A430000}"/>
    <cellStyle name="20% - Accent6 4 3 2 3 6" xfId="28673" xr:uid="{00000000-0005-0000-0000-00007B430000}"/>
    <cellStyle name="20% - Accent6 4 3 2 4" xfId="3610" xr:uid="{00000000-0005-0000-0000-00007C430000}"/>
    <cellStyle name="20% - Accent6 4 3 2 4 2" xfId="6864" xr:uid="{00000000-0005-0000-0000-00007D430000}"/>
    <cellStyle name="20% - Accent6 4 3 2 4 2 2" xfId="13323" xr:uid="{00000000-0005-0000-0000-00007E430000}"/>
    <cellStyle name="20% - Accent6 4 3 2 4 2 2 2" xfId="26240" xr:uid="{00000000-0005-0000-0000-00007F430000}"/>
    <cellStyle name="20% - Accent6 4 3 2 4 2 2 2 2" xfId="52114" xr:uid="{00000000-0005-0000-0000-000080430000}"/>
    <cellStyle name="20% - Accent6 4 3 2 4 2 2 3" xfId="39198" xr:uid="{00000000-0005-0000-0000-000081430000}"/>
    <cellStyle name="20% - Accent6 4 3 2 4 2 3" xfId="19782" xr:uid="{00000000-0005-0000-0000-000082430000}"/>
    <cellStyle name="20% - Accent6 4 3 2 4 2 3 2" xfId="45656" xr:uid="{00000000-0005-0000-0000-000083430000}"/>
    <cellStyle name="20% - Accent6 4 3 2 4 2 4" xfId="32740" xr:uid="{00000000-0005-0000-0000-000084430000}"/>
    <cellStyle name="20% - Accent6 4 3 2 4 3" xfId="10095" xr:uid="{00000000-0005-0000-0000-000085430000}"/>
    <cellStyle name="20% - Accent6 4 3 2 4 3 2" xfId="23012" xr:uid="{00000000-0005-0000-0000-000086430000}"/>
    <cellStyle name="20% - Accent6 4 3 2 4 3 2 2" xfId="48886" xr:uid="{00000000-0005-0000-0000-000087430000}"/>
    <cellStyle name="20% - Accent6 4 3 2 4 3 3" xfId="35970" xr:uid="{00000000-0005-0000-0000-000088430000}"/>
    <cellStyle name="20% - Accent6 4 3 2 4 4" xfId="16554" xr:uid="{00000000-0005-0000-0000-000089430000}"/>
    <cellStyle name="20% - Accent6 4 3 2 4 4 2" xfId="42428" xr:uid="{00000000-0005-0000-0000-00008A430000}"/>
    <cellStyle name="20% - Accent6 4 3 2 4 5" xfId="29480" xr:uid="{00000000-0005-0000-0000-00008B430000}"/>
    <cellStyle name="20% - Accent6 4 3 2 5" xfId="5250" xr:uid="{00000000-0005-0000-0000-00008C430000}"/>
    <cellStyle name="20% - Accent6 4 3 2 5 2" xfId="11709" xr:uid="{00000000-0005-0000-0000-00008D430000}"/>
    <cellStyle name="20% - Accent6 4 3 2 5 2 2" xfId="24626" xr:uid="{00000000-0005-0000-0000-00008E430000}"/>
    <cellStyle name="20% - Accent6 4 3 2 5 2 2 2" xfId="50500" xr:uid="{00000000-0005-0000-0000-00008F430000}"/>
    <cellStyle name="20% - Accent6 4 3 2 5 2 3" xfId="37584" xr:uid="{00000000-0005-0000-0000-000090430000}"/>
    <cellStyle name="20% - Accent6 4 3 2 5 3" xfId="18168" xr:uid="{00000000-0005-0000-0000-000091430000}"/>
    <cellStyle name="20% - Accent6 4 3 2 5 3 2" xfId="44042" xr:uid="{00000000-0005-0000-0000-000092430000}"/>
    <cellStyle name="20% - Accent6 4 3 2 5 4" xfId="31126" xr:uid="{00000000-0005-0000-0000-000093430000}"/>
    <cellStyle name="20% - Accent6 4 3 2 6" xfId="8481" xr:uid="{00000000-0005-0000-0000-000094430000}"/>
    <cellStyle name="20% - Accent6 4 3 2 6 2" xfId="21398" xr:uid="{00000000-0005-0000-0000-000095430000}"/>
    <cellStyle name="20% - Accent6 4 3 2 6 2 2" xfId="47272" xr:uid="{00000000-0005-0000-0000-000096430000}"/>
    <cellStyle name="20% - Accent6 4 3 2 6 3" xfId="34356" xr:uid="{00000000-0005-0000-0000-000097430000}"/>
    <cellStyle name="20% - Accent6 4 3 2 7" xfId="14940" xr:uid="{00000000-0005-0000-0000-000098430000}"/>
    <cellStyle name="20% - Accent6 4 3 2 7 2" xfId="40814" xr:uid="{00000000-0005-0000-0000-000099430000}"/>
    <cellStyle name="20% - Accent6 4 3 2 8" xfId="27865" xr:uid="{00000000-0005-0000-0000-00009A430000}"/>
    <cellStyle name="20% - Accent6 4 3 2 9" xfId="53728" xr:uid="{00000000-0005-0000-0000-00009B430000}"/>
    <cellStyle name="20% - Accent6 4 3 3" xfId="2178" xr:uid="{00000000-0005-0000-0000-00009C430000}"/>
    <cellStyle name="20% - Accent6 4 3 3 2" xfId="2992" xr:uid="{00000000-0005-0000-0000-00009D430000}"/>
    <cellStyle name="20% - Accent6 4 3 3 2 2" xfId="4649" xr:uid="{00000000-0005-0000-0000-00009E430000}"/>
    <cellStyle name="20% - Accent6 4 3 3 2 2 2" xfId="7880" xr:uid="{00000000-0005-0000-0000-00009F430000}"/>
    <cellStyle name="20% - Accent6 4 3 3 2 2 2 2" xfId="14339" xr:uid="{00000000-0005-0000-0000-0000A0430000}"/>
    <cellStyle name="20% - Accent6 4 3 3 2 2 2 2 2" xfId="27256" xr:uid="{00000000-0005-0000-0000-0000A1430000}"/>
    <cellStyle name="20% - Accent6 4 3 3 2 2 2 2 2 2" xfId="53130" xr:uid="{00000000-0005-0000-0000-0000A2430000}"/>
    <cellStyle name="20% - Accent6 4 3 3 2 2 2 2 3" xfId="40214" xr:uid="{00000000-0005-0000-0000-0000A3430000}"/>
    <cellStyle name="20% - Accent6 4 3 3 2 2 2 3" xfId="20798" xr:uid="{00000000-0005-0000-0000-0000A4430000}"/>
    <cellStyle name="20% - Accent6 4 3 3 2 2 2 3 2" xfId="46672" xr:uid="{00000000-0005-0000-0000-0000A5430000}"/>
    <cellStyle name="20% - Accent6 4 3 3 2 2 2 4" xfId="33756" xr:uid="{00000000-0005-0000-0000-0000A6430000}"/>
    <cellStyle name="20% - Accent6 4 3 3 2 2 3" xfId="11111" xr:uid="{00000000-0005-0000-0000-0000A7430000}"/>
    <cellStyle name="20% - Accent6 4 3 3 2 2 3 2" xfId="24028" xr:uid="{00000000-0005-0000-0000-0000A8430000}"/>
    <cellStyle name="20% - Accent6 4 3 3 2 2 3 2 2" xfId="49902" xr:uid="{00000000-0005-0000-0000-0000A9430000}"/>
    <cellStyle name="20% - Accent6 4 3 3 2 2 3 3" xfId="36986" xr:uid="{00000000-0005-0000-0000-0000AA430000}"/>
    <cellStyle name="20% - Accent6 4 3 3 2 2 4" xfId="17570" xr:uid="{00000000-0005-0000-0000-0000AB430000}"/>
    <cellStyle name="20% - Accent6 4 3 3 2 2 4 2" xfId="43444" xr:uid="{00000000-0005-0000-0000-0000AC430000}"/>
    <cellStyle name="20% - Accent6 4 3 3 2 2 5" xfId="30496" xr:uid="{00000000-0005-0000-0000-0000AD430000}"/>
    <cellStyle name="20% - Accent6 4 3 3 2 3" xfId="6266" xr:uid="{00000000-0005-0000-0000-0000AE430000}"/>
    <cellStyle name="20% - Accent6 4 3 3 2 3 2" xfId="12725" xr:uid="{00000000-0005-0000-0000-0000AF430000}"/>
    <cellStyle name="20% - Accent6 4 3 3 2 3 2 2" xfId="25642" xr:uid="{00000000-0005-0000-0000-0000B0430000}"/>
    <cellStyle name="20% - Accent6 4 3 3 2 3 2 2 2" xfId="51516" xr:uid="{00000000-0005-0000-0000-0000B1430000}"/>
    <cellStyle name="20% - Accent6 4 3 3 2 3 2 3" xfId="38600" xr:uid="{00000000-0005-0000-0000-0000B2430000}"/>
    <cellStyle name="20% - Accent6 4 3 3 2 3 3" xfId="19184" xr:uid="{00000000-0005-0000-0000-0000B3430000}"/>
    <cellStyle name="20% - Accent6 4 3 3 2 3 3 2" xfId="45058" xr:uid="{00000000-0005-0000-0000-0000B4430000}"/>
    <cellStyle name="20% - Accent6 4 3 3 2 3 4" xfId="32142" xr:uid="{00000000-0005-0000-0000-0000B5430000}"/>
    <cellStyle name="20% - Accent6 4 3 3 2 4" xfId="9497" xr:uid="{00000000-0005-0000-0000-0000B6430000}"/>
    <cellStyle name="20% - Accent6 4 3 3 2 4 2" xfId="22414" xr:uid="{00000000-0005-0000-0000-0000B7430000}"/>
    <cellStyle name="20% - Accent6 4 3 3 2 4 2 2" xfId="48288" xr:uid="{00000000-0005-0000-0000-0000B8430000}"/>
    <cellStyle name="20% - Accent6 4 3 3 2 4 3" xfId="35372" xr:uid="{00000000-0005-0000-0000-0000B9430000}"/>
    <cellStyle name="20% - Accent6 4 3 3 2 5" xfId="15956" xr:uid="{00000000-0005-0000-0000-0000BA430000}"/>
    <cellStyle name="20% - Accent6 4 3 3 2 5 2" xfId="41830" xr:uid="{00000000-0005-0000-0000-0000BB430000}"/>
    <cellStyle name="20% - Accent6 4 3 3 2 6" xfId="28882" xr:uid="{00000000-0005-0000-0000-0000BC430000}"/>
    <cellStyle name="20% - Accent6 4 3 3 3" xfId="3819" xr:uid="{00000000-0005-0000-0000-0000BD430000}"/>
    <cellStyle name="20% - Accent6 4 3 3 3 2" xfId="7073" xr:uid="{00000000-0005-0000-0000-0000BE430000}"/>
    <cellStyle name="20% - Accent6 4 3 3 3 2 2" xfId="13532" xr:uid="{00000000-0005-0000-0000-0000BF430000}"/>
    <cellStyle name="20% - Accent6 4 3 3 3 2 2 2" xfId="26449" xr:uid="{00000000-0005-0000-0000-0000C0430000}"/>
    <cellStyle name="20% - Accent6 4 3 3 3 2 2 2 2" xfId="52323" xr:uid="{00000000-0005-0000-0000-0000C1430000}"/>
    <cellStyle name="20% - Accent6 4 3 3 3 2 2 3" xfId="39407" xr:uid="{00000000-0005-0000-0000-0000C2430000}"/>
    <cellStyle name="20% - Accent6 4 3 3 3 2 3" xfId="19991" xr:uid="{00000000-0005-0000-0000-0000C3430000}"/>
    <cellStyle name="20% - Accent6 4 3 3 3 2 3 2" xfId="45865" xr:uid="{00000000-0005-0000-0000-0000C4430000}"/>
    <cellStyle name="20% - Accent6 4 3 3 3 2 4" xfId="32949" xr:uid="{00000000-0005-0000-0000-0000C5430000}"/>
    <cellStyle name="20% - Accent6 4 3 3 3 3" xfId="10304" xr:uid="{00000000-0005-0000-0000-0000C6430000}"/>
    <cellStyle name="20% - Accent6 4 3 3 3 3 2" xfId="23221" xr:uid="{00000000-0005-0000-0000-0000C7430000}"/>
    <cellStyle name="20% - Accent6 4 3 3 3 3 2 2" xfId="49095" xr:uid="{00000000-0005-0000-0000-0000C8430000}"/>
    <cellStyle name="20% - Accent6 4 3 3 3 3 3" xfId="36179" xr:uid="{00000000-0005-0000-0000-0000C9430000}"/>
    <cellStyle name="20% - Accent6 4 3 3 3 4" xfId="16763" xr:uid="{00000000-0005-0000-0000-0000CA430000}"/>
    <cellStyle name="20% - Accent6 4 3 3 3 4 2" xfId="42637" xr:uid="{00000000-0005-0000-0000-0000CB430000}"/>
    <cellStyle name="20% - Accent6 4 3 3 3 5" xfId="29689" xr:uid="{00000000-0005-0000-0000-0000CC430000}"/>
    <cellStyle name="20% - Accent6 4 3 3 4" xfId="5459" xr:uid="{00000000-0005-0000-0000-0000CD430000}"/>
    <cellStyle name="20% - Accent6 4 3 3 4 2" xfId="11918" xr:uid="{00000000-0005-0000-0000-0000CE430000}"/>
    <cellStyle name="20% - Accent6 4 3 3 4 2 2" xfId="24835" xr:uid="{00000000-0005-0000-0000-0000CF430000}"/>
    <cellStyle name="20% - Accent6 4 3 3 4 2 2 2" xfId="50709" xr:uid="{00000000-0005-0000-0000-0000D0430000}"/>
    <cellStyle name="20% - Accent6 4 3 3 4 2 3" xfId="37793" xr:uid="{00000000-0005-0000-0000-0000D1430000}"/>
    <cellStyle name="20% - Accent6 4 3 3 4 3" xfId="18377" xr:uid="{00000000-0005-0000-0000-0000D2430000}"/>
    <cellStyle name="20% - Accent6 4 3 3 4 3 2" xfId="44251" xr:uid="{00000000-0005-0000-0000-0000D3430000}"/>
    <cellStyle name="20% - Accent6 4 3 3 4 4" xfId="31335" xr:uid="{00000000-0005-0000-0000-0000D4430000}"/>
    <cellStyle name="20% - Accent6 4 3 3 5" xfId="8690" xr:uid="{00000000-0005-0000-0000-0000D5430000}"/>
    <cellStyle name="20% - Accent6 4 3 3 5 2" xfId="21607" xr:uid="{00000000-0005-0000-0000-0000D6430000}"/>
    <cellStyle name="20% - Accent6 4 3 3 5 2 2" xfId="47481" xr:uid="{00000000-0005-0000-0000-0000D7430000}"/>
    <cellStyle name="20% - Accent6 4 3 3 5 3" xfId="34565" xr:uid="{00000000-0005-0000-0000-0000D8430000}"/>
    <cellStyle name="20% - Accent6 4 3 3 6" xfId="15149" xr:uid="{00000000-0005-0000-0000-0000D9430000}"/>
    <cellStyle name="20% - Accent6 4 3 3 6 2" xfId="41023" xr:uid="{00000000-0005-0000-0000-0000DA430000}"/>
    <cellStyle name="20% - Accent6 4 3 3 7" xfId="28075" xr:uid="{00000000-0005-0000-0000-0000DB430000}"/>
    <cellStyle name="20% - Accent6 4 3 3 8" xfId="53937" xr:uid="{00000000-0005-0000-0000-0000DC430000}"/>
    <cellStyle name="20% - Accent6 4 3 4" xfId="2589" xr:uid="{00000000-0005-0000-0000-0000DD430000}"/>
    <cellStyle name="20% - Accent6 4 3 4 2" xfId="4246" xr:uid="{00000000-0005-0000-0000-0000DE430000}"/>
    <cellStyle name="20% - Accent6 4 3 4 2 2" xfId="7477" xr:uid="{00000000-0005-0000-0000-0000DF430000}"/>
    <cellStyle name="20% - Accent6 4 3 4 2 2 2" xfId="13936" xr:uid="{00000000-0005-0000-0000-0000E0430000}"/>
    <cellStyle name="20% - Accent6 4 3 4 2 2 2 2" xfId="26853" xr:uid="{00000000-0005-0000-0000-0000E1430000}"/>
    <cellStyle name="20% - Accent6 4 3 4 2 2 2 2 2" xfId="52727" xr:uid="{00000000-0005-0000-0000-0000E2430000}"/>
    <cellStyle name="20% - Accent6 4 3 4 2 2 2 3" xfId="39811" xr:uid="{00000000-0005-0000-0000-0000E3430000}"/>
    <cellStyle name="20% - Accent6 4 3 4 2 2 3" xfId="20395" xr:uid="{00000000-0005-0000-0000-0000E4430000}"/>
    <cellStyle name="20% - Accent6 4 3 4 2 2 3 2" xfId="46269" xr:uid="{00000000-0005-0000-0000-0000E5430000}"/>
    <cellStyle name="20% - Accent6 4 3 4 2 2 4" xfId="33353" xr:uid="{00000000-0005-0000-0000-0000E6430000}"/>
    <cellStyle name="20% - Accent6 4 3 4 2 3" xfId="10708" xr:uid="{00000000-0005-0000-0000-0000E7430000}"/>
    <cellStyle name="20% - Accent6 4 3 4 2 3 2" xfId="23625" xr:uid="{00000000-0005-0000-0000-0000E8430000}"/>
    <cellStyle name="20% - Accent6 4 3 4 2 3 2 2" xfId="49499" xr:uid="{00000000-0005-0000-0000-0000E9430000}"/>
    <cellStyle name="20% - Accent6 4 3 4 2 3 3" xfId="36583" xr:uid="{00000000-0005-0000-0000-0000EA430000}"/>
    <cellStyle name="20% - Accent6 4 3 4 2 4" xfId="17167" xr:uid="{00000000-0005-0000-0000-0000EB430000}"/>
    <cellStyle name="20% - Accent6 4 3 4 2 4 2" xfId="43041" xr:uid="{00000000-0005-0000-0000-0000EC430000}"/>
    <cellStyle name="20% - Accent6 4 3 4 2 5" xfId="30093" xr:uid="{00000000-0005-0000-0000-0000ED430000}"/>
    <cellStyle name="20% - Accent6 4 3 4 3" xfId="5863" xr:uid="{00000000-0005-0000-0000-0000EE430000}"/>
    <cellStyle name="20% - Accent6 4 3 4 3 2" xfId="12322" xr:uid="{00000000-0005-0000-0000-0000EF430000}"/>
    <cellStyle name="20% - Accent6 4 3 4 3 2 2" xfId="25239" xr:uid="{00000000-0005-0000-0000-0000F0430000}"/>
    <cellStyle name="20% - Accent6 4 3 4 3 2 2 2" xfId="51113" xr:uid="{00000000-0005-0000-0000-0000F1430000}"/>
    <cellStyle name="20% - Accent6 4 3 4 3 2 3" xfId="38197" xr:uid="{00000000-0005-0000-0000-0000F2430000}"/>
    <cellStyle name="20% - Accent6 4 3 4 3 3" xfId="18781" xr:uid="{00000000-0005-0000-0000-0000F3430000}"/>
    <cellStyle name="20% - Accent6 4 3 4 3 3 2" xfId="44655" xr:uid="{00000000-0005-0000-0000-0000F4430000}"/>
    <cellStyle name="20% - Accent6 4 3 4 3 4" xfId="31739" xr:uid="{00000000-0005-0000-0000-0000F5430000}"/>
    <cellStyle name="20% - Accent6 4 3 4 4" xfId="9094" xr:uid="{00000000-0005-0000-0000-0000F6430000}"/>
    <cellStyle name="20% - Accent6 4 3 4 4 2" xfId="22011" xr:uid="{00000000-0005-0000-0000-0000F7430000}"/>
    <cellStyle name="20% - Accent6 4 3 4 4 2 2" xfId="47885" xr:uid="{00000000-0005-0000-0000-0000F8430000}"/>
    <cellStyle name="20% - Accent6 4 3 4 4 3" xfId="34969" xr:uid="{00000000-0005-0000-0000-0000F9430000}"/>
    <cellStyle name="20% - Accent6 4 3 4 5" xfId="15553" xr:uid="{00000000-0005-0000-0000-0000FA430000}"/>
    <cellStyle name="20% - Accent6 4 3 4 5 2" xfId="41427" xr:uid="{00000000-0005-0000-0000-0000FB430000}"/>
    <cellStyle name="20% - Accent6 4 3 4 6" xfId="28479" xr:uid="{00000000-0005-0000-0000-0000FC430000}"/>
    <cellStyle name="20% - Accent6 4 3 5" xfId="3416" xr:uid="{00000000-0005-0000-0000-0000FD430000}"/>
    <cellStyle name="20% - Accent6 4 3 5 2" xfId="6670" xr:uid="{00000000-0005-0000-0000-0000FE430000}"/>
    <cellStyle name="20% - Accent6 4 3 5 2 2" xfId="13129" xr:uid="{00000000-0005-0000-0000-0000FF430000}"/>
    <cellStyle name="20% - Accent6 4 3 5 2 2 2" xfId="26046" xr:uid="{00000000-0005-0000-0000-000000440000}"/>
    <cellStyle name="20% - Accent6 4 3 5 2 2 2 2" xfId="51920" xr:uid="{00000000-0005-0000-0000-000001440000}"/>
    <cellStyle name="20% - Accent6 4 3 5 2 2 3" xfId="39004" xr:uid="{00000000-0005-0000-0000-000002440000}"/>
    <cellStyle name="20% - Accent6 4 3 5 2 3" xfId="19588" xr:uid="{00000000-0005-0000-0000-000003440000}"/>
    <cellStyle name="20% - Accent6 4 3 5 2 3 2" xfId="45462" xr:uid="{00000000-0005-0000-0000-000004440000}"/>
    <cellStyle name="20% - Accent6 4 3 5 2 4" xfId="32546" xr:uid="{00000000-0005-0000-0000-000005440000}"/>
    <cellStyle name="20% - Accent6 4 3 5 3" xfId="9901" xr:uid="{00000000-0005-0000-0000-000006440000}"/>
    <cellStyle name="20% - Accent6 4 3 5 3 2" xfId="22818" xr:uid="{00000000-0005-0000-0000-000007440000}"/>
    <cellStyle name="20% - Accent6 4 3 5 3 2 2" xfId="48692" xr:uid="{00000000-0005-0000-0000-000008440000}"/>
    <cellStyle name="20% - Accent6 4 3 5 3 3" xfId="35776" xr:uid="{00000000-0005-0000-0000-000009440000}"/>
    <cellStyle name="20% - Accent6 4 3 5 4" xfId="16360" xr:uid="{00000000-0005-0000-0000-00000A440000}"/>
    <cellStyle name="20% - Accent6 4 3 5 4 2" xfId="42234" xr:uid="{00000000-0005-0000-0000-00000B440000}"/>
    <cellStyle name="20% - Accent6 4 3 5 5" xfId="29286" xr:uid="{00000000-0005-0000-0000-00000C440000}"/>
    <cellStyle name="20% - Accent6 4 3 6" xfId="5056" xr:uid="{00000000-0005-0000-0000-00000D440000}"/>
    <cellStyle name="20% - Accent6 4 3 6 2" xfId="11515" xr:uid="{00000000-0005-0000-0000-00000E440000}"/>
    <cellStyle name="20% - Accent6 4 3 6 2 2" xfId="24432" xr:uid="{00000000-0005-0000-0000-00000F440000}"/>
    <cellStyle name="20% - Accent6 4 3 6 2 2 2" xfId="50306" xr:uid="{00000000-0005-0000-0000-000010440000}"/>
    <cellStyle name="20% - Accent6 4 3 6 2 3" xfId="37390" xr:uid="{00000000-0005-0000-0000-000011440000}"/>
    <cellStyle name="20% - Accent6 4 3 6 3" xfId="17974" xr:uid="{00000000-0005-0000-0000-000012440000}"/>
    <cellStyle name="20% - Accent6 4 3 6 3 2" xfId="43848" xr:uid="{00000000-0005-0000-0000-000013440000}"/>
    <cellStyle name="20% - Accent6 4 3 6 4" xfId="30932" xr:uid="{00000000-0005-0000-0000-000014440000}"/>
    <cellStyle name="20% - Accent6 4 3 7" xfId="8286" xr:uid="{00000000-0005-0000-0000-000015440000}"/>
    <cellStyle name="20% - Accent6 4 3 7 2" xfId="21203" xr:uid="{00000000-0005-0000-0000-000016440000}"/>
    <cellStyle name="20% - Accent6 4 3 7 2 2" xfId="47077" xr:uid="{00000000-0005-0000-0000-000017440000}"/>
    <cellStyle name="20% - Accent6 4 3 7 3" xfId="34161" xr:uid="{00000000-0005-0000-0000-000018440000}"/>
    <cellStyle name="20% - Accent6 4 3 8" xfId="14745" xr:uid="{00000000-0005-0000-0000-000019440000}"/>
    <cellStyle name="20% - Accent6 4 3 8 2" xfId="40619" xr:uid="{00000000-0005-0000-0000-00001A440000}"/>
    <cellStyle name="20% - Accent6 4 3 9" xfId="27669" xr:uid="{00000000-0005-0000-0000-00001B440000}"/>
    <cellStyle name="20% - Accent6 4 4" xfId="633" xr:uid="{00000000-0005-0000-0000-00001C440000}"/>
    <cellStyle name="20% - Accent6 4 5" xfId="1084" xr:uid="{00000000-0005-0000-0000-00001D440000}"/>
    <cellStyle name="20% - Accent6 5" xfId="306" xr:uid="{00000000-0005-0000-0000-00001E440000}"/>
    <cellStyle name="20% - Accent6 5 2" xfId="453" xr:uid="{00000000-0005-0000-0000-00001F440000}"/>
    <cellStyle name="20% - Accent6 5 2 2" xfId="639" xr:uid="{00000000-0005-0000-0000-000020440000}"/>
    <cellStyle name="20% - Accent6 5 2 3" xfId="638" xr:uid="{00000000-0005-0000-0000-000021440000}"/>
    <cellStyle name="20% - Accent6 5 2 4" xfId="1673" xr:uid="{00000000-0005-0000-0000-000022440000}"/>
    <cellStyle name="20% - Accent6 5 3" xfId="640" xr:uid="{00000000-0005-0000-0000-000023440000}"/>
    <cellStyle name="20% - Accent6 5 3 10" xfId="53512" xr:uid="{00000000-0005-0000-0000-000024440000}"/>
    <cellStyle name="20% - Accent6 5 3 11" xfId="1593" xr:uid="{00000000-0005-0000-0000-000025440000}"/>
    <cellStyle name="20% - Accent6 5 3 2" xfId="1921" xr:uid="{00000000-0005-0000-0000-000026440000}"/>
    <cellStyle name="20% - Accent6 5 3 2 2" xfId="2352" xr:uid="{00000000-0005-0000-0000-000027440000}"/>
    <cellStyle name="20% - Accent6 5 3 2 2 2" xfId="3165" xr:uid="{00000000-0005-0000-0000-000028440000}"/>
    <cellStyle name="20% - Accent6 5 3 2 2 2 2" xfId="4822" xr:uid="{00000000-0005-0000-0000-000029440000}"/>
    <cellStyle name="20% - Accent6 5 3 2 2 2 2 2" xfId="8053" xr:uid="{00000000-0005-0000-0000-00002A440000}"/>
    <cellStyle name="20% - Accent6 5 3 2 2 2 2 2 2" xfId="14512" xr:uid="{00000000-0005-0000-0000-00002B440000}"/>
    <cellStyle name="20% - Accent6 5 3 2 2 2 2 2 2 2" xfId="27429" xr:uid="{00000000-0005-0000-0000-00002C440000}"/>
    <cellStyle name="20% - Accent6 5 3 2 2 2 2 2 2 2 2" xfId="53303" xr:uid="{00000000-0005-0000-0000-00002D440000}"/>
    <cellStyle name="20% - Accent6 5 3 2 2 2 2 2 2 3" xfId="40387" xr:uid="{00000000-0005-0000-0000-00002E440000}"/>
    <cellStyle name="20% - Accent6 5 3 2 2 2 2 2 3" xfId="20971" xr:uid="{00000000-0005-0000-0000-00002F440000}"/>
    <cellStyle name="20% - Accent6 5 3 2 2 2 2 2 3 2" xfId="46845" xr:uid="{00000000-0005-0000-0000-000030440000}"/>
    <cellStyle name="20% - Accent6 5 3 2 2 2 2 2 4" xfId="33929" xr:uid="{00000000-0005-0000-0000-000031440000}"/>
    <cellStyle name="20% - Accent6 5 3 2 2 2 2 3" xfId="11284" xr:uid="{00000000-0005-0000-0000-000032440000}"/>
    <cellStyle name="20% - Accent6 5 3 2 2 2 2 3 2" xfId="24201" xr:uid="{00000000-0005-0000-0000-000033440000}"/>
    <cellStyle name="20% - Accent6 5 3 2 2 2 2 3 2 2" xfId="50075" xr:uid="{00000000-0005-0000-0000-000034440000}"/>
    <cellStyle name="20% - Accent6 5 3 2 2 2 2 3 3" xfId="37159" xr:uid="{00000000-0005-0000-0000-000035440000}"/>
    <cellStyle name="20% - Accent6 5 3 2 2 2 2 4" xfId="17743" xr:uid="{00000000-0005-0000-0000-000036440000}"/>
    <cellStyle name="20% - Accent6 5 3 2 2 2 2 4 2" xfId="43617" xr:uid="{00000000-0005-0000-0000-000037440000}"/>
    <cellStyle name="20% - Accent6 5 3 2 2 2 2 5" xfId="30669" xr:uid="{00000000-0005-0000-0000-000038440000}"/>
    <cellStyle name="20% - Accent6 5 3 2 2 2 3" xfId="6439" xr:uid="{00000000-0005-0000-0000-000039440000}"/>
    <cellStyle name="20% - Accent6 5 3 2 2 2 3 2" xfId="12898" xr:uid="{00000000-0005-0000-0000-00003A440000}"/>
    <cellStyle name="20% - Accent6 5 3 2 2 2 3 2 2" xfId="25815" xr:uid="{00000000-0005-0000-0000-00003B440000}"/>
    <cellStyle name="20% - Accent6 5 3 2 2 2 3 2 2 2" xfId="51689" xr:uid="{00000000-0005-0000-0000-00003C440000}"/>
    <cellStyle name="20% - Accent6 5 3 2 2 2 3 2 3" xfId="38773" xr:uid="{00000000-0005-0000-0000-00003D440000}"/>
    <cellStyle name="20% - Accent6 5 3 2 2 2 3 3" xfId="19357" xr:uid="{00000000-0005-0000-0000-00003E440000}"/>
    <cellStyle name="20% - Accent6 5 3 2 2 2 3 3 2" xfId="45231" xr:uid="{00000000-0005-0000-0000-00003F440000}"/>
    <cellStyle name="20% - Accent6 5 3 2 2 2 3 4" xfId="32315" xr:uid="{00000000-0005-0000-0000-000040440000}"/>
    <cellStyle name="20% - Accent6 5 3 2 2 2 4" xfId="9670" xr:uid="{00000000-0005-0000-0000-000041440000}"/>
    <cellStyle name="20% - Accent6 5 3 2 2 2 4 2" xfId="22587" xr:uid="{00000000-0005-0000-0000-000042440000}"/>
    <cellStyle name="20% - Accent6 5 3 2 2 2 4 2 2" xfId="48461" xr:uid="{00000000-0005-0000-0000-000043440000}"/>
    <cellStyle name="20% - Accent6 5 3 2 2 2 4 3" xfId="35545" xr:uid="{00000000-0005-0000-0000-000044440000}"/>
    <cellStyle name="20% - Accent6 5 3 2 2 2 5" xfId="16129" xr:uid="{00000000-0005-0000-0000-000045440000}"/>
    <cellStyle name="20% - Accent6 5 3 2 2 2 5 2" xfId="42003" xr:uid="{00000000-0005-0000-0000-000046440000}"/>
    <cellStyle name="20% - Accent6 5 3 2 2 2 6" xfId="29055" xr:uid="{00000000-0005-0000-0000-000047440000}"/>
    <cellStyle name="20% - Accent6 5 3 2 2 3" xfId="3992" xr:uid="{00000000-0005-0000-0000-000048440000}"/>
    <cellStyle name="20% - Accent6 5 3 2 2 3 2" xfId="7246" xr:uid="{00000000-0005-0000-0000-000049440000}"/>
    <cellStyle name="20% - Accent6 5 3 2 2 3 2 2" xfId="13705" xr:uid="{00000000-0005-0000-0000-00004A440000}"/>
    <cellStyle name="20% - Accent6 5 3 2 2 3 2 2 2" xfId="26622" xr:uid="{00000000-0005-0000-0000-00004B440000}"/>
    <cellStyle name="20% - Accent6 5 3 2 2 3 2 2 2 2" xfId="52496" xr:uid="{00000000-0005-0000-0000-00004C440000}"/>
    <cellStyle name="20% - Accent6 5 3 2 2 3 2 2 3" xfId="39580" xr:uid="{00000000-0005-0000-0000-00004D440000}"/>
    <cellStyle name="20% - Accent6 5 3 2 2 3 2 3" xfId="20164" xr:uid="{00000000-0005-0000-0000-00004E440000}"/>
    <cellStyle name="20% - Accent6 5 3 2 2 3 2 3 2" xfId="46038" xr:uid="{00000000-0005-0000-0000-00004F440000}"/>
    <cellStyle name="20% - Accent6 5 3 2 2 3 2 4" xfId="33122" xr:uid="{00000000-0005-0000-0000-000050440000}"/>
    <cellStyle name="20% - Accent6 5 3 2 2 3 3" xfId="10477" xr:uid="{00000000-0005-0000-0000-000051440000}"/>
    <cellStyle name="20% - Accent6 5 3 2 2 3 3 2" xfId="23394" xr:uid="{00000000-0005-0000-0000-000052440000}"/>
    <cellStyle name="20% - Accent6 5 3 2 2 3 3 2 2" xfId="49268" xr:uid="{00000000-0005-0000-0000-000053440000}"/>
    <cellStyle name="20% - Accent6 5 3 2 2 3 3 3" xfId="36352" xr:uid="{00000000-0005-0000-0000-000054440000}"/>
    <cellStyle name="20% - Accent6 5 3 2 2 3 4" xfId="16936" xr:uid="{00000000-0005-0000-0000-000055440000}"/>
    <cellStyle name="20% - Accent6 5 3 2 2 3 4 2" xfId="42810" xr:uid="{00000000-0005-0000-0000-000056440000}"/>
    <cellStyle name="20% - Accent6 5 3 2 2 3 5" xfId="29862" xr:uid="{00000000-0005-0000-0000-000057440000}"/>
    <cellStyle name="20% - Accent6 5 3 2 2 4" xfId="5632" xr:uid="{00000000-0005-0000-0000-000058440000}"/>
    <cellStyle name="20% - Accent6 5 3 2 2 4 2" xfId="12091" xr:uid="{00000000-0005-0000-0000-000059440000}"/>
    <cellStyle name="20% - Accent6 5 3 2 2 4 2 2" xfId="25008" xr:uid="{00000000-0005-0000-0000-00005A440000}"/>
    <cellStyle name="20% - Accent6 5 3 2 2 4 2 2 2" xfId="50882" xr:uid="{00000000-0005-0000-0000-00005B440000}"/>
    <cellStyle name="20% - Accent6 5 3 2 2 4 2 3" xfId="37966" xr:uid="{00000000-0005-0000-0000-00005C440000}"/>
    <cellStyle name="20% - Accent6 5 3 2 2 4 3" xfId="18550" xr:uid="{00000000-0005-0000-0000-00005D440000}"/>
    <cellStyle name="20% - Accent6 5 3 2 2 4 3 2" xfId="44424" xr:uid="{00000000-0005-0000-0000-00005E440000}"/>
    <cellStyle name="20% - Accent6 5 3 2 2 4 4" xfId="31508" xr:uid="{00000000-0005-0000-0000-00005F440000}"/>
    <cellStyle name="20% - Accent6 5 3 2 2 5" xfId="8863" xr:uid="{00000000-0005-0000-0000-000060440000}"/>
    <cellStyle name="20% - Accent6 5 3 2 2 5 2" xfId="21780" xr:uid="{00000000-0005-0000-0000-000061440000}"/>
    <cellStyle name="20% - Accent6 5 3 2 2 5 2 2" xfId="47654" xr:uid="{00000000-0005-0000-0000-000062440000}"/>
    <cellStyle name="20% - Accent6 5 3 2 2 5 3" xfId="34738" xr:uid="{00000000-0005-0000-0000-000063440000}"/>
    <cellStyle name="20% - Accent6 5 3 2 2 6" xfId="15322" xr:uid="{00000000-0005-0000-0000-000064440000}"/>
    <cellStyle name="20% - Accent6 5 3 2 2 6 2" xfId="41196" xr:uid="{00000000-0005-0000-0000-000065440000}"/>
    <cellStyle name="20% - Accent6 5 3 2 2 7" xfId="28248" xr:uid="{00000000-0005-0000-0000-000066440000}"/>
    <cellStyle name="20% - Accent6 5 3 2 2 8" xfId="54110" xr:uid="{00000000-0005-0000-0000-000067440000}"/>
    <cellStyle name="20% - Accent6 5 3 2 3" xfId="2761" xr:uid="{00000000-0005-0000-0000-000068440000}"/>
    <cellStyle name="20% - Accent6 5 3 2 3 2" xfId="4418" xr:uid="{00000000-0005-0000-0000-000069440000}"/>
    <cellStyle name="20% - Accent6 5 3 2 3 2 2" xfId="7649" xr:uid="{00000000-0005-0000-0000-00006A440000}"/>
    <cellStyle name="20% - Accent6 5 3 2 3 2 2 2" xfId="14108" xr:uid="{00000000-0005-0000-0000-00006B440000}"/>
    <cellStyle name="20% - Accent6 5 3 2 3 2 2 2 2" xfId="27025" xr:uid="{00000000-0005-0000-0000-00006C440000}"/>
    <cellStyle name="20% - Accent6 5 3 2 3 2 2 2 2 2" xfId="52899" xr:uid="{00000000-0005-0000-0000-00006D440000}"/>
    <cellStyle name="20% - Accent6 5 3 2 3 2 2 2 3" xfId="39983" xr:uid="{00000000-0005-0000-0000-00006E440000}"/>
    <cellStyle name="20% - Accent6 5 3 2 3 2 2 3" xfId="20567" xr:uid="{00000000-0005-0000-0000-00006F440000}"/>
    <cellStyle name="20% - Accent6 5 3 2 3 2 2 3 2" xfId="46441" xr:uid="{00000000-0005-0000-0000-000070440000}"/>
    <cellStyle name="20% - Accent6 5 3 2 3 2 2 4" xfId="33525" xr:uid="{00000000-0005-0000-0000-000071440000}"/>
    <cellStyle name="20% - Accent6 5 3 2 3 2 3" xfId="10880" xr:uid="{00000000-0005-0000-0000-000072440000}"/>
    <cellStyle name="20% - Accent6 5 3 2 3 2 3 2" xfId="23797" xr:uid="{00000000-0005-0000-0000-000073440000}"/>
    <cellStyle name="20% - Accent6 5 3 2 3 2 3 2 2" xfId="49671" xr:uid="{00000000-0005-0000-0000-000074440000}"/>
    <cellStyle name="20% - Accent6 5 3 2 3 2 3 3" xfId="36755" xr:uid="{00000000-0005-0000-0000-000075440000}"/>
    <cellStyle name="20% - Accent6 5 3 2 3 2 4" xfId="17339" xr:uid="{00000000-0005-0000-0000-000076440000}"/>
    <cellStyle name="20% - Accent6 5 3 2 3 2 4 2" xfId="43213" xr:uid="{00000000-0005-0000-0000-000077440000}"/>
    <cellStyle name="20% - Accent6 5 3 2 3 2 5" xfId="30265" xr:uid="{00000000-0005-0000-0000-000078440000}"/>
    <cellStyle name="20% - Accent6 5 3 2 3 3" xfId="6035" xr:uid="{00000000-0005-0000-0000-000079440000}"/>
    <cellStyle name="20% - Accent6 5 3 2 3 3 2" xfId="12494" xr:uid="{00000000-0005-0000-0000-00007A440000}"/>
    <cellStyle name="20% - Accent6 5 3 2 3 3 2 2" xfId="25411" xr:uid="{00000000-0005-0000-0000-00007B440000}"/>
    <cellStyle name="20% - Accent6 5 3 2 3 3 2 2 2" xfId="51285" xr:uid="{00000000-0005-0000-0000-00007C440000}"/>
    <cellStyle name="20% - Accent6 5 3 2 3 3 2 3" xfId="38369" xr:uid="{00000000-0005-0000-0000-00007D440000}"/>
    <cellStyle name="20% - Accent6 5 3 2 3 3 3" xfId="18953" xr:uid="{00000000-0005-0000-0000-00007E440000}"/>
    <cellStyle name="20% - Accent6 5 3 2 3 3 3 2" xfId="44827" xr:uid="{00000000-0005-0000-0000-00007F440000}"/>
    <cellStyle name="20% - Accent6 5 3 2 3 3 4" xfId="31911" xr:uid="{00000000-0005-0000-0000-000080440000}"/>
    <cellStyle name="20% - Accent6 5 3 2 3 4" xfId="9266" xr:uid="{00000000-0005-0000-0000-000081440000}"/>
    <cellStyle name="20% - Accent6 5 3 2 3 4 2" xfId="22183" xr:uid="{00000000-0005-0000-0000-000082440000}"/>
    <cellStyle name="20% - Accent6 5 3 2 3 4 2 2" xfId="48057" xr:uid="{00000000-0005-0000-0000-000083440000}"/>
    <cellStyle name="20% - Accent6 5 3 2 3 4 3" xfId="35141" xr:uid="{00000000-0005-0000-0000-000084440000}"/>
    <cellStyle name="20% - Accent6 5 3 2 3 5" xfId="15725" xr:uid="{00000000-0005-0000-0000-000085440000}"/>
    <cellStyle name="20% - Accent6 5 3 2 3 5 2" xfId="41599" xr:uid="{00000000-0005-0000-0000-000086440000}"/>
    <cellStyle name="20% - Accent6 5 3 2 3 6" xfId="28651" xr:uid="{00000000-0005-0000-0000-000087440000}"/>
    <cellStyle name="20% - Accent6 5 3 2 4" xfId="3588" xr:uid="{00000000-0005-0000-0000-000088440000}"/>
    <cellStyle name="20% - Accent6 5 3 2 4 2" xfId="6842" xr:uid="{00000000-0005-0000-0000-000089440000}"/>
    <cellStyle name="20% - Accent6 5 3 2 4 2 2" xfId="13301" xr:uid="{00000000-0005-0000-0000-00008A440000}"/>
    <cellStyle name="20% - Accent6 5 3 2 4 2 2 2" xfId="26218" xr:uid="{00000000-0005-0000-0000-00008B440000}"/>
    <cellStyle name="20% - Accent6 5 3 2 4 2 2 2 2" xfId="52092" xr:uid="{00000000-0005-0000-0000-00008C440000}"/>
    <cellStyle name="20% - Accent6 5 3 2 4 2 2 3" xfId="39176" xr:uid="{00000000-0005-0000-0000-00008D440000}"/>
    <cellStyle name="20% - Accent6 5 3 2 4 2 3" xfId="19760" xr:uid="{00000000-0005-0000-0000-00008E440000}"/>
    <cellStyle name="20% - Accent6 5 3 2 4 2 3 2" xfId="45634" xr:uid="{00000000-0005-0000-0000-00008F440000}"/>
    <cellStyle name="20% - Accent6 5 3 2 4 2 4" xfId="32718" xr:uid="{00000000-0005-0000-0000-000090440000}"/>
    <cellStyle name="20% - Accent6 5 3 2 4 3" xfId="10073" xr:uid="{00000000-0005-0000-0000-000091440000}"/>
    <cellStyle name="20% - Accent6 5 3 2 4 3 2" xfId="22990" xr:uid="{00000000-0005-0000-0000-000092440000}"/>
    <cellStyle name="20% - Accent6 5 3 2 4 3 2 2" xfId="48864" xr:uid="{00000000-0005-0000-0000-000093440000}"/>
    <cellStyle name="20% - Accent6 5 3 2 4 3 3" xfId="35948" xr:uid="{00000000-0005-0000-0000-000094440000}"/>
    <cellStyle name="20% - Accent6 5 3 2 4 4" xfId="16532" xr:uid="{00000000-0005-0000-0000-000095440000}"/>
    <cellStyle name="20% - Accent6 5 3 2 4 4 2" xfId="42406" xr:uid="{00000000-0005-0000-0000-000096440000}"/>
    <cellStyle name="20% - Accent6 5 3 2 4 5" xfId="29458" xr:uid="{00000000-0005-0000-0000-000097440000}"/>
    <cellStyle name="20% - Accent6 5 3 2 5" xfId="5228" xr:uid="{00000000-0005-0000-0000-000098440000}"/>
    <cellStyle name="20% - Accent6 5 3 2 5 2" xfId="11687" xr:uid="{00000000-0005-0000-0000-000099440000}"/>
    <cellStyle name="20% - Accent6 5 3 2 5 2 2" xfId="24604" xr:uid="{00000000-0005-0000-0000-00009A440000}"/>
    <cellStyle name="20% - Accent6 5 3 2 5 2 2 2" xfId="50478" xr:uid="{00000000-0005-0000-0000-00009B440000}"/>
    <cellStyle name="20% - Accent6 5 3 2 5 2 3" xfId="37562" xr:uid="{00000000-0005-0000-0000-00009C440000}"/>
    <cellStyle name="20% - Accent6 5 3 2 5 3" xfId="18146" xr:uid="{00000000-0005-0000-0000-00009D440000}"/>
    <cellStyle name="20% - Accent6 5 3 2 5 3 2" xfId="44020" xr:uid="{00000000-0005-0000-0000-00009E440000}"/>
    <cellStyle name="20% - Accent6 5 3 2 5 4" xfId="31104" xr:uid="{00000000-0005-0000-0000-00009F440000}"/>
    <cellStyle name="20% - Accent6 5 3 2 6" xfId="8459" xr:uid="{00000000-0005-0000-0000-0000A0440000}"/>
    <cellStyle name="20% - Accent6 5 3 2 6 2" xfId="21376" xr:uid="{00000000-0005-0000-0000-0000A1440000}"/>
    <cellStyle name="20% - Accent6 5 3 2 6 2 2" xfId="47250" xr:uid="{00000000-0005-0000-0000-0000A2440000}"/>
    <cellStyle name="20% - Accent6 5 3 2 6 3" xfId="34334" xr:uid="{00000000-0005-0000-0000-0000A3440000}"/>
    <cellStyle name="20% - Accent6 5 3 2 7" xfId="14918" xr:uid="{00000000-0005-0000-0000-0000A4440000}"/>
    <cellStyle name="20% - Accent6 5 3 2 7 2" xfId="40792" xr:uid="{00000000-0005-0000-0000-0000A5440000}"/>
    <cellStyle name="20% - Accent6 5 3 2 8" xfId="27843" xr:uid="{00000000-0005-0000-0000-0000A6440000}"/>
    <cellStyle name="20% - Accent6 5 3 2 9" xfId="53706" xr:uid="{00000000-0005-0000-0000-0000A7440000}"/>
    <cellStyle name="20% - Accent6 5 3 3" xfId="2156" xr:uid="{00000000-0005-0000-0000-0000A8440000}"/>
    <cellStyle name="20% - Accent6 5 3 3 2" xfId="2970" xr:uid="{00000000-0005-0000-0000-0000A9440000}"/>
    <cellStyle name="20% - Accent6 5 3 3 2 2" xfId="4627" xr:uid="{00000000-0005-0000-0000-0000AA440000}"/>
    <cellStyle name="20% - Accent6 5 3 3 2 2 2" xfId="7858" xr:uid="{00000000-0005-0000-0000-0000AB440000}"/>
    <cellStyle name="20% - Accent6 5 3 3 2 2 2 2" xfId="14317" xr:uid="{00000000-0005-0000-0000-0000AC440000}"/>
    <cellStyle name="20% - Accent6 5 3 3 2 2 2 2 2" xfId="27234" xr:uid="{00000000-0005-0000-0000-0000AD440000}"/>
    <cellStyle name="20% - Accent6 5 3 3 2 2 2 2 2 2" xfId="53108" xr:uid="{00000000-0005-0000-0000-0000AE440000}"/>
    <cellStyle name="20% - Accent6 5 3 3 2 2 2 2 3" xfId="40192" xr:uid="{00000000-0005-0000-0000-0000AF440000}"/>
    <cellStyle name="20% - Accent6 5 3 3 2 2 2 3" xfId="20776" xr:uid="{00000000-0005-0000-0000-0000B0440000}"/>
    <cellStyle name="20% - Accent6 5 3 3 2 2 2 3 2" xfId="46650" xr:uid="{00000000-0005-0000-0000-0000B1440000}"/>
    <cellStyle name="20% - Accent6 5 3 3 2 2 2 4" xfId="33734" xr:uid="{00000000-0005-0000-0000-0000B2440000}"/>
    <cellStyle name="20% - Accent6 5 3 3 2 2 3" xfId="11089" xr:uid="{00000000-0005-0000-0000-0000B3440000}"/>
    <cellStyle name="20% - Accent6 5 3 3 2 2 3 2" xfId="24006" xr:uid="{00000000-0005-0000-0000-0000B4440000}"/>
    <cellStyle name="20% - Accent6 5 3 3 2 2 3 2 2" xfId="49880" xr:uid="{00000000-0005-0000-0000-0000B5440000}"/>
    <cellStyle name="20% - Accent6 5 3 3 2 2 3 3" xfId="36964" xr:uid="{00000000-0005-0000-0000-0000B6440000}"/>
    <cellStyle name="20% - Accent6 5 3 3 2 2 4" xfId="17548" xr:uid="{00000000-0005-0000-0000-0000B7440000}"/>
    <cellStyle name="20% - Accent6 5 3 3 2 2 4 2" xfId="43422" xr:uid="{00000000-0005-0000-0000-0000B8440000}"/>
    <cellStyle name="20% - Accent6 5 3 3 2 2 5" xfId="30474" xr:uid="{00000000-0005-0000-0000-0000B9440000}"/>
    <cellStyle name="20% - Accent6 5 3 3 2 3" xfId="6244" xr:uid="{00000000-0005-0000-0000-0000BA440000}"/>
    <cellStyle name="20% - Accent6 5 3 3 2 3 2" xfId="12703" xr:uid="{00000000-0005-0000-0000-0000BB440000}"/>
    <cellStyle name="20% - Accent6 5 3 3 2 3 2 2" xfId="25620" xr:uid="{00000000-0005-0000-0000-0000BC440000}"/>
    <cellStyle name="20% - Accent6 5 3 3 2 3 2 2 2" xfId="51494" xr:uid="{00000000-0005-0000-0000-0000BD440000}"/>
    <cellStyle name="20% - Accent6 5 3 3 2 3 2 3" xfId="38578" xr:uid="{00000000-0005-0000-0000-0000BE440000}"/>
    <cellStyle name="20% - Accent6 5 3 3 2 3 3" xfId="19162" xr:uid="{00000000-0005-0000-0000-0000BF440000}"/>
    <cellStyle name="20% - Accent6 5 3 3 2 3 3 2" xfId="45036" xr:uid="{00000000-0005-0000-0000-0000C0440000}"/>
    <cellStyle name="20% - Accent6 5 3 3 2 3 4" xfId="32120" xr:uid="{00000000-0005-0000-0000-0000C1440000}"/>
    <cellStyle name="20% - Accent6 5 3 3 2 4" xfId="9475" xr:uid="{00000000-0005-0000-0000-0000C2440000}"/>
    <cellStyle name="20% - Accent6 5 3 3 2 4 2" xfId="22392" xr:uid="{00000000-0005-0000-0000-0000C3440000}"/>
    <cellStyle name="20% - Accent6 5 3 3 2 4 2 2" xfId="48266" xr:uid="{00000000-0005-0000-0000-0000C4440000}"/>
    <cellStyle name="20% - Accent6 5 3 3 2 4 3" xfId="35350" xr:uid="{00000000-0005-0000-0000-0000C5440000}"/>
    <cellStyle name="20% - Accent6 5 3 3 2 5" xfId="15934" xr:uid="{00000000-0005-0000-0000-0000C6440000}"/>
    <cellStyle name="20% - Accent6 5 3 3 2 5 2" xfId="41808" xr:uid="{00000000-0005-0000-0000-0000C7440000}"/>
    <cellStyle name="20% - Accent6 5 3 3 2 6" xfId="28860" xr:uid="{00000000-0005-0000-0000-0000C8440000}"/>
    <cellStyle name="20% - Accent6 5 3 3 3" xfId="3797" xr:uid="{00000000-0005-0000-0000-0000C9440000}"/>
    <cellStyle name="20% - Accent6 5 3 3 3 2" xfId="7051" xr:uid="{00000000-0005-0000-0000-0000CA440000}"/>
    <cellStyle name="20% - Accent6 5 3 3 3 2 2" xfId="13510" xr:uid="{00000000-0005-0000-0000-0000CB440000}"/>
    <cellStyle name="20% - Accent6 5 3 3 3 2 2 2" xfId="26427" xr:uid="{00000000-0005-0000-0000-0000CC440000}"/>
    <cellStyle name="20% - Accent6 5 3 3 3 2 2 2 2" xfId="52301" xr:uid="{00000000-0005-0000-0000-0000CD440000}"/>
    <cellStyle name="20% - Accent6 5 3 3 3 2 2 3" xfId="39385" xr:uid="{00000000-0005-0000-0000-0000CE440000}"/>
    <cellStyle name="20% - Accent6 5 3 3 3 2 3" xfId="19969" xr:uid="{00000000-0005-0000-0000-0000CF440000}"/>
    <cellStyle name="20% - Accent6 5 3 3 3 2 3 2" xfId="45843" xr:uid="{00000000-0005-0000-0000-0000D0440000}"/>
    <cellStyle name="20% - Accent6 5 3 3 3 2 4" xfId="32927" xr:uid="{00000000-0005-0000-0000-0000D1440000}"/>
    <cellStyle name="20% - Accent6 5 3 3 3 3" xfId="10282" xr:uid="{00000000-0005-0000-0000-0000D2440000}"/>
    <cellStyle name="20% - Accent6 5 3 3 3 3 2" xfId="23199" xr:uid="{00000000-0005-0000-0000-0000D3440000}"/>
    <cellStyle name="20% - Accent6 5 3 3 3 3 2 2" xfId="49073" xr:uid="{00000000-0005-0000-0000-0000D4440000}"/>
    <cellStyle name="20% - Accent6 5 3 3 3 3 3" xfId="36157" xr:uid="{00000000-0005-0000-0000-0000D5440000}"/>
    <cellStyle name="20% - Accent6 5 3 3 3 4" xfId="16741" xr:uid="{00000000-0005-0000-0000-0000D6440000}"/>
    <cellStyle name="20% - Accent6 5 3 3 3 4 2" xfId="42615" xr:uid="{00000000-0005-0000-0000-0000D7440000}"/>
    <cellStyle name="20% - Accent6 5 3 3 3 5" xfId="29667" xr:uid="{00000000-0005-0000-0000-0000D8440000}"/>
    <cellStyle name="20% - Accent6 5 3 3 4" xfId="5437" xr:uid="{00000000-0005-0000-0000-0000D9440000}"/>
    <cellStyle name="20% - Accent6 5 3 3 4 2" xfId="11896" xr:uid="{00000000-0005-0000-0000-0000DA440000}"/>
    <cellStyle name="20% - Accent6 5 3 3 4 2 2" xfId="24813" xr:uid="{00000000-0005-0000-0000-0000DB440000}"/>
    <cellStyle name="20% - Accent6 5 3 3 4 2 2 2" xfId="50687" xr:uid="{00000000-0005-0000-0000-0000DC440000}"/>
    <cellStyle name="20% - Accent6 5 3 3 4 2 3" xfId="37771" xr:uid="{00000000-0005-0000-0000-0000DD440000}"/>
    <cellStyle name="20% - Accent6 5 3 3 4 3" xfId="18355" xr:uid="{00000000-0005-0000-0000-0000DE440000}"/>
    <cellStyle name="20% - Accent6 5 3 3 4 3 2" xfId="44229" xr:uid="{00000000-0005-0000-0000-0000DF440000}"/>
    <cellStyle name="20% - Accent6 5 3 3 4 4" xfId="31313" xr:uid="{00000000-0005-0000-0000-0000E0440000}"/>
    <cellStyle name="20% - Accent6 5 3 3 5" xfId="8668" xr:uid="{00000000-0005-0000-0000-0000E1440000}"/>
    <cellStyle name="20% - Accent6 5 3 3 5 2" xfId="21585" xr:uid="{00000000-0005-0000-0000-0000E2440000}"/>
    <cellStyle name="20% - Accent6 5 3 3 5 2 2" xfId="47459" xr:uid="{00000000-0005-0000-0000-0000E3440000}"/>
    <cellStyle name="20% - Accent6 5 3 3 5 3" xfId="34543" xr:uid="{00000000-0005-0000-0000-0000E4440000}"/>
    <cellStyle name="20% - Accent6 5 3 3 6" xfId="15127" xr:uid="{00000000-0005-0000-0000-0000E5440000}"/>
    <cellStyle name="20% - Accent6 5 3 3 6 2" xfId="41001" xr:uid="{00000000-0005-0000-0000-0000E6440000}"/>
    <cellStyle name="20% - Accent6 5 3 3 7" xfId="28053" xr:uid="{00000000-0005-0000-0000-0000E7440000}"/>
    <cellStyle name="20% - Accent6 5 3 3 8" xfId="53915" xr:uid="{00000000-0005-0000-0000-0000E8440000}"/>
    <cellStyle name="20% - Accent6 5 3 4" xfId="2567" xr:uid="{00000000-0005-0000-0000-0000E9440000}"/>
    <cellStyle name="20% - Accent6 5 3 4 2" xfId="4224" xr:uid="{00000000-0005-0000-0000-0000EA440000}"/>
    <cellStyle name="20% - Accent6 5 3 4 2 2" xfId="7455" xr:uid="{00000000-0005-0000-0000-0000EB440000}"/>
    <cellStyle name="20% - Accent6 5 3 4 2 2 2" xfId="13914" xr:uid="{00000000-0005-0000-0000-0000EC440000}"/>
    <cellStyle name="20% - Accent6 5 3 4 2 2 2 2" xfId="26831" xr:uid="{00000000-0005-0000-0000-0000ED440000}"/>
    <cellStyle name="20% - Accent6 5 3 4 2 2 2 2 2" xfId="52705" xr:uid="{00000000-0005-0000-0000-0000EE440000}"/>
    <cellStyle name="20% - Accent6 5 3 4 2 2 2 3" xfId="39789" xr:uid="{00000000-0005-0000-0000-0000EF440000}"/>
    <cellStyle name="20% - Accent6 5 3 4 2 2 3" xfId="20373" xr:uid="{00000000-0005-0000-0000-0000F0440000}"/>
    <cellStyle name="20% - Accent6 5 3 4 2 2 3 2" xfId="46247" xr:uid="{00000000-0005-0000-0000-0000F1440000}"/>
    <cellStyle name="20% - Accent6 5 3 4 2 2 4" xfId="33331" xr:uid="{00000000-0005-0000-0000-0000F2440000}"/>
    <cellStyle name="20% - Accent6 5 3 4 2 3" xfId="10686" xr:uid="{00000000-0005-0000-0000-0000F3440000}"/>
    <cellStyle name="20% - Accent6 5 3 4 2 3 2" xfId="23603" xr:uid="{00000000-0005-0000-0000-0000F4440000}"/>
    <cellStyle name="20% - Accent6 5 3 4 2 3 2 2" xfId="49477" xr:uid="{00000000-0005-0000-0000-0000F5440000}"/>
    <cellStyle name="20% - Accent6 5 3 4 2 3 3" xfId="36561" xr:uid="{00000000-0005-0000-0000-0000F6440000}"/>
    <cellStyle name="20% - Accent6 5 3 4 2 4" xfId="17145" xr:uid="{00000000-0005-0000-0000-0000F7440000}"/>
    <cellStyle name="20% - Accent6 5 3 4 2 4 2" xfId="43019" xr:uid="{00000000-0005-0000-0000-0000F8440000}"/>
    <cellStyle name="20% - Accent6 5 3 4 2 5" xfId="30071" xr:uid="{00000000-0005-0000-0000-0000F9440000}"/>
    <cellStyle name="20% - Accent6 5 3 4 3" xfId="5841" xr:uid="{00000000-0005-0000-0000-0000FA440000}"/>
    <cellStyle name="20% - Accent6 5 3 4 3 2" xfId="12300" xr:uid="{00000000-0005-0000-0000-0000FB440000}"/>
    <cellStyle name="20% - Accent6 5 3 4 3 2 2" xfId="25217" xr:uid="{00000000-0005-0000-0000-0000FC440000}"/>
    <cellStyle name="20% - Accent6 5 3 4 3 2 2 2" xfId="51091" xr:uid="{00000000-0005-0000-0000-0000FD440000}"/>
    <cellStyle name="20% - Accent6 5 3 4 3 2 3" xfId="38175" xr:uid="{00000000-0005-0000-0000-0000FE440000}"/>
    <cellStyle name="20% - Accent6 5 3 4 3 3" xfId="18759" xr:uid="{00000000-0005-0000-0000-0000FF440000}"/>
    <cellStyle name="20% - Accent6 5 3 4 3 3 2" xfId="44633" xr:uid="{00000000-0005-0000-0000-000000450000}"/>
    <cellStyle name="20% - Accent6 5 3 4 3 4" xfId="31717" xr:uid="{00000000-0005-0000-0000-000001450000}"/>
    <cellStyle name="20% - Accent6 5 3 4 4" xfId="9072" xr:uid="{00000000-0005-0000-0000-000002450000}"/>
    <cellStyle name="20% - Accent6 5 3 4 4 2" xfId="21989" xr:uid="{00000000-0005-0000-0000-000003450000}"/>
    <cellStyle name="20% - Accent6 5 3 4 4 2 2" xfId="47863" xr:uid="{00000000-0005-0000-0000-000004450000}"/>
    <cellStyle name="20% - Accent6 5 3 4 4 3" xfId="34947" xr:uid="{00000000-0005-0000-0000-000005450000}"/>
    <cellStyle name="20% - Accent6 5 3 4 5" xfId="15531" xr:uid="{00000000-0005-0000-0000-000006450000}"/>
    <cellStyle name="20% - Accent6 5 3 4 5 2" xfId="41405" xr:uid="{00000000-0005-0000-0000-000007450000}"/>
    <cellStyle name="20% - Accent6 5 3 4 6" xfId="28457" xr:uid="{00000000-0005-0000-0000-000008450000}"/>
    <cellStyle name="20% - Accent6 5 3 5" xfId="3392" xr:uid="{00000000-0005-0000-0000-000009450000}"/>
    <cellStyle name="20% - Accent6 5 3 5 2" xfId="6648" xr:uid="{00000000-0005-0000-0000-00000A450000}"/>
    <cellStyle name="20% - Accent6 5 3 5 2 2" xfId="13107" xr:uid="{00000000-0005-0000-0000-00000B450000}"/>
    <cellStyle name="20% - Accent6 5 3 5 2 2 2" xfId="26024" xr:uid="{00000000-0005-0000-0000-00000C450000}"/>
    <cellStyle name="20% - Accent6 5 3 5 2 2 2 2" xfId="51898" xr:uid="{00000000-0005-0000-0000-00000D450000}"/>
    <cellStyle name="20% - Accent6 5 3 5 2 2 3" xfId="38982" xr:uid="{00000000-0005-0000-0000-00000E450000}"/>
    <cellStyle name="20% - Accent6 5 3 5 2 3" xfId="19566" xr:uid="{00000000-0005-0000-0000-00000F450000}"/>
    <cellStyle name="20% - Accent6 5 3 5 2 3 2" xfId="45440" xr:uid="{00000000-0005-0000-0000-000010450000}"/>
    <cellStyle name="20% - Accent6 5 3 5 2 4" xfId="32524" xr:uid="{00000000-0005-0000-0000-000011450000}"/>
    <cellStyle name="20% - Accent6 5 3 5 3" xfId="9879" xr:uid="{00000000-0005-0000-0000-000012450000}"/>
    <cellStyle name="20% - Accent6 5 3 5 3 2" xfId="22796" xr:uid="{00000000-0005-0000-0000-000013450000}"/>
    <cellStyle name="20% - Accent6 5 3 5 3 2 2" xfId="48670" xr:uid="{00000000-0005-0000-0000-000014450000}"/>
    <cellStyle name="20% - Accent6 5 3 5 3 3" xfId="35754" xr:uid="{00000000-0005-0000-0000-000015450000}"/>
    <cellStyle name="20% - Accent6 5 3 5 4" xfId="16338" xr:uid="{00000000-0005-0000-0000-000016450000}"/>
    <cellStyle name="20% - Accent6 5 3 5 4 2" xfId="42212" xr:uid="{00000000-0005-0000-0000-000017450000}"/>
    <cellStyle name="20% - Accent6 5 3 5 5" xfId="29264" xr:uid="{00000000-0005-0000-0000-000018450000}"/>
    <cellStyle name="20% - Accent6 5 3 6" xfId="5034" xr:uid="{00000000-0005-0000-0000-000019450000}"/>
    <cellStyle name="20% - Accent6 5 3 6 2" xfId="11493" xr:uid="{00000000-0005-0000-0000-00001A450000}"/>
    <cellStyle name="20% - Accent6 5 3 6 2 2" xfId="24410" xr:uid="{00000000-0005-0000-0000-00001B450000}"/>
    <cellStyle name="20% - Accent6 5 3 6 2 2 2" xfId="50284" xr:uid="{00000000-0005-0000-0000-00001C450000}"/>
    <cellStyle name="20% - Accent6 5 3 6 2 3" xfId="37368" xr:uid="{00000000-0005-0000-0000-00001D450000}"/>
    <cellStyle name="20% - Accent6 5 3 6 3" xfId="17952" xr:uid="{00000000-0005-0000-0000-00001E450000}"/>
    <cellStyle name="20% - Accent6 5 3 6 3 2" xfId="43826" xr:uid="{00000000-0005-0000-0000-00001F450000}"/>
    <cellStyle name="20% - Accent6 5 3 6 4" xfId="30910" xr:uid="{00000000-0005-0000-0000-000020450000}"/>
    <cellStyle name="20% - Accent6 5 3 7" xfId="8264" xr:uid="{00000000-0005-0000-0000-000021450000}"/>
    <cellStyle name="20% - Accent6 5 3 7 2" xfId="21181" xr:uid="{00000000-0005-0000-0000-000022450000}"/>
    <cellStyle name="20% - Accent6 5 3 7 2 2" xfId="47055" xr:uid="{00000000-0005-0000-0000-000023450000}"/>
    <cellStyle name="20% - Accent6 5 3 7 3" xfId="34139" xr:uid="{00000000-0005-0000-0000-000024450000}"/>
    <cellStyle name="20% - Accent6 5 3 8" xfId="14723" xr:uid="{00000000-0005-0000-0000-000025450000}"/>
    <cellStyle name="20% - Accent6 5 3 8 2" xfId="40597" xr:uid="{00000000-0005-0000-0000-000026450000}"/>
    <cellStyle name="20% - Accent6 5 3 9" xfId="27647" xr:uid="{00000000-0005-0000-0000-000027450000}"/>
    <cellStyle name="20% - Accent6 5 4" xfId="637" xr:uid="{00000000-0005-0000-0000-000028450000}"/>
    <cellStyle name="20% - Accent6 5 5" xfId="1085" xr:uid="{00000000-0005-0000-0000-000029450000}"/>
    <cellStyle name="20% - Accent6 6" xfId="206" xr:uid="{00000000-0005-0000-0000-00002A450000}"/>
    <cellStyle name="20% - Accent6 6 2" xfId="403" xr:uid="{00000000-0005-0000-0000-00002B450000}"/>
    <cellStyle name="20% - Accent6 6 2 2" xfId="643" xr:uid="{00000000-0005-0000-0000-00002C450000}"/>
    <cellStyle name="20% - Accent6 6 2 3" xfId="642" xr:uid="{00000000-0005-0000-0000-00002D450000}"/>
    <cellStyle name="20% - Accent6 6 3" xfId="644" xr:uid="{00000000-0005-0000-0000-00002E450000}"/>
    <cellStyle name="20% - Accent6 6 4" xfId="641" xr:uid="{00000000-0005-0000-0000-00002F450000}"/>
    <cellStyle name="20% - Accent6 6 5" xfId="1086" xr:uid="{00000000-0005-0000-0000-000030450000}"/>
    <cellStyle name="20% - Accent6 7" xfId="490" xr:uid="{00000000-0005-0000-0000-000031450000}"/>
    <cellStyle name="20% - Accent6 7 2" xfId="646" xr:uid="{00000000-0005-0000-0000-000032450000}"/>
    <cellStyle name="20% - Accent6 7 2 2" xfId="1088" xr:uid="{00000000-0005-0000-0000-000033450000}"/>
    <cellStyle name="20% - Accent6 7 3" xfId="645" xr:uid="{00000000-0005-0000-0000-000034450000}"/>
    <cellStyle name="20% - Accent6 7 3 10" xfId="27588" xr:uid="{00000000-0005-0000-0000-000035450000}"/>
    <cellStyle name="20% - Accent6 7 3 11" xfId="53454" xr:uid="{00000000-0005-0000-0000-000036450000}"/>
    <cellStyle name="20% - Accent6 7 3 12" xfId="1089" xr:uid="{00000000-0005-0000-0000-000037450000}"/>
    <cellStyle name="20% - Accent6 7 3 2" xfId="1661" xr:uid="{00000000-0005-0000-0000-000038450000}"/>
    <cellStyle name="20% - Accent6 7 3 2 10" xfId="53577" xr:uid="{00000000-0005-0000-0000-000039450000}"/>
    <cellStyle name="20% - Accent6 7 3 2 2" xfId="1986" xr:uid="{00000000-0005-0000-0000-00003A450000}"/>
    <cellStyle name="20% - Accent6 7 3 2 2 2" xfId="2417" xr:uid="{00000000-0005-0000-0000-00003B450000}"/>
    <cellStyle name="20% - Accent6 7 3 2 2 2 2" xfId="3230" xr:uid="{00000000-0005-0000-0000-00003C450000}"/>
    <cellStyle name="20% - Accent6 7 3 2 2 2 2 2" xfId="4887" xr:uid="{00000000-0005-0000-0000-00003D450000}"/>
    <cellStyle name="20% - Accent6 7 3 2 2 2 2 2 2" xfId="8118" xr:uid="{00000000-0005-0000-0000-00003E450000}"/>
    <cellStyle name="20% - Accent6 7 3 2 2 2 2 2 2 2" xfId="14577" xr:uid="{00000000-0005-0000-0000-00003F450000}"/>
    <cellStyle name="20% - Accent6 7 3 2 2 2 2 2 2 2 2" xfId="27494" xr:uid="{00000000-0005-0000-0000-000040450000}"/>
    <cellStyle name="20% - Accent6 7 3 2 2 2 2 2 2 2 2 2" xfId="53368" xr:uid="{00000000-0005-0000-0000-000041450000}"/>
    <cellStyle name="20% - Accent6 7 3 2 2 2 2 2 2 2 3" xfId="40452" xr:uid="{00000000-0005-0000-0000-000042450000}"/>
    <cellStyle name="20% - Accent6 7 3 2 2 2 2 2 2 3" xfId="21036" xr:uid="{00000000-0005-0000-0000-000043450000}"/>
    <cellStyle name="20% - Accent6 7 3 2 2 2 2 2 2 3 2" xfId="46910" xr:uid="{00000000-0005-0000-0000-000044450000}"/>
    <cellStyle name="20% - Accent6 7 3 2 2 2 2 2 2 4" xfId="33994" xr:uid="{00000000-0005-0000-0000-000045450000}"/>
    <cellStyle name="20% - Accent6 7 3 2 2 2 2 2 3" xfId="11349" xr:uid="{00000000-0005-0000-0000-000046450000}"/>
    <cellStyle name="20% - Accent6 7 3 2 2 2 2 2 3 2" xfId="24266" xr:uid="{00000000-0005-0000-0000-000047450000}"/>
    <cellStyle name="20% - Accent6 7 3 2 2 2 2 2 3 2 2" xfId="50140" xr:uid="{00000000-0005-0000-0000-000048450000}"/>
    <cellStyle name="20% - Accent6 7 3 2 2 2 2 2 3 3" xfId="37224" xr:uid="{00000000-0005-0000-0000-000049450000}"/>
    <cellStyle name="20% - Accent6 7 3 2 2 2 2 2 4" xfId="17808" xr:uid="{00000000-0005-0000-0000-00004A450000}"/>
    <cellStyle name="20% - Accent6 7 3 2 2 2 2 2 4 2" xfId="43682" xr:uid="{00000000-0005-0000-0000-00004B450000}"/>
    <cellStyle name="20% - Accent6 7 3 2 2 2 2 2 5" xfId="30734" xr:uid="{00000000-0005-0000-0000-00004C450000}"/>
    <cellStyle name="20% - Accent6 7 3 2 2 2 2 3" xfId="6504" xr:uid="{00000000-0005-0000-0000-00004D450000}"/>
    <cellStyle name="20% - Accent6 7 3 2 2 2 2 3 2" xfId="12963" xr:uid="{00000000-0005-0000-0000-00004E450000}"/>
    <cellStyle name="20% - Accent6 7 3 2 2 2 2 3 2 2" xfId="25880" xr:uid="{00000000-0005-0000-0000-00004F450000}"/>
    <cellStyle name="20% - Accent6 7 3 2 2 2 2 3 2 2 2" xfId="51754" xr:uid="{00000000-0005-0000-0000-000050450000}"/>
    <cellStyle name="20% - Accent6 7 3 2 2 2 2 3 2 3" xfId="38838" xr:uid="{00000000-0005-0000-0000-000051450000}"/>
    <cellStyle name="20% - Accent6 7 3 2 2 2 2 3 3" xfId="19422" xr:uid="{00000000-0005-0000-0000-000052450000}"/>
    <cellStyle name="20% - Accent6 7 3 2 2 2 2 3 3 2" xfId="45296" xr:uid="{00000000-0005-0000-0000-000053450000}"/>
    <cellStyle name="20% - Accent6 7 3 2 2 2 2 3 4" xfId="32380" xr:uid="{00000000-0005-0000-0000-000054450000}"/>
    <cellStyle name="20% - Accent6 7 3 2 2 2 2 4" xfId="9735" xr:uid="{00000000-0005-0000-0000-000055450000}"/>
    <cellStyle name="20% - Accent6 7 3 2 2 2 2 4 2" xfId="22652" xr:uid="{00000000-0005-0000-0000-000056450000}"/>
    <cellStyle name="20% - Accent6 7 3 2 2 2 2 4 2 2" xfId="48526" xr:uid="{00000000-0005-0000-0000-000057450000}"/>
    <cellStyle name="20% - Accent6 7 3 2 2 2 2 4 3" xfId="35610" xr:uid="{00000000-0005-0000-0000-000058450000}"/>
    <cellStyle name="20% - Accent6 7 3 2 2 2 2 5" xfId="16194" xr:uid="{00000000-0005-0000-0000-000059450000}"/>
    <cellStyle name="20% - Accent6 7 3 2 2 2 2 5 2" xfId="42068" xr:uid="{00000000-0005-0000-0000-00005A450000}"/>
    <cellStyle name="20% - Accent6 7 3 2 2 2 2 6" xfId="29120" xr:uid="{00000000-0005-0000-0000-00005B450000}"/>
    <cellStyle name="20% - Accent6 7 3 2 2 2 3" xfId="4057" xr:uid="{00000000-0005-0000-0000-00005C450000}"/>
    <cellStyle name="20% - Accent6 7 3 2 2 2 3 2" xfId="7311" xr:uid="{00000000-0005-0000-0000-00005D450000}"/>
    <cellStyle name="20% - Accent6 7 3 2 2 2 3 2 2" xfId="13770" xr:uid="{00000000-0005-0000-0000-00005E450000}"/>
    <cellStyle name="20% - Accent6 7 3 2 2 2 3 2 2 2" xfId="26687" xr:uid="{00000000-0005-0000-0000-00005F450000}"/>
    <cellStyle name="20% - Accent6 7 3 2 2 2 3 2 2 2 2" xfId="52561" xr:uid="{00000000-0005-0000-0000-000060450000}"/>
    <cellStyle name="20% - Accent6 7 3 2 2 2 3 2 2 3" xfId="39645" xr:uid="{00000000-0005-0000-0000-000061450000}"/>
    <cellStyle name="20% - Accent6 7 3 2 2 2 3 2 3" xfId="20229" xr:uid="{00000000-0005-0000-0000-000062450000}"/>
    <cellStyle name="20% - Accent6 7 3 2 2 2 3 2 3 2" xfId="46103" xr:uid="{00000000-0005-0000-0000-000063450000}"/>
    <cellStyle name="20% - Accent6 7 3 2 2 2 3 2 4" xfId="33187" xr:uid="{00000000-0005-0000-0000-000064450000}"/>
    <cellStyle name="20% - Accent6 7 3 2 2 2 3 3" xfId="10542" xr:uid="{00000000-0005-0000-0000-000065450000}"/>
    <cellStyle name="20% - Accent6 7 3 2 2 2 3 3 2" xfId="23459" xr:uid="{00000000-0005-0000-0000-000066450000}"/>
    <cellStyle name="20% - Accent6 7 3 2 2 2 3 3 2 2" xfId="49333" xr:uid="{00000000-0005-0000-0000-000067450000}"/>
    <cellStyle name="20% - Accent6 7 3 2 2 2 3 3 3" xfId="36417" xr:uid="{00000000-0005-0000-0000-000068450000}"/>
    <cellStyle name="20% - Accent6 7 3 2 2 2 3 4" xfId="17001" xr:uid="{00000000-0005-0000-0000-000069450000}"/>
    <cellStyle name="20% - Accent6 7 3 2 2 2 3 4 2" xfId="42875" xr:uid="{00000000-0005-0000-0000-00006A450000}"/>
    <cellStyle name="20% - Accent6 7 3 2 2 2 3 5" xfId="29927" xr:uid="{00000000-0005-0000-0000-00006B450000}"/>
    <cellStyle name="20% - Accent6 7 3 2 2 2 4" xfId="5697" xr:uid="{00000000-0005-0000-0000-00006C450000}"/>
    <cellStyle name="20% - Accent6 7 3 2 2 2 4 2" xfId="12156" xr:uid="{00000000-0005-0000-0000-00006D450000}"/>
    <cellStyle name="20% - Accent6 7 3 2 2 2 4 2 2" xfId="25073" xr:uid="{00000000-0005-0000-0000-00006E450000}"/>
    <cellStyle name="20% - Accent6 7 3 2 2 2 4 2 2 2" xfId="50947" xr:uid="{00000000-0005-0000-0000-00006F450000}"/>
    <cellStyle name="20% - Accent6 7 3 2 2 2 4 2 3" xfId="38031" xr:uid="{00000000-0005-0000-0000-000070450000}"/>
    <cellStyle name="20% - Accent6 7 3 2 2 2 4 3" xfId="18615" xr:uid="{00000000-0005-0000-0000-000071450000}"/>
    <cellStyle name="20% - Accent6 7 3 2 2 2 4 3 2" xfId="44489" xr:uid="{00000000-0005-0000-0000-000072450000}"/>
    <cellStyle name="20% - Accent6 7 3 2 2 2 4 4" xfId="31573" xr:uid="{00000000-0005-0000-0000-000073450000}"/>
    <cellStyle name="20% - Accent6 7 3 2 2 2 5" xfId="8928" xr:uid="{00000000-0005-0000-0000-000074450000}"/>
    <cellStyle name="20% - Accent6 7 3 2 2 2 5 2" xfId="21845" xr:uid="{00000000-0005-0000-0000-000075450000}"/>
    <cellStyle name="20% - Accent6 7 3 2 2 2 5 2 2" xfId="47719" xr:uid="{00000000-0005-0000-0000-000076450000}"/>
    <cellStyle name="20% - Accent6 7 3 2 2 2 5 3" xfId="34803" xr:uid="{00000000-0005-0000-0000-000077450000}"/>
    <cellStyle name="20% - Accent6 7 3 2 2 2 6" xfId="15387" xr:uid="{00000000-0005-0000-0000-000078450000}"/>
    <cellStyle name="20% - Accent6 7 3 2 2 2 6 2" xfId="41261" xr:uid="{00000000-0005-0000-0000-000079450000}"/>
    <cellStyle name="20% - Accent6 7 3 2 2 2 7" xfId="28313" xr:uid="{00000000-0005-0000-0000-00007A450000}"/>
    <cellStyle name="20% - Accent6 7 3 2 2 2 8" xfId="54175" xr:uid="{00000000-0005-0000-0000-00007B450000}"/>
    <cellStyle name="20% - Accent6 7 3 2 2 3" xfId="2826" xr:uid="{00000000-0005-0000-0000-00007C450000}"/>
    <cellStyle name="20% - Accent6 7 3 2 2 3 2" xfId="4483" xr:uid="{00000000-0005-0000-0000-00007D450000}"/>
    <cellStyle name="20% - Accent6 7 3 2 2 3 2 2" xfId="7714" xr:uid="{00000000-0005-0000-0000-00007E450000}"/>
    <cellStyle name="20% - Accent6 7 3 2 2 3 2 2 2" xfId="14173" xr:uid="{00000000-0005-0000-0000-00007F450000}"/>
    <cellStyle name="20% - Accent6 7 3 2 2 3 2 2 2 2" xfId="27090" xr:uid="{00000000-0005-0000-0000-000080450000}"/>
    <cellStyle name="20% - Accent6 7 3 2 2 3 2 2 2 2 2" xfId="52964" xr:uid="{00000000-0005-0000-0000-000081450000}"/>
    <cellStyle name="20% - Accent6 7 3 2 2 3 2 2 2 3" xfId="40048" xr:uid="{00000000-0005-0000-0000-000082450000}"/>
    <cellStyle name="20% - Accent6 7 3 2 2 3 2 2 3" xfId="20632" xr:uid="{00000000-0005-0000-0000-000083450000}"/>
    <cellStyle name="20% - Accent6 7 3 2 2 3 2 2 3 2" xfId="46506" xr:uid="{00000000-0005-0000-0000-000084450000}"/>
    <cellStyle name="20% - Accent6 7 3 2 2 3 2 2 4" xfId="33590" xr:uid="{00000000-0005-0000-0000-000085450000}"/>
    <cellStyle name="20% - Accent6 7 3 2 2 3 2 3" xfId="10945" xr:uid="{00000000-0005-0000-0000-000086450000}"/>
    <cellStyle name="20% - Accent6 7 3 2 2 3 2 3 2" xfId="23862" xr:uid="{00000000-0005-0000-0000-000087450000}"/>
    <cellStyle name="20% - Accent6 7 3 2 2 3 2 3 2 2" xfId="49736" xr:uid="{00000000-0005-0000-0000-000088450000}"/>
    <cellStyle name="20% - Accent6 7 3 2 2 3 2 3 3" xfId="36820" xr:uid="{00000000-0005-0000-0000-000089450000}"/>
    <cellStyle name="20% - Accent6 7 3 2 2 3 2 4" xfId="17404" xr:uid="{00000000-0005-0000-0000-00008A450000}"/>
    <cellStyle name="20% - Accent6 7 3 2 2 3 2 4 2" xfId="43278" xr:uid="{00000000-0005-0000-0000-00008B450000}"/>
    <cellStyle name="20% - Accent6 7 3 2 2 3 2 5" xfId="30330" xr:uid="{00000000-0005-0000-0000-00008C450000}"/>
    <cellStyle name="20% - Accent6 7 3 2 2 3 3" xfId="6100" xr:uid="{00000000-0005-0000-0000-00008D450000}"/>
    <cellStyle name="20% - Accent6 7 3 2 2 3 3 2" xfId="12559" xr:uid="{00000000-0005-0000-0000-00008E450000}"/>
    <cellStyle name="20% - Accent6 7 3 2 2 3 3 2 2" xfId="25476" xr:uid="{00000000-0005-0000-0000-00008F450000}"/>
    <cellStyle name="20% - Accent6 7 3 2 2 3 3 2 2 2" xfId="51350" xr:uid="{00000000-0005-0000-0000-000090450000}"/>
    <cellStyle name="20% - Accent6 7 3 2 2 3 3 2 3" xfId="38434" xr:uid="{00000000-0005-0000-0000-000091450000}"/>
    <cellStyle name="20% - Accent6 7 3 2 2 3 3 3" xfId="19018" xr:uid="{00000000-0005-0000-0000-000092450000}"/>
    <cellStyle name="20% - Accent6 7 3 2 2 3 3 3 2" xfId="44892" xr:uid="{00000000-0005-0000-0000-000093450000}"/>
    <cellStyle name="20% - Accent6 7 3 2 2 3 3 4" xfId="31976" xr:uid="{00000000-0005-0000-0000-000094450000}"/>
    <cellStyle name="20% - Accent6 7 3 2 2 3 4" xfId="9331" xr:uid="{00000000-0005-0000-0000-000095450000}"/>
    <cellStyle name="20% - Accent6 7 3 2 2 3 4 2" xfId="22248" xr:uid="{00000000-0005-0000-0000-000096450000}"/>
    <cellStyle name="20% - Accent6 7 3 2 2 3 4 2 2" xfId="48122" xr:uid="{00000000-0005-0000-0000-000097450000}"/>
    <cellStyle name="20% - Accent6 7 3 2 2 3 4 3" xfId="35206" xr:uid="{00000000-0005-0000-0000-000098450000}"/>
    <cellStyle name="20% - Accent6 7 3 2 2 3 5" xfId="15790" xr:uid="{00000000-0005-0000-0000-000099450000}"/>
    <cellStyle name="20% - Accent6 7 3 2 2 3 5 2" xfId="41664" xr:uid="{00000000-0005-0000-0000-00009A450000}"/>
    <cellStyle name="20% - Accent6 7 3 2 2 3 6" xfId="28716" xr:uid="{00000000-0005-0000-0000-00009B450000}"/>
    <cellStyle name="20% - Accent6 7 3 2 2 4" xfId="3653" xr:uid="{00000000-0005-0000-0000-00009C450000}"/>
    <cellStyle name="20% - Accent6 7 3 2 2 4 2" xfId="6907" xr:uid="{00000000-0005-0000-0000-00009D450000}"/>
    <cellStyle name="20% - Accent6 7 3 2 2 4 2 2" xfId="13366" xr:uid="{00000000-0005-0000-0000-00009E450000}"/>
    <cellStyle name="20% - Accent6 7 3 2 2 4 2 2 2" xfId="26283" xr:uid="{00000000-0005-0000-0000-00009F450000}"/>
    <cellStyle name="20% - Accent6 7 3 2 2 4 2 2 2 2" xfId="52157" xr:uid="{00000000-0005-0000-0000-0000A0450000}"/>
    <cellStyle name="20% - Accent6 7 3 2 2 4 2 2 3" xfId="39241" xr:uid="{00000000-0005-0000-0000-0000A1450000}"/>
    <cellStyle name="20% - Accent6 7 3 2 2 4 2 3" xfId="19825" xr:uid="{00000000-0005-0000-0000-0000A2450000}"/>
    <cellStyle name="20% - Accent6 7 3 2 2 4 2 3 2" xfId="45699" xr:uid="{00000000-0005-0000-0000-0000A3450000}"/>
    <cellStyle name="20% - Accent6 7 3 2 2 4 2 4" xfId="32783" xr:uid="{00000000-0005-0000-0000-0000A4450000}"/>
    <cellStyle name="20% - Accent6 7 3 2 2 4 3" xfId="10138" xr:uid="{00000000-0005-0000-0000-0000A5450000}"/>
    <cellStyle name="20% - Accent6 7 3 2 2 4 3 2" xfId="23055" xr:uid="{00000000-0005-0000-0000-0000A6450000}"/>
    <cellStyle name="20% - Accent6 7 3 2 2 4 3 2 2" xfId="48929" xr:uid="{00000000-0005-0000-0000-0000A7450000}"/>
    <cellStyle name="20% - Accent6 7 3 2 2 4 3 3" xfId="36013" xr:uid="{00000000-0005-0000-0000-0000A8450000}"/>
    <cellStyle name="20% - Accent6 7 3 2 2 4 4" xfId="16597" xr:uid="{00000000-0005-0000-0000-0000A9450000}"/>
    <cellStyle name="20% - Accent6 7 3 2 2 4 4 2" xfId="42471" xr:uid="{00000000-0005-0000-0000-0000AA450000}"/>
    <cellStyle name="20% - Accent6 7 3 2 2 4 5" xfId="29523" xr:uid="{00000000-0005-0000-0000-0000AB450000}"/>
    <cellStyle name="20% - Accent6 7 3 2 2 5" xfId="5293" xr:uid="{00000000-0005-0000-0000-0000AC450000}"/>
    <cellStyle name="20% - Accent6 7 3 2 2 5 2" xfId="11752" xr:uid="{00000000-0005-0000-0000-0000AD450000}"/>
    <cellStyle name="20% - Accent6 7 3 2 2 5 2 2" xfId="24669" xr:uid="{00000000-0005-0000-0000-0000AE450000}"/>
    <cellStyle name="20% - Accent6 7 3 2 2 5 2 2 2" xfId="50543" xr:uid="{00000000-0005-0000-0000-0000AF450000}"/>
    <cellStyle name="20% - Accent6 7 3 2 2 5 2 3" xfId="37627" xr:uid="{00000000-0005-0000-0000-0000B0450000}"/>
    <cellStyle name="20% - Accent6 7 3 2 2 5 3" xfId="18211" xr:uid="{00000000-0005-0000-0000-0000B1450000}"/>
    <cellStyle name="20% - Accent6 7 3 2 2 5 3 2" xfId="44085" xr:uid="{00000000-0005-0000-0000-0000B2450000}"/>
    <cellStyle name="20% - Accent6 7 3 2 2 5 4" xfId="31169" xr:uid="{00000000-0005-0000-0000-0000B3450000}"/>
    <cellStyle name="20% - Accent6 7 3 2 2 6" xfId="8524" xr:uid="{00000000-0005-0000-0000-0000B4450000}"/>
    <cellStyle name="20% - Accent6 7 3 2 2 6 2" xfId="21441" xr:uid="{00000000-0005-0000-0000-0000B5450000}"/>
    <cellStyle name="20% - Accent6 7 3 2 2 6 2 2" xfId="47315" xr:uid="{00000000-0005-0000-0000-0000B6450000}"/>
    <cellStyle name="20% - Accent6 7 3 2 2 6 3" xfId="34399" xr:uid="{00000000-0005-0000-0000-0000B7450000}"/>
    <cellStyle name="20% - Accent6 7 3 2 2 7" xfId="14983" xr:uid="{00000000-0005-0000-0000-0000B8450000}"/>
    <cellStyle name="20% - Accent6 7 3 2 2 7 2" xfId="40857" xr:uid="{00000000-0005-0000-0000-0000B9450000}"/>
    <cellStyle name="20% - Accent6 7 3 2 2 8" xfId="27908" xr:uid="{00000000-0005-0000-0000-0000BA450000}"/>
    <cellStyle name="20% - Accent6 7 3 2 2 9" xfId="53771" xr:uid="{00000000-0005-0000-0000-0000BB450000}"/>
    <cellStyle name="20% - Accent6 7 3 2 3" xfId="2221" xr:uid="{00000000-0005-0000-0000-0000BC450000}"/>
    <cellStyle name="20% - Accent6 7 3 2 3 2" xfId="3035" xr:uid="{00000000-0005-0000-0000-0000BD450000}"/>
    <cellStyle name="20% - Accent6 7 3 2 3 2 2" xfId="4692" xr:uid="{00000000-0005-0000-0000-0000BE450000}"/>
    <cellStyle name="20% - Accent6 7 3 2 3 2 2 2" xfId="7923" xr:uid="{00000000-0005-0000-0000-0000BF450000}"/>
    <cellStyle name="20% - Accent6 7 3 2 3 2 2 2 2" xfId="14382" xr:uid="{00000000-0005-0000-0000-0000C0450000}"/>
    <cellStyle name="20% - Accent6 7 3 2 3 2 2 2 2 2" xfId="27299" xr:uid="{00000000-0005-0000-0000-0000C1450000}"/>
    <cellStyle name="20% - Accent6 7 3 2 3 2 2 2 2 2 2" xfId="53173" xr:uid="{00000000-0005-0000-0000-0000C2450000}"/>
    <cellStyle name="20% - Accent6 7 3 2 3 2 2 2 2 3" xfId="40257" xr:uid="{00000000-0005-0000-0000-0000C3450000}"/>
    <cellStyle name="20% - Accent6 7 3 2 3 2 2 2 3" xfId="20841" xr:uid="{00000000-0005-0000-0000-0000C4450000}"/>
    <cellStyle name="20% - Accent6 7 3 2 3 2 2 2 3 2" xfId="46715" xr:uid="{00000000-0005-0000-0000-0000C5450000}"/>
    <cellStyle name="20% - Accent6 7 3 2 3 2 2 2 4" xfId="33799" xr:uid="{00000000-0005-0000-0000-0000C6450000}"/>
    <cellStyle name="20% - Accent6 7 3 2 3 2 2 3" xfId="11154" xr:uid="{00000000-0005-0000-0000-0000C7450000}"/>
    <cellStyle name="20% - Accent6 7 3 2 3 2 2 3 2" xfId="24071" xr:uid="{00000000-0005-0000-0000-0000C8450000}"/>
    <cellStyle name="20% - Accent6 7 3 2 3 2 2 3 2 2" xfId="49945" xr:uid="{00000000-0005-0000-0000-0000C9450000}"/>
    <cellStyle name="20% - Accent6 7 3 2 3 2 2 3 3" xfId="37029" xr:uid="{00000000-0005-0000-0000-0000CA450000}"/>
    <cellStyle name="20% - Accent6 7 3 2 3 2 2 4" xfId="17613" xr:uid="{00000000-0005-0000-0000-0000CB450000}"/>
    <cellStyle name="20% - Accent6 7 3 2 3 2 2 4 2" xfId="43487" xr:uid="{00000000-0005-0000-0000-0000CC450000}"/>
    <cellStyle name="20% - Accent6 7 3 2 3 2 2 5" xfId="30539" xr:uid="{00000000-0005-0000-0000-0000CD450000}"/>
    <cellStyle name="20% - Accent6 7 3 2 3 2 3" xfId="6309" xr:uid="{00000000-0005-0000-0000-0000CE450000}"/>
    <cellStyle name="20% - Accent6 7 3 2 3 2 3 2" xfId="12768" xr:uid="{00000000-0005-0000-0000-0000CF450000}"/>
    <cellStyle name="20% - Accent6 7 3 2 3 2 3 2 2" xfId="25685" xr:uid="{00000000-0005-0000-0000-0000D0450000}"/>
    <cellStyle name="20% - Accent6 7 3 2 3 2 3 2 2 2" xfId="51559" xr:uid="{00000000-0005-0000-0000-0000D1450000}"/>
    <cellStyle name="20% - Accent6 7 3 2 3 2 3 2 3" xfId="38643" xr:uid="{00000000-0005-0000-0000-0000D2450000}"/>
    <cellStyle name="20% - Accent6 7 3 2 3 2 3 3" xfId="19227" xr:uid="{00000000-0005-0000-0000-0000D3450000}"/>
    <cellStyle name="20% - Accent6 7 3 2 3 2 3 3 2" xfId="45101" xr:uid="{00000000-0005-0000-0000-0000D4450000}"/>
    <cellStyle name="20% - Accent6 7 3 2 3 2 3 4" xfId="32185" xr:uid="{00000000-0005-0000-0000-0000D5450000}"/>
    <cellStyle name="20% - Accent6 7 3 2 3 2 4" xfId="9540" xr:uid="{00000000-0005-0000-0000-0000D6450000}"/>
    <cellStyle name="20% - Accent6 7 3 2 3 2 4 2" xfId="22457" xr:uid="{00000000-0005-0000-0000-0000D7450000}"/>
    <cellStyle name="20% - Accent6 7 3 2 3 2 4 2 2" xfId="48331" xr:uid="{00000000-0005-0000-0000-0000D8450000}"/>
    <cellStyle name="20% - Accent6 7 3 2 3 2 4 3" xfId="35415" xr:uid="{00000000-0005-0000-0000-0000D9450000}"/>
    <cellStyle name="20% - Accent6 7 3 2 3 2 5" xfId="15999" xr:uid="{00000000-0005-0000-0000-0000DA450000}"/>
    <cellStyle name="20% - Accent6 7 3 2 3 2 5 2" xfId="41873" xr:uid="{00000000-0005-0000-0000-0000DB450000}"/>
    <cellStyle name="20% - Accent6 7 3 2 3 2 6" xfId="28925" xr:uid="{00000000-0005-0000-0000-0000DC450000}"/>
    <cellStyle name="20% - Accent6 7 3 2 3 3" xfId="3862" xr:uid="{00000000-0005-0000-0000-0000DD450000}"/>
    <cellStyle name="20% - Accent6 7 3 2 3 3 2" xfId="7116" xr:uid="{00000000-0005-0000-0000-0000DE450000}"/>
    <cellStyle name="20% - Accent6 7 3 2 3 3 2 2" xfId="13575" xr:uid="{00000000-0005-0000-0000-0000DF450000}"/>
    <cellStyle name="20% - Accent6 7 3 2 3 3 2 2 2" xfId="26492" xr:uid="{00000000-0005-0000-0000-0000E0450000}"/>
    <cellStyle name="20% - Accent6 7 3 2 3 3 2 2 2 2" xfId="52366" xr:uid="{00000000-0005-0000-0000-0000E1450000}"/>
    <cellStyle name="20% - Accent6 7 3 2 3 3 2 2 3" xfId="39450" xr:uid="{00000000-0005-0000-0000-0000E2450000}"/>
    <cellStyle name="20% - Accent6 7 3 2 3 3 2 3" xfId="20034" xr:uid="{00000000-0005-0000-0000-0000E3450000}"/>
    <cellStyle name="20% - Accent6 7 3 2 3 3 2 3 2" xfId="45908" xr:uid="{00000000-0005-0000-0000-0000E4450000}"/>
    <cellStyle name="20% - Accent6 7 3 2 3 3 2 4" xfId="32992" xr:uid="{00000000-0005-0000-0000-0000E5450000}"/>
    <cellStyle name="20% - Accent6 7 3 2 3 3 3" xfId="10347" xr:uid="{00000000-0005-0000-0000-0000E6450000}"/>
    <cellStyle name="20% - Accent6 7 3 2 3 3 3 2" xfId="23264" xr:uid="{00000000-0005-0000-0000-0000E7450000}"/>
    <cellStyle name="20% - Accent6 7 3 2 3 3 3 2 2" xfId="49138" xr:uid="{00000000-0005-0000-0000-0000E8450000}"/>
    <cellStyle name="20% - Accent6 7 3 2 3 3 3 3" xfId="36222" xr:uid="{00000000-0005-0000-0000-0000E9450000}"/>
    <cellStyle name="20% - Accent6 7 3 2 3 3 4" xfId="16806" xr:uid="{00000000-0005-0000-0000-0000EA450000}"/>
    <cellStyle name="20% - Accent6 7 3 2 3 3 4 2" xfId="42680" xr:uid="{00000000-0005-0000-0000-0000EB450000}"/>
    <cellStyle name="20% - Accent6 7 3 2 3 3 5" xfId="29732" xr:uid="{00000000-0005-0000-0000-0000EC450000}"/>
    <cellStyle name="20% - Accent6 7 3 2 3 4" xfId="5502" xr:uid="{00000000-0005-0000-0000-0000ED450000}"/>
    <cellStyle name="20% - Accent6 7 3 2 3 4 2" xfId="11961" xr:uid="{00000000-0005-0000-0000-0000EE450000}"/>
    <cellStyle name="20% - Accent6 7 3 2 3 4 2 2" xfId="24878" xr:uid="{00000000-0005-0000-0000-0000EF450000}"/>
    <cellStyle name="20% - Accent6 7 3 2 3 4 2 2 2" xfId="50752" xr:uid="{00000000-0005-0000-0000-0000F0450000}"/>
    <cellStyle name="20% - Accent6 7 3 2 3 4 2 3" xfId="37836" xr:uid="{00000000-0005-0000-0000-0000F1450000}"/>
    <cellStyle name="20% - Accent6 7 3 2 3 4 3" xfId="18420" xr:uid="{00000000-0005-0000-0000-0000F2450000}"/>
    <cellStyle name="20% - Accent6 7 3 2 3 4 3 2" xfId="44294" xr:uid="{00000000-0005-0000-0000-0000F3450000}"/>
    <cellStyle name="20% - Accent6 7 3 2 3 4 4" xfId="31378" xr:uid="{00000000-0005-0000-0000-0000F4450000}"/>
    <cellStyle name="20% - Accent6 7 3 2 3 5" xfId="8733" xr:uid="{00000000-0005-0000-0000-0000F5450000}"/>
    <cellStyle name="20% - Accent6 7 3 2 3 5 2" xfId="21650" xr:uid="{00000000-0005-0000-0000-0000F6450000}"/>
    <cellStyle name="20% - Accent6 7 3 2 3 5 2 2" xfId="47524" xr:uid="{00000000-0005-0000-0000-0000F7450000}"/>
    <cellStyle name="20% - Accent6 7 3 2 3 5 3" xfId="34608" xr:uid="{00000000-0005-0000-0000-0000F8450000}"/>
    <cellStyle name="20% - Accent6 7 3 2 3 6" xfId="15192" xr:uid="{00000000-0005-0000-0000-0000F9450000}"/>
    <cellStyle name="20% - Accent6 7 3 2 3 6 2" xfId="41066" xr:uid="{00000000-0005-0000-0000-0000FA450000}"/>
    <cellStyle name="20% - Accent6 7 3 2 3 7" xfId="28118" xr:uid="{00000000-0005-0000-0000-0000FB450000}"/>
    <cellStyle name="20% - Accent6 7 3 2 3 8" xfId="53980" xr:uid="{00000000-0005-0000-0000-0000FC450000}"/>
    <cellStyle name="20% - Accent6 7 3 2 4" xfId="2632" xr:uid="{00000000-0005-0000-0000-0000FD450000}"/>
    <cellStyle name="20% - Accent6 7 3 2 4 2" xfId="4289" xr:uid="{00000000-0005-0000-0000-0000FE450000}"/>
    <cellStyle name="20% - Accent6 7 3 2 4 2 2" xfId="7520" xr:uid="{00000000-0005-0000-0000-0000FF450000}"/>
    <cellStyle name="20% - Accent6 7 3 2 4 2 2 2" xfId="13979" xr:uid="{00000000-0005-0000-0000-000000460000}"/>
    <cellStyle name="20% - Accent6 7 3 2 4 2 2 2 2" xfId="26896" xr:uid="{00000000-0005-0000-0000-000001460000}"/>
    <cellStyle name="20% - Accent6 7 3 2 4 2 2 2 2 2" xfId="52770" xr:uid="{00000000-0005-0000-0000-000002460000}"/>
    <cellStyle name="20% - Accent6 7 3 2 4 2 2 2 3" xfId="39854" xr:uid="{00000000-0005-0000-0000-000003460000}"/>
    <cellStyle name="20% - Accent6 7 3 2 4 2 2 3" xfId="20438" xr:uid="{00000000-0005-0000-0000-000004460000}"/>
    <cellStyle name="20% - Accent6 7 3 2 4 2 2 3 2" xfId="46312" xr:uid="{00000000-0005-0000-0000-000005460000}"/>
    <cellStyle name="20% - Accent6 7 3 2 4 2 2 4" xfId="33396" xr:uid="{00000000-0005-0000-0000-000006460000}"/>
    <cellStyle name="20% - Accent6 7 3 2 4 2 3" xfId="10751" xr:uid="{00000000-0005-0000-0000-000007460000}"/>
    <cellStyle name="20% - Accent6 7 3 2 4 2 3 2" xfId="23668" xr:uid="{00000000-0005-0000-0000-000008460000}"/>
    <cellStyle name="20% - Accent6 7 3 2 4 2 3 2 2" xfId="49542" xr:uid="{00000000-0005-0000-0000-000009460000}"/>
    <cellStyle name="20% - Accent6 7 3 2 4 2 3 3" xfId="36626" xr:uid="{00000000-0005-0000-0000-00000A460000}"/>
    <cellStyle name="20% - Accent6 7 3 2 4 2 4" xfId="17210" xr:uid="{00000000-0005-0000-0000-00000B460000}"/>
    <cellStyle name="20% - Accent6 7 3 2 4 2 4 2" xfId="43084" xr:uid="{00000000-0005-0000-0000-00000C460000}"/>
    <cellStyle name="20% - Accent6 7 3 2 4 2 5" xfId="30136" xr:uid="{00000000-0005-0000-0000-00000D460000}"/>
    <cellStyle name="20% - Accent6 7 3 2 4 3" xfId="5906" xr:uid="{00000000-0005-0000-0000-00000E460000}"/>
    <cellStyle name="20% - Accent6 7 3 2 4 3 2" xfId="12365" xr:uid="{00000000-0005-0000-0000-00000F460000}"/>
    <cellStyle name="20% - Accent6 7 3 2 4 3 2 2" xfId="25282" xr:uid="{00000000-0005-0000-0000-000010460000}"/>
    <cellStyle name="20% - Accent6 7 3 2 4 3 2 2 2" xfId="51156" xr:uid="{00000000-0005-0000-0000-000011460000}"/>
    <cellStyle name="20% - Accent6 7 3 2 4 3 2 3" xfId="38240" xr:uid="{00000000-0005-0000-0000-000012460000}"/>
    <cellStyle name="20% - Accent6 7 3 2 4 3 3" xfId="18824" xr:uid="{00000000-0005-0000-0000-000013460000}"/>
    <cellStyle name="20% - Accent6 7 3 2 4 3 3 2" xfId="44698" xr:uid="{00000000-0005-0000-0000-000014460000}"/>
    <cellStyle name="20% - Accent6 7 3 2 4 3 4" xfId="31782" xr:uid="{00000000-0005-0000-0000-000015460000}"/>
    <cellStyle name="20% - Accent6 7 3 2 4 4" xfId="9137" xr:uid="{00000000-0005-0000-0000-000016460000}"/>
    <cellStyle name="20% - Accent6 7 3 2 4 4 2" xfId="22054" xr:uid="{00000000-0005-0000-0000-000017460000}"/>
    <cellStyle name="20% - Accent6 7 3 2 4 4 2 2" xfId="47928" xr:uid="{00000000-0005-0000-0000-000018460000}"/>
    <cellStyle name="20% - Accent6 7 3 2 4 4 3" xfId="35012" xr:uid="{00000000-0005-0000-0000-000019460000}"/>
    <cellStyle name="20% - Accent6 7 3 2 4 5" xfId="15596" xr:uid="{00000000-0005-0000-0000-00001A460000}"/>
    <cellStyle name="20% - Accent6 7 3 2 4 5 2" xfId="41470" xr:uid="{00000000-0005-0000-0000-00001B460000}"/>
    <cellStyle name="20% - Accent6 7 3 2 4 6" xfId="28522" xr:uid="{00000000-0005-0000-0000-00001C460000}"/>
    <cellStyle name="20% - Accent6 7 3 2 5" xfId="3459" xr:uid="{00000000-0005-0000-0000-00001D460000}"/>
    <cellStyle name="20% - Accent6 7 3 2 5 2" xfId="6713" xr:uid="{00000000-0005-0000-0000-00001E460000}"/>
    <cellStyle name="20% - Accent6 7 3 2 5 2 2" xfId="13172" xr:uid="{00000000-0005-0000-0000-00001F460000}"/>
    <cellStyle name="20% - Accent6 7 3 2 5 2 2 2" xfId="26089" xr:uid="{00000000-0005-0000-0000-000020460000}"/>
    <cellStyle name="20% - Accent6 7 3 2 5 2 2 2 2" xfId="51963" xr:uid="{00000000-0005-0000-0000-000021460000}"/>
    <cellStyle name="20% - Accent6 7 3 2 5 2 2 3" xfId="39047" xr:uid="{00000000-0005-0000-0000-000022460000}"/>
    <cellStyle name="20% - Accent6 7 3 2 5 2 3" xfId="19631" xr:uid="{00000000-0005-0000-0000-000023460000}"/>
    <cellStyle name="20% - Accent6 7 3 2 5 2 3 2" xfId="45505" xr:uid="{00000000-0005-0000-0000-000024460000}"/>
    <cellStyle name="20% - Accent6 7 3 2 5 2 4" xfId="32589" xr:uid="{00000000-0005-0000-0000-000025460000}"/>
    <cellStyle name="20% - Accent6 7 3 2 5 3" xfId="9944" xr:uid="{00000000-0005-0000-0000-000026460000}"/>
    <cellStyle name="20% - Accent6 7 3 2 5 3 2" xfId="22861" xr:uid="{00000000-0005-0000-0000-000027460000}"/>
    <cellStyle name="20% - Accent6 7 3 2 5 3 2 2" xfId="48735" xr:uid="{00000000-0005-0000-0000-000028460000}"/>
    <cellStyle name="20% - Accent6 7 3 2 5 3 3" xfId="35819" xr:uid="{00000000-0005-0000-0000-000029460000}"/>
    <cellStyle name="20% - Accent6 7 3 2 5 4" xfId="16403" xr:uid="{00000000-0005-0000-0000-00002A460000}"/>
    <cellStyle name="20% - Accent6 7 3 2 5 4 2" xfId="42277" xr:uid="{00000000-0005-0000-0000-00002B460000}"/>
    <cellStyle name="20% - Accent6 7 3 2 5 5" xfId="29329" xr:uid="{00000000-0005-0000-0000-00002C460000}"/>
    <cellStyle name="20% - Accent6 7 3 2 6" xfId="5099" xr:uid="{00000000-0005-0000-0000-00002D460000}"/>
    <cellStyle name="20% - Accent6 7 3 2 6 2" xfId="11558" xr:uid="{00000000-0005-0000-0000-00002E460000}"/>
    <cellStyle name="20% - Accent6 7 3 2 6 2 2" xfId="24475" xr:uid="{00000000-0005-0000-0000-00002F460000}"/>
    <cellStyle name="20% - Accent6 7 3 2 6 2 2 2" xfId="50349" xr:uid="{00000000-0005-0000-0000-000030460000}"/>
    <cellStyle name="20% - Accent6 7 3 2 6 2 3" xfId="37433" xr:uid="{00000000-0005-0000-0000-000031460000}"/>
    <cellStyle name="20% - Accent6 7 3 2 6 3" xfId="18017" xr:uid="{00000000-0005-0000-0000-000032460000}"/>
    <cellStyle name="20% - Accent6 7 3 2 6 3 2" xfId="43891" xr:uid="{00000000-0005-0000-0000-000033460000}"/>
    <cellStyle name="20% - Accent6 7 3 2 6 4" xfId="30975" xr:uid="{00000000-0005-0000-0000-000034460000}"/>
    <cellStyle name="20% - Accent6 7 3 2 7" xfId="8329" xr:uid="{00000000-0005-0000-0000-000035460000}"/>
    <cellStyle name="20% - Accent6 7 3 2 7 2" xfId="21246" xr:uid="{00000000-0005-0000-0000-000036460000}"/>
    <cellStyle name="20% - Accent6 7 3 2 7 2 2" xfId="47120" xr:uid="{00000000-0005-0000-0000-000037460000}"/>
    <cellStyle name="20% - Accent6 7 3 2 7 3" xfId="34204" xr:uid="{00000000-0005-0000-0000-000038460000}"/>
    <cellStyle name="20% - Accent6 7 3 2 8" xfId="14788" xr:uid="{00000000-0005-0000-0000-000039460000}"/>
    <cellStyle name="20% - Accent6 7 3 2 8 2" xfId="40662" xr:uid="{00000000-0005-0000-0000-00003A460000}"/>
    <cellStyle name="20% - Accent6 7 3 2 9" xfId="27712" xr:uid="{00000000-0005-0000-0000-00003B460000}"/>
    <cellStyle name="20% - Accent6 7 3 3" xfId="1851" xr:uid="{00000000-0005-0000-0000-00003C460000}"/>
    <cellStyle name="20% - Accent6 7 3 3 2" xfId="2293" xr:uid="{00000000-0005-0000-0000-00003D460000}"/>
    <cellStyle name="20% - Accent6 7 3 3 2 2" xfId="3107" xr:uid="{00000000-0005-0000-0000-00003E460000}"/>
    <cellStyle name="20% - Accent6 7 3 3 2 2 2" xfId="4764" xr:uid="{00000000-0005-0000-0000-00003F460000}"/>
    <cellStyle name="20% - Accent6 7 3 3 2 2 2 2" xfId="7995" xr:uid="{00000000-0005-0000-0000-000040460000}"/>
    <cellStyle name="20% - Accent6 7 3 3 2 2 2 2 2" xfId="14454" xr:uid="{00000000-0005-0000-0000-000041460000}"/>
    <cellStyle name="20% - Accent6 7 3 3 2 2 2 2 2 2" xfId="27371" xr:uid="{00000000-0005-0000-0000-000042460000}"/>
    <cellStyle name="20% - Accent6 7 3 3 2 2 2 2 2 2 2" xfId="53245" xr:uid="{00000000-0005-0000-0000-000043460000}"/>
    <cellStyle name="20% - Accent6 7 3 3 2 2 2 2 2 3" xfId="40329" xr:uid="{00000000-0005-0000-0000-000044460000}"/>
    <cellStyle name="20% - Accent6 7 3 3 2 2 2 2 3" xfId="20913" xr:uid="{00000000-0005-0000-0000-000045460000}"/>
    <cellStyle name="20% - Accent6 7 3 3 2 2 2 2 3 2" xfId="46787" xr:uid="{00000000-0005-0000-0000-000046460000}"/>
    <cellStyle name="20% - Accent6 7 3 3 2 2 2 2 4" xfId="33871" xr:uid="{00000000-0005-0000-0000-000047460000}"/>
    <cellStyle name="20% - Accent6 7 3 3 2 2 2 3" xfId="11226" xr:uid="{00000000-0005-0000-0000-000048460000}"/>
    <cellStyle name="20% - Accent6 7 3 3 2 2 2 3 2" xfId="24143" xr:uid="{00000000-0005-0000-0000-000049460000}"/>
    <cellStyle name="20% - Accent6 7 3 3 2 2 2 3 2 2" xfId="50017" xr:uid="{00000000-0005-0000-0000-00004A460000}"/>
    <cellStyle name="20% - Accent6 7 3 3 2 2 2 3 3" xfId="37101" xr:uid="{00000000-0005-0000-0000-00004B460000}"/>
    <cellStyle name="20% - Accent6 7 3 3 2 2 2 4" xfId="17685" xr:uid="{00000000-0005-0000-0000-00004C460000}"/>
    <cellStyle name="20% - Accent6 7 3 3 2 2 2 4 2" xfId="43559" xr:uid="{00000000-0005-0000-0000-00004D460000}"/>
    <cellStyle name="20% - Accent6 7 3 3 2 2 2 5" xfId="30611" xr:uid="{00000000-0005-0000-0000-00004E460000}"/>
    <cellStyle name="20% - Accent6 7 3 3 2 2 3" xfId="6381" xr:uid="{00000000-0005-0000-0000-00004F460000}"/>
    <cellStyle name="20% - Accent6 7 3 3 2 2 3 2" xfId="12840" xr:uid="{00000000-0005-0000-0000-000050460000}"/>
    <cellStyle name="20% - Accent6 7 3 3 2 2 3 2 2" xfId="25757" xr:uid="{00000000-0005-0000-0000-000051460000}"/>
    <cellStyle name="20% - Accent6 7 3 3 2 2 3 2 2 2" xfId="51631" xr:uid="{00000000-0005-0000-0000-000052460000}"/>
    <cellStyle name="20% - Accent6 7 3 3 2 2 3 2 3" xfId="38715" xr:uid="{00000000-0005-0000-0000-000053460000}"/>
    <cellStyle name="20% - Accent6 7 3 3 2 2 3 3" xfId="19299" xr:uid="{00000000-0005-0000-0000-000054460000}"/>
    <cellStyle name="20% - Accent6 7 3 3 2 2 3 3 2" xfId="45173" xr:uid="{00000000-0005-0000-0000-000055460000}"/>
    <cellStyle name="20% - Accent6 7 3 3 2 2 3 4" xfId="32257" xr:uid="{00000000-0005-0000-0000-000056460000}"/>
    <cellStyle name="20% - Accent6 7 3 3 2 2 4" xfId="9612" xr:uid="{00000000-0005-0000-0000-000057460000}"/>
    <cellStyle name="20% - Accent6 7 3 3 2 2 4 2" xfId="22529" xr:uid="{00000000-0005-0000-0000-000058460000}"/>
    <cellStyle name="20% - Accent6 7 3 3 2 2 4 2 2" xfId="48403" xr:uid="{00000000-0005-0000-0000-000059460000}"/>
    <cellStyle name="20% - Accent6 7 3 3 2 2 4 3" xfId="35487" xr:uid="{00000000-0005-0000-0000-00005A460000}"/>
    <cellStyle name="20% - Accent6 7 3 3 2 2 5" xfId="16071" xr:uid="{00000000-0005-0000-0000-00005B460000}"/>
    <cellStyle name="20% - Accent6 7 3 3 2 2 5 2" xfId="41945" xr:uid="{00000000-0005-0000-0000-00005C460000}"/>
    <cellStyle name="20% - Accent6 7 3 3 2 2 6" xfId="28997" xr:uid="{00000000-0005-0000-0000-00005D460000}"/>
    <cellStyle name="20% - Accent6 7 3 3 2 3" xfId="3934" xr:uid="{00000000-0005-0000-0000-00005E460000}"/>
    <cellStyle name="20% - Accent6 7 3 3 2 3 2" xfId="7188" xr:uid="{00000000-0005-0000-0000-00005F460000}"/>
    <cellStyle name="20% - Accent6 7 3 3 2 3 2 2" xfId="13647" xr:uid="{00000000-0005-0000-0000-000060460000}"/>
    <cellStyle name="20% - Accent6 7 3 3 2 3 2 2 2" xfId="26564" xr:uid="{00000000-0005-0000-0000-000061460000}"/>
    <cellStyle name="20% - Accent6 7 3 3 2 3 2 2 2 2" xfId="52438" xr:uid="{00000000-0005-0000-0000-000062460000}"/>
    <cellStyle name="20% - Accent6 7 3 3 2 3 2 2 3" xfId="39522" xr:uid="{00000000-0005-0000-0000-000063460000}"/>
    <cellStyle name="20% - Accent6 7 3 3 2 3 2 3" xfId="20106" xr:uid="{00000000-0005-0000-0000-000064460000}"/>
    <cellStyle name="20% - Accent6 7 3 3 2 3 2 3 2" xfId="45980" xr:uid="{00000000-0005-0000-0000-000065460000}"/>
    <cellStyle name="20% - Accent6 7 3 3 2 3 2 4" xfId="33064" xr:uid="{00000000-0005-0000-0000-000066460000}"/>
    <cellStyle name="20% - Accent6 7 3 3 2 3 3" xfId="10419" xr:uid="{00000000-0005-0000-0000-000067460000}"/>
    <cellStyle name="20% - Accent6 7 3 3 2 3 3 2" xfId="23336" xr:uid="{00000000-0005-0000-0000-000068460000}"/>
    <cellStyle name="20% - Accent6 7 3 3 2 3 3 2 2" xfId="49210" xr:uid="{00000000-0005-0000-0000-000069460000}"/>
    <cellStyle name="20% - Accent6 7 3 3 2 3 3 3" xfId="36294" xr:uid="{00000000-0005-0000-0000-00006A460000}"/>
    <cellStyle name="20% - Accent6 7 3 3 2 3 4" xfId="16878" xr:uid="{00000000-0005-0000-0000-00006B460000}"/>
    <cellStyle name="20% - Accent6 7 3 3 2 3 4 2" xfId="42752" xr:uid="{00000000-0005-0000-0000-00006C460000}"/>
    <cellStyle name="20% - Accent6 7 3 3 2 3 5" xfId="29804" xr:uid="{00000000-0005-0000-0000-00006D460000}"/>
    <cellStyle name="20% - Accent6 7 3 3 2 4" xfId="5574" xr:uid="{00000000-0005-0000-0000-00006E460000}"/>
    <cellStyle name="20% - Accent6 7 3 3 2 4 2" xfId="12033" xr:uid="{00000000-0005-0000-0000-00006F460000}"/>
    <cellStyle name="20% - Accent6 7 3 3 2 4 2 2" xfId="24950" xr:uid="{00000000-0005-0000-0000-000070460000}"/>
    <cellStyle name="20% - Accent6 7 3 3 2 4 2 2 2" xfId="50824" xr:uid="{00000000-0005-0000-0000-000071460000}"/>
    <cellStyle name="20% - Accent6 7 3 3 2 4 2 3" xfId="37908" xr:uid="{00000000-0005-0000-0000-000072460000}"/>
    <cellStyle name="20% - Accent6 7 3 3 2 4 3" xfId="18492" xr:uid="{00000000-0005-0000-0000-000073460000}"/>
    <cellStyle name="20% - Accent6 7 3 3 2 4 3 2" xfId="44366" xr:uid="{00000000-0005-0000-0000-000074460000}"/>
    <cellStyle name="20% - Accent6 7 3 3 2 4 4" xfId="31450" xr:uid="{00000000-0005-0000-0000-000075460000}"/>
    <cellStyle name="20% - Accent6 7 3 3 2 5" xfId="8805" xr:uid="{00000000-0005-0000-0000-000076460000}"/>
    <cellStyle name="20% - Accent6 7 3 3 2 5 2" xfId="21722" xr:uid="{00000000-0005-0000-0000-000077460000}"/>
    <cellStyle name="20% - Accent6 7 3 3 2 5 2 2" xfId="47596" xr:uid="{00000000-0005-0000-0000-000078460000}"/>
    <cellStyle name="20% - Accent6 7 3 3 2 5 3" xfId="34680" xr:uid="{00000000-0005-0000-0000-000079460000}"/>
    <cellStyle name="20% - Accent6 7 3 3 2 6" xfId="15264" xr:uid="{00000000-0005-0000-0000-00007A460000}"/>
    <cellStyle name="20% - Accent6 7 3 3 2 6 2" xfId="41138" xr:uid="{00000000-0005-0000-0000-00007B460000}"/>
    <cellStyle name="20% - Accent6 7 3 3 2 7" xfId="28190" xr:uid="{00000000-0005-0000-0000-00007C460000}"/>
    <cellStyle name="20% - Accent6 7 3 3 2 8" xfId="54052" xr:uid="{00000000-0005-0000-0000-00007D460000}"/>
    <cellStyle name="20% - Accent6 7 3 3 3" xfId="2704" xr:uid="{00000000-0005-0000-0000-00007E460000}"/>
    <cellStyle name="20% - Accent6 7 3 3 3 2" xfId="4361" xr:uid="{00000000-0005-0000-0000-00007F460000}"/>
    <cellStyle name="20% - Accent6 7 3 3 3 2 2" xfId="7592" xr:uid="{00000000-0005-0000-0000-000080460000}"/>
    <cellStyle name="20% - Accent6 7 3 3 3 2 2 2" xfId="14051" xr:uid="{00000000-0005-0000-0000-000081460000}"/>
    <cellStyle name="20% - Accent6 7 3 3 3 2 2 2 2" xfId="26968" xr:uid="{00000000-0005-0000-0000-000082460000}"/>
    <cellStyle name="20% - Accent6 7 3 3 3 2 2 2 2 2" xfId="52842" xr:uid="{00000000-0005-0000-0000-000083460000}"/>
    <cellStyle name="20% - Accent6 7 3 3 3 2 2 2 3" xfId="39926" xr:uid="{00000000-0005-0000-0000-000084460000}"/>
    <cellStyle name="20% - Accent6 7 3 3 3 2 2 3" xfId="20510" xr:uid="{00000000-0005-0000-0000-000085460000}"/>
    <cellStyle name="20% - Accent6 7 3 3 3 2 2 3 2" xfId="46384" xr:uid="{00000000-0005-0000-0000-000086460000}"/>
    <cellStyle name="20% - Accent6 7 3 3 3 2 2 4" xfId="33468" xr:uid="{00000000-0005-0000-0000-000087460000}"/>
    <cellStyle name="20% - Accent6 7 3 3 3 2 3" xfId="10823" xr:uid="{00000000-0005-0000-0000-000088460000}"/>
    <cellStyle name="20% - Accent6 7 3 3 3 2 3 2" xfId="23740" xr:uid="{00000000-0005-0000-0000-000089460000}"/>
    <cellStyle name="20% - Accent6 7 3 3 3 2 3 2 2" xfId="49614" xr:uid="{00000000-0005-0000-0000-00008A460000}"/>
    <cellStyle name="20% - Accent6 7 3 3 3 2 3 3" xfId="36698" xr:uid="{00000000-0005-0000-0000-00008B460000}"/>
    <cellStyle name="20% - Accent6 7 3 3 3 2 4" xfId="17282" xr:uid="{00000000-0005-0000-0000-00008C460000}"/>
    <cellStyle name="20% - Accent6 7 3 3 3 2 4 2" xfId="43156" xr:uid="{00000000-0005-0000-0000-00008D460000}"/>
    <cellStyle name="20% - Accent6 7 3 3 3 2 5" xfId="30208" xr:uid="{00000000-0005-0000-0000-00008E460000}"/>
    <cellStyle name="20% - Accent6 7 3 3 3 3" xfId="5978" xr:uid="{00000000-0005-0000-0000-00008F460000}"/>
    <cellStyle name="20% - Accent6 7 3 3 3 3 2" xfId="12437" xr:uid="{00000000-0005-0000-0000-000090460000}"/>
    <cellStyle name="20% - Accent6 7 3 3 3 3 2 2" xfId="25354" xr:uid="{00000000-0005-0000-0000-000091460000}"/>
    <cellStyle name="20% - Accent6 7 3 3 3 3 2 2 2" xfId="51228" xr:uid="{00000000-0005-0000-0000-000092460000}"/>
    <cellStyle name="20% - Accent6 7 3 3 3 3 2 3" xfId="38312" xr:uid="{00000000-0005-0000-0000-000093460000}"/>
    <cellStyle name="20% - Accent6 7 3 3 3 3 3" xfId="18896" xr:uid="{00000000-0005-0000-0000-000094460000}"/>
    <cellStyle name="20% - Accent6 7 3 3 3 3 3 2" xfId="44770" xr:uid="{00000000-0005-0000-0000-000095460000}"/>
    <cellStyle name="20% - Accent6 7 3 3 3 3 4" xfId="31854" xr:uid="{00000000-0005-0000-0000-000096460000}"/>
    <cellStyle name="20% - Accent6 7 3 3 3 4" xfId="9209" xr:uid="{00000000-0005-0000-0000-000097460000}"/>
    <cellStyle name="20% - Accent6 7 3 3 3 4 2" xfId="22126" xr:uid="{00000000-0005-0000-0000-000098460000}"/>
    <cellStyle name="20% - Accent6 7 3 3 3 4 2 2" xfId="48000" xr:uid="{00000000-0005-0000-0000-000099460000}"/>
    <cellStyle name="20% - Accent6 7 3 3 3 4 3" xfId="35084" xr:uid="{00000000-0005-0000-0000-00009A460000}"/>
    <cellStyle name="20% - Accent6 7 3 3 3 5" xfId="15668" xr:uid="{00000000-0005-0000-0000-00009B460000}"/>
    <cellStyle name="20% - Accent6 7 3 3 3 5 2" xfId="41542" xr:uid="{00000000-0005-0000-0000-00009C460000}"/>
    <cellStyle name="20% - Accent6 7 3 3 3 6" xfId="28594" xr:uid="{00000000-0005-0000-0000-00009D460000}"/>
    <cellStyle name="20% - Accent6 7 3 3 4" xfId="3531" xr:uid="{00000000-0005-0000-0000-00009E460000}"/>
    <cellStyle name="20% - Accent6 7 3 3 4 2" xfId="6785" xr:uid="{00000000-0005-0000-0000-00009F460000}"/>
    <cellStyle name="20% - Accent6 7 3 3 4 2 2" xfId="13244" xr:uid="{00000000-0005-0000-0000-0000A0460000}"/>
    <cellStyle name="20% - Accent6 7 3 3 4 2 2 2" xfId="26161" xr:uid="{00000000-0005-0000-0000-0000A1460000}"/>
    <cellStyle name="20% - Accent6 7 3 3 4 2 2 2 2" xfId="52035" xr:uid="{00000000-0005-0000-0000-0000A2460000}"/>
    <cellStyle name="20% - Accent6 7 3 3 4 2 2 3" xfId="39119" xr:uid="{00000000-0005-0000-0000-0000A3460000}"/>
    <cellStyle name="20% - Accent6 7 3 3 4 2 3" xfId="19703" xr:uid="{00000000-0005-0000-0000-0000A4460000}"/>
    <cellStyle name="20% - Accent6 7 3 3 4 2 3 2" xfId="45577" xr:uid="{00000000-0005-0000-0000-0000A5460000}"/>
    <cellStyle name="20% - Accent6 7 3 3 4 2 4" xfId="32661" xr:uid="{00000000-0005-0000-0000-0000A6460000}"/>
    <cellStyle name="20% - Accent6 7 3 3 4 3" xfId="10016" xr:uid="{00000000-0005-0000-0000-0000A7460000}"/>
    <cellStyle name="20% - Accent6 7 3 3 4 3 2" xfId="22933" xr:uid="{00000000-0005-0000-0000-0000A8460000}"/>
    <cellStyle name="20% - Accent6 7 3 3 4 3 2 2" xfId="48807" xr:uid="{00000000-0005-0000-0000-0000A9460000}"/>
    <cellStyle name="20% - Accent6 7 3 3 4 3 3" xfId="35891" xr:uid="{00000000-0005-0000-0000-0000AA460000}"/>
    <cellStyle name="20% - Accent6 7 3 3 4 4" xfId="16475" xr:uid="{00000000-0005-0000-0000-0000AB460000}"/>
    <cellStyle name="20% - Accent6 7 3 3 4 4 2" xfId="42349" xr:uid="{00000000-0005-0000-0000-0000AC460000}"/>
    <cellStyle name="20% - Accent6 7 3 3 4 5" xfId="29401" xr:uid="{00000000-0005-0000-0000-0000AD460000}"/>
    <cellStyle name="20% - Accent6 7 3 3 5" xfId="5171" xr:uid="{00000000-0005-0000-0000-0000AE460000}"/>
    <cellStyle name="20% - Accent6 7 3 3 5 2" xfId="11630" xr:uid="{00000000-0005-0000-0000-0000AF460000}"/>
    <cellStyle name="20% - Accent6 7 3 3 5 2 2" xfId="24547" xr:uid="{00000000-0005-0000-0000-0000B0460000}"/>
    <cellStyle name="20% - Accent6 7 3 3 5 2 2 2" xfId="50421" xr:uid="{00000000-0005-0000-0000-0000B1460000}"/>
    <cellStyle name="20% - Accent6 7 3 3 5 2 3" xfId="37505" xr:uid="{00000000-0005-0000-0000-0000B2460000}"/>
    <cellStyle name="20% - Accent6 7 3 3 5 3" xfId="18089" xr:uid="{00000000-0005-0000-0000-0000B3460000}"/>
    <cellStyle name="20% - Accent6 7 3 3 5 3 2" xfId="43963" xr:uid="{00000000-0005-0000-0000-0000B4460000}"/>
    <cellStyle name="20% - Accent6 7 3 3 5 4" xfId="31047" xr:uid="{00000000-0005-0000-0000-0000B5460000}"/>
    <cellStyle name="20% - Accent6 7 3 3 6" xfId="8401" xr:uid="{00000000-0005-0000-0000-0000B6460000}"/>
    <cellStyle name="20% - Accent6 7 3 3 6 2" xfId="21318" xr:uid="{00000000-0005-0000-0000-0000B7460000}"/>
    <cellStyle name="20% - Accent6 7 3 3 6 2 2" xfId="47192" xr:uid="{00000000-0005-0000-0000-0000B8460000}"/>
    <cellStyle name="20% - Accent6 7 3 3 6 3" xfId="34276" xr:uid="{00000000-0005-0000-0000-0000B9460000}"/>
    <cellStyle name="20% - Accent6 7 3 3 7" xfId="14860" xr:uid="{00000000-0005-0000-0000-0000BA460000}"/>
    <cellStyle name="20% - Accent6 7 3 3 7 2" xfId="40734" xr:uid="{00000000-0005-0000-0000-0000BB460000}"/>
    <cellStyle name="20% - Accent6 7 3 3 8" xfId="27786" xr:uid="{00000000-0005-0000-0000-0000BC460000}"/>
    <cellStyle name="20% - Accent6 7 3 3 9" xfId="53649" xr:uid="{00000000-0005-0000-0000-0000BD460000}"/>
    <cellStyle name="20% - Accent6 7 3 4" xfId="2095" xr:uid="{00000000-0005-0000-0000-0000BE460000}"/>
    <cellStyle name="20% - Accent6 7 3 4 2" xfId="2911" xr:uid="{00000000-0005-0000-0000-0000BF460000}"/>
    <cellStyle name="20% - Accent6 7 3 4 2 2" xfId="4568" xr:uid="{00000000-0005-0000-0000-0000C0460000}"/>
    <cellStyle name="20% - Accent6 7 3 4 2 2 2" xfId="7799" xr:uid="{00000000-0005-0000-0000-0000C1460000}"/>
    <cellStyle name="20% - Accent6 7 3 4 2 2 2 2" xfId="14258" xr:uid="{00000000-0005-0000-0000-0000C2460000}"/>
    <cellStyle name="20% - Accent6 7 3 4 2 2 2 2 2" xfId="27175" xr:uid="{00000000-0005-0000-0000-0000C3460000}"/>
    <cellStyle name="20% - Accent6 7 3 4 2 2 2 2 2 2" xfId="53049" xr:uid="{00000000-0005-0000-0000-0000C4460000}"/>
    <cellStyle name="20% - Accent6 7 3 4 2 2 2 2 3" xfId="40133" xr:uid="{00000000-0005-0000-0000-0000C5460000}"/>
    <cellStyle name="20% - Accent6 7 3 4 2 2 2 3" xfId="20717" xr:uid="{00000000-0005-0000-0000-0000C6460000}"/>
    <cellStyle name="20% - Accent6 7 3 4 2 2 2 3 2" xfId="46591" xr:uid="{00000000-0005-0000-0000-0000C7460000}"/>
    <cellStyle name="20% - Accent6 7 3 4 2 2 2 4" xfId="33675" xr:uid="{00000000-0005-0000-0000-0000C8460000}"/>
    <cellStyle name="20% - Accent6 7 3 4 2 2 3" xfId="11030" xr:uid="{00000000-0005-0000-0000-0000C9460000}"/>
    <cellStyle name="20% - Accent6 7 3 4 2 2 3 2" xfId="23947" xr:uid="{00000000-0005-0000-0000-0000CA460000}"/>
    <cellStyle name="20% - Accent6 7 3 4 2 2 3 2 2" xfId="49821" xr:uid="{00000000-0005-0000-0000-0000CB460000}"/>
    <cellStyle name="20% - Accent6 7 3 4 2 2 3 3" xfId="36905" xr:uid="{00000000-0005-0000-0000-0000CC460000}"/>
    <cellStyle name="20% - Accent6 7 3 4 2 2 4" xfId="17489" xr:uid="{00000000-0005-0000-0000-0000CD460000}"/>
    <cellStyle name="20% - Accent6 7 3 4 2 2 4 2" xfId="43363" xr:uid="{00000000-0005-0000-0000-0000CE460000}"/>
    <cellStyle name="20% - Accent6 7 3 4 2 2 5" xfId="30415" xr:uid="{00000000-0005-0000-0000-0000CF460000}"/>
    <cellStyle name="20% - Accent6 7 3 4 2 3" xfId="6185" xr:uid="{00000000-0005-0000-0000-0000D0460000}"/>
    <cellStyle name="20% - Accent6 7 3 4 2 3 2" xfId="12644" xr:uid="{00000000-0005-0000-0000-0000D1460000}"/>
    <cellStyle name="20% - Accent6 7 3 4 2 3 2 2" xfId="25561" xr:uid="{00000000-0005-0000-0000-0000D2460000}"/>
    <cellStyle name="20% - Accent6 7 3 4 2 3 2 2 2" xfId="51435" xr:uid="{00000000-0005-0000-0000-0000D3460000}"/>
    <cellStyle name="20% - Accent6 7 3 4 2 3 2 3" xfId="38519" xr:uid="{00000000-0005-0000-0000-0000D4460000}"/>
    <cellStyle name="20% - Accent6 7 3 4 2 3 3" xfId="19103" xr:uid="{00000000-0005-0000-0000-0000D5460000}"/>
    <cellStyle name="20% - Accent6 7 3 4 2 3 3 2" xfId="44977" xr:uid="{00000000-0005-0000-0000-0000D6460000}"/>
    <cellStyle name="20% - Accent6 7 3 4 2 3 4" xfId="32061" xr:uid="{00000000-0005-0000-0000-0000D7460000}"/>
    <cellStyle name="20% - Accent6 7 3 4 2 4" xfId="9416" xr:uid="{00000000-0005-0000-0000-0000D8460000}"/>
    <cellStyle name="20% - Accent6 7 3 4 2 4 2" xfId="22333" xr:uid="{00000000-0005-0000-0000-0000D9460000}"/>
    <cellStyle name="20% - Accent6 7 3 4 2 4 2 2" xfId="48207" xr:uid="{00000000-0005-0000-0000-0000DA460000}"/>
    <cellStyle name="20% - Accent6 7 3 4 2 4 3" xfId="35291" xr:uid="{00000000-0005-0000-0000-0000DB460000}"/>
    <cellStyle name="20% - Accent6 7 3 4 2 5" xfId="15875" xr:uid="{00000000-0005-0000-0000-0000DC460000}"/>
    <cellStyle name="20% - Accent6 7 3 4 2 5 2" xfId="41749" xr:uid="{00000000-0005-0000-0000-0000DD460000}"/>
    <cellStyle name="20% - Accent6 7 3 4 2 6" xfId="28801" xr:uid="{00000000-0005-0000-0000-0000DE460000}"/>
    <cellStyle name="20% - Accent6 7 3 4 3" xfId="3738" xr:uid="{00000000-0005-0000-0000-0000DF460000}"/>
    <cellStyle name="20% - Accent6 7 3 4 3 2" xfId="6992" xr:uid="{00000000-0005-0000-0000-0000E0460000}"/>
    <cellStyle name="20% - Accent6 7 3 4 3 2 2" xfId="13451" xr:uid="{00000000-0005-0000-0000-0000E1460000}"/>
    <cellStyle name="20% - Accent6 7 3 4 3 2 2 2" xfId="26368" xr:uid="{00000000-0005-0000-0000-0000E2460000}"/>
    <cellStyle name="20% - Accent6 7 3 4 3 2 2 2 2" xfId="52242" xr:uid="{00000000-0005-0000-0000-0000E3460000}"/>
    <cellStyle name="20% - Accent6 7 3 4 3 2 2 3" xfId="39326" xr:uid="{00000000-0005-0000-0000-0000E4460000}"/>
    <cellStyle name="20% - Accent6 7 3 4 3 2 3" xfId="19910" xr:uid="{00000000-0005-0000-0000-0000E5460000}"/>
    <cellStyle name="20% - Accent6 7 3 4 3 2 3 2" xfId="45784" xr:uid="{00000000-0005-0000-0000-0000E6460000}"/>
    <cellStyle name="20% - Accent6 7 3 4 3 2 4" xfId="32868" xr:uid="{00000000-0005-0000-0000-0000E7460000}"/>
    <cellStyle name="20% - Accent6 7 3 4 3 3" xfId="10223" xr:uid="{00000000-0005-0000-0000-0000E8460000}"/>
    <cellStyle name="20% - Accent6 7 3 4 3 3 2" xfId="23140" xr:uid="{00000000-0005-0000-0000-0000E9460000}"/>
    <cellStyle name="20% - Accent6 7 3 4 3 3 2 2" xfId="49014" xr:uid="{00000000-0005-0000-0000-0000EA460000}"/>
    <cellStyle name="20% - Accent6 7 3 4 3 3 3" xfId="36098" xr:uid="{00000000-0005-0000-0000-0000EB460000}"/>
    <cellStyle name="20% - Accent6 7 3 4 3 4" xfId="16682" xr:uid="{00000000-0005-0000-0000-0000EC460000}"/>
    <cellStyle name="20% - Accent6 7 3 4 3 4 2" xfId="42556" xr:uid="{00000000-0005-0000-0000-0000ED460000}"/>
    <cellStyle name="20% - Accent6 7 3 4 3 5" xfId="29608" xr:uid="{00000000-0005-0000-0000-0000EE460000}"/>
    <cellStyle name="20% - Accent6 7 3 4 4" xfId="5378" xr:uid="{00000000-0005-0000-0000-0000EF460000}"/>
    <cellStyle name="20% - Accent6 7 3 4 4 2" xfId="11837" xr:uid="{00000000-0005-0000-0000-0000F0460000}"/>
    <cellStyle name="20% - Accent6 7 3 4 4 2 2" xfId="24754" xr:uid="{00000000-0005-0000-0000-0000F1460000}"/>
    <cellStyle name="20% - Accent6 7 3 4 4 2 2 2" xfId="50628" xr:uid="{00000000-0005-0000-0000-0000F2460000}"/>
    <cellStyle name="20% - Accent6 7 3 4 4 2 3" xfId="37712" xr:uid="{00000000-0005-0000-0000-0000F3460000}"/>
    <cellStyle name="20% - Accent6 7 3 4 4 3" xfId="18296" xr:uid="{00000000-0005-0000-0000-0000F4460000}"/>
    <cellStyle name="20% - Accent6 7 3 4 4 3 2" xfId="44170" xr:uid="{00000000-0005-0000-0000-0000F5460000}"/>
    <cellStyle name="20% - Accent6 7 3 4 4 4" xfId="31254" xr:uid="{00000000-0005-0000-0000-0000F6460000}"/>
    <cellStyle name="20% - Accent6 7 3 4 5" xfId="8609" xr:uid="{00000000-0005-0000-0000-0000F7460000}"/>
    <cellStyle name="20% - Accent6 7 3 4 5 2" xfId="21526" xr:uid="{00000000-0005-0000-0000-0000F8460000}"/>
    <cellStyle name="20% - Accent6 7 3 4 5 2 2" xfId="47400" xr:uid="{00000000-0005-0000-0000-0000F9460000}"/>
    <cellStyle name="20% - Accent6 7 3 4 5 3" xfId="34484" xr:uid="{00000000-0005-0000-0000-0000FA460000}"/>
    <cellStyle name="20% - Accent6 7 3 4 6" xfId="15068" xr:uid="{00000000-0005-0000-0000-0000FB460000}"/>
    <cellStyle name="20% - Accent6 7 3 4 6 2" xfId="40942" xr:uid="{00000000-0005-0000-0000-0000FC460000}"/>
    <cellStyle name="20% - Accent6 7 3 4 7" xfId="27994" xr:uid="{00000000-0005-0000-0000-0000FD460000}"/>
    <cellStyle name="20% - Accent6 7 3 4 8" xfId="53856" xr:uid="{00000000-0005-0000-0000-0000FE460000}"/>
    <cellStyle name="20% - Accent6 7 3 5" xfId="2509" xr:uid="{00000000-0005-0000-0000-0000FF460000}"/>
    <cellStyle name="20% - Accent6 7 3 5 2" xfId="4166" xr:uid="{00000000-0005-0000-0000-000000470000}"/>
    <cellStyle name="20% - Accent6 7 3 5 2 2" xfId="7397" xr:uid="{00000000-0005-0000-0000-000001470000}"/>
    <cellStyle name="20% - Accent6 7 3 5 2 2 2" xfId="13856" xr:uid="{00000000-0005-0000-0000-000002470000}"/>
    <cellStyle name="20% - Accent6 7 3 5 2 2 2 2" xfId="26773" xr:uid="{00000000-0005-0000-0000-000003470000}"/>
    <cellStyle name="20% - Accent6 7 3 5 2 2 2 2 2" xfId="52647" xr:uid="{00000000-0005-0000-0000-000004470000}"/>
    <cellStyle name="20% - Accent6 7 3 5 2 2 2 3" xfId="39731" xr:uid="{00000000-0005-0000-0000-000005470000}"/>
    <cellStyle name="20% - Accent6 7 3 5 2 2 3" xfId="20315" xr:uid="{00000000-0005-0000-0000-000006470000}"/>
    <cellStyle name="20% - Accent6 7 3 5 2 2 3 2" xfId="46189" xr:uid="{00000000-0005-0000-0000-000007470000}"/>
    <cellStyle name="20% - Accent6 7 3 5 2 2 4" xfId="33273" xr:uid="{00000000-0005-0000-0000-000008470000}"/>
    <cellStyle name="20% - Accent6 7 3 5 2 3" xfId="10628" xr:uid="{00000000-0005-0000-0000-000009470000}"/>
    <cellStyle name="20% - Accent6 7 3 5 2 3 2" xfId="23545" xr:uid="{00000000-0005-0000-0000-00000A470000}"/>
    <cellStyle name="20% - Accent6 7 3 5 2 3 2 2" xfId="49419" xr:uid="{00000000-0005-0000-0000-00000B470000}"/>
    <cellStyle name="20% - Accent6 7 3 5 2 3 3" xfId="36503" xr:uid="{00000000-0005-0000-0000-00000C470000}"/>
    <cellStyle name="20% - Accent6 7 3 5 2 4" xfId="17087" xr:uid="{00000000-0005-0000-0000-00000D470000}"/>
    <cellStyle name="20% - Accent6 7 3 5 2 4 2" xfId="42961" xr:uid="{00000000-0005-0000-0000-00000E470000}"/>
    <cellStyle name="20% - Accent6 7 3 5 2 5" xfId="30013" xr:uid="{00000000-0005-0000-0000-00000F470000}"/>
    <cellStyle name="20% - Accent6 7 3 5 3" xfId="5783" xr:uid="{00000000-0005-0000-0000-000010470000}"/>
    <cellStyle name="20% - Accent6 7 3 5 3 2" xfId="12242" xr:uid="{00000000-0005-0000-0000-000011470000}"/>
    <cellStyle name="20% - Accent6 7 3 5 3 2 2" xfId="25159" xr:uid="{00000000-0005-0000-0000-000012470000}"/>
    <cellStyle name="20% - Accent6 7 3 5 3 2 2 2" xfId="51033" xr:uid="{00000000-0005-0000-0000-000013470000}"/>
    <cellStyle name="20% - Accent6 7 3 5 3 2 3" xfId="38117" xr:uid="{00000000-0005-0000-0000-000014470000}"/>
    <cellStyle name="20% - Accent6 7 3 5 3 3" xfId="18701" xr:uid="{00000000-0005-0000-0000-000015470000}"/>
    <cellStyle name="20% - Accent6 7 3 5 3 3 2" xfId="44575" xr:uid="{00000000-0005-0000-0000-000016470000}"/>
    <cellStyle name="20% - Accent6 7 3 5 3 4" xfId="31659" xr:uid="{00000000-0005-0000-0000-000017470000}"/>
    <cellStyle name="20% - Accent6 7 3 5 4" xfId="9014" xr:uid="{00000000-0005-0000-0000-000018470000}"/>
    <cellStyle name="20% - Accent6 7 3 5 4 2" xfId="21931" xr:uid="{00000000-0005-0000-0000-000019470000}"/>
    <cellStyle name="20% - Accent6 7 3 5 4 2 2" xfId="47805" xr:uid="{00000000-0005-0000-0000-00001A470000}"/>
    <cellStyle name="20% - Accent6 7 3 5 4 3" xfId="34889" xr:uid="{00000000-0005-0000-0000-00001B470000}"/>
    <cellStyle name="20% - Accent6 7 3 5 5" xfId="15473" xr:uid="{00000000-0005-0000-0000-00001C470000}"/>
    <cellStyle name="20% - Accent6 7 3 5 5 2" xfId="41347" xr:uid="{00000000-0005-0000-0000-00001D470000}"/>
    <cellStyle name="20% - Accent6 7 3 5 6" xfId="28399" xr:uid="{00000000-0005-0000-0000-00001E470000}"/>
    <cellStyle name="20% - Accent6 7 3 6" xfId="3329" xr:uid="{00000000-0005-0000-0000-00001F470000}"/>
    <cellStyle name="20% - Accent6 7 3 6 2" xfId="6590" xr:uid="{00000000-0005-0000-0000-000020470000}"/>
    <cellStyle name="20% - Accent6 7 3 6 2 2" xfId="13049" xr:uid="{00000000-0005-0000-0000-000021470000}"/>
    <cellStyle name="20% - Accent6 7 3 6 2 2 2" xfId="25966" xr:uid="{00000000-0005-0000-0000-000022470000}"/>
    <cellStyle name="20% - Accent6 7 3 6 2 2 2 2" xfId="51840" xr:uid="{00000000-0005-0000-0000-000023470000}"/>
    <cellStyle name="20% - Accent6 7 3 6 2 2 3" xfId="38924" xr:uid="{00000000-0005-0000-0000-000024470000}"/>
    <cellStyle name="20% - Accent6 7 3 6 2 3" xfId="19508" xr:uid="{00000000-0005-0000-0000-000025470000}"/>
    <cellStyle name="20% - Accent6 7 3 6 2 3 2" xfId="45382" xr:uid="{00000000-0005-0000-0000-000026470000}"/>
    <cellStyle name="20% - Accent6 7 3 6 2 4" xfId="32466" xr:uid="{00000000-0005-0000-0000-000027470000}"/>
    <cellStyle name="20% - Accent6 7 3 6 3" xfId="9821" xr:uid="{00000000-0005-0000-0000-000028470000}"/>
    <cellStyle name="20% - Accent6 7 3 6 3 2" xfId="22738" xr:uid="{00000000-0005-0000-0000-000029470000}"/>
    <cellStyle name="20% - Accent6 7 3 6 3 2 2" xfId="48612" xr:uid="{00000000-0005-0000-0000-00002A470000}"/>
    <cellStyle name="20% - Accent6 7 3 6 3 3" xfId="35696" xr:uid="{00000000-0005-0000-0000-00002B470000}"/>
    <cellStyle name="20% - Accent6 7 3 6 4" xfId="16280" xr:uid="{00000000-0005-0000-0000-00002C470000}"/>
    <cellStyle name="20% - Accent6 7 3 6 4 2" xfId="42154" xr:uid="{00000000-0005-0000-0000-00002D470000}"/>
    <cellStyle name="20% - Accent6 7 3 6 5" xfId="29206" xr:uid="{00000000-0005-0000-0000-00002E470000}"/>
    <cellStyle name="20% - Accent6 7 3 7" xfId="4976" xr:uid="{00000000-0005-0000-0000-00002F470000}"/>
    <cellStyle name="20% - Accent6 7 3 7 2" xfId="11435" xr:uid="{00000000-0005-0000-0000-000030470000}"/>
    <cellStyle name="20% - Accent6 7 3 7 2 2" xfId="24352" xr:uid="{00000000-0005-0000-0000-000031470000}"/>
    <cellStyle name="20% - Accent6 7 3 7 2 2 2" xfId="50226" xr:uid="{00000000-0005-0000-0000-000032470000}"/>
    <cellStyle name="20% - Accent6 7 3 7 2 3" xfId="37310" xr:uid="{00000000-0005-0000-0000-000033470000}"/>
    <cellStyle name="20% - Accent6 7 3 7 3" xfId="17894" xr:uid="{00000000-0005-0000-0000-000034470000}"/>
    <cellStyle name="20% - Accent6 7 3 7 3 2" xfId="43768" xr:uid="{00000000-0005-0000-0000-000035470000}"/>
    <cellStyle name="20% - Accent6 7 3 7 4" xfId="30852" xr:uid="{00000000-0005-0000-0000-000036470000}"/>
    <cellStyle name="20% - Accent6 7 3 8" xfId="8207" xr:uid="{00000000-0005-0000-0000-000037470000}"/>
    <cellStyle name="20% - Accent6 7 3 8 2" xfId="21124" xr:uid="{00000000-0005-0000-0000-000038470000}"/>
    <cellStyle name="20% - Accent6 7 3 8 2 2" xfId="46998" xr:uid="{00000000-0005-0000-0000-000039470000}"/>
    <cellStyle name="20% - Accent6 7 3 8 3" xfId="34082" xr:uid="{00000000-0005-0000-0000-00003A470000}"/>
    <cellStyle name="20% - Accent6 7 3 9" xfId="14666" xr:uid="{00000000-0005-0000-0000-00003B470000}"/>
    <cellStyle name="20% - Accent6 7 3 9 2" xfId="40540" xr:uid="{00000000-0005-0000-0000-00003C470000}"/>
    <cellStyle name="20% - Accent6 7 4" xfId="1087" xr:uid="{00000000-0005-0000-0000-00003D470000}"/>
    <cellStyle name="20% - Accent6 8" xfId="378" xr:uid="{00000000-0005-0000-0000-00003E470000}"/>
    <cellStyle name="20% - Accent6 8 2" xfId="648" xr:uid="{00000000-0005-0000-0000-00003F470000}"/>
    <cellStyle name="20% - Accent6 8 3" xfId="647" xr:uid="{00000000-0005-0000-0000-000040470000}"/>
    <cellStyle name="20% - Accent6 8 4" xfId="1447" xr:uid="{00000000-0005-0000-0000-000041470000}"/>
    <cellStyle name="20% - Accent6 9" xfId="649" xr:uid="{00000000-0005-0000-0000-000042470000}"/>
    <cellStyle name="20% - Accent6 9 2" xfId="1523" xr:uid="{00000000-0005-0000-0000-000043470000}"/>
    <cellStyle name="40% - Accent1 10" xfId="1653" xr:uid="{00000000-0005-0000-0000-000044470000}"/>
    <cellStyle name="40% - Accent1 10 10" xfId="53569" xr:uid="{00000000-0005-0000-0000-000045470000}"/>
    <cellStyle name="40% - Accent1 10 2" xfId="1978" xr:uid="{00000000-0005-0000-0000-000046470000}"/>
    <cellStyle name="40% - Accent1 10 2 2" xfId="2409" xr:uid="{00000000-0005-0000-0000-000047470000}"/>
    <cellStyle name="40% - Accent1 10 2 2 2" xfId="3222" xr:uid="{00000000-0005-0000-0000-000048470000}"/>
    <cellStyle name="40% - Accent1 10 2 2 2 2" xfId="4879" xr:uid="{00000000-0005-0000-0000-000049470000}"/>
    <cellStyle name="40% - Accent1 10 2 2 2 2 2" xfId="8110" xr:uid="{00000000-0005-0000-0000-00004A470000}"/>
    <cellStyle name="40% - Accent1 10 2 2 2 2 2 2" xfId="14569" xr:uid="{00000000-0005-0000-0000-00004B470000}"/>
    <cellStyle name="40% - Accent1 10 2 2 2 2 2 2 2" xfId="27486" xr:uid="{00000000-0005-0000-0000-00004C470000}"/>
    <cellStyle name="40% - Accent1 10 2 2 2 2 2 2 2 2" xfId="53360" xr:uid="{00000000-0005-0000-0000-00004D470000}"/>
    <cellStyle name="40% - Accent1 10 2 2 2 2 2 2 3" xfId="40444" xr:uid="{00000000-0005-0000-0000-00004E470000}"/>
    <cellStyle name="40% - Accent1 10 2 2 2 2 2 3" xfId="21028" xr:uid="{00000000-0005-0000-0000-00004F470000}"/>
    <cellStyle name="40% - Accent1 10 2 2 2 2 2 3 2" xfId="46902" xr:uid="{00000000-0005-0000-0000-000050470000}"/>
    <cellStyle name="40% - Accent1 10 2 2 2 2 2 4" xfId="33986" xr:uid="{00000000-0005-0000-0000-000051470000}"/>
    <cellStyle name="40% - Accent1 10 2 2 2 2 3" xfId="11341" xr:uid="{00000000-0005-0000-0000-000052470000}"/>
    <cellStyle name="40% - Accent1 10 2 2 2 2 3 2" xfId="24258" xr:uid="{00000000-0005-0000-0000-000053470000}"/>
    <cellStyle name="40% - Accent1 10 2 2 2 2 3 2 2" xfId="50132" xr:uid="{00000000-0005-0000-0000-000054470000}"/>
    <cellStyle name="40% - Accent1 10 2 2 2 2 3 3" xfId="37216" xr:uid="{00000000-0005-0000-0000-000055470000}"/>
    <cellStyle name="40% - Accent1 10 2 2 2 2 4" xfId="17800" xr:uid="{00000000-0005-0000-0000-000056470000}"/>
    <cellStyle name="40% - Accent1 10 2 2 2 2 4 2" xfId="43674" xr:uid="{00000000-0005-0000-0000-000057470000}"/>
    <cellStyle name="40% - Accent1 10 2 2 2 2 5" xfId="30726" xr:uid="{00000000-0005-0000-0000-000058470000}"/>
    <cellStyle name="40% - Accent1 10 2 2 2 3" xfId="6496" xr:uid="{00000000-0005-0000-0000-000059470000}"/>
    <cellStyle name="40% - Accent1 10 2 2 2 3 2" xfId="12955" xr:uid="{00000000-0005-0000-0000-00005A470000}"/>
    <cellStyle name="40% - Accent1 10 2 2 2 3 2 2" xfId="25872" xr:uid="{00000000-0005-0000-0000-00005B470000}"/>
    <cellStyle name="40% - Accent1 10 2 2 2 3 2 2 2" xfId="51746" xr:uid="{00000000-0005-0000-0000-00005C470000}"/>
    <cellStyle name="40% - Accent1 10 2 2 2 3 2 3" xfId="38830" xr:uid="{00000000-0005-0000-0000-00005D470000}"/>
    <cellStyle name="40% - Accent1 10 2 2 2 3 3" xfId="19414" xr:uid="{00000000-0005-0000-0000-00005E470000}"/>
    <cellStyle name="40% - Accent1 10 2 2 2 3 3 2" xfId="45288" xr:uid="{00000000-0005-0000-0000-00005F470000}"/>
    <cellStyle name="40% - Accent1 10 2 2 2 3 4" xfId="32372" xr:uid="{00000000-0005-0000-0000-000060470000}"/>
    <cellStyle name="40% - Accent1 10 2 2 2 4" xfId="9727" xr:uid="{00000000-0005-0000-0000-000061470000}"/>
    <cellStyle name="40% - Accent1 10 2 2 2 4 2" xfId="22644" xr:uid="{00000000-0005-0000-0000-000062470000}"/>
    <cellStyle name="40% - Accent1 10 2 2 2 4 2 2" xfId="48518" xr:uid="{00000000-0005-0000-0000-000063470000}"/>
    <cellStyle name="40% - Accent1 10 2 2 2 4 3" xfId="35602" xr:uid="{00000000-0005-0000-0000-000064470000}"/>
    <cellStyle name="40% - Accent1 10 2 2 2 5" xfId="16186" xr:uid="{00000000-0005-0000-0000-000065470000}"/>
    <cellStyle name="40% - Accent1 10 2 2 2 5 2" xfId="42060" xr:uid="{00000000-0005-0000-0000-000066470000}"/>
    <cellStyle name="40% - Accent1 10 2 2 2 6" xfId="29112" xr:uid="{00000000-0005-0000-0000-000067470000}"/>
    <cellStyle name="40% - Accent1 10 2 2 3" xfId="4049" xr:uid="{00000000-0005-0000-0000-000068470000}"/>
    <cellStyle name="40% - Accent1 10 2 2 3 2" xfId="7303" xr:uid="{00000000-0005-0000-0000-000069470000}"/>
    <cellStyle name="40% - Accent1 10 2 2 3 2 2" xfId="13762" xr:uid="{00000000-0005-0000-0000-00006A470000}"/>
    <cellStyle name="40% - Accent1 10 2 2 3 2 2 2" xfId="26679" xr:uid="{00000000-0005-0000-0000-00006B470000}"/>
    <cellStyle name="40% - Accent1 10 2 2 3 2 2 2 2" xfId="52553" xr:uid="{00000000-0005-0000-0000-00006C470000}"/>
    <cellStyle name="40% - Accent1 10 2 2 3 2 2 3" xfId="39637" xr:uid="{00000000-0005-0000-0000-00006D470000}"/>
    <cellStyle name="40% - Accent1 10 2 2 3 2 3" xfId="20221" xr:uid="{00000000-0005-0000-0000-00006E470000}"/>
    <cellStyle name="40% - Accent1 10 2 2 3 2 3 2" xfId="46095" xr:uid="{00000000-0005-0000-0000-00006F470000}"/>
    <cellStyle name="40% - Accent1 10 2 2 3 2 4" xfId="33179" xr:uid="{00000000-0005-0000-0000-000070470000}"/>
    <cellStyle name="40% - Accent1 10 2 2 3 3" xfId="10534" xr:uid="{00000000-0005-0000-0000-000071470000}"/>
    <cellStyle name="40% - Accent1 10 2 2 3 3 2" xfId="23451" xr:uid="{00000000-0005-0000-0000-000072470000}"/>
    <cellStyle name="40% - Accent1 10 2 2 3 3 2 2" xfId="49325" xr:uid="{00000000-0005-0000-0000-000073470000}"/>
    <cellStyle name="40% - Accent1 10 2 2 3 3 3" xfId="36409" xr:uid="{00000000-0005-0000-0000-000074470000}"/>
    <cellStyle name="40% - Accent1 10 2 2 3 4" xfId="16993" xr:uid="{00000000-0005-0000-0000-000075470000}"/>
    <cellStyle name="40% - Accent1 10 2 2 3 4 2" xfId="42867" xr:uid="{00000000-0005-0000-0000-000076470000}"/>
    <cellStyle name="40% - Accent1 10 2 2 3 5" xfId="29919" xr:uid="{00000000-0005-0000-0000-000077470000}"/>
    <cellStyle name="40% - Accent1 10 2 2 4" xfId="5689" xr:uid="{00000000-0005-0000-0000-000078470000}"/>
    <cellStyle name="40% - Accent1 10 2 2 4 2" xfId="12148" xr:uid="{00000000-0005-0000-0000-000079470000}"/>
    <cellStyle name="40% - Accent1 10 2 2 4 2 2" xfId="25065" xr:uid="{00000000-0005-0000-0000-00007A470000}"/>
    <cellStyle name="40% - Accent1 10 2 2 4 2 2 2" xfId="50939" xr:uid="{00000000-0005-0000-0000-00007B470000}"/>
    <cellStyle name="40% - Accent1 10 2 2 4 2 3" xfId="38023" xr:uid="{00000000-0005-0000-0000-00007C470000}"/>
    <cellStyle name="40% - Accent1 10 2 2 4 3" xfId="18607" xr:uid="{00000000-0005-0000-0000-00007D470000}"/>
    <cellStyle name="40% - Accent1 10 2 2 4 3 2" xfId="44481" xr:uid="{00000000-0005-0000-0000-00007E470000}"/>
    <cellStyle name="40% - Accent1 10 2 2 4 4" xfId="31565" xr:uid="{00000000-0005-0000-0000-00007F470000}"/>
    <cellStyle name="40% - Accent1 10 2 2 5" xfId="8920" xr:uid="{00000000-0005-0000-0000-000080470000}"/>
    <cellStyle name="40% - Accent1 10 2 2 5 2" xfId="21837" xr:uid="{00000000-0005-0000-0000-000081470000}"/>
    <cellStyle name="40% - Accent1 10 2 2 5 2 2" xfId="47711" xr:uid="{00000000-0005-0000-0000-000082470000}"/>
    <cellStyle name="40% - Accent1 10 2 2 5 3" xfId="34795" xr:uid="{00000000-0005-0000-0000-000083470000}"/>
    <cellStyle name="40% - Accent1 10 2 2 6" xfId="15379" xr:uid="{00000000-0005-0000-0000-000084470000}"/>
    <cellStyle name="40% - Accent1 10 2 2 6 2" xfId="41253" xr:uid="{00000000-0005-0000-0000-000085470000}"/>
    <cellStyle name="40% - Accent1 10 2 2 7" xfId="28305" xr:uid="{00000000-0005-0000-0000-000086470000}"/>
    <cellStyle name="40% - Accent1 10 2 2 8" xfId="54167" xr:uid="{00000000-0005-0000-0000-000087470000}"/>
    <cellStyle name="40% - Accent1 10 2 3" xfId="2818" xr:uid="{00000000-0005-0000-0000-000088470000}"/>
    <cellStyle name="40% - Accent1 10 2 3 2" xfId="4475" xr:uid="{00000000-0005-0000-0000-000089470000}"/>
    <cellStyle name="40% - Accent1 10 2 3 2 2" xfId="7706" xr:uid="{00000000-0005-0000-0000-00008A470000}"/>
    <cellStyle name="40% - Accent1 10 2 3 2 2 2" xfId="14165" xr:uid="{00000000-0005-0000-0000-00008B470000}"/>
    <cellStyle name="40% - Accent1 10 2 3 2 2 2 2" xfId="27082" xr:uid="{00000000-0005-0000-0000-00008C470000}"/>
    <cellStyle name="40% - Accent1 10 2 3 2 2 2 2 2" xfId="52956" xr:uid="{00000000-0005-0000-0000-00008D470000}"/>
    <cellStyle name="40% - Accent1 10 2 3 2 2 2 3" xfId="40040" xr:uid="{00000000-0005-0000-0000-00008E470000}"/>
    <cellStyle name="40% - Accent1 10 2 3 2 2 3" xfId="20624" xr:uid="{00000000-0005-0000-0000-00008F470000}"/>
    <cellStyle name="40% - Accent1 10 2 3 2 2 3 2" xfId="46498" xr:uid="{00000000-0005-0000-0000-000090470000}"/>
    <cellStyle name="40% - Accent1 10 2 3 2 2 4" xfId="33582" xr:uid="{00000000-0005-0000-0000-000091470000}"/>
    <cellStyle name="40% - Accent1 10 2 3 2 3" xfId="10937" xr:uid="{00000000-0005-0000-0000-000092470000}"/>
    <cellStyle name="40% - Accent1 10 2 3 2 3 2" xfId="23854" xr:uid="{00000000-0005-0000-0000-000093470000}"/>
    <cellStyle name="40% - Accent1 10 2 3 2 3 2 2" xfId="49728" xr:uid="{00000000-0005-0000-0000-000094470000}"/>
    <cellStyle name="40% - Accent1 10 2 3 2 3 3" xfId="36812" xr:uid="{00000000-0005-0000-0000-000095470000}"/>
    <cellStyle name="40% - Accent1 10 2 3 2 4" xfId="17396" xr:uid="{00000000-0005-0000-0000-000096470000}"/>
    <cellStyle name="40% - Accent1 10 2 3 2 4 2" xfId="43270" xr:uid="{00000000-0005-0000-0000-000097470000}"/>
    <cellStyle name="40% - Accent1 10 2 3 2 5" xfId="30322" xr:uid="{00000000-0005-0000-0000-000098470000}"/>
    <cellStyle name="40% - Accent1 10 2 3 3" xfId="6092" xr:uid="{00000000-0005-0000-0000-000099470000}"/>
    <cellStyle name="40% - Accent1 10 2 3 3 2" xfId="12551" xr:uid="{00000000-0005-0000-0000-00009A470000}"/>
    <cellStyle name="40% - Accent1 10 2 3 3 2 2" xfId="25468" xr:uid="{00000000-0005-0000-0000-00009B470000}"/>
    <cellStyle name="40% - Accent1 10 2 3 3 2 2 2" xfId="51342" xr:uid="{00000000-0005-0000-0000-00009C470000}"/>
    <cellStyle name="40% - Accent1 10 2 3 3 2 3" xfId="38426" xr:uid="{00000000-0005-0000-0000-00009D470000}"/>
    <cellStyle name="40% - Accent1 10 2 3 3 3" xfId="19010" xr:uid="{00000000-0005-0000-0000-00009E470000}"/>
    <cellStyle name="40% - Accent1 10 2 3 3 3 2" xfId="44884" xr:uid="{00000000-0005-0000-0000-00009F470000}"/>
    <cellStyle name="40% - Accent1 10 2 3 3 4" xfId="31968" xr:uid="{00000000-0005-0000-0000-0000A0470000}"/>
    <cellStyle name="40% - Accent1 10 2 3 4" xfId="9323" xr:uid="{00000000-0005-0000-0000-0000A1470000}"/>
    <cellStyle name="40% - Accent1 10 2 3 4 2" xfId="22240" xr:uid="{00000000-0005-0000-0000-0000A2470000}"/>
    <cellStyle name="40% - Accent1 10 2 3 4 2 2" xfId="48114" xr:uid="{00000000-0005-0000-0000-0000A3470000}"/>
    <cellStyle name="40% - Accent1 10 2 3 4 3" xfId="35198" xr:uid="{00000000-0005-0000-0000-0000A4470000}"/>
    <cellStyle name="40% - Accent1 10 2 3 5" xfId="15782" xr:uid="{00000000-0005-0000-0000-0000A5470000}"/>
    <cellStyle name="40% - Accent1 10 2 3 5 2" xfId="41656" xr:uid="{00000000-0005-0000-0000-0000A6470000}"/>
    <cellStyle name="40% - Accent1 10 2 3 6" xfId="28708" xr:uid="{00000000-0005-0000-0000-0000A7470000}"/>
    <cellStyle name="40% - Accent1 10 2 4" xfId="3645" xr:uid="{00000000-0005-0000-0000-0000A8470000}"/>
    <cellStyle name="40% - Accent1 10 2 4 2" xfId="6899" xr:uid="{00000000-0005-0000-0000-0000A9470000}"/>
    <cellStyle name="40% - Accent1 10 2 4 2 2" xfId="13358" xr:uid="{00000000-0005-0000-0000-0000AA470000}"/>
    <cellStyle name="40% - Accent1 10 2 4 2 2 2" xfId="26275" xr:uid="{00000000-0005-0000-0000-0000AB470000}"/>
    <cellStyle name="40% - Accent1 10 2 4 2 2 2 2" xfId="52149" xr:uid="{00000000-0005-0000-0000-0000AC470000}"/>
    <cellStyle name="40% - Accent1 10 2 4 2 2 3" xfId="39233" xr:uid="{00000000-0005-0000-0000-0000AD470000}"/>
    <cellStyle name="40% - Accent1 10 2 4 2 3" xfId="19817" xr:uid="{00000000-0005-0000-0000-0000AE470000}"/>
    <cellStyle name="40% - Accent1 10 2 4 2 3 2" xfId="45691" xr:uid="{00000000-0005-0000-0000-0000AF470000}"/>
    <cellStyle name="40% - Accent1 10 2 4 2 4" xfId="32775" xr:uid="{00000000-0005-0000-0000-0000B0470000}"/>
    <cellStyle name="40% - Accent1 10 2 4 3" xfId="10130" xr:uid="{00000000-0005-0000-0000-0000B1470000}"/>
    <cellStyle name="40% - Accent1 10 2 4 3 2" xfId="23047" xr:uid="{00000000-0005-0000-0000-0000B2470000}"/>
    <cellStyle name="40% - Accent1 10 2 4 3 2 2" xfId="48921" xr:uid="{00000000-0005-0000-0000-0000B3470000}"/>
    <cellStyle name="40% - Accent1 10 2 4 3 3" xfId="36005" xr:uid="{00000000-0005-0000-0000-0000B4470000}"/>
    <cellStyle name="40% - Accent1 10 2 4 4" xfId="16589" xr:uid="{00000000-0005-0000-0000-0000B5470000}"/>
    <cellStyle name="40% - Accent1 10 2 4 4 2" xfId="42463" xr:uid="{00000000-0005-0000-0000-0000B6470000}"/>
    <cellStyle name="40% - Accent1 10 2 4 5" xfId="29515" xr:uid="{00000000-0005-0000-0000-0000B7470000}"/>
    <cellStyle name="40% - Accent1 10 2 5" xfId="5285" xr:uid="{00000000-0005-0000-0000-0000B8470000}"/>
    <cellStyle name="40% - Accent1 10 2 5 2" xfId="11744" xr:uid="{00000000-0005-0000-0000-0000B9470000}"/>
    <cellStyle name="40% - Accent1 10 2 5 2 2" xfId="24661" xr:uid="{00000000-0005-0000-0000-0000BA470000}"/>
    <cellStyle name="40% - Accent1 10 2 5 2 2 2" xfId="50535" xr:uid="{00000000-0005-0000-0000-0000BB470000}"/>
    <cellStyle name="40% - Accent1 10 2 5 2 3" xfId="37619" xr:uid="{00000000-0005-0000-0000-0000BC470000}"/>
    <cellStyle name="40% - Accent1 10 2 5 3" xfId="18203" xr:uid="{00000000-0005-0000-0000-0000BD470000}"/>
    <cellStyle name="40% - Accent1 10 2 5 3 2" xfId="44077" xr:uid="{00000000-0005-0000-0000-0000BE470000}"/>
    <cellStyle name="40% - Accent1 10 2 5 4" xfId="31161" xr:uid="{00000000-0005-0000-0000-0000BF470000}"/>
    <cellStyle name="40% - Accent1 10 2 6" xfId="8516" xr:uid="{00000000-0005-0000-0000-0000C0470000}"/>
    <cellStyle name="40% - Accent1 10 2 6 2" xfId="21433" xr:uid="{00000000-0005-0000-0000-0000C1470000}"/>
    <cellStyle name="40% - Accent1 10 2 6 2 2" xfId="47307" xr:uid="{00000000-0005-0000-0000-0000C2470000}"/>
    <cellStyle name="40% - Accent1 10 2 6 3" xfId="34391" xr:uid="{00000000-0005-0000-0000-0000C3470000}"/>
    <cellStyle name="40% - Accent1 10 2 7" xfId="14975" xr:uid="{00000000-0005-0000-0000-0000C4470000}"/>
    <cellStyle name="40% - Accent1 10 2 7 2" xfId="40849" xr:uid="{00000000-0005-0000-0000-0000C5470000}"/>
    <cellStyle name="40% - Accent1 10 2 8" xfId="27900" xr:uid="{00000000-0005-0000-0000-0000C6470000}"/>
    <cellStyle name="40% - Accent1 10 2 9" xfId="53763" xr:uid="{00000000-0005-0000-0000-0000C7470000}"/>
    <cellStyle name="40% - Accent1 10 3" xfId="2213" xr:uid="{00000000-0005-0000-0000-0000C8470000}"/>
    <cellStyle name="40% - Accent1 10 3 2" xfId="3027" xr:uid="{00000000-0005-0000-0000-0000C9470000}"/>
    <cellStyle name="40% - Accent1 10 3 2 2" xfId="4684" xr:uid="{00000000-0005-0000-0000-0000CA470000}"/>
    <cellStyle name="40% - Accent1 10 3 2 2 2" xfId="7915" xr:uid="{00000000-0005-0000-0000-0000CB470000}"/>
    <cellStyle name="40% - Accent1 10 3 2 2 2 2" xfId="14374" xr:uid="{00000000-0005-0000-0000-0000CC470000}"/>
    <cellStyle name="40% - Accent1 10 3 2 2 2 2 2" xfId="27291" xr:uid="{00000000-0005-0000-0000-0000CD470000}"/>
    <cellStyle name="40% - Accent1 10 3 2 2 2 2 2 2" xfId="53165" xr:uid="{00000000-0005-0000-0000-0000CE470000}"/>
    <cellStyle name="40% - Accent1 10 3 2 2 2 2 3" xfId="40249" xr:uid="{00000000-0005-0000-0000-0000CF470000}"/>
    <cellStyle name="40% - Accent1 10 3 2 2 2 3" xfId="20833" xr:uid="{00000000-0005-0000-0000-0000D0470000}"/>
    <cellStyle name="40% - Accent1 10 3 2 2 2 3 2" xfId="46707" xr:uid="{00000000-0005-0000-0000-0000D1470000}"/>
    <cellStyle name="40% - Accent1 10 3 2 2 2 4" xfId="33791" xr:uid="{00000000-0005-0000-0000-0000D2470000}"/>
    <cellStyle name="40% - Accent1 10 3 2 2 3" xfId="11146" xr:uid="{00000000-0005-0000-0000-0000D3470000}"/>
    <cellStyle name="40% - Accent1 10 3 2 2 3 2" xfId="24063" xr:uid="{00000000-0005-0000-0000-0000D4470000}"/>
    <cellStyle name="40% - Accent1 10 3 2 2 3 2 2" xfId="49937" xr:uid="{00000000-0005-0000-0000-0000D5470000}"/>
    <cellStyle name="40% - Accent1 10 3 2 2 3 3" xfId="37021" xr:uid="{00000000-0005-0000-0000-0000D6470000}"/>
    <cellStyle name="40% - Accent1 10 3 2 2 4" xfId="17605" xr:uid="{00000000-0005-0000-0000-0000D7470000}"/>
    <cellStyle name="40% - Accent1 10 3 2 2 4 2" xfId="43479" xr:uid="{00000000-0005-0000-0000-0000D8470000}"/>
    <cellStyle name="40% - Accent1 10 3 2 2 5" xfId="30531" xr:uid="{00000000-0005-0000-0000-0000D9470000}"/>
    <cellStyle name="40% - Accent1 10 3 2 3" xfId="6301" xr:uid="{00000000-0005-0000-0000-0000DA470000}"/>
    <cellStyle name="40% - Accent1 10 3 2 3 2" xfId="12760" xr:uid="{00000000-0005-0000-0000-0000DB470000}"/>
    <cellStyle name="40% - Accent1 10 3 2 3 2 2" xfId="25677" xr:uid="{00000000-0005-0000-0000-0000DC470000}"/>
    <cellStyle name="40% - Accent1 10 3 2 3 2 2 2" xfId="51551" xr:uid="{00000000-0005-0000-0000-0000DD470000}"/>
    <cellStyle name="40% - Accent1 10 3 2 3 2 3" xfId="38635" xr:uid="{00000000-0005-0000-0000-0000DE470000}"/>
    <cellStyle name="40% - Accent1 10 3 2 3 3" xfId="19219" xr:uid="{00000000-0005-0000-0000-0000DF470000}"/>
    <cellStyle name="40% - Accent1 10 3 2 3 3 2" xfId="45093" xr:uid="{00000000-0005-0000-0000-0000E0470000}"/>
    <cellStyle name="40% - Accent1 10 3 2 3 4" xfId="32177" xr:uid="{00000000-0005-0000-0000-0000E1470000}"/>
    <cellStyle name="40% - Accent1 10 3 2 4" xfId="9532" xr:uid="{00000000-0005-0000-0000-0000E2470000}"/>
    <cellStyle name="40% - Accent1 10 3 2 4 2" xfId="22449" xr:uid="{00000000-0005-0000-0000-0000E3470000}"/>
    <cellStyle name="40% - Accent1 10 3 2 4 2 2" xfId="48323" xr:uid="{00000000-0005-0000-0000-0000E4470000}"/>
    <cellStyle name="40% - Accent1 10 3 2 4 3" xfId="35407" xr:uid="{00000000-0005-0000-0000-0000E5470000}"/>
    <cellStyle name="40% - Accent1 10 3 2 5" xfId="15991" xr:uid="{00000000-0005-0000-0000-0000E6470000}"/>
    <cellStyle name="40% - Accent1 10 3 2 5 2" xfId="41865" xr:uid="{00000000-0005-0000-0000-0000E7470000}"/>
    <cellStyle name="40% - Accent1 10 3 2 6" xfId="28917" xr:uid="{00000000-0005-0000-0000-0000E8470000}"/>
    <cellStyle name="40% - Accent1 10 3 3" xfId="3854" xr:uid="{00000000-0005-0000-0000-0000E9470000}"/>
    <cellStyle name="40% - Accent1 10 3 3 2" xfId="7108" xr:uid="{00000000-0005-0000-0000-0000EA470000}"/>
    <cellStyle name="40% - Accent1 10 3 3 2 2" xfId="13567" xr:uid="{00000000-0005-0000-0000-0000EB470000}"/>
    <cellStyle name="40% - Accent1 10 3 3 2 2 2" xfId="26484" xr:uid="{00000000-0005-0000-0000-0000EC470000}"/>
    <cellStyle name="40% - Accent1 10 3 3 2 2 2 2" xfId="52358" xr:uid="{00000000-0005-0000-0000-0000ED470000}"/>
    <cellStyle name="40% - Accent1 10 3 3 2 2 3" xfId="39442" xr:uid="{00000000-0005-0000-0000-0000EE470000}"/>
    <cellStyle name="40% - Accent1 10 3 3 2 3" xfId="20026" xr:uid="{00000000-0005-0000-0000-0000EF470000}"/>
    <cellStyle name="40% - Accent1 10 3 3 2 3 2" xfId="45900" xr:uid="{00000000-0005-0000-0000-0000F0470000}"/>
    <cellStyle name="40% - Accent1 10 3 3 2 4" xfId="32984" xr:uid="{00000000-0005-0000-0000-0000F1470000}"/>
    <cellStyle name="40% - Accent1 10 3 3 3" xfId="10339" xr:uid="{00000000-0005-0000-0000-0000F2470000}"/>
    <cellStyle name="40% - Accent1 10 3 3 3 2" xfId="23256" xr:uid="{00000000-0005-0000-0000-0000F3470000}"/>
    <cellStyle name="40% - Accent1 10 3 3 3 2 2" xfId="49130" xr:uid="{00000000-0005-0000-0000-0000F4470000}"/>
    <cellStyle name="40% - Accent1 10 3 3 3 3" xfId="36214" xr:uid="{00000000-0005-0000-0000-0000F5470000}"/>
    <cellStyle name="40% - Accent1 10 3 3 4" xfId="16798" xr:uid="{00000000-0005-0000-0000-0000F6470000}"/>
    <cellStyle name="40% - Accent1 10 3 3 4 2" xfId="42672" xr:uid="{00000000-0005-0000-0000-0000F7470000}"/>
    <cellStyle name="40% - Accent1 10 3 3 5" xfId="29724" xr:uid="{00000000-0005-0000-0000-0000F8470000}"/>
    <cellStyle name="40% - Accent1 10 3 4" xfId="5494" xr:uid="{00000000-0005-0000-0000-0000F9470000}"/>
    <cellStyle name="40% - Accent1 10 3 4 2" xfId="11953" xr:uid="{00000000-0005-0000-0000-0000FA470000}"/>
    <cellStyle name="40% - Accent1 10 3 4 2 2" xfId="24870" xr:uid="{00000000-0005-0000-0000-0000FB470000}"/>
    <cellStyle name="40% - Accent1 10 3 4 2 2 2" xfId="50744" xr:uid="{00000000-0005-0000-0000-0000FC470000}"/>
    <cellStyle name="40% - Accent1 10 3 4 2 3" xfId="37828" xr:uid="{00000000-0005-0000-0000-0000FD470000}"/>
    <cellStyle name="40% - Accent1 10 3 4 3" xfId="18412" xr:uid="{00000000-0005-0000-0000-0000FE470000}"/>
    <cellStyle name="40% - Accent1 10 3 4 3 2" xfId="44286" xr:uid="{00000000-0005-0000-0000-0000FF470000}"/>
    <cellStyle name="40% - Accent1 10 3 4 4" xfId="31370" xr:uid="{00000000-0005-0000-0000-000000480000}"/>
    <cellStyle name="40% - Accent1 10 3 5" xfId="8725" xr:uid="{00000000-0005-0000-0000-000001480000}"/>
    <cellStyle name="40% - Accent1 10 3 5 2" xfId="21642" xr:uid="{00000000-0005-0000-0000-000002480000}"/>
    <cellStyle name="40% - Accent1 10 3 5 2 2" xfId="47516" xr:uid="{00000000-0005-0000-0000-000003480000}"/>
    <cellStyle name="40% - Accent1 10 3 5 3" xfId="34600" xr:uid="{00000000-0005-0000-0000-000004480000}"/>
    <cellStyle name="40% - Accent1 10 3 6" xfId="15184" xr:uid="{00000000-0005-0000-0000-000005480000}"/>
    <cellStyle name="40% - Accent1 10 3 6 2" xfId="41058" xr:uid="{00000000-0005-0000-0000-000006480000}"/>
    <cellStyle name="40% - Accent1 10 3 7" xfId="28110" xr:uid="{00000000-0005-0000-0000-000007480000}"/>
    <cellStyle name="40% - Accent1 10 3 8" xfId="53972" xr:uid="{00000000-0005-0000-0000-000008480000}"/>
    <cellStyle name="40% - Accent1 10 4" xfId="2624" xr:uid="{00000000-0005-0000-0000-000009480000}"/>
    <cellStyle name="40% - Accent1 10 4 2" xfId="4281" xr:uid="{00000000-0005-0000-0000-00000A480000}"/>
    <cellStyle name="40% - Accent1 10 4 2 2" xfId="7512" xr:uid="{00000000-0005-0000-0000-00000B480000}"/>
    <cellStyle name="40% - Accent1 10 4 2 2 2" xfId="13971" xr:uid="{00000000-0005-0000-0000-00000C480000}"/>
    <cellStyle name="40% - Accent1 10 4 2 2 2 2" xfId="26888" xr:uid="{00000000-0005-0000-0000-00000D480000}"/>
    <cellStyle name="40% - Accent1 10 4 2 2 2 2 2" xfId="52762" xr:uid="{00000000-0005-0000-0000-00000E480000}"/>
    <cellStyle name="40% - Accent1 10 4 2 2 2 3" xfId="39846" xr:uid="{00000000-0005-0000-0000-00000F480000}"/>
    <cellStyle name="40% - Accent1 10 4 2 2 3" xfId="20430" xr:uid="{00000000-0005-0000-0000-000010480000}"/>
    <cellStyle name="40% - Accent1 10 4 2 2 3 2" xfId="46304" xr:uid="{00000000-0005-0000-0000-000011480000}"/>
    <cellStyle name="40% - Accent1 10 4 2 2 4" xfId="33388" xr:uid="{00000000-0005-0000-0000-000012480000}"/>
    <cellStyle name="40% - Accent1 10 4 2 3" xfId="10743" xr:uid="{00000000-0005-0000-0000-000013480000}"/>
    <cellStyle name="40% - Accent1 10 4 2 3 2" xfId="23660" xr:uid="{00000000-0005-0000-0000-000014480000}"/>
    <cellStyle name="40% - Accent1 10 4 2 3 2 2" xfId="49534" xr:uid="{00000000-0005-0000-0000-000015480000}"/>
    <cellStyle name="40% - Accent1 10 4 2 3 3" xfId="36618" xr:uid="{00000000-0005-0000-0000-000016480000}"/>
    <cellStyle name="40% - Accent1 10 4 2 4" xfId="17202" xr:uid="{00000000-0005-0000-0000-000017480000}"/>
    <cellStyle name="40% - Accent1 10 4 2 4 2" xfId="43076" xr:uid="{00000000-0005-0000-0000-000018480000}"/>
    <cellStyle name="40% - Accent1 10 4 2 5" xfId="30128" xr:uid="{00000000-0005-0000-0000-000019480000}"/>
    <cellStyle name="40% - Accent1 10 4 3" xfId="5898" xr:uid="{00000000-0005-0000-0000-00001A480000}"/>
    <cellStyle name="40% - Accent1 10 4 3 2" xfId="12357" xr:uid="{00000000-0005-0000-0000-00001B480000}"/>
    <cellStyle name="40% - Accent1 10 4 3 2 2" xfId="25274" xr:uid="{00000000-0005-0000-0000-00001C480000}"/>
    <cellStyle name="40% - Accent1 10 4 3 2 2 2" xfId="51148" xr:uid="{00000000-0005-0000-0000-00001D480000}"/>
    <cellStyle name="40% - Accent1 10 4 3 2 3" xfId="38232" xr:uid="{00000000-0005-0000-0000-00001E480000}"/>
    <cellStyle name="40% - Accent1 10 4 3 3" xfId="18816" xr:uid="{00000000-0005-0000-0000-00001F480000}"/>
    <cellStyle name="40% - Accent1 10 4 3 3 2" xfId="44690" xr:uid="{00000000-0005-0000-0000-000020480000}"/>
    <cellStyle name="40% - Accent1 10 4 3 4" xfId="31774" xr:uid="{00000000-0005-0000-0000-000021480000}"/>
    <cellStyle name="40% - Accent1 10 4 4" xfId="9129" xr:uid="{00000000-0005-0000-0000-000022480000}"/>
    <cellStyle name="40% - Accent1 10 4 4 2" xfId="22046" xr:uid="{00000000-0005-0000-0000-000023480000}"/>
    <cellStyle name="40% - Accent1 10 4 4 2 2" xfId="47920" xr:uid="{00000000-0005-0000-0000-000024480000}"/>
    <cellStyle name="40% - Accent1 10 4 4 3" xfId="35004" xr:uid="{00000000-0005-0000-0000-000025480000}"/>
    <cellStyle name="40% - Accent1 10 4 5" xfId="15588" xr:uid="{00000000-0005-0000-0000-000026480000}"/>
    <cellStyle name="40% - Accent1 10 4 5 2" xfId="41462" xr:uid="{00000000-0005-0000-0000-000027480000}"/>
    <cellStyle name="40% - Accent1 10 4 6" xfId="28514" xr:uid="{00000000-0005-0000-0000-000028480000}"/>
    <cellStyle name="40% - Accent1 10 5" xfId="3451" xr:uid="{00000000-0005-0000-0000-000029480000}"/>
    <cellStyle name="40% - Accent1 10 5 2" xfId="6705" xr:uid="{00000000-0005-0000-0000-00002A480000}"/>
    <cellStyle name="40% - Accent1 10 5 2 2" xfId="13164" xr:uid="{00000000-0005-0000-0000-00002B480000}"/>
    <cellStyle name="40% - Accent1 10 5 2 2 2" xfId="26081" xr:uid="{00000000-0005-0000-0000-00002C480000}"/>
    <cellStyle name="40% - Accent1 10 5 2 2 2 2" xfId="51955" xr:uid="{00000000-0005-0000-0000-00002D480000}"/>
    <cellStyle name="40% - Accent1 10 5 2 2 3" xfId="39039" xr:uid="{00000000-0005-0000-0000-00002E480000}"/>
    <cellStyle name="40% - Accent1 10 5 2 3" xfId="19623" xr:uid="{00000000-0005-0000-0000-00002F480000}"/>
    <cellStyle name="40% - Accent1 10 5 2 3 2" xfId="45497" xr:uid="{00000000-0005-0000-0000-000030480000}"/>
    <cellStyle name="40% - Accent1 10 5 2 4" xfId="32581" xr:uid="{00000000-0005-0000-0000-000031480000}"/>
    <cellStyle name="40% - Accent1 10 5 3" xfId="9936" xr:uid="{00000000-0005-0000-0000-000032480000}"/>
    <cellStyle name="40% - Accent1 10 5 3 2" xfId="22853" xr:uid="{00000000-0005-0000-0000-000033480000}"/>
    <cellStyle name="40% - Accent1 10 5 3 2 2" xfId="48727" xr:uid="{00000000-0005-0000-0000-000034480000}"/>
    <cellStyle name="40% - Accent1 10 5 3 3" xfId="35811" xr:uid="{00000000-0005-0000-0000-000035480000}"/>
    <cellStyle name="40% - Accent1 10 5 4" xfId="16395" xr:uid="{00000000-0005-0000-0000-000036480000}"/>
    <cellStyle name="40% - Accent1 10 5 4 2" xfId="42269" xr:uid="{00000000-0005-0000-0000-000037480000}"/>
    <cellStyle name="40% - Accent1 10 5 5" xfId="29321" xr:uid="{00000000-0005-0000-0000-000038480000}"/>
    <cellStyle name="40% - Accent1 10 6" xfId="5091" xr:uid="{00000000-0005-0000-0000-000039480000}"/>
    <cellStyle name="40% - Accent1 10 6 2" xfId="11550" xr:uid="{00000000-0005-0000-0000-00003A480000}"/>
    <cellStyle name="40% - Accent1 10 6 2 2" xfId="24467" xr:uid="{00000000-0005-0000-0000-00003B480000}"/>
    <cellStyle name="40% - Accent1 10 6 2 2 2" xfId="50341" xr:uid="{00000000-0005-0000-0000-00003C480000}"/>
    <cellStyle name="40% - Accent1 10 6 2 3" xfId="37425" xr:uid="{00000000-0005-0000-0000-00003D480000}"/>
    <cellStyle name="40% - Accent1 10 6 3" xfId="18009" xr:uid="{00000000-0005-0000-0000-00003E480000}"/>
    <cellStyle name="40% - Accent1 10 6 3 2" xfId="43883" xr:uid="{00000000-0005-0000-0000-00003F480000}"/>
    <cellStyle name="40% - Accent1 10 6 4" xfId="30967" xr:uid="{00000000-0005-0000-0000-000040480000}"/>
    <cellStyle name="40% - Accent1 10 7" xfId="8321" xr:uid="{00000000-0005-0000-0000-000041480000}"/>
    <cellStyle name="40% - Accent1 10 7 2" xfId="21238" xr:uid="{00000000-0005-0000-0000-000042480000}"/>
    <cellStyle name="40% - Accent1 10 7 2 2" xfId="47112" xr:uid="{00000000-0005-0000-0000-000043480000}"/>
    <cellStyle name="40% - Accent1 10 7 3" xfId="34196" xr:uid="{00000000-0005-0000-0000-000044480000}"/>
    <cellStyle name="40% - Accent1 10 8" xfId="14780" xr:uid="{00000000-0005-0000-0000-000045480000}"/>
    <cellStyle name="40% - Accent1 10 8 2" xfId="40654" xr:uid="{00000000-0005-0000-0000-000046480000}"/>
    <cellStyle name="40% - Accent1 10 9" xfId="27704" xr:uid="{00000000-0005-0000-0000-000047480000}"/>
    <cellStyle name="40% - Accent1 11" xfId="1758" xr:uid="{00000000-0005-0000-0000-000048480000}"/>
    <cellStyle name="40% - Accent1 11 2" xfId="2252" xr:uid="{00000000-0005-0000-0000-000049480000}"/>
    <cellStyle name="40% - Accent1 11 2 2" xfId="3066" xr:uid="{00000000-0005-0000-0000-00004A480000}"/>
    <cellStyle name="40% - Accent1 11 2 2 2" xfId="4723" xr:uid="{00000000-0005-0000-0000-00004B480000}"/>
    <cellStyle name="40% - Accent1 11 2 2 2 2" xfId="7954" xr:uid="{00000000-0005-0000-0000-00004C480000}"/>
    <cellStyle name="40% - Accent1 11 2 2 2 2 2" xfId="14413" xr:uid="{00000000-0005-0000-0000-00004D480000}"/>
    <cellStyle name="40% - Accent1 11 2 2 2 2 2 2" xfId="27330" xr:uid="{00000000-0005-0000-0000-00004E480000}"/>
    <cellStyle name="40% - Accent1 11 2 2 2 2 2 2 2" xfId="53204" xr:uid="{00000000-0005-0000-0000-00004F480000}"/>
    <cellStyle name="40% - Accent1 11 2 2 2 2 2 3" xfId="40288" xr:uid="{00000000-0005-0000-0000-000050480000}"/>
    <cellStyle name="40% - Accent1 11 2 2 2 2 3" xfId="20872" xr:uid="{00000000-0005-0000-0000-000051480000}"/>
    <cellStyle name="40% - Accent1 11 2 2 2 2 3 2" xfId="46746" xr:uid="{00000000-0005-0000-0000-000052480000}"/>
    <cellStyle name="40% - Accent1 11 2 2 2 2 4" xfId="33830" xr:uid="{00000000-0005-0000-0000-000053480000}"/>
    <cellStyle name="40% - Accent1 11 2 2 2 3" xfId="11185" xr:uid="{00000000-0005-0000-0000-000054480000}"/>
    <cellStyle name="40% - Accent1 11 2 2 2 3 2" xfId="24102" xr:uid="{00000000-0005-0000-0000-000055480000}"/>
    <cellStyle name="40% - Accent1 11 2 2 2 3 2 2" xfId="49976" xr:uid="{00000000-0005-0000-0000-000056480000}"/>
    <cellStyle name="40% - Accent1 11 2 2 2 3 3" xfId="37060" xr:uid="{00000000-0005-0000-0000-000057480000}"/>
    <cellStyle name="40% - Accent1 11 2 2 2 4" xfId="17644" xr:uid="{00000000-0005-0000-0000-000058480000}"/>
    <cellStyle name="40% - Accent1 11 2 2 2 4 2" xfId="43518" xr:uid="{00000000-0005-0000-0000-000059480000}"/>
    <cellStyle name="40% - Accent1 11 2 2 2 5" xfId="30570" xr:uid="{00000000-0005-0000-0000-00005A480000}"/>
    <cellStyle name="40% - Accent1 11 2 2 3" xfId="6340" xr:uid="{00000000-0005-0000-0000-00005B480000}"/>
    <cellStyle name="40% - Accent1 11 2 2 3 2" xfId="12799" xr:uid="{00000000-0005-0000-0000-00005C480000}"/>
    <cellStyle name="40% - Accent1 11 2 2 3 2 2" xfId="25716" xr:uid="{00000000-0005-0000-0000-00005D480000}"/>
    <cellStyle name="40% - Accent1 11 2 2 3 2 2 2" xfId="51590" xr:uid="{00000000-0005-0000-0000-00005E480000}"/>
    <cellStyle name="40% - Accent1 11 2 2 3 2 3" xfId="38674" xr:uid="{00000000-0005-0000-0000-00005F480000}"/>
    <cellStyle name="40% - Accent1 11 2 2 3 3" xfId="19258" xr:uid="{00000000-0005-0000-0000-000060480000}"/>
    <cellStyle name="40% - Accent1 11 2 2 3 3 2" xfId="45132" xr:uid="{00000000-0005-0000-0000-000061480000}"/>
    <cellStyle name="40% - Accent1 11 2 2 3 4" xfId="32216" xr:uid="{00000000-0005-0000-0000-000062480000}"/>
    <cellStyle name="40% - Accent1 11 2 2 4" xfId="9571" xr:uid="{00000000-0005-0000-0000-000063480000}"/>
    <cellStyle name="40% - Accent1 11 2 2 4 2" xfId="22488" xr:uid="{00000000-0005-0000-0000-000064480000}"/>
    <cellStyle name="40% - Accent1 11 2 2 4 2 2" xfId="48362" xr:uid="{00000000-0005-0000-0000-000065480000}"/>
    <cellStyle name="40% - Accent1 11 2 2 4 3" xfId="35446" xr:uid="{00000000-0005-0000-0000-000066480000}"/>
    <cellStyle name="40% - Accent1 11 2 2 5" xfId="16030" xr:uid="{00000000-0005-0000-0000-000067480000}"/>
    <cellStyle name="40% - Accent1 11 2 2 5 2" xfId="41904" xr:uid="{00000000-0005-0000-0000-000068480000}"/>
    <cellStyle name="40% - Accent1 11 2 2 6" xfId="28956" xr:uid="{00000000-0005-0000-0000-000069480000}"/>
    <cellStyle name="40% - Accent1 11 2 3" xfId="3893" xr:uid="{00000000-0005-0000-0000-00006A480000}"/>
    <cellStyle name="40% - Accent1 11 2 3 2" xfId="7147" xr:uid="{00000000-0005-0000-0000-00006B480000}"/>
    <cellStyle name="40% - Accent1 11 2 3 2 2" xfId="13606" xr:uid="{00000000-0005-0000-0000-00006C480000}"/>
    <cellStyle name="40% - Accent1 11 2 3 2 2 2" xfId="26523" xr:uid="{00000000-0005-0000-0000-00006D480000}"/>
    <cellStyle name="40% - Accent1 11 2 3 2 2 2 2" xfId="52397" xr:uid="{00000000-0005-0000-0000-00006E480000}"/>
    <cellStyle name="40% - Accent1 11 2 3 2 2 3" xfId="39481" xr:uid="{00000000-0005-0000-0000-00006F480000}"/>
    <cellStyle name="40% - Accent1 11 2 3 2 3" xfId="20065" xr:uid="{00000000-0005-0000-0000-000070480000}"/>
    <cellStyle name="40% - Accent1 11 2 3 2 3 2" xfId="45939" xr:uid="{00000000-0005-0000-0000-000071480000}"/>
    <cellStyle name="40% - Accent1 11 2 3 2 4" xfId="33023" xr:uid="{00000000-0005-0000-0000-000072480000}"/>
    <cellStyle name="40% - Accent1 11 2 3 3" xfId="10378" xr:uid="{00000000-0005-0000-0000-000073480000}"/>
    <cellStyle name="40% - Accent1 11 2 3 3 2" xfId="23295" xr:uid="{00000000-0005-0000-0000-000074480000}"/>
    <cellStyle name="40% - Accent1 11 2 3 3 2 2" xfId="49169" xr:uid="{00000000-0005-0000-0000-000075480000}"/>
    <cellStyle name="40% - Accent1 11 2 3 3 3" xfId="36253" xr:uid="{00000000-0005-0000-0000-000076480000}"/>
    <cellStyle name="40% - Accent1 11 2 3 4" xfId="16837" xr:uid="{00000000-0005-0000-0000-000077480000}"/>
    <cellStyle name="40% - Accent1 11 2 3 4 2" xfId="42711" xr:uid="{00000000-0005-0000-0000-000078480000}"/>
    <cellStyle name="40% - Accent1 11 2 3 5" xfId="29763" xr:uid="{00000000-0005-0000-0000-000079480000}"/>
    <cellStyle name="40% - Accent1 11 2 4" xfId="5533" xr:uid="{00000000-0005-0000-0000-00007A480000}"/>
    <cellStyle name="40% - Accent1 11 2 4 2" xfId="11992" xr:uid="{00000000-0005-0000-0000-00007B480000}"/>
    <cellStyle name="40% - Accent1 11 2 4 2 2" xfId="24909" xr:uid="{00000000-0005-0000-0000-00007C480000}"/>
    <cellStyle name="40% - Accent1 11 2 4 2 2 2" xfId="50783" xr:uid="{00000000-0005-0000-0000-00007D480000}"/>
    <cellStyle name="40% - Accent1 11 2 4 2 3" xfId="37867" xr:uid="{00000000-0005-0000-0000-00007E480000}"/>
    <cellStyle name="40% - Accent1 11 2 4 3" xfId="18451" xr:uid="{00000000-0005-0000-0000-00007F480000}"/>
    <cellStyle name="40% - Accent1 11 2 4 3 2" xfId="44325" xr:uid="{00000000-0005-0000-0000-000080480000}"/>
    <cellStyle name="40% - Accent1 11 2 4 4" xfId="31409" xr:uid="{00000000-0005-0000-0000-000081480000}"/>
    <cellStyle name="40% - Accent1 11 2 5" xfId="8764" xr:uid="{00000000-0005-0000-0000-000082480000}"/>
    <cellStyle name="40% - Accent1 11 2 5 2" xfId="21681" xr:uid="{00000000-0005-0000-0000-000083480000}"/>
    <cellStyle name="40% - Accent1 11 2 5 2 2" xfId="47555" xr:uid="{00000000-0005-0000-0000-000084480000}"/>
    <cellStyle name="40% - Accent1 11 2 5 3" xfId="34639" xr:uid="{00000000-0005-0000-0000-000085480000}"/>
    <cellStyle name="40% - Accent1 11 2 6" xfId="15223" xr:uid="{00000000-0005-0000-0000-000086480000}"/>
    <cellStyle name="40% - Accent1 11 2 6 2" xfId="41097" xr:uid="{00000000-0005-0000-0000-000087480000}"/>
    <cellStyle name="40% - Accent1 11 2 7" xfId="28149" xr:uid="{00000000-0005-0000-0000-000088480000}"/>
    <cellStyle name="40% - Accent1 11 2 8" xfId="54011" xr:uid="{00000000-0005-0000-0000-000089480000}"/>
    <cellStyle name="40% - Accent1 11 3" xfId="2663" xr:uid="{00000000-0005-0000-0000-00008A480000}"/>
    <cellStyle name="40% - Accent1 11 3 2" xfId="4320" xr:uid="{00000000-0005-0000-0000-00008B480000}"/>
    <cellStyle name="40% - Accent1 11 3 2 2" xfId="7551" xr:uid="{00000000-0005-0000-0000-00008C480000}"/>
    <cellStyle name="40% - Accent1 11 3 2 2 2" xfId="14010" xr:uid="{00000000-0005-0000-0000-00008D480000}"/>
    <cellStyle name="40% - Accent1 11 3 2 2 2 2" xfId="26927" xr:uid="{00000000-0005-0000-0000-00008E480000}"/>
    <cellStyle name="40% - Accent1 11 3 2 2 2 2 2" xfId="52801" xr:uid="{00000000-0005-0000-0000-00008F480000}"/>
    <cellStyle name="40% - Accent1 11 3 2 2 2 3" xfId="39885" xr:uid="{00000000-0005-0000-0000-000090480000}"/>
    <cellStyle name="40% - Accent1 11 3 2 2 3" xfId="20469" xr:uid="{00000000-0005-0000-0000-000091480000}"/>
    <cellStyle name="40% - Accent1 11 3 2 2 3 2" xfId="46343" xr:uid="{00000000-0005-0000-0000-000092480000}"/>
    <cellStyle name="40% - Accent1 11 3 2 2 4" xfId="33427" xr:uid="{00000000-0005-0000-0000-000093480000}"/>
    <cellStyle name="40% - Accent1 11 3 2 3" xfId="10782" xr:uid="{00000000-0005-0000-0000-000094480000}"/>
    <cellStyle name="40% - Accent1 11 3 2 3 2" xfId="23699" xr:uid="{00000000-0005-0000-0000-000095480000}"/>
    <cellStyle name="40% - Accent1 11 3 2 3 2 2" xfId="49573" xr:uid="{00000000-0005-0000-0000-000096480000}"/>
    <cellStyle name="40% - Accent1 11 3 2 3 3" xfId="36657" xr:uid="{00000000-0005-0000-0000-000097480000}"/>
    <cellStyle name="40% - Accent1 11 3 2 4" xfId="17241" xr:uid="{00000000-0005-0000-0000-000098480000}"/>
    <cellStyle name="40% - Accent1 11 3 2 4 2" xfId="43115" xr:uid="{00000000-0005-0000-0000-000099480000}"/>
    <cellStyle name="40% - Accent1 11 3 2 5" xfId="30167" xr:uid="{00000000-0005-0000-0000-00009A480000}"/>
    <cellStyle name="40% - Accent1 11 3 3" xfId="5937" xr:uid="{00000000-0005-0000-0000-00009B480000}"/>
    <cellStyle name="40% - Accent1 11 3 3 2" xfId="12396" xr:uid="{00000000-0005-0000-0000-00009C480000}"/>
    <cellStyle name="40% - Accent1 11 3 3 2 2" xfId="25313" xr:uid="{00000000-0005-0000-0000-00009D480000}"/>
    <cellStyle name="40% - Accent1 11 3 3 2 2 2" xfId="51187" xr:uid="{00000000-0005-0000-0000-00009E480000}"/>
    <cellStyle name="40% - Accent1 11 3 3 2 3" xfId="38271" xr:uid="{00000000-0005-0000-0000-00009F480000}"/>
    <cellStyle name="40% - Accent1 11 3 3 3" xfId="18855" xr:uid="{00000000-0005-0000-0000-0000A0480000}"/>
    <cellStyle name="40% - Accent1 11 3 3 3 2" xfId="44729" xr:uid="{00000000-0005-0000-0000-0000A1480000}"/>
    <cellStyle name="40% - Accent1 11 3 3 4" xfId="31813" xr:uid="{00000000-0005-0000-0000-0000A2480000}"/>
    <cellStyle name="40% - Accent1 11 3 4" xfId="9168" xr:uid="{00000000-0005-0000-0000-0000A3480000}"/>
    <cellStyle name="40% - Accent1 11 3 4 2" xfId="22085" xr:uid="{00000000-0005-0000-0000-0000A4480000}"/>
    <cellStyle name="40% - Accent1 11 3 4 2 2" xfId="47959" xr:uid="{00000000-0005-0000-0000-0000A5480000}"/>
    <cellStyle name="40% - Accent1 11 3 4 3" xfId="35043" xr:uid="{00000000-0005-0000-0000-0000A6480000}"/>
    <cellStyle name="40% - Accent1 11 3 5" xfId="15627" xr:uid="{00000000-0005-0000-0000-0000A7480000}"/>
    <cellStyle name="40% - Accent1 11 3 5 2" xfId="41501" xr:uid="{00000000-0005-0000-0000-0000A8480000}"/>
    <cellStyle name="40% - Accent1 11 3 6" xfId="28553" xr:uid="{00000000-0005-0000-0000-0000A9480000}"/>
    <cellStyle name="40% - Accent1 11 4" xfId="3490" xr:uid="{00000000-0005-0000-0000-0000AA480000}"/>
    <cellStyle name="40% - Accent1 11 4 2" xfId="6744" xr:uid="{00000000-0005-0000-0000-0000AB480000}"/>
    <cellStyle name="40% - Accent1 11 4 2 2" xfId="13203" xr:uid="{00000000-0005-0000-0000-0000AC480000}"/>
    <cellStyle name="40% - Accent1 11 4 2 2 2" xfId="26120" xr:uid="{00000000-0005-0000-0000-0000AD480000}"/>
    <cellStyle name="40% - Accent1 11 4 2 2 2 2" xfId="51994" xr:uid="{00000000-0005-0000-0000-0000AE480000}"/>
    <cellStyle name="40% - Accent1 11 4 2 2 3" xfId="39078" xr:uid="{00000000-0005-0000-0000-0000AF480000}"/>
    <cellStyle name="40% - Accent1 11 4 2 3" xfId="19662" xr:uid="{00000000-0005-0000-0000-0000B0480000}"/>
    <cellStyle name="40% - Accent1 11 4 2 3 2" xfId="45536" xr:uid="{00000000-0005-0000-0000-0000B1480000}"/>
    <cellStyle name="40% - Accent1 11 4 2 4" xfId="32620" xr:uid="{00000000-0005-0000-0000-0000B2480000}"/>
    <cellStyle name="40% - Accent1 11 4 3" xfId="9975" xr:uid="{00000000-0005-0000-0000-0000B3480000}"/>
    <cellStyle name="40% - Accent1 11 4 3 2" xfId="22892" xr:uid="{00000000-0005-0000-0000-0000B4480000}"/>
    <cellStyle name="40% - Accent1 11 4 3 2 2" xfId="48766" xr:uid="{00000000-0005-0000-0000-0000B5480000}"/>
    <cellStyle name="40% - Accent1 11 4 3 3" xfId="35850" xr:uid="{00000000-0005-0000-0000-0000B6480000}"/>
    <cellStyle name="40% - Accent1 11 4 4" xfId="16434" xr:uid="{00000000-0005-0000-0000-0000B7480000}"/>
    <cellStyle name="40% - Accent1 11 4 4 2" xfId="42308" xr:uid="{00000000-0005-0000-0000-0000B8480000}"/>
    <cellStyle name="40% - Accent1 11 4 5" xfId="29360" xr:uid="{00000000-0005-0000-0000-0000B9480000}"/>
    <cellStyle name="40% - Accent1 11 5" xfId="5130" xr:uid="{00000000-0005-0000-0000-0000BA480000}"/>
    <cellStyle name="40% - Accent1 11 5 2" xfId="11589" xr:uid="{00000000-0005-0000-0000-0000BB480000}"/>
    <cellStyle name="40% - Accent1 11 5 2 2" xfId="24506" xr:uid="{00000000-0005-0000-0000-0000BC480000}"/>
    <cellStyle name="40% - Accent1 11 5 2 2 2" xfId="50380" xr:uid="{00000000-0005-0000-0000-0000BD480000}"/>
    <cellStyle name="40% - Accent1 11 5 2 3" xfId="37464" xr:uid="{00000000-0005-0000-0000-0000BE480000}"/>
    <cellStyle name="40% - Accent1 11 5 3" xfId="18048" xr:uid="{00000000-0005-0000-0000-0000BF480000}"/>
    <cellStyle name="40% - Accent1 11 5 3 2" xfId="43922" xr:uid="{00000000-0005-0000-0000-0000C0480000}"/>
    <cellStyle name="40% - Accent1 11 5 4" xfId="31006" xr:uid="{00000000-0005-0000-0000-0000C1480000}"/>
    <cellStyle name="40% - Accent1 11 6" xfId="8360" xr:uid="{00000000-0005-0000-0000-0000C2480000}"/>
    <cellStyle name="40% - Accent1 11 6 2" xfId="21277" xr:uid="{00000000-0005-0000-0000-0000C3480000}"/>
    <cellStyle name="40% - Accent1 11 6 2 2" xfId="47151" xr:uid="{00000000-0005-0000-0000-0000C4480000}"/>
    <cellStyle name="40% - Accent1 11 6 3" xfId="34235" xr:uid="{00000000-0005-0000-0000-0000C5480000}"/>
    <cellStyle name="40% - Accent1 11 7" xfId="14819" xr:uid="{00000000-0005-0000-0000-0000C6480000}"/>
    <cellStyle name="40% - Accent1 11 7 2" xfId="40693" xr:uid="{00000000-0005-0000-0000-0000C7480000}"/>
    <cellStyle name="40% - Accent1 11 8" xfId="27745" xr:uid="{00000000-0005-0000-0000-0000C8480000}"/>
    <cellStyle name="40% - Accent1 11 9" xfId="53608" xr:uid="{00000000-0005-0000-0000-0000C9480000}"/>
    <cellStyle name="40% - Accent1 12" xfId="2039" xr:uid="{00000000-0005-0000-0000-0000CA480000}"/>
    <cellStyle name="40% - Accent1 12 2" xfId="2448" xr:uid="{00000000-0005-0000-0000-0000CB480000}"/>
    <cellStyle name="40% - Accent1 12 2 2" xfId="3261" xr:uid="{00000000-0005-0000-0000-0000CC480000}"/>
    <cellStyle name="40% - Accent1 12 2 2 2" xfId="4918" xr:uid="{00000000-0005-0000-0000-0000CD480000}"/>
    <cellStyle name="40% - Accent1 12 2 2 2 2" xfId="8149" xr:uid="{00000000-0005-0000-0000-0000CE480000}"/>
    <cellStyle name="40% - Accent1 12 2 2 2 2 2" xfId="14608" xr:uid="{00000000-0005-0000-0000-0000CF480000}"/>
    <cellStyle name="40% - Accent1 12 2 2 2 2 2 2" xfId="27525" xr:uid="{00000000-0005-0000-0000-0000D0480000}"/>
    <cellStyle name="40% - Accent1 12 2 2 2 2 2 2 2" xfId="53399" xr:uid="{00000000-0005-0000-0000-0000D1480000}"/>
    <cellStyle name="40% - Accent1 12 2 2 2 2 2 3" xfId="40483" xr:uid="{00000000-0005-0000-0000-0000D2480000}"/>
    <cellStyle name="40% - Accent1 12 2 2 2 2 3" xfId="21067" xr:uid="{00000000-0005-0000-0000-0000D3480000}"/>
    <cellStyle name="40% - Accent1 12 2 2 2 2 3 2" xfId="46941" xr:uid="{00000000-0005-0000-0000-0000D4480000}"/>
    <cellStyle name="40% - Accent1 12 2 2 2 2 4" xfId="34025" xr:uid="{00000000-0005-0000-0000-0000D5480000}"/>
    <cellStyle name="40% - Accent1 12 2 2 2 3" xfId="11380" xr:uid="{00000000-0005-0000-0000-0000D6480000}"/>
    <cellStyle name="40% - Accent1 12 2 2 2 3 2" xfId="24297" xr:uid="{00000000-0005-0000-0000-0000D7480000}"/>
    <cellStyle name="40% - Accent1 12 2 2 2 3 2 2" xfId="50171" xr:uid="{00000000-0005-0000-0000-0000D8480000}"/>
    <cellStyle name="40% - Accent1 12 2 2 2 3 3" xfId="37255" xr:uid="{00000000-0005-0000-0000-0000D9480000}"/>
    <cellStyle name="40% - Accent1 12 2 2 2 4" xfId="17839" xr:uid="{00000000-0005-0000-0000-0000DA480000}"/>
    <cellStyle name="40% - Accent1 12 2 2 2 4 2" xfId="43713" xr:uid="{00000000-0005-0000-0000-0000DB480000}"/>
    <cellStyle name="40% - Accent1 12 2 2 2 5" xfId="30765" xr:uid="{00000000-0005-0000-0000-0000DC480000}"/>
    <cellStyle name="40% - Accent1 12 2 2 3" xfId="6535" xr:uid="{00000000-0005-0000-0000-0000DD480000}"/>
    <cellStyle name="40% - Accent1 12 2 2 3 2" xfId="12994" xr:uid="{00000000-0005-0000-0000-0000DE480000}"/>
    <cellStyle name="40% - Accent1 12 2 2 3 2 2" xfId="25911" xr:uid="{00000000-0005-0000-0000-0000DF480000}"/>
    <cellStyle name="40% - Accent1 12 2 2 3 2 2 2" xfId="51785" xr:uid="{00000000-0005-0000-0000-0000E0480000}"/>
    <cellStyle name="40% - Accent1 12 2 2 3 2 3" xfId="38869" xr:uid="{00000000-0005-0000-0000-0000E1480000}"/>
    <cellStyle name="40% - Accent1 12 2 2 3 3" xfId="19453" xr:uid="{00000000-0005-0000-0000-0000E2480000}"/>
    <cellStyle name="40% - Accent1 12 2 2 3 3 2" xfId="45327" xr:uid="{00000000-0005-0000-0000-0000E3480000}"/>
    <cellStyle name="40% - Accent1 12 2 2 3 4" xfId="32411" xr:uid="{00000000-0005-0000-0000-0000E4480000}"/>
    <cellStyle name="40% - Accent1 12 2 2 4" xfId="9766" xr:uid="{00000000-0005-0000-0000-0000E5480000}"/>
    <cellStyle name="40% - Accent1 12 2 2 4 2" xfId="22683" xr:uid="{00000000-0005-0000-0000-0000E6480000}"/>
    <cellStyle name="40% - Accent1 12 2 2 4 2 2" xfId="48557" xr:uid="{00000000-0005-0000-0000-0000E7480000}"/>
    <cellStyle name="40% - Accent1 12 2 2 4 3" xfId="35641" xr:uid="{00000000-0005-0000-0000-0000E8480000}"/>
    <cellStyle name="40% - Accent1 12 2 2 5" xfId="16225" xr:uid="{00000000-0005-0000-0000-0000E9480000}"/>
    <cellStyle name="40% - Accent1 12 2 2 5 2" xfId="42099" xr:uid="{00000000-0005-0000-0000-0000EA480000}"/>
    <cellStyle name="40% - Accent1 12 2 2 6" xfId="29151" xr:uid="{00000000-0005-0000-0000-0000EB480000}"/>
    <cellStyle name="40% - Accent1 12 2 3" xfId="4088" xr:uid="{00000000-0005-0000-0000-0000EC480000}"/>
    <cellStyle name="40% - Accent1 12 2 3 2" xfId="7342" xr:uid="{00000000-0005-0000-0000-0000ED480000}"/>
    <cellStyle name="40% - Accent1 12 2 3 2 2" xfId="13801" xr:uid="{00000000-0005-0000-0000-0000EE480000}"/>
    <cellStyle name="40% - Accent1 12 2 3 2 2 2" xfId="26718" xr:uid="{00000000-0005-0000-0000-0000EF480000}"/>
    <cellStyle name="40% - Accent1 12 2 3 2 2 2 2" xfId="52592" xr:uid="{00000000-0005-0000-0000-0000F0480000}"/>
    <cellStyle name="40% - Accent1 12 2 3 2 2 3" xfId="39676" xr:uid="{00000000-0005-0000-0000-0000F1480000}"/>
    <cellStyle name="40% - Accent1 12 2 3 2 3" xfId="20260" xr:uid="{00000000-0005-0000-0000-0000F2480000}"/>
    <cellStyle name="40% - Accent1 12 2 3 2 3 2" xfId="46134" xr:uid="{00000000-0005-0000-0000-0000F3480000}"/>
    <cellStyle name="40% - Accent1 12 2 3 2 4" xfId="33218" xr:uid="{00000000-0005-0000-0000-0000F4480000}"/>
    <cellStyle name="40% - Accent1 12 2 3 3" xfId="10573" xr:uid="{00000000-0005-0000-0000-0000F5480000}"/>
    <cellStyle name="40% - Accent1 12 2 3 3 2" xfId="23490" xr:uid="{00000000-0005-0000-0000-0000F6480000}"/>
    <cellStyle name="40% - Accent1 12 2 3 3 2 2" xfId="49364" xr:uid="{00000000-0005-0000-0000-0000F7480000}"/>
    <cellStyle name="40% - Accent1 12 2 3 3 3" xfId="36448" xr:uid="{00000000-0005-0000-0000-0000F8480000}"/>
    <cellStyle name="40% - Accent1 12 2 3 4" xfId="17032" xr:uid="{00000000-0005-0000-0000-0000F9480000}"/>
    <cellStyle name="40% - Accent1 12 2 3 4 2" xfId="42906" xr:uid="{00000000-0005-0000-0000-0000FA480000}"/>
    <cellStyle name="40% - Accent1 12 2 3 5" xfId="29958" xr:uid="{00000000-0005-0000-0000-0000FB480000}"/>
    <cellStyle name="40% - Accent1 12 2 4" xfId="5728" xr:uid="{00000000-0005-0000-0000-0000FC480000}"/>
    <cellStyle name="40% - Accent1 12 2 4 2" xfId="12187" xr:uid="{00000000-0005-0000-0000-0000FD480000}"/>
    <cellStyle name="40% - Accent1 12 2 4 2 2" xfId="25104" xr:uid="{00000000-0005-0000-0000-0000FE480000}"/>
    <cellStyle name="40% - Accent1 12 2 4 2 2 2" xfId="50978" xr:uid="{00000000-0005-0000-0000-0000FF480000}"/>
    <cellStyle name="40% - Accent1 12 2 4 2 3" xfId="38062" xr:uid="{00000000-0005-0000-0000-000000490000}"/>
    <cellStyle name="40% - Accent1 12 2 4 3" xfId="18646" xr:uid="{00000000-0005-0000-0000-000001490000}"/>
    <cellStyle name="40% - Accent1 12 2 4 3 2" xfId="44520" xr:uid="{00000000-0005-0000-0000-000002490000}"/>
    <cellStyle name="40% - Accent1 12 2 4 4" xfId="31604" xr:uid="{00000000-0005-0000-0000-000003490000}"/>
    <cellStyle name="40% - Accent1 12 2 5" xfId="8959" xr:uid="{00000000-0005-0000-0000-000004490000}"/>
    <cellStyle name="40% - Accent1 12 2 5 2" xfId="21876" xr:uid="{00000000-0005-0000-0000-000005490000}"/>
    <cellStyle name="40% - Accent1 12 2 5 2 2" xfId="47750" xr:uid="{00000000-0005-0000-0000-000006490000}"/>
    <cellStyle name="40% - Accent1 12 2 5 3" xfId="34834" xr:uid="{00000000-0005-0000-0000-000007490000}"/>
    <cellStyle name="40% - Accent1 12 2 6" xfId="15418" xr:uid="{00000000-0005-0000-0000-000008490000}"/>
    <cellStyle name="40% - Accent1 12 2 6 2" xfId="41292" xr:uid="{00000000-0005-0000-0000-000009490000}"/>
    <cellStyle name="40% - Accent1 12 2 7" xfId="28344" xr:uid="{00000000-0005-0000-0000-00000A490000}"/>
    <cellStyle name="40% - Accent1 12 2 8" xfId="54206" xr:uid="{00000000-0005-0000-0000-00000B490000}"/>
    <cellStyle name="40% - Accent1 12 3" xfId="2857" xr:uid="{00000000-0005-0000-0000-00000C490000}"/>
    <cellStyle name="40% - Accent1 12 3 2" xfId="4514" xr:uid="{00000000-0005-0000-0000-00000D490000}"/>
    <cellStyle name="40% - Accent1 12 3 2 2" xfId="7745" xr:uid="{00000000-0005-0000-0000-00000E490000}"/>
    <cellStyle name="40% - Accent1 12 3 2 2 2" xfId="14204" xr:uid="{00000000-0005-0000-0000-00000F490000}"/>
    <cellStyle name="40% - Accent1 12 3 2 2 2 2" xfId="27121" xr:uid="{00000000-0005-0000-0000-000010490000}"/>
    <cellStyle name="40% - Accent1 12 3 2 2 2 2 2" xfId="52995" xr:uid="{00000000-0005-0000-0000-000011490000}"/>
    <cellStyle name="40% - Accent1 12 3 2 2 2 3" xfId="40079" xr:uid="{00000000-0005-0000-0000-000012490000}"/>
    <cellStyle name="40% - Accent1 12 3 2 2 3" xfId="20663" xr:uid="{00000000-0005-0000-0000-000013490000}"/>
    <cellStyle name="40% - Accent1 12 3 2 2 3 2" xfId="46537" xr:uid="{00000000-0005-0000-0000-000014490000}"/>
    <cellStyle name="40% - Accent1 12 3 2 2 4" xfId="33621" xr:uid="{00000000-0005-0000-0000-000015490000}"/>
    <cellStyle name="40% - Accent1 12 3 2 3" xfId="10976" xr:uid="{00000000-0005-0000-0000-000016490000}"/>
    <cellStyle name="40% - Accent1 12 3 2 3 2" xfId="23893" xr:uid="{00000000-0005-0000-0000-000017490000}"/>
    <cellStyle name="40% - Accent1 12 3 2 3 2 2" xfId="49767" xr:uid="{00000000-0005-0000-0000-000018490000}"/>
    <cellStyle name="40% - Accent1 12 3 2 3 3" xfId="36851" xr:uid="{00000000-0005-0000-0000-000019490000}"/>
    <cellStyle name="40% - Accent1 12 3 2 4" xfId="17435" xr:uid="{00000000-0005-0000-0000-00001A490000}"/>
    <cellStyle name="40% - Accent1 12 3 2 4 2" xfId="43309" xr:uid="{00000000-0005-0000-0000-00001B490000}"/>
    <cellStyle name="40% - Accent1 12 3 2 5" xfId="30361" xr:uid="{00000000-0005-0000-0000-00001C490000}"/>
    <cellStyle name="40% - Accent1 12 3 3" xfId="6131" xr:uid="{00000000-0005-0000-0000-00001D490000}"/>
    <cellStyle name="40% - Accent1 12 3 3 2" xfId="12590" xr:uid="{00000000-0005-0000-0000-00001E490000}"/>
    <cellStyle name="40% - Accent1 12 3 3 2 2" xfId="25507" xr:uid="{00000000-0005-0000-0000-00001F490000}"/>
    <cellStyle name="40% - Accent1 12 3 3 2 2 2" xfId="51381" xr:uid="{00000000-0005-0000-0000-000020490000}"/>
    <cellStyle name="40% - Accent1 12 3 3 2 3" xfId="38465" xr:uid="{00000000-0005-0000-0000-000021490000}"/>
    <cellStyle name="40% - Accent1 12 3 3 3" xfId="19049" xr:uid="{00000000-0005-0000-0000-000022490000}"/>
    <cellStyle name="40% - Accent1 12 3 3 3 2" xfId="44923" xr:uid="{00000000-0005-0000-0000-000023490000}"/>
    <cellStyle name="40% - Accent1 12 3 3 4" xfId="32007" xr:uid="{00000000-0005-0000-0000-000024490000}"/>
    <cellStyle name="40% - Accent1 12 3 4" xfId="9362" xr:uid="{00000000-0005-0000-0000-000025490000}"/>
    <cellStyle name="40% - Accent1 12 3 4 2" xfId="22279" xr:uid="{00000000-0005-0000-0000-000026490000}"/>
    <cellStyle name="40% - Accent1 12 3 4 2 2" xfId="48153" xr:uid="{00000000-0005-0000-0000-000027490000}"/>
    <cellStyle name="40% - Accent1 12 3 4 3" xfId="35237" xr:uid="{00000000-0005-0000-0000-000028490000}"/>
    <cellStyle name="40% - Accent1 12 3 5" xfId="15821" xr:uid="{00000000-0005-0000-0000-000029490000}"/>
    <cellStyle name="40% - Accent1 12 3 5 2" xfId="41695" xr:uid="{00000000-0005-0000-0000-00002A490000}"/>
    <cellStyle name="40% - Accent1 12 3 6" xfId="28747" xr:uid="{00000000-0005-0000-0000-00002B490000}"/>
    <cellStyle name="40% - Accent1 12 4" xfId="3684" xr:uid="{00000000-0005-0000-0000-00002C490000}"/>
    <cellStyle name="40% - Accent1 12 4 2" xfId="6938" xr:uid="{00000000-0005-0000-0000-00002D490000}"/>
    <cellStyle name="40% - Accent1 12 4 2 2" xfId="13397" xr:uid="{00000000-0005-0000-0000-00002E490000}"/>
    <cellStyle name="40% - Accent1 12 4 2 2 2" xfId="26314" xr:uid="{00000000-0005-0000-0000-00002F490000}"/>
    <cellStyle name="40% - Accent1 12 4 2 2 2 2" xfId="52188" xr:uid="{00000000-0005-0000-0000-000030490000}"/>
    <cellStyle name="40% - Accent1 12 4 2 2 3" xfId="39272" xr:uid="{00000000-0005-0000-0000-000031490000}"/>
    <cellStyle name="40% - Accent1 12 4 2 3" xfId="19856" xr:uid="{00000000-0005-0000-0000-000032490000}"/>
    <cellStyle name="40% - Accent1 12 4 2 3 2" xfId="45730" xr:uid="{00000000-0005-0000-0000-000033490000}"/>
    <cellStyle name="40% - Accent1 12 4 2 4" xfId="32814" xr:uid="{00000000-0005-0000-0000-000034490000}"/>
    <cellStyle name="40% - Accent1 12 4 3" xfId="10169" xr:uid="{00000000-0005-0000-0000-000035490000}"/>
    <cellStyle name="40% - Accent1 12 4 3 2" xfId="23086" xr:uid="{00000000-0005-0000-0000-000036490000}"/>
    <cellStyle name="40% - Accent1 12 4 3 2 2" xfId="48960" xr:uid="{00000000-0005-0000-0000-000037490000}"/>
    <cellStyle name="40% - Accent1 12 4 3 3" xfId="36044" xr:uid="{00000000-0005-0000-0000-000038490000}"/>
    <cellStyle name="40% - Accent1 12 4 4" xfId="16628" xr:uid="{00000000-0005-0000-0000-000039490000}"/>
    <cellStyle name="40% - Accent1 12 4 4 2" xfId="42502" xr:uid="{00000000-0005-0000-0000-00003A490000}"/>
    <cellStyle name="40% - Accent1 12 4 5" xfId="29554" xr:uid="{00000000-0005-0000-0000-00003B490000}"/>
    <cellStyle name="40% - Accent1 12 5" xfId="5324" xr:uid="{00000000-0005-0000-0000-00003C490000}"/>
    <cellStyle name="40% - Accent1 12 5 2" xfId="11783" xr:uid="{00000000-0005-0000-0000-00003D490000}"/>
    <cellStyle name="40% - Accent1 12 5 2 2" xfId="24700" xr:uid="{00000000-0005-0000-0000-00003E490000}"/>
    <cellStyle name="40% - Accent1 12 5 2 2 2" xfId="50574" xr:uid="{00000000-0005-0000-0000-00003F490000}"/>
    <cellStyle name="40% - Accent1 12 5 2 3" xfId="37658" xr:uid="{00000000-0005-0000-0000-000040490000}"/>
    <cellStyle name="40% - Accent1 12 5 3" xfId="18242" xr:uid="{00000000-0005-0000-0000-000041490000}"/>
    <cellStyle name="40% - Accent1 12 5 3 2" xfId="44116" xr:uid="{00000000-0005-0000-0000-000042490000}"/>
    <cellStyle name="40% - Accent1 12 5 4" xfId="31200" xr:uid="{00000000-0005-0000-0000-000043490000}"/>
    <cellStyle name="40% - Accent1 12 6" xfId="8555" xr:uid="{00000000-0005-0000-0000-000044490000}"/>
    <cellStyle name="40% - Accent1 12 6 2" xfId="21472" xr:uid="{00000000-0005-0000-0000-000045490000}"/>
    <cellStyle name="40% - Accent1 12 6 2 2" xfId="47346" xr:uid="{00000000-0005-0000-0000-000046490000}"/>
    <cellStyle name="40% - Accent1 12 6 3" xfId="34430" xr:uid="{00000000-0005-0000-0000-000047490000}"/>
    <cellStyle name="40% - Accent1 12 7" xfId="15014" xr:uid="{00000000-0005-0000-0000-000048490000}"/>
    <cellStyle name="40% - Accent1 12 7 2" xfId="40888" xr:uid="{00000000-0005-0000-0000-000049490000}"/>
    <cellStyle name="40% - Accent1 12 8" xfId="27940" xr:uid="{00000000-0005-0000-0000-00004A490000}"/>
    <cellStyle name="40% - Accent1 12 9" xfId="53802" xr:uid="{00000000-0005-0000-0000-00004B490000}"/>
    <cellStyle name="40% - Accent1 13" xfId="2053" xr:uid="{00000000-0005-0000-0000-00004C490000}"/>
    <cellStyle name="40% - Accent1 13 2" xfId="2871" xr:uid="{00000000-0005-0000-0000-00004D490000}"/>
    <cellStyle name="40% - Accent1 13 2 2" xfId="4528" xr:uid="{00000000-0005-0000-0000-00004E490000}"/>
    <cellStyle name="40% - Accent1 13 2 2 2" xfId="7759" xr:uid="{00000000-0005-0000-0000-00004F490000}"/>
    <cellStyle name="40% - Accent1 13 2 2 2 2" xfId="14218" xr:uid="{00000000-0005-0000-0000-000050490000}"/>
    <cellStyle name="40% - Accent1 13 2 2 2 2 2" xfId="27135" xr:uid="{00000000-0005-0000-0000-000051490000}"/>
    <cellStyle name="40% - Accent1 13 2 2 2 2 2 2" xfId="53009" xr:uid="{00000000-0005-0000-0000-000052490000}"/>
    <cellStyle name="40% - Accent1 13 2 2 2 2 3" xfId="40093" xr:uid="{00000000-0005-0000-0000-000053490000}"/>
    <cellStyle name="40% - Accent1 13 2 2 2 3" xfId="20677" xr:uid="{00000000-0005-0000-0000-000054490000}"/>
    <cellStyle name="40% - Accent1 13 2 2 2 3 2" xfId="46551" xr:uid="{00000000-0005-0000-0000-000055490000}"/>
    <cellStyle name="40% - Accent1 13 2 2 2 4" xfId="33635" xr:uid="{00000000-0005-0000-0000-000056490000}"/>
    <cellStyle name="40% - Accent1 13 2 2 3" xfId="10990" xr:uid="{00000000-0005-0000-0000-000057490000}"/>
    <cellStyle name="40% - Accent1 13 2 2 3 2" xfId="23907" xr:uid="{00000000-0005-0000-0000-000058490000}"/>
    <cellStyle name="40% - Accent1 13 2 2 3 2 2" xfId="49781" xr:uid="{00000000-0005-0000-0000-000059490000}"/>
    <cellStyle name="40% - Accent1 13 2 2 3 3" xfId="36865" xr:uid="{00000000-0005-0000-0000-00005A490000}"/>
    <cellStyle name="40% - Accent1 13 2 2 4" xfId="17449" xr:uid="{00000000-0005-0000-0000-00005B490000}"/>
    <cellStyle name="40% - Accent1 13 2 2 4 2" xfId="43323" xr:uid="{00000000-0005-0000-0000-00005C490000}"/>
    <cellStyle name="40% - Accent1 13 2 2 5" xfId="30375" xr:uid="{00000000-0005-0000-0000-00005D490000}"/>
    <cellStyle name="40% - Accent1 13 2 3" xfId="6145" xr:uid="{00000000-0005-0000-0000-00005E490000}"/>
    <cellStyle name="40% - Accent1 13 2 3 2" xfId="12604" xr:uid="{00000000-0005-0000-0000-00005F490000}"/>
    <cellStyle name="40% - Accent1 13 2 3 2 2" xfId="25521" xr:uid="{00000000-0005-0000-0000-000060490000}"/>
    <cellStyle name="40% - Accent1 13 2 3 2 2 2" xfId="51395" xr:uid="{00000000-0005-0000-0000-000061490000}"/>
    <cellStyle name="40% - Accent1 13 2 3 2 3" xfId="38479" xr:uid="{00000000-0005-0000-0000-000062490000}"/>
    <cellStyle name="40% - Accent1 13 2 3 3" xfId="19063" xr:uid="{00000000-0005-0000-0000-000063490000}"/>
    <cellStyle name="40% - Accent1 13 2 3 3 2" xfId="44937" xr:uid="{00000000-0005-0000-0000-000064490000}"/>
    <cellStyle name="40% - Accent1 13 2 3 4" xfId="32021" xr:uid="{00000000-0005-0000-0000-000065490000}"/>
    <cellStyle name="40% - Accent1 13 2 4" xfId="9376" xr:uid="{00000000-0005-0000-0000-000066490000}"/>
    <cellStyle name="40% - Accent1 13 2 4 2" xfId="22293" xr:uid="{00000000-0005-0000-0000-000067490000}"/>
    <cellStyle name="40% - Accent1 13 2 4 2 2" xfId="48167" xr:uid="{00000000-0005-0000-0000-000068490000}"/>
    <cellStyle name="40% - Accent1 13 2 4 3" xfId="35251" xr:uid="{00000000-0005-0000-0000-000069490000}"/>
    <cellStyle name="40% - Accent1 13 2 5" xfId="15835" xr:uid="{00000000-0005-0000-0000-00006A490000}"/>
    <cellStyle name="40% - Accent1 13 2 5 2" xfId="41709" xr:uid="{00000000-0005-0000-0000-00006B490000}"/>
    <cellStyle name="40% - Accent1 13 2 6" xfId="28761" xr:uid="{00000000-0005-0000-0000-00006C490000}"/>
    <cellStyle name="40% - Accent1 13 3" xfId="3698" xr:uid="{00000000-0005-0000-0000-00006D490000}"/>
    <cellStyle name="40% - Accent1 13 3 2" xfId="6952" xr:uid="{00000000-0005-0000-0000-00006E490000}"/>
    <cellStyle name="40% - Accent1 13 3 2 2" xfId="13411" xr:uid="{00000000-0005-0000-0000-00006F490000}"/>
    <cellStyle name="40% - Accent1 13 3 2 2 2" xfId="26328" xr:uid="{00000000-0005-0000-0000-000070490000}"/>
    <cellStyle name="40% - Accent1 13 3 2 2 2 2" xfId="52202" xr:uid="{00000000-0005-0000-0000-000071490000}"/>
    <cellStyle name="40% - Accent1 13 3 2 2 3" xfId="39286" xr:uid="{00000000-0005-0000-0000-000072490000}"/>
    <cellStyle name="40% - Accent1 13 3 2 3" xfId="19870" xr:uid="{00000000-0005-0000-0000-000073490000}"/>
    <cellStyle name="40% - Accent1 13 3 2 3 2" xfId="45744" xr:uid="{00000000-0005-0000-0000-000074490000}"/>
    <cellStyle name="40% - Accent1 13 3 2 4" xfId="32828" xr:uid="{00000000-0005-0000-0000-000075490000}"/>
    <cellStyle name="40% - Accent1 13 3 3" xfId="10183" xr:uid="{00000000-0005-0000-0000-000076490000}"/>
    <cellStyle name="40% - Accent1 13 3 3 2" xfId="23100" xr:uid="{00000000-0005-0000-0000-000077490000}"/>
    <cellStyle name="40% - Accent1 13 3 3 2 2" xfId="48974" xr:uid="{00000000-0005-0000-0000-000078490000}"/>
    <cellStyle name="40% - Accent1 13 3 3 3" xfId="36058" xr:uid="{00000000-0005-0000-0000-000079490000}"/>
    <cellStyle name="40% - Accent1 13 3 4" xfId="16642" xr:uid="{00000000-0005-0000-0000-00007A490000}"/>
    <cellStyle name="40% - Accent1 13 3 4 2" xfId="42516" xr:uid="{00000000-0005-0000-0000-00007B490000}"/>
    <cellStyle name="40% - Accent1 13 3 5" xfId="29568" xr:uid="{00000000-0005-0000-0000-00007C490000}"/>
    <cellStyle name="40% - Accent1 13 4" xfId="5338" xr:uid="{00000000-0005-0000-0000-00007D490000}"/>
    <cellStyle name="40% - Accent1 13 4 2" xfId="11797" xr:uid="{00000000-0005-0000-0000-00007E490000}"/>
    <cellStyle name="40% - Accent1 13 4 2 2" xfId="24714" xr:uid="{00000000-0005-0000-0000-00007F490000}"/>
    <cellStyle name="40% - Accent1 13 4 2 2 2" xfId="50588" xr:uid="{00000000-0005-0000-0000-000080490000}"/>
    <cellStyle name="40% - Accent1 13 4 2 3" xfId="37672" xr:uid="{00000000-0005-0000-0000-000081490000}"/>
    <cellStyle name="40% - Accent1 13 4 3" xfId="18256" xr:uid="{00000000-0005-0000-0000-000082490000}"/>
    <cellStyle name="40% - Accent1 13 4 3 2" xfId="44130" xr:uid="{00000000-0005-0000-0000-000083490000}"/>
    <cellStyle name="40% - Accent1 13 4 4" xfId="31214" xr:uid="{00000000-0005-0000-0000-000084490000}"/>
    <cellStyle name="40% - Accent1 13 5" xfId="8569" xr:uid="{00000000-0005-0000-0000-000085490000}"/>
    <cellStyle name="40% - Accent1 13 5 2" xfId="21486" xr:uid="{00000000-0005-0000-0000-000086490000}"/>
    <cellStyle name="40% - Accent1 13 5 2 2" xfId="47360" xr:uid="{00000000-0005-0000-0000-000087490000}"/>
    <cellStyle name="40% - Accent1 13 5 3" xfId="34444" xr:uid="{00000000-0005-0000-0000-000088490000}"/>
    <cellStyle name="40% - Accent1 13 6" xfId="15028" xr:uid="{00000000-0005-0000-0000-000089490000}"/>
    <cellStyle name="40% - Accent1 13 6 2" xfId="40902" xr:uid="{00000000-0005-0000-0000-00008A490000}"/>
    <cellStyle name="40% - Accent1 13 7" xfId="27954" xr:uid="{00000000-0005-0000-0000-00008B490000}"/>
    <cellStyle name="40% - Accent1 13 8" xfId="53816" xr:uid="{00000000-0005-0000-0000-00008C490000}"/>
    <cellStyle name="40% - Accent1 14" xfId="2468" xr:uid="{00000000-0005-0000-0000-00008D490000}"/>
    <cellStyle name="40% - Accent1 14 2" xfId="4125" xr:uid="{00000000-0005-0000-0000-00008E490000}"/>
    <cellStyle name="40% - Accent1 14 2 2" xfId="7356" xr:uid="{00000000-0005-0000-0000-00008F490000}"/>
    <cellStyle name="40% - Accent1 14 2 2 2" xfId="13815" xr:uid="{00000000-0005-0000-0000-000090490000}"/>
    <cellStyle name="40% - Accent1 14 2 2 2 2" xfId="26732" xr:uid="{00000000-0005-0000-0000-000091490000}"/>
    <cellStyle name="40% - Accent1 14 2 2 2 2 2" xfId="52606" xr:uid="{00000000-0005-0000-0000-000092490000}"/>
    <cellStyle name="40% - Accent1 14 2 2 2 3" xfId="39690" xr:uid="{00000000-0005-0000-0000-000093490000}"/>
    <cellStyle name="40% - Accent1 14 2 2 3" xfId="20274" xr:uid="{00000000-0005-0000-0000-000094490000}"/>
    <cellStyle name="40% - Accent1 14 2 2 3 2" xfId="46148" xr:uid="{00000000-0005-0000-0000-000095490000}"/>
    <cellStyle name="40% - Accent1 14 2 2 4" xfId="33232" xr:uid="{00000000-0005-0000-0000-000096490000}"/>
    <cellStyle name="40% - Accent1 14 2 3" xfId="10587" xr:uid="{00000000-0005-0000-0000-000097490000}"/>
    <cellStyle name="40% - Accent1 14 2 3 2" xfId="23504" xr:uid="{00000000-0005-0000-0000-000098490000}"/>
    <cellStyle name="40% - Accent1 14 2 3 2 2" xfId="49378" xr:uid="{00000000-0005-0000-0000-000099490000}"/>
    <cellStyle name="40% - Accent1 14 2 3 3" xfId="36462" xr:uid="{00000000-0005-0000-0000-00009A490000}"/>
    <cellStyle name="40% - Accent1 14 2 4" xfId="17046" xr:uid="{00000000-0005-0000-0000-00009B490000}"/>
    <cellStyle name="40% - Accent1 14 2 4 2" xfId="42920" xr:uid="{00000000-0005-0000-0000-00009C490000}"/>
    <cellStyle name="40% - Accent1 14 2 5" xfId="29972" xr:uid="{00000000-0005-0000-0000-00009D490000}"/>
    <cellStyle name="40% - Accent1 14 3" xfId="5742" xr:uid="{00000000-0005-0000-0000-00009E490000}"/>
    <cellStyle name="40% - Accent1 14 3 2" xfId="12201" xr:uid="{00000000-0005-0000-0000-00009F490000}"/>
    <cellStyle name="40% - Accent1 14 3 2 2" xfId="25118" xr:uid="{00000000-0005-0000-0000-0000A0490000}"/>
    <cellStyle name="40% - Accent1 14 3 2 2 2" xfId="50992" xr:uid="{00000000-0005-0000-0000-0000A1490000}"/>
    <cellStyle name="40% - Accent1 14 3 2 3" xfId="38076" xr:uid="{00000000-0005-0000-0000-0000A2490000}"/>
    <cellStyle name="40% - Accent1 14 3 3" xfId="18660" xr:uid="{00000000-0005-0000-0000-0000A3490000}"/>
    <cellStyle name="40% - Accent1 14 3 3 2" xfId="44534" xr:uid="{00000000-0005-0000-0000-0000A4490000}"/>
    <cellStyle name="40% - Accent1 14 3 4" xfId="31618" xr:uid="{00000000-0005-0000-0000-0000A5490000}"/>
    <cellStyle name="40% - Accent1 14 4" xfId="8973" xr:uid="{00000000-0005-0000-0000-0000A6490000}"/>
    <cellStyle name="40% - Accent1 14 4 2" xfId="21890" xr:uid="{00000000-0005-0000-0000-0000A7490000}"/>
    <cellStyle name="40% - Accent1 14 4 2 2" xfId="47764" xr:uid="{00000000-0005-0000-0000-0000A8490000}"/>
    <cellStyle name="40% - Accent1 14 4 3" xfId="34848" xr:uid="{00000000-0005-0000-0000-0000A9490000}"/>
    <cellStyle name="40% - Accent1 14 5" xfId="15432" xr:uid="{00000000-0005-0000-0000-0000AA490000}"/>
    <cellStyle name="40% - Accent1 14 5 2" xfId="41306" xr:uid="{00000000-0005-0000-0000-0000AB490000}"/>
    <cellStyle name="40% - Accent1 14 6" xfId="28358" xr:uid="{00000000-0005-0000-0000-0000AC490000}"/>
    <cellStyle name="40% - Accent1 15" xfId="3277" xr:uid="{00000000-0005-0000-0000-0000AD490000}"/>
    <cellStyle name="40% - Accent1 15 2" xfId="6549" xr:uid="{00000000-0005-0000-0000-0000AE490000}"/>
    <cellStyle name="40% - Accent1 15 2 2" xfId="13008" xr:uid="{00000000-0005-0000-0000-0000AF490000}"/>
    <cellStyle name="40% - Accent1 15 2 2 2" xfId="25925" xr:uid="{00000000-0005-0000-0000-0000B0490000}"/>
    <cellStyle name="40% - Accent1 15 2 2 2 2" xfId="51799" xr:uid="{00000000-0005-0000-0000-0000B1490000}"/>
    <cellStyle name="40% - Accent1 15 2 2 3" xfId="38883" xr:uid="{00000000-0005-0000-0000-0000B2490000}"/>
    <cellStyle name="40% - Accent1 15 2 3" xfId="19467" xr:uid="{00000000-0005-0000-0000-0000B3490000}"/>
    <cellStyle name="40% - Accent1 15 2 3 2" xfId="45341" xr:uid="{00000000-0005-0000-0000-0000B4490000}"/>
    <cellStyle name="40% - Accent1 15 2 4" xfId="32425" xr:uid="{00000000-0005-0000-0000-0000B5490000}"/>
    <cellStyle name="40% - Accent1 15 3" xfId="9780" xr:uid="{00000000-0005-0000-0000-0000B6490000}"/>
    <cellStyle name="40% - Accent1 15 3 2" xfId="22697" xr:uid="{00000000-0005-0000-0000-0000B7490000}"/>
    <cellStyle name="40% - Accent1 15 3 2 2" xfId="48571" xr:uid="{00000000-0005-0000-0000-0000B8490000}"/>
    <cellStyle name="40% - Accent1 15 3 3" xfId="35655" xr:uid="{00000000-0005-0000-0000-0000B9490000}"/>
    <cellStyle name="40% - Accent1 15 4" xfId="16239" xr:uid="{00000000-0005-0000-0000-0000BA490000}"/>
    <cellStyle name="40% - Accent1 15 4 2" xfId="42113" xr:uid="{00000000-0005-0000-0000-0000BB490000}"/>
    <cellStyle name="40% - Accent1 15 5" xfId="29165" xr:uid="{00000000-0005-0000-0000-0000BC490000}"/>
    <cellStyle name="40% - Accent1 16" xfId="4935" xr:uid="{00000000-0005-0000-0000-0000BD490000}"/>
    <cellStyle name="40% - Accent1 16 2" xfId="11394" xr:uid="{00000000-0005-0000-0000-0000BE490000}"/>
    <cellStyle name="40% - Accent1 16 2 2" xfId="24311" xr:uid="{00000000-0005-0000-0000-0000BF490000}"/>
    <cellStyle name="40% - Accent1 16 2 2 2" xfId="50185" xr:uid="{00000000-0005-0000-0000-0000C0490000}"/>
    <cellStyle name="40% - Accent1 16 2 3" xfId="37269" xr:uid="{00000000-0005-0000-0000-0000C1490000}"/>
    <cellStyle name="40% - Accent1 16 3" xfId="17853" xr:uid="{00000000-0005-0000-0000-0000C2490000}"/>
    <cellStyle name="40% - Accent1 16 3 2" xfId="43727" xr:uid="{00000000-0005-0000-0000-0000C3490000}"/>
    <cellStyle name="40% - Accent1 16 4" xfId="30811" xr:uid="{00000000-0005-0000-0000-0000C4490000}"/>
    <cellStyle name="40% - Accent1 17" xfId="8163" xr:uid="{00000000-0005-0000-0000-0000C5490000}"/>
    <cellStyle name="40% - Accent1 17 2" xfId="21081" xr:uid="{00000000-0005-0000-0000-0000C6490000}"/>
    <cellStyle name="40% - Accent1 17 2 2" xfId="46955" xr:uid="{00000000-0005-0000-0000-0000C7490000}"/>
    <cellStyle name="40% - Accent1 17 3" xfId="34039" xr:uid="{00000000-0005-0000-0000-0000C8490000}"/>
    <cellStyle name="40% - Accent1 18" xfId="14623" xr:uid="{00000000-0005-0000-0000-0000C9490000}"/>
    <cellStyle name="40% - Accent1 18 2" xfId="40497" xr:uid="{00000000-0005-0000-0000-0000CA490000}"/>
    <cellStyle name="40% - Accent1 19" xfId="27541" xr:uid="{00000000-0005-0000-0000-0000CB490000}"/>
    <cellStyle name="40% - Accent1 2" xfId="26" xr:uid="{00000000-0005-0000-0000-0000CC490000}"/>
    <cellStyle name="40% - Accent1 2 10" xfId="8180" xr:uid="{00000000-0005-0000-0000-0000CD490000}"/>
    <cellStyle name="40% - Accent1 2 10 2" xfId="21098" xr:uid="{00000000-0005-0000-0000-0000CE490000}"/>
    <cellStyle name="40% - Accent1 2 10 2 2" xfId="46972" xr:uid="{00000000-0005-0000-0000-0000CF490000}"/>
    <cellStyle name="40% - Accent1 2 10 3" xfId="34056" xr:uid="{00000000-0005-0000-0000-0000D0490000}"/>
    <cellStyle name="40% - Accent1 2 11" xfId="14640" xr:uid="{00000000-0005-0000-0000-0000D1490000}"/>
    <cellStyle name="40% - Accent1 2 11 2" xfId="40514" xr:uid="{00000000-0005-0000-0000-0000D2490000}"/>
    <cellStyle name="40% - Accent1 2 12" xfId="27558" xr:uid="{00000000-0005-0000-0000-0000D3490000}"/>
    <cellStyle name="40% - Accent1 2 13" xfId="53430" xr:uid="{00000000-0005-0000-0000-0000D4490000}"/>
    <cellStyle name="40% - Accent1 2 14" xfId="1090" xr:uid="{00000000-0005-0000-0000-0000D5490000}"/>
    <cellStyle name="40% - Accent1 2 2" xfId="278" xr:uid="{00000000-0005-0000-0000-0000D6490000}"/>
    <cellStyle name="40% - Accent1 2 3" xfId="234" xr:uid="{00000000-0005-0000-0000-0000D7490000}"/>
    <cellStyle name="40% - Accent1 2 3 10" xfId="27589" xr:uid="{00000000-0005-0000-0000-0000D8490000}"/>
    <cellStyle name="40% - Accent1 2 3 11" xfId="53455" xr:uid="{00000000-0005-0000-0000-0000D9490000}"/>
    <cellStyle name="40% - Accent1 2 3 12" xfId="1091" xr:uid="{00000000-0005-0000-0000-0000DA490000}"/>
    <cellStyle name="40% - Accent1 2 3 2" xfId="424" xr:uid="{00000000-0005-0000-0000-0000DB490000}"/>
    <cellStyle name="40% - Accent1 2 3 2 10" xfId="53535" xr:uid="{00000000-0005-0000-0000-0000DC490000}"/>
    <cellStyle name="40% - Accent1 2 3 2 11" xfId="1619" xr:uid="{00000000-0005-0000-0000-0000DD490000}"/>
    <cellStyle name="40% - Accent1 2 3 2 2" xfId="653" xr:uid="{00000000-0005-0000-0000-0000DE490000}"/>
    <cellStyle name="40% - Accent1 2 3 2 2 10" xfId="1944" xr:uid="{00000000-0005-0000-0000-0000DF490000}"/>
    <cellStyle name="40% - Accent1 2 3 2 2 2" xfId="2375" xr:uid="{00000000-0005-0000-0000-0000E0490000}"/>
    <cellStyle name="40% - Accent1 2 3 2 2 2 2" xfId="3188" xr:uid="{00000000-0005-0000-0000-0000E1490000}"/>
    <cellStyle name="40% - Accent1 2 3 2 2 2 2 2" xfId="4845" xr:uid="{00000000-0005-0000-0000-0000E2490000}"/>
    <cellStyle name="40% - Accent1 2 3 2 2 2 2 2 2" xfId="8076" xr:uid="{00000000-0005-0000-0000-0000E3490000}"/>
    <cellStyle name="40% - Accent1 2 3 2 2 2 2 2 2 2" xfId="14535" xr:uid="{00000000-0005-0000-0000-0000E4490000}"/>
    <cellStyle name="40% - Accent1 2 3 2 2 2 2 2 2 2 2" xfId="27452" xr:uid="{00000000-0005-0000-0000-0000E5490000}"/>
    <cellStyle name="40% - Accent1 2 3 2 2 2 2 2 2 2 2 2" xfId="53326" xr:uid="{00000000-0005-0000-0000-0000E6490000}"/>
    <cellStyle name="40% - Accent1 2 3 2 2 2 2 2 2 2 3" xfId="40410" xr:uid="{00000000-0005-0000-0000-0000E7490000}"/>
    <cellStyle name="40% - Accent1 2 3 2 2 2 2 2 2 3" xfId="20994" xr:uid="{00000000-0005-0000-0000-0000E8490000}"/>
    <cellStyle name="40% - Accent1 2 3 2 2 2 2 2 2 3 2" xfId="46868" xr:uid="{00000000-0005-0000-0000-0000E9490000}"/>
    <cellStyle name="40% - Accent1 2 3 2 2 2 2 2 2 4" xfId="33952" xr:uid="{00000000-0005-0000-0000-0000EA490000}"/>
    <cellStyle name="40% - Accent1 2 3 2 2 2 2 2 3" xfId="11307" xr:uid="{00000000-0005-0000-0000-0000EB490000}"/>
    <cellStyle name="40% - Accent1 2 3 2 2 2 2 2 3 2" xfId="24224" xr:uid="{00000000-0005-0000-0000-0000EC490000}"/>
    <cellStyle name="40% - Accent1 2 3 2 2 2 2 2 3 2 2" xfId="50098" xr:uid="{00000000-0005-0000-0000-0000ED490000}"/>
    <cellStyle name="40% - Accent1 2 3 2 2 2 2 2 3 3" xfId="37182" xr:uid="{00000000-0005-0000-0000-0000EE490000}"/>
    <cellStyle name="40% - Accent1 2 3 2 2 2 2 2 4" xfId="17766" xr:uid="{00000000-0005-0000-0000-0000EF490000}"/>
    <cellStyle name="40% - Accent1 2 3 2 2 2 2 2 4 2" xfId="43640" xr:uid="{00000000-0005-0000-0000-0000F0490000}"/>
    <cellStyle name="40% - Accent1 2 3 2 2 2 2 2 5" xfId="30692" xr:uid="{00000000-0005-0000-0000-0000F1490000}"/>
    <cellStyle name="40% - Accent1 2 3 2 2 2 2 3" xfId="6462" xr:uid="{00000000-0005-0000-0000-0000F2490000}"/>
    <cellStyle name="40% - Accent1 2 3 2 2 2 2 3 2" xfId="12921" xr:uid="{00000000-0005-0000-0000-0000F3490000}"/>
    <cellStyle name="40% - Accent1 2 3 2 2 2 2 3 2 2" xfId="25838" xr:uid="{00000000-0005-0000-0000-0000F4490000}"/>
    <cellStyle name="40% - Accent1 2 3 2 2 2 2 3 2 2 2" xfId="51712" xr:uid="{00000000-0005-0000-0000-0000F5490000}"/>
    <cellStyle name="40% - Accent1 2 3 2 2 2 2 3 2 3" xfId="38796" xr:uid="{00000000-0005-0000-0000-0000F6490000}"/>
    <cellStyle name="40% - Accent1 2 3 2 2 2 2 3 3" xfId="19380" xr:uid="{00000000-0005-0000-0000-0000F7490000}"/>
    <cellStyle name="40% - Accent1 2 3 2 2 2 2 3 3 2" xfId="45254" xr:uid="{00000000-0005-0000-0000-0000F8490000}"/>
    <cellStyle name="40% - Accent1 2 3 2 2 2 2 3 4" xfId="32338" xr:uid="{00000000-0005-0000-0000-0000F9490000}"/>
    <cellStyle name="40% - Accent1 2 3 2 2 2 2 4" xfId="9693" xr:uid="{00000000-0005-0000-0000-0000FA490000}"/>
    <cellStyle name="40% - Accent1 2 3 2 2 2 2 4 2" xfId="22610" xr:uid="{00000000-0005-0000-0000-0000FB490000}"/>
    <cellStyle name="40% - Accent1 2 3 2 2 2 2 4 2 2" xfId="48484" xr:uid="{00000000-0005-0000-0000-0000FC490000}"/>
    <cellStyle name="40% - Accent1 2 3 2 2 2 2 4 3" xfId="35568" xr:uid="{00000000-0005-0000-0000-0000FD490000}"/>
    <cellStyle name="40% - Accent1 2 3 2 2 2 2 5" xfId="16152" xr:uid="{00000000-0005-0000-0000-0000FE490000}"/>
    <cellStyle name="40% - Accent1 2 3 2 2 2 2 5 2" xfId="42026" xr:uid="{00000000-0005-0000-0000-0000FF490000}"/>
    <cellStyle name="40% - Accent1 2 3 2 2 2 2 6" xfId="29078" xr:uid="{00000000-0005-0000-0000-0000004A0000}"/>
    <cellStyle name="40% - Accent1 2 3 2 2 2 3" xfId="4015" xr:uid="{00000000-0005-0000-0000-0000014A0000}"/>
    <cellStyle name="40% - Accent1 2 3 2 2 2 3 2" xfId="7269" xr:uid="{00000000-0005-0000-0000-0000024A0000}"/>
    <cellStyle name="40% - Accent1 2 3 2 2 2 3 2 2" xfId="13728" xr:uid="{00000000-0005-0000-0000-0000034A0000}"/>
    <cellStyle name="40% - Accent1 2 3 2 2 2 3 2 2 2" xfId="26645" xr:uid="{00000000-0005-0000-0000-0000044A0000}"/>
    <cellStyle name="40% - Accent1 2 3 2 2 2 3 2 2 2 2" xfId="52519" xr:uid="{00000000-0005-0000-0000-0000054A0000}"/>
    <cellStyle name="40% - Accent1 2 3 2 2 2 3 2 2 3" xfId="39603" xr:uid="{00000000-0005-0000-0000-0000064A0000}"/>
    <cellStyle name="40% - Accent1 2 3 2 2 2 3 2 3" xfId="20187" xr:uid="{00000000-0005-0000-0000-0000074A0000}"/>
    <cellStyle name="40% - Accent1 2 3 2 2 2 3 2 3 2" xfId="46061" xr:uid="{00000000-0005-0000-0000-0000084A0000}"/>
    <cellStyle name="40% - Accent1 2 3 2 2 2 3 2 4" xfId="33145" xr:uid="{00000000-0005-0000-0000-0000094A0000}"/>
    <cellStyle name="40% - Accent1 2 3 2 2 2 3 3" xfId="10500" xr:uid="{00000000-0005-0000-0000-00000A4A0000}"/>
    <cellStyle name="40% - Accent1 2 3 2 2 2 3 3 2" xfId="23417" xr:uid="{00000000-0005-0000-0000-00000B4A0000}"/>
    <cellStyle name="40% - Accent1 2 3 2 2 2 3 3 2 2" xfId="49291" xr:uid="{00000000-0005-0000-0000-00000C4A0000}"/>
    <cellStyle name="40% - Accent1 2 3 2 2 2 3 3 3" xfId="36375" xr:uid="{00000000-0005-0000-0000-00000D4A0000}"/>
    <cellStyle name="40% - Accent1 2 3 2 2 2 3 4" xfId="16959" xr:uid="{00000000-0005-0000-0000-00000E4A0000}"/>
    <cellStyle name="40% - Accent1 2 3 2 2 2 3 4 2" xfId="42833" xr:uid="{00000000-0005-0000-0000-00000F4A0000}"/>
    <cellStyle name="40% - Accent1 2 3 2 2 2 3 5" xfId="29885" xr:uid="{00000000-0005-0000-0000-0000104A0000}"/>
    <cellStyle name="40% - Accent1 2 3 2 2 2 4" xfId="5655" xr:uid="{00000000-0005-0000-0000-0000114A0000}"/>
    <cellStyle name="40% - Accent1 2 3 2 2 2 4 2" xfId="12114" xr:uid="{00000000-0005-0000-0000-0000124A0000}"/>
    <cellStyle name="40% - Accent1 2 3 2 2 2 4 2 2" xfId="25031" xr:uid="{00000000-0005-0000-0000-0000134A0000}"/>
    <cellStyle name="40% - Accent1 2 3 2 2 2 4 2 2 2" xfId="50905" xr:uid="{00000000-0005-0000-0000-0000144A0000}"/>
    <cellStyle name="40% - Accent1 2 3 2 2 2 4 2 3" xfId="37989" xr:uid="{00000000-0005-0000-0000-0000154A0000}"/>
    <cellStyle name="40% - Accent1 2 3 2 2 2 4 3" xfId="18573" xr:uid="{00000000-0005-0000-0000-0000164A0000}"/>
    <cellStyle name="40% - Accent1 2 3 2 2 2 4 3 2" xfId="44447" xr:uid="{00000000-0005-0000-0000-0000174A0000}"/>
    <cellStyle name="40% - Accent1 2 3 2 2 2 4 4" xfId="31531" xr:uid="{00000000-0005-0000-0000-0000184A0000}"/>
    <cellStyle name="40% - Accent1 2 3 2 2 2 5" xfId="8886" xr:uid="{00000000-0005-0000-0000-0000194A0000}"/>
    <cellStyle name="40% - Accent1 2 3 2 2 2 5 2" xfId="21803" xr:uid="{00000000-0005-0000-0000-00001A4A0000}"/>
    <cellStyle name="40% - Accent1 2 3 2 2 2 5 2 2" xfId="47677" xr:uid="{00000000-0005-0000-0000-00001B4A0000}"/>
    <cellStyle name="40% - Accent1 2 3 2 2 2 5 3" xfId="34761" xr:uid="{00000000-0005-0000-0000-00001C4A0000}"/>
    <cellStyle name="40% - Accent1 2 3 2 2 2 6" xfId="15345" xr:uid="{00000000-0005-0000-0000-00001D4A0000}"/>
    <cellStyle name="40% - Accent1 2 3 2 2 2 6 2" xfId="41219" xr:uid="{00000000-0005-0000-0000-00001E4A0000}"/>
    <cellStyle name="40% - Accent1 2 3 2 2 2 7" xfId="28271" xr:uid="{00000000-0005-0000-0000-00001F4A0000}"/>
    <cellStyle name="40% - Accent1 2 3 2 2 2 8" xfId="54133" xr:uid="{00000000-0005-0000-0000-0000204A0000}"/>
    <cellStyle name="40% - Accent1 2 3 2 2 3" xfId="2784" xr:uid="{00000000-0005-0000-0000-0000214A0000}"/>
    <cellStyle name="40% - Accent1 2 3 2 2 3 2" xfId="4441" xr:uid="{00000000-0005-0000-0000-0000224A0000}"/>
    <cellStyle name="40% - Accent1 2 3 2 2 3 2 2" xfId="7672" xr:uid="{00000000-0005-0000-0000-0000234A0000}"/>
    <cellStyle name="40% - Accent1 2 3 2 2 3 2 2 2" xfId="14131" xr:uid="{00000000-0005-0000-0000-0000244A0000}"/>
    <cellStyle name="40% - Accent1 2 3 2 2 3 2 2 2 2" xfId="27048" xr:uid="{00000000-0005-0000-0000-0000254A0000}"/>
    <cellStyle name="40% - Accent1 2 3 2 2 3 2 2 2 2 2" xfId="52922" xr:uid="{00000000-0005-0000-0000-0000264A0000}"/>
    <cellStyle name="40% - Accent1 2 3 2 2 3 2 2 2 3" xfId="40006" xr:uid="{00000000-0005-0000-0000-0000274A0000}"/>
    <cellStyle name="40% - Accent1 2 3 2 2 3 2 2 3" xfId="20590" xr:uid="{00000000-0005-0000-0000-0000284A0000}"/>
    <cellStyle name="40% - Accent1 2 3 2 2 3 2 2 3 2" xfId="46464" xr:uid="{00000000-0005-0000-0000-0000294A0000}"/>
    <cellStyle name="40% - Accent1 2 3 2 2 3 2 2 4" xfId="33548" xr:uid="{00000000-0005-0000-0000-00002A4A0000}"/>
    <cellStyle name="40% - Accent1 2 3 2 2 3 2 3" xfId="10903" xr:uid="{00000000-0005-0000-0000-00002B4A0000}"/>
    <cellStyle name="40% - Accent1 2 3 2 2 3 2 3 2" xfId="23820" xr:uid="{00000000-0005-0000-0000-00002C4A0000}"/>
    <cellStyle name="40% - Accent1 2 3 2 2 3 2 3 2 2" xfId="49694" xr:uid="{00000000-0005-0000-0000-00002D4A0000}"/>
    <cellStyle name="40% - Accent1 2 3 2 2 3 2 3 3" xfId="36778" xr:uid="{00000000-0005-0000-0000-00002E4A0000}"/>
    <cellStyle name="40% - Accent1 2 3 2 2 3 2 4" xfId="17362" xr:uid="{00000000-0005-0000-0000-00002F4A0000}"/>
    <cellStyle name="40% - Accent1 2 3 2 2 3 2 4 2" xfId="43236" xr:uid="{00000000-0005-0000-0000-0000304A0000}"/>
    <cellStyle name="40% - Accent1 2 3 2 2 3 2 5" xfId="30288" xr:uid="{00000000-0005-0000-0000-0000314A0000}"/>
    <cellStyle name="40% - Accent1 2 3 2 2 3 3" xfId="6058" xr:uid="{00000000-0005-0000-0000-0000324A0000}"/>
    <cellStyle name="40% - Accent1 2 3 2 2 3 3 2" xfId="12517" xr:uid="{00000000-0005-0000-0000-0000334A0000}"/>
    <cellStyle name="40% - Accent1 2 3 2 2 3 3 2 2" xfId="25434" xr:uid="{00000000-0005-0000-0000-0000344A0000}"/>
    <cellStyle name="40% - Accent1 2 3 2 2 3 3 2 2 2" xfId="51308" xr:uid="{00000000-0005-0000-0000-0000354A0000}"/>
    <cellStyle name="40% - Accent1 2 3 2 2 3 3 2 3" xfId="38392" xr:uid="{00000000-0005-0000-0000-0000364A0000}"/>
    <cellStyle name="40% - Accent1 2 3 2 2 3 3 3" xfId="18976" xr:uid="{00000000-0005-0000-0000-0000374A0000}"/>
    <cellStyle name="40% - Accent1 2 3 2 2 3 3 3 2" xfId="44850" xr:uid="{00000000-0005-0000-0000-0000384A0000}"/>
    <cellStyle name="40% - Accent1 2 3 2 2 3 3 4" xfId="31934" xr:uid="{00000000-0005-0000-0000-0000394A0000}"/>
    <cellStyle name="40% - Accent1 2 3 2 2 3 4" xfId="9289" xr:uid="{00000000-0005-0000-0000-00003A4A0000}"/>
    <cellStyle name="40% - Accent1 2 3 2 2 3 4 2" xfId="22206" xr:uid="{00000000-0005-0000-0000-00003B4A0000}"/>
    <cellStyle name="40% - Accent1 2 3 2 2 3 4 2 2" xfId="48080" xr:uid="{00000000-0005-0000-0000-00003C4A0000}"/>
    <cellStyle name="40% - Accent1 2 3 2 2 3 4 3" xfId="35164" xr:uid="{00000000-0005-0000-0000-00003D4A0000}"/>
    <cellStyle name="40% - Accent1 2 3 2 2 3 5" xfId="15748" xr:uid="{00000000-0005-0000-0000-00003E4A0000}"/>
    <cellStyle name="40% - Accent1 2 3 2 2 3 5 2" xfId="41622" xr:uid="{00000000-0005-0000-0000-00003F4A0000}"/>
    <cellStyle name="40% - Accent1 2 3 2 2 3 6" xfId="28674" xr:uid="{00000000-0005-0000-0000-0000404A0000}"/>
    <cellStyle name="40% - Accent1 2 3 2 2 4" xfId="3611" xr:uid="{00000000-0005-0000-0000-0000414A0000}"/>
    <cellStyle name="40% - Accent1 2 3 2 2 4 2" xfId="6865" xr:uid="{00000000-0005-0000-0000-0000424A0000}"/>
    <cellStyle name="40% - Accent1 2 3 2 2 4 2 2" xfId="13324" xr:uid="{00000000-0005-0000-0000-0000434A0000}"/>
    <cellStyle name="40% - Accent1 2 3 2 2 4 2 2 2" xfId="26241" xr:uid="{00000000-0005-0000-0000-0000444A0000}"/>
    <cellStyle name="40% - Accent1 2 3 2 2 4 2 2 2 2" xfId="52115" xr:uid="{00000000-0005-0000-0000-0000454A0000}"/>
    <cellStyle name="40% - Accent1 2 3 2 2 4 2 2 3" xfId="39199" xr:uid="{00000000-0005-0000-0000-0000464A0000}"/>
    <cellStyle name="40% - Accent1 2 3 2 2 4 2 3" xfId="19783" xr:uid="{00000000-0005-0000-0000-0000474A0000}"/>
    <cellStyle name="40% - Accent1 2 3 2 2 4 2 3 2" xfId="45657" xr:uid="{00000000-0005-0000-0000-0000484A0000}"/>
    <cellStyle name="40% - Accent1 2 3 2 2 4 2 4" xfId="32741" xr:uid="{00000000-0005-0000-0000-0000494A0000}"/>
    <cellStyle name="40% - Accent1 2 3 2 2 4 3" xfId="10096" xr:uid="{00000000-0005-0000-0000-00004A4A0000}"/>
    <cellStyle name="40% - Accent1 2 3 2 2 4 3 2" xfId="23013" xr:uid="{00000000-0005-0000-0000-00004B4A0000}"/>
    <cellStyle name="40% - Accent1 2 3 2 2 4 3 2 2" xfId="48887" xr:uid="{00000000-0005-0000-0000-00004C4A0000}"/>
    <cellStyle name="40% - Accent1 2 3 2 2 4 3 3" xfId="35971" xr:uid="{00000000-0005-0000-0000-00004D4A0000}"/>
    <cellStyle name="40% - Accent1 2 3 2 2 4 4" xfId="16555" xr:uid="{00000000-0005-0000-0000-00004E4A0000}"/>
    <cellStyle name="40% - Accent1 2 3 2 2 4 4 2" xfId="42429" xr:uid="{00000000-0005-0000-0000-00004F4A0000}"/>
    <cellStyle name="40% - Accent1 2 3 2 2 4 5" xfId="29481" xr:uid="{00000000-0005-0000-0000-0000504A0000}"/>
    <cellStyle name="40% - Accent1 2 3 2 2 5" xfId="5251" xr:uid="{00000000-0005-0000-0000-0000514A0000}"/>
    <cellStyle name="40% - Accent1 2 3 2 2 5 2" xfId="11710" xr:uid="{00000000-0005-0000-0000-0000524A0000}"/>
    <cellStyle name="40% - Accent1 2 3 2 2 5 2 2" xfId="24627" xr:uid="{00000000-0005-0000-0000-0000534A0000}"/>
    <cellStyle name="40% - Accent1 2 3 2 2 5 2 2 2" xfId="50501" xr:uid="{00000000-0005-0000-0000-0000544A0000}"/>
    <cellStyle name="40% - Accent1 2 3 2 2 5 2 3" xfId="37585" xr:uid="{00000000-0005-0000-0000-0000554A0000}"/>
    <cellStyle name="40% - Accent1 2 3 2 2 5 3" xfId="18169" xr:uid="{00000000-0005-0000-0000-0000564A0000}"/>
    <cellStyle name="40% - Accent1 2 3 2 2 5 3 2" xfId="44043" xr:uid="{00000000-0005-0000-0000-0000574A0000}"/>
    <cellStyle name="40% - Accent1 2 3 2 2 5 4" xfId="31127" xr:uid="{00000000-0005-0000-0000-0000584A0000}"/>
    <cellStyle name="40% - Accent1 2 3 2 2 6" xfId="8482" xr:uid="{00000000-0005-0000-0000-0000594A0000}"/>
    <cellStyle name="40% - Accent1 2 3 2 2 6 2" xfId="21399" xr:uid="{00000000-0005-0000-0000-00005A4A0000}"/>
    <cellStyle name="40% - Accent1 2 3 2 2 6 2 2" xfId="47273" xr:uid="{00000000-0005-0000-0000-00005B4A0000}"/>
    <cellStyle name="40% - Accent1 2 3 2 2 6 3" xfId="34357" xr:uid="{00000000-0005-0000-0000-00005C4A0000}"/>
    <cellStyle name="40% - Accent1 2 3 2 2 7" xfId="14941" xr:uid="{00000000-0005-0000-0000-00005D4A0000}"/>
    <cellStyle name="40% - Accent1 2 3 2 2 7 2" xfId="40815" xr:uid="{00000000-0005-0000-0000-00005E4A0000}"/>
    <cellStyle name="40% - Accent1 2 3 2 2 8" xfId="27866" xr:uid="{00000000-0005-0000-0000-00005F4A0000}"/>
    <cellStyle name="40% - Accent1 2 3 2 2 9" xfId="53729" xr:uid="{00000000-0005-0000-0000-0000604A0000}"/>
    <cellStyle name="40% - Accent1 2 3 2 3" xfId="652" xr:uid="{00000000-0005-0000-0000-0000614A0000}"/>
    <cellStyle name="40% - Accent1 2 3 2 3 2" xfId="2993" xr:uid="{00000000-0005-0000-0000-0000624A0000}"/>
    <cellStyle name="40% - Accent1 2 3 2 3 2 2" xfId="4650" xr:uid="{00000000-0005-0000-0000-0000634A0000}"/>
    <cellStyle name="40% - Accent1 2 3 2 3 2 2 2" xfId="7881" xr:uid="{00000000-0005-0000-0000-0000644A0000}"/>
    <cellStyle name="40% - Accent1 2 3 2 3 2 2 2 2" xfId="14340" xr:uid="{00000000-0005-0000-0000-0000654A0000}"/>
    <cellStyle name="40% - Accent1 2 3 2 3 2 2 2 2 2" xfId="27257" xr:uid="{00000000-0005-0000-0000-0000664A0000}"/>
    <cellStyle name="40% - Accent1 2 3 2 3 2 2 2 2 2 2" xfId="53131" xr:uid="{00000000-0005-0000-0000-0000674A0000}"/>
    <cellStyle name="40% - Accent1 2 3 2 3 2 2 2 2 3" xfId="40215" xr:uid="{00000000-0005-0000-0000-0000684A0000}"/>
    <cellStyle name="40% - Accent1 2 3 2 3 2 2 2 3" xfId="20799" xr:uid="{00000000-0005-0000-0000-0000694A0000}"/>
    <cellStyle name="40% - Accent1 2 3 2 3 2 2 2 3 2" xfId="46673" xr:uid="{00000000-0005-0000-0000-00006A4A0000}"/>
    <cellStyle name="40% - Accent1 2 3 2 3 2 2 2 4" xfId="33757" xr:uid="{00000000-0005-0000-0000-00006B4A0000}"/>
    <cellStyle name="40% - Accent1 2 3 2 3 2 2 3" xfId="11112" xr:uid="{00000000-0005-0000-0000-00006C4A0000}"/>
    <cellStyle name="40% - Accent1 2 3 2 3 2 2 3 2" xfId="24029" xr:uid="{00000000-0005-0000-0000-00006D4A0000}"/>
    <cellStyle name="40% - Accent1 2 3 2 3 2 2 3 2 2" xfId="49903" xr:uid="{00000000-0005-0000-0000-00006E4A0000}"/>
    <cellStyle name="40% - Accent1 2 3 2 3 2 2 3 3" xfId="36987" xr:uid="{00000000-0005-0000-0000-00006F4A0000}"/>
    <cellStyle name="40% - Accent1 2 3 2 3 2 2 4" xfId="17571" xr:uid="{00000000-0005-0000-0000-0000704A0000}"/>
    <cellStyle name="40% - Accent1 2 3 2 3 2 2 4 2" xfId="43445" xr:uid="{00000000-0005-0000-0000-0000714A0000}"/>
    <cellStyle name="40% - Accent1 2 3 2 3 2 2 5" xfId="30497" xr:uid="{00000000-0005-0000-0000-0000724A0000}"/>
    <cellStyle name="40% - Accent1 2 3 2 3 2 3" xfId="6267" xr:uid="{00000000-0005-0000-0000-0000734A0000}"/>
    <cellStyle name="40% - Accent1 2 3 2 3 2 3 2" xfId="12726" xr:uid="{00000000-0005-0000-0000-0000744A0000}"/>
    <cellStyle name="40% - Accent1 2 3 2 3 2 3 2 2" xfId="25643" xr:uid="{00000000-0005-0000-0000-0000754A0000}"/>
    <cellStyle name="40% - Accent1 2 3 2 3 2 3 2 2 2" xfId="51517" xr:uid="{00000000-0005-0000-0000-0000764A0000}"/>
    <cellStyle name="40% - Accent1 2 3 2 3 2 3 2 3" xfId="38601" xr:uid="{00000000-0005-0000-0000-0000774A0000}"/>
    <cellStyle name="40% - Accent1 2 3 2 3 2 3 3" xfId="19185" xr:uid="{00000000-0005-0000-0000-0000784A0000}"/>
    <cellStyle name="40% - Accent1 2 3 2 3 2 3 3 2" xfId="45059" xr:uid="{00000000-0005-0000-0000-0000794A0000}"/>
    <cellStyle name="40% - Accent1 2 3 2 3 2 3 4" xfId="32143" xr:uid="{00000000-0005-0000-0000-00007A4A0000}"/>
    <cellStyle name="40% - Accent1 2 3 2 3 2 4" xfId="9498" xr:uid="{00000000-0005-0000-0000-00007B4A0000}"/>
    <cellStyle name="40% - Accent1 2 3 2 3 2 4 2" xfId="22415" xr:uid="{00000000-0005-0000-0000-00007C4A0000}"/>
    <cellStyle name="40% - Accent1 2 3 2 3 2 4 2 2" xfId="48289" xr:uid="{00000000-0005-0000-0000-00007D4A0000}"/>
    <cellStyle name="40% - Accent1 2 3 2 3 2 4 3" xfId="35373" xr:uid="{00000000-0005-0000-0000-00007E4A0000}"/>
    <cellStyle name="40% - Accent1 2 3 2 3 2 5" xfId="15957" xr:uid="{00000000-0005-0000-0000-00007F4A0000}"/>
    <cellStyle name="40% - Accent1 2 3 2 3 2 5 2" xfId="41831" xr:uid="{00000000-0005-0000-0000-0000804A0000}"/>
    <cellStyle name="40% - Accent1 2 3 2 3 2 6" xfId="28883" xr:uid="{00000000-0005-0000-0000-0000814A0000}"/>
    <cellStyle name="40% - Accent1 2 3 2 3 3" xfId="3820" xr:uid="{00000000-0005-0000-0000-0000824A0000}"/>
    <cellStyle name="40% - Accent1 2 3 2 3 3 2" xfId="7074" xr:uid="{00000000-0005-0000-0000-0000834A0000}"/>
    <cellStyle name="40% - Accent1 2 3 2 3 3 2 2" xfId="13533" xr:uid="{00000000-0005-0000-0000-0000844A0000}"/>
    <cellStyle name="40% - Accent1 2 3 2 3 3 2 2 2" xfId="26450" xr:uid="{00000000-0005-0000-0000-0000854A0000}"/>
    <cellStyle name="40% - Accent1 2 3 2 3 3 2 2 2 2" xfId="52324" xr:uid="{00000000-0005-0000-0000-0000864A0000}"/>
    <cellStyle name="40% - Accent1 2 3 2 3 3 2 2 3" xfId="39408" xr:uid="{00000000-0005-0000-0000-0000874A0000}"/>
    <cellStyle name="40% - Accent1 2 3 2 3 3 2 3" xfId="19992" xr:uid="{00000000-0005-0000-0000-0000884A0000}"/>
    <cellStyle name="40% - Accent1 2 3 2 3 3 2 3 2" xfId="45866" xr:uid="{00000000-0005-0000-0000-0000894A0000}"/>
    <cellStyle name="40% - Accent1 2 3 2 3 3 2 4" xfId="32950" xr:uid="{00000000-0005-0000-0000-00008A4A0000}"/>
    <cellStyle name="40% - Accent1 2 3 2 3 3 3" xfId="10305" xr:uid="{00000000-0005-0000-0000-00008B4A0000}"/>
    <cellStyle name="40% - Accent1 2 3 2 3 3 3 2" xfId="23222" xr:uid="{00000000-0005-0000-0000-00008C4A0000}"/>
    <cellStyle name="40% - Accent1 2 3 2 3 3 3 2 2" xfId="49096" xr:uid="{00000000-0005-0000-0000-00008D4A0000}"/>
    <cellStyle name="40% - Accent1 2 3 2 3 3 3 3" xfId="36180" xr:uid="{00000000-0005-0000-0000-00008E4A0000}"/>
    <cellStyle name="40% - Accent1 2 3 2 3 3 4" xfId="16764" xr:uid="{00000000-0005-0000-0000-00008F4A0000}"/>
    <cellStyle name="40% - Accent1 2 3 2 3 3 4 2" xfId="42638" xr:uid="{00000000-0005-0000-0000-0000904A0000}"/>
    <cellStyle name="40% - Accent1 2 3 2 3 3 5" xfId="29690" xr:uid="{00000000-0005-0000-0000-0000914A0000}"/>
    <cellStyle name="40% - Accent1 2 3 2 3 4" xfId="5460" xr:uid="{00000000-0005-0000-0000-0000924A0000}"/>
    <cellStyle name="40% - Accent1 2 3 2 3 4 2" xfId="11919" xr:uid="{00000000-0005-0000-0000-0000934A0000}"/>
    <cellStyle name="40% - Accent1 2 3 2 3 4 2 2" xfId="24836" xr:uid="{00000000-0005-0000-0000-0000944A0000}"/>
    <cellStyle name="40% - Accent1 2 3 2 3 4 2 2 2" xfId="50710" xr:uid="{00000000-0005-0000-0000-0000954A0000}"/>
    <cellStyle name="40% - Accent1 2 3 2 3 4 2 3" xfId="37794" xr:uid="{00000000-0005-0000-0000-0000964A0000}"/>
    <cellStyle name="40% - Accent1 2 3 2 3 4 3" xfId="18378" xr:uid="{00000000-0005-0000-0000-0000974A0000}"/>
    <cellStyle name="40% - Accent1 2 3 2 3 4 3 2" xfId="44252" xr:uid="{00000000-0005-0000-0000-0000984A0000}"/>
    <cellStyle name="40% - Accent1 2 3 2 3 4 4" xfId="31336" xr:uid="{00000000-0005-0000-0000-0000994A0000}"/>
    <cellStyle name="40% - Accent1 2 3 2 3 5" xfId="8691" xr:uid="{00000000-0005-0000-0000-00009A4A0000}"/>
    <cellStyle name="40% - Accent1 2 3 2 3 5 2" xfId="21608" xr:uid="{00000000-0005-0000-0000-00009B4A0000}"/>
    <cellStyle name="40% - Accent1 2 3 2 3 5 2 2" xfId="47482" xr:uid="{00000000-0005-0000-0000-00009C4A0000}"/>
    <cellStyle name="40% - Accent1 2 3 2 3 5 3" xfId="34566" xr:uid="{00000000-0005-0000-0000-00009D4A0000}"/>
    <cellStyle name="40% - Accent1 2 3 2 3 6" xfId="15150" xr:uid="{00000000-0005-0000-0000-00009E4A0000}"/>
    <cellStyle name="40% - Accent1 2 3 2 3 6 2" xfId="41024" xr:uid="{00000000-0005-0000-0000-00009F4A0000}"/>
    <cellStyle name="40% - Accent1 2 3 2 3 7" xfId="28076" xr:uid="{00000000-0005-0000-0000-0000A04A0000}"/>
    <cellStyle name="40% - Accent1 2 3 2 3 8" xfId="53938" xr:uid="{00000000-0005-0000-0000-0000A14A0000}"/>
    <cellStyle name="40% - Accent1 2 3 2 3 9" xfId="2179" xr:uid="{00000000-0005-0000-0000-0000A24A0000}"/>
    <cellStyle name="40% - Accent1 2 3 2 4" xfId="2590" xr:uid="{00000000-0005-0000-0000-0000A34A0000}"/>
    <cellStyle name="40% - Accent1 2 3 2 4 2" xfId="4247" xr:uid="{00000000-0005-0000-0000-0000A44A0000}"/>
    <cellStyle name="40% - Accent1 2 3 2 4 2 2" xfId="7478" xr:uid="{00000000-0005-0000-0000-0000A54A0000}"/>
    <cellStyle name="40% - Accent1 2 3 2 4 2 2 2" xfId="13937" xr:uid="{00000000-0005-0000-0000-0000A64A0000}"/>
    <cellStyle name="40% - Accent1 2 3 2 4 2 2 2 2" xfId="26854" xr:uid="{00000000-0005-0000-0000-0000A74A0000}"/>
    <cellStyle name="40% - Accent1 2 3 2 4 2 2 2 2 2" xfId="52728" xr:uid="{00000000-0005-0000-0000-0000A84A0000}"/>
    <cellStyle name="40% - Accent1 2 3 2 4 2 2 2 3" xfId="39812" xr:uid="{00000000-0005-0000-0000-0000A94A0000}"/>
    <cellStyle name="40% - Accent1 2 3 2 4 2 2 3" xfId="20396" xr:uid="{00000000-0005-0000-0000-0000AA4A0000}"/>
    <cellStyle name="40% - Accent1 2 3 2 4 2 2 3 2" xfId="46270" xr:uid="{00000000-0005-0000-0000-0000AB4A0000}"/>
    <cellStyle name="40% - Accent1 2 3 2 4 2 2 4" xfId="33354" xr:uid="{00000000-0005-0000-0000-0000AC4A0000}"/>
    <cellStyle name="40% - Accent1 2 3 2 4 2 3" xfId="10709" xr:uid="{00000000-0005-0000-0000-0000AD4A0000}"/>
    <cellStyle name="40% - Accent1 2 3 2 4 2 3 2" xfId="23626" xr:uid="{00000000-0005-0000-0000-0000AE4A0000}"/>
    <cellStyle name="40% - Accent1 2 3 2 4 2 3 2 2" xfId="49500" xr:uid="{00000000-0005-0000-0000-0000AF4A0000}"/>
    <cellStyle name="40% - Accent1 2 3 2 4 2 3 3" xfId="36584" xr:uid="{00000000-0005-0000-0000-0000B04A0000}"/>
    <cellStyle name="40% - Accent1 2 3 2 4 2 4" xfId="17168" xr:uid="{00000000-0005-0000-0000-0000B14A0000}"/>
    <cellStyle name="40% - Accent1 2 3 2 4 2 4 2" xfId="43042" xr:uid="{00000000-0005-0000-0000-0000B24A0000}"/>
    <cellStyle name="40% - Accent1 2 3 2 4 2 5" xfId="30094" xr:uid="{00000000-0005-0000-0000-0000B34A0000}"/>
    <cellStyle name="40% - Accent1 2 3 2 4 3" xfId="5864" xr:uid="{00000000-0005-0000-0000-0000B44A0000}"/>
    <cellStyle name="40% - Accent1 2 3 2 4 3 2" xfId="12323" xr:uid="{00000000-0005-0000-0000-0000B54A0000}"/>
    <cellStyle name="40% - Accent1 2 3 2 4 3 2 2" xfId="25240" xr:uid="{00000000-0005-0000-0000-0000B64A0000}"/>
    <cellStyle name="40% - Accent1 2 3 2 4 3 2 2 2" xfId="51114" xr:uid="{00000000-0005-0000-0000-0000B74A0000}"/>
    <cellStyle name="40% - Accent1 2 3 2 4 3 2 3" xfId="38198" xr:uid="{00000000-0005-0000-0000-0000B84A0000}"/>
    <cellStyle name="40% - Accent1 2 3 2 4 3 3" xfId="18782" xr:uid="{00000000-0005-0000-0000-0000B94A0000}"/>
    <cellStyle name="40% - Accent1 2 3 2 4 3 3 2" xfId="44656" xr:uid="{00000000-0005-0000-0000-0000BA4A0000}"/>
    <cellStyle name="40% - Accent1 2 3 2 4 3 4" xfId="31740" xr:uid="{00000000-0005-0000-0000-0000BB4A0000}"/>
    <cellStyle name="40% - Accent1 2 3 2 4 4" xfId="9095" xr:uid="{00000000-0005-0000-0000-0000BC4A0000}"/>
    <cellStyle name="40% - Accent1 2 3 2 4 4 2" xfId="22012" xr:uid="{00000000-0005-0000-0000-0000BD4A0000}"/>
    <cellStyle name="40% - Accent1 2 3 2 4 4 2 2" xfId="47886" xr:uid="{00000000-0005-0000-0000-0000BE4A0000}"/>
    <cellStyle name="40% - Accent1 2 3 2 4 4 3" xfId="34970" xr:uid="{00000000-0005-0000-0000-0000BF4A0000}"/>
    <cellStyle name="40% - Accent1 2 3 2 4 5" xfId="15554" xr:uid="{00000000-0005-0000-0000-0000C04A0000}"/>
    <cellStyle name="40% - Accent1 2 3 2 4 5 2" xfId="41428" xr:uid="{00000000-0005-0000-0000-0000C14A0000}"/>
    <cellStyle name="40% - Accent1 2 3 2 4 6" xfId="28480" xr:uid="{00000000-0005-0000-0000-0000C24A0000}"/>
    <cellStyle name="40% - Accent1 2 3 2 5" xfId="3417" xr:uid="{00000000-0005-0000-0000-0000C34A0000}"/>
    <cellStyle name="40% - Accent1 2 3 2 5 2" xfId="6671" xr:uid="{00000000-0005-0000-0000-0000C44A0000}"/>
    <cellStyle name="40% - Accent1 2 3 2 5 2 2" xfId="13130" xr:uid="{00000000-0005-0000-0000-0000C54A0000}"/>
    <cellStyle name="40% - Accent1 2 3 2 5 2 2 2" xfId="26047" xr:uid="{00000000-0005-0000-0000-0000C64A0000}"/>
    <cellStyle name="40% - Accent1 2 3 2 5 2 2 2 2" xfId="51921" xr:uid="{00000000-0005-0000-0000-0000C74A0000}"/>
    <cellStyle name="40% - Accent1 2 3 2 5 2 2 3" xfId="39005" xr:uid="{00000000-0005-0000-0000-0000C84A0000}"/>
    <cellStyle name="40% - Accent1 2 3 2 5 2 3" xfId="19589" xr:uid="{00000000-0005-0000-0000-0000C94A0000}"/>
    <cellStyle name="40% - Accent1 2 3 2 5 2 3 2" xfId="45463" xr:uid="{00000000-0005-0000-0000-0000CA4A0000}"/>
    <cellStyle name="40% - Accent1 2 3 2 5 2 4" xfId="32547" xr:uid="{00000000-0005-0000-0000-0000CB4A0000}"/>
    <cellStyle name="40% - Accent1 2 3 2 5 3" xfId="9902" xr:uid="{00000000-0005-0000-0000-0000CC4A0000}"/>
    <cellStyle name="40% - Accent1 2 3 2 5 3 2" xfId="22819" xr:uid="{00000000-0005-0000-0000-0000CD4A0000}"/>
    <cellStyle name="40% - Accent1 2 3 2 5 3 2 2" xfId="48693" xr:uid="{00000000-0005-0000-0000-0000CE4A0000}"/>
    <cellStyle name="40% - Accent1 2 3 2 5 3 3" xfId="35777" xr:uid="{00000000-0005-0000-0000-0000CF4A0000}"/>
    <cellStyle name="40% - Accent1 2 3 2 5 4" xfId="16361" xr:uid="{00000000-0005-0000-0000-0000D04A0000}"/>
    <cellStyle name="40% - Accent1 2 3 2 5 4 2" xfId="42235" xr:uid="{00000000-0005-0000-0000-0000D14A0000}"/>
    <cellStyle name="40% - Accent1 2 3 2 5 5" xfId="29287" xr:uid="{00000000-0005-0000-0000-0000D24A0000}"/>
    <cellStyle name="40% - Accent1 2 3 2 6" xfId="5057" xr:uid="{00000000-0005-0000-0000-0000D34A0000}"/>
    <cellStyle name="40% - Accent1 2 3 2 6 2" xfId="11516" xr:uid="{00000000-0005-0000-0000-0000D44A0000}"/>
    <cellStyle name="40% - Accent1 2 3 2 6 2 2" xfId="24433" xr:uid="{00000000-0005-0000-0000-0000D54A0000}"/>
    <cellStyle name="40% - Accent1 2 3 2 6 2 2 2" xfId="50307" xr:uid="{00000000-0005-0000-0000-0000D64A0000}"/>
    <cellStyle name="40% - Accent1 2 3 2 6 2 3" xfId="37391" xr:uid="{00000000-0005-0000-0000-0000D74A0000}"/>
    <cellStyle name="40% - Accent1 2 3 2 6 3" xfId="17975" xr:uid="{00000000-0005-0000-0000-0000D84A0000}"/>
    <cellStyle name="40% - Accent1 2 3 2 6 3 2" xfId="43849" xr:uid="{00000000-0005-0000-0000-0000D94A0000}"/>
    <cellStyle name="40% - Accent1 2 3 2 6 4" xfId="30933" xr:uid="{00000000-0005-0000-0000-0000DA4A0000}"/>
    <cellStyle name="40% - Accent1 2 3 2 7" xfId="8287" xr:uid="{00000000-0005-0000-0000-0000DB4A0000}"/>
    <cellStyle name="40% - Accent1 2 3 2 7 2" xfId="21204" xr:uid="{00000000-0005-0000-0000-0000DC4A0000}"/>
    <cellStyle name="40% - Accent1 2 3 2 7 2 2" xfId="47078" xr:uid="{00000000-0005-0000-0000-0000DD4A0000}"/>
    <cellStyle name="40% - Accent1 2 3 2 7 3" xfId="34162" xr:uid="{00000000-0005-0000-0000-0000DE4A0000}"/>
    <cellStyle name="40% - Accent1 2 3 2 8" xfId="14746" xr:uid="{00000000-0005-0000-0000-0000DF4A0000}"/>
    <cellStyle name="40% - Accent1 2 3 2 8 2" xfId="40620" xr:uid="{00000000-0005-0000-0000-0000E04A0000}"/>
    <cellStyle name="40% - Accent1 2 3 2 9" xfId="27670" xr:uid="{00000000-0005-0000-0000-0000E14A0000}"/>
    <cellStyle name="40% - Accent1 2 3 3" xfId="654" xr:uid="{00000000-0005-0000-0000-0000E24A0000}"/>
    <cellStyle name="40% - Accent1 2 3 3 10" xfId="1852" xr:uid="{00000000-0005-0000-0000-0000E34A0000}"/>
    <cellStyle name="40% - Accent1 2 3 3 2" xfId="2294" xr:uid="{00000000-0005-0000-0000-0000E44A0000}"/>
    <cellStyle name="40% - Accent1 2 3 3 2 2" xfId="3108" xr:uid="{00000000-0005-0000-0000-0000E54A0000}"/>
    <cellStyle name="40% - Accent1 2 3 3 2 2 2" xfId="4765" xr:uid="{00000000-0005-0000-0000-0000E64A0000}"/>
    <cellStyle name="40% - Accent1 2 3 3 2 2 2 2" xfId="7996" xr:uid="{00000000-0005-0000-0000-0000E74A0000}"/>
    <cellStyle name="40% - Accent1 2 3 3 2 2 2 2 2" xfId="14455" xr:uid="{00000000-0005-0000-0000-0000E84A0000}"/>
    <cellStyle name="40% - Accent1 2 3 3 2 2 2 2 2 2" xfId="27372" xr:uid="{00000000-0005-0000-0000-0000E94A0000}"/>
    <cellStyle name="40% - Accent1 2 3 3 2 2 2 2 2 2 2" xfId="53246" xr:uid="{00000000-0005-0000-0000-0000EA4A0000}"/>
    <cellStyle name="40% - Accent1 2 3 3 2 2 2 2 2 3" xfId="40330" xr:uid="{00000000-0005-0000-0000-0000EB4A0000}"/>
    <cellStyle name="40% - Accent1 2 3 3 2 2 2 2 3" xfId="20914" xr:uid="{00000000-0005-0000-0000-0000EC4A0000}"/>
    <cellStyle name="40% - Accent1 2 3 3 2 2 2 2 3 2" xfId="46788" xr:uid="{00000000-0005-0000-0000-0000ED4A0000}"/>
    <cellStyle name="40% - Accent1 2 3 3 2 2 2 2 4" xfId="33872" xr:uid="{00000000-0005-0000-0000-0000EE4A0000}"/>
    <cellStyle name="40% - Accent1 2 3 3 2 2 2 3" xfId="11227" xr:uid="{00000000-0005-0000-0000-0000EF4A0000}"/>
    <cellStyle name="40% - Accent1 2 3 3 2 2 2 3 2" xfId="24144" xr:uid="{00000000-0005-0000-0000-0000F04A0000}"/>
    <cellStyle name="40% - Accent1 2 3 3 2 2 2 3 2 2" xfId="50018" xr:uid="{00000000-0005-0000-0000-0000F14A0000}"/>
    <cellStyle name="40% - Accent1 2 3 3 2 2 2 3 3" xfId="37102" xr:uid="{00000000-0005-0000-0000-0000F24A0000}"/>
    <cellStyle name="40% - Accent1 2 3 3 2 2 2 4" xfId="17686" xr:uid="{00000000-0005-0000-0000-0000F34A0000}"/>
    <cellStyle name="40% - Accent1 2 3 3 2 2 2 4 2" xfId="43560" xr:uid="{00000000-0005-0000-0000-0000F44A0000}"/>
    <cellStyle name="40% - Accent1 2 3 3 2 2 2 5" xfId="30612" xr:uid="{00000000-0005-0000-0000-0000F54A0000}"/>
    <cellStyle name="40% - Accent1 2 3 3 2 2 3" xfId="6382" xr:uid="{00000000-0005-0000-0000-0000F64A0000}"/>
    <cellStyle name="40% - Accent1 2 3 3 2 2 3 2" xfId="12841" xr:uid="{00000000-0005-0000-0000-0000F74A0000}"/>
    <cellStyle name="40% - Accent1 2 3 3 2 2 3 2 2" xfId="25758" xr:uid="{00000000-0005-0000-0000-0000F84A0000}"/>
    <cellStyle name="40% - Accent1 2 3 3 2 2 3 2 2 2" xfId="51632" xr:uid="{00000000-0005-0000-0000-0000F94A0000}"/>
    <cellStyle name="40% - Accent1 2 3 3 2 2 3 2 3" xfId="38716" xr:uid="{00000000-0005-0000-0000-0000FA4A0000}"/>
    <cellStyle name="40% - Accent1 2 3 3 2 2 3 3" xfId="19300" xr:uid="{00000000-0005-0000-0000-0000FB4A0000}"/>
    <cellStyle name="40% - Accent1 2 3 3 2 2 3 3 2" xfId="45174" xr:uid="{00000000-0005-0000-0000-0000FC4A0000}"/>
    <cellStyle name="40% - Accent1 2 3 3 2 2 3 4" xfId="32258" xr:uid="{00000000-0005-0000-0000-0000FD4A0000}"/>
    <cellStyle name="40% - Accent1 2 3 3 2 2 4" xfId="9613" xr:uid="{00000000-0005-0000-0000-0000FE4A0000}"/>
    <cellStyle name="40% - Accent1 2 3 3 2 2 4 2" xfId="22530" xr:uid="{00000000-0005-0000-0000-0000FF4A0000}"/>
    <cellStyle name="40% - Accent1 2 3 3 2 2 4 2 2" xfId="48404" xr:uid="{00000000-0005-0000-0000-0000004B0000}"/>
    <cellStyle name="40% - Accent1 2 3 3 2 2 4 3" xfId="35488" xr:uid="{00000000-0005-0000-0000-0000014B0000}"/>
    <cellStyle name="40% - Accent1 2 3 3 2 2 5" xfId="16072" xr:uid="{00000000-0005-0000-0000-0000024B0000}"/>
    <cellStyle name="40% - Accent1 2 3 3 2 2 5 2" xfId="41946" xr:uid="{00000000-0005-0000-0000-0000034B0000}"/>
    <cellStyle name="40% - Accent1 2 3 3 2 2 6" xfId="28998" xr:uid="{00000000-0005-0000-0000-0000044B0000}"/>
    <cellStyle name="40% - Accent1 2 3 3 2 3" xfId="3935" xr:uid="{00000000-0005-0000-0000-0000054B0000}"/>
    <cellStyle name="40% - Accent1 2 3 3 2 3 2" xfId="7189" xr:uid="{00000000-0005-0000-0000-0000064B0000}"/>
    <cellStyle name="40% - Accent1 2 3 3 2 3 2 2" xfId="13648" xr:uid="{00000000-0005-0000-0000-0000074B0000}"/>
    <cellStyle name="40% - Accent1 2 3 3 2 3 2 2 2" xfId="26565" xr:uid="{00000000-0005-0000-0000-0000084B0000}"/>
    <cellStyle name="40% - Accent1 2 3 3 2 3 2 2 2 2" xfId="52439" xr:uid="{00000000-0005-0000-0000-0000094B0000}"/>
    <cellStyle name="40% - Accent1 2 3 3 2 3 2 2 3" xfId="39523" xr:uid="{00000000-0005-0000-0000-00000A4B0000}"/>
    <cellStyle name="40% - Accent1 2 3 3 2 3 2 3" xfId="20107" xr:uid="{00000000-0005-0000-0000-00000B4B0000}"/>
    <cellStyle name="40% - Accent1 2 3 3 2 3 2 3 2" xfId="45981" xr:uid="{00000000-0005-0000-0000-00000C4B0000}"/>
    <cellStyle name="40% - Accent1 2 3 3 2 3 2 4" xfId="33065" xr:uid="{00000000-0005-0000-0000-00000D4B0000}"/>
    <cellStyle name="40% - Accent1 2 3 3 2 3 3" xfId="10420" xr:uid="{00000000-0005-0000-0000-00000E4B0000}"/>
    <cellStyle name="40% - Accent1 2 3 3 2 3 3 2" xfId="23337" xr:uid="{00000000-0005-0000-0000-00000F4B0000}"/>
    <cellStyle name="40% - Accent1 2 3 3 2 3 3 2 2" xfId="49211" xr:uid="{00000000-0005-0000-0000-0000104B0000}"/>
    <cellStyle name="40% - Accent1 2 3 3 2 3 3 3" xfId="36295" xr:uid="{00000000-0005-0000-0000-0000114B0000}"/>
    <cellStyle name="40% - Accent1 2 3 3 2 3 4" xfId="16879" xr:uid="{00000000-0005-0000-0000-0000124B0000}"/>
    <cellStyle name="40% - Accent1 2 3 3 2 3 4 2" xfId="42753" xr:uid="{00000000-0005-0000-0000-0000134B0000}"/>
    <cellStyle name="40% - Accent1 2 3 3 2 3 5" xfId="29805" xr:uid="{00000000-0005-0000-0000-0000144B0000}"/>
    <cellStyle name="40% - Accent1 2 3 3 2 4" xfId="5575" xr:uid="{00000000-0005-0000-0000-0000154B0000}"/>
    <cellStyle name="40% - Accent1 2 3 3 2 4 2" xfId="12034" xr:uid="{00000000-0005-0000-0000-0000164B0000}"/>
    <cellStyle name="40% - Accent1 2 3 3 2 4 2 2" xfId="24951" xr:uid="{00000000-0005-0000-0000-0000174B0000}"/>
    <cellStyle name="40% - Accent1 2 3 3 2 4 2 2 2" xfId="50825" xr:uid="{00000000-0005-0000-0000-0000184B0000}"/>
    <cellStyle name="40% - Accent1 2 3 3 2 4 2 3" xfId="37909" xr:uid="{00000000-0005-0000-0000-0000194B0000}"/>
    <cellStyle name="40% - Accent1 2 3 3 2 4 3" xfId="18493" xr:uid="{00000000-0005-0000-0000-00001A4B0000}"/>
    <cellStyle name="40% - Accent1 2 3 3 2 4 3 2" xfId="44367" xr:uid="{00000000-0005-0000-0000-00001B4B0000}"/>
    <cellStyle name="40% - Accent1 2 3 3 2 4 4" xfId="31451" xr:uid="{00000000-0005-0000-0000-00001C4B0000}"/>
    <cellStyle name="40% - Accent1 2 3 3 2 5" xfId="8806" xr:uid="{00000000-0005-0000-0000-00001D4B0000}"/>
    <cellStyle name="40% - Accent1 2 3 3 2 5 2" xfId="21723" xr:uid="{00000000-0005-0000-0000-00001E4B0000}"/>
    <cellStyle name="40% - Accent1 2 3 3 2 5 2 2" xfId="47597" xr:uid="{00000000-0005-0000-0000-00001F4B0000}"/>
    <cellStyle name="40% - Accent1 2 3 3 2 5 3" xfId="34681" xr:uid="{00000000-0005-0000-0000-0000204B0000}"/>
    <cellStyle name="40% - Accent1 2 3 3 2 6" xfId="15265" xr:uid="{00000000-0005-0000-0000-0000214B0000}"/>
    <cellStyle name="40% - Accent1 2 3 3 2 6 2" xfId="41139" xr:uid="{00000000-0005-0000-0000-0000224B0000}"/>
    <cellStyle name="40% - Accent1 2 3 3 2 7" xfId="28191" xr:uid="{00000000-0005-0000-0000-0000234B0000}"/>
    <cellStyle name="40% - Accent1 2 3 3 2 8" xfId="54053" xr:uid="{00000000-0005-0000-0000-0000244B0000}"/>
    <cellStyle name="40% - Accent1 2 3 3 3" xfId="2705" xr:uid="{00000000-0005-0000-0000-0000254B0000}"/>
    <cellStyle name="40% - Accent1 2 3 3 3 2" xfId="4362" xr:uid="{00000000-0005-0000-0000-0000264B0000}"/>
    <cellStyle name="40% - Accent1 2 3 3 3 2 2" xfId="7593" xr:uid="{00000000-0005-0000-0000-0000274B0000}"/>
    <cellStyle name="40% - Accent1 2 3 3 3 2 2 2" xfId="14052" xr:uid="{00000000-0005-0000-0000-0000284B0000}"/>
    <cellStyle name="40% - Accent1 2 3 3 3 2 2 2 2" xfId="26969" xr:uid="{00000000-0005-0000-0000-0000294B0000}"/>
    <cellStyle name="40% - Accent1 2 3 3 3 2 2 2 2 2" xfId="52843" xr:uid="{00000000-0005-0000-0000-00002A4B0000}"/>
    <cellStyle name="40% - Accent1 2 3 3 3 2 2 2 3" xfId="39927" xr:uid="{00000000-0005-0000-0000-00002B4B0000}"/>
    <cellStyle name="40% - Accent1 2 3 3 3 2 2 3" xfId="20511" xr:uid="{00000000-0005-0000-0000-00002C4B0000}"/>
    <cellStyle name="40% - Accent1 2 3 3 3 2 2 3 2" xfId="46385" xr:uid="{00000000-0005-0000-0000-00002D4B0000}"/>
    <cellStyle name="40% - Accent1 2 3 3 3 2 2 4" xfId="33469" xr:uid="{00000000-0005-0000-0000-00002E4B0000}"/>
    <cellStyle name="40% - Accent1 2 3 3 3 2 3" xfId="10824" xr:uid="{00000000-0005-0000-0000-00002F4B0000}"/>
    <cellStyle name="40% - Accent1 2 3 3 3 2 3 2" xfId="23741" xr:uid="{00000000-0005-0000-0000-0000304B0000}"/>
    <cellStyle name="40% - Accent1 2 3 3 3 2 3 2 2" xfId="49615" xr:uid="{00000000-0005-0000-0000-0000314B0000}"/>
    <cellStyle name="40% - Accent1 2 3 3 3 2 3 3" xfId="36699" xr:uid="{00000000-0005-0000-0000-0000324B0000}"/>
    <cellStyle name="40% - Accent1 2 3 3 3 2 4" xfId="17283" xr:uid="{00000000-0005-0000-0000-0000334B0000}"/>
    <cellStyle name="40% - Accent1 2 3 3 3 2 4 2" xfId="43157" xr:uid="{00000000-0005-0000-0000-0000344B0000}"/>
    <cellStyle name="40% - Accent1 2 3 3 3 2 5" xfId="30209" xr:uid="{00000000-0005-0000-0000-0000354B0000}"/>
    <cellStyle name="40% - Accent1 2 3 3 3 3" xfId="5979" xr:uid="{00000000-0005-0000-0000-0000364B0000}"/>
    <cellStyle name="40% - Accent1 2 3 3 3 3 2" xfId="12438" xr:uid="{00000000-0005-0000-0000-0000374B0000}"/>
    <cellStyle name="40% - Accent1 2 3 3 3 3 2 2" xfId="25355" xr:uid="{00000000-0005-0000-0000-0000384B0000}"/>
    <cellStyle name="40% - Accent1 2 3 3 3 3 2 2 2" xfId="51229" xr:uid="{00000000-0005-0000-0000-0000394B0000}"/>
    <cellStyle name="40% - Accent1 2 3 3 3 3 2 3" xfId="38313" xr:uid="{00000000-0005-0000-0000-00003A4B0000}"/>
    <cellStyle name="40% - Accent1 2 3 3 3 3 3" xfId="18897" xr:uid="{00000000-0005-0000-0000-00003B4B0000}"/>
    <cellStyle name="40% - Accent1 2 3 3 3 3 3 2" xfId="44771" xr:uid="{00000000-0005-0000-0000-00003C4B0000}"/>
    <cellStyle name="40% - Accent1 2 3 3 3 3 4" xfId="31855" xr:uid="{00000000-0005-0000-0000-00003D4B0000}"/>
    <cellStyle name="40% - Accent1 2 3 3 3 4" xfId="9210" xr:uid="{00000000-0005-0000-0000-00003E4B0000}"/>
    <cellStyle name="40% - Accent1 2 3 3 3 4 2" xfId="22127" xr:uid="{00000000-0005-0000-0000-00003F4B0000}"/>
    <cellStyle name="40% - Accent1 2 3 3 3 4 2 2" xfId="48001" xr:uid="{00000000-0005-0000-0000-0000404B0000}"/>
    <cellStyle name="40% - Accent1 2 3 3 3 4 3" xfId="35085" xr:uid="{00000000-0005-0000-0000-0000414B0000}"/>
    <cellStyle name="40% - Accent1 2 3 3 3 5" xfId="15669" xr:uid="{00000000-0005-0000-0000-0000424B0000}"/>
    <cellStyle name="40% - Accent1 2 3 3 3 5 2" xfId="41543" xr:uid="{00000000-0005-0000-0000-0000434B0000}"/>
    <cellStyle name="40% - Accent1 2 3 3 3 6" xfId="28595" xr:uid="{00000000-0005-0000-0000-0000444B0000}"/>
    <cellStyle name="40% - Accent1 2 3 3 4" xfId="3532" xr:uid="{00000000-0005-0000-0000-0000454B0000}"/>
    <cellStyle name="40% - Accent1 2 3 3 4 2" xfId="6786" xr:uid="{00000000-0005-0000-0000-0000464B0000}"/>
    <cellStyle name="40% - Accent1 2 3 3 4 2 2" xfId="13245" xr:uid="{00000000-0005-0000-0000-0000474B0000}"/>
    <cellStyle name="40% - Accent1 2 3 3 4 2 2 2" xfId="26162" xr:uid="{00000000-0005-0000-0000-0000484B0000}"/>
    <cellStyle name="40% - Accent1 2 3 3 4 2 2 2 2" xfId="52036" xr:uid="{00000000-0005-0000-0000-0000494B0000}"/>
    <cellStyle name="40% - Accent1 2 3 3 4 2 2 3" xfId="39120" xr:uid="{00000000-0005-0000-0000-00004A4B0000}"/>
    <cellStyle name="40% - Accent1 2 3 3 4 2 3" xfId="19704" xr:uid="{00000000-0005-0000-0000-00004B4B0000}"/>
    <cellStyle name="40% - Accent1 2 3 3 4 2 3 2" xfId="45578" xr:uid="{00000000-0005-0000-0000-00004C4B0000}"/>
    <cellStyle name="40% - Accent1 2 3 3 4 2 4" xfId="32662" xr:uid="{00000000-0005-0000-0000-00004D4B0000}"/>
    <cellStyle name="40% - Accent1 2 3 3 4 3" xfId="10017" xr:uid="{00000000-0005-0000-0000-00004E4B0000}"/>
    <cellStyle name="40% - Accent1 2 3 3 4 3 2" xfId="22934" xr:uid="{00000000-0005-0000-0000-00004F4B0000}"/>
    <cellStyle name="40% - Accent1 2 3 3 4 3 2 2" xfId="48808" xr:uid="{00000000-0005-0000-0000-0000504B0000}"/>
    <cellStyle name="40% - Accent1 2 3 3 4 3 3" xfId="35892" xr:uid="{00000000-0005-0000-0000-0000514B0000}"/>
    <cellStyle name="40% - Accent1 2 3 3 4 4" xfId="16476" xr:uid="{00000000-0005-0000-0000-0000524B0000}"/>
    <cellStyle name="40% - Accent1 2 3 3 4 4 2" xfId="42350" xr:uid="{00000000-0005-0000-0000-0000534B0000}"/>
    <cellStyle name="40% - Accent1 2 3 3 4 5" xfId="29402" xr:uid="{00000000-0005-0000-0000-0000544B0000}"/>
    <cellStyle name="40% - Accent1 2 3 3 5" xfId="5172" xr:uid="{00000000-0005-0000-0000-0000554B0000}"/>
    <cellStyle name="40% - Accent1 2 3 3 5 2" xfId="11631" xr:uid="{00000000-0005-0000-0000-0000564B0000}"/>
    <cellStyle name="40% - Accent1 2 3 3 5 2 2" xfId="24548" xr:uid="{00000000-0005-0000-0000-0000574B0000}"/>
    <cellStyle name="40% - Accent1 2 3 3 5 2 2 2" xfId="50422" xr:uid="{00000000-0005-0000-0000-0000584B0000}"/>
    <cellStyle name="40% - Accent1 2 3 3 5 2 3" xfId="37506" xr:uid="{00000000-0005-0000-0000-0000594B0000}"/>
    <cellStyle name="40% - Accent1 2 3 3 5 3" xfId="18090" xr:uid="{00000000-0005-0000-0000-00005A4B0000}"/>
    <cellStyle name="40% - Accent1 2 3 3 5 3 2" xfId="43964" xr:uid="{00000000-0005-0000-0000-00005B4B0000}"/>
    <cellStyle name="40% - Accent1 2 3 3 5 4" xfId="31048" xr:uid="{00000000-0005-0000-0000-00005C4B0000}"/>
    <cellStyle name="40% - Accent1 2 3 3 6" xfId="8402" xr:uid="{00000000-0005-0000-0000-00005D4B0000}"/>
    <cellStyle name="40% - Accent1 2 3 3 6 2" xfId="21319" xr:uid="{00000000-0005-0000-0000-00005E4B0000}"/>
    <cellStyle name="40% - Accent1 2 3 3 6 2 2" xfId="47193" xr:uid="{00000000-0005-0000-0000-00005F4B0000}"/>
    <cellStyle name="40% - Accent1 2 3 3 6 3" xfId="34277" xr:uid="{00000000-0005-0000-0000-0000604B0000}"/>
    <cellStyle name="40% - Accent1 2 3 3 7" xfId="14861" xr:uid="{00000000-0005-0000-0000-0000614B0000}"/>
    <cellStyle name="40% - Accent1 2 3 3 7 2" xfId="40735" xr:uid="{00000000-0005-0000-0000-0000624B0000}"/>
    <cellStyle name="40% - Accent1 2 3 3 8" xfId="27787" xr:uid="{00000000-0005-0000-0000-0000634B0000}"/>
    <cellStyle name="40% - Accent1 2 3 3 9" xfId="53650" xr:uid="{00000000-0005-0000-0000-0000644B0000}"/>
    <cellStyle name="40% - Accent1 2 3 4" xfId="651" xr:uid="{00000000-0005-0000-0000-0000654B0000}"/>
    <cellStyle name="40% - Accent1 2 3 4 2" xfId="2912" xr:uid="{00000000-0005-0000-0000-0000664B0000}"/>
    <cellStyle name="40% - Accent1 2 3 4 2 2" xfId="4569" xr:uid="{00000000-0005-0000-0000-0000674B0000}"/>
    <cellStyle name="40% - Accent1 2 3 4 2 2 2" xfId="7800" xr:uid="{00000000-0005-0000-0000-0000684B0000}"/>
    <cellStyle name="40% - Accent1 2 3 4 2 2 2 2" xfId="14259" xr:uid="{00000000-0005-0000-0000-0000694B0000}"/>
    <cellStyle name="40% - Accent1 2 3 4 2 2 2 2 2" xfId="27176" xr:uid="{00000000-0005-0000-0000-00006A4B0000}"/>
    <cellStyle name="40% - Accent1 2 3 4 2 2 2 2 2 2" xfId="53050" xr:uid="{00000000-0005-0000-0000-00006B4B0000}"/>
    <cellStyle name="40% - Accent1 2 3 4 2 2 2 2 3" xfId="40134" xr:uid="{00000000-0005-0000-0000-00006C4B0000}"/>
    <cellStyle name="40% - Accent1 2 3 4 2 2 2 3" xfId="20718" xr:uid="{00000000-0005-0000-0000-00006D4B0000}"/>
    <cellStyle name="40% - Accent1 2 3 4 2 2 2 3 2" xfId="46592" xr:uid="{00000000-0005-0000-0000-00006E4B0000}"/>
    <cellStyle name="40% - Accent1 2 3 4 2 2 2 4" xfId="33676" xr:uid="{00000000-0005-0000-0000-00006F4B0000}"/>
    <cellStyle name="40% - Accent1 2 3 4 2 2 3" xfId="11031" xr:uid="{00000000-0005-0000-0000-0000704B0000}"/>
    <cellStyle name="40% - Accent1 2 3 4 2 2 3 2" xfId="23948" xr:uid="{00000000-0005-0000-0000-0000714B0000}"/>
    <cellStyle name="40% - Accent1 2 3 4 2 2 3 2 2" xfId="49822" xr:uid="{00000000-0005-0000-0000-0000724B0000}"/>
    <cellStyle name="40% - Accent1 2 3 4 2 2 3 3" xfId="36906" xr:uid="{00000000-0005-0000-0000-0000734B0000}"/>
    <cellStyle name="40% - Accent1 2 3 4 2 2 4" xfId="17490" xr:uid="{00000000-0005-0000-0000-0000744B0000}"/>
    <cellStyle name="40% - Accent1 2 3 4 2 2 4 2" xfId="43364" xr:uid="{00000000-0005-0000-0000-0000754B0000}"/>
    <cellStyle name="40% - Accent1 2 3 4 2 2 5" xfId="30416" xr:uid="{00000000-0005-0000-0000-0000764B0000}"/>
    <cellStyle name="40% - Accent1 2 3 4 2 3" xfId="6186" xr:uid="{00000000-0005-0000-0000-0000774B0000}"/>
    <cellStyle name="40% - Accent1 2 3 4 2 3 2" xfId="12645" xr:uid="{00000000-0005-0000-0000-0000784B0000}"/>
    <cellStyle name="40% - Accent1 2 3 4 2 3 2 2" xfId="25562" xr:uid="{00000000-0005-0000-0000-0000794B0000}"/>
    <cellStyle name="40% - Accent1 2 3 4 2 3 2 2 2" xfId="51436" xr:uid="{00000000-0005-0000-0000-00007A4B0000}"/>
    <cellStyle name="40% - Accent1 2 3 4 2 3 2 3" xfId="38520" xr:uid="{00000000-0005-0000-0000-00007B4B0000}"/>
    <cellStyle name="40% - Accent1 2 3 4 2 3 3" xfId="19104" xr:uid="{00000000-0005-0000-0000-00007C4B0000}"/>
    <cellStyle name="40% - Accent1 2 3 4 2 3 3 2" xfId="44978" xr:uid="{00000000-0005-0000-0000-00007D4B0000}"/>
    <cellStyle name="40% - Accent1 2 3 4 2 3 4" xfId="32062" xr:uid="{00000000-0005-0000-0000-00007E4B0000}"/>
    <cellStyle name="40% - Accent1 2 3 4 2 4" xfId="9417" xr:uid="{00000000-0005-0000-0000-00007F4B0000}"/>
    <cellStyle name="40% - Accent1 2 3 4 2 4 2" xfId="22334" xr:uid="{00000000-0005-0000-0000-0000804B0000}"/>
    <cellStyle name="40% - Accent1 2 3 4 2 4 2 2" xfId="48208" xr:uid="{00000000-0005-0000-0000-0000814B0000}"/>
    <cellStyle name="40% - Accent1 2 3 4 2 4 3" xfId="35292" xr:uid="{00000000-0005-0000-0000-0000824B0000}"/>
    <cellStyle name="40% - Accent1 2 3 4 2 5" xfId="15876" xr:uid="{00000000-0005-0000-0000-0000834B0000}"/>
    <cellStyle name="40% - Accent1 2 3 4 2 5 2" xfId="41750" xr:uid="{00000000-0005-0000-0000-0000844B0000}"/>
    <cellStyle name="40% - Accent1 2 3 4 2 6" xfId="28802" xr:uid="{00000000-0005-0000-0000-0000854B0000}"/>
    <cellStyle name="40% - Accent1 2 3 4 3" xfId="3739" xr:uid="{00000000-0005-0000-0000-0000864B0000}"/>
    <cellStyle name="40% - Accent1 2 3 4 3 2" xfId="6993" xr:uid="{00000000-0005-0000-0000-0000874B0000}"/>
    <cellStyle name="40% - Accent1 2 3 4 3 2 2" xfId="13452" xr:uid="{00000000-0005-0000-0000-0000884B0000}"/>
    <cellStyle name="40% - Accent1 2 3 4 3 2 2 2" xfId="26369" xr:uid="{00000000-0005-0000-0000-0000894B0000}"/>
    <cellStyle name="40% - Accent1 2 3 4 3 2 2 2 2" xfId="52243" xr:uid="{00000000-0005-0000-0000-00008A4B0000}"/>
    <cellStyle name="40% - Accent1 2 3 4 3 2 2 3" xfId="39327" xr:uid="{00000000-0005-0000-0000-00008B4B0000}"/>
    <cellStyle name="40% - Accent1 2 3 4 3 2 3" xfId="19911" xr:uid="{00000000-0005-0000-0000-00008C4B0000}"/>
    <cellStyle name="40% - Accent1 2 3 4 3 2 3 2" xfId="45785" xr:uid="{00000000-0005-0000-0000-00008D4B0000}"/>
    <cellStyle name="40% - Accent1 2 3 4 3 2 4" xfId="32869" xr:uid="{00000000-0005-0000-0000-00008E4B0000}"/>
    <cellStyle name="40% - Accent1 2 3 4 3 3" xfId="10224" xr:uid="{00000000-0005-0000-0000-00008F4B0000}"/>
    <cellStyle name="40% - Accent1 2 3 4 3 3 2" xfId="23141" xr:uid="{00000000-0005-0000-0000-0000904B0000}"/>
    <cellStyle name="40% - Accent1 2 3 4 3 3 2 2" xfId="49015" xr:uid="{00000000-0005-0000-0000-0000914B0000}"/>
    <cellStyle name="40% - Accent1 2 3 4 3 3 3" xfId="36099" xr:uid="{00000000-0005-0000-0000-0000924B0000}"/>
    <cellStyle name="40% - Accent1 2 3 4 3 4" xfId="16683" xr:uid="{00000000-0005-0000-0000-0000934B0000}"/>
    <cellStyle name="40% - Accent1 2 3 4 3 4 2" xfId="42557" xr:uid="{00000000-0005-0000-0000-0000944B0000}"/>
    <cellStyle name="40% - Accent1 2 3 4 3 5" xfId="29609" xr:uid="{00000000-0005-0000-0000-0000954B0000}"/>
    <cellStyle name="40% - Accent1 2 3 4 4" xfId="5379" xr:uid="{00000000-0005-0000-0000-0000964B0000}"/>
    <cellStyle name="40% - Accent1 2 3 4 4 2" xfId="11838" xr:uid="{00000000-0005-0000-0000-0000974B0000}"/>
    <cellStyle name="40% - Accent1 2 3 4 4 2 2" xfId="24755" xr:uid="{00000000-0005-0000-0000-0000984B0000}"/>
    <cellStyle name="40% - Accent1 2 3 4 4 2 2 2" xfId="50629" xr:uid="{00000000-0005-0000-0000-0000994B0000}"/>
    <cellStyle name="40% - Accent1 2 3 4 4 2 3" xfId="37713" xr:uid="{00000000-0005-0000-0000-00009A4B0000}"/>
    <cellStyle name="40% - Accent1 2 3 4 4 3" xfId="18297" xr:uid="{00000000-0005-0000-0000-00009B4B0000}"/>
    <cellStyle name="40% - Accent1 2 3 4 4 3 2" xfId="44171" xr:uid="{00000000-0005-0000-0000-00009C4B0000}"/>
    <cellStyle name="40% - Accent1 2 3 4 4 4" xfId="31255" xr:uid="{00000000-0005-0000-0000-00009D4B0000}"/>
    <cellStyle name="40% - Accent1 2 3 4 5" xfId="8610" xr:uid="{00000000-0005-0000-0000-00009E4B0000}"/>
    <cellStyle name="40% - Accent1 2 3 4 5 2" xfId="21527" xr:uid="{00000000-0005-0000-0000-00009F4B0000}"/>
    <cellStyle name="40% - Accent1 2 3 4 5 2 2" xfId="47401" xr:uid="{00000000-0005-0000-0000-0000A04B0000}"/>
    <cellStyle name="40% - Accent1 2 3 4 5 3" xfId="34485" xr:uid="{00000000-0005-0000-0000-0000A14B0000}"/>
    <cellStyle name="40% - Accent1 2 3 4 6" xfId="15069" xr:uid="{00000000-0005-0000-0000-0000A24B0000}"/>
    <cellStyle name="40% - Accent1 2 3 4 6 2" xfId="40943" xr:uid="{00000000-0005-0000-0000-0000A34B0000}"/>
    <cellStyle name="40% - Accent1 2 3 4 7" xfId="27995" xr:uid="{00000000-0005-0000-0000-0000A44B0000}"/>
    <cellStyle name="40% - Accent1 2 3 4 8" xfId="53857" xr:uid="{00000000-0005-0000-0000-0000A54B0000}"/>
    <cellStyle name="40% - Accent1 2 3 4 9" xfId="2096" xr:uid="{00000000-0005-0000-0000-0000A64B0000}"/>
    <cellStyle name="40% - Accent1 2 3 5" xfId="2510" xr:uid="{00000000-0005-0000-0000-0000A74B0000}"/>
    <cellStyle name="40% - Accent1 2 3 5 2" xfId="4167" xr:uid="{00000000-0005-0000-0000-0000A84B0000}"/>
    <cellStyle name="40% - Accent1 2 3 5 2 2" xfId="7398" xr:uid="{00000000-0005-0000-0000-0000A94B0000}"/>
    <cellStyle name="40% - Accent1 2 3 5 2 2 2" xfId="13857" xr:uid="{00000000-0005-0000-0000-0000AA4B0000}"/>
    <cellStyle name="40% - Accent1 2 3 5 2 2 2 2" xfId="26774" xr:uid="{00000000-0005-0000-0000-0000AB4B0000}"/>
    <cellStyle name="40% - Accent1 2 3 5 2 2 2 2 2" xfId="52648" xr:uid="{00000000-0005-0000-0000-0000AC4B0000}"/>
    <cellStyle name="40% - Accent1 2 3 5 2 2 2 3" xfId="39732" xr:uid="{00000000-0005-0000-0000-0000AD4B0000}"/>
    <cellStyle name="40% - Accent1 2 3 5 2 2 3" xfId="20316" xr:uid="{00000000-0005-0000-0000-0000AE4B0000}"/>
    <cellStyle name="40% - Accent1 2 3 5 2 2 3 2" xfId="46190" xr:uid="{00000000-0005-0000-0000-0000AF4B0000}"/>
    <cellStyle name="40% - Accent1 2 3 5 2 2 4" xfId="33274" xr:uid="{00000000-0005-0000-0000-0000B04B0000}"/>
    <cellStyle name="40% - Accent1 2 3 5 2 3" xfId="10629" xr:uid="{00000000-0005-0000-0000-0000B14B0000}"/>
    <cellStyle name="40% - Accent1 2 3 5 2 3 2" xfId="23546" xr:uid="{00000000-0005-0000-0000-0000B24B0000}"/>
    <cellStyle name="40% - Accent1 2 3 5 2 3 2 2" xfId="49420" xr:uid="{00000000-0005-0000-0000-0000B34B0000}"/>
    <cellStyle name="40% - Accent1 2 3 5 2 3 3" xfId="36504" xr:uid="{00000000-0005-0000-0000-0000B44B0000}"/>
    <cellStyle name="40% - Accent1 2 3 5 2 4" xfId="17088" xr:uid="{00000000-0005-0000-0000-0000B54B0000}"/>
    <cellStyle name="40% - Accent1 2 3 5 2 4 2" xfId="42962" xr:uid="{00000000-0005-0000-0000-0000B64B0000}"/>
    <cellStyle name="40% - Accent1 2 3 5 2 5" xfId="30014" xr:uid="{00000000-0005-0000-0000-0000B74B0000}"/>
    <cellStyle name="40% - Accent1 2 3 5 3" xfId="5784" xr:uid="{00000000-0005-0000-0000-0000B84B0000}"/>
    <cellStyle name="40% - Accent1 2 3 5 3 2" xfId="12243" xr:uid="{00000000-0005-0000-0000-0000B94B0000}"/>
    <cellStyle name="40% - Accent1 2 3 5 3 2 2" xfId="25160" xr:uid="{00000000-0005-0000-0000-0000BA4B0000}"/>
    <cellStyle name="40% - Accent1 2 3 5 3 2 2 2" xfId="51034" xr:uid="{00000000-0005-0000-0000-0000BB4B0000}"/>
    <cellStyle name="40% - Accent1 2 3 5 3 2 3" xfId="38118" xr:uid="{00000000-0005-0000-0000-0000BC4B0000}"/>
    <cellStyle name="40% - Accent1 2 3 5 3 3" xfId="18702" xr:uid="{00000000-0005-0000-0000-0000BD4B0000}"/>
    <cellStyle name="40% - Accent1 2 3 5 3 3 2" xfId="44576" xr:uid="{00000000-0005-0000-0000-0000BE4B0000}"/>
    <cellStyle name="40% - Accent1 2 3 5 3 4" xfId="31660" xr:uid="{00000000-0005-0000-0000-0000BF4B0000}"/>
    <cellStyle name="40% - Accent1 2 3 5 4" xfId="9015" xr:uid="{00000000-0005-0000-0000-0000C04B0000}"/>
    <cellStyle name="40% - Accent1 2 3 5 4 2" xfId="21932" xr:uid="{00000000-0005-0000-0000-0000C14B0000}"/>
    <cellStyle name="40% - Accent1 2 3 5 4 2 2" xfId="47806" xr:uid="{00000000-0005-0000-0000-0000C24B0000}"/>
    <cellStyle name="40% - Accent1 2 3 5 4 3" xfId="34890" xr:uid="{00000000-0005-0000-0000-0000C34B0000}"/>
    <cellStyle name="40% - Accent1 2 3 5 5" xfId="15474" xr:uid="{00000000-0005-0000-0000-0000C44B0000}"/>
    <cellStyle name="40% - Accent1 2 3 5 5 2" xfId="41348" xr:uid="{00000000-0005-0000-0000-0000C54B0000}"/>
    <cellStyle name="40% - Accent1 2 3 5 6" xfId="28400" xr:uid="{00000000-0005-0000-0000-0000C64B0000}"/>
    <cellStyle name="40% - Accent1 2 3 6" xfId="3330" xr:uid="{00000000-0005-0000-0000-0000C74B0000}"/>
    <cellStyle name="40% - Accent1 2 3 6 2" xfId="6591" xr:uid="{00000000-0005-0000-0000-0000C84B0000}"/>
    <cellStyle name="40% - Accent1 2 3 6 2 2" xfId="13050" xr:uid="{00000000-0005-0000-0000-0000C94B0000}"/>
    <cellStyle name="40% - Accent1 2 3 6 2 2 2" xfId="25967" xr:uid="{00000000-0005-0000-0000-0000CA4B0000}"/>
    <cellStyle name="40% - Accent1 2 3 6 2 2 2 2" xfId="51841" xr:uid="{00000000-0005-0000-0000-0000CB4B0000}"/>
    <cellStyle name="40% - Accent1 2 3 6 2 2 3" xfId="38925" xr:uid="{00000000-0005-0000-0000-0000CC4B0000}"/>
    <cellStyle name="40% - Accent1 2 3 6 2 3" xfId="19509" xr:uid="{00000000-0005-0000-0000-0000CD4B0000}"/>
    <cellStyle name="40% - Accent1 2 3 6 2 3 2" xfId="45383" xr:uid="{00000000-0005-0000-0000-0000CE4B0000}"/>
    <cellStyle name="40% - Accent1 2 3 6 2 4" xfId="32467" xr:uid="{00000000-0005-0000-0000-0000CF4B0000}"/>
    <cellStyle name="40% - Accent1 2 3 6 3" xfId="9822" xr:uid="{00000000-0005-0000-0000-0000D04B0000}"/>
    <cellStyle name="40% - Accent1 2 3 6 3 2" xfId="22739" xr:uid="{00000000-0005-0000-0000-0000D14B0000}"/>
    <cellStyle name="40% - Accent1 2 3 6 3 2 2" xfId="48613" xr:uid="{00000000-0005-0000-0000-0000D24B0000}"/>
    <cellStyle name="40% - Accent1 2 3 6 3 3" xfId="35697" xr:uid="{00000000-0005-0000-0000-0000D34B0000}"/>
    <cellStyle name="40% - Accent1 2 3 6 4" xfId="16281" xr:uid="{00000000-0005-0000-0000-0000D44B0000}"/>
    <cellStyle name="40% - Accent1 2 3 6 4 2" xfId="42155" xr:uid="{00000000-0005-0000-0000-0000D54B0000}"/>
    <cellStyle name="40% - Accent1 2 3 6 5" xfId="29207" xr:uid="{00000000-0005-0000-0000-0000D64B0000}"/>
    <cellStyle name="40% - Accent1 2 3 7" xfId="4977" xr:uid="{00000000-0005-0000-0000-0000D74B0000}"/>
    <cellStyle name="40% - Accent1 2 3 7 2" xfId="11436" xr:uid="{00000000-0005-0000-0000-0000D84B0000}"/>
    <cellStyle name="40% - Accent1 2 3 7 2 2" xfId="24353" xr:uid="{00000000-0005-0000-0000-0000D94B0000}"/>
    <cellStyle name="40% - Accent1 2 3 7 2 2 2" xfId="50227" xr:uid="{00000000-0005-0000-0000-0000DA4B0000}"/>
    <cellStyle name="40% - Accent1 2 3 7 2 3" xfId="37311" xr:uid="{00000000-0005-0000-0000-0000DB4B0000}"/>
    <cellStyle name="40% - Accent1 2 3 7 3" xfId="17895" xr:uid="{00000000-0005-0000-0000-0000DC4B0000}"/>
    <cellStyle name="40% - Accent1 2 3 7 3 2" xfId="43769" xr:uid="{00000000-0005-0000-0000-0000DD4B0000}"/>
    <cellStyle name="40% - Accent1 2 3 7 4" xfId="30853" xr:uid="{00000000-0005-0000-0000-0000DE4B0000}"/>
    <cellStyle name="40% - Accent1 2 3 8" xfId="8208" xr:uid="{00000000-0005-0000-0000-0000DF4B0000}"/>
    <cellStyle name="40% - Accent1 2 3 8 2" xfId="21125" xr:uid="{00000000-0005-0000-0000-0000E04B0000}"/>
    <cellStyle name="40% - Accent1 2 3 8 2 2" xfId="46999" xr:uid="{00000000-0005-0000-0000-0000E14B0000}"/>
    <cellStyle name="40% - Accent1 2 3 8 3" xfId="34083" xr:uid="{00000000-0005-0000-0000-0000E24B0000}"/>
    <cellStyle name="40% - Accent1 2 3 9" xfId="14667" xr:uid="{00000000-0005-0000-0000-0000E34B0000}"/>
    <cellStyle name="40% - Accent1 2 3 9 2" xfId="40541" xr:uid="{00000000-0005-0000-0000-0000E44B0000}"/>
    <cellStyle name="40% - Accent1 2 4" xfId="1537" xr:uid="{00000000-0005-0000-0000-0000E54B0000}"/>
    <cellStyle name="40% - Accent1 2 4 10" xfId="53485" xr:uid="{00000000-0005-0000-0000-0000E64B0000}"/>
    <cellStyle name="40% - Accent1 2 4 2" xfId="1894" xr:uid="{00000000-0005-0000-0000-0000E74B0000}"/>
    <cellStyle name="40% - Accent1 2 4 2 2" xfId="2325" xr:uid="{00000000-0005-0000-0000-0000E84B0000}"/>
    <cellStyle name="40% - Accent1 2 4 2 2 2" xfId="3138" xr:uid="{00000000-0005-0000-0000-0000E94B0000}"/>
    <cellStyle name="40% - Accent1 2 4 2 2 2 2" xfId="4795" xr:uid="{00000000-0005-0000-0000-0000EA4B0000}"/>
    <cellStyle name="40% - Accent1 2 4 2 2 2 2 2" xfId="8026" xr:uid="{00000000-0005-0000-0000-0000EB4B0000}"/>
    <cellStyle name="40% - Accent1 2 4 2 2 2 2 2 2" xfId="14485" xr:uid="{00000000-0005-0000-0000-0000EC4B0000}"/>
    <cellStyle name="40% - Accent1 2 4 2 2 2 2 2 2 2" xfId="27402" xr:uid="{00000000-0005-0000-0000-0000ED4B0000}"/>
    <cellStyle name="40% - Accent1 2 4 2 2 2 2 2 2 2 2" xfId="53276" xr:uid="{00000000-0005-0000-0000-0000EE4B0000}"/>
    <cellStyle name="40% - Accent1 2 4 2 2 2 2 2 2 3" xfId="40360" xr:uid="{00000000-0005-0000-0000-0000EF4B0000}"/>
    <cellStyle name="40% - Accent1 2 4 2 2 2 2 2 3" xfId="20944" xr:uid="{00000000-0005-0000-0000-0000F04B0000}"/>
    <cellStyle name="40% - Accent1 2 4 2 2 2 2 2 3 2" xfId="46818" xr:uid="{00000000-0005-0000-0000-0000F14B0000}"/>
    <cellStyle name="40% - Accent1 2 4 2 2 2 2 2 4" xfId="33902" xr:uid="{00000000-0005-0000-0000-0000F24B0000}"/>
    <cellStyle name="40% - Accent1 2 4 2 2 2 2 3" xfId="11257" xr:uid="{00000000-0005-0000-0000-0000F34B0000}"/>
    <cellStyle name="40% - Accent1 2 4 2 2 2 2 3 2" xfId="24174" xr:uid="{00000000-0005-0000-0000-0000F44B0000}"/>
    <cellStyle name="40% - Accent1 2 4 2 2 2 2 3 2 2" xfId="50048" xr:uid="{00000000-0005-0000-0000-0000F54B0000}"/>
    <cellStyle name="40% - Accent1 2 4 2 2 2 2 3 3" xfId="37132" xr:uid="{00000000-0005-0000-0000-0000F64B0000}"/>
    <cellStyle name="40% - Accent1 2 4 2 2 2 2 4" xfId="17716" xr:uid="{00000000-0005-0000-0000-0000F74B0000}"/>
    <cellStyle name="40% - Accent1 2 4 2 2 2 2 4 2" xfId="43590" xr:uid="{00000000-0005-0000-0000-0000F84B0000}"/>
    <cellStyle name="40% - Accent1 2 4 2 2 2 2 5" xfId="30642" xr:uid="{00000000-0005-0000-0000-0000F94B0000}"/>
    <cellStyle name="40% - Accent1 2 4 2 2 2 3" xfId="6412" xr:uid="{00000000-0005-0000-0000-0000FA4B0000}"/>
    <cellStyle name="40% - Accent1 2 4 2 2 2 3 2" xfId="12871" xr:uid="{00000000-0005-0000-0000-0000FB4B0000}"/>
    <cellStyle name="40% - Accent1 2 4 2 2 2 3 2 2" xfId="25788" xr:uid="{00000000-0005-0000-0000-0000FC4B0000}"/>
    <cellStyle name="40% - Accent1 2 4 2 2 2 3 2 2 2" xfId="51662" xr:uid="{00000000-0005-0000-0000-0000FD4B0000}"/>
    <cellStyle name="40% - Accent1 2 4 2 2 2 3 2 3" xfId="38746" xr:uid="{00000000-0005-0000-0000-0000FE4B0000}"/>
    <cellStyle name="40% - Accent1 2 4 2 2 2 3 3" xfId="19330" xr:uid="{00000000-0005-0000-0000-0000FF4B0000}"/>
    <cellStyle name="40% - Accent1 2 4 2 2 2 3 3 2" xfId="45204" xr:uid="{00000000-0005-0000-0000-0000004C0000}"/>
    <cellStyle name="40% - Accent1 2 4 2 2 2 3 4" xfId="32288" xr:uid="{00000000-0005-0000-0000-0000014C0000}"/>
    <cellStyle name="40% - Accent1 2 4 2 2 2 4" xfId="9643" xr:uid="{00000000-0005-0000-0000-0000024C0000}"/>
    <cellStyle name="40% - Accent1 2 4 2 2 2 4 2" xfId="22560" xr:uid="{00000000-0005-0000-0000-0000034C0000}"/>
    <cellStyle name="40% - Accent1 2 4 2 2 2 4 2 2" xfId="48434" xr:uid="{00000000-0005-0000-0000-0000044C0000}"/>
    <cellStyle name="40% - Accent1 2 4 2 2 2 4 3" xfId="35518" xr:uid="{00000000-0005-0000-0000-0000054C0000}"/>
    <cellStyle name="40% - Accent1 2 4 2 2 2 5" xfId="16102" xr:uid="{00000000-0005-0000-0000-0000064C0000}"/>
    <cellStyle name="40% - Accent1 2 4 2 2 2 5 2" xfId="41976" xr:uid="{00000000-0005-0000-0000-0000074C0000}"/>
    <cellStyle name="40% - Accent1 2 4 2 2 2 6" xfId="29028" xr:uid="{00000000-0005-0000-0000-0000084C0000}"/>
    <cellStyle name="40% - Accent1 2 4 2 2 3" xfId="3965" xr:uid="{00000000-0005-0000-0000-0000094C0000}"/>
    <cellStyle name="40% - Accent1 2 4 2 2 3 2" xfId="7219" xr:uid="{00000000-0005-0000-0000-00000A4C0000}"/>
    <cellStyle name="40% - Accent1 2 4 2 2 3 2 2" xfId="13678" xr:uid="{00000000-0005-0000-0000-00000B4C0000}"/>
    <cellStyle name="40% - Accent1 2 4 2 2 3 2 2 2" xfId="26595" xr:uid="{00000000-0005-0000-0000-00000C4C0000}"/>
    <cellStyle name="40% - Accent1 2 4 2 2 3 2 2 2 2" xfId="52469" xr:uid="{00000000-0005-0000-0000-00000D4C0000}"/>
    <cellStyle name="40% - Accent1 2 4 2 2 3 2 2 3" xfId="39553" xr:uid="{00000000-0005-0000-0000-00000E4C0000}"/>
    <cellStyle name="40% - Accent1 2 4 2 2 3 2 3" xfId="20137" xr:uid="{00000000-0005-0000-0000-00000F4C0000}"/>
    <cellStyle name="40% - Accent1 2 4 2 2 3 2 3 2" xfId="46011" xr:uid="{00000000-0005-0000-0000-0000104C0000}"/>
    <cellStyle name="40% - Accent1 2 4 2 2 3 2 4" xfId="33095" xr:uid="{00000000-0005-0000-0000-0000114C0000}"/>
    <cellStyle name="40% - Accent1 2 4 2 2 3 3" xfId="10450" xr:uid="{00000000-0005-0000-0000-0000124C0000}"/>
    <cellStyle name="40% - Accent1 2 4 2 2 3 3 2" xfId="23367" xr:uid="{00000000-0005-0000-0000-0000134C0000}"/>
    <cellStyle name="40% - Accent1 2 4 2 2 3 3 2 2" xfId="49241" xr:uid="{00000000-0005-0000-0000-0000144C0000}"/>
    <cellStyle name="40% - Accent1 2 4 2 2 3 3 3" xfId="36325" xr:uid="{00000000-0005-0000-0000-0000154C0000}"/>
    <cellStyle name="40% - Accent1 2 4 2 2 3 4" xfId="16909" xr:uid="{00000000-0005-0000-0000-0000164C0000}"/>
    <cellStyle name="40% - Accent1 2 4 2 2 3 4 2" xfId="42783" xr:uid="{00000000-0005-0000-0000-0000174C0000}"/>
    <cellStyle name="40% - Accent1 2 4 2 2 3 5" xfId="29835" xr:uid="{00000000-0005-0000-0000-0000184C0000}"/>
    <cellStyle name="40% - Accent1 2 4 2 2 4" xfId="5605" xr:uid="{00000000-0005-0000-0000-0000194C0000}"/>
    <cellStyle name="40% - Accent1 2 4 2 2 4 2" xfId="12064" xr:uid="{00000000-0005-0000-0000-00001A4C0000}"/>
    <cellStyle name="40% - Accent1 2 4 2 2 4 2 2" xfId="24981" xr:uid="{00000000-0005-0000-0000-00001B4C0000}"/>
    <cellStyle name="40% - Accent1 2 4 2 2 4 2 2 2" xfId="50855" xr:uid="{00000000-0005-0000-0000-00001C4C0000}"/>
    <cellStyle name="40% - Accent1 2 4 2 2 4 2 3" xfId="37939" xr:uid="{00000000-0005-0000-0000-00001D4C0000}"/>
    <cellStyle name="40% - Accent1 2 4 2 2 4 3" xfId="18523" xr:uid="{00000000-0005-0000-0000-00001E4C0000}"/>
    <cellStyle name="40% - Accent1 2 4 2 2 4 3 2" xfId="44397" xr:uid="{00000000-0005-0000-0000-00001F4C0000}"/>
    <cellStyle name="40% - Accent1 2 4 2 2 4 4" xfId="31481" xr:uid="{00000000-0005-0000-0000-0000204C0000}"/>
    <cellStyle name="40% - Accent1 2 4 2 2 5" xfId="8836" xr:uid="{00000000-0005-0000-0000-0000214C0000}"/>
    <cellStyle name="40% - Accent1 2 4 2 2 5 2" xfId="21753" xr:uid="{00000000-0005-0000-0000-0000224C0000}"/>
    <cellStyle name="40% - Accent1 2 4 2 2 5 2 2" xfId="47627" xr:uid="{00000000-0005-0000-0000-0000234C0000}"/>
    <cellStyle name="40% - Accent1 2 4 2 2 5 3" xfId="34711" xr:uid="{00000000-0005-0000-0000-0000244C0000}"/>
    <cellStyle name="40% - Accent1 2 4 2 2 6" xfId="15295" xr:uid="{00000000-0005-0000-0000-0000254C0000}"/>
    <cellStyle name="40% - Accent1 2 4 2 2 6 2" xfId="41169" xr:uid="{00000000-0005-0000-0000-0000264C0000}"/>
    <cellStyle name="40% - Accent1 2 4 2 2 7" xfId="28221" xr:uid="{00000000-0005-0000-0000-0000274C0000}"/>
    <cellStyle name="40% - Accent1 2 4 2 2 8" xfId="54083" xr:uid="{00000000-0005-0000-0000-0000284C0000}"/>
    <cellStyle name="40% - Accent1 2 4 2 3" xfId="2734" xr:uid="{00000000-0005-0000-0000-0000294C0000}"/>
    <cellStyle name="40% - Accent1 2 4 2 3 2" xfId="4391" xr:uid="{00000000-0005-0000-0000-00002A4C0000}"/>
    <cellStyle name="40% - Accent1 2 4 2 3 2 2" xfId="7622" xr:uid="{00000000-0005-0000-0000-00002B4C0000}"/>
    <cellStyle name="40% - Accent1 2 4 2 3 2 2 2" xfId="14081" xr:uid="{00000000-0005-0000-0000-00002C4C0000}"/>
    <cellStyle name="40% - Accent1 2 4 2 3 2 2 2 2" xfId="26998" xr:uid="{00000000-0005-0000-0000-00002D4C0000}"/>
    <cellStyle name="40% - Accent1 2 4 2 3 2 2 2 2 2" xfId="52872" xr:uid="{00000000-0005-0000-0000-00002E4C0000}"/>
    <cellStyle name="40% - Accent1 2 4 2 3 2 2 2 3" xfId="39956" xr:uid="{00000000-0005-0000-0000-00002F4C0000}"/>
    <cellStyle name="40% - Accent1 2 4 2 3 2 2 3" xfId="20540" xr:uid="{00000000-0005-0000-0000-0000304C0000}"/>
    <cellStyle name="40% - Accent1 2 4 2 3 2 2 3 2" xfId="46414" xr:uid="{00000000-0005-0000-0000-0000314C0000}"/>
    <cellStyle name="40% - Accent1 2 4 2 3 2 2 4" xfId="33498" xr:uid="{00000000-0005-0000-0000-0000324C0000}"/>
    <cellStyle name="40% - Accent1 2 4 2 3 2 3" xfId="10853" xr:uid="{00000000-0005-0000-0000-0000334C0000}"/>
    <cellStyle name="40% - Accent1 2 4 2 3 2 3 2" xfId="23770" xr:uid="{00000000-0005-0000-0000-0000344C0000}"/>
    <cellStyle name="40% - Accent1 2 4 2 3 2 3 2 2" xfId="49644" xr:uid="{00000000-0005-0000-0000-0000354C0000}"/>
    <cellStyle name="40% - Accent1 2 4 2 3 2 3 3" xfId="36728" xr:uid="{00000000-0005-0000-0000-0000364C0000}"/>
    <cellStyle name="40% - Accent1 2 4 2 3 2 4" xfId="17312" xr:uid="{00000000-0005-0000-0000-0000374C0000}"/>
    <cellStyle name="40% - Accent1 2 4 2 3 2 4 2" xfId="43186" xr:uid="{00000000-0005-0000-0000-0000384C0000}"/>
    <cellStyle name="40% - Accent1 2 4 2 3 2 5" xfId="30238" xr:uid="{00000000-0005-0000-0000-0000394C0000}"/>
    <cellStyle name="40% - Accent1 2 4 2 3 3" xfId="6008" xr:uid="{00000000-0005-0000-0000-00003A4C0000}"/>
    <cellStyle name="40% - Accent1 2 4 2 3 3 2" xfId="12467" xr:uid="{00000000-0005-0000-0000-00003B4C0000}"/>
    <cellStyle name="40% - Accent1 2 4 2 3 3 2 2" xfId="25384" xr:uid="{00000000-0005-0000-0000-00003C4C0000}"/>
    <cellStyle name="40% - Accent1 2 4 2 3 3 2 2 2" xfId="51258" xr:uid="{00000000-0005-0000-0000-00003D4C0000}"/>
    <cellStyle name="40% - Accent1 2 4 2 3 3 2 3" xfId="38342" xr:uid="{00000000-0005-0000-0000-00003E4C0000}"/>
    <cellStyle name="40% - Accent1 2 4 2 3 3 3" xfId="18926" xr:uid="{00000000-0005-0000-0000-00003F4C0000}"/>
    <cellStyle name="40% - Accent1 2 4 2 3 3 3 2" xfId="44800" xr:uid="{00000000-0005-0000-0000-0000404C0000}"/>
    <cellStyle name="40% - Accent1 2 4 2 3 3 4" xfId="31884" xr:uid="{00000000-0005-0000-0000-0000414C0000}"/>
    <cellStyle name="40% - Accent1 2 4 2 3 4" xfId="9239" xr:uid="{00000000-0005-0000-0000-0000424C0000}"/>
    <cellStyle name="40% - Accent1 2 4 2 3 4 2" xfId="22156" xr:uid="{00000000-0005-0000-0000-0000434C0000}"/>
    <cellStyle name="40% - Accent1 2 4 2 3 4 2 2" xfId="48030" xr:uid="{00000000-0005-0000-0000-0000444C0000}"/>
    <cellStyle name="40% - Accent1 2 4 2 3 4 3" xfId="35114" xr:uid="{00000000-0005-0000-0000-0000454C0000}"/>
    <cellStyle name="40% - Accent1 2 4 2 3 5" xfId="15698" xr:uid="{00000000-0005-0000-0000-0000464C0000}"/>
    <cellStyle name="40% - Accent1 2 4 2 3 5 2" xfId="41572" xr:uid="{00000000-0005-0000-0000-0000474C0000}"/>
    <cellStyle name="40% - Accent1 2 4 2 3 6" xfId="28624" xr:uid="{00000000-0005-0000-0000-0000484C0000}"/>
    <cellStyle name="40% - Accent1 2 4 2 4" xfId="3561" xr:uid="{00000000-0005-0000-0000-0000494C0000}"/>
    <cellStyle name="40% - Accent1 2 4 2 4 2" xfId="6815" xr:uid="{00000000-0005-0000-0000-00004A4C0000}"/>
    <cellStyle name="40% - Accent1 2 4 2 4 2 2" xfId="13274" xr:uid="{00000000-0005-0000-0000-00004B4C0000}"/>
    <cellStyle name="40% - Accent1 2 4 2 4 2 2 2" xfId="26191" xr:uid="{00000000-0005-0000-0000-00004C4C0000}"/>
    <cellStyle name="40% - Accent1 2 4 2 4 2 2 2 2" xfId="52065" xr:uid="{00000000-0005-0000-0000-00004D4C0000}"/>
    <cellStyle name="40% - Accent1 2 4 2 4 2 2 3" xfId="39149" xr:uid="{00000000-0005-0000-0000-00004E4C0000}"/>
    <cellStyle name="40% - Accent1 2 4 2 4 2 3" xfId="19733" xr:uid="{00000000-0005-0000-0000-00004F4C0000}"/>
    <cellStyle name="40% - Accent1 2 4 2 4 2 3 2" xfId="45607" xr:uid="{00000000-0005-0000-0000-0000504C0000}"/>
    <cellStyle name="40% - Accent1 2 4 2 4 2 4" xfId="32691" xr:uid="{00000000-0005-0000-0000-0000514C0000}"/>
    <cellStyle name="40% - Accent1 2 4 2 4 3" xfId="10046" xr:uid="{00000000-0005-0000-0000-0000524C0000}"/>
    <cellStyle name="40% - Accent1 2 4 2 4 3 2" xfId="22963" xr:uid="{00000000-0005-0000-0000-0000534C0000}"/>
    <cellStyle name="40% - Accent1 2 4 2 4 3 2 2" xfId="48837" xr:uid="{00000000-0005-0000-0000-0000544C0000}"/>
    <cellStyle name="40% - Accent1 2 4 2 4 3 3" xfId="35921" xr:uid="{00000000-0005-0000-0000-0000554C0000}"/>
    <cellStyle name="40% - Accent1 2 4 2 4 4" xfId="16505" xr:uid="{00000000-0005-0000-0000-0000564C0000}"/>
    <cellStyle name="40% - Accent1 2 4 2 4 4 2" xfId="42379" xr:uid="{00000000-0005-0000-0000-0000574C0000}"/>
    <cellStyle name="40% - Accent1 2 4 2 4 5" xfId="29431" xr:uid="{00000000-0005-0000-0000-0000584C0000}"/>
    <cellStyle name="40% - Accent1 2 4 2 5" xfId="5201" xr:uid="{00000000-0005-0000-0000-0000594C0000}"/>
    <cellStyle name="40% - Accent1 2 4 2 5 2" xfId="11660" xr:uid="{00000000-0005-0000-0000-00005A4C0000}"/>
    <cellStyle name="40% - Accent1 2 4 2 5 2 2" xfId="24577" xr:uid="{00000000-0005-0000-0000-00005B4C0000}"/>
    <cellStyle name="40% - Accent1 2 4 2 5 2 2 2" xfId="50451" xr:uid="{00000000-0005-0000-0000-00005C4C0000}"/>
    <cellStyle name="40% - Accent1 2 4 2 5 2 3" xfId="37535" xr:uid="{00000000-0005-0000-0000-00005D4C0000}"/>
    <cellStyle name="40% - Accent1 2 4 2 5 3" xfId="18119" xr:uid="{00000000-0005-0000-0000-00005E4C0000}"/>
    <cellStyle name="40% - Accent1 2 4 2 5 3 2" xfId="43993" xr:uid="{00000000-0005-0000-0000-00005F4C0000}"/>
    <cellStyle name="40% - Accent1 2 4 2 5 4" xfId="31077" xr:uid="{00000000-0005-0000-0000-0000604C0000}"/>
    <cellStyle name="40% - Accent1 2 4 2 6" xfId="8432" xr:uid="{00000000-0005-0000-0000-0000614C0000}"/>
    <cellStyle name="40% - Accent1 2 4 2 6 2" xfId="21349" xr:uid="{00000000-0005-0000-0000-0000624C0000}"/>
    <cellStyle name="40% - Accent1 2 4 2 6 2 2" xfId="47223" xr:uid="{00000000-0005-0000-0000-0000634C0000}"/>
    <cellStyle name="40% - Accent1 2 4 2 6 3" xfId="34307" xr:uid="{00000000-0005-0000-0000-0000644C0000}"/>
    <cellStyle name="40% - Accent1 2 4 2 7" xfId="14891" xr:uid="{00000000-0005-0000-0000-0000654C0000}"/>
    <cellStyle name="40% - Accent1 2 4 2 7 2" xfId="40765" xr:uid="{00000000-0005-0000-0000-0000664C0000}"/>
    <cellStyle name="40% - Accent1 2 4 2 8" xfId="27816" xr:uid="{00000000-0005-0000-0000-0000674C0000}"/>
    <cellStyle name="40% - Accent1 2 4 2 9" xfId="53679" xr:uid="{00000000-0005-0000-0000-0000684C0000}"/>
    <cellStyle name="40% - Accent1 2 4 3" xfId="2129" xr:uid="{00000000-0005-0000-0000-0000694C0000}"/>
    <cellStyle name="40% - Accent1 2 4 3 2" xfId="2943" xr:uid="{00000000-0005-0000-0000-00006A4C0000}"/>
    <cellStyle name="40% - Accent1 2 4 3 2 2" xfId="4600" xr:uid="{00000000-0005-0000-0000-00006B4C0000}"/>
    <cellStyle name="40% - Accent1 2 4 3 2 2 2" xfId="7831" xr:uid="{00000000-0005-0000-0000-00006C4C0000}"/>
    <cellStyle name="40% - Accent1 2 4 3 2 2 2 2" xfId="14290" xr:uid="{00000000-0005-0000-0000-00006D4C0000}"/>
    <cellStyle name="40% - Accent1 2 4 3 2 2 2 2 2" xfId="27207" xr:uid="{00000000-0005-0000-0000-00006E4C0000}"/>
    <cellStyle name="40% - Accent1 2 4 3 2 2 2 2 2 2" xfId="53081" xr:uid="{00000000-0005-0000-0000-00006F4C0000}"/>
    <cellStyle name="40% - Accent1 2 4 3 2 2 2 2 3" xfId="40165" xr:uid="{00000000-0005-0000-0000-0000704C0000}"/>
    <cellStyle name="40% - Accent1 2 4 3 2 2 2 3" xfId="20749" xr:uid="{00000000-0005-0000-0000-0000714C0000}"/>
    <cellStyle name="40% - Accent1 2 4 3 2 2 2 3 2" xfId="46623" xr:uid="{00000000-0005-0000-0000-0000724C0000}"/>
    <cellStyle name="40% - Accent1 2 4 3 2 2 2 4" xfId="33707" xr:uid="{00000000-0005-0000-0000-0000734C0000}"/>
    <cellStyle name="40% - Accent1 2 4 3 2 2 3" xfId="11062" xr:uid="{00000000-0005-0000-0000-0000744C0000}"/>
    <cellStyle name="40% - Accent1 2 4 3 2 2 3 2" xfId="23979" xr:uid="{00000000-0005-0000-0000-0000754C0000}"/>
    <cellStyle name="40% - Accent1 2 4 3 2 2 3 2 2" xfId="49853" xr:uid="{00000000-0005-0000-0000-0000764C0000}"/>
    <cellStyle name="40% - Accent1 2 4 3 2 2 3 3" xfId="36937" xr:uid="{00000000-0005-0000-0000-0000774C0000}"/>
    <cellStyle name="40% - Accent1 2 4 3 2 2 4" xfId="17521" xr:uid="{00000000-0005-0000-0000-0000784C0000}"/>
    <cellStyle name="40% - Accent1 2 4 3 2 2 4 2" xfId="43395" xr:uid="{00000000-0005-0000-0000-0000794C0000}"/>
    <cellStyle name="40% - Accent1 2 4 3 2 2 5" xfId="30447" xr:uid="{00000000-0005-0000-0000-00007A4C0000}"/>
    <cellStyle name="40% - Accent1 2 4 3 2 3" xfId="6217" xr:uid="{00000000-0005-0000-0000-00007B4C0000}"/>
    <cellStyle name="40% - Accent1 2 4 3 2 3 2" xfId="12676" xr:uid="{00000000-0005-0000-0000-00007C4C0000}"/>
    <cellStyle name="40% - Accent1 2 4 3 2 3 2 2" xfId="25593" xr:uid="{00000000-0005-0000-0000-00007D4C0000}"/>
    <cellStyle name="40% - Accent1 2 4 3 2 3 2 2 2" xfId="51467" xr:uid="{00000000-0005-0000-0000-00007E4C0000}"/>
    <cellStyle name="40% - Accent1 2 4 3 2 3 2 3" xfId="38551" xr:uid="{00000000-0005-0000-0000-00007F4C0000}"/>
    <cellStyle name="40% - Accent1 2 4 3 2 3 3" xfId="19135" xr:uid="{00000000-0005-0000-0000-0000804C0000}"/>
    <cellStyle name="40% - Accent1 2 4 3 2 3 3 2" xfId="45009" xr:uid="{00000000-0005-0000-0000-0000814C0000}"/>
    <cellStyle name="40% - Accent1 2 4 3 2 3 4" xfId="32093" xr:uid="{00000000-0005-0000-0000-0000824C0000}"/>
    <cellStyle name="40% - Accent1 2 4 3 2 4" xfId="9448" xr:uid="{00000000-0005-0000-0000-0000834C0000}"/>
    <cellStyle name="40% - Accent1 2 4 3 2 4 2" xfId="22365" xr:uid="{00000000-0005-0000-0000-0000844C0000}"/>
    <cellStyle name="40% - Accent1 2 4 3 2 4 2 2" xfId="48239" xr:uid="{00000000-0005-0000-0000-0000854C0000}"/>
    <cellStyle name="40% - Accent1 2 4 3 2 4 3" xfId="35323" xr:uid="{00000000-0005-0000-0000-0000864C0000}"/>
    <cellStyle name="40% - Accent1 2 4 3 2 5" xfId="15907" xr:uid="{00000000-0005-0000-0000-0000874C0000}"/>
    <cellStyle name="40% - Accent1 2 4 3 2 5 2" xfId="41781" xr:uid="{00000000-0005-0000-0000-0000884C0000}"/>
    <cellStyle name="40% - Accent1 2 4 3 2 6" xfId="28833" xr:uid="{00000000-0005-0000-0000-0000894C0000}"/>
    <cellStyle name="40% - Accent1 2 4 3 3" xfId="3770" xr:uid="{00000000-0005-0000-0000-00008A4C0000}"/>
    <cellStyle name="40% - Accent1 2 4 3 3 2" xfId="7024" xr:uid="{00000000-0005-0000-0000-00008B4C0000}"/>
    <cellStyle name="40% - Accent1 2 4 3 3 2 2" xfId="13483" xr:uid="{00000000-0005-0000-0000-00008C4C0000}"/>
    <cellStyle name="40% - Accent1 2 4 3 3 2 2 2" xfId="26400" xr:uid="{00000000-0005-0000-0000-00008D4C0000}"/>
    <cellStyle name="40% - Accent1 2 4 3 3 2 2 2 2" xfId="52274" xr:uid="{00000000-0005-0000-0000-00008E4C0000}"/>
    <cellStyle name="40% - Accent1 2 4 3 3 2 2 3" xfId="39358" xr:uid="{00000000-0005-0000-0000-00008F4C0000}"/>
    <cellStyle name="40% - Accent1 2 4 3 3 2 3" xfId="19942" xr:uid="{00000000-0005-0000-0000-0000904C0000}"/>
    <cellStyle name="40% - Accent1 2 4 3 3 2 3 2" xfId="45816" xr:uid="{00000000-0005-0000-0000-0000914C0000}"/>
    <cellStyle name="40% - Accent1 2 4 3 3 2 4" xfId="32900" xr:uid="{00000000-0005-0000-0000-0000924C0000}"/>
    <cellStyle name="40% - Accent1 2 4 3 3 3" xfId="10255" xr:uid="{00000000-0005-0000-0000-0000934C0000}"/>
    <cellStyle name="40% - Accent1 2 4 3 3 3 2" xfId="23172" xr:uid="{00000000-0005-0000-0000-0000944C0000}"/>
    <cellStyle name="40% - Accent1 2 4 3 3 3 2 2" xfId="49046" xr:uid="{00000000-0005-0000-0000-0000954C0000}"/>
    <cellStyle name="40% - Accent1 2 4 3 3 3 3" xfId="36130" xr:uid="{00000000-0005-0000-0000-0000964C0000}"/>
    <cellStyle name="40% - Accent1 2 4 3 3 4" xfId="16714" xr:uid="{00000000-0005-0000-0000-0000974C0000}"/>
    <cellStyle name="40% - Accent1 2 4 3 3 4 2" xfId="42588" xr:uid="{00000000-0005-0000-0000-0000984C0000}"/>
    <cellStyle name="40% - Accent1 2 4 3 3 5" xfId="29640" xr:uid="{00000000-0005-0000-0000-0000994C0000}"/>
    <cellStyle name="40% - Accent1 2 4 3 4" xfId="5410" xr:uid="{00000000-0005-0000-0000-00009A4C0000}"/>
    <cellStyle name="40% - Accent1 2 4 3 4 2" xfId="11869" xr:uid="{00000000-0005-0000-0000-00009B4C0000}"/>
    <cellStyle name="40% - Accent1 2 4 3 4 2 2" xfId="24786" xr:uid="{00000000-0005-0000-0000-00009C4C0000}"/>
    <cellStyle name="40% - Accent1 2 4 3 4 2 2 2" xfId="50660" xr:uid="{00000000-0005-0000-0000-00009D4C0000}"/>
    <cellStyle name="40% - Accent1 2 4 3 4 2 3" xfId="37744" xr:uid="{00000000-0005-0000-0000-00009E4C0000}"/>
    <cellStyle name="40% - Accent1 2 4 3 4 3" xfId="18328" xr:uid="{00000000-0005-0000-0000-00009F4C0000}"/>
    <cellStyle name="40% - Accent1 2 4 3 4 3 2" xfId="44202" xr:uid="{00000000-0005-0000-0000-0000A04C0000}"/>
    <cellStyle name="40% - Accent1 2 4 3 4 4" xfId="31286" xr:uid="{00000000-0005-0000-0000-0000A14C0000}"/>
    <cellStyle name="40% - Accent1 2 4 3 5" xfId="8641" xr:uid="{00000000-0005-0000-0000-0000A24C0000}"/>
    <cellStyle name="40% - Accent1 2 4 3 5 2" xfId="21558" xr:uid="{00000000-0005-0000-0000-0000A34C0000}"/>
    <cellStyle name="40% - Accent1 2 4 3 5 2 2" xfId="47432" xr:uid="{00000000-0005-0000-0000-0000A44C0000}"/>
    <cellStyle name="40% - Accent1 2 4 3 5 3" xfId="34516" xr:uid="{00000000-0005-0000-0000-0000A54C0000}"/>
    <cellStyle name="40% - Accent1 2 4 3 6" xfId="15100" xr:uid="{00000000-0005-0000-0000-0000A64C0000}"/>
    <cellStyle name="40% - Accent1 2 4 3 6 2" xfId="40974" xr:uid="{00000000-0005-0000-0000-0000A74C0000}"/>
    <cellStyle name="40% - Accent1 2 4 3 7" xfId="28026" xr:uid="{00000000-0005-0000-0000-0000A84C0000}"/>
    <cellStyle name="40% - Accent1 2 4 3 8" xfId="53888" xr:uid="{00000000-0005-0000-0000-0000A94C0000}"/>
    <cellStyle name="40% - Accent1 2 4 4" xfId="2540" xr:uid="{00000000-0005-0000-0000-0000AA4C0000}"/>
    <cellStyle name="40% - Accent1 2 4 4 2" xfId="4197" xr:uid="{00000000-0005-0000-0000-0000AB4C0000}"/>
    <cellStyle name="40% - Accent1 2 4 4 2 2" xfId="7428" xr:uid="{00000000-0005-0000-0000-0000AC4C0000}"/>
    <cellStyle name="40% - Accent1 2 4 4 2 2 2" xfId="13887" xr:uid="{00000000-0005-0000-0000-0000AD4C0000}"/>
    <cellStyle name="40% - Accent1 2 4 4 2 2 2 2" xfId="26804" xr:uid="{00000000-0005-0000-0000-0000AE4C0000}"/>
    <cellStyle name="40% - Accent1 2 4 4 2 2 2 2 2" xfId="52678" xr:uid="{00000000-0005-0000-0000-0000AF4C0000}"/>
    <cellStyle name="40% - Accent1 2 4 4 2 2 2 3" xfId="39762" xr:uid="{00000000-0005-0000-0000-0000B04C0000}"/>
    <cellStyle name="40% - Accent1 2 4 4 2 2 3" xfId="20346" xr:uid="{00000000-0005-0000-0000-0000B14C0000}"/>
    <cellStyle name="40% - Accent1 2 4 4 2 2 3 2" xfId="46220" xr:uid="{00000000-0005-0000-0000-0000B24C0000}"/>
    <cellStyle name="40% - Accent1 2 4 4 2 2 4" xfId="33304" xr:uid="{00000000-0005-0000-0000-0000B34C0000}"/>
    <cellStyle name="40% - Accent1 2 4 4 2 3" xfId="10659" xr:uid="{00000000-0005-0000-0000-0000B44C0000}"/>
    <cellStyle name="40% - Accent1 2 4 4 2 3 2" xfId="23576" xr:uid="{00000000-0005-0000-0000-0000B54C0000}"/>
    <cellStyle name="40% - Accent1 2 4 4 2 3 2 2" xfId="49450" xr:uid="{00000000-0005-0000-0000-0000B64C0000}"/>
    <cellStyle name="40% - Accent1 2 4 4 2 3 3" xfId="36534" xr:uid="{00000000-0005-0000-0000-0000B74C0000}"/>
    <cellStyle name="40% - Accent1 2 4 4 2 4" xfId="17118" xr:uid="{00000000-0005-0000-0000-0000B84C0000}"/>
    <cellStyle name="40% - Accent1 2 4 4 2 4 2" xfId="42992" xr:uid="{00000000-0005-0000-0000-0000B94C0000}"/>
    <cellStyle name="40% - Accent1 2 4 4 2 5" xfId="30044" xr:uid="{00000000-0005-0000-0000-0000BA4C0000}"/>
    <cellStyle name="40% - Accent1 2 4 4 3" xfId="5814" xr:uid="{00000000-0005-0000-0000-0000BB4C0000}"/>
    <cellStyle name="40% - Accent1 2 4 4 3 2" xfId="12273" xr:uid="{00000000-0005-0000-0000-0000BC4C0000}"/>
    <cellStyle name="40% - Accent1 2 4 4 3 2 2" xfId="25190" xr:uid="{00000000-0005-0000-0000-0000BD4C0000}"/>
    <cellStyle name="40% - Accent1 2 4 4 3 2 2 2" xfId="51064" xr:uid="{00000000-0005-0000-0000-0000BE4C0000}"/>
    <cellStyle name="40% - Accent1 2 4 4 3 2 3" xfId="38148" xr:uid="{00000000-0005-0000-0000-0000BF4C0000}"/>
    <cellStyle name="40% - Accent1 2 4 4 3 3" xfId="18732" xr:uid="{00000000-0005-0000-0000-0000C04C0000}"/>
    <cellStyle name="40% - Accent1 2 4 4 3 3 2" xfId="44606" xr:uid="{00000000-0005-0000-0000-0000C14C0000}"/>
    <cellStyle name="40% - Accent1 2 4 4 3 4" xfId="31690" xr:uid="{00000000-0005-0000-0000-0000C24C0000}"/>
    <cellStyle name="40% - Accent1 2 4 4 4" xfId="9045" xr:uid="{00000000-0005-0000-0000-0000C34C0000}"/>
    <cellStyle name="40% - Accent1 2 4 4 4 2" xfId="21962" xr:uid="{00000000-0005-0000-0000-0000C44C0000}"/>
    <cellStyle name="40% - Accent1 2 4 4 4 2 2" xfId="47836" xr:uid="{00000000-0005-0000-0000-0000C54C0000}"/>
    <cellStyle name="40% - Accent1 2 4 4 4 3" xfId="34920" xr:uid="{00000000-0005-0000-0000-0000C64C0000}"/>
    <cellStyle name="40% - Accent1 2 4 4 5" xfId="15504" xr:uid="{00000000-0005-0000-0000-0000C74C0000}"/>
    <cellStyle name="40% - Accent1 2 4 4 5 2" xfId="41378" xr:uid="{00000000-0005-0000-0000-0000C84C0000}"/>
    <cellStyle name="40% - Accent1 2 4 4 6" xfId="28430" xr:uid="{00000000-0005-0000-0000-0000C94C0000}"/>
    <cellStyle name="40% - Accent1 2 4 5" xfId="3362" xr:uid="{00000000-0005-0000-0000-0000CA4C0000}"/>
    <cellStyle name="40% - Accent1 2 4 5 2" xfId="6621" xr:uid="{00000000-0005-0000-0000-0000CB4C0000}"/>
    <cellStyle name="40% - Accent1 2 4 5 2 2" xfId="13080" xr:uid="{00000000-0005-0000-0000-0000CC4C0000}"/>
    <cellStyle name="40% - Accent1 2 4 5 2 2 2" xfId="25997" xr:uid="{00000000-0005-0000-0000-0000CD4C0000}"/>
    <cellStyle name="40% - Accent1 2 4 5 2 2 2 2" xfId="51871" xr:uid="{00000000-0005-0000-0000-0000CE4C0000}"/>
    <cellStyle name="40% - Accent1 2 4 5 2 2 3" xfId="38955" xr:uid="{00000000-0005-0000-0000-0000CF4C0000}"/>
    <cellStyle name="40% - Accent1 2 4 5 2 3" xfId="19539" xr:uid="{00000000-0005-0000-0000-0000D04C0000}"/>
    <cellStyle name="40% - Accent1 2 4 5 2 3 2" xfId="45413" xr:uid="{00000000-0005-0000-0000-0000D14C0000}"/>
    <cellStyle name="40% - Accent1 2 4 5 2 4" xfId="32497" xr:uid="{00000000-0005-0000-0000-0000D24C0000}"/>
    <cellStyle name="40% - Accent1 2 4 5 3" xfId="9852" xr:uid="{00000000-0005-0000-0000-0000D34C0000}"/>
    <cellStyle name="40% - Accent1 2 4 5 3 2" xfId="22769" xr:uid="{00000000-0005-0000-0000-0000D44C0000}"/>
    <cellStyle name="40% - Accent1 2 4 5 3 2 2" xfId="48643" xr:uid="{00000000-0005-0000-0000-0000D54C0000}"/>
    <cellStyle name="40% - Accent1 2 4 5 3 3" xfId="35727" xr:uid="{00000000-0005-0000-0000-0000D64C0000}"/>
    <cellStyle name="40% - Accent1 2 4 5 4" xfId="16311" xr:uid="{00000000-0005-0000-0000-0000D74C0000}"/>
    <cellStyle name="40% - Accent1 2 4 5 4 2" xfId="42185" xr:uid="{00000000-0005-0000-0000-0000D84C0000}"/>
    <cellStyle name="40% - Accent1 2 4 5 5" xfId="29237" xr:uid="{00000000-0005-0000-0000-0000D94C0000}"/>
    <cellStyle name="40% - Accent1 2 4 6" xfId="5007" xr:uid="{00000000-0005-0000-0000-0000DA4C0000}"/>
    <cellStyle name="40% - Accent1 2 4 6 2" xfId="11466" xr:uid="{00000000-0005-0000-0000-0000DB4C0000}"/>
    <cellStyle name="40% - Accent1 2 4 6 2 2" xfId="24383" xr:uid="{00000000-0005-0000-0000-0000DC4C0000}"/>
    <cellStyle name="40% - Accent1 2 4 6 2 2 2" xfId="50257" xr:uid="{00000000-0005-0000-0000-0000DD4C0000}"/>
    <cellStyle name="40% - Accent1 2 4 6 2 3" xfId="37341" xr:uid="{00000000-0005-0000-0000-0000DE4C0000}"/>
    <cellStyle name="40% - Accent1 2 4 6 3" xfId="17925" xr:uid="{00000000-0005-0000-0000-0000DF4C0000}"/>
    <cellStyle name="40% - Accent1 2 4 6 3 2" xfId="43799" xr:uid="{00000000-0005-0000-0000-0000E04C0000}"/>
    <cellStyle name="40% - Accent1 2 4 6 4" xfId="30883" xr:uid="{00000000-0005-0000-0000-0000E14C0000}"/>
    <cellStyle name="40% - Accent1 2 4 7" xfId="8237" xr:uid="{00000000-0005-0000-0000-0000E24C0000}"/>
    <cellStyle name="40% - Accent1 2 4 7 2" xfId="21154" xr:uid="{00000000-0005-0000-0000-0000E34C0000}"/>
    <cellStyle name="40% - Accent1 2 4 7 2 2" xfId="47028" xr:uid="{00000000-0005-0000-0000-0000E44C0000}"/>
    <cellStyle name="40% - Accent1 2 4 7 3" xfId="34112" xr:uid="{00000000-0005-0000-0000-0000E54C0000}"/>
    <cellStyle name="40% - Accent1 2 4 8" xfId="14696" xr:uid="{00000000-0005-0000-0000-0000E64C0000}"/>
    <cellStyle name="40% - Accent1 2 4 8 2" xfId="40570" xr:uid="{00000000-0005-0000-0000-0000E74C0000}"/>
    <cellStyle name="40% - Accent1 2 4 9" xfId="27620" xr:uid="{00000000-0005-0000-0000-0000E84C0000}"/>
    <cellStyle name="40% - Accent1 2 5" xfId="1776" xr:uid="{00000000-0005-0000-0000-0000E94C0000}"/>
    <cellStyle name="40% - Accent1 2 5 2" xfId="2269" xr:uid="{00000000-0005-0000-0000-0000EA4C0000}"/>
    <cellStyle name="40% - Accent1 2 5 2 2" xfId="3083" xr:uid="{00000000-0005-0000-0000-0000EB4C0000}"/>
    <cellStyle name="40% - Accent1 2 5 2 2 2" xfId="4740" xr:uid="{00000000-0005-0000-0000-0000EC4C0000}"/>
    <cellStyle name="40% - Accent1 2 5 2 2 2 2" xfId="7971" xr:uid="{00000000-0005-0000-0000-0000ED4C0000}"/>
    <cellStyle name="40% - Accent1 2 5 2 2 2 2 2" xfId="14430" xr:uid="{00000000-0005-0000-0000-0000EE4C0000}"/>
    <cellStyle name="40% - Accent1 2 5 2 2 2 2 2 2" xfId="27347" xr:uid="{00000000-0005-0000-0000-0000EF4C0000}"/>
    <cellStyle name="40% - Accent1 2 5 2 2 2 2 2 2 2" xfId="53221" xr:uid="{00000000-0005-0000-0000-0000F04C0000}"/>
    <cellStyle name="40% - Accent1 2 5 2 2 2 2 2 3" xfId="40305" xr:uid="{00000000-0005-0000-0000-0000F14C0000}"/>
    <cellStyle name="40% - Accent1 2 5 2 2 2 2 3" xfId="20889" xr:uid="{00000000-0005-0000-0000-0000F24C0000}"/>
    <cellStyle name="40% - Accent1 2 5 2 2 2 2 3 2" xfId="46763" xr:uid="{00000000-0005-0000-0000-0000F34C0000}"/>
    <cellStyle name="40% - Accent1 2 5 2 2 2 2 4" xfId="33847" xr:uid="{00000000-0005-0000-0000-0000F44C0000}"/>
    <cellStyle name="40% - Accent1 2 5 2 2 2 3" xfId="11202" xr:uid="{00000000-0005-0000-0000-0000F54C0000}"/>
    <cellStyle name="40% - Accent1 2 5 2 2 2 3 2" xfId="24119" xr:uid="{00000000-0005-0000-0000-0000F64C0000}"/>
    <cellStyle name="40% - Accent1 2 5 2 2 2 3 2 2" xfId="49993" xr:uid="{00000000-0005-0000-0000-0000F74C0000}"/>
    <cellStyle name="40% - Accent1 2 5 2 2 2 3 3" xfId="37077" xr:uid="{00000000-0005-0000-0000-0000F84C0000}"/>
    <cellStyle name="40% - Accent1 2 5 2 2 2 4" xfId="17661" xr:uid="{00000000-0005-0000-0000-0000F94C0000}"/>
    <cellStyle name="40% - Accent1 2 5 2 2 2 4 2" xfId="43535" xr:uid="{00000000-0005-0000-0000-0000FA4C0000}"/>
    <cellStyle name="40% - Accent1 2 5 2 2 2 5" xfId="30587" xr:uid="{00000000-0005-0000-0000-0000FB4C0000}"/>
    <cellStyle name="40% - Accent1 2 5 2 2 3" xfId="6357" xr:uid="{00000000-0005-0000-0000-0000FC4C0000}"/>
    <cellStyle name="40% - Accent1 2 5 2 2 3 2" xfId="12816" xr:uid="{00000000-0005-0000-0000-0000FD4C0000}"/>
    <cellStyle name="40% - Accent1 2 5 2 2 3 2 2" xfId="25733" xr:uid="{00000000-0005-0000-0000-0000FE4C0000}"/>
    <cellStyle name="40% - Accent1 2 5 2 2 3 2 2 2" xfId="51607" xr:uid="{00000000-0005-0000-0000-0000FF4C0000}"/>
    <cellStyle name="40% - Accent1 2 5 2 2 3 2 3" xfId="38691" xr:uid="{00000000-0005-0000-0000-0000004D0000}"/>
    <cellStyle name="40% - Accent1 2 5 2 2 3 3" xfId="19275" xr:uid="{00000000-0005-0000-0000-0000014D0000}"/>
    <cellStyle name="40% - Accent1 2 5 2 2 3 3 2" xfId="45149" xr:uid="{00000000-0005-0000-0000-0000024D0000}"/>
    <cellStyle name="40% - Accent1 2 5 2 2 3 4" xfId="32233" xr:uid="{00000000-0005-0000-0000-0000034D0000}"/>
    <cellStyle name="40% - Accent1 2 5 2 2 4" xfId="9588" xr:uid="{00000000-0005-0000-0000-0000044D0000}"/>
    <cellStyle name="40% - Accent1 2 5 2 2 4 2" xfId="22505" xr:uid="{00000000-0005-0000-0000-0000054D0000}"/>
    <cellStyle name="40% - Accent1 2 5 2 2 4 2 2" xfId="48379" xr:uid="{00000000-0005-0000-0000-0000064D0000}"/>
    <cellStyle name="40% - Accent1 2 5 2 2 4 3" xfId="35463" xr:uid="{00000000-0005-0000-0000-0000074D0000}"/>
    <cellStyle name="40% - Accent1 2 5 2 2 5" xfId="16047" xr:uid="{00000000-0005-0000-0000-0000084D0000}"/>
    <cellStyle name="40% - Accent1 2 5 2 2 5 2" xfId="41921" xr:uid="{00000000-0005-0000-0000-0000094D0000}"/>
    <cellStyle name="40% - Accent1 2 5 2 2 6" xfId="28973" xr:uid="{00000000-0005-0000-0000-00000A4D0000}"/>
    <cellStyle name="40% - Accent1 2 5 2 3" xfId="3910" xr:uid="{00000000-0005-0000-0000-00000B4D0000}"/>
    <cellStyle name="40% - Accent1 2 5 2 3 2" xfId="7164" xr:uid="{00000000-0005-0000-0000-00000C4D0000}"/>
    <cellStyle name="40% - Accent1 2 5 2 3 2 2" xfId="13623" xr:uid="{00000000-0005-0000-0000-00000D4D0000}"/>
    <cellStyle name="40% - Accent1 2 5 2 3 2 2 2" xfId="26540" xr:uid="{00000000-0005-0000-0000-00000E4D0000}"/>
    <cellStyle name="40% - Accent1 2 5 2 3 2 2 2 2" xfId="52414" xr:uid="{00000000-0005-0000-0000-00000F4D0000}"/>
    <cellStyle name="40% - Accent1 2 5 2 3 2 2 3" xfId="39498" xr:uid="{00000000-0005-0000-0000-0000104D0000}"/>
    <cellStyle name="40% - Accent1 2 5 2 3 2 3" xfId="20082" xr:uid="{00000000-0005-0000-0000-0000114D0000}"/>
    <cellStyle name="40% - Accent1 2 5 2 3 2 3 2" xfId="45956" xr:uid="{00000000-0005-0000-0000-0000124D0000}"/>
    <cellStyle name="40% - Accent1 2 5 2 3 2 4" xfId="33040" xr:uid="{00000000-0005-0000-0000-0000134D0000}"/>
    <cellStyle name="40% - Accent1 2 5 2 3 3" xfId="10395" xr:uid="{00000000-0005-0000-0000-0000144D0000}"/>
    <cellStyle name="40% - Accent1 2 5 2 3 3 2" xfId="23312" xr:uid="{00000000-0005-0000-0000-0000154D0000}"/>
    <cellStyle name="40% - Accent1 2 5 2 3 3 2 2" xfId="49186" xr:uid="{00000000-0005-0000-0000-0000164D0000}"/>
    <cellStyle name="40% - Accent1 2 5 2 3 3 3" xfId="36270" xr:uid="{00000000-0005-0000-0000-0000174D0000}"/>
    <cellStyle name="40% - Accent1 2 5 2 3 4" xfId="16854" xr:uid="{00000000-0005-0000-0000-0000184D0000}"/>
    <cellStyle name="40% - Accent1 2 5 2 3 4 2" xfId="42728" xr:uid="{00000000-0005-0000-0000-0000194D0000}"/>
    <cellStyle name="40% - Accent1 2 5 2 3 5" xfId="29780" xr:uid="{00000000-0005-0000-0000-00001A4D0000}"/>
    <cellStyle name="40% - Accent1 2 5 2 4" xfId="5550" xr:uid="{00000000-0005-0000-0000-00001B4D0000}"/>
    <cellStyle name="40% - Accent1 2 5 2 4 2" xfId="12009" xr:uid="{00000000-0005-0000-0000-00001C4D0000}"/>
    <cellStyle name="40% - Accent1 2 5 2 4 2 2" xfId="24926" xr:uid="{00000000-0005-0000-0000-00001D4D0000}"/>
    <cellStyle name="40% - Accent1 2 5 2 4 2 2 2" xfId="50800" xr:uid="{00000000-0005-0000-0000-00001E4D0000}"/>
    <cellStyle name="40% - Accent1 2 5 2 4 2 3" xfId="37884" xr:uid="{00000000-0005-0000-0000-00001F4D0000}"/>
    <cellStyle name="40% - Accent1 2 5 2 4 3" xfId="18468" xr:uid="{00000000-0005-0000-0000-0000204D0000}"/>
    <cellStyle name="40% - Accent1 2 5 2 4 3 2" xfId="44342" xr:uid="{00000000-0005-0000-0000-0000214D0000}"/>
    <cellStyle name="40% - Accent1 2 5 2 4 4" xfId="31426" xr:uid="{00000000-0005-0000-0000-0000224D0000}"/>
    <cellStyle name="40% - Accent1 2 5 2 5" xfId="8781" xr:uid="{00000000-0005-0000-0000-0000234D0000}"/>
    <cellStyle name="40% - Accent1 2 5 2 5 2" xfId="21698" xr:uid="{00000000-0005-0000-0000-0000244D0000}"/>
    <cellStyle name="40% - Accent1 2 5 2 5 2 2" xfId="47572" xr:uid="{00000000-0005-0000-0000-0000254D0000}"/>
    <cellStyle name="40% - Accent1 2 5 2 5 3" xfId="34656" xr:uid="{00000000-0005-0000-0000-0000264D0000}"/>
    <cellStyle name="40% - Accent1 2 5 2 6" xfId="15240" xr:uid="{00000000-0005-0000-0000-0000274D0000}"/>
    <cellStyle name="40% - Accent1 2 5 2 6 2" xfId="41114" xr:uid="{00000000-0005-0000-0000-0000284D0000}"/>
    <cellStyle name="40% - Accent1 2 5 2 7" xfId="28166" xr:uid="{00000000-0005-0000-0000-0000294D0000}"/>
    <cellStyle name="40% - Accent1 2 5 2 8" xfId="54028" xr:uid="{00000000-0005-0000-0000-00002A4D0000}"/>
    <cellStyle name="40% - Accent1 2 5 3" xfId="2680" xr:uid="{00000000-0005-0000-0000-00002B4D0000}"/>
    <cellStyle name="40% - Accent1 2 5 3 2" xfId="4337" xr:uid="{00000000-0005-0000-0000-00002C4D0000}"/>
    <cellStyle name="40% - Accent1 2 5 3 2 2" xfId="7568" xr:uid="{00000000-0005-0000-0000-00002D4D0000}"/>
    <cellStyle name="40% - Accent1 2 5 3 2 2 2" xfId="14027" xr:uid="{00000000-0005-0000-0000-00002E4D0000}"/>
    <cellStyle name="40% - Accent1 2 5 3 2 2 2 2" xfId="26944" xr:uid="{00000000-0005-0000-0000-00002F4D0000}"/>
    <cellStyle name="40% - Accent1 2 5 3 2 2 2 2 2" xfId="52818" xr:uid="{00000000-0005-0000-0000-0000304D0000}"/>
    <cellStyle name="40% - Accent1 2 5 3 2 2 2 3" xfId="39902" xr:uid="{00000000-0005-0000-0000-0000314D0000}"/>
    <cellStyle name="40% - Accent1 2 5 3 2 2 3" xfId="20486" xr:uid="{00000000-0005-0000-0000-0000324D0000}"/>
    <cellStyle name="40% - Accent1 2 5 3 2 2 3 2" xfId="46360" xr:uid="{00000000-0005-0000-0000-0000334D0000}"/>
    <cellStyle name="40% - Accent1 2 5 3 2 2 4" xfId="33444" xr:uid="{00000000-0005-0000-0000-0000344D0000}"/>
    <cellStyle name="40% - Accent1 2 5 3 2 3" xfId="10799" xr:uid="{00000000-0005-0000-0000-0000354D0000}"/>
    <cellStyle name="40% - Accent1 2 5 3 2 3 2" xfId="23716" xr:uid="{00000000-0005-0000-0000-0000364D0000}"/>
    <cellStyle name="40% - Accent1 2 5 3 2 3 2 2" xfId="49590" xr:uid="{00000000-0005-0000-0000-0000374D0000}"/>
    <cellStyle name="40% - Accent1 2 5 3 2 3 3" xfId="36674" xr:uid="{00000000-0005-0000-0000-0000384D0000}"/>
    <cellStyle name="40% - Accent1 2 5 3 2 4" xfId="17258" xr:uid="{00000000-0005-0000-0000-0000394D0000}"/>
    <cellStyle name="40% - Accent1 2 5 3 2 4 2" xfId="43132" xr:uid="{00000000-0005-0000-0000-00003A4D0000}"/>
    <cellStyle name="40% - Accent1 2 5 3 2 5" xfId="30184" xr:uid="{00000000-0005-0000-0000-00003B4D0000}"/>
    <cellStyle name="40% - Accent1 2 5 3 3" xfId="5954" xr:uid="{00000000-0005-0000-0000-00003C4D0000}"/>
    <cellStyle name="40% - Accent1 2 5 3 3 2" xfId="12413" xr:uid="{00000000-0005-0000-0000-00003D4D0000}"/>
    <cellStyle name="40% - Accent1 2 5 3 3 2 2" xfId="25330" xr:uid="{00000000-0005-0000-0000-00003E4D0000}"/>
    <cellStyle name="40% - Accent1 2 5 3 3 2 2 2" xfId="51204" xr:uid="{00000000-0005-0000-0000-00003F4D0000}"/>
    <cellStyle name="40% - Accent1 2 5 3 3 2 3" xfId="38288" xr:uid="{00000000-0005-0000-0000-0000404D0000}"/>
    <cellStyle name="40% - Accent1 2 5 3 3 3" xfId="18872" xr:uid="{00000000-0005-0000-0000-0000414D0000}"/>
    <cellStyle name="40% - Accent1 2 5 3 3 3 2" xfId="44746" xr:uid="{00000000-0005-0000-0000-0000424D0000}"/>
    <cellStyle name="40% - Accent1 2 5 3 3 4" xfId="31830" xr:uid="{00000000-0005-0000-0000-0000434D0000}"/>
    <cellStyle name="40% - Accent1 2 5 3 4" xfId="9185" xr:uid="{00000000-0005-0000-0000-0000444D0000}"/>
    <cellStyle name="40% - Accent1 2 5 3 4 2" xfId="22102" xr:uid="{00000000-0005-0000-0000-0000454D0000}"/>
    <cellStyle name="40% - Accent1 2 5 3 4 2 2" xfId="47976" xr:uid="{00000000-0005-0000-0000-0000464D0000}"/>
    <cellStyle name="40% - Accent1 2 5 3 4 3" xfId="35060" xr:uid="{00000000-0005-0000-0000-0000474D0000}"/>
    <cellStyle name="40% - Accent1 2 5 3 5" xfId="15644" xr:uid="{00000000-0005-0000-0000-0000484D0000}"/>
    <cellStyle name="40% - Accent1 2 5 3 5 2" xfId="41518" xr:uid="{00000000-0005-0000-0000-0000494D0000}"/>
    <cellStyle name="40% - Accent1 2 5 3 6" xfId="28570" xr:uid="{00000000-0005-0000-0000-00004A4D0000}"/>
    <cellStyle name="40% - Accent1 2 5 4" xfId="3507" xr:uid="{00000000-0005-0000-0000-00004B4D0000}"/>
    <cellStyle name="40% - Accent1 2 5 4 2" xfId="6761" xr:uid="{00000000-0005-0000-0000-00004C4D0000}"/>
    <cellStyle name="40% - Accent1 2 5 4 2 2" xfId="13220" xr:uid="{00000000-0005-0000-0000-00004D4D0000}"/>
    <cellStyle name="40% - Accent1 2 5 4 2 2 2" xfId="26137" xr:uid="{00000000-0005-0000-0000-00004E4D0000}"/>
    <cellStyle name="40% - Accent1 2 5 4 2 2 2 2" xfId="52011" xr:uid="{00000000-0005-0000-0000-00004F4D0000}"/>
    <cellStyle name="40% - Accent1 2 5 4 2 2 3" xfId="39095" xr:uid="{00000000-0005-0000-0000-0000504D0000}"/>
    <cellStyle name="40% - Accent1 2 5 4 2 3" xfId="19679" xr:uid="{00000000-0005-0000-0000-0000514D0000}"/>
    <cellStyle name="40% - Accent1 2 5 4 2 3 2" xfId="45553" xr:uid="{00000000-0005-0000-0000-0000524D0000}"/>
    <cellStyle name="40% - Accent1 2 5 4 2 4" xfId="32637" xr:uid="{00000000-0005-0000-0000-0000534D0000}"/>
    <cellStyle name="40% - Accent1 2 5 4 3" xfId="9992" xr:uid="{00000000-0005-0000-0000-0000544D0000}"/>
    <cellStyle name="40% - Accent1 2 5 4 3 2" xfId="22909" xr:uid="{00000000-0005-0000-0000-0000554D0000}"/>
    <cellStyle name="40% - Accent1 2 5 4 3 2 2" xfId="48783" xr:uid="{00000000-0005-0000-0000-0000564D0000}"/>
    <cellStyle name="40% - Accent1 2 5 4 3 3" xfId="35867" xr:uid="{00000000-0005-0000-0000-0000574D0000}"/>
    <cellStyle name="40% - Accent1 2 5 4 4" xfId="16451" xr:uid="{00000000-0005-0000-0000-0000584D0000}"/>
    <cellStyle name="40% - Accent1 2 5 4 4 2" xfId="42325" xr:uid="{00000000-0005-0000-0000-0000594D0000}"/>
    <cellStyle name="40% - Accent1 2 5 4 5" xfId="29377" xr:uid="{00000000-0005-0000-0000-00005A4D0000}"/>
    <cellStyle name="40% - Accent1 2 5 5" xfId="5147" xr:uid="{00000000-0005-0000-0000-00005B4D0000}"/>
    <cellStyle name="40% - Accent1 2 5 5 2" xfId="11606" xr:uid="{00000000-0005-0000-0000-00005C4D0000}"/>
    <cellStyle name="40% - Accent1 2 5 5 2 2" xfId="24523" xr:uid="{00000000-0005-0000-0000-00005D4D0000}"/>
    <cellStyle name="40% - Accent1 2 5 5 2 2 2" xfId="50397" xr:uid="{00000000-0005-0000-0000-00005E4D0000}"/>
    <cellStyle name="40% - Accent1 2 5 5 2 3" xfId="37481" xr:uid="{00000000-0005-0000-0000-00005F4D0000}"/>
    <cellStyle name="40% - Accent1 2 5 5 3" xfId="18065" xr:uid="{00000000-0005-0000-0000-0000604D0000}"/>
    <cellStyle name="40% - Accent1 2 5 5 3 2" xfId="43939" xr:uid="{00000000-0005-0000-0000-0000614D0000}"/>
    <cellStyle name="40% - Accent1 2 5 5 4" xfId="31023" xr:uid="{00000000-0005-0000-0000-0000624D0000}"/>
    <cellStyle name="40% - Accent1 2 5 6" xfId="8377" xr:uid="{00000000-0005-0000-0000-0000634D0000}"/>
    <cellStyle name="40% - Accent1 2 5 6 2" xfId="21294" xr:uid="{00000000-0005-0000-0000-0000644D0000}"/>
    <cellStyle name="40% - Accent1 2 5 6 2 2" xfId="47168" xr:uid="{00000000-0005-0000-0000-0000654D0000}"/>
    <cellStyle name="40% - Accent1 2 5 6 3" xfId="34252" xr:uid="{00000000-0005-0000-0000-0000664D0000}"/>
    <cellStyle name="40% - Accent1 2 5 7" xfId="14836" xr:uid="{00000000-0005-0000-0000-0000674D0000}"/>
    <cellStyle name="40% - Accent1 2 5 7 2" xfId="40710" xr:uid="{00000000-0005-0000-0000-0000684D0000}"/>
    <cellStyle name="40% - Accent1 2 5 8" xfId="27762" xr:uid="{00000000-0005-0000-0000-0000694D0000}"/>
    <cellStyle name="40% - Accent1 2 5 9" xfId="53625" xr:uid="{00000000-0005-0000-0000-00006A4D0000}"/>
    <cellStyle name="40% - Accent1 2 6" xfId="2074" xr:uid="{00000000-0005-0000-0000-00006B4D0000}"/>
    <cellStyle name="40% - Accent1 2 6 2" xfId="2892" xr:uid="{00000000-0005-0000-0000-00006C4D0000}"/>
    <cellStyle name="40% - Accent1 2 6 2 2" xfId="4549" xr:uid="{00000000-0005-0000-0000-00006D4D0000}"/>
    <cellStyle name="40% - Accent1 2 6 2 2 2" xfId="7780" xr:uid="{00000000-0005-0000-0000-00006E4D0000}"/>
    <cellStyle name="40% - Accent1 2 6 2 2 2 2" xfId="14239" xr:uid="{00000000-0005-0000-0000-00006F4D0000}"/>
    <cellStyle name="40% - Accent1 2 6 2 2 2 2 2" xfId="27156" xr:uid="{00000000-0005-0000-0000-0000704D0000}"/>
    <cellStyle name="40% - Accent1 2 6 2 2 2 2 2 2" xfId="53030" xr:uid="{00000000-0005-0000-0000-0000714D0000}"/>
    <cellStyle name="40% - Accent1 2 6 2 2 2 2 3" xfId="40114" xr:uid="{00000000-0005-0000-0000-0000724D0000}"/>
    <cellStyle name="40% - Accent1 2 6 2 2 2 3" xfId="20698" xr:uid="{00000000-0005-0000-0000-0000734D0000}"/>
    <cellStyle name="40% - Accent1 2 6 2 2 2 3 2" xfId="46572" xr:uid="{00000000-0005-0000-0000-0000744D0000}"/>
    <cellStyle name="40% - Accent1 2 6 2 2 2 4" xfId="33656" xr:uid="{00000000-0005-0000-0000-0000754D0000}"/>
    <cellStyle name="40% - Accent1 2 6 2 2 3" xfId="11011" xr:uid="{00000000-0005-0000-0000-0000764D0000}"/>
    <cellStyle name="40% - Accent1 2 6 2 2 3 2" xfId="23928" xr:uid="{00000000-0005-0000-0000-0000774D0000}"/>
    <cellStyle name="40% - Accent1 2 6 2 2 3 2 2" xfId="49802" xr:uid="{00000000-0005-0000-0000-0000784D0000}"/>
    <cellStyle name="40% - Accent1 2 6 2 2 3 3" xfId="36886" xr:uid="{00000000-0005-0000-0000-0000794D0000}"/>
    <cellStyle name="40% - Accent1 2 6 2 2 4" xfId="17470" xr:uid="{00000000-0005-0000-0000-00007A4D0000}"/>
    <cellStyle name="40% - Accent1 2 6 2 2 4 2" xfId="43344" xr:uid="{00000000-0005-0000-0000-00007B4D0000}"/>
    <cellStyle name="40% - Accent1 2 6 2 2 5" xfId="30396" xr:uid="{00000000-0005-0000-0000-00007C4D0000}"/>
    <cellStyle name="40% - Accent1 2 6 2 3" xfId="6166" xr:uid="{00000000-0005-0000-0000-00007D4D0000}"/>
    <cellStyle name="40% - Accent1 2 6 2 3 2" xfId="12625" xr:uid="{00000000-0005-0000-0000-00007E4D0000}"/>
    <cellStyle name="40% - Accent1 2 6 2 3 2 2" xfId="25542" xr:uid="{00000000-0005-0000-0000-00007F4D0000}"/>
    <cellStyle name="40% - Accent1 2 6 2 3 2 2 2" xfId="51416" xr:uid="{00000000-0005-0000-0000-0000804D0000}"/>
    <cellStyle name="40% - Accent1 2 6 2 3 2 3" xfId="38500" xr:uid="{00000000-0005-0000-0000-0000814D0000}"/>
    <cellStyle name="40% - Accent1 2 6 2 3 3" xfId="19084" xr:uid="{00000000-0005-0000-0000-0000824D0000}"/>
    <cellStyle name="40% - Accent1 2 6 2 3 3 2" xfId="44958" xr:uid="{00000000-0005-0000-0000-0000834D0000}"/>
    <cellStyle name="40% - Accent1 2 6 2 3 4" xfId="32042" xr:uid="{00000000-0005-0000-0000-0000844D0000}"/>
    <cellStyle name="40% - Accent1 2 6 2 4" xfId="9397" xr:uid="{00000000-0005-0000-0000-0000854D0000}"/>
    <cellStyle name="40% - Accent1 2 6 2 4 2" xfId="22314" xr:uid="{00000000-0005-0000-0000-0000864D0000}"/>
    <cellStyle name="40% - Accent1 2 6 2 4 2 2" xfId="48188" xr:uid="{00000000-0005-0000-0000-0000874D0000}"/>
    <cellStyle name="40% - Accent1 2 6 2 4 3" xfId="35272" xr:uid="{00000000-0005-0000-0000-0000884D0000}"/>
    <cellStyle name="40% - Accent1 2 6 2 5" xfId="15856" xr:uid="{00000000-0005-0000-0000-0000894D0000}"/>
    <cellStyle name="40% - Accent1 2 6 2 5 2" xfId="41730" xr:uid="{00000000-0005-0000-0000-00008A4D0000}"/>
    <cellStyle name="40% - Accent1 2 6 2 6" xfId="28782" xr:uid="{00000000-0005-0000-0000-00008B4D0000}"/>
    <cellStyle name="40% - Accent1 2 6 3" xfId="3719" xr:uid="{00000000-0005-0000-0000-00008C4D0000}"/>
    <cellStyle name="40% - Accent1 2 6 3 2" xfId="6973" xr:uid="{00000000-0005-0000-0000-00008D4D0000}"/>
    <cellStyle name="40% - Accent1 2 6 3 2 2" xfId="13432" xr:uid="{00000000-0005-0000-0000-00008E4D0000}"/>
    <cellStyle name="40% - Accent1 2 6 3 2 2 2" xfId="26349" xr:uid="{00000000-0005-0000-0000-00008F4D0000}"/>
    <cellStyle name="40% - Accent1 2 6 3 2 2 2 2" xfId="52223" xr:uid="{00000000-0005-0000-0000-0000904D0000}"/>
    <cellStyle name="40% - Accent1 2 6 3 2 2 3" xfId="39307" xr:uid="{00000000-0005-0000-0000-0000914D0000}"/>
    <cellStyle name="40% - Accent1 2 6 3 2 3" xfId="19891" xr:uid="{00000000-0005-0000-0000-0000924D0000}"/>
    <cellStyle name="40% - Accent1 2 6 3 2 3 2" xfId="45765" xr:uid="{00000000-0005-0000-0000-0000934D0000}"/>
    <cellStyle name="40% - Accent1 2 6 3 2 4" xfId="32849" xr:uid="{00000000-0005-0000-0000-0000944D0000}"/>
    <cellStyle name="40% - Accent1 2 6 3 3" xfId="10204" xr:uid="{00000000-0005-0000-0000-0000954D0000}"/>
    <cellStyle name="40% - Accent1 2 6 3 3 2" xfId="23121" xr:uid="{00000000-0005-0000-0000-0000964D0000}"/>
    <cellStyle name="40% - Accent1 2 6 3 3 2 2" xfId="48995" xr:uid="{00000000-0005-0000-0000-0000974D0000}"/>
    <cellStyle name="40% - Accent1 2 6 3 3 3" xfId="36079" xr:uid="{00000000-0005-0000-0000-0000984D0000}"/>
    <cellStyle name="40% - Accent1 2 6 3 4" xfId="16663" xr:uid="{00000000-0005-0000-0000-0000994D0000}"/>
    <cellStyle name="40% - Accent1 2 6 3 4 2" xfId="42537" xr:uid="{00000000-0005-0000-0000-00009A4D0000}"/>
    <cellStyle name="40% - Accent1 2 6 3 5" xfId="29589" xr:uid="{00000000-0005-0000-0000-00009B4D0000}"/>
    <cellStyle name="40% - Accent1 2 6 4" xfId="5359" xr:uid="{00000000-0005-0000-0000-00009C4D0000}"/>
    <cellStyle name="40% - Accent1 2 6 4 2" xfId="11818" xr:uid="{00000000-0005-0000-0000-00009D4D0000}"/>
    <cellStyle name="40% - Accent1 2 6 4 2 2" xfId="24735" xr:uid="{00000000-0005-0000-0000-00009E4D0000}"/>
    <cellStyle name="40% - Accent1 2 6 4 2 2 2" xfId="50609" xr:uid="{00000000-0005-0000-0000-00009F4D0000}"/>
    <cellStyle name="40% - Accent1 2 6 4 2 3" xfId="37693" xr:uid="{00000000-0005-0000-0000-0000A04D0000}"/>
    <cellStyle name="40% - Accent1 2 6 4 3" xfId="18277" xr:uid="{00000000-0005-0000-0000-0000A14D0000}"/>
    <cellStyle name="40% - Accent1 2 6 4 3 2" xfId="44151" xr:uid="{00000000-0005-0000-0000-0000A24D0000}"/>
    <cellStyle name="40% - Accent1 2 6 4 4" xfId="31235" xr:uid="{00000000-0005-0000-0000-0000A34D0000}"/>
    <cellStyle name="40% - Accent1 2 6 5" xfId="8590" xr:uid="{00000000-0005-0000-0000-0000A44D0000}"/>
    <cellStyle name="40% - Accent1 2 6 5 2" xfId="21507" xr:uid="{00000000-0005-0000-0000-0000A54D0000}"/>
    <cellStyle name="40% - Accent1 2 6 5 2 2" xfId="47381" xr:uid="{00000000-0005-0000-0000-0000A64D0000}"/>
    <cellStyle name="40% - Accent1 2 6 5 3" xfId="34465" xr:uid="{00000000-0005-0000-0000-0000A74D0000}"/>
    <cellStyle name="40% - Accent1 2 6 6" xfId="15049" xr:uid="{00000000-0005-0000-0000-0000A84D0000}"/>
    <cellStyle name="40% - Accent1 2 6 6 2" xfId="40923" xr:uid="{00000000-0005-0000-0000-0000A94D0000}"/>
    <cellStyle name="40% - Accent1 2 6 7" xfId="27975" xr:uid="{00000000-0005-0000-0000-0000AA4D0000}"/>
    <cellStyle name="40% - Accent1 2 6 8" xfId="53837" xr:uid="{00000000-0005-0000-0000-0000AB4D0000}"/>
    <cellStyle name="40% - Accent1 2 7" xfId="2485" xr:uid="{00000000-0005-0000-0000-0000AC4D0000}"/>
    <cellStyle name="40% - Accent1 2 7 2" xfId="4142" xr:uid="{00000000-0005-0000-0000-0000AD4D0000}"/>
    <cellStyle name="40% - Accent1 2 7 2 2" xfId="7373" xr:uid="{00000000-0005-0000-0000-0000AE4D0000}"/>
    <cellStyle name="40% - Accent1 2 7 2 2 2" xfId="13832" xr:uid="{00000000-0005-0000-0000-0000AF4D0000}"/>
    <cellStyle name="40% - Accent1 2 7 2 2 2 2" xfId="26749" xr:uid="{00000000-0005-0000-0000-0000B04D0000}"/>
    <cellStyle name="40% - Accent1 2 7 2 2 2 2 2" xfId="52623" xr:uid="{00000000-0005-0000-0000-0000B14D0000}"/>
    <cellStyle name="40% - Accent1 2 7 2 2 2 3" xfId="39707" xr:uid="{00000000-0005-0000-0000-0000B24D0000}"/>
    <cellStyle name="40% - Accent1 2 7 2 2 3" xfId="20291" xr:uid="{00000000-0005-0000-0000-0000B34D0000}"/>
    <cellStyle name="40% - Accent1 2 7 2 2 3 2" xfId="46165" xr:uid="{00000000-0005-0000-0000-0000B44D0000}"/>
    <cellStyle name="40% - Accent1 2 7 2 2 4" xfId="33249" xr:uid="{00000000-0005-0000-0000-0000B54D0000}"/>
    <cellStyle name="40% - Accent1 2 7 2 3" xfId="10604" xr:uid="{00000000-0005-0000-0000-0000B64D0000}"/>
    <cellStyle name="40% - Accent1 2 7 2 3 2" xfId="23521" xr:uid="{00000000-0005-0000-0000-0000B74D0000}"/>
    <cellStyle name="40% - Accent1 2 7 2 3 2 2" xfId="49395" xr:uid="{00000000-0005-0000-0000-0000B84D0000}"/>
    <cellStyle name="40% - Accent1 2 7 2 3 3" xfId="36479" xr:uid="{00000000-0005-0000-0000-0000B94D0000}"/>
    <cellStyle name="40% - Accent1 2 7 2 4" xfId="17063" xr:uid="{00000000-0005-0000-0000-0000BA4D0000}"/>
    <cellStyle name="40% - Accent1 2 7 2 4 2" xfId="42937" xr:uid="{00000000-0005-0000-0000-0000BB4D0000}"/>
    <cellStyle name="40% - Accent1 2 7 2 5" xfId="29989" xr:uid="{00000000-0005-0000-0000-0000BC4D0000}"/>
    <cellStyle name="40% - Accent1 2 7 3" xfId="5759" xr:uid="{00000000-0005-0000-0000-0000BD4D0000}"/>
    <cellStyle name="40% - Accent1 2 7 3 2" xfId="12218" xr:uid="{00000000-0005-0000-0000-0000BE4D0000}"/>
    <cellStyle name="40% - Accent1 2 7 3 2 2" xfId="25135" xr:uid="{00000000-0005-0000-0000-0000BF4D0000}"/>
    <cellStyle name="40% - Accent1 2 7 3 2 2 2" xfId="51009" xr:uid="{00000000-0005-0000-0000-0000C04D0000}"/>
    <cellStyle name="40% - Accent1 2 7 3 2 3" xfId="38093" xr:uid="{00000000-0005-0000-0000-0000C14D0000}"/>
    <cellStyle name="40% - Accent1 2 7 3 3" xfId="18677" xr:uid="{00000000-0005-0000-0000-0000C24D0000}"/>
    <cellStyle name="40% - Accent1 2 7 3 3 2" xfId="44551" xr:uid="{00000000-0005-0000-0000-0000C34D0000}"/>
    <cellStyle name="40% - Accent1 2 7 3 4" xfId="31635" xr:uid="{00000000-0005-0000-0000-0000C44D0000}"/>
    <cellStyle name="40% - Accent1 2 7 4" xfId="8990" xr:uid="{00000000-0005-0000-0000-0000C54D0000}"/>
    <cellStyle name="40% - Accent1 2 7 4 2" xfId="21907" xr:uid="{00000000-0005-0000-0000-0000C64D0000}"/>
    <cellStyle name="40% - Accent1 2 7 4 2 2" xfId="47781" xr:uid="{00000000-0005-0000-0000-0000C74D0000}"/>
    <cellStyle name="40% - Accent1 2 7 4 3" xfId="34865" xr:uid="{00000000-0005-0000-0000-0000C84D0000}"/>
    <cellStyle name="40% - Accent1 2 7 5" xfId="15449" xr:uid="{00000000-0005-0000-0000-0000C94D0000}"/>
    <cellStyle name="40% - Accent1 2 7 5 2" xfId="41323" xr:uid="{00000000-0005-0000-0000-0000CA4D0000}"/>
    <cellStyle name="40% - Accent1 2 7 6" xfId="28375" xr:uid="{00000000-0005-0000-0000-0000CB4D0000}"/>
    <cellStyle name="40% - Accent1 2 8" xfId="3294" xr:uid="{00000000-0005-0000-0000-0000CC4D0000}"/>
    <cellStyle name="40% - Accent1 2 8 2" xfId="6566" xr:uid="{00000000-0005-0000-0000-0000CD4D0000}"/>
    <cellStyle name="40% - Accent1 2 8 2 2" xfId="13025" xr:uid="{00000000-0005-0000-0000-0000CE4D0000}"/>
    <cellStyle name="40% - Accent1 2 8 2 2 2" xfId="25942" xr:uid="{00000000-0005-0000-0000-0000CF4D0000}"/>
    <cellStyle name="40% - Accent1 2 8 2 2 2 2" xfId="51816" xr:uid="{00000000-0005-0000-0000-0000D04D0000}"/>
    <cellStyle name="40% - Accent1 2 8 2 2 3" xfId="38900" xr:uid="{00000000-0005-0000-0000-0000D14D0000}"/>
    <cellStyle name="40% - Accent1 2 8 2 3" xfId="19484" xr:uid="{00000000-0005-0000-0000-0000D24D0000}"/>
    <cellStyle name="40% - Accent1 2 8 2 3 2" xfId="45358" xr:uid="{00000000-0005-0000-0000-0000D34D0000}"/>
    <cellStyle name="40% - Accent1 2 8 2 4" xfId="32442" xr:uid="{00000000-0005-0000-0000-0000D44D0000}"/>
    <cellStyle name="40% - Accent1 2 8 3" xfId="9797" xr:uid="{00000000-0005-0000-0000-0000D54D0000}"/>
    <cellStyle name="40% - Accent1 2 8 3 2" xfId="22714" xr:uid="{00000000-0005-0000-0000-0000D64D0000}"/>
    <cellStyle name="40% - Accent1 2 8 3 2 2" xfId="48588" xr:uid="{00000000-0005-0000-0000-0000D74D0000}"/>
    <cellStyle name="40% - Accent1 2 8 3 3" xfId="35672" xr:uid="{00000000-0005-0000-0000-0000D84D0000}"/>
    <cellStyle name="40% - Accent1 2 8 4" xfId="16256" xr:uid="{00000000-0005-0000-0000-0000D94D0000}"/>
    <cellStyle name="40% - Accent1 2 8 4 2" xfId="42130" xr:uid="{00000000-0005-0000-0000-0000DA4D0000}"/>
    <cellStyle name="40% - Accent1 2 8 5" xfId="29182" xr:uid="{00000000-0005-0000-0000-0000DB4D0000}"/>
    <cellStyle name="40% - Accent1 2 9" xfId="4952" xr:uid="{00000000-0005-0000-0000-0000DC4D0000}"/>
    <cellStyle name="40% - Accent1 2 9 2" xfId="11411" xr:uid="{00000000-0005-0000-0000-0000DD4D0000}"/>
    <cellStyle name="40% - Accent1 2 9 2 2" xfId="24328" xr:uid="{00000000-0005-0000-0000-0000DE4D0000}"/>
    <cellStyle name="40% - Accent1 2 9 2 2 2" xfId="50202" xr:uid="{00000000-0005-0000-0000-0000DF4D0000}"/>
    <cellStyle name="40% - Accent1 2 9 2 3" xfId="37286" xr:uid="{00000000-0005-0000-0000-0000E04D0000}"/>
    <cellStyle name="40% - Accent1 2 9 3" xfId="17870" xr:uid="{00000000-0005-0000-0000-0000E14D0000}"/>
    <cellStyle name="40% - Accent1 2 9 3 2" xfId="43744" xr:uid="{00000000-0005-0000-0000-0000E24D0000}"/>
    <cellStyle name="40% - Accent1 2 9 4" xfId="30828" xr:uid="{00000000-0005-0000-0000-0000E34D0000}"/>
    <cellStyle name="40% - Accent1 20" xfId="30788" xr:uid="{00000000-0005-0000-0000-0000E44D0000}"/>
    <cellStyle name="40% - Accent1 21" xfId="53413" xr:uid="{00000000-0005-0000-0000-0000E54D0000}"/>
    <cellStyle name="40% - Accent1 22" xfId="189" xr:uid="{00000000-0005-0000-0000-0000E64D0000}"/>
    <cellStyle name="40% - Accent1 3" xfId="80" xr:uid="{00000000-0005-0000-0000-0000E74D0000}"/>
    <cellStyle name="40% - Accent1 3 2" xfId="267" xr:uid="{00000000-0005-0000-0000-0000E84D0000}"/>
    <cellStyle name="40% - Accent1 3 2 10" xfId="53552" xr:uid="{00000000-0005-0000-0000-0000E94D0000}"/>
    <cellStyle name="40% - Accent1 3 2 11" xfId="1636" xr:uid="{00000000-0005-0000-0000-0000EA4D0000}"/>
    <cellStyle name="40% - Accent1 3 2 2" xfId="441" xr:uid="{00000000-0005-0000-0000-0000EB4D0000}"/>
    <cellStyle name="40% - Accent1 3 2 2 10" xfId="1961" xr:uid="{00000000-0005-0000-0000-0000EC4D0000}"/>
    <cellStyle name="40% - Accent1 3 2 2 2" xfId="658" xr:uid="{00000000-0005-0000-0000-0000ED4D0000}"/>
    <cellStyle name="40% - Accent1 3 2 2 2 2" xfId="3205" xr:uid="{00000000-0005-0000-0000-0000EE4D0000}"/>
    <cellStyle name="40% - Accent1 3 2 2 2 2 2" xfId="4862" xr:uid="{00000000-0005-0000-0000-0000EF4D0000}"/>
    <cellStyle name="40% - Accent1 3 2 2 2 2 2 2" xfId="8093" xr:uid="{00000000-0005-0000-0000-0000F04D0000}"/>
    <cellStyle name="40% - Accent1 3 2 2 2 2 2 2 2" xfId="14552" xr:uid="{00000000-0005-0000-0000-0000F14D0000}"/>
    <cellStyle name="40% - Accent1 3 2 2 2 2 2 2 2 2" xfId="27469" xr:uid="{00000000-0005-0000-0000-0000F24D0000}"/>
    <cellStyle name="40% - Accent1 3 2 2 2 2 2 2 2 2 2" xfId="53343" xr:uid="{00000000-0005-0000-0000-0000F34D0000}"/>
    <cellStyle name="40% - Accent1 3 2 2 2 2 2 2 2 3" xfId="40427" xr:uid="{00000000-0005-0000-0000-0000F44D0000}"/>
    <cellStyle name="40% - Accent1 3 2 2 2 2 2 2 3" xfId="21011" xr:uid="{00000000-0005-0000-0000-0000F54D0000}"/>
    <cellStyle name="40% - Accent1 3 2 2 2 2 2 2 3 2" xfId="46885" xr:uid="{00000000-0005-0000-0000-0000F64D0000}"/>
    <cellStyle name="40% - Accent1 3 2 2 2 2 2 2 4" xfId="33969" xr:uid="{00000000-0005-0000-0000-0000F74D0000}"/>
    <cellStyle name="40% - Accent1 3 2 2 2 2 2 3" xfId="11324" xr:uid="{00000000-0005-0000-0000-0000F84D0000}"/>
    <cellStyle name="40% - Accent1 3 2 2 2 2 2 3 2" xfId="24241" xr:uid="{00000000-0005-0000-0000-0000F94D0000}"/>
    <cellStyle name="40% - Accent1 3 2 2 2 2 2 3 2 2" xfId="50115" xr:uid="{00000000-0005-0000-0000-0000FA4D0000}"/>
    <cellStyle name="40% - Accent1 3 2 2 2 2 2 3 3" xfId="37199" xr:uid="{00000000-0005-0000-0000-0000FB4D0000}"/>
    <cellStyle name="40% - Accent1 3 2 2 2 2 2 4" xfId="17783" xr:uid="{00000000-0005-0000-0000-0000FC4D0000}"/>
    <cellStyle name="40% - Accent1 3 2 2 2 2 2 4 2" xfId="43657" xr:uid="{00000000-0005-0000-0000-0000FD4D0000}"/>
    <cellStyle name="40% - Accent1 3 2 2 2 2 2 5" xfId="30709" xr:uid="{00000000-0005-0000-0000-0000FE4D0000}"/>
    <cellStyle name="40% - Accent1 3 2 2 2 2 3" xfId="6479" xr:uid="{00000000-0005-0000-0000-0000FF4D0000}"/>
    <cellStyle name="40% - Accent1 3 2 2 2 2 3 2" xfId="12938" xr:uid="{00000000-0005-0000-0000-0000004E0000}"/>
    <cellStyle name="40% - Accent1 3 2 2 2 2 3 2 2" xfId="25855" xr:uid="{00000000-0005-0000-0000-0000014E0000}"/>
    <cellStyle name="40% - Accent1 3 2 2 2 2 3 2 2 2" xfId="51729" xr:uid="{00000000-0005-0000-0000-0000024E0000}"/>
    <cellStyle name="40% - Accent1 3 2 2 2 2 3 2 3" xfId="38813" xr:uid="{00000000-0005-0000-0000-0000034E0000}"/>
    <cellStyle name="40% - Accent1 3 2 2 2 2 3 3" xfId="19397" xr:uid="{00000000-0005-0000-0000-0000044E0000}"/>
    <cellStyle name="40% - Accent1 3 2 2 2 2 3 3 2" xfId="45271" xr:uid="{00000000-0005-0000-0000-0000054E0000}"/>
    <cellStyle name="40% - Accent1 3 2 2 2 2 3 4" xfId="32355" xr:uid="{00000000-0005-0000-0000-0000064E0000}"/>
    <cellStyle name="40% - Accent1 3 2 2 2 2 4" xfId="9710" xr:uid="{00000000-0005-0000-0000-0000074E0000}"/>
    <cellStyle name="40% - Accent1 3 2 2 2 2 4 2" xfId="22627" xr:uid="{00000000-0005-0000-0000-0000084E0000}"/>
    <cellStyle name="40% - Accent1 3 2 2 2 2 4 2 2" xfId="48501" xr:uid="{00000000-0005-0000-0000-0000094E0000}"/>
    <cellStyle name="40% - Accent1 3 2 2 2 2 4 3" xfId="35585" xr:uid="{00000000-0005-0000-0000-00000A4E0000}"/>
    <cellStyle name="40% - Accent1 3 2 2 2 2 5" xfId="16169" xr:uid="{00000000-0005-0000-0000-00000B4E0000}"/>
    <cellStyle name="40% - Accent1 3 2 2 2 2 5 2" xfId="42043" xr:uid="{00000000-0005-0000-0000-00000C4E0000}"/>
    <cellStyle name="40% - Accent1 3 2 2 2 2 6" xfId="29095" xr:uid="{00000000-0005-0000-0000-00000D4E0000}"/>
    <cellStyle name="40% - Accent1 3 2 2 2 3" xfId="4032" xr:uid="{00000000-0005-0000-0000-00000E4E0000}"/>
    <cellStyle name="40% - Accent1 3 2 2 2 3 2" xfId="7286" xr:uid="{00000000-0005-0000-0000-00000F4E0000}"/>
    <cellStyle name="40% - Accent1 3 2 2 2 3 2 2" xfId="13745" xr:uid="{00000000-0005-0000-0000-0000104E0000}"/>
    <cellStyle name="40% - Accent1 3 2 2 2 3 2 2 2" xfId="26662" xr:uid="{00000000-0005-0000-0000-0000114E0000}"/>
    <cellStyle name="40% - Accent1 3 2 2 2 3 2 2 2 2" xfId="52536" xr:uid="{00000000-0005-0000-0000-0000124E0000}"/>
    <cellStyle name="40% - Accent1 3 2 2 2 3 2 2 3" xfId="39620" xr:uid="{00000000-0005-0000-0000-0000134E0000}"/>
    <cellStyle name="40% - Accent1 3 2 2 2 3 2 3" xfId="20204" xr:uid="{00000000-0005-0000-0000-0000144E0000}"/>
    <cellStyle name="40% - Accent1 3 2 2 2 3 2 3 2" xfId="46078" xr:uid="{00000000-0005-0000-0000-0000154E0000}"/>
    <cellStyle name="40% - Accent1 3 2 2 2 3 2 4" xfId="33162" xr:uid="{00000000-0005-0000-0000-0000164E0000}"/>
    <cellStyle name="40% - Accent1 3 2 2 2 3 3" xfId="10517" xr:uid="{00000000-0005-0000-0000-0000174E0000}"/>
    <cellStyle name="40% - Accent1 3 2 2 2 3 3 2" xfId="23434" xr:uid="{00000000-0005-0000-0000-0000184E0000}"/>
    <cellStyle name="40% - Accent1 3 2 2 2 3 3 2 2" xfId="49308" xr:uid="{00000000-0005-0000-0000-0000194E0000}"/>
    <cellStyle name="40% - Accent1 3 2 2 2 3 3 3" xfId="36392" xr:uid="{00000000-0005-0000-0000-00001A4E0000}"/>
    <cellStyle name="40% - Accent1 3 2 2 2 3 4" xfId="16976" xr:uid="{00000000-0005-0000-0000-00001B4E0000}"/>
    <cellStyle name="40% - Accent1 3 2 2 2 3 4 2" xfId="42850" xr:uid="{00000000-0005-0000-0000-00001C4E0000}"/>
    <cellStyle name="40% - Accent1 3 2 2 2 3 5" xfId="29902" xr:uid="{00000000-0005-0000-0000-00001D4E0000}"/>
    <cellStyle name="40% - Accent1 3 2 2 2 4" xfId="5672" xr:uid="{00000000-0005-0000-0000-00001E4E0000}"/>
    <cellStyle name="40% - Accent1 3 2 2 2 4 2" xfId="12131" xr:uid="{00000000-0005-0000-0000-00001F4E0000}"/>
    <cellStyle name="40% - Accent1 3 2 2 2 4 2 2" xfId="25048" xr:uid="{00000000-0005-0000-0000-0000204E0000}"/>
    <cellStyle name="40% - Accent1 3 2 2 2 4 2 2 2" xfId="50922" xr:uid="{00000000-0005-0000-0000-0000214E0000}"/>
    <cellStyle name="40% - Accent1 3 2 2 2 4 2 3" xfId="38006" xr:uid="{00000000-0005-0000-0000-0000224E0000}"/>
    <cellStyle name="40% - Accent1 3 2 2 2 4 3" xfId="18590" xr:uid="{00000000-0005-0000-0000-0000234E0000}"/>
    <cellStyle name="40% - Accent1 3 2 2 2 4 3 2" xfId="44464" xr:uid="{00000000-0005-0000-0000-0000244E0000}"/>
    <cellStyle name="40% - Accent1 3 2 2 2 4 4" xfId="31548" xr:uid="{00000000-0005-0000-0000-0000254E0000}"/>
    <cellStyle name="40% - Accent1 3 2 2 2 5" xfId="8903" xr:uid="{00000000-0005-0000-0000-0000264E0000}"/>
    <cellStyle name="40% - Accent1 3 2 2 2 5 2" xfId="21820" xr:uid="{00000000-0005-0000-0000-0000274E0000}"/>
    <cellStyle name="40% - Accent1 3 2 2 2 5 2 2" xfId="47694" xr:uid="{00000000-0005-0000-0000-0000284E0000}"/>
    <cellStyle name="40% - Accent1 3 2 2 2 5 3" xfId="34778" xr:uid="{00000000-0005-0000-0000-0000294E0000}"/>
    <cellStyle name="40% - Accent1 3 2 2 2 6" xfId="15362" xr:uid="{00000000-0005-0000-0000-00002A4E0000}"/>
    <cellStyle name="40% - Accent1 3 2 2 2 6 2" xfId="41236" xr:uid="{00000000-0005-0000-0000-00002B4E0000}"/>
    <cellStyle name="40% - Accent1 3 2 2 2 7" xfId="28288" xr:uid="{00000000-0005-0000-0000-00002C4E0000}"/>
    <cellStyle name="40% - Accent1 3 2 2 2 8" xfId="54150" xr:uid="{00000000-0005-0000-0000-00002D4E0000}"/>
    <cellStyle name="40% - Accent1 3 2 2 2 9" xfId="2392" xr:uid="{00000000-0005-0000-0000-00002E4E0000}"/>
    <cellStyle name="40% - Accent1 3 2 2 3" xfId="657" xr:uid="{00000000-0005-0000-0000-00002F4E0000}"/>
    <cellStyle name="40% - Accent1 3 2 2 3 2" xfId="4458" xr:uid="{00000000-0005-0000-0000-0000304E0000}"/>
    <cellStyle name="40% - Accent1 3 2 2 3 2 2" xfId="7689" xr:uid="{00000000-0005-0000-0000-0000314E0000}"/>
    <cellStyle name="40% - Accent1 3 2 2 3 2 2 2" xfId="14148" xr:uid="{00000000-0005-0000-0000-0000324E0000}"/>
    <cellStyle name="40% - Accent1 3 2 2 3 2 2 2 2" xfId="27065" xr:uid="{00000000-0005-0000-0000-0000334E0000}"/>
    <cellStyle name="40% - Accent1 3 2 2 3 2 2 2 2 2" xfId="52939" xr:uid="{00000000-0005-0000-0000-0000344E0000}"/>
    <cellStyle name="40% - Accent1 3 2 2 3 2 2 2 3" xfId="40023" xr:uid="{00000000-0005-0000-0000-0000354E0000}"/>
    <cellStyle name="40% - Accent1 3 2 2 3 2 2 3" xfId="20607" xr:uid="{00000000-0005-0000-0000-0000364E0000}"/>
    <cellStyle name="40% - Accent1 3 2 2 3 2 2 3 2" xfId="46481" xr:uid="{00000000-0005-0000-0000-0000374E0000}"/>
    <cellStyle name="40% - Accent1 3 2 2 3 2 2 4" xfId="33565" xr:uid="{00000000-0005-0000-0000-0000384E0000}"/>
    <cellStyle name="40% - Accent1 3 2 2 3 2 3" xfId="10920" xr:uid="{00000000-0005-0000-0000-0000394E0000}"/>
    <cellStyle name="40% - Accent1 3 2 2 3 2 3 2" xfId="23837" xr:uid="{00000000-0005-0000-0000-00003A4E0000}"/>
    <cellStyle name="40% - Accent1 3 2 2 3 2 3 2 2" xfId="49711" xr:uid="{00000000-0005-0000-0000-00003B4E0000}"/>
    <cellStyle name="40% - Accent1 3 2 2 3 2 3 3" xfId="36795" xr:uid="{00000000-0005-0000-0000-00003C4E0000}"/>
    <cellStyle name="40% - Accent1 3 2 2 3 2 4" xfId="17379" xr:uid="{00000000-0005-0000-0000-00003D4E0000}"/>
    <cellStyle name="40% - Accent1 3 2 2 3 2 4 2" xfId="43253" xr:uid="{00000000-0005-0000-0000-00003E4E0000}"/>
    <cellStyle name="40% - Accent1 3 2 2 3 2 5" xfId="30305" xr:uid="{00000000-0005-0000-0000-00003F4E0000}"/>
    <cellStyle name="40% - Accent1 3 2 2 3 3" xfId="6075" xr:uid="{00000000-0005-0000-0000-0000404E0000}"/>
    <cellStyle name="40% - Accent1 3 2 2 3 3 2" xfId="12534" xr:uid="{00000000-0005-0000-0000-0000414E0000}"/>
    <cellStyle name="40% - Accent1 3 2 2 3 3 2 2" xfId="25451" xr:uid="{00000000-0005-0000-0000-0000424E0000}"/>
    <cellStyle name="40% - Accent1 3 2 2 3 3 2 2 2" xfId="51325" xr:uid="{00000000-0005-0000-0000-0000434E0000}"/>
    <cellStyle name="40% - Accent1 3 2 2 3 3 2 3" xfId="38409" xr:uid="{00000000-0005-0000-0000-0000444E0000}"/>
    <cellStyle name="40% - Accent1 3 2 2 3 3 3" xfId="18993" xr:uid="{00000000-0005-0000-0000-0000454E0000}"/>
    <cellStyle name="40% - Accent1 3 2 2 3 3 3 2" xfId="44867" xr:uid="{00000000-0005-0000-0000-0000464E0000}"/>
    <cellStyle name="40% - Accent1 3 2 2 3 3 4" xfId="31951" xr:uid="{00000000-0005-0000-0000-0000474E0000}"/>
    <cellStyle name="40% - Accent1 3 2 2 3 4" xfId="9306" xr:uid="{00000000-0005-0000-0000-0000484E0000}"/>
    <cellStyle name="40% - Accent1 3 2 2 3 4 2" xfId="22223" xr:uid="{00000000-0005-0000-0000-0000494E0000}"/>
    <cellStyle name="40% - Accent1 3 2 2 3 4 2 2" xfId="48097" xr:uid="{00000000-0005-0000-0000-00004A4E0000}"/>
    <cellStyle name="40% - Accent1 3 2 2 3 4 3" xfId="35181" xr:uid="{00000000-0005-0000-0000-00004B4E0000}"/>
    <cellStyle name="40% - Accent1 3 2 2 3 5" xfId="15765" xr:uid="{00000000-0005-0000-0000-00004C4E0000}"/>
    <cellStyle name="40% - Accent1 3 2 2 3 5 2" xfId="41639" xr:uid="{00000000-0005-0000-0000-00004D4E0000}"/>
    <cellStyle name="40% - Accent1 3 2 2 3 6" xfId="28691" xr:uid="{00000000-0005-0000-0000-00004E4E0000}"/>
    <cellStyle name="40% - Accent1 3 2 2 3 7" xfId="2801" xr:uid="{00000000-0005-0000-0000-00004F4E0000}"/>
    <cellStyle name="40% - Accent1 3 2 2 4" xfId="3628" xr:uid="{00000000-0005-0000-0000-0000504E0000}"/>
    <cellStyle name="40% - Accent1 3 2 2 4 2" xfId="6882" xr:uid="{00000000-0005-0000-0000-0000514E0000}"/>
    <cellStyle name="40% - Accent1 3 2 2 4 2 2" xfId="13341" xr:uid="{00000000-0005-0000-0000-0000524E0000}"/>
    <cellStyle name="40% - Accent1 3 2 2 4 2 2 2" xfId="26258" xr:uid="{00000000-0005-0000-0000-0000534E0000}"/>
    <cellStyle name="40% - Accent1 3 2 2 4 2 2 2 2" xfId="52132" xr:uid="{00000000-0005-0000-0000-0000544E0000}"/>
    <cellStyle name="40% - Accent1 3 2 2 4 2 2 3" xfId="39216" xr:uid="{00000000-0005-0000-0000-0000554E0000}"/>
    <cellStyle name="40% - Accent1 3 2 2 4 2 3" xfId="19800" xr:uid="{00000000-0005-0000-0000-0000564E0000}"/>
    <cellStyle name="40% - Accent1 3 2 2 4 2 3 2" xfId="45674" xr:uid="{00000000-0005-0000-0000-0000574E0000}"/>
    <cellStyle name="40% - Accent1 3 2 2 4 2 4" xfId="32758" xr:uid="{00000000-0005-0000-0000-0000584E0000}"/>
    <cellStyle name="40% - Accent1 3 2 2 4 3" xfId="10113" xr:uid="{00000000-0005-0000-0000-0000594E0000}"/>
    <cellStyle name="40% - Accent1 3 2 2 4 3 2" xfId="23030" xr:uid="{00000000-0005-0000-0000-00005A4E0000}"/>
    <cellStyle name="40% - Accent1 3 2 2 4 3 2 2" xfId="48904" xr:uid="{00000000-0005-0000-0000-00005B4E0000}"/>
    <cellStyle name="40% - Accent1 3 2 2 4 3 3" xfId="35988" xr:uid="{00000000-0005-0000-0000-00005C4E0000}"/>
    <cellStyle name="40% - Accent1 3 2 2 4 4" xfId="16572" xr:uid="{00000000-0005-0000-0000-00005D4E0000}"/>
    <cellStyle name="40% - Accent1 3 2 2 4 4 2" xfId="42446" xr:uid="{00000000-0005-0000-0000-00005E4E0000}"/>
    <cellStyle name="40% - Accent1 3 2 2 4 5" xfId="29498" xr:uid="{00000000-0005-0000-0000-00005F4E0000}"/>
    <cellStyle name="40% - Accent1 3 2 2 5" xfId="5268" xr:uid="{00000000-0005-0000-0000-0000604E0000}"/>
    <cellStyle name="40% - Accent1 3 2 2 5 2" xfId="11727" xr:uid="{00000000-0005-0000-0000-0000614E0000}"/>
    <cellStyle name="40% - Accent1 3 2 2 5 2 2" xfId="24644" xr:uid="{00000000-0005-0000-0000-0000624E0000}"/>
    <cellStyle name="40% - Accent1 3 2 2 5 2 2 2" xfId="50518" xr:uid="{00000000-0005-0000-0000-0000634E0000}"/>
    <cellStyle name="40% - Accent1 3 2 2 5 2 3" xfId="37602" xr:uid="{00000000-0005-0000-0000-0000644E0000}"/>
    <cellStyle name="40% - Accent1 3 2 2 5 3" xfId="18186" xr:uid="{00000000-0005-0000-0000-0000654E0000}"/>
    <cellStyle name="40% - Accent1 3 2 2 5 3 2" xfId="44060" xr:uid="{00000000-0005-0000-0000-0000664E0000}"/>
    <cellStyle name="40% - Accent1 3 2 2 5 4" xfId="31144" xr:uid="{00000000-0005-0000-0000-0000674E0000}"/>
    <cellStyle name="40% - Accent1 3 2 2 6" xfId="8499" xr:uid="{00000000-0005-0000-0000-0000684E0000}"/>
    <cellStyle name="40% - Accent1 3 2 2 6 2" xfId="21416" xr:uid="{00000000-0005-0000-0000-0000694E0000}"/>
    <cellStyle name="40% - Accent1 3 2 2 6 2 2" xfId="47290" xr:uid="{00000000-0005-0000-0000-00006A4E0000}"/>
    <cellStyle name="40% - Accent1 3 2 2 6 3" xfId="34374" xr:uid="{00000000-0005-0000-0000-00006B4E0000}"/>
    <cellStyle name="40% - Accent1 3 2 2 7" xfId="14958" xr:uid="{00000000-0005-0000-0000-00006C4E0000}"/>
    <cellStyle name="40% - Accent1 3 2 2 7 2" xfId="40832" xr:uid="{00000000-0005-0000-0000-00006D4E0000}"/>
    <cellStyle name="40% - Accent1 3 2 2 8" xfId="27883" xr:uid="{00000000-0005-0000-0000-00006E4E0000}"/>
    <cellStyle name="40% - Accent1 3 2 2 9" xfId="53746" xr:uid="{00000000-0005-0000-0000-00006F4E0000}"/>
    <cellStyle name="40% - Accent1 3 2 3" xfId="659" xr:uid="{00000000-0005-0000-0000-0000704E0000}"/>
    <cellStyle name="40% - Accent1 3 2 3 2" xfId="3010" xr:uid="{00000000-0005-0000-0000-0000714E0000}"/>
    <cellStyle name="40% - Accent1 3 2 3 2 2" xfId="4667" xr:uid="{00000000-0005-0000-0000-0000724E0000}"/>
    <cellStyle name="40% - Accent1 3 2 3 2 2 2" xfId="7898" xr:uid="{00000000-0005-0000-0000-0000734E0000}"/>
    <cellStyle name="40% - Accent1 3 2 3 2 2 2 2" xfId="14357" xr:uid="{00000000-0005-0000-0000-0000744E0000}"/>
    <cellStyle name="40% - Accent1 3 2 3 2 2 2 2 2" xfId="27274" xr:uid="{00000000-0005-0000-0000-0000754E0000}"/>
    <cellStyle name="40% - Accent1 3 2 3 2 2 2 2 2 2" xfId="53148" xr:uid="{00000000-0005-0000-0000-0000764E0000}"/>
    <cellStyle name="40% - Accent1 3 2 3 2 2 2 2 3" xfId="40232" xr:uid="{00000000-0005-0000-0000-0000774E0000}"/>
    <cellStyle name="40% - Accent1 3 2 3 2 2 2 3" xfId="20816" xr:uid="{00000000-0005-0000-0000-0000784E0000}"/>
    <cellStyle name="40% - Accent1 3 2 3 2 2 2 3 2" xfId="46690" xr:uid="{00000000-0005-0000-0000-0000794E0000}"/>
    <cellStyle name="40% - Accent1 3 2 3 2 2 2 4" xfId="33774" xr:uid="{00000000-0005-0000-0000-00007A4E0000}"/>
    <cellStyle name="40% - Accent1 3 2 3 2 2 3" xfId="11129" xr:uid="{00000000-0005-0000-0000-00007B4E0000}"/>
    <cellStyle name="40% - Accent1 3 2 3 2 2 3 2" xfId="24046" xr:uid="{00000000-0005-0000-0000-00007C4E0000}"/>
    <cellStyle name="40% - Accent1 3 2 3 2 2 3 2 2" xfId="49920" xr:uid="{00000000-0005-0000-0000-00007D4E0000}"/>
    <cellStyle name="40% - Accent1 3 2 3 2 2 3 3" xfId="37004" xr:uid="{00000000-0005-0000-0000-00007E4E0000}"/>
    <cellStyle name="40% - Accent1 3 2 3 2 2 4" xfId="17588" xr:uid="{00000000-0005-0000-0000-00007F4E0000}"/>
    <cellStyle name="40% - Accent1 3 2 3 2 2 4 2" xfId="43462" xr:uid="{00000000-0005-0000-0000-0000804E0000}"/>
    <cellStyle name="40% - Accent1 3 2 3 2 2 5" xfId="30514" xr:uid="{00000000-0005-0000-0000-0000814E0000}"/>
    <cellStyle name="40% - Accent1 3 2 3 2 3" xfId="6284" xr:uid="{00000000-0005-0000-0000-0000824E0000}"/>
    <cellStyle name="40% - Accent1 3 2 3 2 3 2" xfId="12743" xr:uid="{00000000-0005-0000-0000-0000834E0000}"/>
    <cellStyle name="40% - Accent1 3 2 3 2 3 2 2" xfId="25660" xr:uid="{00000000-0005-0000-0000-0000844E0000}"/>
    <cellStyle name="40% - Accent1 3 2 3 2 3 2 2 2" xfId="51534" xr:uid="{00000000-0005-0000-0000-0000854E0000}"/>
    <cellStyle name="40% - Accent1 3 2 3 2 3 2 3" xfId="38618" xr:uid="{00000000-0005-0000-0000-0000864E0000}"/>
    <cellStyle name="40% - Accent1 3 2 3 2 3 3" xfId="19202" xr:uid="{00000000-0005-0000-0000-0000874E0000}"/>
    <cellStyle name="40% - Accent1 3 2 3 2 3 3 2" xfId="45076" xr:uid="{00000000-0005-0000-0000-0000884E0000}"/>
    <cellStyle name="40% - Accent1 3 2 3 2 3 4" xfId="32160" xr:uid="{00000000-0005-0000-0000-0000894E0000}"/>
    <cellStyle name="40% - Accent1 3 2 3 2 4" xfId="9515" xr:uid="{00000000-0005-0000-0000-00008A4E0000}"/>
    <cellStyle name="40% - Accent1 3 2 3 2 4 2" xfId="22432" xr:uid="{00000000-0005-0000-0000-00008B4E0000}"/>
    <cellStyle name="40% - Accent1 3 2 3 2 4 2 2" xfId="48306" xr:uid="{00000000-0005-0000-0000-00008C4E0000}"/>
    <cellStyle name="40% - Accent1 3 2 3 2 4 3" xfId="35390" xr:uid="{00000000-0005-0000-0000-00008D4E0000}"/>
    <cellStyle name="40% - Accent1 3 2 3 2 5" xfId="15974" xr:uid="{00000000-0005-0000-0000-00008E4E0000}"/>
    <cellStyle name="40% - Accent1 3 2 3 2 5 2" xfId="41848" xr:uid="{00000000-0005-0000-0000-00008F4E0000}"/>
    <cellStyle name="40% - Accent1 3 2 3 2 6" xfId="28900" xr:uid="{00000000-0005-0000-0000-0000904E0000}"/>
    <cellStyle name="40% - Accent1 3 2 3 3" xfId="3837" xr:uid="{00000000-0005-0000-0000-0000914E0000}"/>
    <cellStyle name="40% - Accent1 3 2 3 3 2" xfId="7091" xr:uid="{00000000-0005-0000-0000-0000924E0000}"/>
    <cellStyle name="40% - Accent1 3 2 3 3 2 2" xfId="13550" xr:uid="{00000000-0005-0000-0000-0000934E0000}"/>
    <cellStyle name="40% - Accent1 3 2 3 3 2 2 2" xfId="26467" xr:uid="{00000000-0005-0000-0000-0000944E0000}"/>
    <cellStyle name="40% - Accent1 3 2 3 3 2 2 2 2" xfId="52341" xr:uid="{00000000-0005-0000-0000-0000954E0000}"/>
    <cellStyle name="40% - Accent1 3 2 3 3 2 2 3" xfId="39425" xr:uid="{00000000-0005-0000-0000-0000964E0000}"/>
    <cellStyle name="40% - Accent1 3 2 3 3 2 3" xfId="20009" xr:uid="{00000000-0005-0000-0000-0000974E0000}"/>
    <cellStyle name="40% - Accent1 3 2 3 3 2 3 2" xfId="45883" xr:uid="{00000000-0005-0000-0000-0000984E0000}"/>
    <cellStyle name="40% - Accent1 3 2 3 3 2 4" xfId="32967" xr:uid="{00000000-0005-0000-0000-0000994E0000}"/>
    <cellStyle name="40% - Accent1 3 2 3 3 3" xfId="10322" xr:uid="{00000000-0005-0000-0000-00009A4E0000}"/>
    <cellStyle name="40% - Accent1 3 2 3 3 3 2" xfId="23239" xr:uid="{00000000-0005-0000-0000-00009B4E0000}"/>
    <cellStyle name="40% - Accent1 3 2 3 3 3 2 2" xfId="49113" xr:uid="{00000000-0005-0000-0000-00009C4E0000}"/>
    <cellStyle name="40% - Accent1 3 2 3 3 3 3" xfId="36197" xr:uid="{00000000-0005-0000-0000-00009D4E0000}"/>
    <cellStyle name="40% - Accent1 3 2 3 3 4" xfId="16781" xr:uid="{00000000-0005-0000-0000-00009E4E0000}"/>
    <cellStyle name="40% - Accent1 3 2 3 3 4 2" xfId="42655" xr:uid="{00000000-0005-0000-0000-00009F4E0000}"/>
    <cellStyle name="40% - Accent1 3 2 3 3 5" xfId="29707" xr:uid="{00000000-0005-0000-0000-0000A04E0000}"/>
    <cellStyle name="40% - Accent1 3 2 3 4" xfId="5477" xr:uid="{00000000-0005-0000-0000-0000A14E0000}"/>
    <cellStyle name="40% - Accent1 3 2 3 4 2" xfId="11936" xr:uid="{00000000-0005-0000-0000-0000A24E0000}"/>
    <cellStyle name="40% - Accent1 3 2 3 4 2 2" xfId="24853" xr:uid="{00000000-0005-0000-0000-0000A34E0000}"/>
    <cellStyle name="40% - Accent1 3 2 3 4 2 2 2" xfId="50727" xr:uid="{00000000-0005-0000-0000-0000A44E0000}"/>
    <cellStyle name="40% - Accent1 3 2 3 4 2 3" xfId="37811" xr:uid="{00000000-0005-0000-0000-0000A54E0000}"/>
    <cellStyle name="40% - Accent1 3 2 3 4 3" xfId="18395" xr:uid="{00000000-0005-0000-0000-0000A64E0000}"/>
    <cellStyle name="40% - Accent1 3 2 3 4 3 2" xfId="44269" xr:uid="{00000000-0005-0000-0000-0000A74E0000}"/>
    <cellStyle name="40% - Accent1 3 2 3 4 4" xfId="31353" xr:uid="{00000000-0005-0000-0000-0000A84E0000}"/>
    <cellStyle name="40% - Accent1 3 2 3 5" xfId="8708" xr:uid="{00000000-0005-0000-0000-0000A94E0000}"/>
    <cellStyle name="40% - Accent1 3 2 3 5 2" xfId="21625" xr:uid="{00000000-0005-0000-0000-0000AA4E0000}"/>
    <cellStyle name="40% - Accent1 3 2 3 5 2 2" xfId="47499" xr:uid="{00000000-0005-0000-0000-0000AB4E0000}"/>
    <cellStyle name="40% - Accent1 3 2 3 5 3" xfId="34583" xr:uid="{00000000-0005-0000-0000-0000AC4E0000}"/>
    <cellStyle name="40% - Accent1 3 2 3 6" xfId="15167" xr:uid="{00000000-0005-0000-0000-0000AD4E0000}"/>
    <cellStyle name="40% - Accent1 3 2 3 6 2" xfId="41041" xr:uid="{00000000-0005-0000-0000-0000AE4E0000}"/>
    <cellStyle name="40% - Accent1 3 2 3 7" xfId="28093" xr:uid="{00000000-0005-0000-0000-0000AF4E0000}"/>
    <cellStyle name="40% - Accent1 3 2 3 8" xfId="53955" xr:uid="{00000000-0005-0000-0000-0000B04E0000}"/>
    <cellStyle name="40% - Accent1 3 2 3 9" xfId="2196" xr:uid="{00000000-0005-0000-0000-0000B14E0000}"/>
    <cellStyle name="40% - Accent1 3 2 4" xfId="656" xr:uid="{00000000-0005-0000-0000-0000B24E0000}"/>
    <cellStyle name="40% - Accent1 3 2 4 2" xfId="4264" xr:uid="{00000000-0005-0000-0000-0000B34E0000}"/>
    <cellStyle name="40% - Accent1 3 2 4 2 2" xfId="7495" xr:uid="{00000000-0005-0000-0000-0000B44E0000}"/>
    <cellStyle name="40% - Accent1 3 2 4 2 2 2" xfId="13954" xr:uid="{00000000-0005-0000-0000-0000B54E0000}"/>
    <cellStyle name="40% - Accent1 3 2 4 2 2 2 2" xfId="26871" xr:uid="{00000000-0005-0000-0000-0000B64E0000}"/>
    <cellStyle name="40% - Accent1 3 2 4 2 2 2 2 2" xfId="52745" xr:uid="{00000000-0005-0000-0000-0000B74E0000}"/>
    <cellStyle name="40% - Accent1 3 2 4 2 2 2 3" xfId="39829" xr:uid="{00000000-0005-0000-0000-0000B84E0000}"/>
    <cellStyle name="40% - Accent1 3 2 4 2 2 3" xfId="20413" xr:uid="{00000000-0005-0000-0000-0000B94E0000}"/>
    <cellStyle name="40% - Accent1 3 2 4 2 2 3 2" xfId="46287" xr:uid="{00000000-0005-0000-0000-0000BA4E0000}"/>
    <cellStyle name="40% - Accent1 3 2 4 2 2 4" xfId="33371" xr:uid="{00000000-0005-0000-0000-0000BB4E0000}"/>
    <cellStyle name="40% - Accent1 3 2 4 2 3" xfId="10726" xr:uid="{00000000-0005-0000-0000-0000BC4E0000}"/>
    <cellStyle name="40% - Accent1 3 2 4 2 3 2" xfId="23643" xr:uid="{00000000-0005-0000-0000-0000BD4E0000}"/>
    <cellStyle name="40% - Accent1 3 2 4 2 3 2 2" xfId="49517" xr:uid="{00000000-0005-0000-0000-0000BE4E0000}"/>
    <cellStyle name="40% - Accent1 3 2 4 2 3 3" xfId="36601" xr:uid="{00000000-0005-0000-0000-0000BF4E0000}"/>
    <cellStyle name="40% - Accent1 3 2 4 2 4" xfId="17185" xr:uid="{00000000-0005-0000-0000-0000C04E0000}"/>
    <cellStyle name="40% - Accent1 3 2 4 2 4 2" xfId="43059" xr:uid="{00000000-0005-0000-0000-0000C14E0000}"/>
    <cellStyle name="40% - Accent1 3 2 4 2 5" xfId="30111" xr:uid="{00000000-0005-0000-0000-0000C24E0000}"/>
    <cellStyle name="40% - Accent1 3 2 4 3" xfId="5881" xr:uid="{00000000-0005-0000-0000-0000C34E0000}"/>
    <cellStyle name="40% - Accent1 3 2 4 3 2" xfId="12340" xr:uid="{00000000-0005-0000-0000-0000C44E0000}"/>
    <cellStyle name="40% - Accent1 3 2 4 3 2 2" xfId="25257" xr:uid="{00000000-0005-0000-0000-0000C54E0000}"/>
    <cellStyle name="40% - Accent1 3 2 4 3 2 2 2" xfId="51131" xr:uid="{00000000-0005-0000-0000-0000C64E0000}"/>
    <cellStyle name="40% - Accent1 3 2 4 3 2 3" xfId="38215" xr:uid="{00000000-0005-0000-0000-0000C74E0000}"/>
    <cellStyle name="40% - Accent1 3 2 4 3 3" xfId="18799" xr:uid="{00000000-0005-0000-0000-0000C84E0000}"/>
    <cellStyle name="40% - Accent1 3 2 4 3 3 2" xfId="44673" xr:uid="{00000000-0005-0000-0000-0000C94E0000}"/>
    <cellStyle name="40% - Accent1 3 2 4 3 4" xfId="31757" xr:uid="{00000000-0005-0000-0000-0000CA4E0000}"/>
    <cellStyle name="40% - Accent1 3 2 4 4" xfId="9112" xr:uid="{00000000-0005-0000-0000-0000CB4E0000}"/>
    <cellStyle name="40% - Accent1 3 2 4 4 2" xfId="22029" xr:uid="{00000000-0005-0000-0000-0000CC4E0000}"/>
    <cellStyle name="40% - Accent1 3 2 4 4 2 2" xfId="47903" xr:uid="{00000000-0005-0000-0000-0000CD4E0000}"/>
    <cellStyle name="40% - Accent1 3 2 4 4 3" xfId="34987" xr:uid="{00000000-0005-0000-0000-0000CE4E0000}"/>
    <cellStyle name="40% - Accent1 3 2 4 5" xfId="15571" xr:uid="{00000000-0005-0000-0000-0000CF4E0000}"/>
    <cellStyle name="40% - Accent1 3 2 4 5 2" xfId="41445" xr:uid="{00000000-0005-0000-0000-0000D04E0000}"/>
    <cellStyle name="40% - Accent1 3 2 4 6" xfId="28497" xr:uid="{00000000-0005-0000-0000-0000D14E0000}"/>
    <cellStyle name="40% - Accent1 3 2 4 7" xfId="2607" xr:uid="{00000000-0005-0000-0000-0000D24E0000}"/>
    <cellStyle name="40% - Accent1 3 2 5" xfId="3434" xr:uid="{00000000-0005-0000-0000-0000D34E0000}"/>
    <cellStyle name="40% - Accent1 3 2 5 2" xfId="6688" xr:uid="{00000000-0005-0000-0000-0000D44E0000}"/>
    <cellStyle name="40% - Accent1 3 2 5 2 2" xfId="13147" xr:uid="{00000000-0005-0000-0000-0000D54E0000}"/>
    <cellStyle name="40% - Accent1 3 2 5 2 2 2" xfId="26064" xr:uid="{00000000-0005-0000-0000-0000D64E0000}"/>
    <cellStyle name="40% - Accent1 3 2 5 2 2 2 2" xfId="51938" xr:uid="{00000000-0005-0000-0000-0000D74E0000}"/>
    <cellStyle name="40% - Accent1 3 2 5 2 2 3" xfId="39022" xr:uid="{00000000-0005-0000-0000-0000D84E0000}"/>
    <cellStyle name="40% - Accent1 3 2 5 2 3" xfId="19606" xr:uid="{00000000-0005-0000-0000-0000D94E0000}"/>
    <cellStyle name="40% - Accent1 3 2 5 2 3 2" xfId="45480" xr:uid="{00000000-0005-0000-0000-0000DA4E0000}"/>
    <cellStyle name="40% - Accent1 3 2 5 2 4" xfId="32564" xr:uid="{00000000-0005-0000-0000-0000DB4E0000}"/>
    <cellStyle name="40% - Accent1 3 2 5 3" xfId="9919" xr:uid="{00000000-0005-0000-0000-0000DC4E0000}"/>
    <cellStyle name="40% - Accent1 3 2 5 3 2" xfId="22836" xr:uid="{00000000-0005-0000-0000-0000DD4E0000}"/>
    <cellStyle name="40% - Accent1 3 2 5 3 2 2" xfId="48710" xr:uid="{00000000-0005-0000-0000-0000DE4E0000}"/>
    <cellStyle name="40% - Accent1 3 2 5 3 3" xfId="35794" xr:uid="{00000000-0005-0000-0000-0000DF4E0000}"/>
    <cellStyle name="40% - Accent1 3 2 5 4" xfId="16378" xr:uid="{00000000-0005-0000-0000-0000E04E0000}"/>
    <cellStyle name="40% - Accent1 3 2 5 4 2" xfId="42252" xr:uid="{00000000-0005-0000-0000-0000E14E0000}"/>
    <cellStyle name="40% - Accent1 3 2 5 5" xfId="29304" xr:uid="{00000000-0005-0000-0000-0000E24E0000}"/>
    <cellStyle name="40% - Accent1 3 2 6" xfId="5074" xr:uid="{00000000-0005-0000-0000-0000E34E0000}"/>
    <cellStyle name="40% - Accent1 3 2 6 2" xfId="11533" xr:uid="{00000000-0005-0000-0000-0000E44E0000}"/>
    <cellStyle name="40% - Accent1 3 2 6 2 2" xfId="24450" xr:uid="{00000000-0005-0000-0000-0000E54E0000}"/>
    <cellStyle name="40% - Accent1 3 2 6 2 2 2" xfId="50324" xr:uid="{00000000-0005-0000-0000-0000E64E0000}"/>
    <cellStyle name="40% - Accent1 3 2 6 2 3" xfId="37408" xr:uid="{00000000-0005-0000-0000-0000E74E0000}"/>
    <cellStyle name="40% - Accent1 3 2 6 3" xfId="17992" xr:uid="{00000000-0005-0000-0000-0000E84E0000}"/>
    <cellStyle name="40% - Accent1 3 2 6 3 2" xfId="43866" xr:uid="{00000000-0005-0000-0000-0000E94E0000}"/>
    <cellStyle name="40% - Accent1 3 2 6 4" xfId="30950" xr:uid="{00000000-0005-0000-0000-0000EA4E0000}"/>
    <cellStyle name="40% - Accent1 3 2 7" xfId="8304" xr:uid="{00000000-0005-0000-0000-0000EB4E0000}"/>
    <cellStyle name="40% - Accent1 3 2 7 2" xfId="21221" xr:uid="{00000000-0005-0000-0000-0000EC4E0000}"/>
    <cellStyle name="40% - Accent1 3 2 7 2 2" xfId="47095" xr:uid="{00000000-0005-0000-0000-0000ED4E0000}"/>
    <cellStyle name="40% - Accent1 3 2 7 3" xfId="34179" xr:uid="{00000000-0005-0000-0000-0000EE4E0000}"/>
    <cellStyle name="40% - Accent1 3 2 8" xfId="14763" xr:uid="{00000000-0005-0000-0000-0000EF4E0000}"/>
    <cellStyle name="40% - Accent1 3 2 8 2" xfId="40637" xr:uid="{00000000-0005-0000-0000-0000F04E0000}"/>
    <cellStyle name="40% - Accent1 3 2 9" xfId="27687" xr:uid="{00000000-0005-0000-0000-0000F14E0000}"/>
    <cellStyle name="40% - Accent1 3 3" xfId="322" xr:uid="{00000000-0005-0000-0000-0000F24E0000}"/>
    <cellStyle name="40% - Accent1 3 3 10" xfId="53518" xr:uid="{00000000-0005-0000-0000-0000F34E0000}"/>
    <cellStyle name="40% - Accent1 3 3 11" xfId="1601" xr:uid="{00000000-0005-0000-0000-0000F44E0000}"/>
    <cellStyle name="40% - Accent1 3 3 2" xfId="459" xr:uid="{00000000-0005-0000-0000-0000F54E0000}"/>
    <cellStyle name="40% - Accent1 3 3 2 10" xfId="1927" xr:uid="{00000000-0005-0000-0000-0000F64E0000}"/>
    <cellStyle name="40% - Accent1 3 3 2 2" xfId="662" xr:uid="{00000000-0005-0000-0000-0000F74E0000}"/>
    <cellStyle name="40% - Accent1 3 3 2 2 2" xfId="3171" xr:uid="{00000000-0005-0000-0000-0000F84E0000}"/>
    <cellStyle name="40% - Accent1 3 3 2 2 2 2" xfId="4828" xr:uid="{00000000-0005-0000-0000-0000F94E0000}"/>
    <cellStyle name="40% - Accent1 3 3 2 2 2 2 2" xfId="8059" xr:uid="{00000000-0005-0000-0000-0000FA4E0000}"/>
    <cellStyle name="40% - Accent1 3 3 2 2 2 2 2 2" xfId="14518" xr:uid="{00000000-0005-0000-0000-0000FB4E0000}"/>
    <cellStyle name="40% - Accent1 3 3 2 2 2 2 2 2 2" xfId="27435" xr:uid="{00000000-0005-0000-0000-0000FC4E0000}"/>
    <cellStyle name="40% - Accent1 3 3 2 2 2 2 2 2 2 2" xfId="53309" xr:uid="{00000000-0005-0000-0000-0000FD4E0000}"/>
    <cellStyle name="40% - Accent1 3 3 2 2 2 2 2 2 3" xfId="40393" xr:uid="{00000000-0005-0000-0000-0000FE4E0000}"/>
    <cellStyle name="40% - Accent1 3 3 2 2 2 2 2 3" xfId="20977" xr:uid="{00000000-0005-0000-0000-0000FF4E0000}"/>
    <cellStyle name="40% - Accent1 3 3 2 2 2 2 2 3 2" xfId="46851" xr:uid="{00000000-0005-0000-0000-0000004F0000}"/>
    <cellStyle name="40% - Accent1 3 3 2 2 2 2 2 4" xfId="33935" xr:uid="{00000000-0005-0000-0000-0000014F0000}"/>
    <cellStyle name="40% - Accent1 3 3 2 2 2 2 3" xfId="11290" xr:uid="{00000000-0005-0000-0000-0000024F0000}"/>
    <cellStyle name="40% - Accent1 3 3 2 2 2 2 3 2" xfId="24207" xr:uid="{00000000-0005-0000-0000-0000034F0000}"/>
    <cellStyle name="40% - Accent1 3 3 2 2 2 2 3 2 2" xfId="50081" xr:uid="{00000000-0005-0000-0000-0000044F0000}"/>
    <cellStyle name="40% - Accent1 3 3 2 2 2 2 3 3" xfId="37165" xr:uid="{00000000-0005-0000-0000-0000054F0000}"/>
    <cellStyle name="40% - Accent1 3 3 2 2 2 2 4" xfId="17749" xr:uid="{00000000-0005-0000-0000-0000064F0000}"/>
    <cellStyle name="40% - Accent1 3 3 2 2 2 2 4 2" xfId="43623" xr:uid="{00000000-0005-0000-0000-0000074F0000}"/>
    <cellStyle name="40% - Accent1 3 3 2 2 2 2 5" xfId="30675" xr:uid="{00000000-0005-0000-0000-0000084F0000}"/>
    <cellStyle name="40% - Accent1 3 3 2 2 2 3" xfId="6445" xr:uid="{00000000-0005-0000-0000-0000094F0000}"/>
    <cellStyle name="40% - Accent1 3 3 2 2 2 3 2" xfId="12904" xr:uid="{00000000-0005-0000-0000-00000A4F0000}"/>
    <cellStyle name="40% - Accent1 3 3 2 2 2 3 2 2" xfId="25821" xr:uid="{00000000-0005-0000-0000-00000B4F0000}"/>
    <cellStyle name="40% - Accent1 3 3 2 2 2 3 2 2 2" xfId="51695" xr:uid="{00000000-0005-0000-0000-00000C4F0000}"/>
    <cellStyle name="40% - Accent1 3 3 2 2 2 3 2 3" xfId="38779" xr:uid="{00000000-0005-0000-0000-00000D4F0000}"/>
    <cellStyle name="40% - Accent1 3 3 2 2 2 3 3" xfId="19363" xr:uid="{00000000-0005-0000-0000-00000E4F0000}"/>
    <cellStyle name="40% - Accent1 3 3 2 2 2 3 3 2" xfId="45237" xr:uid="{00000000-0005-0000-0000-00000F4F0000}"/>
    <cellStyle name="40% - Accent1 3 3 2 2 2 3 4" xfId="32321" xr:uid="{00000000-0005-0000-0000-0000104F0000}"/>
    <cellStyle name="40% - Accent1 3 3 2 2 2 4" xfId="9676" xr:uid="{00000000-0005-0000-0000-0000114F0000}"/>
    <cellStyle name="40% - Accent1 3 3 2 2 2 4 2" xfId="22593" xr:uid="{00000000-0005-0000-0000-0000124F0000}"/>
    <cellStyle name="40% - Accent1 3 3 2 2 2 4 2 2" xfId="48467" xr:uid="{00000000-0005-0000-0000-0000134F0000}"/>
    <cellStyle name="40% - Accent1 3 3 2 2 2 4 3" xfId="35551" xr:uid="{00000000-0005-0000-0000-0000144F0000}"/>
    <cellStyle name="40% - Accent1 3 3 2 2 2 5" xfId="16135" xr:uid="{00000000-0005-0000-0000-0000154F0000}"/>
    <cellStyle name="40% - Accent1 3 3 2 2 2 5 2" xfId="42009" xr:uid="{00000000-0005-0000-0000-0000164F0000}"/>
    <cellStyle name="40% - Accent1 3 3 2 2 2 6" xfId="29061" xr:uid="{00000000-0005-0000-0000-0000174F0000}"/>
    <cellStyle name="40% - Accent1 3 3 2 2 3" xfId="3998" xr:uid="{00000000-0005-0000-0000-0000184F0000}"/>
    <cellStyle name="40% - Accent1 3 3 2 2 3 2" xfId="7252" xr:uid="{00000000-0005-0000-0000-0000194F0000}"/>
    <cellStyle name="40% - Accent1 3 3 2 2 3 2 2" xfId="13711" xr:uid="{00000000-0005-0000-0000-00001A4F0000}"/>
    <cellStyle name="40% - Accent1 3 3 2 2 3 2 2 2" xfId="26628" xr:uid="{00000000-0005-0000-0000-00001B4F0000}"/>
    <cellStyle name="40% - Accent1 3 3 2 2 3 2 2 2 2" xfId="52502" xr:uid="{00000000-0005-0000-0000-00001C4F0000}"/>
    <cellStyle name="40% - Accent1 3 3 2 2 3 2 2 3" xfId="39586" xr:uid="{00000000-0005-0000-0000-00001D4F0000}"/>
    <cellStyle name="40% - Accent1 3 3 2 2 3 2 3" xfId="20170" xr:uid="{00000000-0005-0000-0000-00001E4F0000}"/>
    <cellStyle name="40% - Accent1 3 3 2 2 3 2 3 2" xfId="46044" xr:uid="{00000000-0005-0000-0000-00001F4F0000}"/>
    <cellStyle name="40% - Accent1 3 3 2 2 3 2 4" xfId="33128" xr:uid="{00000000-0005-0000-0000-0000204F0000}"/>
    <cellStyle name="40% - Accent1 3 3 2 2 3 3" xfId="10483" xr:uid="{00000000-0005-0000-0000-0000214F0000}"/>
    <cellStyle name="40% - Accent1 3 3 2 2 3 3 2" xfId="23400" xr:uid="{00000000-0005-0000-0000-0000224F0000}"/>
    <cellStyle name="40% - Accent1 3 3 2 2 3 3 2 2" xfId="49274" xr:uid="{00000000-0005-0000-0000-0000234F0000}"/>
    <cellStyle name="40% - Accent1 3 3 2 2 3 3 3" xfId="36358" xr:uid="{00000000-0005-0000-0000-0000244F0000}"/>
    <cellStyle name="40% - Accent1 3 3 2 2 3 4" xfId="16942" xr:uid="{00000000-0005-0000-0000-0000254F0000}"/>
    <cellStyle name="40% - Accent1 3 3 2 2 3 4 2" xfId="42816" xr:uid="{00000000-0005-0000-0000-0000264F0000}"/>
    <cellStyle name="40% - Accent1 3 3 2 2 3 5" xfId="29868" xr:uid="{00000000-0005-0000-0000-0000274F0000}"/>
    <cellStyle name="40% - Accent1 3 3 2 2 4" xfId="5638" xr:uid="{00000000-0005-0000-0000-0000284F0000}"/>
    <cellStyle name="40% - Accent1 3 3 2 2 4 2" xfId="12097" xr:uid="{00000000-0005-0000-0000-0000294F0000}"/>
    <cellStyle name="40% - Accent1 3 3 2 2 4 2 2" xfId="25014" xr:uid="{00000000-0005-0000-0000-00002A4F0000}"/>
    <cellStyle name="40% - Accent1 3 3 2 2 4 2 2 2" xfId="50888" xr:uid="{00000000-0005-0000-0000-00002B4F0000}"/>
    <cellStyle name="40% - Accent1 3 3 2 2 4 2 3" xfId="37972" xr:uid="{00000000-0005-0000-0000-00002C4F0000}"/>
    <cellStyle name="40% - Accent1 3 3 2 2 4 3" xfId="18556" xr:uid="{00000000-0005-0000-0000-00002D4F0000}"/>
    <cellStyle name="40% - Accent1 3 3 2 2 4 3 2" xfId="44430" xr:uid="{00000000-0005-0000-0000-00002E4F0000}"/>
    <cellStyle name="40% - Accent1 3 3 2 2 4 4" xfId="31514" xr:uid="{00000000-0005-0000-0000-00002F4F0000}"/>
    <cellStyle name="40% - Accent1 3 3 2 2 5" xfId="8869" xr:uid="{00000000-0005-0000-0000-0000304F0000}"/>
    <cellStyle name="40% - Accent1 3 3 2 2 5 2" xfId="21786" xr:uid="{00000000-0005-0000-0000-0000314F0000}"/>
    <cellStyle name="40% - Accent1 3 3 2 2 5 2 2" xfId="47660" xr:uid="{00000000-0005-0000-0000-0000324F0000}"/>
    <cellStyle name="40% - Accent1 3 3 2 2 5 3" xfId="34744" xr:uid="{00000000-0005-0000-0000-0000334F0000}"/>
    <cellStyle name="40% - Accent1 3 3 2 2 6" xfId="15328" xr:uid="{00000000-0005-0000-0000-0000344F0000}"/>
    <cellStyle name="40% - Accent1 3 3 2 2 6 2" xfId="41202" xr:uid="{00000000-0005-0000-0000-0000354F0000}"/>
    <cellStyle name="40% - Accent1 3 3 2 2 7" xfId="28254" xr:uid="{00000000-0005-0000-0000-0000364F0000}"/>
    <cellStyle name="40% - Accent1 3 3 2 2 8" xfId="54116" xr:uid="{00000000-0005-0000-0000-0000374F0000}"/>
    <cellStyle name="40% - Accent1 3 3 2 2 9" xfId="2358" xr:uid="{00000000-0005-0000-0000-0000384F0000}"/>
    <cellStyle name="40% - Accent1 3 3 2 3" xfId="661" xr:uid="{00000000-0005-0000-0000-0000394F0000}"/>
    <cellStyle name="40% - Accent1 3 3 2 3 2" xfId="4424" xr:uid="{00000000-0005-0000-0000-00003A4F0000}"/>
    <cellStyle name="40% - Accent1 3 3 2 3 2 2" xfId="7655" xr:uid="{00000000-0005-0000-0000-00003B4F0000}"/>
    <cellStyle name="40% - Accent1 3 3 2 3 2 2 2" xfId="14114" xr:uid="{00000000-0005-0000-0000-00003C4F0000}"/>
    <cellStyle name="40% - Accent1 3 3 2 3 2 2 2 2" xfId="27031" xr:uid="{00000000-0005-0000-0000-00003D4F0000}"/>
    <cellStyle name="40% - Accent1 3 3 2 3 2 2 2 2 2" xfId="52905" xr:uid="{00000000-0005-0000-0000-00003E4F0000}"/>
    <cellStyle name="40% - Accent1 3 3 2 3 2 2 2 3" xfId="39989" xr:uid="{00000000-0005-0000-0000-00003F4F0000}"/>
    <cellStyle name="40% - Accent1 3 3 2 3 2 2 3" xfId="20573" xr:uid="{00000000-0005-0000-0000-0000404F0000}"/>
    <cellStyle name="40% - Accent1 3 3 2 3 2 2 3 2" xfId="46447" xr:uid="{00000000-0005-0000-0000-0000414F0000}"/>
    <cellStyle name="40% - Accent1 3 3 2 3 2 2 4" xfId="33531" xr:uid="{00000000-0005-0000-0000-0000424F0000}"/>
    <cellStyle name="40% - Accent1 3 3 2 3 2 3" xfId="10886" xr:uid="{00000000-0005-0000-0000-0000434F0000}"/>
    <cellStyle name="40% - Accent1 3 3 2 3 2 3 2" xfId="23803" xr:uid="{00000000-0005-0000-0000-0000444F0000}"/>
    <cellStyle name="40% - Accent1 3 3 2 3 2 3 2 2" xfId="49677" xr:uid="{00000000-0005-0000-0000-0000454F0000}"/>
    <cellStyle name="40% - Accent1 3 3 2 3 2 3 3" xfId="36761" xr:uid="{00000000-0005-0000-0000-0000464F0000}"/>
    <cellStyle name="40% - Accent1 3 3 2 3 2 4" xfId="17345" xr:uid="{00000000-0005-0000-0000-0000474F0000}"/>
    <cellStyle name="40% - Accent1 3 3 2 3 2 4 2" xfId="43219" xr:uid="{00000000-0005-0000-0000-0000484F0000}"/>
    <cellStyle name="40% - Accent1 3 3 2 3 2 5" xfId="30271" xr:uid="{00000000-0005-0000-0000-0000494F0000}"/>
    <cellStyle name="40% - Accent1 3 3 2 3 3" xfId="6041" xr:uid="{00000000-0005-0000-0000-00004A4F0000}"/>
    <cellStyle name="40% - Accent1 3 3 2 3 3 2" xfId="12500" xr:uid="{00000000-0005-0000-0000-00004B4F0000}"/>
    <cellStyle name="40% - Accent1 3 3 2 3 3 2 2" xfId="25417" xr:uid="{00000000-0005-0000-0000-00004C4F0000}"/>
    <cellStyle name="40% - Accent1 3 3 2 3 3 2 2 2" xfId="51291" xr:uid="{00000000-0005-0000-0000-00004D4F0000}"/>
    <cellStyle name="40% - Accent1 3 3 2 3 3 2 3" xfId="38375" xr:uid="{00000000-0005-0000-0000-00004E4F0000}"/>
    <cellStyle name="40% - Accent1 3 3 2 3 3 3" xfId="18959" xr:uid="{00000000-0005-0000-0000-00004F4F0000}"/>
    <cellStyle name="40% - Accent1 3 3 2 3 3 3 2" xfId="44833" xr:uid="{00000000-0005-0000-0000-0000504F0000}"/>
    <cellStyle name="40% - Accent1 3 3 2 3 3 4" xfId="31917" xr:uid="{00000000-0005-0000-0000-0000514F0000}"/>
    <cellStyle name="40% - Accent1 3 3 2 3 4" xfId="9272" xr:uid="{00000000-0005-0000-0000-0000524F0000}"/>
    <cellStyle name="40% - Accent1 3 3 2 3 4 2" xfId="22189" xr:uid="{00000000-0005-0000-0000-0000534F0000}"/>
    <cellStyle name="40% - Accent1 3 3 2 3 4 2 2" xfId="48063" xr:uid="{00000000-0005-0000-0000-0000544F0000}"/>
    <cellStyle name="40% - Accent1 3 3 2 3 4 3" xfId="35147" xr:uid="{00000000-0005-0000-0000-0000554F0000}"/>
    <cellStyle name="40% - Accent1 3 3 2 3 5" xfId="15731" xr:uid="{00000000-0005-0000-0000-0000564F0000}"/>
    <cellStyle name="40% - Accent1 3 3 2 3 5 2" xfId="41605" xr:uid="{00000000-0005-0000-0000-0000574F0000}"/>
    <cellStyle name="40% - Accent1 3 3 2 3 6" xfId="28657" xr:uid="{00000000-0005-0000-0000-0000584F0000}"/>
    <cellStyle name="40% - Accent1 3 3 2 3 7" xfId="2767" xr:uid="{00000000-0005-0000-0000-0000594F0000}"/>
    <cellStyle name="40% - Accent1 3 3 2 4" xfId="3594" xr:uid="{00000000-0005-0000-0000-00005A4F0000}"/>
    <cellStyle name="40% - Accent1 3 3 2 4 2" xfId="6848" xr:uid="{00000000-0005-0000-0000-00005B4F0000}"/>
    <cellStyle name="40% - Accent1 3 3 2 4 2 2" xfId="13307" xr:uid="{00000000-0005-0000-0000-00005C4F0000}"/>
    <cellStyle name="40% - Accent1 3 3 2 4 2 2 2" xfId="26224" xr:uid="{00000000-0005-0000-0000-00005D4F0000}"/>
    <cellStyle name="40% - Accent1 3 3 2 4 2 2 2 2" xfId="52098" xr:uid="{00000000-0005-0000-0000-00005E4F0000}"/>
    <cellStyle name="40% - Accent1 3 3 2 4 2 2 3" xfId="39182" xr:uid="{00000000-0005-0000-0000-00005F4F0000}"/>
    <cellStyle name="40% - Accent1 3 3 2 4 2 3" xfId="19766" xr:uid="{00000000-0005-0000-0000-0000604F0000}"/>
    <cellStyle name="40% - Accent1 3 3 2 4 2 3 2" xfId="45640" xr:uid="{00000000-0005-0000-0000-0000614F0000}"/>
    <cellStyle name="40% - Accent1 3 3 2 4 2 4" xfId="32724" xr:uid="{00000000-0005-0000-0000-0000624F0000}"/>
    <cellStyle name="40% - Accent1 3 3 2 4 3" xfId="10079" xr:uid="{00000000-0005-0000-0000-0000634F0000}"/>
    <cellStyle name="40% - Accent1 3 3 2 4 3 2" xfId="22996" xr:uid="{00000000-0005-0000-0000-0000644F0000}"/>
    <cellStyle name="40% - Accent1 3 3 2 4 3 2 2" xfId="48870" xr:uid="{00000000-0005-0000-0000-0000654F0000}"/>
    <cellStyle name="40% - Accent1 3 3 2 4 3 3" xfId="35954" xr:uid="{00000000-0005-0000-0000-0000664F0000}"/>
    <cellStyle name="40% - Accent1 3 3 2 4 4" xfId="16538" xr:uid="{00000000-0005-0000-0000-0000674F0000}"/>
    <cellStyle name="40% - Accent1 3 3 2 4 4 2" xfId="42412" xr:uid="{00000000-0005-0000-0000-0000684F0000}"/>
    <cellStyle name="40% - Accent1 3 3 2 4 5" xfId="29464" xr:uid="{00000000-0005-0000-0000-0000694F0000}"/>
    <cellStyle name="40% - Accent1 3 3 2 5" xfId="5234" xr:uid="{00000000-0005-0000-0000-00006A4F0000}"/>
    <cellStyle name="40% - Accent1 3 3 2 5 2" xfId="11693" xr:uid="{00000000-0005-0000-0000-00006B4F0000}"/>
    <cellStyle name="40% - Accent1 3 3 2 5 2 2" xfId="24610" xr:uid="{00000000-0005-0000-0000-00006C4F0000}"/>
    <cellStyle name="40% - Accent1 3 3 2 5 2 2 2" xfId="50484" xr:uid="{00000000-0005-0000-0000-00006D4F0000}"/>
    <cellStyle name="40% - Accent1 3 3 2 5 2 3" xfId="37568" xr:uid="{00000000-0005-0000-0000-00006E4F0000}"/>
    <cellStyle name="40% - Accent1 3 3 2 5 3" xfId="18152" xr:uid="{00000000-0005-0000-0000-00006F4F0000}"/>
    <cellStyle name="40% - Accent1 3 3 2 5 3 2" xfId="44026" xr:uid="{00000000-0005-0000-0000-0000704F0000}"/>
    <cellStyle name="40% - Accent1 3 3 2 5 4" xfId="31110" xr:uid="{00000000-0005-0000-0000-0000714F0000}"/>
    <cellStyle name="40% - Accent1 3 3 2 6" xfId="8465" xr:uid="{00000000-0005-0000-0000-0000724F0000}"/>
    <cellStyle name="40% - Accent1 3 3 2 6 2" xfId="21382" xr:uid="{00000000-0005-0000-0000-0000734F0000}"/>
    <cellStyle name="40% - Accent1 3 3 2 6 2 2" xfId="47256" xr:uid="{00000000-0005-0000-0000-0000744F0000}"/>
    <cellStyle name="40% - Accent1 3 3 2 6 3" xfId="34340" xr:uid="{00000000-0005-0000-0000-0000754F0000}"/>
    <cellStyle name="40% - Accent1 3 3 2 7" xfId="14924" xr:uid="{00000000-0005-0000-0000-0000764F0000}"/>
    <cellStyle name="40% - Accent1 3 3 2 7 2" xfId="40798" xr:uid="{00000000-0005-0000-0000-0000774F0000}"/>
    <cellStyle name="40% - Accent1 3 3 2 8" xfId="27849" xr:uid="{00000000-0005-0000-0000-0000784F0000}"/>
    <cellStyle name="40% - Accent1 3 3 2 9" xfId="53712" xr:uid="{00000000-0005-0000-0000-0000794F0000}"/>
    <cellStyle name="40% - Accent1 3 3 3" xfId="663" xr:uid="{00000000-0005-0000-0000-00007A4F0000}"/>
    <cellStyle name="40% - Accent1 3 3 3 2" xfId="2976" xr:uid="{00000000-0005-0000-0000-00007B4F0000}"/>
    <cellStyle name="40% - Accent1 3 3 3 2 2" xfId="4633" xr:uid="{00000000-0005-0000-0000-00007C4F0000}"/>
    <cellStyle name="40% - Accent1 3 3 3 2 2 2" xfId="7864" xr:uid="{00000000-0005-0000-0000-00007D4F0000}"/>
    <cellStyle name="40% - Accent1 3 3 3 2 2 2 2" xfId="14323" xr:uid="{00000000-0005-0000-0000-00007E4F0000}"/>
    <cellStyle name="40% - Accent1 3 3 3 2 2 2 2 2" xfId="27240" xr:uid="{00000000-0005-0000-0000-00007F4F0000}"/>
    <cellStyle name="40% - Accent1 3 3 3 2 2 2 2 2 2" xfId="53114" xr:uid="{00000000-0005-0000-0000-0000804F0000}"/>
    <cellStyle name="40% - Accent1 3 3 3 2 2 2 2 3" xfId="40198" xr:uid="{00000000-0005-0000-0000-0000814F0000}"/>
    <cellStyle name="40% - Accent1 3 3 3 2 2 2 3" xfId="20782" xr:uid="{00000000-0005-0000-0000-0000824F0000}"/>
    <cellStyle name="40% - Accent1 3 3 3 2 2 2 3 2" xfId="46656" xr:uid="{00000000-0005-0000-0000-0000834F0000}"/>
    <cellStyle name="40% - Accent1 3 3 3 2 2 2 4" xfId="33740" xr:uid="{00000000-0005-0000-0000-0000844F0000}"/>
    <cellStyle name="40% - Accent1 3 3 3 2 2 3" xfId="11095" xr:uid="{00000000-0005-0000-0000-0000854F0000}"/>
    <cellStyle name="40% - Accent1 3 3 3 2 2 3 2" xfId="24012" xr:uid="{00000000-0005-0000-0000-0000864F0000}"/>
    <cellStyle name="40% - Accent1 3 3 3 2 2 3 2 2" xfId="49886" xr:uid="{00000000-0005-0000-0000-0000874F0000}"/>
    <cellStyle name="40% - Accent1 3 3 3 2 2 3 3" xfId="36970" xr:uid="{00000000-0005-0000-0000-0000884F0000}"/>
    <cellStyle name="40% - Accent1 3 3 3 2 2 4" xfId="17554" xr:uid="{00000000-0005-0000-0000-0000894F0000}"/>
    <cellStyle name="40% - Accent1 3 3 3 2 2 4 2" xfId="43428" xr:uid="{00000000-0005-0000-0000-00008A4F0000}"/>
    <cellStyle name="40% - Accent1 3 3 3 2 2 5" xfId="30480" xr:uid="{00000000-0005-0000-0000-00008B4F0000}"/>
    <cellStyle name="40% - Accent1 3 3 3 2 3" xfId="6250" xr:uid="{00000000-0005-0000-0000-00008C4F0000}"/>
    <cellStyle name="40% - Accent1 3 3 3 2 3 2" xfId="12709" xr:uid="{00000000-0005-0000-0000-00008D4F0000}"/>
    <cellStyle name="40% - Accent1 3 3 3 2 3 2 2" xfId="25626" xr:uid="{00000000-0005-0000-0000-00008E4F0000}"/>
    <cellStyle name="40% - Accent1 3 3 3 2 3 2 2 2" xfId="51500" xr:uid="{00000000-0005-0000-0000-00008F4F0000}"/>
    <cellStyle name="40% - Accent1 3 3 3 2 3 2 3" xfId="38584" xr:uid="{00000000-0005-0000-0000-0000904F0000}"/>
    <cellStyle name="40% - Accent1 3 3 3 2 3 3" xfId="19168" xr:uid="{00000000-0005-0000-0000-0000914F0000}"/>
    <cellStyle name="40% - Accent1 3 3 3 2 3 3 2" xfId="45042" xr:uid="{00000000-0005-0000-0000-0000924F0000}"/>
    <cellStyle name="40% - Accent1 3 3 3 2 3 4" xfId="32126" xr:uid="{00000000-0005-0000-0000-0000934F0000}"/>
    <cellStyle name="40% - Accent1 3 3 3 2 4" xfId="9481" xr:uid="{00000000-0005-0000-0000-0000944F0000}"/>
    <cellStyle name="40% - Accent1 3 3 3 2 4 2" xfId="22398" xr:uid="{00000000-0005-0000-0000-0000954F0000}"/>
    <cellStyle name="40% - Accent1 3 3 3 2 4 2 2" xfId="48272" xr:uid="{00000000-0005-0000-0000-0000964F0000}"/>
    <cellStyle name="40% - Accent1 3 3 3 2 4 3" xfId="35356" xr:uid="{00000000-0005-0000-0000-0000974F0000}"/>
    <cellStyle name="40% - Accent1 3 3 3 2 5" xfId="15940" xr:uid="{00000000-0005-0000-0000-0000984F0000}"/>
    <cellStyle name="40% - Accent1 3 3 3 2 5 2" xfId="41814" xr:uid="{00000000-0005-0000-0000-0000994F0000}"/>
    <cellStyle name="40% - Accent1 3 3 3 2 6" xfId="28866" xr:uid="{00000000-0005-0000-0000-00009A4F0000}"/>
    <cellStyle name="40% - Accent1 3 3 3 3" xfId="3803" xr:uid="{00000000-0005-0000-0000-00009B4F0000}"/>
    <cellStyle name="40% - Accent1 3 3 3 3 2" xfId="7057" xr:uid="{00000000-0005-0000-0000-00009C4F0000}"/>
    <cellStyle name="40% - Accent1 3 3 3 3 2 2" xfId="13516" xr:uid="{00000000-0005-0000-0000-00009D4F0000}"/>
    <cellStyle name="40% - Accent1 3 3 3 3 2 2 2" xfId="26433" xr:uid="{00000000-0005-0000-0000-00009E4F0000}"/>
    <cellStyle name="40% - Accent1 3 3 3 3 2 2 2 2" xfId="52307" xr:uid="{00000000-0005-0000-0000-00009F4F0000}"/>
    <cellStyle name="40% - Accent1 3 3 3 3 2 2 3" xfId="39391" xr:uid="{00000000-0005-0000-0000-0000A04F0000}"/>
    <cellStyle name="40% - Accent1 3 3 3 3 2 3" xfId="19975" xr:uid="{00000000-0005-0000-0000-0000A14F0000}"/>
    <cellStyle name="40% - Accent1 3 3 3 3 2 3 2" xfId="45849" xr:uid="{00000000-0005-0000-0000-0000A24F0000}"/>
    <cellStyle name="40% - Accent1 3 3 3 3 2 4" xfId="32933" xr:uid="{00000000-0005-0000-0000-0000A34F0000}"/>
    <cellStyle name="40% - Accent1 3 3 3 3 3" xfId="10288" xr:uid="{00000000-0005-0000-0000-0000A44F0000}"/>
    <cellStyle name="40% - Accent1 3 3 3 3 3 2" xfId="23205" xr:uid="{00000000-0005-0000-0000-0000A54F0000}"/>
    <cellStyle name="40% - Accent1 3 3 3 3 3 2 2" xfId="49079" xr:uid="{00000000-0005-0000-0000-0000A64F0000}"/>
    <cellStyle name="40% - Accent1 3 3 3 3 3 3" xfId="36163" xr:uid="{00000000-0005-0000-0000-0000A74F0000}"/>
    <cellStyle name="40% - Accent1 3 3 3 3 4" xfId="16747" xr:uid="{00000000-0005-0000-0000-0000A84F0000}"/>
    <cellStyle name="40% - Accent1 3 3 3 3 4 2" xfId="42621" xr:uid="{00000000-0005-0000-0000-0000A94F0000}"/>
    <cellStyle name="40% - Accent1 3 3 3 3 5" xfId="29673" xr:uid="{00000000-0005-0000-0000-0000AA4F0000}"/>
    <cellStyle name="40% - Accent1 3 3 3 4" xfId="5443" xr:uid="{00000000-0005-0000-0000-0000AB4F0000}"/>
    <cellStyle name="40% - Accent1 3 3 3 4 2" xfId="11902" xr:uid="{00000000-0005-0000-0000-0000AC4F0000}"/>
    <cellStyle name="40% - Accent1 3 3 3 4 2 2" xfId="24819" xr:uid="{00000000-0005-0000-0000-0000AD4F0000}"/>
    <cellStyle name="40% - Accent1 3 3 3 4 2 2 2" xfId="50693" xr:uid="{00000000-0005-0000-0000-0000AE4F0000}"/>
    <cellStyle name="40% - Accent1 3 3 3 4 2 3" xfId="37777" xr:uid="{00000000-0005-0000-0000-0000AF4F0000}"/>
    <cellStyle name="40% - Accent1 3 3 3 4 3" xfId="18361" xr:uid="{00000000-0005-0000-0000-0000B04F0000}"/>
    <cellStyle name="40% - Accent1 3 3 3 4 3 2" xfId="44235" xr:uid="{00000000-0005-0000-0000-0000B14F0000}"/>
    <cellStyle name="40% - Accent1 3 3 3 4 4" xfId="31319" xr:uid="{00000000-0005-0000-0000-0000B24F0000}"/>
    <cellStyle name="40% - Accent1 3 3 3 5" xfId="8674" xr:uid="{00000000-0005-0000-0000-0000B34F0000}"/>
    <cellStyle name="40% - Accent1 3 3 3 5 2" xfId="21591" xr:uid="{00000000-0005-0000-0000-0000B44F0000}"/>
    <cellStyle name="40% - Accent1 3 3 3 5 2 2" xfId="47465" xr:uid="{00000000-0005-0000-0000-0000B54F0000}"/>
    <cellStyle name="40% - Accent1 3 3 3 5 3" xfId="34549" xr:uid="{00000000-0005-0000-0000-0000B64F0000}"/>
    <cellStyle name="40% - Accent1 3 3 3 6" xfId="15133" xr:uid="{00000000-0005-0000-0000-0000B74F0000}"/>
    <cellStyle name="40% - Accent1 3 3 3 6 2" xfId="41007" xr:uid="{00000000-0005-0000-0000-0000B84F0000}"/>
    <cellStyle name="40% - Accent1 3 3 3 7" xfId="28059" xr:uid="{00000000-0005-0000-0000-0000B94F0000}"/>
    <cellStyle name="40% - Accent1 3 3 3 8" xfId="53921" xr:uid="{00000000-0005-0000-0000-0000BA4F0000}"/>
    <cellStyle name="40% - Accent1 3 3 3 9" xfId="2162" xr:uid="{00000000-0005-0000-0000-0000BB4F0000}"/>
    <cellStyle name="40% - Accent1 3 3 4" xfId="660" xr:uid="{00000000-0005-0000-0000-0000BC4F0000}"/>
    <cellStyle name="40% - Accent1 3 3 4 2" xfId="4230" xr:uid="{00000000-0005-0000-0000-0000BD4F0000}"/>
    <cellStyle name="40% - Accent1 3 3 4 2 2" xfId="7461" xr:uid="{00000000-0005-0000-0000-0000BE4F0000}"/>
    <cellStyle name="40% - Accent1 3 3 4 2 2 2" xfId="13920" xr:uid="{00000000-0005-0000-0000-0000BF4F0000}"/>
    <cellStyle name="40% - Accent1 3 3 4 2 2 2 2" xfId="26837" xr:uid="{00000000-0005-0000-0000-0000C04F0000}"/>
    <cellStyle name="40% - Accent1 3 3 4 2 2 2 2 2" xfId="52711" xr:uid="{00000000-0005-0000-0000-0000C14F0000}"/>
    <cellStyle name="40% - Accent1 3 3 4 2 2 2 3" xfId="39795" xr:uid="{00000000-0005-0000-0000-0000C24F0000}"/>
    <cellStyle name="40% - Accent1 3 3 4 2 2 3" xfId="20379" xr:uid="{00000000-0005-0000-0000-0000C34F0000}"/>
    <cellStyle name="40% - Accent1 3 3 4 2 2 3 2" xfId="46253" xr:uid="{00000000-0005-0000-0000-0000C44F0000}"/>
    <cellStyle name="40% - Accent1 3 3 4 2 2 4" xfId="33337" xr:uid="{00000000-0005-0000-0000-0000C54F0000}"/>
    <cellStyle name="40% - Accent1 3 3 4 2 3" xfId="10692" xr:uid="{00000000-0005-0000-0000-0000C64F0000}"/>
    <cellStyle name="40% - Accent1 3 3 4 2 3 2" xfId="23609" xr:uid="{00000000-0005-0000-0000-0000C74F0000}"/>
    <cellStyle name="40% - Accent1 3 3 4 2 3 2 2" xfId="49483" xr:uid="{00000000-0005-0000-0000-0000C84F0000}"/>
    <cellStyle name="40% - Accent1 3 3 4 2 3 3" xfId="36567" xr:uid="{00000000-0005-0000-0000-0000C94F0000}"/>
    <cellStyle name="40% - Accent1 3 3 4 2 4" xfId="17151" xr:uid="{00000000-0005-0000-0000-0000CA4F0000}"/>
    <cellStyle name="40% - Accent1 3 3 4 2 4 2" xfId="43025" xr:uid="{00000000-0005-0000-0000-0000CB4F0000}"/>
    <cellStyle name="40% - Accent1 3 3 4 2 5" xfId="30077" xr:uid="{00000000-0005-0000-0000-0000CC4F0000}"/>
    <cellStyle name="40% - Accent1 3 3 4 3" xfId="5847" xr:uid="{00000000-0005-0000-0000-0000CD4F0000}"/>
    <cellStyle name="40% - Accent1 3 3 4 3 2" xfId="12306" xr:uid="{00000000-0005-0000-0000-0000CE4F0000}"/>
    <cellStyle name="40% - Accent1 3 3 4 3 2 2" xfId="25223" xr:uid="{00000000-0005-0000-0000-0000CF4F0000}"/>
    <cellStyle name="40% - Accent1 3 3 4 3 2 2 2" xfId="51097" xr:uid="{00000000-0005-0000-0000-0000D04F0000}"/>
    <cellStyle name="40% - Accent1 3 3 4 3 2 3" xfId="38181" xr:uid="{00000000-0005-0000-0000-0000D14F0000}"/>
    <cellStyle name="40% - Accent1 3 3 4 3 3" xfId="18765" xr:uid="{00000000-0005-0000-0000-0000D24F0000}"/>
    <cellStyle name="40% - Accent1 3 3 4 3 3 2" xfId="44639" xr:uid="{00000000-0005-0000-0000-0000D34F0000}"/>
    <cellStyle name="40% - Accent1 3 3 4 3 4" xfId="31723" xr:uid="{00000000-0005-0000-0000-0000D44F0000}"/>
    <cellStyle name="40% - Accent1 3 3 4 4" xfId="9078" xr:uid="{00000000-0005-0000-0000-0000D54F0000}"/>
    <cellStyle name="40% - Accent1 3 3 4 4 2" xfId="21995" xr:uid="{00000000-0005-0000-0000-0000D64F0000}"/>
    <cellStyle name="40% - Accent1 3 3 4 4 2 2" xfId="47869" xr:uid="{00000000-0005-0000-0000-0000D74F0000}"/>
    <cellStyle name="40% - Accent1 3 3 4 4 3" xfId="34953" xr:uid="{00000000-0005-0000-0000-0000D84F0000}"/>
    <cellStyle name="40% - Accent1 3 3 4 5" xfId="15537" xr:uid="{00000000-0005-0000-0000-0000D94F0000}"/>
    <cellStyle name="40% - Accent1 3 3 4 5 2" xfId="41411" xr:uid="{00000000-0005-0000-0000-0000DA4F0000}"/>
    <cellStyle name="40% - Accent1 3 3 4 6" xfId="28463" xr:uid="{00000000-0005-0000-0000-0000DB4F0000}"/>
    <cellStyle name="40% - Accent1 3 3 4 7" xfId="2573" xr:uid="{00000000-0005-0000-0000-0000DC4F0000}"/>
    <cellStyle name="40% - Accent1 3 3 5" xfId="3399" xr:uid="{00000000-0005-0000-0000-0000DD4F0000}"/>
    <cellStyle name="40% - Accent1 3 3 5 2" xfId="6654" xr:uid="{00000000-0005-0000-0000-0000DE4F0000}"/>
    <cellStyle name="40% - Accent1 3 3 5 2 2" xfId="13113" xr:uid="{00000000-0005-0000-0000-0000DF4F0000}"/>
    <cellStyle name="40% - Accent1 3 3 5 2 2 2" xfId="26030" xr:uid="{00000000-0005-0000-0000-0000E04F0000}"/>
    <cellStyle name="40% - Accent1 3 3 5 2 2 2 2" xfId="51904" xr:uid="{00000000-0005-0000-0000-0000E14F0000}"/>
    <cellStyle name="40% - Accent1 3 3 5 2 2 3" xfId="38988" xr:uid="{00000000-0005-0000-0000-0000E24F0000}"/>
    <cellStyle name="40% - Accent1 3 3 5 2 3" xfId="19572" xr:uid="{00000000-0005-0000-0000-0000E34F0000}"/>
    <cellStyle name="40% - Accent1 3 3 5 2 3 2" xfId="45446" xr:uid="{00000000-0005-0000-0000-0000E44F0000}"/>
    <cellStyle name="40% - Accent1 3 3 5 2 4" xfId="32530" xr:uid="{00000000-0005-0000-0000-0000E54F0000}"/>
    <cellStyle name="40% - Accent1 3 3 5 3" xfId="9885" xr:uid="{00000000-0005-0000-0000-0000E64F0000}"/>
    <cellStyle name="40% - Accent1 3 3 5 3 2" xfId="22802" xr:uid="{00000000-0005-0000-0000-0000E74F0000}"/>
    <cellStyle name="40% - Accent1 3 3 5 3 2 2" xfId="48676" xr:uid="{00000000-0005-0000-0000-0000E84F0000}"/>
    <cellStyle name="40% - Accent1 3 3 5 3 3" xfId="35760" xr:uid="{00000000-0005-0000-0000-0000E94F0000}"/>
    <cellStyle name="40% - Accent1 3 3 5 4" xfId="16344" xr:uid="{00000000-0005-0000-0000-0000EA4F0000}"/>
    <cellStyle name="40% - Accent1 3 3 5 4 2" xfId="42218" xr:uid="{00000000-0005-0000-0000-0000EB4F0000}"/>
    <cellStyle name="40% - Accent1 3 3 5 5" xfId="29270" xr:uid="{00000000-0005-0000-0000-0000EC4F0000}"/>
    <cellStyle name="40% - Accent1 3 3 6" xfId="5040" xr:uid="{00000000-0005-0000-0000-0000ED4F0000}"/>
    <cellStyle name="40% - Accent1 3 3 6 2" xfId="11499" xr:uid="{00000000-0005-0000-0000-0000EE4F0000}"/>
    <cellStyle name="40% - Accent1 3 3 6 2 2" xfId="24416" xr:uid="{00000000-0005-0000-0000-0000EF4F0000}"/>
    <cellStyle name="40% - Accent1 3 3 6 2 2 2" xfId="50290" xr:uid="{00000000-0005-0000-0000-0000F04F0000}"/>
    <cellStyle name="40% - Accent1 3 3 6 2 3" xfId="37374" xr:uid="{00000000-0005-0000-0000-0000F14F0000}"/>
    <cellStyle name="40% - Accent1 3 3 6 3" xfId="17958" xr:uid="{00000000-0005-0000-0000-0000F24F0000}"/>
    <cellStyle name="40% - Accent1 3 3 6 3 2" xfId="43832" xr:uid="{00000000-0005-0000-0000-0000F34F0000}"/>
    <cellStyle name="40% - Accent1 3 3 6 4" xfId="30916" xr:uid="{00000000-0005-0000-0000-0000F44F0000}"/>
    <cellStyle name="40% - Accent1 3 3 7" xfId="8270" xr:uid="{00000000-0005-0000-0000-0000F54F0000}"/>
    <cellStyle name="40% - Accent1 3 3 7 2" xfId="21187" xr:uid="{00000000-0005-0000-0000-0000F64F0000}"/>
    <cellStyle name="40% - Accent1 3 3 7 2 2" xfId="47061" xr:uid="{00000000-0005-0000-0000-0000F74F0000}"/>
    <cellStyle name="40% - Accent1 3 3 7 3" xfId="34145" xr:uid="{00000000-0005-0000-0000-0000F84F0000}"/>
    <cellStyle name="40% - Accent1 3 3 8" xfId="14729" xr:uid="{00000000-0005-0000-0000-0000F94F0000}"/>
    <cellStyle name="40% - Accent1 3 3 8 2" xfId="40603" xr:uid="{00000000-0005-0000-0000-0000FA4F0000}"/>
    <cellStyle name="40% - Accent1 3 3 9" xfId="27653" xr:uid="{00000000-0005-0000-0000-0000FB4F0000}"/>
    <cellStyle name="40% - Accent1 3 4" xfId="219" xr:uid="{00000000-0005-0000-0000-0000FC4F0000}"/>
    <cellStyle name="40% - Accent1 3 4 2" xfId="410" xr:uid="{00000000-0005-0000-0000-0000FD4F0000}"/>
    <cellStyle name="40% - Accent1 3 4 2 2" xfId="666" xr:uid="{00000000-0005-0000-0000-0000FE4F0000}"/>
    <cellStyle name="40% - Accent1 3 4 2 3" xfId="665" xr:uid="{00000000-0005-0000-0000-0000FF4F0000}"/>
    <cellStyle name="40% - Accent1 3 4 3" xfId="667" xr:uid="{00000000-0005-0000-0000-000000500000}"/>
    <cellStyle name="40% - Accent1 3 4 4" xfId="664" xr:uid="{00000000-0005-0000-0000-000001500000}"/>
    <cellStyle name="40% - Accent1 3 4 5" xfId="1674" xr:uid="{00000000-0005-0000-0000-000002500000}"/>
    <cellStyle name="40% - Accent1 3 5" xfId="379" xr:uid="{00000000-0005-0000-0000-000003500000}"/>
    <cellStyle name="40% - Accent1 3 5 10" xfId="53500" xr:uid="{00000000-0005-0000-0000-000004500000}"/>
    <cellStyle name="40% - Accent1 3 5 11" xfId="1571" xr:uid="{00000000-0005-0000-0000-000005500000}"/>
    <cellStyle name="40% - Accent1 3 5 2" xfId="669" xr:uid="{00000000-0005-0000-0000-000006500000}"/>
    <cellStyle name="40% - Accent1 3 5 2 10" xfId="1909" xr:uid="{00000000-0005-0000-0000-000007500000}"/>
    <cellStyle name="40% - Accent1 3 5 2 2" xfId="2340" xr:uid="{00000000-0005-0000-0000-000008500000}"/>
    <cellStyle name="40% - Accent1 3 5 2 2 2" xfId="3153" xr:uid="{00000000-0005-0000-0000-000009500000}"/>
    <cellStyle name="40% - Accent1 3 5 2 2 2 2" xfId="4810" xr:uid="{00000000-0005-0000-0000-00000A500000}"/>
    <cellStyle name="40% - Accent1 3 5 2 2 2 2 2" xfId="8041" xr:uid="{00000000-0005-0000-0000-00000B500000}"/>
    <cellStyle name="40% - Accent1 3 5 2 2 2 2 2 2" xfId="14500" xr:uid="{00000000-0005-0000-0000-00000C500000}"/>
    <cellStyle name="40% - Accent1 3 5 2 2 2 2 2 2 2" xfId="27417" xr:uid="{00000000-0005-0000-0000-00000D500000}"/>
    <cellStyle name="40% - Accent1 3 5 2 2 2 2 2 2 2 2" xfId="53291" xr:uid="{00000000-0005-0000-0000-00000E500000}"/>
    <cellStyle name="40% - Accent1 3 5 2 2 2 2 2 2 3" xfId="40375" xr:uid="{00000000-0005-0000-0000-00000F500000}"/>
    <cellStyle name="40% - Accent1 3 5 2 2 2 2 2 3" xfId="20959" xr:uid="{00000000-0005-0000-0000-000010500000}"/>
    <cellStyle name="40% - Accent1 3 5 2 2 2 2 2 3 2" xfId="46833" xr:uid="{00000000-0005-0000-0000-000011500000}"/>
    <cellStyle name="40% - Accent1 3 5 2 2 2 2 2 4" xfId="33917" xr:uid="{00000000-0005-0000-0000-000012500000}"/>
    <cellStyle name="40% - Accent1 3 5 2 2 2 2 3" xfId="11272" xr:uid="{00000000-0005-0000-0000-000013500000}"/>
    <cellStyle name="40% - Accent1 3 5 2 2 2 2 3 2" xfId="24189" xr:uid="{00000000-0005-0000-0000-000014500000}"/>
    <cellStyle name="40% - Accent1 3 5 2 2 2 2 3 2 2" xfId="50063" xr:uid="{00000000-0005-0000-0000-000015500000}"/>
    <cellStyle name="40% - Accent1 3 5 2 2 2 2 3 3" xfId="37147" xr:uid="{00000000-0005-0000-0000-000016500000}"/>
    <cellStyle name="40% - Accent1 3 5 2 2 2 2 4" xfId="17731" xr:uid="{00000000-0005-0000-0000-000017500000}"/>
    <cellStyle name="40% - Accent1 3 5 2 2 2 2 4 2" xfId="43605" xr:uid="{00000000-0005-0000-0000-000018500000}"/>
    <cellStyle name="40% - Accent1 3 5 2 2 2 2 5" xfId="30657" xr:uid="{00000000-0005-0000-0000-000019500000}"/>
    <cellStyle name="40% - Accent1 3 5 2 2 2 3" xfId="6427" xr:uid="{00000000-0005-0000-0000-00001A500000}"/>
    <cellStyle name="40% - Accent1 3 5 2 2 2 3 2" xfId="12886" xr:uid="{00000000-0005-0000-0000-00001B500000}"/>
    <cellStyle name="40% - Accent1 3 5 2 2 2 3 2 2" xfId="25803" xr:uid="{00000000-0005-0000-0000-00001C500000}"/>
    <cellStyle name="40% - Accent1 3 5 2 2 2 3 2 2 2" xfId="51677" xr:uid="{00000000-0005-0000-0000-00001D500000}"/>
    <cellStyle name="40% - Accent1 3 5 2 2 2 3 2 3" xfId="38761" xr:uid="{00000000-0005-0000-0000-00001E500000}"/>
    <cellStyle name="40% - Accent1 3 5 2 2 2 3 3" xfId="19345" xr:uid="{00000000-0005-0000-0000-00001F500000}"/>
    <cellStyle name="40% - Accent1 3 5 2 2 2 3 3 2" xfId="45219" xr:uid="{00000000-0005-0000-0000-000020500000}"/>
    <cellStyle name="40% - Accent1 3 5 2 2 2 3 4" xfId="32303" xr:uid="{00000000-0005-0000-0000-000021500000}"/>
    <cellStyle name="40% - Accent1 3 5 2 2 2 4" xfId="9658" xr:uid="{00000000-0005-0000-0000-000022500000}"/>
    <cellStyle name="40% - Accent1 3 5 2 2 2 4 2" xfId="22575" xr:uid="{00000000-0005-0000-0000-000023500000}"/>
    <cellStyle name="40% - Accent1 3 5 2 2 2 4 2 2" xfId="48449" xr:uid="{00000000-0005-0000-0000-000024500000}"/>
    <cellStyle name="40% - Accent1 3 5 2 2 2 4 3" xfId="35533" xr:uid="{00000000-0005-0000-0000-000025500000}"/>
    <cellStyle name="40% - Accent1 3 5 2 2 2 5" xfId="16117" xr:uid="{00000000-0005-0000-0000-000026500000}"/>
    <cellStyle name="40% - Accent1 3 5 2 2 2 5 2" xfId="41991" xr:uid="{00000000-0005-0000-0000-000027500000}"/>
    <cellStyle name="40% - Accent1 3 5 2 2 2 6" xfId="29043" xr:uid="{00000000-0005-0000-0000-000028500000}"/>
    <cellStyle name="40% - Accent1 3 5 2 2 3" xfId="3980" xr:uid="{00000000-0005-0000-0000-000029500000}"/>
    <cellStyle name="40% - Accent1 3 5 2 2 3 2" xfId="7234" xr:uid="{00000000-0005-0000-0000-00002A500000}"/>
    <cellStyle name="40% - Accent1 3 5 2 2 3 2 2" xfId="13693" xr:uid="{00000000-0005-0000-0000-00002B500000}"/>
    <cellStyle name="40% - Accent1 3 5 2 2 3 2 2 2" xfId="26610" xr:uid="{00000000-0005-0000-0000-00002C500000}"/>
    <cellStyle name="40% - Accent1 3 5 2 2 3 2 2 2 2" xfId="52484" xr:uid="{00000000-0005-0000-0000-00002D500000}"/>
    <cellStyle name="40% - Accent1 3 5 2 2 3 2 2 3" xfId="39568" xr:uid="{00000000-0005-0000-0000-00002E500000}"/>
    <cellStyle name="40% - Accent1 3 5 2 2 3 2 3" xfId="20152" xr:uid="{00000000-0005-0000-0000-00002F500000}"/>
    <cellStyle name="40% - Accent1 3 5 2 2 3 2 3 2" xfId="46026" xr:uid="{00000000-0005-0000-0000-000030500000}"/>
    <cellStyle name="40% - Accent1 3 5 2 2 3 2 4" xfId="33110" xr:uid="{00000000-0005-0000-0000-000031500000}"/>
    <cellStyle name="40% - Accent1 3 5 2 2 3 3" xfId="10465" xr:uid="{00000000-0005-0000-0000-000032500000}"/>
    <cellStyle name="40% - Accent1 3 5 2 2 3 3 2" xfId="23382" xr:uid="{00000000-0005-0000-0000-000033500000}"/>
    <cellStyle name="40% - Accent1 3 5 2 2 3 3 2 2" xfId="49256" xr:uid="{00000000-0005-0000-0000-000034500000}"/>
    <cellStyle name="40% - Accent1 3 5 2 2 3 3 3" xfId="36340" xr:uid="{00000000-0005-0000-0000-000035500000}"/>
    <cellStyle name="40% - Accent1 3 5 2 2 3 4" xfId="16924" xr:uid="{00000000-0005-0000-0000-000036500000}"/>
    <cellStyle name="40% - Accent1 3 5 2 2 3 4 2" xfId="42798" xr:uid="{00000000-0005-0000-0000-000037500000}"/>
    <cellStyle name="40% - Accent1 3 5 2 2 3 5" xfId="29850" xr:uid="{00000000-0005-0000-0000-000038500000}"/>
    <cellStyle name="40% - Accent1 3 5 2 2 4" xfId="5620" xr:uid="{00000000-0005-0000-0000-000039500000}"/>
    <cellStyle name="40% - Accent1 3 5 2 2 4 2" xfId="12079" xr:uid="{00000000-0005-0000-0000-00003A500000}"/>
    <cellStyle name="40% - Accent1 3 5 2 2 4 2 2" xfId="24996" xr:uid="{00000000-0005-0000-0000-00003B500000}"/>
    <cellStyle name="40% - Accent1 3 5 2 2 4 2 2 2" xfId="50870" xr:uid="{00000000-0005-0000-0000-00003C500000}"/>
    <cellStyle name="40% - Accent1 3 5 2 2 4 2 3" xfId="37954" xr:uid="{00000000-0005-0000-0000-00003D500000}"/>
    <cellStyle name="40% - Accent1 3 5 2 2 4 3" xfId="18538" xr:uid="{00000000-0005-0000-0000-00003E500000}"/>
    <cellStyle name="40% - Accent1 3 5 2 2 4 3 2" xfId="44412" xr:uid="{00000000-0005-0000-0000-00003F500000}"/>
    <cellStyle name="40% - Accent1 3 5 2 2 4 4" xfId="31496" xr:uid="{00000000-0005-0000-0000-000040500000}"/>
    <cellStyle name="40% - Accent1 3 5 2 2 5" xfId="8851" xr:uid="{00000000-0005-0000-0000-000041500000}"/>
    <cellStyle name="40% - Accent1 3 5 2 2 5 2" xfId="21768" xr:uid="{00000000-0005-0000-0000-000042500000}"/>
    <cellStyle name="40% - Accent1 3 5 2 2 5 2 2" xfId="47642" xr:uid="{00000000-0005-0000-0000-000043500000}"/>
    <cellStyle name="40% - Accent1 3 5 2 2 5 3" xfId="34726" xr:uid="{00000000-0005-0000-0000-000044500000}"/>
    <cellStyle name="40% - Accent1 3 5 2 2 6" xfId="15310" xr:uid="{00000000-0005-0000-0000-000045500000}"/>
    <cellStyle name="40% - Accent1 3 5 2 2 6 2" xfId="41184" xr:uid="{00000000-0005-0000-0000-000046500000}"/>
    <cellStyle name="40% - Accent1 3 5 2 2 7" xfId="28236" xr:uid="{00000000-0005-0000-0000-000047500000}"/>
    <cellStyle name="40% - Accent1 3 5 2 2 8" xfId="54098" xr:uid="{00000000-0005-0000-0000-000048500000}"/>
    <cellStyle name="40% - Accent1 3 5 2 3" xfId="2749" xr:uid="{00000000-0005-0000-0000-000049500000}"/>
    <cellStyle name="40% - Accent1 3 5 2 3 2" xfId="4406" xr:uid="{00000000-0005-0000-0000-00004A500000}"/>
    <cellStyle name="40% - Accent1 3 5 2 3 2 2" xfId="7637" xr:uid="{00000000-0005-0000-0000-00004B500000}"/>
    <cellStyle name="40% - Accent1 3 5 2 3 2 2 2" xfId="14096" xr:uid="{00000000-0005-0000-0000-00004C500000}"/>
    <cellStyle name="40% - Accent1 3 5 2 3 2 2 2 2" xfId="27013" xr:uid="{00000000-0005-0000-0000-00004D500000}"/>
    <cellStyle name="40% - Accent1 3 5 2 3 2 2 2 2 2" xfId="52887" xr:uid="{00000000-0005-0000-0000-00004E500000}"/>
    <cellStyle name="40% - Accent1 3 5 2 3 2 2 2 3" xfId="39971" xr:uid="{00000000-0005-0000-0000-00004F500000}"/>
    <cellStyle name="40% - Accent1 3 5 2 3 2 2 3" xfId="20555" xr:uid="{00000000-0005-0000-0000-000050500000}"/>
    <cellStyle name="40% - Accent1 3 5 2 3 2 2 3 2" xfId="46429" xr:uid="{00000000-0005-0000-0000-000051500000}"/>
    <cellStyle name="40% - Accent1 3 5 2 3 2 2 4" xfId="33513" xr:uid="{00000000-0005-0000-0000-000052500000}"/>
    <cellStyle name="40% - Accent1 3 5 2 3 2 3" xfId="10868" xr:uid="{00000000-0005-0000-0000-000053500000}"/>
    <cellStyle name="40% - Accent1 3 5 2 3 2 3 2" xfId="23785" xr:uid="{00000000-0005-0000-0000-000054500000}"/>
    <cellStyle name="40% - Accent1 3 5 2 3 2 3 2 2" xfId="49659" xr:uid="{00000000-0005-0000-0000-000055500000}"/>
    <cellStyle name="40% - Accent1 3 5 2 3 2 3 3" xfId="36743" xr:uid="{00000000-0005-0000-0000-000056500000}"/>
    <cellStyle name="40% - Accent1 3 5 2 3 2 4" xfId="17327" xr:uid="{00000000-0005-0000-0000-000057500000}"/>
    <cellStyle name="40% - Accent1 3 5 2 3 2 4 2" xfId="43201" xr:uid="{00000000-0005-0000-0000-000058500000}"/>
    <cellStyle name="40% - Accent1 3 5 2 3 2 5" xfId="30253" xr:uid="{00000000-0005-0000-0000-000059500000}"/>
    <cellStyle name="40% - Accent1 3 5 2 3 3" xfId="6023" xr:uid="{00000000-0005-0000-0000-00005A500000}"/>
    <cellStyle name="40% - Accent1 3 5 2 3 3 2" xfId="12482" xr:uid="{00000000-0005-0000-0000-00005B500000}"/>
    <cellStyle name="40% - Accent1 3 5 2 3 3 2 2" xfId="25399" xr:uid="{00000000-0005-0000-0000-00005C500000}"/>
    <cellStyle name="40% - Accent1 3 5 2 3 3 2 2 2" xfId="51273" xr:uid="{00000000-0005-0000-0000-00005D500000}"/>
    <cellStyle name="40% - Accent1 3 5 2 3 3 2 3" xfId="38357" xr:uid="{00000000-0005-0000-0000-00005E500000}"/>
    <cellStyle name="40% - Accent1 3 5 2 3 3 3" xfId="18941" xr:uid="{00000000-0005-0000-0000-00005F500000}"/>
    <cellStyle name="40% - Accent1 3 5 2 3 3 3 2" xfId="44815" xr:uid="{00000000-0005-0000-0000-000060500000}"/>
    <cellStyle name="40% - Accent1 3 5 2 3 3 4" xfId="31899" xr:uid="{00000000-0005-0000-0000-000061500000}"/>
    <cellStyle name="40% - Accent1 3 5 2 3 4" xfId="9254" xr:uid="{00000000-0005-0000-0000-000062500000}"/>
    <cellStyle name="40% - Accent1 3 5 2 3 4 2" xfId="22171" xr:uid="{00000000-0005-0000-0000-000063500000}"/>
    <cellStyle name="40% - Accent1 3 5 2 3 4 2 2" xfId="48045" xr:uid="{00000000-0005-0000-0000-000064500000}"/>
    <cellStyle name="40% - Accent1 3 5 2 3 4 3" xfId="35129" xr:uid="{00000000-0005-0000-0000-000065500000}"/>
    <cellStyle name="40% - Accent1 3 5 2 3 5" xfId="15713" xr:uid="{00000000-0005-0000-0000-000066500000}"/>
    <cellStyle name="40% - Accent1 3 5 2 3 5 2" xfId="41587" xr:uid="{00000000-0005-0000-0000-000067500000}"/>
    <cellStyle name="40% - Accent1 3 5 2 3 6" xfId="28639" xr:uid="{00000000-0005-0000-0000-000068500000}"/>
    <cellStyle name="40% - Accent1 3 5 2 4" xfId="3576" xr:uid="{00000000-0005-0000-0000-000069500000}"/>
    <cellStyle name="40% - Accent1 3 5 2 4 2" xfId="6830" xr:uid="{00000000-0005-0000-0000-00006A500000}"/>
    <cellStyle name="40% - Accent1 3 5 2 4 2 2" xfId="13289" xr:uid="{00000000-0005-0000-0000-00006B500000}"/>
    <cellStyle name="40% - Accent1 3 5 2 4 2 2 2" xfId="26206" xr:uid="{00000000-0005-0000-0000-00006C500000}"/>
    <cellStyle name="40% - Accent1 3 5 2 4 2 2 2 2" xfId="52080" xr:uid="{00000000-0005-0000-0000-00006D500000}"/>
    <cellStyle name="40% - Accent1 3 5 2 4 2 2 3" xfId="39164" xr:uid="{00000000-0005-0000-0000-00006E500000}"/>
    <cellStyle name="40% - Accent1 3 5 2 4 2 3" xfId="19748" xr:uid="{00000000-0005-0000-0000-00006F500000}"/>
    <cellStyle name="40% - Accent1 3 5 2 4 2 3 2" xfId="45622" xr:uid="{00000000-0005-0000-0000-000070500000}"/>
    <cellStyle name="40% - Accent1 3 5 2 4 2 4" xfId="32706" xr:uid="{00000000-0005-0000-0000-000071500000}"/>
    <cellStyle name="40% - Accent1 3 5 2 4 3" xfId="10061" xr:uid="{00000000-0005-0000-0000-000072500000}"/>
    <cellStyle name="40% - Accent1 3 5 2 4 3 2" xfId="22978" xr:uid="{00000000-0005-0000-0000-000073500000}"/>
    <cellStyle name="40% - Accent1 3 5 2 4 3 2 2" xfId="48852" xr:uid="{00000000-0005-0000-0000-000074500000}"/>
    <cellStyle name="40% - Accent1 3 5 2 4 3 3" xfId="35936" xr:uid="{00000000-0005-0000-0000-000075500000}"/>
    <cellStyle name="40% - Accent1 3 5 2 4 4" xfId="16520" xr:uid="{00000000-0005-0000-0000-000076500000}"/>
    <cellStyle name="40% - Accent1 3 5 2 4 4 2" xfId="42394" xr:uid="{00000000-0005-0000-0000-000077500000}"/>
    <cellStyle name="40% - Accent1 3 5 2 4 5" xfId="29446" xr:uid="{00000000-0005-0000-0000-000078500000}"/>
    <cellStyle name="40% - Accent1 3 5 2 5" xfId="5216" xr:uid="{00000000-0005-0000-0000-000079500000}"/>
    <cellStyle name="40% - Accent1 3 5 2 5 2" xfId="11675" xr:uid="{00000000-0005-0000-0000-00007A500000}"/>
    <cellStyle name="40% - Accent1 3 5 2 5 2 2" xfId="24592" xr:uid="{00000000-0005-0000-0000-00007B500000}"/>
    <cellStyle name="40% - Accent1 3 5 2 5 2 2 2" xfId="50466" xr:uid="{00000000-0005-0000-0000-00007C500000}"/>
    <cellStyle name="40% - Accent1 3 5 2 5 2 3" xfId="37550" xr:uid="{00000000-0005-0000-0000-00007D500000}"/>
    <cellStyle name="40% - Accent1 3 5 2 5 3" xfId="18134" xr:uid="{00000000-0005-0000-0000-00007E500000}"/>
    <cellStyle name="40% - Accent1 3 5 2 5 3 2" xfId="44008" xr:uid="{00000000-0005-0000-0000-00007F500000}"/>
    <cellStyle name="40% - Accent1 3 5 2 5 4" xfId="31092" xr:uid="{00000000-0005-0000-0000-000080500000}"/>
    <cellStyle name="40% - Accent1 3 5 2 6" xfId="8447" xr:uid="{00000000-0005-0000-0000-000081500000}"/>
    <cellStyle name="40% - Accent1 3 5 2 6 2" xfId="21364" xr:uid="{00000000-0005-0000-0000-000082500000}"/>
    <cellStyle name="40% - Accent1 3 5 2 6 2 2" xfId="47238" xr:uid="{00000000-0005-0000-0000-000083500000}"/>
    <cellStyle name="40% - Accent1 3 5 2 6 3" xfId="34322" xr:uid="{00000000-0005-0000-0000-000084500000}"/>
    <cellStyle name="40% - Accent1 3 5 2 7" xfId="14906" xr:uid="{00000000-0005-0000-0000-000085500000}"/>
    <cellStyle name="40% - Accent1 3 5 2 7 2" xfId="40780" xr:uid="{00000000-0005-0000-0000-000086500000}"/>
    <cellStyle name="40% - Accent1 3 5 2 8" xfId="27831" xr:uid="{00000000-0005-0000-0000-000087500000}"/>
    <cellStyle name="40% - Accent1 3 5 2 9" xfId="53694" xr:uid="{00000000-0005-0000-0000-000088500000}"/>
    <cellStyle name="40% - Accent1 3 5 3" xfId="668" xr:uid="{00000000-0005-0000-0000-000089500000}"/>
    <cellStyle name="40% - Accent1 3 5 3 2" xfId="2958" xr:uid="{00000000-0005-0000-0000-00008A500000}"/>
    <cellStyle name="40% - Accent1 3 5 3 2 2" xfId="4615" xr:uid="{00000000-0005-0000-0000-00008B500000}"/>
    <cellStyle name="40% - Accent1 3 5 3 2 2 2" xfId="7846" xr:uid="{00000000-0005-0000-0000-00008C500000}"/>
    <cellStyle name="40% - Accent1 3 5 3 2 2 2 2" xfId="14305" xr:uid="{00000000-0005-0000-0000-00008D500000}"/>
    <cellStyle name="40% - Accent1 3 5 3 2 2 2 2 2" xfId="27222" xr:uid="{00000000-0005-0000-0000-00008E500000}"/>
    <cellStyle name="40% - Accent1 3 5 3 2 2 2 2 2 2" xfId="53096" xr:uid="{00000000-0005-0000-0000-00008F500000}"/>
    <cellStyle name="40% - Accent1 3 5 3 2 2 2 2 3" xfId="40180" xr:uid="{00000000-0005-0000-0000-000090500000}"/>
    <cellStyle name="40% - Accent1 3 5 3 2 2 2 3" xfId="20764" xr:uid="{00000000-0005-0000-0000-000091500000}"/>
    <cellStyle name="40% - Accent1 3 5 3 2 2 2 3 2" xfId="46638" xr:uid="{00000000-0005-0000-0000-000092500000}"/>
    <cellStyle name="40% - Accent1 3 5 3 2 2 2 4" xfId="33722" xr:uid="{00000000-0005-0000-0000-000093500000}"/>
    <cellStyle name="40% - Accent1 3 5 3 2 2 3" xfId="11077" xr:uid="{00000000-0005-0000-0000-000094500000}"/>
    <cellStyle name="40% - Accent1 3 5 3 2 2 3 2" xfId="23994" xr:uid="{00000000-0005-0000-0000-000095500000}"/>
    <cellStyle name="40% - Accent1 3 5 3 2 2 3 2 2" xfId="49868" xr:uid="{00000000-0005-0000-0000-000096500000}"/>
    <cellStyle name="40% - Accent1 3 5 3 2 2 3 3" xfId="36952" xr:uid="{00000000-0005-0000-0000-000097500000}"/>
    <cellStyle name="40% - Accent1 3 5 3 2 2 4" xfId="17536" xr:uid="{00000000-0005-0000-0000-000098500000}"/>
    <cellStyle name="40% - Accent1 3 5 3 2 2 4 2" xfId="43410" xr:uid="{00000000-0005-0000-0000-000099500000}"/>
    <cellStyle name="40% - Accent1 3 5 3 2 2 5" xfId="30462" xr:uid="{00000000-0005-0000-0000-00009A500000}"/>
    <cellStyle name="40% - Accent1 3 5 3 2 3" xfId="6232" xr:uid="{00000000-0005-0000-0000-00009B500000}"/>
    <cellStyle name="40% - Accent1 3 5 3 2 3 2" xfId="12691" xr:uid="{00000000-0005-0000-0000-00009C500000}"/>
    <cellStyle name="40% - Accent1 3 5 3 2 3 2 2" xfId="25608" xr:uid="{00000000-0005-0000-0000-00009D500000}"/>
    <cellStyle name="40% - Accent1 3 5 3 2 3 2 2 2" xfId="51482" xr:uid="{00000000-0005-0000-0000-00009E500000}"/>
    <cellStyle name="40% - Accent1 3 5 3 2 3 2 3" xfId="38566" xr:uid="{00000000-0005-0000-0000-00009F500000}"/>
    <cellStyle name="40% - Accent1 3 5 3 2 3 3" xfId="19150" xr:uid="{00000000-0005-0000-0000-0000A0500000}"/>
    <cellStyle name="40% - Accent1 3 5 3 2 3 3 2" xfId="45024" xr:uid="{00000000-0005-0000-0000-0000A1500000}"/>
    <cellStyle name="40% - Accent1 3 5 3 2 3 4" xfId="32108" xr:uid="{00000000-0005-0000-0000-0000A2500000}"/>
    <cellStyle name="40% - Accent1 3 5 3 2 4" xfId="9463" xr:uid="{00000000-0005-0000-0000-0000A3500000}"/>
    <cellStyle name="40% - Accent1 3 5 3 2 4 2" xfId="22380" xr:uid="{00000000-0005-0000-0000-0000A4500000}"/>
    <cellStyle name="40% - Accent1 3 5 3 2 4 2 2" xfId="48254" xr:uid="{00000000-0005-0000-0000-0000A5500000}"/>
    <cellStyle name="40% - Accent1 3 5 3 2 4 3" xfId="35338" xr:uid="{00000000-0005-0000-0000-0000A6500000}"/>
    <cellStyle name="40% - Accent1 3 5 3 2 5" xfId="15922" xr:uid="{00000000-0005-0000-0000-0000A7500000}"/>
    <cellStyle name="40% - Accent1 3 5 3 2 5 2" xfId="41796" xr:uid="{00000000-0005-0000-0000-0000A8500000}"/>
    <cellStyle name="40% - Accent1 3 5 3 2 6" xfId="28848" xr:uid="{00000000-0005-0000-0000-0000A9500000}"/>
    <cellStyle name="40% - Accent1 3 5 3 3" xfId="3785" xr:uid="{00000000-0005-0000-0000-0000AA500000}"/>
    <cellStyle name="40% - Accent1 3 5 3 3 2" xfId="7039" xr:uid="{00000000-0005-0000-0000-0000AB500000}"/>
    <cellStyle name="40% - Accent1 3 5 3 3 2 2" xfId="13498" xr:uid="{00000000-0005-0000-0000-0000AC500000}"/>
    <cellStyle name="40% - Accent1 3 5 3 3 2 2 2" xfId="26415" xr:uid="{00000000-0005-0000-0000-0000AD500000}"/>
    <cellStyle name="40% - Accent1 3 5 3 3 2 2 2 2" xfId="52289" xr:uid="{00000000-0005-0000-0000-0000AE500000}"/>
    <cellStyle name="40% - Accent1 3 5 3 3 2 2 3" xfId="39373" xr:uid="{00000000-0005-0000-0000-0000AF500000}"/>
    <cellStyle name="40% - Accent1 3 5 3 3 2 3" xfId="19957" xr:uid="{00000000-0005-0000-0000-0000B0500000}"/>
    <cellStyle name="40% - Accent1 3 5 3 3 2 3 2" xfId="45831" xr:uid="{00000000-0005-0000-0000-0000B1500000}"/>
    <cellStyle name="40% - Accent1 3 5 3 3 2 4" xfId="32915" xr:uid="{00000000-0005-0000-0000-0000B2500000}"/>
    <cellStyle name="40% - Accent1 3 5 3 3 3" xfId="10270" xr:uid="{00000000-0005-0000-0000-0000B3500000}"/>
    <cellStyle name="40% - Accent1 3 5 3 3 3 2" xfId="23187" xr:uid="{00000000-0005-0000-0000-0000B4500000}"/>
    <cellStyle name="40% - Accent1 3 5 3 3 3 2 2" xfId="49061" xr:uid="{00000000-0005-0000-0000-0000B5500000}"/>
    <cellStyle name="40% - Accent1 3 5 3 3 3 3" xfId="36145" xr:uid="{00000000-0005-0000-0000-0000B6500000}"/>
    <cellStyle name="40% - Accent1 3 5 3 3 4" xfId="16729" xr:uid="{00000000-0005-0000-0000-0000B7500000}"/>
    <cellStyle name="40% - Accent1 3 5 3 3 4 2" xfId="42603" xr:uid="{00000000-0005-0000-0000-0000B8500000}"/>
    <cellStyle name="40% - Accent1 3 5 3 3 5" xfId="29655" xr:uid="{00000000-0005-0000-0000-0000B9500000}"/>
    <cellStyle name="40% - Accent1 3 5 3 4" xfId="5425" xr:uid="{00000000-0005-0000-0000-0000BA500000}"/>
    <cellStyle name="40% - Accent1 3 5 3 4 2" xfId="11884" xr:uid="{00000000-0005-0000-0000-0000BB500000}"/>
    <cellStyle name="40% - Accent1 3 5 3 4 2 2" xfId="24801" xr:uid="{00000000-0005-0000-0000-0000BC500000}"/>
    <cellStyle name="40% - Accent1 3 5 3 4 2 2 2" xfId="50675" xr:uid="{00000000-0005-0000-0000-0000BD500000}"/>
    <cellStyle name="40% - Accent1 3 5 3 4 2 3" xfId="37759" xr:uid="{00000000-0005-0000-0000-0000BE500000}"/>
    <cellStyle name="40% - Accent1 3 5 3 4 3" xfId="18343" xr:uid="{00000000-0005-0000-0000-0000BF500000}"/>
    <cellStyle name="40% - Accent1 3 5 3 4 3 2" xfId="44217" xr:uid="{00000000-0005-0000-0000-0000C0500000}"/>
    <cellStyle name="40% - Accent1 3 5 3 4 4" xfId="31301" xr:uid="{00000000-0005-0000-0000-0000C1500000}"/>
    <cellStyle name="40% - Accent1 3 5 3 5" xfId="8656" xr:uid="{00000000-0005-0000-0000-0000C2500000}"/>
    <cellStyle name="40% - Accent1 3 5 3 5 2" xfId="21573" xr:uid="{00000000-0005-0000-0000-0000C3500000}"/>
    <cellStyle name="40% - Accent1 3 5 3 5 2 2" xfId="47447" xr:uid="{00000000-0005-0000-0000-0000C4500000}"/>
    <cellStyle name="40% - Accent1 3 5 3 5 3" xfId="34531" xr:uid="{00000000-0005-0000-0000-0000C5500000}"/>
    <cellStyle name="40% - Accent1 3 5 3 6" xfId="15115" xr:uid="{00000000-0005-0000-0000-0000C6500000}"/>
    <cellStyle name="40% - Accent1 3 5 3 6 2" xfId="40989" xr:uid="{00000000-0005-0000-0000-0000C7500000}"/>
    <cellStyle name="40% - Accent1 3 5 3 7" xfId="28041" xr:uid="{00000000-0005-0000-0000-0000C8500000}"/>
    <cellStyle name="40% - Accent1 3 5 3 8" xfId="53903" xr:uid="{00000000-0005-0000-0000-0000C9500000}"/>
    <cellStyle name="40% - Accent1 3 5 3 9" xfId="2144" xr:uid="{00000000-0005-0000-0000-0000CA500000}"/>
    <cellStyle name="40% - Accent1 3 5 4" xfId="2555" xr:uid="{00000000-0005-0000-0000-0000CB500000}"/>
    <cellStyle name="40% - Accent1 3 5 4 2" xfId="4212" xr:uid="{00000000-0005-0000-0000-0000CC500000}"/>
    <cellStyle name="40% - Accent1 3 5 4 2 2" xfId="7443" xr:uid="{00000000-0005-0000-0000-0000CD500000}"/>
    <cellStyle name="40% - Accent1 3 5 4 2 2 2" xfId="13902" xr:uid="{00000000-0005-0000-0000-0000CE500000}"/>
    <cellStyle name="40% - Accent1 3 5 4 2 2 2 2" xfId="26819" xr:uid="{00000000-0005-0000-0000-0000CF500000}"/>
    <cellStyle name="40% - Accent1 3 5 4 2 2 2 2 2" xfId="52693" xr:uid="{00000000-0005-0000-0000-0000D0500000}"/>
    <cellStyle name="40% - Accent1 3 5 4 2 2 2 3" xfId="39777" xr:uid="{00000000-0005-0000-0000-0000D1500000}"/>
    <cellStyle name="40% - Accent1 3 5 4 2 2 3" xfId="20361" xr:uid="{00000000-0005-0000-0000-0000D2500000}"/>
    <cellStyle name="40% - Accent1 3 5 4 2 2 3 2" xfId="46235" xr:uid="{00000000-0005-0000-0000-0000D3500000}"/>
    <cellStyle name="40% - Accent1 3 5 4 2 2 4" xfId="33319" xr:uid="{00000000-0005-0000-0000-0000D4500000}"/>
    <cellStyle name="40% - Accent1 3 5 4 2 3" xfId="10674" xr:uid="{00000000-0005-0000-0000-0000D5500000}"/>
    <cellStyle name="40% - Accent1 3 5 4 2 3 2" xfId="23591" xr:uid="{00000000-0005-0000-0000-0000D6500000}"/>
    <cellStyle name="40% - Accent1 3 5 4 2 3 2 2" xfId="49465" xr:uid="{00000000-0005-0000-0000-0000D7500000}"/>
    <cellStyle name="40% - Accent1 3 5 4 2 3 3" xfId="36549" xr:uid="{00000000-0005-0000-0000-0000D8500000}"/>
    <cellStyle name="40% - Accent1 3 5 4 2 4" xfId="17133" xr:uid="{00000000-0005-0000-0000-0000D9500000}"/>
    <cellStyle name="40% - Accent1 3 5 4 2 4 2" xfId="43007" xr:uid="{00000000-0005-0000-0000-0000DA500000}"/>
    <cellStyle name="40% - Accent1 3 5 4 2 5" xfId="30059" xr:uid="{00000000-0005-0000-0000-0000DB500000}"/>
    <cellStyle name="40% - Accent1 3 5 4 3" xfId="5829" xr:uid="{00000000-0005-0000-0000-0000DC500000}"/>
    <cellStyle name="40% - Accent1 3 5 4 3 2" xfId="12288" xr:uid="{00000000-0005-0000-0000-0000DD500000}"/>
    <cellStyle name="40% - Accent1 3 5 4 3 2 2" xfId="25205" xr:uid="{00000000-0005-0000-0000-0000DE500000}"/>
    <cellStyle name="40% - Accent1 3 5 4 3 2 2 2" xfId="51079" xr:uid="{00000000-0005-0000-0000-0000DF500000}"/>
    <cellStyle name="40% - Accent1 3 5 4 3 2 3" xfId="38163" xr:uid="{00000000-0005-0000-0000-0000E0500000}"/>
    <cellStyle name="40% - Accent1 3 5 4 3 3" xfId="18747" xr:uid="{00000000-0005-0000-0000-0000E1500000}"/>
    <cellStyle name="40% - Accent1 3 5 4 3 3 2" xfId="44621" xr:uid="{00000000-0005-0000-0000-0000E2500000}"/>
    <cellStyle name="40% - Accent1 3 5 4 3 4" xfId="31705" xr:uid="{00000000-0005-0000-0000-0000E3500000}"/>
    <cellStyle name="40% - Accent1 3 5 4 4" xfId="9060" xr:uid="{00000000-0005-0000-0000-0000E4500000}"/>
    <cellStyle name="40% - Accent1 3 5 4 4 2" xfId="21977" xr:uid="{00000000-0005-0000-0000-0000E5500000}"/>
    <cellStyle name="40% - Accent1 3 5 4 4 2 2" xfId="47851" xr:uid="{00000000-0005-0000-0000-0000E6500000}"/>
    <cellStyle name="40% - Accent1 3 5 4 4 3" xfId="34935" xr:uid="{00000000-0005-0000-0000-0000E7500000}"/>
    <cellStyle name="40% - Accent1 3 5 4 5" xfId="15519" xr:uid="{00000000-0005-0000-0000-0000E8500000}"/>
    <cellStyle name="40% - Accent1 3 5 4 5 2" xfId="41393" xr:uid="{00000000-0005-0000-0000-0000E9500000}"/>
    <cellStyle name="40% - Accent1 3 5 4 6" xfId="28445" xr:uid="{00000000-0005-0000-0000-0000EA500000}"/>
    <cellStyle name="40% - Accent1 3 5 5" xfId="3380" xr:uid="{00000000-0005-0000-0000-0000EB500000}"/>
    <cellStyle name="40% - Accent1 3 5 5 2" xfId="6636" xr:uid="{00000000-0005-0000-0000-0000EC500000}"/>
    <cellStyle name="40% - Accent1 3 5 5 2 2" xfId="13095" xr:uid="{00000000-0005-0000-0000-0000ED500000}"/>
    <cellStyle name="40% - Accent1 3 5 5 2 2 2" xfId="26012" xr:uid="{00000000-0005-0000-0000-0000EE500000}"/>
    <cellStyle name="40% - Accent1 3 5 5 2 2 2 2" xfId="51886" xr:uid="{00000000-0005-0000-0000-0000EF500000}"/>
    <cellStyle name="40% - Accent1 3 5 5 2 2 3" xfId="38970" xr:uid="{00000000-0005-0000-0000-0000F0500000}"/>
    <cellStyle name="40% - Accent1 3 5 5 2 3" xfId="19554" xr:uid="{00000000-0005-0000-0000-0000F1500000}"/>
    <cellStyle name="40% - Accent1 3 5 5 2 3 2" xfId="45428" xr:uid="{00000000-0005-0000-0000-0000F2500000}"/>
    <cellStyle name="40% - Accent1 3 5 5 2 4" xfId="32512" xr:uid="{00000000-0005-0000-0000-0000F3500000}"/>
    <cellStyle name="40% - Accent1 3 5 5 3" xfId="9867" xr:uid="{00000000-0005-0000-0000-0000F4500000}"/>
    <cellStyle name="40% - Accent1 3 5 5 3 2" xfId="22784" xr:uid="{00000000-0005-0000-0000-0000F5500000}"/>
    <cellStyle name="40% - Accent1 3 5 5 3 2 2" xfId="48658" xr:uid="{00000000-0005-0000-0000-0000F6500000}"/>
    <cellStyle name="40% - Accent1 3 5 5 3 3" xfId="35742" xr:uid="{00000000-0005-0000-0000-0000F7500000}"/>
    <cellStyle name="40% - Accent1 3 5 5 4" xfId="16326" xr:uid="{00000000-0005-0000-0000-0000F8500000}"/>
    <cellStyle name="40% - Accent1 3 5 5 4 2" xfId="42200" xr:uid="{00000000-0005-0000-0000-0000F9500000}"/>
    <cellStyle name="40% - Accent1 3 5 5 5" xfId="29252" xr:uid="{00000000-0005-0000-0000-0000FA500000}"/>
    <cellStyle name="40% - Accent1 3 5 6" xfId="5022" xr:uid="{00000000-0005-0000-0000-0000FB500000}"/>
    <cellStyle name="40% - Accent1 3 5 6 2" xfId="11481" xr:uid="{00000000-0005-0000-0000-0000FC500000}"/>
    <cellStyle name="40% - Accent1 3 5 6 2 2" xfId="24398" xr:uid="{00000000-0005-0000-0000-0000FD500000}"/>
    <cellStyle name="40% - Accent1 3 5 6 2 2 2" xfId="50272" xr:uid="{00000000-0005-0000-0000-0000FE500000}"/>
    <cellStyle name="40% - Accent1 3 5 6 2 3" xfId="37356" xr:uid="{00000000-0005-0000-0000-0000FF500000}"/>
    <cellStyle name="40% - Accent1 3 5 6 3" xfId="17940" xr:uid="{00000000-0005-0000-0000-000000510000}"/>
    <cellStyle name="40% - Accent1 3 5 6 3 2" xfId="43814" xr:uid="{00000000-0005-0000-0000-000001510000}"/>
    <cellStyle name="40% - Accent1 3 5 6 4" xfId="30898" xr:uid="{00000000-0005-0000-0000-000002510000}"/>
    <cellStyle name="40% - Accent1 3 5 7" xfId="8252" xr:uid="{00000000-0005-0000-0000-000003510000}"/>
    <cellStyle name="40% - Accent1 3 5 7 2" xfId="21169" xr:uid="{00000000-0005-0000-0000-000004510000}"/>
    <cellStyle name="40% - Accent1 3 5 7 2 2" xfId="47043" xr:uid="{00000000-0005-0000-0000-000005510000}"/>
    <cellStyle name="40% - Accent1 3 5 7 3" xfId="34127" xr:uid="{00000000-0005-0000-0000-000006510000}"/>
    <cellStyle name="40% - Accent1 3 5 8" xfId="14711" xr:uid="{00000000-0005-0000-0000-000007510000}"/>
    <cellStyle name="40% - Accent1 3 5 8 2" xfId="40585" xr:uid="{00000000-0005-0000-0000-000008510000}"/>
    <cellStyle name="40% - Accent1 3 5 9" xfId="27635" xr:uid="{00000000-0005-0000-0000-000009510000}"/>
    <cellStyle name="40% - Accent1 3 6" xfId="670" xr:uid="{00000000-0005-0000-0000-00000A510000}"/>
    <cellStyle name="40% - Accent1 3 7" xfId="655" xr:uid="{00000000-0005-0000-0000-00000B510000}"/>
    <cellStyle name="40% - Accent1 3 8" xfId="1092" xr:uid="{00000000-0005-0000-0000-00000C510000}"/>
    <cellStyle name="40% - Accent1 4" xfId="481" xr:uid="{00000000-0005-0000-0000-00000D510000}"/>
    <cellStyle name="40% - Accent1 4 2" xfId="672" xr:uid="{00000000-0005-0000-0000-00000E510000}"/>
    <cellStyle name="40% - Accent1 4 3" xfId="671" xr:uid="{00000000-0005-0000-0000-00000F510000}"/>
    <cellStyle name="40% - Accent1 4 4" xfId="1093" xr:uid="{00000000-0005-0000-0000-000010510000}"/>
    <cellStyle name="40% - Accent1 5" xfId="392" xr:uid="{00000000-0005-0000-0000-000011510000}"/>
    <cellStyle name="40% - Accent1 5 2" xfId="674" xr:uid="{00000000-0005-0000-0000-000012510000}"/>
    <cellStyle name="40% - Accent1 5 3" xfId="673" xr:uid="{00000000-0005-0000-0000-000013510000}"/>
    <cellStyle name="40% - Accent1 5 4" xfId="1094" xr:uid="{00000000-0005-0000-0000-000014510000}"/>
    <cellStyle name="40% - Accent1 6" xfId="675" xr:uid="{00000000-0005-0000-0000-000015510000}"/>
    <cellStyle name="40% - Accent1 6 2" xfId="1095" xr:uid="{00000000-0005-0000-0000-000016510000}"/>
    <cellStyle name="40% - Accent1 7" xfId="650" xr:uid="{00000000-0005-0000-0000-000017510000}"/>
    <cellStyle name="40% - Accent1 7 2" xfId="1097" xr:uid="{00000000-0005-0000-0000-000018510000}"/>
    <cellStyle name="40% - Accent1 7 3" xfId="1098" xr:uid="{00000000-0005-0000-0000-000019510000}"/>
    <cellStyle name="40% - Accent1 7 3 10" xfId="27590" xr:uid="{00000000-0005-0000-0000-00001A510000}"/>
    <cellStyle name="40% - Accent1 7 3 11" xfId="53456" xr:uid="{00000000-0005-0000-0000-00001B510000}"/>
    <cellStyle name="40% - Accent1 7 3 2" xfId="1743" xr:uid="{00000000-0005-0000-0000-00001C510000}"/>
    <cellStyle name="40% - Accent1 7 3 2 10" xfId="53599" xr:uid="{00000000-0005-0000-0000-00001D510000}"/>
    <cellStyle name="40% - Accent1 7 3 2 2" xfId="2008" xr:uid="{00000000-0005-0000-0000-00001E510000}"/>
    <cellStyle name="40% - Accent1 7 3 2 2 2" xfId="2439" xr:uid="{00000000-0005-0000-0000-00001F510000}"/>
    <cellStyle name="40% - Accent1 7 3 2 2 2 2" xfId="3252" xr:uid="{00000000-0005-0000-0000-000020510000}"/>
    <cellStyle name="40% - Accent1 7 3 2 2 2 2 2" xfId="4909" xr:uid="{00000000-0005-0000-0000-000021510000}"/>
    <cellStyle name="40% - Accent1 7 3 2 2 2 2 2 2" xfId="8140" xr:uid="{00000000-0005-0000-0000-000022510000}"/>
    <cellStyle name="40% - Accent1 7 3 2 2 2 2 2 2 2" xfId="14599" xr:uid="{00000000-0005-0000-0000-000023510000}"/>
    <cellStyle name="40% - Accent1 7 3 2 2 2 2 2 2 2 2" xfId="27516" xr:uid="{00000000-0005-0000-0000-000024510000}"/>
    <cellStyle name="40% - Accent1 7 3 2 2 2 2 2 2 2 2 2" xfId="53390" xr:uid="{00000000-0005-0000-0000-000025510000}"/>
    <cellStyle name="40% - Accent1 7 3 2 2 2 2 2 2 2 3" xfId="40474" xr:uid="{00000000-0005-0000-0000-000026510000}"/>
    <cellStyle name="40% - Accent1 7 3 2 2 2 2 2 2 3" xfId="21058" xr:uid="{00000000-0005-0000-0000-000027510000}"/>
    <cellStyle name="40% - Accent1 7 3 2 2 2 2 2 2 3 2" xfId="46932" xr:uid="{00000000-0005-0000-0000-000028510000}"/>
    <cellStyle name="40% - Accent1 7 3 2 2 2 2 2 2 4" xfId="34016" xr:uid="{00000000-0005-0000-0000-000029510000}"/>
    <cellStyle name="40% - Accent1 7 3 2 2 2 2 2 3" xfId="11371" xr:uid="{00000000-0005-0000-0000-00002A510000}"/>
    <cellStyle name="40% - Accent1 7 3 2 2 2 2 2 3 2" xfId="24288" xr:uid="{00000000-0005-0000-0000-00002B510000}"/>
    <cellStyle name="40% - Accent1 7 3 2 2 2 2 2 3 2 2" xfId="50162" xr:uid="{00000000-0005-0000-0000-00002C510000}"/>
    <cellStyle name="40% - Accent1 7 3 2 2 2 2 2 3 3" xfId="37246" xr:uid="{00000000-0005-0000-0000-00002D510000}"/>
    <cellStyle name="40% - Accent1 7 3 2 2 2 2 2 4" xfId="17830" xr:uid="{00000000-0005-0000-0000-00002E510000}"/>
    <cellStyle name="40% - Accent1 7 3 2 2 2 2 2 4 2" xfId="43704" xr:uid="{00000000-0005-0000-0000-00002F510000}"/>
    <cellStyle name="40% - Accent1 7 3 2 2 2 2 2 5" xfId="30756" xr:uid="{00000000-0005-0000-0000-000030510000}"/>
    <cellStyle name="40% - Accent1 7 3 2 2 2 2 3" xfId="6526" xr:uid="{00000000-0005-0000-0000-000031510000}"/>
    <cellStyle name="40% - Accent1 7 3 2 2 2 2 3 2" xfId="12985" xr:uid="{00000000-0005-0000-0000-000032510000}"/>
    <cellStyle name="40% - Accent1 7 3 2 2 2 2 3 2 2" xfId="25902" xr:uid="{00000000-0005-0000-0000-000033510000}"/>
    <cellStyle name="40% - Accent1 7 3 2 2 2 2 3 2 2 2" xfId="51776" xr:uid="{00000000-0005-0000-0000-000034510000}"/>
    <cellStyle name="40% - Accent1 7 3 2 2 2 2 3 2 3" xfId="38860" xr:uid="{00000000-0005-0000-0000-000035510000}"/>
    <cellStyle name="40% - Accent1 7 3 2 2 2 2 3 3" xfId="19444" xr:uid="{00000000-0005-0000-0000-000036510000}"/>
    <cellStyle name="40% - Accent1 7 3 2 2 2 2 3 3 2" xfId="45318" xr:uid="{00000000-0005-0000-0000-000037510000}"/>
    <cellStyle name="40% - Accent1 7 3 2 2 2 2 3 4" xfId="32402" xr:uid="{00000000-0005-0000-0000-000038510000}"/>
    <cellStyle name="40% - Accent1 7 3 2 2 2 2 4" xfId="9757" xr:uid="{00000000-0005-0000-0000-000039510000}"/>
    <cellStyle name="40% - Accent1 7 3 2 2 2 2 4 2" xfId="22674" xr:uid="{00000000-0005-0000-0000-00003A510000}"/>
    <cellStyle name="40% - Accent1 7 3 2 2 2 2 4 2 2" xfId="48548" xr:uid="{00000000-0005-0000-0000-00003B510000}"/>
    <cellStyle name="40% - Accent1 7 3 2 2 2 2 4 3" xfId="35632" xr:uid="{00000000-0005-0000-0000-00003C510000}"/>
    <cellStyle name="40% - Accent1 7 3 2 2 2 2 5" xfId="16216" xr:uid="{00000000-0005-0000-0000-00003D510000}"/>
    <cellStyle name="40% - Accent1 7 3 2 2 2 2 5 2" xfId="42090" xr:uid="{00000000-0005-0000-0000-00003E510000}"/>
    <cellStyle name="40% - Accent1 7 3 2 2 2 2 6" xfId="29142" xr:uid="{00000000-0005-0000-0000-00003F510000}"/>
    <cellStyle name="40% - Accent1 7 3 2 2 2 3" xfId="4079" xr:uid="{00000000-0005-0000-0000-000040510000}"/>
    <cellStyle name="40% - Accent1 7 3 2 2 2 3 2" xfId="7333" xr:uid="{00000000-0005-0000-0000-000041510000}"/>
    <cellStyle name="40% - Accent1 7 3 2 2 2 3 2 2" xfId="13792" xr:uid="{00000000-0005-0000-0000-000042510000}"/>
    <cellStyle name="40% - Accent1 7 3 2 2 2 3 2 2 2" xfId="26709" xr:uid="{00000000-0005-0000-0000-000043510000}"/>
    <cellStyle name="40% - Accent1 7 3 2 2 2 3 2 2 2 2" xfId="52583" xr:uid="{00000000-0005-0000-0000-000044510000}"/>
    <cellStyle name="40% - Accent1 7 3 2 2 2 3 2 2 3" xfId="39667" xr:uid="{00000000-0005-0000-0000-000045510000}"/>
    <cellStyle name="40% - Accent1 7 3 2 2 2 3 2 3" xfId="20251" xr:uid="{00000000-0005-0000-0000-000046510000}"/>
    <cellStyle name="40% - Accent1 7 3 2 2 2 3 2 3 2" xfId="46125" xr:uid="{00000000-0005-0000-0000-000047510000}"/>
    <cellStyle name="40% - Accent1 7 3 2 2 2 3 2 4" xfId="33209" xr:uid="{00000000-0005-0000-0000-000048510000}"/>
    <cellStyle name="40% - Accent1 7 3 2 2 2 3 3" xfId="10564" xr:uid="{00000000-0005-0000-0000-000049510000}"/>
    <cellStyle name="40% - Accent1 7 3 2 2 2 3 3 2" xfId="23481" xr:uid="{00000000-0005-0000-0000-00004A510000}"/>
    <cellStyle name="40% - Accent1 7 3 2 2 2 3 3 2 2" xfId="49355" xr:uid="{00000000-0005-0000-0000-00004B510000}"/>
    <cellStyle name="40% - Accent1 7 3 2 2 2 3 3 3" xfId="36439" xr:uid="{00000000-0005-0000-0000-00004C510000}"/>
    <cellStyle name="40% - Accent1 7 3 2 2 2 3 4" xfId="17023" xr:uid="{00000000-0005-0000-0000-00004D510000}"/>
    <cellStyle name="40% - Accent1 7 3 2 2 2 3 4 2" xfId="42897" xr:uid="{00000000-0005-0000-0000-00004E510000}"/>
    <cellStyle name="40% - Accent1 7 3 2 2 2 3 5" xfId="29949" xr:uid="{00000000-0005-0000-0000-00004F510000}"/>
    <cellStyle name="40% - Accent1 7 3 2 2 2 4" xfId="5719" xr:uid="{00000000-0005-0000-0000-000050510000}"/>
    <cellStyle name="40% - Accent1 7 3 2 2 2 4 2" xfId="12178" xr:uid="{00000000-0005-0000-0000-000051510000}"/>
    <cellStyle name="40% - Accent1 7 3 2 2 2 4 2 2" xfId="25095" xr:uid="{00000000-0005-0000-0000-000052510000}"/>
    <cellStyle name="40% - Accent1 7 3 2 2 2 4 2 2 2" xfId="50969" xr:uid="{00000000-0005-0000-0000-000053510000}"/>
    <cellStyle name="40% - Accent1 7 3 2 2 2 4 2 3" xfId="38053" xr:uid="{00000000-0005-0000-0000-000054510000}"/>
    <cellStyle name="40% - Accent1 7 3 2 2 2 4 3" xfId="18637" xr:uid="{00000000-0005-0000-0000-000055510000}"/>
    <cellStyle name="40% - Accent1 7 3 2 2 2 4 3 2" xfId="44511" xr:uid="{00000000-0005-0000-0000-000056510000}"/>
    <cellStyle name="40% - Accent1 7 3 2 2 2 4 4" xfId="31595" xr:uid="{00000000-0005-0000-0000-000057510000}"/>
    <cellStyle name="40% - Accent1 7 3 2 2 2 5" xfId="8950" xr:uid="{00000000-0005-0000-0000-000058510000}"/>
    <cellStyle name="40% - Accent1 7 3 2 2 2 5 2" xfId="21867" xr:uid="{00000000-0005-0000-0000-000059510000}"/>
    <cellStyle name="40% - Accent1 7 3 2 2 2 5 2 2" xfId="47741" xr:uid="{00000000-0005-0000-0000-00005A510000}"/>
    <cellStyle name="40% - Accent1 7 3 2 2 2 5 3" xfId="34825" xr:uid="{00000000-0005-0000-0000-00005B510000}"/>
    <cellStyle name="40% - Accent1 7 3 2 2 2 6" xfId="15409" xr:uid="{00000000-0005-0000-0000-00005C510000}"/>
    <cellStyle name="40% - Accent1 7 3 2 2 2 6 2" xfId="41283" xr:uid="{00000000-0005-0000-0000-00005D510000}"/>
    <cellStyle name="40% - Accent1 7 3 2 2 2 7" xfId="28335" xr:uid="{00000000-0005-0000-0000-00005E510000}"/>
    <cellStyle name="40% - Accent1 7 3 2 2 2 8" xfId="54197" xr:uid="{00000000-0005-0000-0000-00005F510000}"/>
    <cellStyle name="40% - Accent1 7 3 2 2 3" xfId="2848" xr:uid="{00000000-0005-0000-0000-000060510000}"/>
    <cellStyle name="40% - Accent1 7 3 2 2 3 2" xfId="4505" xr:uid="{00000000-0005-0000-0000-000061510000}"/>
    <cellStyle name="40% - Accent1 7 3 2 2 3 2 2" xfId="7736" xr:uid="{00000000-0005-0000-0000-000062510000}"/>
    <cellStyle name="40% - Accent1 7 3 2 2 3 2 2 2" xfId="14195" xr:uid="{00000000-0005-0000-0000-000063510000}"/>
    <cellStyle name="40% - Accent1 7 3 2 2 3 2 2 2 2" xfId="27112" xr:uid="{00000000-0005-0000-0000-000064510000}"/>
    <cellStyle name="40% - Accent1 7 3 2 2 3 2 2 2 2 2" xfId="52986" xr:uid="{00000000-0005-0000-0000-000065510000}"/>
    <cellStyle name="40% - Accent1 7 3 2 2 3 2 2 2 3" xfId="40070" xr:uid="{00000000-0005-0000-0000-000066510000}"/>
    <cellStyle name="40% - Accent1 7 3 2 2 3 2 2 3" xfId="20654" xr:uid="{00000000-0005-0000-0000-000067510000}"/>
    <cellStyle name="40% - Accent1 7 3 2 2 3 2 2 3 2" xfId="46528" xr:uid="{00000000-0005-0000-0000-000068510000}"/>
    <cellStyle name="40% - Accent1 7 3 2 2 3 2 2 4" xfId="33612" xr:uid="{00000000-0005-0000-0000-000069510000}"/>
    <cellStyle name="40% - Accent1 7 3 2 2 3 2 3" xfId="10967" xr:uid="{00000000-0005-0000-0000-00006A510000}"/>
    <cellStyle name="40% - Accent1 7 3 2 2 3 2 3 2" xfId="23884" xr:uid="{00000000-0005-0000-0000-00006B510000}"/>
    <cellStyle name="40% - Accent1 7 3 2 2 3 2 3 2 2" xfId="49758" xr:uid="{00000000-0005-0000-0000-00006C510000}"/>
    <cellStyle name="40% - Accent1 7 3 2 2 3 2 3 3" xfId="36842" xr:uid="{00000000-0005-0000-0000-00006D510000}"/>
    <cellStyle name="40% - Accent1 7 3 2 2 3 2 4" xfId="17426" xr:uid="{00000000-0005-0000-0000-00006E510000}"/>
    <cellStyle name="40% - Accent1 7 3 2 2 3 2 4 2" xfId="43300" xr:uid="{00000000-0005-0000-0000-00006F510000}"/>
    <cellStyle name="40% - Accent1 7 3 2 2 3 2 5" xfId="30352" xr:uid="{00000000-0005-0000-0000-000070510000}"/>
    <cellStyle name="40% - Accent1 7 3 2 2 3 3" xfId="6122" xr:uid="{00000000-0005-0000-0000-000071510000}"/>
    <cellStyle name="40% - Accent1 7 3 2 2 3 3 2" xfId="12581" xr:uid="{00000000-0005-0000-0000-000072510000}"/>
    <cellStyle name="40% - Accent1 7 3 2 2 3 3 2 2" xfId="25498" xr:uid="{00000000-0005-0000-0000-000073510000}"/>
    <cellStyle name="40% - Accent1 7 3 2 2 3 3 2 2 2" xfId="51372" xr:uid="{00000000-0005-0000-0000-000074510000}"/>
    <cellStyle name="40% - Accent1 7 3 2 2 3 3 2 3" xfId="38456" xr:uid="{00000000-0005-0000-0000-000075510000}"/>
    <cellStyle name="40% - Accent1 7 3 2 2 3 3 3" xfId="19040" xr:uid="{00000000-0005-0000-0000-000076510000}"/>
    <cellStyle name="40% - Accent1 7 3 2 2 3 3 3 2" xfId="44914" xr:uid="{00000000-0005-0000-0000-000077510000}"/>
    <cellStyle name="40% - Accent1 7 3 2 2 3 3 4" xfId="31998" xr:uid="{00000000-0005-0000-0000-000078510000}"/>
    <cellStyle name="40% - Accent1 7 3 2 2 3 4" xfId="9353" xr:uid="{00000000-0005-0000-0000-000079510000}"/>
    <cellStyle name="40% - Accent1 7 3 2 2 3 4 2" xfId="22270" xr:uid="{00000000-0005-0000-0000-00007A510000}"/>
    <cellStyle name="40% - Accent1 7 3 2 2 3 4 2 2" xfId="48144" xr:uid="{00000000-0005-0000-0000-00007B510000}"/>
    <cellStyle name="40% - Accent1 7 3 2 2 3 4 3" xfId="35228" xr:uid="{00000000-0005-0000-0000-00007C510000}"/>
    <cellStyle name="40% - Accent1 7 3 2 2 3 5" xfId="15812" xr:uid="{00000000-0005-0000-0000-00007D510000}"/>
    <cellStyle name="40% - Accent1 7 3 2 2 3 5 2" xfId="41686" xr:uid="{00000000-0005-0000-0000-00007E510000}"/>
    <cellStyle name="40% - Accent1 7 3 2 2 3 6" xfId="28738" xr:uid="{00000000-0005-0000-0000-00007F510000}"/>
    <cellStyle name="40% - Accent1 7 3 2 2 4" xfId="3675" xr:uid="{00000000-0005-0000-0000-000080510000}"/>
    <cellStyle name="40% - Accent1 7 3 2 2 4 2" xfId="6929" xr:uid="{00000000-0005-0000-0000-000081510000}"/>
    <cellStyle name="40% - Accent1 7 3 2 2 4 2 2" xfId="13388" xr:uid="{00000000-0005-0000-0000-000082510000}"/>
    <cellStyle name="40% - Accent1 7 3 2 2 4 2 2 2" xfId="26305" xr:uid="{00000000-0005-0000-0000-000083510000}"/>
    <cellStyle name="40% - Accent1 7 3 2 2 4 2 2 2 2" xfId="52179" xr:uid="{00000000-0005-0000-0000-000084510000}"/>
    <cellStyle name="40% - Accent1 7 3 2 2 4 2 2 3" xfId="39263" xr:uid="{00000000-0005-0000-0000-000085510000}"/>
    <cellStyle name="40% - Accent1 7 3 2 2 4 2 3" xfId="19847" xr:uid="{00000000-0005-0000-0000-000086510000}"/>
    <cellStyle name="40% - Accent1 7 3 2 2 4 2 3 2" xfId="45721" xr:uid="{00000000-0005-0000-0000-000087510000}"/>
    <cellStyle name="40% - Accent1 7 3 2 2 4 2 4" xfId="32805" xr:uid="{00000000-0005-0000-0000-000088510000}"/>
    <cellStyle name="40% - Accent1 7 3 2 2 4 3" xfId="10160" xr:uid="{00000000-0005-0000-0000-000089510000}"/>
    <cellStyle name="40% - Accent1 7 3 2 2 4 3 2" xfId="23077" xr:uid="{00000000-0005-0000-0000-00008A510000}"/>
    <cellStyle name="40% - Accent1 7 3 2 2 4 3 2 2" xfId="48951" xr:uid="{00000000-0005-0000-0000-00008B510000}"/>
    <cellStyle name="40% - Accent1 7 3 2 2 4 3 3" xfId="36035" xr:uid="{00000000-0005-0000-0000-00008C510000}"/>
    <cellStyle name="40% - Accent1 7 3 2 2 4 4" xfId="16619" xr:uid="{00000000-0005-0000-0000-00008D510000}"/>
    <cellStyle name="40% - Accent1 7 3 2 2 4 4 2" xfId="42493" xr:uid="{00000000-0005-0000-0000-00008E510000}"/>
    <cellStyle name="40% - Accent1 7 3 2 2 4 5" xfId="29545" xr:uid="{00000000-0005-0000-0000-00008F510000}"/>
    <cellStyle name="40% - Accent1 7 3 2 2 5" xfId="5315" xr:uid="{00000000-0005-0000-0000-000090510000}"/>
    <cellStyle name="40% - Accent1 7 3 2 2 5 2" xfId="11774" xr:uid="{00000000-0005-0000-0000-000091510000}"/>
    <cellStyle name="40% - Accent1 7 3 2 2 5 2 2" xfId="24691" xr:uid="{00000000-0005-0000-0000-000092510000}"/>
    <cellStyle name="40% - Accent1 7 3 2 2 5 2 2 2" xfId="50565" xr:uid="{00000000-0005-0000-0000-000093510000}"/>
    <cellStyle name="40% - Accent1 7 3 2 2 5 2 3" xfId="37649" xr:uid="{00000000-0005-0000-0000-000094510000}"/>
    <cellStyle name="40% - Accent1 7 3 2 2 5 3" xfId="18233" xr:uid="{00000000-0005-0000-0000-000095510000}"/>
    <cellStyle name="40% - Accent1 7 3 2 2 5 3 2" xfId="44107" xr:uid="{00000000-0005-0000-0000-000096510000}"/>
    <cellStyle name="40% - Accent1 7 3 2 2 5 4" xfId="31191" xr:uid="{00000000-0005-0000-0000-000097510000}"/>
    <cellStyle name="40% - Accent1 7 3 2 2 6" xfId="8546" xr:uid="{00000000-0005-0000-0000-000098510000}"/>
    <cellStyle name="40% - Accent1 7 3 2 2 6 2" xfId="21463" xr:uid="{00000000-0005-0000-0000-000099510000}"/>
    <cellStyle name="40% - Accent1 7 3 2 2 6 2 2" xfId="47337" xr:uid="{00000000-0005-0000-0000-00009A510000}"/>
    <cellStyle name="40% - Accent1 7 3 2 2 6 3" xfId="34421" xr:uid="{00000000-0005-0000-0000-00009B510000}"/>
    <cellStyle name="40% - Accent1 7 3 2 2 7" xfId="15005" xr:uid="{00000000-0005-0000-0000-00009C510000}"/>
    <cellStyle name="40% - Accent1 7 3 2 2 7 2" xfId="40879" xr:uid="{00000000-0005-0000-0000-00009D510000}"/>
    <cellStyle name="40% - Accent1 7 3 2 2 8" xfId="27930" xr:uid="{00000000-0005-0000-0000-00009E510000}"/>
    <cellStyle name="40% - Accent1 7 3 2 2 9" xfId="53793" xr:uid="{00000000-0005-0000-0000-00009F510000}"/>
    <cellStyle name="40% - Accent1 7 3 2 3" xfId="2243" xr:uid="{00000000-0005-0000-0000-0000A0510000}"/>
    <cellStyle name="40% - Accent1 7 3 2 3 2" xfId="3057" xr:uid="{00000000-0005-0000-0000-0000A1510000}"/>
    <cellStyle name="40% - Accent1 7 3 2 3 2 2" xfId="4714" xr:uid="{00000000-0005-0000-0000-0000A2510000}"/>
    <cellStyle name="40% - Accent1 7 3 2 3 2 2 2" xfId="7945" xr:uid="{00000000-0005-0000-0000-0000A3510000}"/>
    <cellStyle name="40% - Accent1 7 3 2 3 2 2 2 2" xfId="14404" xr:uid="{00000000-0005-0000-0000-0000A4510000}"/>
    <cellStyle name="40% - Accent1 7 3 2 3 2 2 2 2 2" xfId="27321" xr:uid="{00000000-0005-0000-0000-0000A5510000}"/>
    <cellStyle name="40% - Accent1 7 3 2 3 2 2 2 2 2 2" xfId="53195" xr:uid="{00000000-0005-0000-0000-0000A6510000}"/>
    <cellStyle name="40% - Accent1 7 3 2 3 2 2 2 2 3" xfId="40279" xr:uid="{00000000-0005-0000-0000-0000A7510000}"/>
    <cellStyle name="40% - Accent1 7 3 2 3 2 2 2 3" xfId="20863" xr:uid="{00000000-0005-0000-0000-0000A8510000}"/>
    <cellStyle name="40% - Accent1 7 3 2 3 2 2 2 3 2" xfId="46737" xr:uid="{00000000-0005-0000-0000-0000A9510000}"/>
    <cellStyle name="40% - Accent1 7 3 2 3 2 2 2 4" xfId="33821" xr:uid="{00000000-0005-0000-0000-0000AA510000}"/>
    <cellStyle name="40% - Accent1 7 3 2 3 2 2 3" xfId="11176" xr:uid="{00000000-0005-0000-0000-0000AB510000}"/>
    <cellStyle name="40% - Accent1 7 3 2 3 2 2 3 2" xfId="24093" xr:uid="{00000000-0005-0000-0000-0000AC510000}"/>
    <cellStyle name="40% - Accent1 7 3 2 3 2 2 3 2 2" xfId="49967" xr:uid="{00000000-0005-0000-0000-0000AD510000}"/>
    <cellStyle name="40% - Accent1 7 3 2 3 2 2 3 3" xfId="37051" xr:uid="{00000000-0005-0000-0000-0000AE510000}"/>
    <cellStyle name="40% - Accent1 7 3 2 3 2 2 4" xfId="17635" xr:uid="{00000000-0005-0000-0000-0000AF510000}"/>
    <cellStyle name="40% - Accent1 7 3 2 3 2 2 4 2" xfId="43509" xr:uid="{00000000-0005-0000-0000-0000B0510000}"/>
    <cellStyle name="40% - Accent1 7 3 2 3 2 2 5" xfId="30561" xr:uid="{00000000-0005-0000-0000-0000B1510000}"/>
    <cellStyle name="40% - Accent1 7 3 2 3 2 3" xfId="6331" xr:uid="{00000000-0005-0000-0000-0000B2510000}"/>
    <cellStyle name="40% - Accent1 7 3 2 3 2 3 2" xfId="12790" xr:uid="{00000000-0005-0000-0000-0000B3510000}"/>
    <cellStyle name="40% - Accent1 7 3 2 3 2 3 2 2" xfId="25707" xr:uid="{00000000-0005-0000-0000-0000B4510000}"/>
    <cellStyle name="40% - Accent1 7 3 2 3 2 3 2 2 2" xfId="51581" xr:uid="{00000000-0005-0000-0000-0000B5510000}"/>
    <cellStyle name="40% - Accent1 7 3 2 3 2 3 2 3" xfId="38665" xr:uid="{00000000-0005-0000-0000-0000B6510000}"/>
    <cellStyle name="40% - Accent1 7 3 2 3 2 3 3" xfId="19249" xr:uid="{00000000-0005-0000-0000-0000B7510000}"/>
    <cellStyle name="40% - Accent1 7 3 2 3 2 3 3 2" xfId="45123" xr:uid="{00000000-0005-0000-0000-0000B8510000}"/>
    <cellStyle name="40% - Accent1 7 3 2 3 2 3 4" xfId="32207" xr:uid="{00000000-0005-0000-0000-0000B9510000}"/>
    <cellStyle name="40% - Accent1 7 3 2 3 2 4" xfId="9562" xr:uid="{00000000-0005-0000-0000-0000BA510000}"/>
    <cellStyle name="40% - Accent1 7 3 2 3 2 4 2" xfId="22479" xr:uid="{00000000-0005-0000-0000-0000BB510000}"/>
    <cellStyle name="40% - Accent1 7 3 2 3 2 4 2 2" xfId="48353" xr:uid="{00000000-0005-0000-0000-0000BC510000}"/>
    <cellStyle name="40% - Accent1 7 3 2 3 2 4 3" xfId="35437" xr:uid="{00000000-0005-0000-0000-0000BD510000}"/>
    <cellStyle name="40% - Accent1 7 3 2 3 2 5" xfId="16021" xr:uid="{00000000-0005-0000-0000-0000BE510000}"/>
    <cellStyle name="40% - Accent1 7 3 2 3 2 5 2" xfId="41895" xr:uid="{00000000-0005-0000-0000-0000BF510000}"/>
    <cellStyle name="40% - Accent1 7 3 2 3 2 6" xfId="28947" xr:uid="{00000000-0005-0000-0000-0000C0510000}"/>
    <cellStyle name="40% - Accent1 7 3 2 3 3" xfId="3884" xr:uid="{00000000-0005-0000-0000-0000C1510000}"/>
    <cellStyle name="40% - Accent1 7 3 2 3 3 2" xfId="7138" xr:uid="{00000000-0005-0000-0000-0000C2510000}"/>
    <cellStyle name="40% - Accent1 7 3 2 3 3 2 2" xfId="13597" xr:uid="{00000000-0005-0000-0000-0000C3510000}"/>
    <cellStyle name="40% - Accent1 7 3 2 3 3 2 2 2" xfId="26514" xr:uid="{00000000-0005-0000-0000-0000C4510000}"/>
    <cellStyle name="40% - Accent1 7 3 2 3 3 2 2 2 2" xfId="52388" xr:uid="{00000000-0005-0000-0000-0000C5510000}"/>
    <cellStyle name="40% - Accent1 7 3 2 3 3 2 2 3" xfId="39472" xr:uid="{00000000-0005-0000-0000-0000C6510000}"/>
    <cellStyle name="40% - Accent1 7 3 2 3 3 2 3" xfId="20056" xr:uid="{00000000-0005-0000-0000-0000C7510000}"/>
    <cellStyle name="40% - Accent1 7 3 2 3 3 2 3 2" xfId="45930" xr:uid="{00000000-0005-0000-0000-0000C8510000}"/>
    <cellStyle name="40% - Accent1 7 3 2 3 3 2 4" xfId="33014" xr:uid="{00000000-0005-0000-0000-0000C9510000}"/>
    <cellStyle name="40% - Accent1 7 3 2 3 3 3" xfId="10369" xr:uid="{00000000-0005-0000-0000-0000CA510000}"/>
    <cellStyle name="40% - Accent1 7 3 2 3 3 3 2" xfId="23286" xr:uid="{00000000-0005-0000-0000-0000CB510000}"/>
    <cellStyle name="40% - Accent1 7 3 2 3 3 3 2 2" xfId="49160" xr:uid="{00000000-0005-0000-0000-0000CC510000}"/>
    <cellStyle name="40% - Accent1 7 3 2 3 3 3 3" xfId="36244" xr:uid="{00000000-0005-0000-0000-0000CD510000}"/>
    <cellStyle name="40% - Accent1 7 3 2 3 3 4" xfId="16828" xr:uid="{00000000-0005-0000-0000-0000CE510000}"/>
    <cellStyle name="40% - Accent1 7 3 2 3 3 4 2" xfId="42702" xr:uid="{00000000-0005-0000-0000-0000CF510000}"/>
    <cellStyle name="40% - Accent1 7 3 2 3 3 5" xfId="29754" xr:uid="{00000000-0005-0000-0000-0000D0510000}"/>
    <cellStyle name="40% - Accent1 7 3 2 3 4" xfId="5524" xr:uid="{00000000-0005-0000-0000-0000D1510000}"/>
    <cellStyle name="40% - Accent1 7 3 2 3 4 2" xfId="11983" xr:uid="{00000000-0005-0000-0000-0000D2510000}"/>
    <cellStyle name="40% - Accent1 7 3 2 3 4 2 2" xfId="24900" xr:uid="{00000000-0005-0000-0000-0000D3510000}"/>
    <cellStyle name="40% - Accent1 7 3 2 3 4 2 2 2" xfId="50774" xr:uid="{00000000-0005-0000-0000-0000D4510000}"/>
    <cellStyle name="40% - Accent1 7 3 2 3 4 2 3" xfId="37858" xr:uid="{00000000-0005-0000-0000-0000D5510000}"/>
    <cellStyle name="40% - Accent1 7 3 2 3 4 3" xfId="18442" xr:uid="{00000000-0005-0000-0000-0000D6510000}"/>
    <cellStyle name="40% - Accent1 7 3 2 3 4 3 2" xfId="44316" xr:uid="{00000000-0005-0000-0000-0000D7510000}"/>
    <cellStyle name="40% - Accent1 7 3 2 3 4 4" xfId="31400" xr:uid="{00000000-0005-0000-0000-0000D8510000}"/>
    <cellStyle name="40% - Accent1 7 3 2 3 5" xfId="8755" xr:uid="{00000000-0005-0000-0000-0000D9510000}"/>
    <cellStyle name="40% - Accent1 7 3 2 3 5 2" xfId="21672" xr:uid="{00000000-0005-0000-0000-0000DA510000}"/>
    <cellStyle name="40% - Accent1 7 3 2 3 5 2 2" xfId="47546" xr:uid="{00000000-0005-0000-0000-0000DB510000}"/>
    <cellStyle name="40% - Accent1 7 3 2 3 5 3" xfId="34630" xr:uid="{00000000-0005-0000-0000-0000DC510000}"/>
    <cellStyle name="40% - Accent1 7 3 2 3 6" xfId="15214" xr:uid="{00000000-0005-0000-0000-0000DD510000}"/>
    <cellStyle name="40% - Accent1 7 3 2 3 6 2" xfId="41088" xr:uid="{00000000-0005-0000-0000-0000DE510000}"/>
    <cellStyle name="40% - Accent1 7 3 2 3 7" xfId="28140" xr:uid="{00000000-0005-0000-0000-0000DF510000}"/>
    <cellStyle name="40% - Accent1 7 3 2 3 8" xfId="54002" xr:uid="{00000000-0005-0000-0000-0000E0510000}"/>
    <cellStyle name="40% - Accent1 7 3 2 4" xfId="2654" xr:uid="{00000000-0005-0000-0000-0000E1510000}"/>
    <cellStyle name="40% - Accent1 7 3 2 4 2" xfId="4311" xr:uid="{00000000-0005-0000-0000-0000E2510000}"/>
    <cellStyle name="40% - Accent1 7 3 2 4 2 2" xfId="7542" xr:uid="{00000000-0005-0000-0000-0000E3510000}"/>
    <cellStyle name="40% - Accent1 7 3 2 4 2 2 2" xfId="14001" xr:uid="{00000000-0005-0000-0000-0000E4510000}"/>
    <cellStyle name="40% - Accent1 7 3 2 4 2 2 2 2" xfId="26918" xr:uid="{00000000-0005-0000-0000-0000E5510000}"/>
    <cellStyle name="40% - Accent1 7 3 2 4 2 2 2 2 2" xfId="52792" xr:uid="{00000000-0005-0000-0000-0000E6510000}"/>
    <cellStyle name="40% - Accent1 7 3 2 4 2 2 2 3" xfId="39876" xr:uid="{00000000-0005-0000-0000-0000E7510000}"/>
    <cellStyle name="40% - Accent1 7 3 2 4 2 2 3" xfId="20460" xr:uid="{00000000-0005-0000-0000-0000E8510000}"/>
    <cellStyle name="40% - Accent1 7 3 2 4 2 2 3 2" xfId="46334" xr:uid="{00000000-0005-0000-0000-0000E9510000}"/>
    <cellStyle name="40% - Accent1 7 3 2 4 2 2 4" xfId="33418" xr:uid="{00000000-0005-0000-0000-0000EA510000}"/>
    <cellStyle name="40% - Accent1 7 3 2 4 2 3" xfId="10773" xr:uid="{00000000-0005-0000-0000-0000EB510000}"/>
    <cellStyle name="40% - Accent1 7 3 2 4 2 3 2" xfId="23690" xr:uid="{00000000-0005-0000-0000-0000EC510000}"/>
    <cellStyle name="40% - Accent1 7 3 2 4 2 3 2 2" xfId="49564" xr:uid="{00000000-0005-0000-0000-0000ED510000}"/>
    <cellStyle name="40% - Accent1 7 3 2 4 2 3 3" xfId="36648" xr:uid="{00000000-0005-0000-0000-0000EE510000}"/>
    <cellStyle name="40% - Accent1 7 3 2 4 2 4" xfId="17232" xr:uid="{00000000-0005-0000-0000-0000EF510000}"/>
    <cellStyle name="40% - Accent1 7 3 2 4 2 4 2" xfId="43106" xr:uid="{00000000-0005-0000-0000-0000F0510000}"/>
    <cellStyle name="40% - Accent1 7 3 2 4 2 5" xfId="30158" xr:uid="{00000000-0005-0000-0000-0000F1510000}"/>
    <cellStyle name="40% - Accent1 7 3 2 4 3" xfId="5928" xr:uid="{00000000-0005-0000-0000-0000F2510000}"/>
    <cellStyle name="40% - Accent1 7 3 2 4 3 2" xfId="12387" xr:uid="{00000000-0005-0000-0000-0000F3510000}"/>
    <cellStyle name="40% - Accent1 7 3 2 4 3 2 2" xfId="25304" xr:uid="{00000000-0005-0000-0000-0000F4510000}"/>
    <cellStyle name="40% - Accent1 7 3 2 4 3 2 2 2" xfId="51178" xr:uid="{00000000-0005-0000-0000-0000F5510000}"/>
    <cellStyle name="40% - Accent1 7 3 2 4 3 2 3" xfId="38262" xr:uid="{00000000-0005-0000-0000-0000F6510000}"/>
    <cellStyle name="40% - Accent1 7 3 2 4 3 3" xfId="18846" xr:uid="{00000000-0005-0000-0000-0000F7510000}"/>
    <cellStyle name="40% - Accent1 7 3 2 4 3 3 2" xfId="44720" xr:uid="{00000000-0005-0000-0000-0000F8510000}"/>
    <cellStyle name="40% - Accent1 7 3 2 4 3 4" xfId="31804" xr:uid="{00000000-0005-0000-0000-0000F9510000}"/>
    <cellStyle name="40% - Accent1 7 3 2 4 4" xfId="9159" xr:uid="{00000000-0005-0000-0000-0000FA510000}"/>
    <cellStyle name="40% - Accent1 7 3 2 4 4 2" xfId="22076" xr:uid="{00000000-0005-0000-0000-0000FB510000}"/>
    <cellStyle name="40% - Accent1 7 3 2 4 4 2 2" xfId="47950" xr:uid="{00000000-0005-0000-0000-0000FC510000}"/>
    <cellStyle name="40% - Accent1 7 3 2 4 4 3" xfId="35034" xr:uid="{00000000-0005-0000-0000-0000FD510000}"/>
    <cellStyle name="40% - Accent1 7 3 2 4 5" xfId="15618" xr:uid="{00000000-0005-0000-0000-0000FE510000}"/>
    <cellStyle name="40% - Accent1 7 3 2 4 5 2" xfId="41492" xr:uid="{00000000-0005-0000-0000-0000FF510000}"/>
    <cellStyle name="40% - Accent1 7 3 2 4 6" xfId="28544" xr:uid="{00000000-0005-0000-0000-000000520000}"/>
    <cellStyle name="40% - Accent1 7 3 2 5" xfId="3481" xr:uid="{00000000-0005-0000-0000-000001520000}"/>
    <cellStyle name="40% - Accent1 7 3 2 5 2" xfId="6735" xr:uid="{00000000-0005-0000-0000-000002520000}"/>
    <cellStyle name="40% - Accent1 7 3 2 5 2 2" xfId="13194" xr:uid="{00000000-0005-0000-0000-000003520000}"/>
    <cellStyle name="40% - Accent1 7 3 2 5 2 2 2" xfId="26111" xr:uid="{00000000-0005-0000-0000-000004520000}"/>
    <cellStyle name="40% - Accent1 7 3 2 5 2 2 2 2" xfId="51985" xr:uid="{00000000-0005-0000-0000-000005520000}"/>
    <cellStyle name="40% - Accent1 7 3 2 5 2 2 3" xfId="39069" xr:uid="{00000000-0005-0000-0000-000006520000}"/>
    <cellStyle name="40% - Accent1 7 3 2 5 2 3" xfId="19653" xr:uid="{00000000-0005-0000-0000-000007520000}"/>
    <cellStyle name="40% - Accent1 7 3 2 5 2 3 2" xfId="45527" xr:uid="{00000000-0005-0000-0000-000008520000}"/>
    <cellStyle name="40% - Accent1 7 3 2 5 2 4" xfId="32611" xr:uid="{00000000-0005-0000-0000-000009520000}"/>
    <cellStyle name="40% - Accent1 7 3 2 5 3" xfId="9966" xr:uid="{00000000-0005-0000-0000-00000A520000}"/>
    <cellStyle name="40% - Accent1 7 3 2 5 3 2" xfId="22883" xr:uid="{00000000-0005-0000-0000-00000B520000}"/>
    <cellStyle name="40% - Accent1 7 3 2 5 3 2 2" xfId="48757" xr:uid="{00000000-0005-0000-0000-00000C520000}"/>
    <cellStyle name="40% - Accent1 7 3 2 5 3 3" xfId="35841" xr:uid="{00000000-0005-0000-0000-00000D520000}"/>
    <cellStyle name="40% - Accent1 7 3 2 5 4" xfId="16425" xr:uid="{00000000-0005-0000-0000-00000E520000}"/>
    <cellStyle name="40% - Accent1 7 3 2 5 4 2" xfId="42299" xr:uid="{00000000-0005-0000-0000-00000F520000}"/>
    <cellStyle name="40% - Accent1 7 3 2 5 5" xfId="29351" xr:uid="{00000000-0005-0000-0000-000010520000}"/>
    <cellStyle name="40% - Accent1 7 3 2 6" xfId="5121" xr:uid="{00000000-0005-0000-0000-000011520000}"/>
    <cellStyle name="40% - Accent1 7 3 2 6 2" xfId="11580" xr:uid="{00000000-0005-0000-0000-000012520000}"/>
    <cellStyle name="40% - Accent1 7 3 2 6 2 2" xfId="24497" xr:uid="{00000000-0005-0000-0000-000013520000}"/>
    <cellStyle name="40% - Accent1 7 3 2 6 2 2 2" xfId="50371" xr:uid="{00000000-0005-0000-0000-000014520000}"/>
    <cellStyle name="40% - Accent1 7 3 2 6 2 3" xfId="37455" xr:uid="{00000000-0005-0000-0000-000015520000}"/>
    <cellStyle name="40% - Accent1 7 3 2 6 3" xfId="18039" xr:uid="{00000000-0005-0000-0000-000016520000}"/>
    <cellStyle name="40% - Accent1 7 3 2 6 3 2" xfId="43913" xr:uid="{00000000-0005-0000-0000-000017520000}"/>
    <cellStyle name="40% - Accent1 7 3 2 6 4" xfId="30997" xr:uid="{00000000-0005-0000-0000-000018520000}"/>
    <cellStyle name="40% - Accent1 7 3 2 7" xfId="8351" xr:uid="{00000000-0005-0000-0000-000019520000}"/>
    <cellStyle name="40% - Accent1 7 3 2 7 2" xfId="21268" xr:uid="{00000000-0005-0000-0000-00001A520000}"/>
    <cellStyle name="40% - Accent1 7 3 2 7 2 2" xfId="47142" xr:uid="{00000000-0005-0000-0000-00001B520000}"/>
    <cellStyle name="40% - Accent1 7 3 2 7 3" xfId="34226" xr:uid="{00000000-0005-0000-0000-00001C520000}"/>
    <cellStyle name="40% - Accent1 7 3 2 8" xfId="14810" xr:uid="{00000000-0005-0000-0000-00001D520000}"/>
    <cellStyle name="40% - Accent1 7 3 2 8 2" xfId="40684" xr:uid="{00000000-0005-0000-0000-00001E520000}"/>
    <cellStyle name="40% - Accent1 7 3 2 9" xfId="27736" xr:uid="{00000000-0005-0000-0000-00001F520000}"/>
    <cellStyle name="40% - Accent1 7 3 3" xfId="1853" xr:uid="{00000000-0005-0000-0000-000020520000}"/>
    <cellStyle name="40% - Accent1 7 3 3 2" xfId="2295" xr:uid="{00000000-0005-0000-0000-000021520000}"/>
    <cellStyle name="40% - Accent1 7 3 3 2 2" xfId="3109" xr:uid="{00000000-0005-0000-0000-000022520000}"/>
    <cellStyle name="40% - Accent1 7 3 3 2 2 2" xfId="4766" xr:uid="{00000000-0005-0000-0000-000023520000}"/>
    <cellStyle name="40% - Accent1 7 3 3 2 2 2 2" xfId="7997" xr:uid="{00000000-0005-0000-0000-000024520000}"/>
    <cellStyle name="40% - Accent1 7 3 3 2 2 2 2 2" xfId="14456" xr:uid="{00000000-0005-0000-0000-000025520000}"/>
    <cellStyle name="40% - Accent1 7 3 3 2 2 2 2 2 2" xfId="27373" xr:uid="{00000000-0005-0000-0000-000026520000}"/>
    <cellStyle name="40% - Accent1 7 3 3 2 2 2 2 2 2 2" xfId="53247" xr:uid="{00000000-0005-0000-0000-000027520000}"/>
    <cellStyle name="40% - Accent1 7 3 3 2 2 2 2 2 3" xfId="40331" xr:uid="{00000000-0005-0000-0000-000028520000}"/>
    <cellStyle name="40% - Accent1 7 3 3 2 2 2 2 3" xfId="20915" xr:uid="{00000000-0005-0000-0000-000029520000}"/>
    <cellStyle name="40% - Accent1 7 3 3 2 2 2 2 3 2" xfId="46789" xr:uid="{00000000-0005-0000-0000-00002A520000}"/>
    <cellStyle name="40% - Accent1 7 3 3 2 2 2 2 4" xfId="33873" xr:uid="{00000000-0005-0000-0000-00002B520000}"/>
    <cellStyle name="40% - Accent1 7 3 3 2 2 2 3" xfId="11228" xr:uid="{00000000-0005-0000-0000-00002C520000}"/>
    <cellStyle name="40% - Accent1 7 3 3 2 2 2 3 2" xfId="24145" xr:uid="{00000000-0005-0000-0000-00002D520000}"/>
    <cellStyle name="40% - Accent1 7 3 3 2 2 2 3 2 2" xfId="50019" xr:uid="{00000000-0005-0000-0000-00002E520000}"/>
    <cellStyle name="40% - Accent1 7 3 3 2 2 2 3 3" xfId="37103" xr:uid="{00000000-0005-0000-0000-00002F520000}"/>
    <cellStyle name="40% - Accent1 7 3 3 2 2 2 4" xfId="17687" xr:uid="{00000000-0005-0000-0000-000030520000}"/>
    <cellStyle name="40% - Accent1 7 3 3 2 2 2 4 2" xfId="43561" xr:uid="{00000000-0005-0000-0000-000031520000}"/>
    <cellStyle name="40% - Accent1 7 3 3 2 2 2 5" xfId="30613" xr:uid="{00000000-0005-0000-0000-000032520000}"/>
    <cellStyle name="40% - Accent1 7 3 3 2 2 3" xfId="6383" xr:uid="{00000000-0005-0000-0000-000033520000}"/>
    <cellStyle name="40% - Accent1 7 3 3 2 2 3 2" xfId="12842" xr:uid="{00000000-0005-0000-0000-000034520000}"/>
    <cellStyle name="40% - Accent1 7 3 3 2 2 3 2 2" xfId="25759" xr:uid="{00000000-0005-0000-0000-000035520000}"/>
    <cellStyle name="40% - Accent1 7 3 3 2 2 3 2 2 2" xfId="51633" xr:uid="{00000000-0005-0000-0000-000036520000}"/>
    <cellStyle name="40% - Accent1 7 3 3 2 2 3 2 3" xfId="38717" xr:uid="{00000000-0005-0000-0000-000037520000}"/>
    <cellStyle name="40% - Accent1 7 3 3 2 2 3 3" xfId="19301" xr:uid="{00000000-0005-0000-0000-000038520000}"/>
    <cellStyle name="40% - Accent1 7 3 3 2 2 3 3 2" xfId="45175" xr:uid="{00000000-0005-0000-0000-000039520000}"/>
    <cellStyle name="40% - Accent1 7 3 3 2 2 3 4" xfId="32259" xr:uid="{00000000-0005-0000-0000-00003A520000}"/>
    <cellStyle name="40% - Accent1 7 3 3 2 2 4" xfId="9614" xr:uid="{00000000-0005-0000-0000-00003B520000}"/>
    <cellStyle name="40% - Accent1 7 3 3 2 2 4 2" xfId="22531" xr:uid="{00000000-0005-0000-0000-00003C520000}"/>
    <cellStyle name="40% - Accent1 7 3 3 2 2 4 2 2" xfId="48405" xr:uid="{00000000-0005-0000-0000-00003D520000}"/>
    <cellStyle name="40% - Accent1 7 3 3 2 2 4 3" xfId="35489" xr:uid="{00000000-0005-0000-0000-00003E520000}"/>
    <cellStyle name="40% - Accent1 7 3 3 2 2 5" xfId="16073" xr:uid="{00000000-0005-0000-0000-00003F520000}"/>
    <cellStyle name="40% - Accent1 7 3 3 2 2 5 2" xfId="41947" xr:uid="{00000000-0005-0000-0000-000040520000}"/>
    <cellStyle name="40% - Accent1 7 3 3 2 2 6" xfId="28999" xr:uid="{00000000-0005-0000-0000-000041520000}"/>
    <cellStyle name="40% - Accent1 7 3 3 2 3" xfId="3936" xr:uid="{00000000-0005-0000-0000-000042520000}"/>
    <cellStyle name="40% - Accent1 7 3 3 2 3 2" xfId="7190" xr:uid="{00000000-0005-0000-0000-000043520000}"/>
    <cellStyle name="40% - Accent1 7 3 3 2 3 2 2" xfId="13649" xr:uid="{00000000-0005-0000-0000-000044520000}"/>
    <cellStyle name="40% - Accent1 7 3 3 2 3 2 2 2" xfId="26566" xr:uid="{00000000-0005-0000-0000-000045520000}"/>
    <cellStyle name="40% - Accent1 7 3 3 2 3 2 2 2 2" xfId="52440" xr:uid="{00000000-0005-0000-0000-000046520000}"/>
    <cellStyle name="40% - Accent1 7 3 3 2 3 2 2 3" xfId="39524" xr:uid="{00000000-0005-0000-0000-000047520000}"/>
    <cellStyle name="40% - Accent1 7 3 3 2 3 2 3" xfId="20108" xr:uid="{00000000-0005-0000-0000-000048520000}"/>
    <cellStyle name="40% - Accent1 7 3 3 2 3 2 3 2" xfId="45982" xr:uid="{00000000-0005-0000-0000-000049520000}"/>
    <cellStyle name="40% - Accent1 7 3 3 2 3 2 4" xfId="33066" xr:uid="{00000000-0005-0000-0000-00004A520000}"/>
    <cellStyle name="40% - Accent1 7 3 3 2 3 3" xfId="10421" xr:uid="{00000000-0005-0000-0000-00004B520000}"/>
    <cellStyle name="40% - Accent1 7 3 3 2 3 3 2" xfId="23338" xr:uid="{00000000-0005-0000-0000-00004C520000}"/>
    <cellStyle name="40% - Accent1 7 3 3 2 3 3 2 2" xfId="49212" xr:uid="{00000000-0005-0000-0000-00004D520000}"/>
    <cellStyle name="40% - Accent1 7 3 3 2 3 3 3" xfId="36296" xr:uid="{00000000-0005-0000-0000-00004E520000}"/>
    <cellStyle name="40% - Accent1 7 3 3 2 3 4" xfId="16880" xr:uid="{00000000-0005-0000-0000-00004F520000}"/>
    <cellStyle name="40% - Accent1 7 3 3 2 3 4 2" xfId="42754" xr:uid="{00000000-0005-0000-0000-000050520000}"/>
    <cellStyle name="40% - Accent1 7 3 3 2 3 5" xfId="29806" xr:uid="{00000000-0005-0000-0000-000051520000}"/>
    <cellStyle name="40% - Accent1 7 3 3 2 4" xfId="5576" xr:uid="{00000000-0005-0000-0000-000052520000}"/>
    <cellStyle name="40% - Accent1 7 3 3 2 4 2" xfId="12035" xr:uid="{00000000-0005-0000-0000-000053520000}"/>
    <cellStyle name="40% - Accent1 7 3 3 2 4 2 2" xfId="24952" xr:uid="{00000000-0005-0000-0000-000054520000}"/>
    <cellStyle name="40% - Accent1 7 3 3 2 4 2 2 2" xfId="50826" xr:uid="{00000000-0005-0000-0000-000055520000}"/>
    <cellStyle name="40% - Accent1 7 3 3 2 4 2 3" xfId="37910" xr:uid="{00000000-0005-0000-0000-000056520000}"/>
    <cellStyle name="40% - Accent1 7 3 3 2 4 3" xfId="18494" xr:uid="{00000000-0005-0000-0000-000057520000}"/>
    <cellStyle name="40% - Accent1 7 3 3 2 4 3 2" xfId="44368" xr:uid="{00000000-0005-0000-0000-000058520000}"/>
    <cellStyle name="40% - Accent1 7 3 3 2 4 4" xfId="31452" xr:uid="{00000000-0005-0000-0000-000059520000}"/>
    <cellStyle name="40% - Accent1 7 3 3 2 5" xfId="8807" xr:uid="{00000000-0005-0000-0000-00005A520000}"/>
    <cellStyle name="40% - Accent1 7 3 3 2 5 2" xfId="21724" xr:uid="{00000000-0005-0000-0000-00005B520000}"/>
    <cellStyle name="40% - Accent1 7 3 3 2 5 2 2" xfId="47598" xr:uid="{00000000-0005-0000-0000-00005C520000}"/>
    <cellStyle name="40% - Accent1 7 3 3 2 5 3" xfId="34682" xr:uid="{00000000-0005-0000-0000-00005D520000}"/>
    <cellStyle name="40% - Accent1 7 3 3 2 6" xfId="15266" xr:uid="{00000000-0005-0000-0000-00005E520000}"/>
    <cellStyle name="40% - Accent1 7 3 3 2 6 2" xfId="41140" xr:uid="{00000000-0005-0000-0000-00005F520000}"/>
    <cellStyle name="40% - Accent1 7 3 3 2 7" xfId="28192" xr:uid="{00000000-0005-0000-0000-000060520000}"/>
    <cellStyle name="40% - Accent1 7 3 3 2 8" xfId="54054" xr:uid="{00000000-0005-0000-0000-000061520000}"/>
    <cellStyle name="40% - Accent1 7 3 3 3" xfId="2706" xr:uid="{00000000-0005-0000-0000-000062520000}"/>
    <cellStyle name="40% - Accent1 7 3 3 3 2" xfId="4363" xr:uid="{00000000-0005-0000-0000-000063520000}"/>
    <cellStyle name="40% - Accent1 7 3 3 3 2 2" xfId="7594" xr:uid="{00000000-0005-0000-0000-000064520000}"/>
    <cellStyle name="40% - Accent1 7 3 3 3 2 2 2" xfId="14053" xr:uid="{00000000-0005-0000-0000-000065520000}"/>
    <cellStyle name="40% - Accent1 7 3 3 3 2 2 2 2" xfId="26970" xr:uid="{00000000-0005-0000-0000-000066520000}"/>
    <cellStyle name="40% - Accent1 7 3 3 3 2 2 2 2 2" xfId="52844" xr:uid="{00000000-0005-0000-0000-000067520000}"/>
    <cellStyle name="40% - Accent1 7 3 3 3 2 2 2 3" xfId="39928" xr:uid="{00000000-0005-0000-0000-000068520000}"/>
    <cellStyle name="40% - Accent1 7 3 3 3 2 2 3" xfId="20512" xr:uid="{00000000-0005-0000-0000-000069520000}"/>
    <cellStyle name="40% - Accent1 7 3 3 3 2 2 3 2" xfId="46386" xr:uid="{00000000-0005-0000-0000-00006A520000}"/>
    <cellStyle name="40% - Accent1 7 3 3 3 2 2 4" xfId="33470" xr:uid="{00000000-0005-0000-0000-00006B520000}"/>
    <cellStyle name="40% - Accent1 7 3 3 3 2 3" xfId="10825" xr:uid="{00000000-0005-0000-0000-00006C520000}"/>
    <cellStyle name="40% - Accent1 7 3 3 3 2 3 2" xfId="23742" xr:uid="{00000000-0005-0000-0000-00006D520000}"/>
    <cellStyle name="40% - Accent1 7 3 3 3 2 3 2 2" xfId="49616" xr:uid="{00000000-0005-0000-0000-00006E520000}"/>
    <cellStyle name="40% - Accent1 7 3 3 3 2 3 3" xfId="36700" xr:uid="{00000000-0005-0000-0000-00006F520000}"/>
    <cellStyle name="40% - Accent1 7 3 3 3 2 4" xfId="17284" xr:uid="{00000000-0005-0000-0000-000070520000}"/>
    <cellStyle name="40% - Accent1 7 3 3 3 2 4 2" xfId="43158" xr:uid="{00000000-0005-0000-0000-000071520000}"/>
    <cellStyle name="40% - Accent1 7 3 3 3 2 5" xfId="30210" xr:uid="{00000000-0005-0000-0000-000072520000}"/>
    <cellStyle name="40% - Accent1 7 3 3 3 3" xfId="5980" xr:uid="{00000000-0005-0000-0000-000073520000}"/>
    <cellStyle name="40% - Accent1 7 3 3 3 3 2" xfId="12439" xr:uid="{00000000-0005-0000-0000-000074520000}"/>
    <cellStyle name="40% - Accent1 7 3 3 3 3 2 2" xfId="25356" xr:uid="{00000000-0005-0000-0000-000075520000}"/>
    <cellStyle name="40% - Accent1 7 3 3 3 3 2 2 2" xfId="51230" xr:uid="{00000000-0005-0000-0000-000076520000}"/>
    <cellStyle name="40% - Accent1 7 3 3 3 3 2 3" xfId="38314" xr:uid="{00000000-0005-0000-0000-000077520000}"/>
    <cellStyle name="40% - Accent1 7 3 3 3 3 3" xfId="18898" xr:uid="{00000000-0005-0000-0000-000078520000}"/>
    <cellStyle name="40% - Accent1 7 3 3 3 3 3 2" xfId="44772" xr:uid="{00000000-0005-0000-0000-000079520000}"/>
    <cellStyle name="40% - Accent1 7 3 3 3 3 4" xfId="31856" xr:uid="{00000000-0005-0000-0000-00007A520000}"/>
    <cellStyle name="40% - Accent1 7 3 3 3 4" xfId="9211" xr:uid="{00000000-0005-0000-0000-00007B520000}"/>
    <cellStyle name="40% - Accent1 7 3 3 3 4 2" xfId="22128" xr:uid="{00000000-0005-0000-0000-00007C520000}"/>
    <cellStyle name="40% - Accent1 7 3 3 3 4 2 2" xfId="48002" xr:uid="{00000000-0005-0000-0000-00007D520000}"/>
    <cellStyle name="40% - Accent1 7 3 3 3 4 3" xfId="35086" xr:uid="{00000000-0005-0000-0000-00007E520000}"/>
    <cellStyle name="40% - Accent1 7 3 3 3 5" xfId="15670" xr:uid="{00000000-0005-0000-0000-00007F520000}"/>
    <cellStyle name="40% - Accent1 7 3 3 3 5 2" xfId="41544" xr:uid="{00000000-0005-0000-0000-000080520000}"/>
    <cellStyle name="40% - Accent1 7 3 3 3 6" xfId="28596" xr:uid="{00000000-0005-0000-0000-000081520000}"/>
    <cellStyle name="40% - Accent1 7 3 3 4" xfId="3533" xr:uid="{00000000-0005-0000-0000-000082520000}"/>
    <cellStyle name="40% - Accent1 7 3 3 4 2" xfId="6787" xr:uid="{00000000-0005-0000-0000-000083520000}"/>
    <cellStyle name="40% - Accent1 7 3 3 4 2 2" xfId="13246" xr:uid="{00000000-0005-0000-0000-000084520000}"/>
    <cellStyle name="40% - Accent1 7 3 3 4 2 2 2" xfId="26163" xr:uid="{00000000-0005-0000-0000-000085520000}"/>
    <cellStyle name="40% - Accent1 7 3 3 4 2 2 2 2" xfId="52037" xr:uid="{00000000-0005-0000-0000-000086520000}"/>
    <cellStyle name="40% - Accent1 7 3 3 4 2 2 3" xfId="39121" xr:uid="{00000000-0005-0000-0000-000087520000}"/>
    <cellStyle name="40% - Accent1 7 3 3 4 2 3" xfId="19705" xr:uid="{00000000-0005-0000-0000-000088520000}"/>
    <cellStyle name="40% - Accent1 7 3 3 4 2 3 2" xfId="45579" xr:uid="{00000000-0005-0000-0000-000089520000}"/>
    <cellStyle name="40% - Accent1 7 3 3 4 2 4" xfId="32663" xr:uid="{00000000-0005-0000-0000-00008A520000}"/>
    <cellStyle name="40% - Accent1 7 3 3 4 3" xfId="10018" xr:uid="{00000000-0005-0000-0000-00008B520000}"/>
    <cellStyle name="40% - Accent1 7 3 3 4 3 2" xfId="22935" xr:uid="{00000000-0005-0000-0000-00008C520000}"/>
    <cellStyle name="40% - Accent1 7 3 3 4 3 2 2" xfId="48809" xr:uid="{00000000-0005-0000-0000-00008D520000}"/>
    <cellStyle name="40% - Accent1 7 3 3 4 3 3" xfId="35893" xr:uid="{00000000-0005-0000-0000-00008E520000}"/>
    <cellStyle name="40% - Accent1 7 3 3 4 4" xfId="16477" xr:uid="{00000000-0005-0000-0000-00008F520000}"/>
    <cellStyle name="40% - Accent1 7 3 3 4 4 2" xfId="42351" xr:uid="{00000000-0005-0000-0000-000090520000}"/>
    <cellStyle name="40% - Accent1 7 3 3 4 5" xfId="29403" xr:uid="{00000000-0005-0000-0000-000091520000}"/>
    <cellStyle name="40% - Accent1 7 3 3 5" xfId="5173" xr:uid="{00000000-0005-0000-0000-000092520000}"/>
    <cellStyle name="40% - Accent1 7 3 3 5 2" xfId="11632" xr:uid="{00000000-0005-0000-0000-000093520000}"/>
    <cellStyle name="40% - Accent1 7 3 3 5 2 2" xfId="24549" xr:uid="{00000000-0005-0000-0000-000094520000}"/>
    <cellStyle name="40% - Accent1 7 3 3 5 2 2 2" xfId="50423" xr:uid="{00000000-0005-0000-0000-000095520000}"/>
    <cellStyle name="40% - Accent1 7 3 3 5 2 3" xfId="37507" xr:uid="{00000000-0005-0000-0000-000096520000}"/>
    <cellStyle name="40% - Accent1 7 3 3 5 3" xfId="18091" xr:uid="{00000000-0005-0000-0000-000097520000}"/>
    <cellStyle name="40% - Accent1 7 3 3 5 3 2" xfId="43965" xr:uid="{00000000-0005-0000-0000-000098520000}"/>
    <cellStyle name="40% - Accent1 7 3 3 5 4" xfId="31049" xr:uid="{00000000-0005-0000-0000-000099520000}"/>
    <cellStyle name="40% - Accent1 7 3 3 6" xfId="8403" xr:uid="{00000000-0005-0000-0000-00009A520000}"/>
    <cellStyle name="40% - Accent1 7 3 3 6 2" xfId="21320" xr:uid="{00000000-0005-0000-0000-00009B520000}"/>
    <cellStyle name="40% - Accent1 7 3 3 6 2 2" xfId="47194" xr:uid="{00000000-0005-0000-0000-00009C520000}"/>
    <cellStyle name="40% - Accent1 7 3 3 6 3" xfId="34278" xr:uid="{00000000-0005-0000-0000-00009D520000}"/>
    <cellStyle name="40% - Accent1 7 3 3 7" xfId="14862" xr:uid="{00000000-0005-0000-0000-00009E520000}"/>
    <cellStyle name="40% - Accent1 7 3 3 7 2" xfId="40736" xr:uid="{00000000-0005-0000-0000-00009F520000}"/>
    <cellStyle name="40% - Accent1 7 3 3 8" xfId="27788" xr:uid="{00000000-0005-0000-0000-0000A0520000}"/>
    <cellStyle name="40% - Accent1 7 3 3 9" xfId="53651" xr:uid="{00000000-0005-0000-0000-0000A1520000}"/>
    <cellStyle name="40% - Accent1 7 3 4" xfId="2097" xr:uid="{00000000-0005-0000-0000-0000A2520000}"/>
    <cellStyle name="40% - Accent1 7 3 4 2" xfId="2913" xr:uid="{00000000-0005-0000-0000-0000A3520000}"/>
    <cellStyle name="40% - Accent1 7 3 4 2 2" xfId="4570" xr:uid="{00000000-0005-0000-0000-0000A4520000}"/>
    <cellStyle name="40% - Accent1 7 3 4 2 2 2" xfId="7801" xr:uid="{00000000-0005-0000-0000-0000A5520000}"/>
    <cellStyle name="40% - Accent1 7 3 4 2 2 2 2" xfId="14260" xr:uid="{00000000-0005-0000-0000-0000A6520000}"/>
    <cellStyle name="40% - Accent1 7 3 4 2 2 2 2 2" xfId="27177" xr:uid="{00000000-0005-0000-0000-0000A7520000}"/>
    <cellStyle name="40% - Accent1 7 3 4 2 2 2 2 2 2" xfId="53051" xr:uid="{00000000-0005-0000-0000-0000A8520000}"/>
    <cellStyle name="40% - Accent1 7 3 4 2 2 2 2 3" xfId="40135" xr:uid="{00000000-0005-0000-0000-0000A9520000}"/>
    <cellStyle name="40% - Accent1 7 3 4 2 2 2 3" xfId="20719" xr:uid="{00000000-0005-0000-0000-0000AA520000}"/>
    <cellStyle name="40% - Accent1 7 3 4 2 2 2 3 2" xfId="46593" xr:uid="{00000000-0005-0000-0000-0000AB520000}"/>
    <cellStyle name="40% - Accent1 7 3 4 2 2 2 4" xfId="33677" xr:uid="{00000000-0005-0000-0000-0000AC520000}"/>
    <cellStyle name="40% - Accent1 7 3 4 2 2 3" xfId="11032" xr:uid="{00000000-0005-0000-0000-0000AD520000}"/>
    <cellStyle name="40% - Accent1 7 3 4 2 2 3 2" xfId="23949" xr:uid="{00000000-0005-0000-0000-0000AE520000}"/>
    <cellStyle name="40% - Accent1 7 3 4 2 2 3 2 2" xfId="49823" xr:uid="{00000000-0005-0000-0000-0000AF520000}"/>
    <cellStyle name="40% - Accent1 7 3 4 2 2 3 3" xfId="36907" xr:uid="{00000000-0005-0000-0000-0000B0520000}"/>
    <cellStyle name="40% - Accent1 7 3 4 2 2 4" xfId="17491" xr:uid="{00000000-0005-0000-0000-0000B1520000}"/>
    <cellStyle name="40% - Accent1 7 3 4 2 2 4 2" xfId="43365" xr:uid="{00000000-0005-0000-0000-0000B2520000}"/>
    <cellStyle name="40% - Accent1 7 3 4 2 2 5" xfId="30417" xr:uid="{00000000-0005-0000-0000-0000B3520000}"/>
    <cellStyle name="40% - Accent1 7 3 4 2 3" xfId="6187" xr:uid="{00000000-0005-0000-0000-0000B4520000}"/>
    <cellStyle name="40% - Accent1 7 3 4 2 3 2" xfId="12646" xr:uid="{00000000-0005-0000-0000-0000B5520000}"/>
    <cellStyle name="40% - Accent1 7 3 4 2 3 2 2" xfId="25563" xr:uid="{00000000-0005-0000-0000-0000B6520000}"/>
    <cellStyle name="40% - Accent1 7 3 4 2 3 2 2 2" xfId="51437" xr:uid="{00000000-0005-0000-0000-0000B7520000}"/>
    <cellStyle name="40% - Accent1 7 3 4 2 3 2 3" xfId="38521" xr:uid="{00000000-0005-0000-0000-0000B8520000}"/>
    <cellStyle name="40% - Accent1 7 3 4 2 3 3" xfId="19105" xr:uid="{00000000-0005-0000-0000-0000B9520000}"/>
    <cellStyle name="40% - Accent1 7 3 4 2 3 3 2" xfId="44979" xr:uid="{00000000-0005-0000-0000-0000BA520000}"/>
    <cellStyle name="40% - Accent1 7 3 4 2 3 4" xfId="32063" xr:uid="{00000000-0005-0000-0000-0000BB520000}"/>
    <cellStyle name="40% - Accent1 7 3 4 2 4" xfId="9418" xr:uid="{00000000-0005-0000-0000-0000BC520000}"/>
    <cellStyle name="40% - Accent1 7 3 4 2 4 2" xfId="22335" xr:uid="{00000000-0005-0000-0000-0000BD520000}"/>
    <cellStyle name="40% - Accent1 7 3 4 2 4 2 2" xfId="48209" xr:uid="{00000000-0005-0000-0000-0000BE520000}"/>
    <cellStyle name="40% - Accent1 7 3 4 2 4 3" xfId="35293" xr:uid="{00000000-0005-0000-0000-0000BF520000}"/>
    <cellStyle name="40% - Accent1 7 3 4 2 5" xfId="15877" xr:uid="{00000000-0005-0000-0000-0000C0520000}"/>
    <cellStyle name="40% - Accent1 7 3 4 2 5 2" xfId="41751" xr:uid="{00000000-0005-0000-0000-0000C1520000}"/>
    <cellStyle name="40% - Accent1 7 3 4 2 6" xfId="28803" xr:uid="{00000000-0005-0000-0000-0000C2520000}"/>
    <cellStyle name="40% - Accent1 7 3 4 3" xfId="3740" xr:uid="{00000000-0005-0000-0000-0000C3520000}"/>
    <cellStyle name="40% - Accent1 7 3 4 3 2" xfId="6994" xr:uid="{00000000-0005-0000-0000-0000C4520000}"/>
    <cellStyle name="40% - Accent1 7 3 4 3 2 2" xfId="13453" xr:uid="{00000000-0005-0000-0000-0000C5520000}"/>
    <cellStyle name="40% - Accent1 7 3 4 3 2 2 2" xfId="26370" xr:uid="{00000000-0005-0000-0000-0000C6520000}"/>
    <cellStyle name="40% - Accent1 7 3 4 3 2 2 2 2" xfId="52244" xr:uid="{00000000-0005-0000-0000-0000C7520000}"/>
    <cellStyle name="40% - Accent1 7 3 4 3 2 2 3" xfId="39328" xr:uid="{00000000-0005-0000-0000-0000C8520000}"/>
    <cellStyle name="40% - Accent1 7 3 4 3 2 3" xfId="19912" xr:uid="{00000000-0005-0000-0000-0000C9520000}"/>
    <cellStyle name="40% - Accent1 7 3 4 3 2 3 2" xfId="45786" xr:uid="{00000000-0005-0000-0000-0000CA520000}"/>
    <cellStyle name="40% - Accent1 7 3 4 3 2 4" xfId="32870" xr:uid="{00000000-0005-0000-0000-0000CB520000}"/>
    <cellStyle name="40% - Accent1 7 3 4 3 3" xfId="10225" xr:uid="{00000000-0005-0000-0000-0000CC520000}"/>
    <cellStyle name="40% - Accent1 7 3 4 3 3 2" xfId="23142" xr:uid="{00000000-0005-0000-0000-0000CD520000}"/>
    <cellStyle name="40% - Accent1 7 3 4 3 3 2 2" xfId="49016" xr:uid="{00000000-0005-0000-0000-0000CE520000}"/>
    <cellStyle name="40% - Accent1 7 3 4 3 3 3" xfId="36100" xr:uid="{00000000-0005-0000-0000-0000CF520000}"/>
    <cellStyle name="40% - Accent1 7 3 4 3 4" xfId="16684" xr:uid="{00000000-0005-0000-0000-0000D0520000}"/>
    <cellStyle name="40% - Accent1 7 3 4 3 4 2" xfId="42558" xr:uid="{00000000-0005-0000-0000-0000D1520000}"/>
    <cellStyle name="40% - Accent1 7 3 4 3 5" xfId="29610" xr:uid="{00000000-0005-0000-0000-0000D2520000}"/>
    <cellStyle name="40% - Accent1 7 3 4 4" xfId="5380" xr:uid="{00000000-0005-0000-0000-0000D3520000}"/>
    <cellStyle name="40% - Accent1 7 3 4 4 2" xfId="11839" xr:uid="{00000000-0005-0000-0000-0000D4520000}"/>
    <cellStyle name="40% - Accent1 7 3 4 4 2 2" xfId="24756" xr:uid="{00000000-0005-0000-0000-0000D5520000}"/>
    <cellStyle name="40% - Accent1 7 3 4 4 2 2 2" xfId="50630" xr:uid="{00000000-0005-0000-0000-0000D6520000}"/>
    <cellStyle name="40% - Accent1 7 3 4 4 2 3" xfId="37714" xr:uid="{00000000-0005-0000-0000-0000D7520000}"/>
    <cellStyle name="40% - Accent1 7 3 4 4 3" xfId="18298" xr:uid="{00000000-0005-0000-0000-0000D8520000}"/>
    <cellStyle name="40% - Accent1 7 3 4 4 3 2" xfId="44172" xr:uid="{00000000-0005-0000-0000-0000D9520000}"/>
    <cellStyle name="40% - Accent1 7 3 4 4 4" xfId="31256" xr:uid="{00000000-0005-0000-0000-0000DA520000}"/>
    <cellStyle name="40% - Accent1 7 3 4 5" xfId="8611" xr:uid="{00000000-0005-0000-0000-0000DB520000}"/>
    <cellStyle name="40% - Accent1 7 3 4 5 2" xfId="21528" xr:uid="{00000000-0005-0000-0000-0000DC520000}"/>
    <cellStyle name="40% - Accent1 7 3 4 5 2 2" xfId="47402" xr:uid="{00000000-0005-0000-0000-0000DD520000}"/>
    <cellStyle name="40% - Accent1 7 3 4 5 3" xfId="34486" xr:uid="{00000000-0005-0000-0000-0000DE520000}"/>
    <cellStyle name="40% - Accent1 7 3 4 6" xfId="15070" xr:uid="{00000000-0005-0000-0000-0000DF520000}"/>
    <cellStyle name="40% - Accent1 7 3 4 6 2" xfId="40944" xr:uid="{00000000-0005-0000-0000-0000E0520000}"/>
    <cellStyle name="40% - Accent1 7 3 4 7" xfId="27996" xr:uid="{00000000-0005-0000-0000-0000E1520000}"/>
    <cellStyle name="40% - Accent1 7 3 4 8" xfId="53858" xr:uid="{00000000-0005-0000-0000-0000E2520000}"/>
    <cellStyle name="40% - Accent1 7 3 5" xfId="2511" xr:uid="{00000000-0005-0000-0000-0000E3520000}"/>
    <cellStyle name="40% - Accent1 7 3 5 2" xfId="4168" xr:uid="{00000000-0005-0000-0000-0000E4520000}"/>
    <cellStyle name="40% - Accent1 7 3 5 2 2" xfId="7399" xr:uid="{00000000-0005-0000-0000-0000E5520000}"/>
    <cellStyle name="40% - Accent1 7 3 5 2 2 2" xfId="13858" xr:uid="{00000000-0005-0000-0000-0000E6520000}"/>
    <cellStyle name="40% - Accent1 7 3 5 2 2 2 2" xfId="26775" xr:uid="{00000000-0005-0000-0000-0000E7520000}"/>
    <cellStyle name="40% - Accent1 7 3 5 2 2 2 2 2" xfId="52649" xr:uid="{00000000-0005-0000-0000-0000E8520000}"/>
    <cellStyle name="40% - Accent1 7 3 5 2 2 2 3" xfId="39733" xr:uid="{00000000-0005-0000-0000-0000E9520000}"/>
    <cellStyle name="40% - Accent1 7 3 5 2 2 3" xfId="20317" xr:uid="{00000000-0005-0000-0000-0000EA520000}"/>
    <cellStyle name="40% - Accent1 7 3 5 2 2 3 2" xfId="46191" xr:uid="{00000000-0005-0000-0000-0000EB520000}"/>
    <cellStyle name="40% - Accent1 7 3 5 2 2 4" xfId="33275" xr:uid="{00000000-0005-0000-0000-0000EC520000}"/>
    <cellStyle name="40% - Accent1 7 3 5 2 3" xfId="10630" xr:uid="{00000000-0005-0000-0000-0000ED520000}"/>
    <cellStyle name="40% - Accent1 7 3 5 2 3 2" xfId="23547" xr:uid="{00000000-0005-0000-0000-0000EE520000}"/>
    <cellStyle name="40% - Accent1 7 3 5 2 3 2 2" xfId="49421" xr:uid="{00000000-0005-0000-0000-0000EF520000}"/>
    <cellStyle name="40% - Accent1 7 3 5 2 3 3" xfId="36505" xr:uid="{00000000-0005-0000-0000-0000F0520000}"/>
    <cellStyle name="40% - Accent1 7 3 5 2 4" xfId="17089" xr:uid="{00000000-0005-0000-0000-0000F1520000}"/>
    <cellStyle name="40% - Accent1 7 3 5 2 4 2" xfId="42963" xr:uid="{00000000-0005-0000-0000-0000F2520000}"/>
    <cellStyle name="40% - Accent1 7 3 5 2 5" xfId="30015" xr:uid="{00000000-0005-0000-0000-0000F3520000}"/>
    <cellStyle name="40% - Accent1 7 3 5 3" xfId="5785" xr:uid="{00000000-0005-0000-0000-0000F4520000}"/>
    <cellStyle name="40% - Accent1 7 3 5 3 2" xfId="12244" xr:uid="{00000000-0005-0000-0000-0000F5520000}"/>
    <cellStyle name="40% - Accent1 7 3 5 3 2 2" xfId="25161" xr:uid="{00000000-0005-0000-0000-0000F6520000}"/>
    <cellStyle name="40% - Accent1 7 3 5 3 2 2 2" xfId="51035" xr:uid="{00000000-0005-0000-0000-0000F7520000}"/>
    <cellStyle name="40% - Accent1 7 3 5 3 2 3" xfId="38119" xr:uid="{00000000-0005-0000-0000-0000F8520000}"/>
    <cellStyle name="40% - Accent1 7 3 5 3 3" xfId="18703" xr:uid="{00000000-0005-0000-0000-0000F9520000}"/>
    <cellStyle name="40% - Accent1 7 3 5 3 3 2" xfId="44577" xr:uid="{00000000-0005-0000-0000-0000FA520000}"/>
    <cellStyle name="40% - Accent1 7 3 5 3 4" xfId="31661" xr:uid="{00000000-0005-0000-0000-0000FB520000}"/>
    <cellStyle name="40% - Accent1 7 3 5 4" xfId="9016" xr:uid="{00000000-0005-0000-0000-0000FC520000}"/>
    <cellStyle name="40% - Accent1 7 3 5 4 2" xfId="21933" xr:uid="{00000000-0005-0000-0000-0000FD520000}"/>
    <cellStyle name="40% - Accent1 7 3 5 4 2 2" xfId="47807" xr:uid="{00000000-0005-0000-0000-0000FE520000}"/>
    <cellStyle name="40% - Accent1 7 3 5 4 3" xfId="34891" xr:uid="{00000000-0005-0000-0000-0000FF520000}"/>
    <cellStyle name="40% - Accent1 7 3 5 5" xfId="15475" xr:uid="{00000000-0005-0000-0000-000000530000}"/>
    <cellStyle name="40% - Accent1 7 3 5 5 2" xfId="41349" xr:uid="{00000000-0005-0000-0000-000001530000}"/>
    <cellStyle name="40% - Accent1 7 3 5 6" xfId="28401" xr:uid="{00000000-0005-0000-0000-000002530000}"/>
    <cellStyle name="40% - Accent1 7 3 6" xfId="3331" xr:uid="{00000000-0005-0000-0000-000003530000}"/>
    <cellStyle name="40% - Accent1 7 3 6 2" xfId="6592" xr:uid="{00000000-0005-0000-0000-000004530000}"/>
    <cellStyle name="40% - Accent1 7 3 6 2 2" xfId="13051" xr:uid="{00000000-0005-0000-0000-000005530000}"/>
    <cellStyle name="40% - Accent1 7 3 6 2 2 2" xfId="25968" xr:uid="{00000000-0005-0000-0000-000006530000}"/>
    <cellStyle name="40% - Accent1 7 3 6 2 2 2 2" xfId="51842" xr:uid="{00000000-0005-0000-0000-000007530000}"/>
    <cellStyle name="40% - Accent1 7 3 6 2 2 3" xfId="38926" xr:uid="{00000000-0005-0000-0000-000008530000}"/>
    <cellStyle name="40% - Accent1 7 3 6 2 3" xfId="19510" xr:uid="{00000000-0005-0000-0000-000009530000}"/>
    <cellStyle name="40% - Accent1 7 3 6 2 3 2" xfId="45384" xr:uid="{00000000-0005-0000-0000-00000A530000}"/>
    <cellStyle name="40% - Accent1 7 3 6 2 4" xfId="32468" xr:uid="{00000000-0005-0000-0000-00000B530000}"/>
    <cellStyle name="40% - Accent1 7 3 6 3" xfId="9823" xr:uid="{00000000-0005-0000-0000-00000C530000}"/>
    <cellStyle name="40% - Accent1 7 3 6 3 2" xfId="22740" xr:uid="{00000000-0005-0000-0000-00000D530000}"/>
    <cellStyle name="40% - Accent1 7 3 6 3 2 2" xfId="48614" xr:uid="{00000000-0005-0000-0000-00000E530000}"/>
    <cellStyle name="40% - Accent1 7 3 6 3 3" xfId="35698" xr:uid="{00000000-0005-0000-0000-00000F530000}"/>
    <cellStyle name="40% - Accent1 7 3 6 4" xfId="16282" xr:uid="{00000000-0005-0000-0000-000010530000}"/>
    <cellStyle name="40% - Accent1 7 3 6 4 2" xfId="42156" xr:uid="{00000000-0005-0000-0000-000011530000}"/>
    <cellStyle name="40% - Accent1 7 3 6 5" xfId="29208" xr:uid="{00000000-0005-0000-0000-000012530000}"/>
    <cellStyle name="40% - Accent1 7 3 7" xfId="4978" xr:uid="{00000000-0005-0000-0000-000013530000}"/>
    <cellStyle name="40% - Accent1 7 3 7 2" xfId="11437" xr:uid="{00000000-0005-0000-0000-000014530000}"/>
    <cellStyle name="40% - Accent1 7 3 7 2 2" xfId="24354" xr:uid="{00000000-0005-0000-0000-000015530000}"/>
    <cellStyle name="40% - Accent1 7 3 7 2 2 2" xfId="50228" xr:uid="{00000000-0005-0000-0000-000016530000}"/>
    <cellStyle name="40% - Accent1 7 3 7 2 3" xfId="37312" xr:uid="{00000000-0005-0000-0000-000017530000}"/>
    <cellStyle name="40% - Accent1 7 3 7 3" xfId="17896" xr:uid="{00000000-0005-0000-0000-000018530000}"/>
    <cellStyle name="40% - Accent1 7 3 7 3 2" xfId="43770" xr:uid="{00000000-0005-0000-0000-000019530000}"/>
    <cellStyle name="40% - Accent1 7 3 7 4" xfId="30854" xr:uid="{00000000-0005-0000-0000-00001A530000}"/>
    <cellStyle name="40% - Accent1 7 3 8" xfId="8209" xr:uid="{00000000-0005-0000-0000-00001B530000}"/>
    <cellStyle name="40% - Accent1 7 3 8 2" xfId="21126" xr:uid="{00000000-0005-0000-0000-00001C530000}"/>
    <cellStyle name="40% - Accent1 7 3 8 2 2" xfId="47000" xr:uid="{00000000-0005-0000-0000-00001D530000}"/>
    <cellStyle name="40% - Accent1 7 3 8 3" xfId="34084" xr:uid="{00000000-0005-0000-0000-00001E530000}"/>
    <cellStyle name="40% - Accent1 7 3 9" xfId="14668" xr:uid="{00000000-0005-0000-0000-00001F530000}"/>
    <cellStyle name="40% - Accent1 7 3 9 2" xfId="40542" xr:uid="{00000000-0005-0000-0000-000020530000}"/>
    <cellStyle name="40% - Accent1 7 4" xfId="1096" xr:uid="{00000000-0005-0000-0000-000021530000}"/>
    <cellStyle name="40% - Accent1 8" xfId="1508" xr:uid="{00000000-0005-0000-0000-000022530000}"/>
    <cellStyle name="40% - Accent1 9" xfId="1426" xr:uid="{00000000-0005-0000-0000-000023530000}"/>
    <cellStyle name="40% - Accent2 10" xfId="676" xr:uid="{00000000-0005-0000-0000-000024530000}"/>
    <cellStyle name="40% - Accent2 10 10" xfId="53477" xr:uid="{00000000-0005-0000-0000-000025530000}"/>
    <cellStyle name="40% - Accent2 10 11" xfId="1529" xr:uid="{00000000-0005-0000-0000-000026530000}"/>
    <cellStyle name="40% - Accent2 10 2" xfId="1886" xr:uid="{00000000-0005-0000-0000-000027530000}"/>
    <cellStyle name="40% - Accent2 10 2 2" xfId="2317" xr:uid="{00000000-0005-0000-0000-000028530000}"/>
    <cellStyle name="40% - Accent2 10 2 2 2" xfId="3130" xr:uid="{00000000-0005-0000-0000-000029530000}"/>
    <cellStyle name="40% - Accent2 10 2 2 2 2" xfId="4787" xr:uid="{00000000-0005-0000-0000-00002A530000}"/>
    <cellStyle name="40% - Accent2 10 2 2 2 2 2" xfId="8018" xr:uid="{00000000-0005-0000-0000-00002B530000}"/>
    <cellStyle name="40% - Accent2 10 2 2 2 2 2 2" xfId="14477" xr:uid="{00000000-0005-0000-0000-00002C530000}"/>
    <cellStyle name="40% - Accent2 10 2 2 2 2 2 2 2" xfId="27394" xr:uid="{00000000-0005-0000-0000-00002D530000}"/>
    <cellStyle name="40% - Accent2 10 2 2 2 2 2 2 2 2" xfId="53268" xr:uid="{00000000-0005-0000-0000-00002E530000}"/>
    <cellStyle name="40% - Accent2 10 2 2 2 2 2 2 3" xfId="40352" xr:uid="{00000000-0005-0000-0000-00002F530000}"/>
    <cellStyle name="40% - Accent2 10 2 2 2 2 2 3" xfId="20936" xr:uid="{00000000-0005-0000-0000-000030530000}"/>
    <cellStyle name="40% - Accent2 10 2 2 2 2 2 3 2" xfId="46810" xr:uid="{00000000-0005-0000-0000-000031530000}"/>
    <cellStyle name="40% - Accent2 10 2 2 2 2 2 4" xfId="33894" xr:uid="{00000000-0005-0000-0000-000032530000}"/>
    <cellStyle name="40% - Accent2 10 2 2 2 2 3" xfId="11249" xr:uid="{00000000-0005-0000-0000-000033530000}"/>
    <cellStyle name="40% - Accent2 10 2 2 2 2 3 2" xfId="24166" xr:uid="{00000000-0005-0000-0000-000034530000}"/>
    <cellStyle name="40% - Accent2 10 2 2 2 2 3 2 2" xfId="50040" xr:uid="{00000000-0005-0000-0000-000035530000}"/>
    <cellStyle name="40% - Accent2 10 2 2 2 2 3 3" xfId="37124" xr:uid="{00000000-0005-0000-0000-000036530000}"/>
    <cellStyle name="40% - Accent2 10 2 2 2 2 4" xfId="17708" xr:uid="{00000000-0005-0000-0000-000037530000}"/>
    <cellStyle name="40% - Accent2 10 2 2 2 2 4 2" xfId="43582" xr:uid="{00000000-0005-0000-0000-000038530000}"/>
    <cellStyle name="40% - Accent2 10 2 2 2 2 5" xfId="30634" xr:uid="{00000000-0005-0000-0000-000039530000}"/>
    <cellStyle name="40% - Accent2 10 2 2 2 3" xfId="6404" xr:uid="{00000000-0005-0000-0000-00003A530000}"/>
    <cellStyle name="40% - Accent2 10 2 2 2 3 2" xfId="12863" xr:uid="{00000000-0005-0000-0000-00003B530000}"/>
    <cellStyle name="40% - Accent2 10 2 2 2 3 2 2" xfId="25780" xr:uid="{00000000-0005-0000-0000-00003C530000}"/>
    <cellStyle name="40% - Accent2 10 2 2 2 3 2 2 2" xfId="51654" xr:uid="{00000000-0005-0000-0000-00003D530000}"/>
    <cellStyle name="40% - Accent2 10 2 2 2 3 2 3" xfId="38738" xr:uid="{00000000-0005-0000-0000-00003E530000}"/>
    <cellStyle name="40% - Accent2 10 2 2 2 3 3" xfId="19322" xr:uid="{00000000-0005-0000-0000-00003F530000}"/>
    <cellStyle name="40% - Accent2 10 2 2 2 3 3 2" xfId="45196" xr:uid="{00000000-0005-0000-0000-000040530000}"/>
    <cellStyle name="40% - Accent2 10 2 2 2 3 4" xfId="32280" xr:uid="{00000000-0005-0000-0000-000041530000}"/>
    <cellStyle name="40% - Accent2 10 2 2 2 4" xfId="9635" xr:uid="{00000000-0005-0000-0000-000042530000}"/>
    <cellStyle name="40% - Accent2 10 2 2 2 4 2" xfId="22552" xr:uid="{00000000-0005-0000-0000-000043530000}"/>
    <cellStyle name="40% - Accent2 10 2 2 2 4 2 2" xfId="48426" xr:uid="{00000000-0005-0000-0000-000044530000}"/>
    <cellStyle name="40% - Accent2 10 2 2 2 4 3" xfId="35510" xr:uid="{00000000-0005-0000-0000-000045530000}"/>
    <cellStyle name="40% - Accent2 10 2 2 2 5" xfId="16094" xr:uid="{00000000-0005-0000-0000-000046530000}"/>
    <cellStyle name="40% - Accent2 10 2 2 2 5 2" xfId="41968" xr:uid="{00000000-0005-0000-0000-000047530000}"/>
    <cellStyle name="40% - Accent2 10 2 2 2 6" xfId="29020" xr:uid="{00000000-0005-0000-0000-000048530000}"/>
    <cellStyle name="40% - Accent2 10 2 2 3" xfId="3957" xr:uid="{00000000-0005-0000-0000-000049530000}"/>
    <cellStyle name="40% - Accent2 10 2 2 3 2" xfId="7211" xr:uid="{00000000-0005-0000-0000-00004A530000}"/>
    <cellStyle name="40% - Accent2 10 2 2 3 2 2" xfId="13670" xr:uid="{00000000-0005-0000-0000-00004B530000}"/>
    <cellStyle name="40% - Accent2 10 2 2 3 2 2 2" xfId="26587" xr:uid="{00000000-0005-0000-0000-00004C530000}"/>
    <cellStyle name="40% - Accent2 10 2 2 3 2 2 2 2" xfId="52461" xr:uid="{00000000-0005-0000-0000-00004D530000}"/>
    <cellStyle name="40% - Accent2 10 2 2 3 2 2 3" xfId="39545" xr:uid="{00000000-0005-0000-0000-00004E530000}"/>
    <cellStyle name="40% - Accent2 10 2 2 3 2 3" xfId="20129" xr:uid="{00000000-0005-0000-0000-00004F530000}"/>
    <cellStyle name="40% - Accent2 10 2 2 3 2 3 2" xfId="46003" xr:uid="{00000000-0005-0000-0000-000050530000}"/>
    <cellStyle name="40% - Accent2 10 2 2 3 2 4" xfId="33087" xr:uid="{00000000-0005-0000-0000-000051530000}"/>
    <cellStyle name="40% - Accent2 10 2 2 3 3" xfId="10442" xr:uid="{00000000-0005-0000-0000-000052530000}"/>
    <cellStyle name="40% - Accent2 10 2 2 3 3 2" xfId="23359" xr:uid="{00000000-0005-0000-0000-000053530000}"/>
    <cellStyle name="40% - Accent2 10 2 2 3 3 2 2" xfId="49233" xr:uid="{00000000-0005-0000-0000-000054530000}"/>
    <cellStyle name="40% - Accent2 10 2 2 3 3 3" xfId="36317" xr:uid="{00000000-0005-0000-0000-000055530000}"/>
    <cellStyle name="40% - Accent2 10 2 2 3 4" xfId="16901" xr:uid="{00000000-0005-0000-0000-000056530000}"/>
    <cellStyle name="40% - Accent2 10 2 2 3 4 2" xfId="42775" xr:uid="{00000000-0005-0000-0000-000057530000}"/>
    <cellStyle name="40% - Accent2 10 2 2 3 5" xfId="29827" xr:uid="{00000000-0005-0000-0000-000058530000}"/>
    <cellStyle name="40% - Accent2 10 2 2 4" xfId="5597" xr:uid="{00000000-0005-0000-0000-000059530000}"/>
    <cellStyle name="40% - Accent2 10 2 2 4 2" xfId="12056" xr:uid="{00000000-0005-0000-0000-00005A530000}"/>
    <cellStyle name="40% - Accent2 10 2 2 4 2 2" xfId="24973" xr:uid="{00000000-0005-0000-0000-00005B530000}"/>
    <cellStyle name="40% - Accent2 10 2 2 4 2 2 2" xfId="50847" xr:uid="{00000000-0005-0000-0000-00005C530000}"/>
    <cellStyle name="40% - Accent2 10 2 2 4 2 3" xfId="37931" xr:uid="{00000000-0005-0000-0000-00005D530000}"/>
    <cellStyle name="40% - Accent2 10 2 2 4 3" xfId="18515" xr:uid="{00000000-0005-0000-0000-00005E530000}"/>
    <cellStyle name="40% - Accent2 10 2 2 4 3 2" xfId="44389" xr:uid="{00000000-0005-0000-0000-00005F530000}"/>
    <cellStyle name="40% - Accent2 10 2 2 4 4" xfId="31473" xr:uid="{00000000-0005-0000-0000-000060530000}"/>
    <cellStyle name="40% - Accent2 10 2 2 5" xfId="8828" xr:uid="{00000000-0005-0000-0000-000061530000}"/>
    <cellStyle name="40% - Accent2 10 2 2 5 2" xfId="21745" xr:uid="{00000000-0005-0000-0000-000062530000}"/>
    <cellStyle name="40% - Accent2 10 2 2 5 2 2" xfId="47619" xr:uid="{00000000-0005-0000-0000-000063530000}"/>
    <cellStyle name="40% - Accent2 10 2 2 5 3" xfId="34703" xr:uid="{00000000-0005-0000-0000-000064530000}"/>
    <cellStyle name="40% - Accent2 10 2 2 6" xfId="15287" xr:uid="{00000000-0005-0000-0000-000065530000}"/>
    <cellStyle name="40% - Accent2 10 2 2 6 2" xfId="41161" xr:uid="{00000000-0005-0000-0000-000066530000}"/>
    <cellStyle name="40% - Accent2 10 2 2 7" xfId="28213" xr:uid="{00000000-0005-0000-0000-000067530000}"/>
    <cellStyle name="40% - Accent2 10 2 2 8" xfId="54075" xr:uid="{00000000-0005-0000-0000-000068530000}"/>
    <cellStyle name="40% - Accent2 10 2 3" xfId="2726" xr:uid="{00000000-0005-0000-0000-000069530000}"/>
    <cellStyle name="40% - Accent2 10 2 3 2" xfId="4383" xr:uid="{00000000-0005-0000-0000-00006A530000}"/>
    <cellStyle name="40% - Accent2 10 2 3 2 2" xfId="7614" xr:uid="{00000000-0005-0000-0000-00006B530000}"/>
    <cellStyle name="40% - Accent2 10 2 3 2 2 2" xfId="14073" xr:uid="{00000000-0005-0000-0000-00006C530000}"/>
    <cellStyle name="40% - Accent2 10 2 3 2 2 2 2" xfId="26990" xr:uid="{00000000-0005-0000-0000-00006D530000}"/>
    <cellStyle name="40% - Accent2 10 2 3 2 2 2 2 2" xfId="52864" xr:uid="{00000000-0005-0000-0000-00006E530000}"/>
    <cellStyle name="40% - Accent2 10 2 3 2 2 2 3" xfId="39948" xr:uid="{00000000-0005-0000-0000-00006F530000}"/>
    <cellStyle name="40% - Accent2 10 2 3 2 2 3" xfId="20532" xr:uid="{00000000-0005-0000-0000-000070530000}"/>
    <cellStyle name="40% - Accent2 10 2 3 2 2 3 2" xfId="46406" xr:uid="{00000000-0005-0000-0000-000071530000}"/>
    <cellStyle name="40% - Accent2 10 2 3 2 2 4" xfId="33490" xr:uid="{00000000-0005-0000-0000-000072530000}"/>
    <cellStyle name="40% - Accent2 10 2 3 2 3" xfId="10845" xr:uid="{00000000-0005-0000-0000-000073530000}"/>
    <cellStyle name="40% - Accent2 10 2 3 2 3 2" xfId="23762" xr:uid="{00000000-0005-0000-0000-000074530000}"/>
    <cellStyle name="40% - Accent2 10 2 3 2 3 2 2" xfId="49636" xr:uid="{00000000-0005-0000-0000-000075530000}"/>
    <cellStyle name="40% - Accent2 10 2 3 2 3 3" xfId="36720" xr:uid="{00000000-0005-0000-0000-000076530000}"/>
    <cellStyle name="40% - Accent2 10 2 3 2 4" xfId="17304" xr:uid="{00000000-0005-0000-0000-000077530000}"/>
    <cellStyle name="40% - Accent2 10 2 3 2 4 2" xfId="43178" xr:uid="{00000000-0005-0000-0000-000078530000}"/>
    <cellStyle name="40% - Accent2 10 2 3 2 5" xfId="30230" xr:uid="{00000000-0005-0000-0000-000079530000}"/>
    <cellStyle name="40% - Accent2 10 2 3 3" xfId="6000" xr:uid="{00000000-0005-0000-0000-00007A530000}"/>
    <cellStyle name="40% - Accent2 10 2 3 3 2" xfId="12459" xr:uid="{00000000-0005-0000-0000-00007B530000}"/>
    <cellStyle name="40% - Accent2 10 2 3 3 2 2" xfId="25376" xr:uid="{00000000-0005-0000-0000-00007C530000}"/>
    <cellStyle name="40% - Accent2 10 2 3 3 2 2 2" xfId="51250" xr:uid="{00000000-0005-0000-0000-00007D530000}"/>
    <cellStyle name="40% - Accent2 10 2 3 3 2 3" xfId="38334" xr:uid="{00000000-0005-0000-0000-00007E530000}"/>
    <cellStyle name="40% - Accent2 10 2 3 3 3" xfId="18918" xr:uid="{00000000-0005-0000-0000-00007F530000}"/>
    <cellStyle name="40% - Accent2 10 2 3 3 3 2" xfId="44792" xr:uid="{00000000-0005-0000-0000-000080530000}"/>
    <cellStyle name="40% - Accent2 10 2 3 3 4" xfId="31876" xr:uid="{00000000-0005-0000-0000-000081530000}"/>
    <cellStyle name="40% - Accent2 10 2 3 4" xfId="9231" xr:uid="{00000000-0005-0000-0000-000082530000}"/>
    <cellStyle name="40% - Accent2 10 2 3 4 2" xfId="22148" xr:uid="{00000000-0005-0000-0000-000083530000}"/>
    <cellStyle name="40% - Accent2 10 2 3 4 2 2" xfId="48022" xr:uid="{00000000-0005-0000-0000-000084530000}"/>
    <cellStyle name="40% - Accent2 10 2 3 4 3" xfId="35106" xr:uid="{00000000-0005-0000-0000-000085530000}"/>
    <cellStyle name="40% - Accent2 10 2 3 5" xfId="15690" xr:uid="{00000000-0005-0000-0000-000086530000}"/>
    <cellStyle name="40% - Accent2 10 2 3 5 2" xfId="41564" xr:uid="{00000000-0005-0000-0000-000087530000}"/>
    <cellStyle name="40% - Accent2 10 2 3 6" xfId="28616" xr:uid="{00000000-0005-0000-0000-000088530000}"/>
    <cellStyle name="40% - Accent2 10 2 4" xfId="3553" xr:uid="{00000000-0005-0000-0000-000089530000}"/>
    <cellStyle name="40% - Accent2 10 2 4 2" xfId="6807" xr:uid="{00000000-0005-0000-0000-00008A530000}"/>
    <cellStyle name="40% - Accent2 10 2 4 2 2" xfId="13266" xr:uid="{00000000-0005-0000-0000-00008B530000}"/>
    <cellStyle name="40% - Accent2 10 2 4 2 2 2" xfId="26183" xr:uid="{00000000-0005-0000-0000-00008C530000}"/>
    <cellStyle name="40% - Accent2 10 2 4 2 2 2 2" xfId="52057" xr:uid="{00000000-0005-0000-0000-00008D530000}"/>
    <cellStyle name="40% - Accent2 10 2 4 2 2 3" xfId="39141" xr:uid="{00000000-0005-0000-0000-00008E530000}"/>
    <cellStyle name="40% - Accent2 10 2 4 2 3" xfId="19725" xr:uid="{00000000-0005-0000-0000-00008F530000}"/>
    <cellStyle name="40% - Accent2 10 2 4 2 3 2" xfId="45599" xr:uid="{00000000-0005-0000-0000-000090530000}"/>
    <cellStyle name="40% - Accent2 10 2 4 2 4" xfId="32683" xr:uid="{00000000-0005-0000-0000-000091530000}"/>
    <cellStyle name="40% - Accent2 10 2 4 3" xfId="10038" xr:uid="{00000000-0005-0000-0000-000092530000}"/>
    <cellStyle name="40% - Accent2 10 2 4 3 2" xfId="22955" xr:uid="{00000000-0005-0000-0000-000093530000}"/>
    <cellStyle name="40% - Accent2 10 2 4 3 2 2" xfId="48829" xr:uid="{00000000-0005-0000-0000-000094530000}"/>
    <cellStyle name="40% - Accent2 10 2 4 3 3" xfId="35913" xr:uid="{00000000-0005-0000-0000-000095530000}"/>
    <cellStyle name="40% - Accent2 10 2 4 4" xfId="16497" xr:uid="{00000000-0005-0000-0000-000096530000}"/>
    <cellStyle name="40% - Accent2 10 2 4 4 2" xfId="42371" xr:uid="{00000000-0005-0000-0000-000097530000}"/>
    <cellStyle name="40% - Accent2 10 2 4 5" xfId="29423" xr:uid="{00000000-0005-0000-0000-000098530000}"/>
    <cellStyle name="40% - Accent2 10 2 5" xfId="5193" xr:uid="{00000000-0005-0000-0000-000099530000}"/>
    <cellStyle name="40% - Accent2 10 2 5 2" xfId="11652" xr:uid="{00000000-0005-0000-0000-00009A530000}"/>
    <cellStyle name="40% - Accent2 10 2 5 2 2" xfId="24569" xr:uid="{00000000-0005-0000-0000-00009B530000}"/>
    <cellStyle name="40% - Accent2 10 2 5 2 2 2" xfId="50443" xr:uid="{00000000-0005-0000-0000-00009C530000}"/>
    <cellStyle name="40% - Accent2 10 2 5 2 3" xfId="37527" xr:uid="{00000000-0005-0000-0000-00009D530000}"/>
    <cellStyle name="40% - Accent2 10 2 5 3" xfId="18111" xr:uid="{00000000-0005-0000-0000-00009E530000}"/>
    <cellStyle name="40% - Accent2 10 2 5 3 2" xfId="43985" xr:uid="{00000000-0005-0000-0000-00009F530000}"/>
    <cellStyle name="40% - Accent2 10 2 5 4" xfId="31069" xr:uid="{00000000-0005-0000-0000-0000A0530000}"/>
    <cellStyle name="40% - Accent2 10 2 6" xfId="8424" xr:uid="{00000000-0005-0000-0000-0000A1530000}"/>
    <cellStyle name="40% - Accent2 10 2 6 2" xfId="21341" xr:uid="{00000000-0005-0000-0000-0000A2530000}"/>
    <cellStyle name="40% - Accent2 10 2 6 2 2" xfId="47215" xr:uid="{00000000-0005-0000-0000-0000A3530000}"/>
    <cellStyle name="40% - Accent2 10 2 6 3" xfId="34299" xr:uid="{00000000-0005-0000-0000-0000A4530000}"/>
    <cellStyle name="40% - Accent2 10 2 7" xfId="14883" xr:uid="{00000000-0005-0000-0000-0000A5530000}"/>
    <cellStyle name="40% - Accent2 10 2 7 2" xfId="40757" xr:uid="{00000000-0005-0000-0000-0000A6530000}"/>
    <cellStyle name="40% - Accent2 10 2 8" xfId="27808" xr:uid="{00000000-0005-0000-0000-0000A7530000}"/>
    <cellStyle name="40% - Accent2 10 2 9" xfId="53671" xr:uid="{00000000-0005-0000-0000-0000A8530000}"/>
    <cellStyle name="40% - Accent2 10 3" xfId="2121" xr:uid="{00000000-0005-0000-0000-0000A9530000}"/>
    <cellStyle name="40% - Accent2 10 3 2" xfId="2935" xr:uid="{00000000-0005-0000-0000-0000AA530000}"/>
    <cellStyle name="40% - Accent2 10 3 2 2" xfId="4592" xr:uid="{00000000-0005-0000-0000-0000AB530000}"/>
    <cellStyle name="40% - Accent2 10 3 2 2 2" xfId="7823" xr:uid="{00000000-0005-0000-0000-0000AC530000}"/>
    <cellStyle name="40% - Accent2 10 3 2 2 2 2" xfId="14282" xr:uid="{00000000-0005-0000-0000-0000AD530000}"/>
    <cellStyle name="40% - Accent2 10 3 2 2 2 2 2" xfId="27199" xr:uid="{00000000-0005-0000-0000-0000AE530000}"/>
    <cellStyle name="40% - Accent2 10 3 2 2 2 2 2 2" xfId="53073" xr:uid="{00000000-0005-0000-0000-0000AF530000}"/>
    <cellStyle name="40% - Accent2 10 3 2 2 2 2 3" xfId="40157" xr:uid="{00000000-0005-0000-0000-0000B0530000}"/>
    <cellStyle name="40% - Accent2 10 3 2 2 2 3" xfId="20741" xr:uid="{00000000-0005-0000-0000-0000B1530000}"/>
    <cellStyle name="40% - Accent2 10 3 2 2 2 3 2" xfId="46615" xr:uid="{00000000-0005-0000-0000-0000B2530000}"/>
    <cellStyle name="40% - Accent2 10 3 2 2 2 4" xfId="33699" xr:uid="{00000000-0005-0000-0000-0000B3530000}"/>
    <cellStyle name="40% - Accent2 10 3 2 2 3" xfId="11054" xr:uid="{00000000-0005-0000-0000-0000B4530000}"/>
    <cellStyle name="40% - Accent2 10 3 2 2 3 2" xfId="23971" xr:uid="{00000000-0005-0000-0000-0000B5530000}"/>
    <cellStyle name="40% - Accent2 10 3 2 2 3 2 2" xfId="49845" xr:uid="{00000000-0005-0000-0000-0000B6530000}"/>
    <cellStyle name="40% - Accent2 10 3 2 2 3 3" xfId="36929" xr:uid="{00000000-0005-0000-0000-0000B7530000}"/>
    <cellStyle name="40% - Accent2 10 3 2 2 4" xfId="17513" xr:uid="{00000000-0005-0000-0000-0000B8530000}"/>
    <cellStyle name="40% - Accent2 10 3 2 2 4 2" xfId="43387" xr:uid="{00000000-0005-0000-0000-0000B9530000}"/>
    <cellStyle name="40% - Accent2 10 3 2 2 5" xfId="30439" xr:uid="{00000000-0005-0000-0000-0000BA530000}"/>
    <cellStyle name="40% - Accent2 10 3 2 3" xfId="6209" xr:uid="{00000000-0005-0000-0000-0000BB530000}"/>
    <cellStyle name="40% - Accent2 10 3 2 3 2" xfId="12668" xr:uid="{00000000-0005-0000-0000-0000BC530000}"/>
    <cellStyle name="40% - Accent2 10 3 2 3 2 2" xfId="25585" xr:uid="{00000000-0005-0000-0000-0000BD530000}"/>
    <cellStyle name="40% - Accent2 10 3 2 3 2 2 2" xfId="51459" xr:uid="{00000000-0005-0000-0000-0000BE530000}"/>
    <cellStyle name="40% - Accent2 10 3 2 3 2 3" xfId="38543" xr:uid="{00000000-0005-0000-0000-0000BF530000}"/>
    <cellStyle name="40% - Accent2 10 3 2 3 3" xfId="19127" xr:uid="{00000000-0005-0000-0000-0000C0530000}"/>
    <cellStyle name="40% - Accent2 10 3 2 3 3 2" xfId="45001" xr:uid="{00000000-0005-0000-0000-0000C1530000}"/>
    <cellStyle name="40% - Accent2 10 3 2 3 4" xfId="32085" xr:uid="{00000000-0005-0000-0000-0000C2530000}"/>
    <cellStyle name="40% - Accent2 10 3 2 4" xfId="9440" xr:uid="{00000000-0005-0000-0000-0000C3530000}"/>
    <cellStyle name="40% - Accent2 10 3 2 4 2" xfId="22357" xr:uid="{00000000-0005-0000-0000-0000C4530000}"/>
    <cellStyle name="40% - Accent2 10 3 2 4 2 2" xfId="48231" xr:uid="{00000000-0005-0000-0000-0000C5530000}"/>
    <cellStyle name="40% - Accent2 10 3 2 4 3" xfId="35315" xr:uid="{00000000-0005-0000-0000-0000C6530000}"/>
    <cellStyle name="40% - Accent2 10 3 2 5" xfId="15899" xr:uid="{00000000-0005-0000-0000-0000C7530000}"/>
    <cellStyle name="40% - Accent2 10 3 2 5 2" xfId="41773" xr:uid="{00000000-0005-0000-0000-0000C8530000}"/>
    <cellStyle name="40% - Accent2 10 3 2 6" xfId="28825" xr:uid="{00000000-0005-0000-0000-0000C9530000}"/>
    <cellStyle name="40% - Accent2 10 3 3" xfId="3762" xr:uid="{00000000-0005-0000-0000-0000CA530000}"/>
    <cellStyle name="40% - Accent2 10 3 3 2" xfId="7016" xr:uid="{00000000-0005-0000-0000-0000CB530000}"/>
    <cellStyle name="40% - Accent2 10 3 3 2 2" xfId="13475" xr:uid="{00000000-0005-0000-0000-0000CC530000}"/>
    <cellStyle name="40% - Accent2 10 3 3 2 2 2" xfId="26392" xr:uid="{00000000-0005-0000-0000-0000CD530000}"/>
    <cellStyle name="40% - Accent2 10 3 3 2 2 2 2" xfId="52266" xr:uid="{00000000-0005-0000-0000-0000CE530000}"/>
    <cellStyle name="40% - Accent2 10 3 3 2 2 3" xfId="39350" xr:uid="{00000000-0005-0000-0000-0000CF530000}"/>
    <cellStyle name="40% - Accent2 10 3 3 2 3" xfId="19934" xr:uid="{00000000-0005-0000-0000-0000D0530000}"/>
    <cellStyle name="40% - Accent2 10 3 3 2 3 2" xfId="45808" xr:uid="{00000000-0005-0000-0000-0000D1530000}"/>
    <cellStyle name="40% - Accent2 10 3 3 2 4" xfId="32892" xr:uid="{00000000-0005-0000-0000-0000D2530000}"/>
    <cellStyle name="40% - Accent2 10 3 3 3" xfId="10247" xr:uid="{00000000-0005-0000-0000-0000D3530000}"/>
    <cellStyle name="40% - Accent2 10 3 3 3 2" xfId="23164" xr:uid="{00000000-0005-0000-0000-0000D4530000}"/>
    <cellStyle name="40% - Accent2 10 3 3 3 2 2" xfId="49038" xr:uid="{00000000-0005-0000-0000-0000D5530000}"/>
    <cellStyle name="40% - Accent2 10 3 3 3 3" xfId="36122" xr:uid="{00000000-0005-0000-0000-0000D6530000}"/>
    <cellStyle name="40% - Accent2 10 3 3 4" xfId="16706" xr:uid="{00000000-0005-0000-0000-0000D7530000}"/>
    <cellStyle name="40% - Accent2 10 3 3 4 2" xfId="42580" xr:uid="{00000000-0005-0000-0000-0000D8530000}"/>
    <cellStyle name="40% - Accent2 10 3 3 5" xfId="29632" xr:uid="{00000000-0005-0000-0000-0000D9530000}"/>
    <cellStyle name="40% - Accent2 10 3 4" xfId="5402" xr:uid="{00000000-0005-0000-0000-0000DA530000}"/>
    <cellStyle name="40% - Accent2 10 3 4 2" xfId="11861" xr:uid="{00000000-0005-0000-0000-0000DB530000}"/>
    <cellStyle name="40% - Accent2 10 3 4 2 2" xfId="24778" xr:uid="{00000000-0005-0000-0000-0000DC530000}"/>
    <cellStyle name="40% - Accent2 10 3 4 2 2 2" xfId="50652" xr:uid="{00000000-0005-0000-0000-0000DD530000}"/>
    <cellStyle name="40% - Accent2 10 3 4 2 3" xfId="37736" xr:uid="{00000000-0005-0000-0000-0000DE530000}"/>
    <cellStyle name="40% - Accent2 10 3 4 3" xfId="18320" xr:uid="{00000000-0005-0000-0000-0000DF530000}"/>
    <cellStyle name="40% - Accent2 10 3 4 3 2" xfId="44194" xr:uid="{00000000-0005-0000-0000-0000E0530000}"/>
    <cellStyle name="40% - Accent2 10 3 4 4" xfId="31278" xr:uid="{00000000-0005-0000-0000-0000E1530000}"/>
    <cellStyle name="40% - Accent2 10 3 5" xfId="8633" xr:uid="{00000000-0005-0000-0000-0000E2530000}"/>
    <cellStyle name="40% - Accent2 10 3 5 2" xfId="21550" xr:uid="{00000000-0005-0000-0000-0000E3530000}"/>
    <cellStyle name="40% - Accent2 10 3 5 2 2" xfId="47424" xr:uid="{00000000-0005-0000-0000-0000E4530000}"/>
    <cellStyle name="40% - Accent2 10 3 5 3" xfId="34508" xr:uid="{00000000-0005-0000-0000-0000E5530000}"/>
    <cellStyle name="40% - Accent2 10 3 6" xfId="15092" xr:uid="{00000000-0005-0000-0000-0000E6530000}"/>
    <cellStyle name="40% - Accent2 10 3 6 2" xfId="40966" xr:uid="{00000000-0005-0000-0000-0000E7530000}"/>
    <cellStyle name="40% - Accent2 10 3 7" xfId="28018" xr:uid="{00000000-0005-0000-0000-0000E8530000}"/>
    <cellStyle name="40% - Accent2 10 3 8" xfId="53880" xr:uid="{00000000-0005-0000-0000-0000E9530000}"/>
    <cellStyle name="40% - Accent2 10 4" xfId="2532" xr:uid="{00000000-0005-0000-0000-0000EA530000}"/>
    <cellStyle name="40% - Accent2 10 4 2" xfId="4189" xr:uid="{00000000-0005-0000-0000-0000EB530000}"/>
    <cellStyle name="40% - Accent2 10 4 2 2" xfId="7420" xr:uid="{00000000-0005-0000-0000-0000EC530000}"/>
    <cellStyle name="40% - Accent2 10 4 2 2 2" xfId="13879" xr:uid="{00000000-0005-0000-0000-0000ED530000}"/>
    <cellStyle name="40% - Accent2 10 4 2 2 2 2" xfId="26796" xr:uid="{00000000-0005-0000-0000-0000EE530000}"/>
    <cellStyle name="40% - Accent2 10 4 2 2 2 2 2" xfId="52670" xr:uid="{00000000-0005-0000-0000-0000EF530000}"/>
    <cellStyle name="40% - Accent2 10 4 2 2 2 3" xfId="39754" xr:uid="{00000000-0005-0000-0000-0000F0530000}"/>
    <cellStyle name="40% - Accent2 10 4 2 2 3" xfId="20338" xr:uid="{00000000-0005-0000-0000-0000F1530000}"/>
    <cellStyle name="40% - Accent2 10 4 2 2 3 2" xfId="46212" xr:uid="{00000000-0005-0000-0000-0000F2530000}"/>
    <cellStyle name="40% - Accent2 10 4 2 2 4" xfId="33296" xr:uid="{00000000-0005-0000-0000-0000F3530000}"/>
    <cellStyle name="40% - Accent2 10 4 2 3" xfId="10651" xr:uid="{00000000-0005-0000-0000-0000F4530000}"/>
    <cellStyle name="40% - Accent2 10 4 2 3 2" xfId="23568" xr:uid="{00000000-0005-0000-0000-0000F5530000}"/>
    <cellStyle name="40% - Accent2 10 4 2 3 2 2" xfId="49442" xr:uid="{00000000-0005-0000-0000-0000F6530000}"/>
    <cellStyle name="40% - Accent2 10 4 2 3 3" xfId="36526" xr:uid="{00000000-0005-0000-0000-0000F7530000}"/>
    <cellStyle name="40% - Accent2 10 4 2 4" xfId="17110" xr:uid="{00000000-0005-0000-0000-0000F8530000}"/>
    <cellStyle name="40% - Accent2 10 4 2 4 2" xfId="42984" xr:uid="{00000000-0005-0000-0000-0000F9530000}"/>
    <cellStyle name="40% - Accent2 10 4 2 5" xfId="30036" xr:uid="{00000000-0005-0000-0000-0000FA530000}"/>
    <cellStyle name="40% - Accent2 10 4 3" xfId="5806" xr:uid="{00000000-0005-0000-0000-0000FB530000}"/>
    <cellStyle name="40% - Accent2 10 4 3 2" xfId="12265" xr:uid="{00000000-0005-0000-0000-0000FC530000}"/>
    <cellStyle name="40% - Accent2 10 4 3 2 2" xfId="25182" xr:uid="{00000000-0005-0000-0000-0000FD530000}"/>
    <cellStyle name="40% - Accent2 10 4 3 2 2 2" xfId="51056" xr:uid="{00000000-0005-0000-0000-0000FE530000}"/>
    <cellStyle name="40% - Accent2 10 4 3 2 3" xfId="38140" xr:uid="{00000000-0005-0000-0000-0000FF530000}"/>
    <cellStyle name="40% - Accent2 10 4 3 3" xfId="18724" xr:uid="{00000000-0005-0000-0000-000000540000}"/>
    <cellStyle name="40% - Accent2 10 4 3 3 2" xfId="44598" xr:uid="{00000000-0005-0000-0000-000001540000}"/>
    <cellStyle name="40% - Accent2 10 4 3 4" xfId="31682" xr:uid="{00000000-0005-0000-0000-000002540000}"/>
    <cellStyle name="40% - Accent2 10 4 4" xfId="9037" xr:uid="{00000000-0005-0000-0000-000003540000}"/>
    <cellStyle name="40% - Accent2 10 4 4 2" xfId="21954" xr:uid="{00000000-0005-0000-0000-000004540000}"/>
    <cellStyle name="40% - Accent2 10 4 4 2 2" xfId="47828" xr:uid="{00000000-0005-0000-0000-000005540000}"/>
    <cellStyle name="40% - Accent2 10 4 4 3" xfId="34912" xr:uid="{00000000-0005-0000-0000-000006540000}"/>
    <cellStyle name="40% - Accent2 10 4 5" xfId="15496" xr:uid="{00000000-0005-0000-0000-000007540000}"/>
    <cellStyle name="40% - Accent2 10 4 5 2" xfId="41370" xr:uid="{00000000-0005-0000-0000-000008540000}"/>
    <cellStyle name="40% - Accent2 10 4 6" xfId="28422" xr:uid="{00000000-0005-0000-0000-000009540000}"/>
    <cellStyle name="40% - Accent2 10 5" xfId="3354" xr:uid="{00000000-0005-0000-0000-00000A540000}"/>
    <cellStyle name="40% - Accent2 10 5 2" xfId="6613" xr:uid="{00000000-0005-0000-0000-00000B540000}"/>
    <cellStyle name="40% - Accent2 10 5 2 2" xfId="13072" xr:uid="{00000000-0005-0000-0000-00000C540000}"/>
    <cellStyle name="40% - Accent2 10 5 2 2 2" xfId="25989" xr:uid="{00000000-0005-0000-0000-00000D540000}"/>
    <cellStyle name="40% - Accent2 10 5 2 2 2 2" xfId="51863" xr:uid="{00000000-0005-0000-0000-00000E540000}"/>
    <cellStyle name="40% - Accent2 10 5 2 2 3" xfId="38947" xr:uid="{00000000-0005-0000-0000-00000F540000}"/>
    <cellStyle name="40% - Accent2 10 5 2 3" xfId="19531" xr:uid="{00000000-0005-0000-0000-000010540000}"/>
    <cellStyle name="40% - Accent2 10 5 2 3 2" xfId="45405" xr:uid="{00000000-0005-0000-0000-000011540000}"/>
    <cellStyle name="40% - Accent2 10 5 2 4" xfId="32489" xr:uid="{00000000-0005-0000-0000-000012540000}"/>
    <cellStyle name="40% - Accent2 10 5 3" xfId="9844" xr:uid="{00000000-0005-0000-0000-000013540000}"/>
    <cellStyle name="40% - Accent2 10 5 3 2" xfId="22761" xr:uid="{00000000-0005-0000-0000-000014540000}"/>
    <cellStyle name="40% - Accent2 10 5 3 2 2" xfId="48635" xr:uid="{00000000-0005-0000-0000-000015540000}"/>
    <cellStyle name="40% - Accent2 10 5 3 3" xfId="35719" xr:uid="{00000000-0005-0000-0000-000016540000}"/>
    <cellStyle name="40% - Accent2 10 5 4" xfId="16303" xr:uid="{00000000-0005-0000-0000-000017540000}"/>
    <cellStyle name="40% - Accent2 10 5 4 2" xfId="42177" xr:uid="{00000000-0005-0000-0000-000018540000}"/>
    <cellStyle name="40% - Accent2 10 5 5" xfId="29229" xr:uid="{00000000-0005-0000-0000-000019540000}"/>
    <cellStyle name="40% - Accent2 10 6" xfId="4999" xr:uid="{00000000-0005-0000-0000-00001A540000}"/>
    <cellStyle name="40% - Accent2 10 6 2" xfId="11458" xr:uid="{00000000-0005-0000-0000-00001B540000}"/>
    <cellStyle name="40% - Accent2 10 6 2 2" xfId="24375" xr:uid="{00000000-0005-0000-0000-00001C540000}"/>
    <cellStyle name="40% - Accent2 10 6 2 2 2" xfId="50249" xr:uid="{00000000-0005-0000-0000-00001D540000}"/>
    <cellStyle name="40% - Accent2 10 6 2 3" xfId="37333" xr:uid="{00000000-0005-0000-0000-00001E540000}"/>
    <cellStyle name="40% - Accent2 10 6 3" xfId="17917" xr:uid="{00000000-0005-0000-0000-00001F540000}"/>
    <cellStyle name="40% - Accent2 10 6 3 2" xfId="43791" xr:uid="{00000000-0005-0000-0000-000020540000}"/>
    <cellStyle name="40% - Accent2 10 6 4" xfId="30875" xr:uid="{00000000-0005-0000-0000-000021540000}"/>
    <cellStyle name="40% - Accent2 10 7" xfId="8229" xr:uid="{00000000-0005-0000-0000-000022540000}"/>
    <cellStyle name="40% - Accent2 10 7 2" xfId="21146" xr:uid="{00000000-0005-0000-0000-000023540000}"/>
    <cellStyle name="40% - Accent2 10 7 2 2" xfId="47020" xr:uid="{00000000-0005-0000-0000-000024540000}"/>
    <cellStyle name="40% - Accent2 10 7 3" xfId="34104" xr:uid="{00000000-0005-0000-0000-000025540000}"/>
    <cellStyle name="40% - Accent2 10 8" xfId="14688" xr:uid="{00000000-0005-0000-0000-000026540000}"/>
    <cellStyle name="40% - Accent2 10 8 2" xfId="40562" xr:uid="{00000000-0005-0000-0000-000027540000}"/>
    <cellStyle name="40% - Accent2 10 9" xfId="27612" xr:uid="{00000000-0005-0000-0000-000028540000}"/>
    <cellStyle name="40% - Accent2 11" xfId="1760" xr:uid="{00000000-0005-0000-0000-000029540000}"/>
    <cellStyle name="40% - Accent2 11 2" xfId="2254" xr:uid="{00000000-0005-0000-0000-00002A540000}"/>
    <cellStyle name="40% - Accent2 11 2 2" xfId="3068" xr:uid="{00000000-0005-0000-0000-00002B540000}"/>
    <cellStyle name="40% - Accent2 11 2 2 2" xfId="4725" xr:uid="{00000000-0005-0000-0000-00002C540000}"/>
    <cellStyle name="40% - Accent2 11 2 2 2 2" xfId="7956" xr:uid="{00000000-0005-0000-0000-00002D540000}"/>
    <cellStyle name="40% - Accent2 11 2 2 2 2 2" xfId="14415" xr:uid="{00000000-0005-0000-0000-00002E540000}"/>
    <cellStyle name="40% - Accent2 11 2 2 2 2 2 2" xfId="27332" xr:uid="{00000000-0005-0000-0000-00002F540000}"/>
    <cellStyle name="40% - Accent2 11 2 2 2 2 2 2 2" xfId="53206" xr:uid="{00000000-0005-0000-0000-000030540000}"/>
    <cellStyle name="40% - Accent2 11 2 2 2 2 2 3" xfId="40290" xr:uid="{00000000-0005-0000-0000-000031540000}"/>
    <cellStyle name="40% - Accent2 11 2 2 2 2 3" xfId="20874" xr:uid="{00000000-0005-0000-0000-000032540000}"/>
    <cellStyle name="40% - Accent2 11 2 2 2 2 3 2" xfId="46748" xr:uid="{00000000-0005-0000-0000-000033540000}"/>
    <cellStyle name="40% - Accent2 11 2 2 2 2 4" xfId="33832" xr:uid="{00000000-0005-0000-0000-000034540000}"/>
    <cellStyle name="40% - Accent2 11 2 2 2 3" xfId="11187" xr:uid="{00000000-0005-0000-0000-000035540000}"/>
    <cellStyle name="40% - Accent2 11 2 2 2 3 2" xfId="24104" xr:uid="{00000000-0005-0000-0000-000036540000}"/>
    <cellStyle name="40% - Accent2 11 2 2 2 3 2 2" xfId="49978" xr:uid="{00000000-0005-0000-0000-000037540000}"/>
    <cellStyle name="40% - Accent2 11 2 2 2 3 3" xfId="37062" xr:uid="{00000000-0005-0000-0000-000038540000}"/>
    <cellStyle name="40% - Accent2 11 2 2 2 4" xfId="17646" xr:uid="{00000000-0005-0000-0000-000039540000}"/>
    <cellStyle name="40% - Accent2 11 2 2 2 4 2" xfId="43520" xr:uid="{00000000-0005-0000-0000-00003A540000}"/>
    <cellStyle name="40% - Accent2 11 2 2 2 5" xfId="30572" xr:uid="{00000000-0005-0000-0000-00003B540000}"/>
    <cellStyle name="40% - Accent2 11 2 2 3" xfId="6342" xr:uid="{00000000-0005-0000-0000-00003C540000}"/>
    <cellStyle name="40% - Accent2 11 2 2 3 2" xfId="12801" xr:uid="{00000000-0005-0000-0000-00003D540000}"/>
    <cellStyle name="40% - Accent2 11 2 2 3 2 2" xfId="25718" xr:uid="{00000000-0005-0000-0000-00003E540000}"/>
    <cellStyle name="40% - Accent2 11 2 2 3 2 2 2" xfId="51592" xr:uid="{00000000-0005-0000-0000-00003F540000}"/>
    <cellStyle name="40% - Accent2 11 2 2 3 2 3" xfId="38676" xr:uid="{00000000-0005-0000-0000-000040540000}"/>
    <cellStyle name="40% - Accent2 11 2 2 3 3" xfId="19260" xr:uid="{00000000-0005-0000-0000-000041540000}"/>
    <cellStyle name="40% - Accent2 11 2 2 3 3 2" xfId="45134" xr:uid="{00000000-0005-0000-0000-000042540000}"/>
    <cellStyle name="40% - Accent2 11 2 2 3 4" xfId="32218" xr:uid="{00000000-0005-0000-0000-000043540000}"/>
    <cellStyle name="40% - Accent2 11 2 2 4" xfId="9573" xr:uid="{00000000-0005-0000-0000-000044540000}"/>
    <cellStyle name="40% - Accent2 11 2 2 4 2" xfId="22490" xr:uid="{00000000-0005-0000-0000-000045540000}"/>
    <cellStyle name="40% - Accent2 11 2 2 4 2 2" xfId="48364" xr:uid="{00000000-0005-0000-0000-000046540000}"/>
    <cellStyle name="40% - Accent2 11 2 2 4 3" xfId="35448" xr:uid="{00000000-0005-0000-0000-000047540000}"/>
    <cellStyle name="40% - Accent2 11 2 2 5" xfId="16032" xr:uid="{00000000-0005-0000-0000-000048540000}"/>
    <cellStyle name="40% - Accent2 11 2 2 5 2" xfId="41906" xr:uid="{00000000-0005-0000-0000-000049540000}"/>
    <cellStyle name="40% - Accent2 11 2 2 6" xfId="28958" xr:uid="{00000000-0005-0000-0000-00004A540000}"/>
    <cellStyle name="40% - Accent2 11 2 3" xfId="3895" xr:uid="{00000000-0005-0000-0000-00004B540000}"/>
    <cellStyle name="40% - Accent2 11 2 3 2" xfId="7149" xr:uid="{00000000-0005-0000-0000-00004C540000}"/>
    <cellStyle name="40% - Accent2 11 2 3 2 2" xfId="13608" xr:uid="{00000000-0005-0000-0000-00004D540000}"/>
    <cellStyle name="40% - Accent2 11 2 3 2 2 2" xfId="26525" xr:uid="{00000000-0005-0000-0000-00004E540000}"/>
    <cellStyle name="40% - Accent2 11 2 3 2 2 2 2" xfId="52399" xr:uid="{00000000-0005-0000-0000-00004F540000}"/>
    <cellStyle name="40% - Accent2 11 2 3 2 2 3" xfId="39483" xr:uid="{00000000-0005-0000-0000-000050540000}"/>
    <cellStyle name="40% - Accent2 11 2 3 2 3" xfId="20067" xr:uid="{00000000-0005-0000-0000-000051540000}"/>
    <cellStyle name="40% - Accent2 11 2 3 2 3 2" xfId="45941" xr:uid="{00000000-0005-0000-0000-000052540000}"/>
    <cellStyle name="40% - Accent2 11 2 3 2 4" xfId="33025" xr:uid="{00000000-0005-0000-0000-000053540000}"/>
    <cellStyle name="40% - Accent2 11 2 3 3" xfId="10380" xr:uid="{00000000-0005-0000-0000-000054540000}"/>
    <cellStyle name="40% - Accent2 11 2 3 3 2" xfId="23297" xr:uid="{00000000-0005-0000-0000-000055540000}"/>
    <cellStyle name="40% - Accent2 11 2 3 3 2 2" xfId="49171" xr:uid="{00000000-0005-0000-0000-000056540000}"/>
    <cellStyle name="40% - Accent2 11 2 3 3 3" xfId="36255" xr:uid="{00000000-0005-0000-0000-000057540000}"/>
    <cellStyle name="40% - Accent2 11 2 3 4" xfId="16839" xr:uid="{00000000-0005-0000-0000-000058540000}"/>
    <cellStyle name="40% - Accent2 11 2 3 4 2" xfId="42713" xr:uid="{00000000-0005-0000-0000-000059540000}"/>
    <cellStyle name="40% - Accent2 11 2 3 5" xfId="29765" xr:uid="{00000000-0005-0000-0000-00005A540000}"/>
    <cellStyle name="40% - Accent2 11 2 4" xfId="5535" xr:uid="{00000000-0005-0000-0000-00005B540000}"/>
    <cellStyle name="40% - Accent2 11 2 4 2" xfId="11994" xr:uid="{00000000-0005-0000-0000-00005C540000}"/>
    <cellStyle name="40% - Accent2 11 2 4 2 2" xfId="24911" xr:uid="{00000000-0005-0000-0000-00005D540000}"/>
    <cellStyle name="40% - Accent2 11 2 4 2 2 2" xfId="50785" xr:uid="{00000000-0005-0000-0000-00005E540000}"/>
    <cellStyle name="40% - Accent2 11 2 4 2 3" xfId="37869" xr:uid="{00000000-0005-0000-0000-00005F540000}"/>
    <cellStyle name="40% - Accent2 11 2 4 3" xfId="18453" xr:uid="{00000000-0005-0000-0000-000060540000}"/>
    <cellStyle name="40% - Accent2 11 2 4 3 2" xfId="44327" xr:uid="{00000000-0005-0000-0000-000061540000}"/>
    <cellStyle name="40% - Accent2 11 2 4 4" xfId="31411" xr:uid="{00000000-0005-0000-0000-000062540000}"/>
    <cellStyle name="40% - Accent2 11 2 5" xfId="8766" xr:uid="{00000000-0005-0000-0000-000063540000}"/>
    <cellStyle name="40% - Accent2 11 2 5 2" xfId="21683" xr:uid="{00000000-0005-0000-0000-000064540000}"/>
    <cellStyle name="40% - Accent2 11 2 5 2 2" xfId="47557" xr:uid="{00000000-0005-0000-0000-000065540000}"/>
    <cellStyle name="40% - Accent2 11 2 5 3" xfId="34641" xr:uid="{00000000-0005-0000-0000-000066540000}"/>
    <cellStyle name="40% - Accent2 11 2 6" xfId="15225" xr:uid="{00000000-0005-0000-0000-000067540000}"/>
    <cellStyle name="40% - Accent2 11 2 6 2" xfId="41099" xr:uid="{00000000-0005-0000-0000-000068540000}"/>
    <cellStyle name="40% - Accent2 11 2 7" xfId="28151" xr:uid="{00000000-0005-0000-0000-000069540000}"/>
    <cellStyle name="40% - Accent2 11 2 8" xfId="54013" xr:uid="{00000000-0005-0000-0000-00006A540000}"/>
    <cellStyle name="40% - Accent2 11 3" xfId="2665" xr:uid="{00000000-0005-0000-0000-00006B540000}"/>
    <cellStyle name="40% - Accent2 11 3 2" xfId="4322" xr:uid="{00000000-0005-0000-0000-00006C540000}"/>
    <cellStyle name="40% - Accent2 11 3 2 2" xfId="7553" xr:uid="{00000000-0005-0000-0000-00006D540000}"/>
    <cellStyle name="40% - Accent2 11 3 2 2 2" xfId="14012" xr:uid="{00000000-0005-0000-0000-00006E540000}"/>
    <cellStyle name="40% - Accent2 11 3 2 2 2 2" xfId="26929" xr:uid="{00000000-0005-0000-0000-00006F540000}"/>
    <cellStyle name="40% - Accent2 11 3 2 2 2 2 2" xfId="52803" xr:uid="{00000000-0005-0000-0000-000070540000}"/>
    <cellStyle name="40% - Accent2 11 3 2 2 2 3" xfId="39887" xr:uid="{00000000-0005-0000-0000-000071540000}"/>
    <cellStyle name="40% - Accent2 11 3 2 2 3" xfId="20471" xr:uid="{00000000-0005-0000-0000-000072540000}"/>
    <cellStyle name="40% - Accent2 11 3 2 2 3 2" xfId="46345" xr:uid="{00000000-0005-0000-0000-000073540000}"/>
    <cellStyle name="40% - Accent2 11 3 2 2 4" xfId="33429" xr:uid="{00000000-0005-0000-0000-000074540000}"/>
    <cellStyle name="40% - Accent2 11 3 2 3" xfId="10784" xr:uid="{00000000-0005-0000-0000-000075540000}"/>
    <cellStyle name="40% - Accent2 11 3 2 3 2" xfId="23701" xr:uid="{00000000-0005-0000-0000-000076540000}"/>
    <cellStyle name="40% - Accent2 11 3 2 3 2 2" xfId="49575" xr:uid="{00000000-0005-0000-0000-000077540000}"/>
    <cellStyle name="40% - Accent2 11 3 2 3 3" xfId="36659" xr:uid="{00000000-0005-0000-0000-000078540000}"/>
    <cellStyle name="40% - Accent2 11 3 2 4" xfId="17243" xr:uid="{00000000-0005-0000-0000-000079540000}"/>
    <cellStyle name="40% - Accent2 11 3 2 4 2" xfId="43117" xr:uid="{00000000-0005-0000-0000-00007A540000}"/>
    <cellStyle name="40% - Accent2 11 3 2 5" xfId="30169" xr:uid="{00000000-0005-0000-0000-00007B540000}"/>
    <cellStyle name="40% - Accent2 11 3 3" xfId="5939" xr:uid="{00000000-0005-0000-0000-00007C540000}"/>
    <cellStyle name="40% - Accent2 11 3 3 2" xfId="12398" xr:uid="{00000000-0005-0000-0000-00007D540000}"/>
    <cellStyle name="40% - Accent2 11 3 3 2 2" xfId="25315" xr:uid="{00000000-0005-0000-0000-00007E540000}"/>
    <cellStyle name="40% - Accent2 11 3 3 2 2 2" xfId="51189" xr:uid="{00000000-0005-0000-0000-00007F540000}"/>
    <cellStyle name="40% - Accent2 11 3 3 2 3" xfId="38273" xr:uid="{00000000-0005-0000-0000-000080540000}"/>
    <cellStyle name="40% - Accent2 11 3 3 3" xfId="18857" xr:uid="{00000000-0005-0000-0000-000081540000}"/>
    <cellStyle name="40% - Accent2 11 3 3 3 2" xfId="44731" xr:uid="{00000000-0005-0000-0000-000082540000}"/>
    <cellStyle name="40% - Accent2 11 3 3 4" xfId="31815" xr:uid="{00000000-0005-0000-0000-000083540000}"/>
    <cellStyle name="40% - Accent2 11 3 4" xfId="9170" xr:uid="{00000000-0005-0000-0000-000084540000}"/>
    <cellStyle name="40% - Accent2 11 3 4 2" xfId="22087" xr:uid="{00000000-0005-0000-0000-000085540000}"/>
    <cellStyle name="40% - Accent2 11 3 4 2 2" xfId="47961" xr:uid="{00000000-0005-0000-0000-000086540000}"/>
    <cellStyle name="40% - Accent2 11 3 4 3" xfId="35045" xr:uid="{00000000-0005-0000-0000-000087540000}"/>
    <cellStyle name="40% - Accent2 11 3 5" xfId="15629" xr:uid="{00000000-0005-0000-0000-000088540000}"/>
    <cellStyle name="40% - Accent2 11 3 5 2" xfId="41503" xr:uid="{00000000-0005-0000-0000-000089540000}"/>
    <cellStyle name="40% - Accent2 11 3 6" xfId="28555" xr:uid="{00000000-0005-0000-0000-00008A540000}"/>
    <cellStyle name="40% - Accent2 11 4" xfId="3492" xr:uid="{00000000-0005-0000-0000-00008B540000}"/>
    <cellStyle name="40% - Accent2 11 4 2" xfId="6746" xr:uid="{00000000-0005-0000-0000-00008C540000}"/>
    <cellStyle name="40% - Accent2 11 4 2 2" xfId="13205" xr:uid="{00000000-0005-0000-0000-00008D540000}"/>
    <cellStyle name="40% - Accent2 11 4 2 2 2" xfId="26122" xr:uid="{00000000-0005-0000-0000-00008E540000}"/>
    <cellStyle name="40% - Accent2 11 4 2 2 2 2" xfId="51996" xr:uid="{00000000-0005-0000-0000-00008F540000}"/>
    <cellStyle name="40% - Accent2 11 4 2 2 3" xfId="39080" xr:uid="{00000000-0005-0000-0000-000090540000}"/>
    <cellStyle name="40% - Accent2 11 4 2 3" xfId="19664" xr:uid="{00000000-0005-0000-0000-000091540000}"/>
    <cellStyle name="40% - Accent2 11 4 2 3 2" xfId="45538" xr:uid="{00000000-0005-0000-0000-000092540000}"/>
    <cellStyle name="40% - Accent2 11 4 2 4" xfId="32622" xr:uid="{00000000-0005-0000-0000-000093540000}"/>
    <cellStyle name="40% - Accent2 11 4 3" xfId="9977" xr:uid="{00000000-0005-0000-0000-000094540000}"/>
    <cellStyle name="40% - Accent2 11 4 3 2" xfId="22894" xr:uid="{00000000-0005-0000-0000-000095540000}"/>
    <cellStyle name="40% - Accent2 11 4 3 2 2" xfId="48768" xr:uid="{00000000-0005-0000-0000-000096540000}"/>
    <cellStyle name="40% - Accent2 11 4 3 3" xfId="35852" xr:uid="{00000000-0005-0000-0000-000097540000}"/>
    <cellStyle name="40% - Accent2 11 4 4" xfId="16436" xr:uid="{00000000-0005-0000-0000-000098540000}"/>
    <cellStyle name="40% - Accent2 11 4 4 2" xfId="42310" xr:uid="{00000000-0005-0000-0000-000099540000}"/>
    <cellStyle name="40% - Accent2 11 4 5" xfId="29362" xr:uid="{00000000-0005-0000-0000-00009A540000}"/>
    <cellStyle name="40% - Accent2 11 5" xfId="5132" xr:uid="{00000000-0005-0000-0000-00009B540000}"/>
    <cellStyle name="40% - Accent2 11 5 2" xfId="11591" xr:uid="{00000000-0005-0000-0000-00009C540000}"/>
    <cellStyle name="40% - Accent2 11 5 2 2" xfId="24508" xr:uid="{00000000-0005-0000-0000-00009D540000}"/>
    <cellStyle name="40% - Accent2 11 5 2 2 2" xfId="50382" xr:uid="{00000000-0005-0000-0000-00009E540000}"/>
    <cellStyle name="40% - Accent2 11 5 2 3" xfId="37466" xr:uid="{00000000-0005-0000-0000-00009F540000}"/>
    <cellStyle name="40% - Accent2 11 5 3" xfId="18050" xr:uid="{00000000-0005-0000-0000-0000A0540000}"/>
    <cellStyle name="40% - Accent2 11 5 3 2" xfId="43924" xr:uid="{00000000-0005-0000-0000-0000A1540000}"/>
    <cellStyle name="40% - Accent2 11 5 4" xfId="31008" xr:uid="{00000000-0005-0000-0000-0000A2540000}"/>
    <cellStyle name="40% - Accent2 11 6" xfId="8362" xr:uid="{00000000-0005-0000-0000-0000A3540000}"/>
    <cellStyle name="40% - Accent2 11 6 2" xfId="21279" xr:uid="{00000000-0005-0000-0000-0000A4540000}"/>
    <cellStyle name="40% - Accent2 11 6 2 2" xfId="47153" xr:uid="{00000000-0005-0000-0000-0000A5540000}"/>
    <cellStyle name="40% - Accent2 11 6 3" xfId="34237" xr:uid="{00000000-0005-0000-0000-0000A6540000}"/>
    <cellStyle name="40% - Accent2 11 7" xfId="14821" xr:uid="{00000000-0005-0000-0000-0000A7540000}"/>
    <cellStyle name="40% - Accent2 11 7 2" xfId="40695" xr:uid="{00000000-0005-0000-0000-0000A8540000}"/>
    <cellStyle name="40% - Accent2 11 8" xfId="27747" xr:uid="{00000000-0005-0000-0000-0000A9540000}"/>
    <cellStyle name="40% - Accent2 11 9" xfId="53610" xr:uid="{00000000-0005-0000-0000-0000AA540000}"/>
    <cellStyle name="40% - Accent2 12" xfId="2041" xr:uid="{00000000-0005-0000-0000-0000AB540000}"/>
    <cellStyle name="40% - Accent2 12 2" xfId="2450" xr:uid="{00000000-0005-0000-0000-0000AC540000}"/>
    <cellStyle name="40% - Accent2 12 2 2" xfId="3263" xr:uid="{00000000-0005-0000-0000-0000AD540000}"/>
    <cellStyle name="40% - Accent2 12 2 2 2" xfId="4920" xr:uid="{00000000-0005-0000-0000-0000AE540000}"/>
    <cellStyle name="40% - Accent2 12 2 2 2 2" xfId="8151" xr:uid="{00000000-0005-0000-0000-0000AF540000}"/>
    <cellStyle name="40% - Accent2 12 2 2 2 2 2" xfId="14610" xr:uid="{00000000-0005-0000-0000-0000B0540000}"/>
    <cellStyle name="40% - Accent2 12 2 2 2 2 2 2" xfId="27527" xr:uid="{00000000-0005-0000-0000-0000B1540000}"/>
    <cellStyle name="40% - Accent2 12 2 2 2 2 2 2 2" xfId="53401" xr:uid="{00000000-0005-0000-0000-0000B2540000}"/>
    <cellStyle name="40% - Accent2 12 2 2 2 2 2 3" xfId="40485" xr:uid="{00000000-0005-0000-0000-0000B3540000}"/>
    <cellStyle name="40% - Accent2 12 2 2 2 2 3" xfId="21069" xr:uid="{00000000-0005-0000-0000-0000B4540000}"/>
    <cellStyle name="40% - Accent2 12 2 2 2 2 3 2" xfId="46943" xr:uid="{00000000-0005-0000-0000-0000B5540000}"/>
    <cellStyle name="40% - Accent2 12 2 2 2 2 4" xfId="34027" xr:uid="{00000000-0005-0000-0000-0000B6540000}"/>
    <cellStyle name="40% - Accent2 12 2 2 2 3" xfId="11382" xr:uid="{00000000-0005-0000-0000-0000B7540000}"/>
    <cellStyle name="40% - Accent2 12 2 2 2 3 2" xfId="24299" xr:uid="{00000000-0005-0000-0000-0000B8540000}"/>
    <cellStyle name="40% - Accent2 12 2 2 2 3 2 2" xfId="50173" xr:uid="{00000000-0005-0000-0000-0000B9540000}"/>
    <cellStyle name="40% - Accent2 12 2 2 2 3 3" xfId="37257" xr:uid="{00000000-0005-0000-0000-0000BA540000}"/>
    <cellStyle name="40% - Accent2 12 2 2 2 4" xfId="17841" xr:uid="{00000000-0005-0000-0000-0000BB540000}"/>
    <cellStyle name="40% - Accent2 12 2 2 2 4 2" xfId="43715" xr:uid="{00000000-0005-0000-0000-0000BC540000}"/>
    <cellStyle name="40% - Accent2 12 2 2 2 5" xfId="30767" xr:uid="{00000000-0005-0000-0000-0000BD540000}"/>
    <cellStyle name="40% - Accent2 12 2 2 3" xfId="6537" xr:uid="{00000000-0005-0000-0000-0000BE540000}"/>
    <cellStyle name="40% - Accent2 12 2 2 3 2" xfId="12996" xr:uid="{00000000-0005-0000-0000-0000BF540000}"/>
    <cellStyle name="40% - Accent2 12 2 2 3 2 2" xfId="25913" xr:uid="{00000000-0005-0000-0000-0000C0540000}"/>
    <cellStyle name="40% - Accent2 12 2 2 3 2 2 2" xfId="51787" xr:uid="{00000000-0005-0000-0000-0000C1540000}"/>
    <cellStyle name="40% - Accent2 12 2 2 3 2 3" xfId="38871" xr:uid="{00000000-0005-0000-0000-0000C2540000}"/>
    <cellStyle name="40% - Accent2 12 2 2 3 3" xfId="19455" xr:uid="{00000000-0005-0000-0000-0000C3540000}"/>
    <cellStyle name="40% - Accent2 12 2 2 3 3 2" xfId="45329" xr:uid="{00000000-0005-0000-0000-0000C4540000}"/>
    <cellStyle name="40% - Accent2 12 2 2 3 4" xfId="32413" xr:uid="{00000000-0005-0000-0000-0000C5540000}"/>
    <cellStyle name="40% - Accent2 12 2 2 4" xfId="9768" xr:uid="{00000000-0005-0000-0000-0000C6540000}"/>
    <cellStyle name="40% - Accent2 12 2 2 4 2" xfId="22685" xr:uid="{00000000-0005-0000-0000-0000C7540000}"/>
    <cellStyle name="40% - Accent2 12 2 2 4 2 2" xfId="48559" xr:uid="{00000000-0005-0000-0000-0000C8540000}"/>
    <cellStyle name="40% - Accent2 12 2 2 4 3" xfId="35643" xr:uid="{00000000-0005-0000-0000-0000C9540000}"/>
    <cellStyle name="40% - Accent2 12 2 2 5" xfId="16227" xr:uid="{00000000-0005-0000-0000-0000CA540000}"/>
    <cellStyle name="40% - Accent2 12 2 2 5 2" xfId="42101" xr:uid="{00000000-0005-0000-0000-0000CB540000}"/>
    <cellStyle name="40% - Accent2 12 2 2 6" xfId="29153" xr:uid="{00000000-0005-0000-0000-0000CC540000}"/>
    <cellStyle name="40% - Accent2 12 2 3" xfId="4090" xr:uid="{00000000-0005-0000-0000-0000CD540000}"/>
    <cellStyle name="40% - Accent2 12 2 3 2" xfId="7344" xr:uid="{00000000-0005-0000-0000-0000CE540000}"/>
    <cellStyle name="40% - Accent2 12 2 3 2 2" xfId="13803" xr:uid="{00000000-0005-0000-0000-0000CF540000}"/>
    <cellStyle name="40% - Accent2 12 2 3 2 2 2" xfId="26720" xr:uid="{00000000-0005-0000-0000-0000D0540000}"/>
    <cellStyle name="40% - Accent2 12 2 3 2 2 2 2" xfId="52594" xr:uid="{00000000-0005-0000-0000-0000D1540000}"/>
    <cellStyle name="40% - Accent2 12 2 3 2 2 3" xfId="39678" xr:uid="{00000000-0005-0000-0000-0000D2540000}"/>
    <cellStyle name="40% - Accent2 12 2 3 2 3" xfId="20262" xr:uid="{00000000-0005-0000-0000-0000D3540000}"/>
    <cellStyle name="40% - Accent2 12 2 3 2 3 2" xfId="46136" xr:uid="{00000000-0005-0000-0000-0000D4540000}"/>
    <cellStyle name="40% - Accent2 12 2 3 2 4" xfId="33220" xr:uid="{00000000-0005-0000-0000-0000D5540000}"/>
    <cellStyle name="40% - Accent2 12 2 3 3" xfId="10575" xr:uid="{00000000-0005-0000-0000-0000D6540000}"/>
    <cellStyle name="40% - Accent2 12 2 3 3 2" xfId="23492" xr:uid="{00000000-0005-0000-0000-0000D7540000}"/>
    <cellStyle name="40% - Accent2 12 2 3 3 2 2" xfId="49366" xr:uid="{00000000-0005-0000-0000-0000D8540000}"/>
    <cellStyle name="40% - Accent2 12 2 3 3 3" xfId="36450" xr:uid="{00000000-0005-0000-0000-0000D9540000}"/>
    <cellStyle name="40% - Accent2 12 2 3 4" xfId="17034" xr:uid="{00000000-0005-0000-0000-0000DA540000}"/>
    <cellStyle name="40% - Accent2 12 2 3 4 2" xfId="42908" xr:uid="{00000000-0005-0000-0000-0000DB540000}"/>
    <cellStyle name="40% - Accent2 12 2 3 5" xfId="29960" xr:uid="{00000000-0005-0000-0000-0000DC540000}"/>
    <cellStyle name="40% - Accent2 12 2 4" xfId="5730" xr:uid="{00000000-0005-0000-0000-0000DD540000}"/>
    <cellStyle name="40% - Accent2 12 2 4 2" xfId="12189" xr:uid="{00000000-0005-0000-0000-0000DE540000}"/>
    <cellStyle name="40% - Accent2 12 2 4 2 2" xfId="25106" xr:uid="{00000000-0005-0000-0000-0000DF540000}"/>
    <cellStyle name="40% - Accent2 12 2 4 2 2 2" xfId="50980" xr:uid="{00000000-0005-0000-0000-0000E0540000}"/>
    <cellStyle name="40% - Accent2 12 2 4 2 3" xfId="38064" xr:uid="{00000000-0005-0000-0000-0000E1540000}"/>
    <cellStyle name="40% - Accent2 12 2 4 3" xfId="18648" xr:uid="{00000000-0005-0000-0000-0000E2540000}"/>
    <cellStyle name="40% - Accent2 12 2 4 3 2" xfId="44522" xr:uid="{00000000-0005-0000-0000-0000E3540000}"/>
    <cellStyle name="40% - Accent2 12 2 4 4" xfId="31606" xr:uid="{00000000-0005-0000-0000-0000E4540000}"/>
    <cellStyle name="40% - Accent2 12 2 5" xfId="8961" xr:uid="{00000000-0005-0000-0000-0000E5540000}"/>
    <cellStyle name="40% - Accent2 12 2 5 2" xfId="21878" xr:uid="{00000000-0005-0000-0000-0000E6540000}"/>
    <cellStyle name="40% - Accent2 12 2 5 2 2" xfId="47752" xr:uid="{00000000-0005-0000-0000-0000E7540000}"/>
    <cellStyle name="40% - Accent2 12 2 5 3" xfId="34836" xr:uid="{00000000-0005-0000-0000-0000E8540000}"/>
    <cellStyle name="40% - Accent2 12 2 6" xfId="15420" xr:uid="{00000000-0005-0000-0000-0000E9540000}"/>
    <cellStyle name="40% - Accent2 12 2 6 2" xfId="41294" xr:uid="{00000000-0005-0000-0000-0000EA540000}"/>
    <cellStyle name="40% - Accent2 12 2 7" xfId="28346" xr:uid="{00000000-0005-0000-0000-0000EB540000}"/>
    <cellStyle name="40% - Accent2 12 2 8" xfId="54208" xr:uid="{00000000-0005-0000-0000-0000EC540000}"/>
    <cellStyle name="40% - Accent2 12 3" xfId="2859" xr:uid="{00000000-0005-0000-0000-0000ED540000}"/>
    <cellStyle name="40% - Accent2 12 3 2" xfId="4516" xr:uid="{00000000-0005-0000-0000-0000EE540000}"/>
    <cellStyle name="40% - Accent2 12 3 2 2" xfId="7747" xr:uid="{00000000-0005-0000-0000-0000EF540000}"/>
    <cellStyle name="40% - Accent2 12 3 2 2 2" xfId="14206" xr:uid="{00000000-0005-0000-0000-0000F0540000}"/>
    <cellStyle name="40% - Accent2 12 3 2 2 2 2" xfId="27123" xr:uid="{00000000-0005-0000-0000-0000F1540000}"/>
    <cellStyle name="40% - Accent2 12 3 2 2 2 2 2" xfId="52997" xr:uid="{00000000-0005-0000-0000-0000F2540000}"/>
    <cellStyle name="40% - Accent2 12 3 2 2 2 3" xfId="40081" xr:uid="{00000000-0005-0000-0000-0000F3540000}"/>
    <cellStyle name="40% - Accent2 12 3 2 2 3" xfId="20665" xr:uid="{00000000-0005-0000-0000-0000F4540000}"/>
    <cellStyle name="40% - Accent2 12 3 2 2 3 2" xfId="46539" xr:uid="{00000000-0005-0000-0000-0000F5540000}"/>
    <cellStyle name="40% - Accent2 12 3 2 2 4" xfId="33623" xr:uid="{00000000-0005-0000-0000-0000F6540000}"/>
    <cellStyle name="40% - Accent2 12 3 2 3" xfId="10978" xr:uid="{00000000-0005-0000-0000-0000F7540000}"/>
    <cellStyle name="40% - Accent2 12 3 2 3 2" xfId="23895" xr:uid="{00000000-0005-0000-0000-0000F8540000}"/>
    <cellStyle name="40% - Accent2 12 3 2 3 2 2" xfId="49769" xr:uid="{00000000-0005-0000-0000-0000F9540000}"/>
    <cellStyle name="40% - Accent2 12 3 2 3 3" xfId="36853" xr:uid="{00000000-0005-0000-0000-0000FA540000}"/>
    <cellStyle name="40% - Accent2 12 3 2 4" xfId="17437" xr:uid="{00000000-0005-0000-0000-0000FB540000}"/>
    <cellStyle name="40% - Accent2 12 3 2 4 2" xfId="43311" xr:uid="{00000000-0005-0000-0000-0000FC540000}"/>
    <cellStyle name="40% - Accent2 12 3 2 5" xfId="30363" xr:uid="{00000000-0005-0000-0000-0000FD540000}"/>
    <cellStyle name="40% - Accent2 12 3 3" xfId="6133" xr:uid="{00000000-0005-0000-0000-0000FE540000}"/>
    <cellStyle name="40% - Accent2 12 3 3 2" xfId="12592" xr:uid="{00000000-0005-0000-0000-0000FF540000}"/>
    <cellStyle name="40% - Accent2 12 3 3 2 2" xfId="25509" xr:uid="{00000000-0005-0000-0000-000000550000}"/>
    <cellStyle name="40% - Accent2 12 3 3 2 2 2" xfId="51383" xr:uid="{00000000-0005-0000-0000-000001550000}"/>
    <cellStyle name="40% - Accent2 12 3 3 2 3" xfId="38467" xr:uid="{00000000-0005-0000-0000-000002550000}"/>
    <cellStyle name="40% - Accent2 12 3 3 3" xfId="19051" xr:uid="{00000000-0005-0000-0000-000003550000}"/>
    <cellStyle name="40% - Accent2 12 3 3 3 2" xfId="44925" xr:uid="{00000000-0005-0000-0000-000004550000}"/>
    <cellStyle name="40% - Accent2 12 3 3 4" xfId="32009" xr:uid="{00000000-0005-0000-0000-000005550000}"/>
    <cellStyle name="40% - Accent2 12 3 4" xfId="9364" xr:uid="{00000000-0005-0000-0000-000006550000}"/>
    <cellStyle name="40% - Accent2 12 3 4 2" xfId="22281" xr:uid="{00000000-0005-0000-0000-000007550000}"/>
    <cellStyle name="40% - Accent2 12 3 4 2 2" xfId="48155" xr:uid="{00000000-0005-0000-0000-000008550000}"/>
    <cellStyle name="40% - Accent2 12 3 4 3" xfId="35239" xr:uid="{00000000-0005-0000-0000-000009550000}"/>
    <cellStyle name="40% - Accent2 12 3 5" xfId="15823" xr:uid="{00000000-0005-0000-0000-00000A550000}"/>
    <cellStyle name="40% - Accent2 12 3 5 2" xfId="41697" xr:uid="{00000000-0005-0000-0000-00000B550000}"/>
    <cellStyle name="40% - Accent2 12 3 6" xfId="28749" xr:uid="{00000000-0005-0000-0000-00000C550000}"/>
    <cellStyle name="40% - Accent2 12 4" xfId="3686" xr:uid="{00000000-0005-0000-0000-00000D550000}"/>
    <cellStyle name="40% - Accent2 12 4 2" xfId="6940" xr:uid="{00000000-0005-0000-0000-00000E550000}"/>
    <cellStyle name="40% - Accent2 12 4 2 2" xfId="13399" xr:uid="{00000000-0005-0000-0000-00000F550000}"/>
    <cellStyle name="40% - Accent2 12 4 2 2 2" xfId="26316" xr:uid="{00000000-0005-0000-0000-000010550000}"/>
    <cellStyle name="40% - Accent2 12 4 2 2 2 2" xfId="52190" xr:uid="{00000000-0005-0000-0000-000011550000}"/>
    <cellStyle name="40% - Accent2 12 4 2 2 3" xfId="39274" xr:uid="{00000000-0005-0000-0000-000012550000}"/>
    <cellStyle name="40% - Accent2 12 4 2 3" xfId="19858" xr:uid="{00000000-0005-0000-0000-000013550000}"/>
    <cellStyle name="40% - Accent2 12 4 2 3 2" xfId="45732" xr:uid="{00000000-0005-0000-0000-000014550000}"/>
    <cellStyle name="40% - Accent2 12 4 2 4" xfId="32816" xr:uid="{00000000-0005-0000-0000-000015550000}"/>
    <cellStyle name="40% - Accent2 12 4 3" xfId="10171" xr:uid="{00000000-0005-0000-0000-000016550000}"/>
    <cellStyle name="40% - Accent2 12 4 3 2" xfId="23088" xr:uid="{00000000-0005-0000-0000-000017550000}"/>
    <cellStyle name="40% - Accent2 12 4 3 2 2" xfId="48962" xr:uid="{00000000-0005-0000-0000-000018550000}"/>
    <cellStyle name="40% - Accent2 12 4 3 3" xfId="36046" xr:uid="{00000000-0005-0000-0000-000019550000}"/>
    <cellStyle name="40% - Accent2 12 4 4" xfId="16630" xr:uid="{00000000-0005-0000-0000-00001A550000}"/>
    <cellStyle name="40% - Accent2 12 4 4 2" xfId="42504" xr:uid="{00000000-0005-0000-0000-00001B550000}"/>
    <cellStyle name="40% - Accent2 12 4 5" xfId="29556" xr:uid="{00000000-0005-0000-0000-00001C550000}"/>
    <cellStyle name="40% - Accent2 12 5" xfId="5326" xr:uid="{00000000-0005-0000-0000-00001D550000}"/>
    <cellStyle name="40% - Accent2 12 5 2" xfId="11785" xr:uid="{00000000-0005-0000-0000-00001E550000}"/>
    <cellStyle name="40% - Accent2 12 5 2 2" xfId="24702" xr:uid="{00000000-0005-0000-0000-00001F550000}"/>
    <cellStyle name="40% - Accent2 12 5 2 2 2" xfId="50576" xr:uid="{00000000-0005-0000-0000-000020550000}"/>
    <cellStyle name="40% - Accent2 12 5 2 3" xfId="37660" xr:uid="{00000000-0005-0000-0000-000021550000}"/>
    <cellStyle name="40% - Accent2 12 5 3" xfId="18244" xr:uid="{00000000-0005-0000-0000-000022550000}"/>
    <cellStyle name="40% - Accent2 12 5 3 2" xfId="44118" xr:uid="{00000000-0005-0000-0000-000023550000}"/>
    <cellStyle name="40% - Accent2 12 5 4" xfId="31202" xr:uid="{00000000-0005-0000-0000-000024550000}"/>
    <cellStyle name="40% - Accent2 12 6" xfId="8557" xr:uid="{00000000-0005-0000-0000-000025550000}"/>
    <cellStyle name="40% - Accent2 12 6 2" xfId="21474" xr:uid="{00000000-0005-0000-0000-000026550000}"/>
    <cellStyle name="40% - Accent2 12 6 2 2" xfId="47348" xr:uid="{00000000-0005-0000-0000-000027550000}"/>
    <cellStyle name="40% - Accent2 12 6 3" xfId="34432" xr:uid="{00000000-0005-0000-0000-000028550000}"/>
    <cellStyle name="40% - Accent2 12 7" xfId="15016" xr:uid="{00000000-0005-0000-0000-000029550000}"/>
    <cellStyle name="40% - Accent2 12 7 2" xfId="40890" xr:uid="{00000000-0005-0000-0000-00002A550000}"/>
    <cellStyle name="40% - Accent2 12 8" xfId="27942" xr:uid="{00000000-0005-0000-0000-00002B550000}"/>
    <cellStyle name="40% - Accent2 12 9" xfId="53804" xr:uid="{00000000-0005-0000-0000-00002C550000}"/>
    <cellStyle name="40% - Accent2 13" xfId="2055" xr:uid="{00000000-0005-0000-0000-00002D550000}"/>
    <cellStyle name="40% - Accent2 13 2" xfId="2873" xr:uid="{00000000-0005-0000-0000-00002E550000}"/>
    <cellStyle name="40% - Accent2 13 2 2" xfId="4530" xr:uid="{00000000-0005-0000-0000-00002F550000}"/>
    <cellStyle name="40% - Accent2 13 2 2 2" xfId="7761" xr:uid="{00000000-0005-0000-0000-000030550000}"/>
    <cellStyle name="40% - Accent2 13 2 2 2 2" xfId="14220" xr:uid="{00000000-0005-0000-0000-000031550000}"/>
    <cellStyle name="40% - Accent2 13 2 2 2 2 2" xfId="27137" xr:uid="{00000000-0005-0000-0000-000032550000}"/>
    <cellStyle name="40% - Accent2 13 2 2 2 2 2 2" xfId="53011" xr:uid="{00000000-0005-0000-0000-000033550000}"/>
    <cellStyle name="40% - Accent2 13 2 2 2 2 3" xfId="40095" xr:uid="{00000000-0005-0000-0000-000034550000}"/>
    <cellStyle name="40% - Accent2 13 2 2 2 3" xfId="20679" xr:uid="{00000000-0005-0000-0000-000035550000}"/>
    <cellStyle name="40% - Accent2 13 2 2 2 3 2" xfId="46553" xr:uid="{00000000-0005-0000-0000-000036550000}"/>
    <cellStyle name="40% - Accent2 13 2 2 2 4" xfId="33637" xr:uid="{00000000-0005-0000-0000-000037550000}"/>
    <cellStyle name="40% - Accent2 13 2 2 3" xfId="10992" xr:uid="{00000000-0005-0000-0000-000038550000}"/>
    <cellStyle name="40% - Accent2 13 2 2 3 2" xfId="23909" xr:uid="{00000000-0005-0000-0000-000039550000}"/>
    <cellStyle name="40% - Accent2 13 2 2 3 2 2" xfId="49783" xr:uid="{00000000-0005-0000-0000-00003A550000}"/>
    <cellStyle name="40% - Accent2 13 2 2 3 3" xfId="36867" xr:uid="{00000000-0005-0000-0000-00003B550000}"/>
    <cellStyle name="40% - Accent2 13 2 2 4" xfId="17451" xr:uid="{00000000-0005-0000-0000-00003C550000}"/>
    <cellStyle name="40% - Accent2 13 2 2 4 2" xfId="43325" xr:uid="{00000000-0005-0000-0000-00003D550000}"/>
    <cellStyle name="40% - Accent2 13 2 2 5" xfId="30377" xr:uid="{00000000-0005-0000-0000-00003E550000}"/>
    <cellStyle name="40% - Accent2 13 2 3" xfId="6147" xr:uid="{00000000-0005-0000-0000-00003F550000}"/>
    <cellStyle name="40% - Accent2 13 2 3 2" xfId="12606" xr:uid="{00000000-0005-0000-0000-000040550000}"/>
    <cellStyle name="40% - Accent2 13 2 3 2 2" xfId="25523" xr:uid="{00000000-0005-0000-0000-000041550000}"/>
    <cellStyle name="40% - Accent2 13 2 3 2 2 2" xfId="51397" xr:uid="{00000000-0005-0000-0000-000042550000}"/>
    <cellStyle name="40% - Accent2 13 2 3 2 3" xfId="38481" xr:uid="{00000000-0005-0000-0000-000043550000}"/>
    <cellStyle name="40% - Accent2 13 2 3 3" xfId="19065" xr:uid="{00000000-0005-0000-0000-000044550000}"/>
    <cellStyle name="40% - Accent2 13 2 3 3 2" xfId="44939" xr:uid="{00000000-0005-0000-0000-000045550000}"/>
    <cellStyle name="40% - Accent2 13 2 3 4" xfId="32023" xr:uid="{00000000-0005-0000-0000-000046550000}"/>
    <cellStyle name="40% - Accent2 13 2 4" xfId="9378" xr:uid="{00000000-0005-0000-0000-000047550000}"/>
    <cellStyle name="40% - Accent2 13 2 4 2" xfId="22295" xr:uid="{00000000-0005-0000-0000-000048550000}"/>
    <cellStyle name="40% - Accent2 13 2 4 2 2" xfId="48169" xr:uid="{00000000-0005-0000-0000-000049550000}"/>
    <cellStyle name="40% - Accent2 13 2 4 3" xfId="35253" xr:uid="{00000000-0005-0000-0000-00004A550000}"/>
    <cellStyle name="40% - Accent2 13 2 5" xfId="15837" xr:uid="{00000000-0005-0000-0000-00004B550000}"/>
    <cellStyle name="40% - Accent2 13 2 5 2" xfId="41711" xr:uid="{00000000-0005-0000-0000-00004C550000}"/>
    <cellStyle name="40% - Accent2 13 2 6" xfId="28763" xr:uid="{00000000-0005-0000-0000-00004D550000}"/>
    <cellStyle name="40% - Accent2 13 3" xfId="3700" xr:uid="{00000000-0005-0000-0000-00004E550000}"/>
    <cellStyle name="40% - Accent2 13 3 2" xfId="6954" xr:uid="{00000000-0005-0000-0000-00004F550000}"/>
    <cellStyle name="40% - Accent2 13 3 2 2" xfId="13413" xr:uid="{00000000-0005-0000-0000-000050550000}"/>
    <cellStyle name="40% - Accent2 13 3 2 2 2" xfId="26330" xr:uid="{00000000-0005-0000-0000-000051550000}"/>
    <cellStyle name="40% - Accent2 13 3 2 2 2 2" xfId="52204" xr:uid="{00000000-0005-0000-0000-000052550000}"/>
    <cellStyle name="40% - Accent2 13 3 2 2 3" xfId="39288" xr:uid="{00000000-0005-0000-0000-000053550000}"/>
    <cellStyle name="40% - Accent2 13 3 2 3" xfId="19872" xr:uid="{00000000-0005-0000-0000-000054550000}"/>
    <cellStyle name="40% - Accent2 13 3 2 3 2" xfId="45746" xr:uid="{00000000-0005-0000-0000-000055550000}"/>
    <cellStyle name="40% - Accent2 13 3 2 4" xfId="32830" xr:uid="{00000000-0005-0000-0000-000056550000}"/>
    <cellStyle name="40% - Accent2 13 3 3" xfId="10185" xr:uid="{00000000-0005-0000-0000-000057550000}"/>
    <cellStyle name="40% - Accent2 13 3 3 2" xfId="23102" xr:uid="{00000000-0005-0000-0000-000058550000}"/>
    <cellStyle name="40% - Accent2 13 3 3 2 2" xfId="48976" xr:uid="{00000000-0005-0000-0000-000059550000}"/>
    <cellStyle name="40% - Accent2 13 3 3 3" xfId="36060" xr:uid="{00000000-0005-0000-0000-00005A550000}"/>
    <cellStyle name="40% - Accent2 13 3 4" xfId="16644" xr:uid="{00000000-0005-0000-0000-00005B550000}"/>
    <cellStyle name="40% - Accent2 13 3 4 2" xfId="42518" xr:uid="{00000000-0005-0000-0000-00005C550000}"/>
    <cellStyle name="40% - Accent2 13 3 5" xfId="29570" xr:uid="{00000000-0005-0000-0000-00005D550000}"/>
    <cellStyle name="40% - Accent2 13 4" xfId="5340" xr:uid="{00000000-0005-0000-0000-00005E550000}"/>
    <cellStyle name="40% - Accent2 13 4 2" xfId="11799" xr:uid="{00000000-0005-0000-0000-00005F550000}"/>
    <cellStyle name="40% - Accent2 13 4 2 2" xfId="24716" xr:uid="{00000000-0005-0000-0000-000060550000}"/>
    <cellStyle name="40% - Accent2 13 4 2 2 2" xfId="50590" xr:uid="{00000000-0005-0000-0000-000061550000}"/>
    <cellStyle name="40% - Accent2 13 4 2 3" xfId="37674" xr:uid="{00000000-0005-0000-0000-000062550000}"/>
    <cellStyle name="40% - Accent2 13 4 3" xfId="18258" xr:uid="{00000000-0005-0000-0000-000063550000}"/>
    <cellStyle name="40% - Accent2 13 4 3 2" xfId="44132" xr:uid="{00000000-0005-0000-0000-000064550000}"/>
    <cellStyle name="40% - Accent2 13 4 4" xfId="31216" xr:uid="{00000000-0005-0000-0000-000065550000}"/>
    <cellStyle name="40% - Accent2 13 5" xfId="8571" xr:uid="{00000000-0005-0000-0000-000066550000}"/>
    <cellStyle name="40% - Accent2 13 5 2" xfId="21488" xr:uid="{00000000-0005-0000-0000-000067550000}"/>
    <cellStyle name="40% - Accent2 13 5 2 2" xfId="47362" xr:uid="{00000000-0005-0000-0000-000068550000}"/>
    <cellStyle name="40% - Accent2 13 5 3" xfId="34446" xr:uid="{00000000-0005-0000-0000-000069550000}"/>
    <cellStyle name="40% - Accent2 13 6" xfId="15030" xr:uid="{00000000-0005-0000-0000-00006A550000}"/>
    <cellStyle name="40% - Accent2 13 6 2" xfId="40904" xr:uid="{00000000-0005-0000-0000-00006B550000}"/>
    <cellStyle name="40% - Accent2 13 7" xfId="27956" xr:uid="{00000000-0005-0000-0000-00006C550000}"/>
    <cellStyle name="40% - Accent2 13 8" xfId="53818" xr:uid="{00000000-0005-0000-0000-00006D550000}"/>
    <cellStyle name="40% - Accent2 14" xfId="2470" xr:uid="{00000000-0005-0000-0000-00006E550000}"/>
    <cellStyle name="40% - Accent2 14 2" xfId="4127" xr:uid="{00000000-0005-0000-0000-00006F550000}"/>
    <cellStyle name="40% - Accent2 14 2 2" xfId="7358" xr:uid="{00000000-0005-0000-0000-000070550000}"/>
    <cellStyle name="40% - Accent2 14 2 2 2" xfId="13817" xr:uid="{00000000-0005-0000-0000-000071550000}"/>
    <cellStyle name="40% - Accent2 14 2 2 2 2" xfId="26734" xr:uid="{00000000-0005-0000-0000-000072550000}"/>
    <cellStyle name="40% - Accent2 14 2 2 2 2 2" xfId="52608" xr:uid="{00000000-0005-0000-0000-000073550000}"/>
    <cellStyle name="40% - Accent2 14 2 2 2 3" xfId="39692" xr:uid="{00000000-0005-0000-0000-000074550000}"/>
    <cellStyle name="40% - Accent2 14 2 2 3" xfId="20276" xr:uid="{00000000-0005-0000-0000-000075550000}"/>
    <cellStyle name="40% - Accent2 14 2 2 3 2" xfId="46150" xr:uid="{00000000-0005-0000-0000-000076550000}"/>
    <cellStyle name="40% - Accent2 14 2 2 4" xfId="33234" xr:uid="{00000000-0005-0000-0000-000077550000}"/>
    <cellStyle name="40% - Accent2 14 2 3" xfId="10589" xr:uid="{00000000-0005-0000-0000-000078550000}"/>
    <cellStyle name="40% - Accent2 14 2 3 2" xfId="23506" xr:uid="{00000000-0005-0000-0000-000079550000}"/>
    <cellStyle name="40% - Accent2 14 2 3 2 2" xfId="49380" xr:uid="{00000000-0005-0000-0000-00007A550000}"/>
    <cellStyle name="40% - Accent2 14 2 3 3" xfId="36464" xr:uid="{00000000-0005-0000-0000-00007B550000}"/>
    <cellStyle name="40% - Accent2 14 2 4" xfId="17048" xr:uid="{00000000-0005-0000-0000-00007C550000}"/>
    <cellStyle name="40% - Accent2 14 2 4 2" xfId="42922" xr:uid="{00000000-0005-0000-0000-00007D550000}"/>
    <cellStyle name="40% - Accent2 14 2 5" xfId="29974" xr:uid="{00000000-0005-0000-0000-00007E550000}"/>
    <cellStyle name="40% - Accent2 14 3" xfId="5744" xr:uid="{00000000-0005-0000-0000-00007F550000}"/>
    <cellStyle name="40% - Accent2 14 3 2" xfId="12203" xr:uid="{00000000-0005-0000-0000-000080550000}"/>
    <cellStyle name="40% - Accent2 14 3 2 2" xfId="25120" xr:uid="{00000000-0005-0000-0000-000081550000}"/>
    <cellStyle name="40% - Accent2 14 3 2 2 2" xfId="50994" xr:uid="{00000000-0005-0000-0000-000082550000}"/>
    <cellStyle name="40% - Accent2 14 3 2 3" xfId="38078" xr:uid="{00000000-0005-0000-0000-000083550000}"/>
    <cellStyle name="40% - Accent2 14 3 3" xfId="18662" xr:uid="{00000000-0005-0000-0000-000084550000}"/>
    <cellStyle name="40% - Accent2 14 3 3 2" xfId="44536" xr:uid="{00000000-0005-0000-0000-000085550000}"/>
    <cellStyle name="40% - Accent2 14 3 4" xfId="31620" xr:uid="{00000000-0005-0000-0000-000086550000}"/>
    <cellStyle name="40% - Accent2 14 4" xfId="8975" xr:uid="{00000000-0005-0000-0000-000087550000}"/>
    <cellStyle name="40% - Accent2 14 4 2" xfId="21892" xr:uid="{00000000-0005-0000-0000-000088550000}"/>
    <cellStyle name="40% - Accent2 14 4 2 2" xfId="47766" xr:uid="{00000000-0005-0000-0000-000089550000}"/>
    <cellStyle name="40% - Accent2 14 4 3" xfId="34850" xr:uid="{00000000-0005-0000-0000-00008A550000}"/>
    <cellStyle name="40% - Accent2 14 5" xfId="15434" xr:uid="{00000000-0005-0000-0000-00008B550000}"/>
    <cellStyle name="40% - Accent2 14 5 2" xfId="41308" xr:uid="{00000000-0005-0000-0000-00008C550000}"/>
    <cellStyle name="40% - Accent2 14 6" xfId="28360" xr:uid="{00000000-0005-0000-0000-00008D550000}"/>
    <cellStyle name="40% - Accent2 15" xfId="3279" xr:uid="{00000000-0005-0000-0000-00008E550000}"/>
    <cellStyle name="40% - Accent2 15 2" xfId="6551" xr:uid="{00000000-0005-0000-0000-00008F550000}"/>
    <cellStyle name="40% - Accent2 15 2 2" xfId="13010" xr:uid="{00000000-0005-0000-0000-000090550000}"/>
    <cellStyle name="40% - Accent2 15 2 2 2" xfId="25927" xr:uid="{00000000-0005-0000-0000-000091550000}"/>
    <cellStyle name="40% - Accent2 15 2 2 2 2" xfId="51801" xr:uid="{00000000-0005-0000-0000-000092550000}"/>
    <cellStyle name="40% - Accent2 15 2 2 3" xfId="38885" xr:uid="{00000000-0005-0000-0000-000093550000}"/>
    <cellStyle name="40% - Accent2 15 2 3" xfId="19469" xr:uid="{00000000-0005-0000-0000-000094550000}"/>
    <cellStyle name="40% - Accent2 15 2 3 2" xfId="45343" xr:uid="{00000000-0005-0000-0000-000095550000}"/>
    <cellStyle name="40% - Accent2 15 2 4" xfId="32427" xr:uid="{00000000-0005-0000-0000-000096550000}"/>
    <cellStyle name="40% - Accent2 15 3" xfId="9782" xr:uid="{00000000-0005-0000-0000-000097550000}"/>
    <cellStyle name="40% - Accent2 15 3 2" xfId="22699" xr:uid="{00000000-0005-0000-0000-000098550000}"/>
    <cellStyle name="40% - Accent2 15 3 2 2" xfId="48573" xr:uid="{00000000-0005-0000-0000-000099550000}"/>
    <cellStyle name="40% - Accent2 15 3 3" xfId="35657" xr:uid="{00000000-0005-0000-0000-00009A550000}"/>
    <cellStyle name="40% - Accent2 15 4" xfId="16241" xr:uid="{00000000-0005-0000-0000-00009B550000}"/>
    <cellStyle name="40% - Accent2 15 4 2" xfId="42115" xr:uid="{00000000-0005-0000-0000-00009C550000}"/>
    <cellStyle name="40% - Accent2 15 5" xfId="29167" xr:uid="{00000000-0005-0000-0000-00009D550000}"/>
    <cellStyle name="40% - Accent2 16" xfId="4937" xr:uid="{00000000-0005-0000-0000-00009E550000}"/>
    <cellStyle name="40% - Accent2 16 2" xfId="11396" xr:uid="{00000000-0005-0000-0000-00009F550000}"/>
    <cellStyle name="40% - Accent2 16 2 2" xfId="24313" xr:uid="{00000000-0005-0000-0000-0000A0550000}"/>
    <cellStyle name="40% - Accent2 16 2 2 2" xfId="50187" xr:uid="{00000000-0005-0000-0000-0000A1550000}"/>
    <cellStyle name="40% - Accent2 16 2 3" xfId="37271" xr:uid="{00000000-0005-0000-0000-0000A2550000}"/>
    <cellStyle name="40% - Accent2 16 3" xfId="17855" xr:uid="{00000000-0005-0000-0000-0000A3550000}"/>
    <cellStyle name="40% - Accent2 16 3 2" xfId="43729" xr:uid="{00000000-0005-0000-0000-0000A4550000}"/>
    <cellStyle name="40% - Accent2 16 4" xfId="30813" xr:uid="{00000000-0005-0000-0000-0000A5550000}"/>
    <cellStyle name="40% - Accent2 17" xfId="8165" xr:uid="{00000000-0005-0000-0000-0000A6550000}"/>
    <cellStyle name="40% - Accent2 17 2" xfId="21083" xr:uid="{00000000-0005-0000-0000-0000A7550000}"/>
    <cellStyle name="40% - Accent2 17 2 2" xfId="46957" xr:uid="{00000000-0005-0000-0000-0000A8550000}"/>
    <cellStyle name="40% - Accent2 17 3" xfId="34041" xr:uid="{00000000-0005-0000-0000-0000A9550000}"/>
    <cellStyle name="40% - Accent2 18" xfId="14625" xr:uid="{00000000-0005-0000-0000-0000AA550000}"/>
    <cellStyle name="40% - Accent2 18 2" xfId="40499" xr:uid="{00000000-0005-0000-0000-0000AB550000}"/>
    <cellStyle name="40% - Accent2 19" xfId="27543" xr:uid="{00000000-0005-0000-0000-0000AC550000}"/>
    <cellStyle name="40% - Accent2 2" xfId="27" xr:uid="{00000000-0005-0000-0000-0000AD550000}"/>
    <cellStyle name="40% - Accent2 2 10" xfId="14641" xr:uid="{00000000-0005-0000-0000-0000AE550000}"/>
    <cellStyle name="40% - Accent2 2 10 2" xfId="40515" xr:uid="{00000000-0005-0000-0000-0000AF550000}"/>
    <cellStyle name="40% - Accent2 2 11" xfId="27559" xr:uid="{00000000-0005-0000-0000-0000B0550000}"/>
    <cellStyle name="40% - Accent2 2 12" xfId="53431" xr:uid="{00000000-0005-0000-0000-0000B1550000}"/>
    <cellStyle name="40% - Accent2 2 13" xfId="1099" xr:uid="{00000000-0005-0000-0000-0000B2550000}"/>
    <cellStyle name="40% - Accent2 2 2" xfId="1100" xr:uid="{00000000-0005-0000-0000-0000B3550000}"/>
    <cellStyle name="40% - Accent2 2 3" xfId="1101" xr:uid="{00000000-0005-0000-0000-0000B4550000}"/>
    <cellStyle name="40% - Accent2 2 3 10" xfId="27591" xr:uid="{00000000-0005-0000-0000-0000B5550000}"/>
    <cellStyle name="40% - Accent2 2 3 11" xfId="53457" xr:uid="{00000000-0005-0000-0000-0000B6550000}"/>
    <cellStyle name="40% - Accent2 2 3 2" xfId="1675" xr:uid="{00000000-0005-0000-0000-0000B7550000}"/>
    <cellStyle name="40% - Accent2 2 3 2 10" xfId="53580" xr:uid="{00000000-0005-0000-0000-0000B8550000}"/>
    <cellStyle name="40% - Accent2 2 3 2 2" xfId="1989" xr:uid="{00000000-0005-0000-0000-0000B9550000}"/>
    <cellStyle name="40% - Accent2 2 3 2 2 2" xfId="2420" xr:uid="{00000000-0005-0000-0000-0000BA550000}"/>
    <cellStyle name="40% - Accent2 2 3 2 2 2 2" xfId="3233" xr:uid="{00000000-0005-0000-0000-0000BB550000}"/>
    <cellStyle name="40% - Accent2 2 3 2 2 2 2 2" xfId="4890" xr:uid="{00000000-0005-0000-0000-0000BC550000}"/>
    <cellStyle name="40% - Accent2 2 3 2 2 2 2 2 2" xfId="8121" xr:uid="{00000000-0005-0000-0000-0000BD550000}"/>
    <cellStyle name="40% - Accent2 2 3 2 2 2 2 2 2 2" xfId="14580" xr:uid="{00000000-0005-0000-0000-0000BE550000}"/>
    <cellStyle name="40% - Accent2 2 3 2 2 2 2 2 2 2 2" xfId="27497" xr:uid="{00000000-0005-0000-0000-0000BF550000}"/>
    <cellStyle name="40% - Accent2 2 3 2 2 2 2 2 2 2 2 2" xfId="53371" xr:uid="{00000000-0005-0000-0000-0000C0550000}"/>
    <cellStyle name="40% - Accent2 2 3 2 2 2 2 2 2 2 3" xfId="40455" xr:uid="{00000000-0005-0000-0000-0000C1550000}"/>
    <cellStyle name="40% - Accent2 2 3 2 2 2 2 2 2 3" xfId="21039" xr:uid="{00000000-0005-0000-0000-0000C2550000}"/>
    <cellStyle name="40% - Accent2 2 3 2 2 2 2 2 2 3 2" xfId="46913" xr:uid="{00000000-0005-0000-0000-0000C3550000}"/>
    <cellStyle name="40% - Accent2 2 3 2 2 2 2 2 2 4" xfId="33997" xr:uid="{00000000-0005-0000-0000-0000C4550000}"/>
    <cellStyle name="40% - Accent2 2 3 2 2 2 2 2 3" xfId="11352" xr:uid="{00000000-0005-0000-0000-0000C5550000}"/>
    <cellStyle name="40% - Accent2 2 3 2 2 2 2 2 3 2" xfId="24269" xr:uid="{00000000-0005-0000-0000-0000C6550000}"/>
    <cellStyle name="40% - Accent2 2 3 2 2 2 2 2 3 2 2" xfId="50143" xr:uid="{00000000-0005-0000-0000-0000C7550000}"/>
    <cellStyle name="40% - Accent2 2 3 2 2 2 2 2 3 3" xfId="37227" xr:uid="{00000000-0005-0000-0000-0000C8550000}"/>
    <cellStyle name="40% - Accent2 2 3 2 2 2 2 2 4" xfId="17811" xr:uid="{00000000-0005-0000-0000-0000C9550000}"/>
    <cellStyle name="40% - Accent2 2 3 2 2 2 2 2 4 2" xfId="43685" xr:uid="{00000000-0005-0000-0000-0000CA550000}"/>
    <cellStyle name="40% - Accent2 2 3 2 2 2 2 2 5" xfId="30737" xr:uid="{00000000-0005-0000-0000-0000CB550000}"/>
    <cellStyle name="40% - Accent2 2 3 2 2 2 2 3" xfId="6507" xr:uid="{00000000-0005-0000-0000-0000CC550000}"/>
    <cellStyle name="40% - Accent2 2 3 2 2 2 2 3 2" xfId="12966" xr:uid="{00000000-0005-0000-0000-0000CD550000}"/>
    <cellStyle name="40% - Accent2 2 3 2 2 2 2 3 2 2" xfId="25883" xr:uid="{00000000-0005-0000-0000-0000CE550000}"/>
    <cellStyle name="40% - Accent2 2 3 2 2 2 2 3 2 2 2" xfId="51757" xr:uid="{00000000-0005-0000-0000-0000CF550000}"/>
    <cellStyle name="40% - Accent2 2 3 2 2 2 2 3 2 3" xfId="38841" xr:uid="{00000000-0005-0000-0000-0000D0550000}"/>
    <cellStyle name="40% - Accent2 2 3 2 2 2 2 3 3" xfId="19425" xr:uid="{00000000-0005-0000-0000-0000D1550000}"/>
    <cellStyle name="40% - Accent2 2 3 2 2 2 2 3 3 2" xfId="45299" xr:uid="{00000000-0005-0000-0000-0000D2550000}"/>
    <cellStyle name="40% - Accent2 2 3 2 2 2 2 3 4" xfId="32383" xr:uid="{00000000-0005-0000-0000-0000D3550000}"/>
    <cellStyle name="40% - Accent2 2 3 2 2 2 2 4" xfId="9738" xr:uid="{00000000-0005-0000-0000-0000D4550000}"/>
    <cellStyle name="40% - Accent2 2 3 2 2 2 2 4 2" xfId="22655" xr:uid="{00000000-0005-0000-0000-0000D5550000}"/>
    <cellStyle name="40% - Accent2 2 3 2 2 2 2 4 2 2" xfId="48529" xr:uid="{00000000-0005-0000-0000-0000D6550000}"/>
    <cellStyle name="40% - Accent2 2 3 2 2 2 2 4 3" xfId="35613" xr:uid="{00000000-0005-0000-0000-0000D7550000}"/>
    <cellStyle name="40% - Accent2 2 3 2 2 2 2 5" xfId="16197" xr:uid="{00000000-0005-0000-0000-0000D8550000}"/>
    <cellStyle name="40% - Accent2 2 3 2 2 2 2 5 2" xfId="42071" xr:uid="{00000000-0005-0000-0000-0000D9550000}"/>
    <cellStyle name="40% - Accent2 2 3 2 2 2 2 6" xfId="29123" xr:uid="{00000000-0005-0000-0000-0000DA550000}"/>
    <cellStyle name="40% - Accent2 2 3 2 2 2 3" xfId="4060" xr:uid="{00000000-0005-0000-0000-0000DB550000}"/>
    <cellStyle name="40% - Accent2 2 3 2 2 2 3 2" xfId="7314" xr:uid="{00000000-0005-0000-0000-0000DC550000}"/>
    <cellStyle name="40% - Accent2 2 3 2 2 2 3 2 2" xfId="13773" xr:uid="{00000000-0005-0000-0000-0000DD550000}"/>
    <cellStyle name="40% - Accent2 2 3 2 2 2 3 2 2 2" xfId="26690" xr:uid="{00000000-0005-0000-0000-0000DE550000}"/>
    <cellStyle name="40% - Accent2 2 3 2 2 2 3 2 2 2 2" xfId="52564" xr:uid="{00000000-0005-0000-0000-0000DF550000}"/>
    <cellStyle name="40% - Accent2 2 3 2 2 2 3 2 2 3" xfId="39648" xr:uid="{00000000-0005-0000-0000-0000E0550000}"/>
    <cellStyle name="40% - Accent2 2 3 2 2 2 3 2 3" xfId="20232" xr:uid="{00000000-0005-0000-0000-0000E1550000}"/>
    <cellStyle name="40% - Accent2 2 3 2 2 2 3 2 3 2" xfId="46106" xr:uid="{00000000-0005-0000-0000-0000E2550000}"/>
    <cellStyle name="40% - Accent2 2 3 2 2 2 3 2 4" xfId="33190" xr:uid="{00000000-0005-0000-0000-0000E3550000}"/>
    <cellStyle name="40% - Accent2 2 3 2 2 2 3 3" xfId="10545" xr:uid="{00000000-0005-0000-0000-0000E4550000}"/>
    <cellStyle name="40% - Accent2 2 3 2 2 2 3 3 2" xfId="23462" xr:uid="{00000000-0005-0000-0000-0000E5550000}"/>
    <cellStyle name="40% - Accent2 2 3 2 2 2 3 3 2 2" xfId="49336" xr:uid="{00000000-0005-0000-0000-0000E6550000}"/>
    <cellStyle name="40% - Accent2 2 3 2 2 2 3 3 3" xfId="36420" xr:uid="{00000000-0005-0000-0000-0000E7550000}"/>
    <cellStyle name="40% - Accent2 2 3 2 2 2 3 4" xfId="17004" xr:uid="{00000000-0005-0000-0000-0000E8550000}"/>
    <cellStyle name="40% - Accent2 2 3 2 2 2 3 4 2" xfId="42878" xr:uid="{00000000-0005-0000-0000-0000E9550000}"/>
    <cellStyle name="40% - Accent2 2 3 2 2 2 3 5" xfId="29930" xr:uid="{00000000-0005-0000-0000-0000EA550000}"/>
    <cellStyle name="40% - Accent2 2 3 2 2 2 4" xfId="5700" xr:uid="{00000000-0005-0000-0000-0000EB550000}"/>
    <cellStyle name="40% - Accent2 2 3 2 2 2 4 2" xfId="12159" xr:uid="{00000000-0005-0000-0000-0000EC550000}"/>
    <cellStyle name="40% - Accent2 2 3 2 2 2 4 2 2" xfId="25076" xr:uid="{00000000-0005-0000-0000-0000ED550000}"/>
    <cellStyle name="40% - Accent2 2 3 2 2 2 4 2 2 2" xfId="50950" xr:uid="{00000000-0005-0000-0000-0000EE550000}"/>
    <cellStyle name="40% - Accent2 2 3 2 2 2 4 2 3" xfId="38034" xr:uid="{00000000-0005-0000-0000-0000EF550000}"/>
    <cellStyle name="40% - Accent2 2 3 2 2 2 4 3" xfId="18618" xr:uid="{00000000-0005-0000-0000-0000F0550000}"/>
    <cellStyle name="40% - Accent2 2 3 2 2 2 4 3 2" xfId="44492" xr:uid="{00000000-0005-0000-0000-0000F1550000}"/>
    <cellStyle name="40% - Accent2 2 3 2 2 2 4 4" xfId="31576" xr:uid="{00000000-0005-0000-0000-0000F2550000}"/>
    <cellStyle name="40% - Accent2 2 3 2 2 2 5" xfId="8931" xr:uid="{00000000-0005-0000-0000-0000F3550000}"/>
    <cellStyle name="40% - Accent2 2 3 2 2 2 5 2" xfId="21848" xr:uid="{00000000-0005-0000-0000-0000F4550000}"/>
    <cellStyle name="40% - Accent2 2 3 2 2 2 5 2 2" xfId="47722" xr:uid="{00000000-0005-0000-0000-0000F5550000}"/>
    <cellStyle name="40% - Accent2 2 3 2 2 2 5 3" xfId="34806" xr:uid="{00000000-0005-0000-0000-0000F6550000}"/>
    <cellStyle name="40% - Accent2 2 3 2 2 2 6" xfId="15390" xr:uid="{00000000-0005-0000-0000-0000F7550000}"/>
    <cellStyle name="40% - Accent2 2 3 2 2 2 6 2" xfId="41264" xr:uid="{00000000-0005-0000-0000-0000F8550000}"/>
    <cellStyle name="40% - Accent2 2 3 2 2 2 7" xfId="28316" xr:uid="{00000000-0005-0000-0000-0000F9550000}"/>
    <cellStyle name="40% - Accent2 2 3 2 2 2 8" xfId="54178" xr:uid="{00000000-0005-0000-0000-0000FA550000}"/>
    <cellStyle name="40% - Accent2 2 3 2 2 3" xfId="2829" xr:uid="{00000000-0005-0000-0000-0000FB550000}"/>
    <cellStyle name="40% - Accent2 2 3 2 2 3 2" xfId="4486" xr:uid="{00000000-0005-0000-0000-0000FC550000}"/>
    <cellStyle name="40% - Accent2 2 3 2 2 3 2 2" xfId="7717" xr:uid="{00000000-0005-0000-0000-0000FD550000}"/>
    <cellStyle name="40% - Accent2 2 3 2 2 3 2 2 2" xfId="14176" xr:uid="{00000000-0005-0000-0000-0000FE550000}"/>
    <cellStyle name="40% - Accent2 2 3 2 2 3 2 2 2 2" xfId="27093" xr:uid="{00000000-0005-0000-0000-0000FF550000}"/>
    <cellStyle name="40% - Accent2 2 3 2 2 3 2 2 2 2 2" xfId="52967" xr:uid="{00000000-0005-0000-0000-000000560000}"/>
    <cellStyle name="40% - Accent2 2 3 2 2 3 2 2 2 3" xfId="40051" xr:uid="{00000000-0005-0000-0000-000001560000}"/>
    <cellStyle name="40% - Accent2 2 3 2 2 3 2 2 3" xfId="20635" xr:uid="{00000000-0005-0000-0000-000002560000}"/>
    <cellStyle name="40% - Accent2 2 3 2 2 3 2 2 3 2" xfId="46509" xr:uid="{00000000-0005-0000-0000-000003560000}"/>
    <cellStyle name="40% - Accent2 2 3 2 2 3 2 2 4" xfId="33593" xr:uid="{00000000-0005-0000-0000-000004560000}"/>
    <cellStyle name="40% - Accent2 2 3 2 2 3 2 3" xfId="10948" xr:uid="{00000000-0005-0000-0000-000005560000}"/>
    <cellStyle name="40% - Accent2 2 3 2 2 3 2 3 2" xfId="23865" xr:uid="{00000000-0005-0000-0000-000006560000}"/>
    <cellStyle name="40% - Accent2 2 3 2 2 3 2 3 2 2" xfId="49739" xr:uid="{00000000-0005-0000-0000-000007560000}"/>
    <cellStyle name="40% - Accent2 2 3 2 2 3 2 3 3" xfId="36823" xr:uid="{00000000-0005-0000-0000-000008560000}"/>
    <cellStyle name="40% - Accent2 2 3 2 2 3 2 4" xfId="17407" xr:uid="{00000000-0005-0000-0000-000009560000}"/>
    <cellStyle name="40% - Accent2 2 3 2 2 3 2 4 2" xfId="43281" xr:uid="{00000000-0005-0000-0000-00000A560000}"/>
    <cellStyle name="40% - Accent2 2 3 2 2 3 2 5" xfId="30333" xr:uid="{00000000-0005-0000-0000-00000B560000}"/>
    <cellStyle name="40% - Accent2 2 3 2 2 3 3" xfId="6103" xr:uid="{00000000-0005-0000-0000-00000C560000}"/>
    <cellStyle name="40% - Accent2 2 3 2 2 3 3 2" xfId="12562" xr:uid="{00000000-0005-0000-0000-00000D560000}"/>
    <cellStyle name="40% - Accent2 2 3 2 2 3 3 2 2" xfId="25479" xr:uid="{00000000-0005-0000-0000-00000E560000}"/>
    <cellStyle name="40% - Accent2 2 3 2 2 3 3 2 2 2" xfId="51353" xr:uid="{00000000-0005-0000-0000-00000F560000}"/>
    <cellStyle name="40% - Accent2 2 3 2 2 3 3 2 3" xfId="38437" xr:uid="{00000000-0005-0000-0000-000010560000}"/>
    <cellStyle name="40% - Accent2 2 3 2 2 3 3 3" xfId="19021" xr:uid="{00000000-0005-0000-0000-000011560000}"/>
    <cellStyle name="40% - Accent2 2 3 2 2 3 3 3 2" xfId="44895" xr:uid="{00000000-0005-0000-0000-000012560000}"/>
    <cellStyle name="40% - Accent2 2 3 2 2 3 3 4" xfId="31979" xr:uid="{00000000-0005-0000-0000-000013560000}"/>
    <cellStyle name="40% - Accent2 2 3 2 2 3 4" xfId="9334" xr:uid="{00000000-0005-0000-0000-000014560000}"/>
    <cellStyle name="40% - Accent2 2 3 2 2 3 4 2" xfId="22251" xr:uid="{00000000-0005-0000-0000-000015560000}"/>
    <cellStyle name="40% - Accent2 2 3 2 2 3 4 2 2" xfId="48125" xr:uid="{00000000-0005-0000-0000-000016560000}"/>
    <cellStyle name="40% - Accent2 2 3 2 2 3 4 3" xfId="35209" xr:uid="{00000000-0005-0000-0000-000017560000}"/>
    <cellStyle name="40% - Accent2 2 3 2 2 3 5" xfId="15793" xr:uid="{00000000-0005-0000-0000-000018560000}"/>
    <cellStyle name="40% - Accent2 2 3 2 2 3 5 2" xfId="41667" xr:uid="{00000000-0005-0000-0000-000019560000}"/>
    <cellStyle name="40% - Accent2 2 3 2 2 3 6" xfId="28719" xr:uid="{00000000-0005-0000-0000-00001A560000}"/>
    <cellStyle name="40% - Accent2 2 3 2 2 4" xfId="3656" xr:uid="{00000000-0005-0000-0000-00001B560000}"/>
    <cellStyle name="40% - Accent2 2 3 2 2 4 2" xfId="6910" xr:uid="{00000000-0005-0000-0000-00001C560000}"/>
    <cellStyle name="40% - Accent2 2 3 2 2 4 2 2" xfId="13369" xr:uid="{00000000-0005-0000-0000-00001D560000}"/>
    <cellStyle name="40% - Accent2 2 3 2 2 4 2 2 2" xfId="26286" xr:uid="{00000000-0005-0000-0000-00001E560000}"/>
    <cellStyle name="40% - Accent2 2 3 2 2 4 2 2 2 2" xfId="52160" xr:uid="{00000000-0005-0000-0000-00001F560000}"/>
    <cellStyle name="40% - Accent2 2 3 2 2 4 2 2 3" xfId="39244" xr:uid="{00000000-0005-0000-0000-000020560000}"/>
    <cellStyle name="40% - Accent2 2 3 2 2 4 2 3" xfId="19828" xr:uid="{00000000-0005-0000-0000-000021560000}"/>
    <cellStyle name="40% - Accent2 2 3 2 2 4 2 3 2" xfId="45702" xr:uid="{00000000-0005-0000-0000-000022560000}"/>
    <cellStyle name="40% - Accent2 2 3 2 2 4 2 4" xfId="32786" xr:uid="{00000000-0005-0000-0000-000023560000}"/>
    <cellStyle name="40% - Accent2 2 3 2 2 4 3" xfId="10141" xr:uid="{00000000-0005-0000-0000-000024560000}"/>
    <cellStyle name="40% - Accent2 2 3 2 2 4 3 2" xfId="23058" xr:uid="{00000000-0005-0000-0000-000025560000}"/>
    <cellStyle name="40% - Accent2 2 3 2 2 4 3 2 2" xfId="48932" xr:uid="{00000000-0005-0000-0000-000026560000}"/>
    <cellStyle name="40% - Accent2 2 3 2 2 4 3 3" xfId="36016" xr:uid="{00000000-0005-0000-0000-000027560000}"/>
    <cellStyle name="40% - Accent2 2 3 2 2 4 4" xfId="16600" xr:uid="{00000000-0005-0000-0000-000028560000}"/>
    <cellStyle name="40% - Accent2 2 3 2 2 4 4 2" xfId="42474" xr:uid="{00000000-0005-0000-0000-000029560000}"/>
    <cellStyle name="40% - Accent2 2 3 2 2 4 5" xfId="29526" xr:uid="{00000000-0005-0000-0000-00002A560000}"/>
    <cellStyle name="40% - Accent2 2 3 2 2 5" xfId="5296" xr:uid="{00000000-0005-0000-0000-00002B560000}"/>
    <cellStyle name="40% - Accent2 2 3 2 2 5 2" xfId="11755" xr:uid="{00000000-0005-0000-0000-00002C560000}"/>
    <cellStyle name="40% - Accent2 2 3 2 2 5 2 2" xfId="24672" xr:uid="{00000000-0005-0000-0000-00002D560000}"/>
    <cellStyle name="40% - Accent2 2 3 2 2 5 2 2 2" xfId="50546" xr:uid="{00000000-0005-0000-0000-00002E560000}"/>
    <cellStyle name="40% - Accent2 2 3 2 2 5 2 3" xfId="37630" xr:uid="{00000000-0005-0000-0000-00002F560000}"/>
    <cellStyle name="40% - Accent2 2 3 2 2 5 3" xfId="18214" xr:uid="{00000000-0005-0000-0000-000030560000}"/>
    <cellStyle name="40% - Accent2 2 3 2 2 5 3 2" xfId="44088" xr:uid="{00000000-0005-0000-0000-000031560000}"/>
    <cellStyle name="40% - Accent2 2 3 2 2 5 4" xfId="31172" xr:uid="{00000000-0005-0000-0000-000032560000}"/>
    <cellStyle name="40% - Accent2 2 3 2 2 6" xfId="8527" xr:uid="{00000000-0005-0000-0000-000033560000}"/>
    <cellStyle name="40% - Accent2 2 3 2 2 6 2" xfId="21444" xr:uid="{00000000-0005-0000-0000-000034560000}"/>
    <cellStyle name="40% - Accent2 2 3 2 2 6 2 2" xfId="47318" xr:uid="{00000000-0005-0000-0000-000035560000}"/>
    <cellStyle name="40% - Accent2 2 3 2 2 6 3" xfId="34402" xr:uid="{00000000-0005-0000-0000-000036560000}"/>
    <cellStyle name="40% - Accent2 2 3 2 2 7" xfId="14986" xr:uid="{00000000-0005-0000-0000-000037560000}"/>
    <cellStyle name="40% - Accent2 2 3 2 2 7 2" xfId="40860" xr:uid="{00000000-0005-0000-0000-000038560000}"/>
    <cellStyle name="40% - Accent2 2 3 2 2 8" xfId="27911" xr:uid="{00000000-0005-0000-0000-000039560000}"/>
    <cellStyle name="40% - Accent2 2 3 2 2 9" xfId="53774" xr:uid="{00000000-0005-0000-0000-00003A560000}"/>
    <cellStyle name="40% - Accent2 2 3 2 3" xfId="2224" xr:uid="{00000000-0005-0000-0000-00003B560000}"/>
    <cellStyle name="40% - Accent2 2 3 2 3 2" xfId="3038" xr:uid="{00000000-0005-0000-0000-00003C560000}"/>
    <cellStyle name="40% - Accent2 2 3 2 3 2 2" xfId="4695" xr:uid="{00000000-0005-0000-0000-00003D560000}"/>
    <cellStyle name="40% - Accent2 2 3 2 3 2 2 2" xfId="7926" xr:uid="{00000000-0005-0000-0000-00003E560000}"/>
    <cellStyle name="40% - Accent2 2 3 2 3 2 2 2 2" xfId="14385" xr:uid="{00000000-0005-0000-0000-00003F560000}"/>
    <cellStyle name="40% - Accent2 2 3 2 3 2 2 2 2 2" xfId="27302" xr:uid="{00000000-0005-0000-0000-000040560000}"/>
    <cellStyle name="40% - Accent2 2 3 2 3 2 2 2 2 2 2" xfId="53176" xr:uid="{00000000-0005-0000-0000-000041560000}"/>
    <cellStyle name="40% - Accent2 2 3 2 3 2 2 2 2 3" xfId="40260" xr:uid="{00000000-0005-0000-0000-000042560000}"/>
    <cellStyle name="40% - Accent2 2 3 2 3 2 2 2 3" xfId="20844" xr:uid="{00000000-0005-0000-0000-000043560000}"/>
    <cellStyle name="40% - Accent2 2 3 2 3 2 2 2 3 2" xfId="46718" xr:uid="{00000000-0005-0000-0000-000044560000}"/>
    <cellStyle name="40% - Accent2 2 3 2 3 2 2 2 4" xfId="33802" xr:uid="{00000000-0005-0000-0000-000045560000}"/>
    <cellStyle name="40% - Accent2 2 3 2 3 2 2 3" xfId="11157" xr:uid="{00000000-0005-0000-0000-000046560000}"/>
    <cellStyle name="40% - Accent2 2 3 2 3 2 2 3 2" xfId="24074" xr:uid="{00000000-0005-0000-0000-000047560000}"/>
    <cellStyle name="40% - Accent2 2 3 2 3 2 2 3 2 2" xfId="49948" xr:uid="{00000000-0005-0000-0000-000048560000}"/>
    <cellStyle name="40% - Accent2 2 3 2 3 2 2 3 3" xfId="37032" xr:uid="{00000000-0005-0000-0000-000049560000}"/>
    <cellStyle name="40% - Accent2 2 3 2 3 2 2 4" xfId="17616" xr:uid="{00000000-0005-0000-0000-00004A560000}"/>
    <cellStyle name="40% - Accent2 2 3 2 3 2 2 4 2" xfId="43490" xr:uid="{00000000-0005-0000-0000-00004B560000}"/>
    <cellStyle name="40% - Accent2 2 3 2 3 2 2 5" xfId="30542" xr:uid="{00000000-0005-0000-0000-00004C560000}"/>
    <cellStyle name="40% - Accent2 2 3 2 3 2 3" xfId="6312" xr:uid="{00000000-0005-0000-0000-00004D560000}"/>
    <cellStyle name="40% - Accent2 2 3 2 3 2 3 2" xfId="12771" xr:uid="{00000000-0005-0000-0000-00004E560000}"/>
    <cellStyle name="40% - Accent2 2 3 2 3 2 3 2 2" xfId="25688" xr:uid="{00000000-0005-0000-0000-00004F560000}"/>
    <cellStyle name="40% - Accent2 2 3 2 3 2 3 2 2 2" xfId="51562" xr:uid="{00000000-0005-0000-0000-000050560000}"/>
    <cellStyle name="40% - Accent2 2 3 2 3 2 3 2 3" xfId="38646" xr:uid="{00000000-0005-0000-0000-000051560000}"/>
    <cellStyle name="40% - Accent2 2 3 2 3 2 3 3" xfId="19230" xr:uid="{00000000-0005-0000-0000-000052560000}"/>
    <cellStyle name="40% - Accent2 2 3 2 3 2 3 3 2" xfId="45104" xr:uid="{00000000-0005-0000-0000-000053560000}"/>
    <cellStyle name="40% - Accent2 2 3 2 3 2 3 4" xfId="32188" xr:uid="{00000000-0005-0000-0000-000054560000}"/>
    <cellStyle name="40% - Accent2 2 3 2 3 2 4" xfId="9543" xr:uid="{00000000-0005-0000-0000-000055560000}"/>
    <cellStyle name="40% - Accent2 2 3 2 3 2 4 2" xfId="22460" xr:uid="{00000000-0005-0000-0000-000056560000}"/>
    <cellStyle name="40% - Accent2 2 3 2 3 2 4 2 2" xfId="48334" xr:uid="{00000000-0005-0000-0000-000057560000}"/>
    <cellStyle name="40% - Accent2 2 3 2 3 2 4 3" xfId="35418" xr:uid="{00000000-0005-0000-0000-000058560000}"/>
    <cellStyle name="40% - Accent2 2 3 2 3 2 5" xfId="16002" xr:uid="{00000000-0005-0000-0000-000059560000}"/>
    <cellStyle name="40% - Accent2 2 3 2 3 2 5 2" xfId="41876" xr:uid="{00000000-0005-0000-0000-00005A560000}"/>
    <cellStyle name="40% - Accent2 2 3 2 3 2 6" xfId="28928" xr:uid="{00000000-0005-0000-0000-00005B560000}"/>
    <cellStyle name="40% - Accent2 2 3 2 3 3" xfId="3865" xr:uid="{00000000-0005-0000-0000-00005C560000}"/>
    <cellStyle name="40% - Accent2 2 3 2 3 3 2" xfId="7119" xr:uid="{00000000-0005-0000-0000-00005D560000}"/>
    <cellStyle name="40% - Accent2 2 3 2 3 3 2 2" xfId="13578" xr:uid="{00000000-0005-0000-0000-00005E560000}"/>
    <cellStyle name="40% - Accent2 2 3 2 3 3 2 2 2" xfId="26495" xr:uid="{00000000-0005-0000-0000-00005F560000}"/>
    <cellStyle name="40% - Accent2 2 3 2 3 3 2 2 2 2" xfId="52369" xr:uid="{00000000-0005-0000-0000-000060560000}"/>
    <cellStyle name="40% - Accent2 2 3 2 3 3 2 2 3" xfId="39453" xr:uid="{00000000-0005-0000-0000-000061560000}"/>
    <cellStyle name="40% - Accent2 2 3 2 3 3 2 3" xfId="20037" xr:uid="{00000000-0005-0000-0000-000062560000}"/>
    <cellStyle name="40% - Accent2 2 3 2 3 3 2 3 2" xfId="45911" xr:uid="{00000000-0005-0000-0000-000063560000}"/>
    <cellStyle name="40% - Accent2 2 3 2 3 3 2 4" xfId="32995" xr:uid="{00000000-0005-0000-0000-000064560000}"/>
    <cellStyle name="40% - Accent2 2 3 2 3 3 3" xfId="10350" xr:uid="{00000000-0005-0000-0000-000065560000}"/>
    <cellStyle name="40% - Accent2 2 3 2 3 3 3 2" xfId="23267" xr:uid="{00000000-0005-0000-0000-000066560000}"/>
    <cellStyle name="40% - Accent2 2 3 2 3 3 3 2 2" xfId="49141" xr:uid="{00000000-0005-0000-0000-000067560000}"/>
    <cellStyle name="40% - Accent2 2 3 2 3 3 3 3" xfId="36225" xr:uid="{00000000-0005-0000-0000-000068560000}"/>
    <cellStyle name="40% - Accent2 2 3 2 3 3 4" xfId="16809" xr:uid="{00000000-0005-0000-0000-000069560000}"/>
    <cellStyle name="40% - Accent2 2 3 2 3 3 4 2" xfId="42683" xr:uid="{00000000-0005-0000-0000-00006A560000}"/>
    <cellStyle name="40% - Accent2 2 3 2 3 3 5" xfId="29735" xr:uid="{00000000-0005-0000-0000-00006B560000}"/>
    <cellStyle name="40% - Accent2 2 3 2 3 4" xfId="5505" xr:uid="{00000000-0005-0000-0000-00006C560000}"/>
    <cellStyle name="40% - Accent2 2 3 2 3 4 2" xfId="11964" xr:uid="{00000000-0005-0000-0000-00006D560000}"/>
    <cellStyle name="40% - Accent2 2 3 2 3 4 2 2" xfId="24881" xr:uid="{00000000-0005-0000-0000-00006E560000}"/>
    <cellStyle name="40% - Accent2 2 3 2 3 4 2 2 2" xfId="50755" xr:uid="{00000000-0005-0000-0000-00006F560000}"/>
    <cellStyle name="40% - Accent2 2 3 2 3 4 2 3" xfId="37839" xr:uid="{00000000-0005-0000-0000-000070560000}"/>
    <cellStyle name="40% - Accent2 2 3 2 3 4 3" xfId="18423" xr:uid="{00000000-0005-0000-0000-000071560000}"/>
    <cellStyle name="40% - Accent2 2 3 2 3 4 3 2" xfId="44297" xr:uid="{00000000-0005-0000-0000-000072560000}"/>
    <cellStyle name="40% - Accent2 2 3 2 3 4 4" xfId="31381" xr:uid="{00000000-0005-0000-0000-000073560000}"/>
    <cellStyle name="40% - Accent2 2 3 2 3 5" xfId="8736" xr:uid="{00000000-0005-0000-0000-000074560000}"/>
    <cellStyle name="40% - Accent2 2 3 2 3 5 2" xfId="21653" xr:uid="{00000000-0005-0000-0000-000075560000}"/>
    <cellStyle name="40% - Accent2 2 3 2 3 5 2 2" xfId="47527" xr:uid="{00000000-0005-0000-0000-000076560000}"/>
    <cellStyle name="40% - Accent2 2 3 2 3 5 3" xfId="34611" xr:uid="{00000000-0005-0000-0000-000077560000}"/>
    <cellStyle name="40% - Accent2 2 3 2 3 6" xfId="15195" xr:uid="{00000000-0005-0000-0000-000078560000}"/>
    <cellStyle name="40% - Accent2 2 3 2 3 6 2" xfId="41069" xr:uid="{00000000-0005-0000-0000-000079560000}"/>
    <cellStyle name="40% - Accent2 2 3 2 3 7" xfId="28121" xr:uid="{00000000-0005-0000-0000-00007A560000}"/>
    <cellStyle name="40% - Accent2 2 3 2 3 8" xfId="53983" xr:uid="{00000000-0005-0000-0000-00007B560000}"/>
    <cellStyle name="40% - Accent2 2 3 2 4" xfId="2635" xr:uid="{00000000-0005-0000-0000-00007C560000}"/>
    <cellStyle name="40% - Accent2 2 3 2 4 2" xfId="4292" xr:uid="{00000000-0005-0000-0000-00007D560000}"/>
    <cellStyle name="40% - Accent2 2 3 2 4 2 2" xfId="7523" xr:uid="{00000000-0005-0000-0000-00007E560000}"/>
    <cellStyle name="40% - Accent2 2 3 2 4 2 2 2" xfId="13982" xr:uid="{00000000-0005-0000-0000-00007F560000}"/>
    <cellStyle name="40% - Accent2 2 3 2 4 2 2 2 2" xfId="26899" xr:uid="{00000000-0005-0000-0000-000080560000}"/>
    <cellStyle name="40% - Accent2 2 3 2 4 2 2 2 2 2" xfId="52773" xr:uid="{00000000-0005-0000-0000-000081560000}"/>
    <cellStyle name="40% - Accent2 2 3 2 4 2 2 2 3" xfId="39857" xr:uid="{00000000-0005-0000-0000-000082560000}"/>
    <cellStyle name="40% - Accent2 2 3 2 4 2 2 3" xfId="20441" xr:uid="{00000000-0005-0000-0000-000083560000}"/>
    <cellStyle name="40% - Accent2 2 3 2 4 2 2 3 2" xfId="46315" xr:uid="{00000000-0005-0000-0000-000084560000}"/>
    <cellStyle name="40% - Accent2 2 3 2 4 2 2 4" xfId="33399" xr:uid="{00000000-0005-0000-0000-000085560000}"/>
    <cellStyle name="40% - Accent2 2 3 2 4 2 3" xfId="10754" xr:uid="{00000000-0005-0000-0000-000086560000}"/>
    <cellStyle name="40% - Accent2 2 3 2 4 2 3 2" xfId="23671" xr:uid="{00000000-0005-0000-0000-000087560000}"/>
    <cellStyle name="40% - Accent2 2 3 2 4 2 3 2 2" xfId="49545" xr:uid="{00000000-0005-0000-0000-000088560000}"/>
    <cellStyle name="40% - Accent2 2 3 2 4 2 3 3" xfId="36629" xr:uid="{00000000-0005-0000-0000-000089560000}"/>
    <cellStyle name="40% - Accent2 2 3 2 4 2 4" xfId="17213" xr:uid="{00000000-0005-0000-0000-00008A560000}"/>
    <cellStyle name="40% - Accent2 2 3 2 4 2 4 2" xfId="43087" xr:uid="{00000000-0005-0000-0000-00008B560000}"/>
    <cellStyle name="40% - Accent2 2 3 2 4 2 5" xfId="30139" xr:uid="{00000000-0005-0000-0000-00008C560000}"/>
    <cellStyle name="40% - Accent2 2 3 2 4 3" xfId="5909" xr:uid="{00000000-0005-0000-0000-00008D560000}"/>
    <cellStyle name="40% - Accent2 2 3 2 4 3 2" xfId="12368" xr:uid="{00000000-0005-0000-0000-00008E560000}"/>
    <cellStyle name="40% - Accent2 2 3 2 4 3 2 2" xfId="25285" xr:uid="{00000000-0005-0000-0000-00008F560000}"/>
    <cellStyle name="40% - Accent2 2 3 2 4 3 2 2 2" xfId="51159" xr:uid="{00000000-0005-0000-0000-000090560000}"/>
    <cellStyle name="40% - Accent2 2 3 2 4 3 2 3" xfId="38243" xr:uid="{00000000-0005-0000-0000-000091560000}"/>
    <cellStyle name="40% - Accent2 2 3 2 4 3 3" xfId="18827" xr:uid="{00000000-0005-0000-0000-000092560000}"/>
    <cellStyle name="40% - Accent2 2 3 2 4 3 3 2" xfId="44701" xr:uid="{00000000-0005-0000-0000-000093560000}"/>
    <cellStyle name="40% - Accent2 2 3 2 4 3 4" xfId="31785" xr:uid="{00000000-0005-0000-0000-000094560000}"/>
    <cellStyle name="40% - Accent2 2 3 2 4 4" xfId="9140" xr:uid="{00000000-0005-0000-0000-000095560000}"/>
    <cellStyle name="40% - Accent2 2 3 2 4 4 2" xfId="22057" xr:uid="{00000000-0005-0000-0000-000096560000}"/>
    <cellStyle name="40% - Accent2 2 3 2 4 4 2 2" xfId="47931" xr:uid="{00000000-0005-0000-0000-000097560000}"/>
    <cellStyle name="40% - Accent2 2 3 2 4 4 3" xfId="35015" xr:uid="{00000000-0005-0000-0000-000098560000}"/>
    <cellStyle name="40% - Accent2 2 3 2 4 5" xfId="15599" xr:uid="{00000000-0005-0000-0000-000099560000}"/>
    <cellStyle name="40% - Accent2 2 3 2 4 5 2" xfId="41473" xr:uid="{00000000-0005-0000-0000-00009A560000}"/>
    <cellStyle name="40% - Accent2 2 3 2 4 6" xfId="28525" xr:uid="{00000000-0005-0000-0000-00009B560000}"/>
    <cellStyle name="40% - Accent2 2 3 2 5" xfId="3462" xr:uid="{00000000-0005-0000-0000-00009C560000}"/>
    <cellStyle name="40% - Accent2 2 3 2 5 2" xfId="6716" xr:uid="{00000000-0005-0000-0000-00009D560000}"/>
    <cellStyle name="40% - Accent2 2 3 2 5 2 2" xfId="13175" xr:uid="{00000000-0005-0000-0000-00009E560000}"/>
    <cellStyle name="40% - Accent2 2 3 2 5 2 2 2" xfId="26092" xr:uid="{00000000-0005-0000-0000-00009F560000}"/>
    <cellStyle name="40% - Accent2 2 3 2 5 2 2 2 2" xfId="51966" xr:uid="{00000000-0005-0000-0000-0000A0560000}"/>
    <cellStyle name="40% - Accent2 2 3 2 5 2 2 3" xfId="39050" xr:uid="{00000000-0005-0000-0000-0000A1560000}"/>
    <cellStyle name="40% - Accent2 2 3 2 5 2 3" xfId="19634" xr:uid="{00000000-0005-0000-0000-0000A2560000}"/>
    <cellStyle name="40% - Accent2 2 3 2 5 2 3 2" xfId="45508" xr:uid="{00000000-0005-0000-0000-0000A3560000}"/>
    <cellStyle name="40% - Accent2 2 3 2 5 2 4" xfId="32592" xr:uid="{00000000-0005-0000-0000-0000A4560000}"/>
    <cellStyle name="40% - Accent2 2 3 2 5 3" xfId="9947" xr:uid="{00000000-0005-0000-0000-0000A5560000}"/>
    <cellStyle name="40% - Accent2 2 3 2 5 3 2" xfId="22864" xr:uid="{00000000-0005-0000-0000-0000A6560000}"/>
    <cellStyle name="40% - Accent2 2 3 2 5 3 2 2" xfId="48738" xr:uid="{00000000-0005-0000-0000-0000A7560000}"/>
    <cellStyle name="40% - Accent2 2 3 2 5 3 3" xfId="35822" xr:uid="{00000000-0005-0000-0000-0000A8560000}"/>
    <cellStyle name="40% - Accent2 2 3 2 5 4" xfId="16406" xr:uid="{00000000-0005-0000-0000-0000A9560000}"/>
    <cellStyle name="40% - Accent2 2 3 2 5 4 2" xfId="42280" xr:uid="{00000000-0005-0000-0000-0000AA560000}"/>
    <cellStyle name="40% - Accent2 2 3 2 5 5" xfId="29332" xr:uid="{00000000-0005-0000-0000-0000AB560000}"/>
    <cellStyle name="40% - Accent2 2 3 2 6" xfId="5102" xr:uid="{00000000-0005-0000-0000-0000AC560000}"/>
    <cellStyle name="40% - Accent2 2 3 2 6 2" xfId="11561" xr:uid="{00000000-0005-0000-0000-0000AD560000}"/>
    <cellStyle name="40% - Accent2 2 3 2 6 2 2" xfId="24478" xr:uid="{00000000-0005-0000-0000-0000AE560000}"/>
    <cellStyle name="40% - Accent2 2 3 2 6 2 2 2" xfId="50352" xr:uid="{00000000-0005-0000-0000-0000AF560000}"/>
    <cellStyle name="40% - Accent2 2 3 2 6 2 3" xfId="37436" xr:uid="{00000000-0005-0000-0000-0000B0560000}"/>
    <cellStyle name="40% - Accent2 2 3 2 6 3" xfId="18020" xr:uid="{00000000-0005-0000-0000-0000B1560000}"/>
    <cellStyle name="40% - Accent2 2 3 2 6 3 2" xfId="43894" xr:uid="{00000000-0005-0000-0000-0000B2560000}"/>
    <cellStyle name="40% - Accent2 2 3 2 6 4" xfId="30978" xr:uid="{00000000-0005-0000-0000-0000B3560000}"/>
    <cellStyle name="40% - Accent2 2 3 2 7" xfId="8332" xr:uid="{00000000-0005-0000-0000-0000B4560000}"/>
    <cellStyle name="40% - Accent2 2 3 2 7 2" xfId="21249" xr:uid="{00000000-0005-0000-0000-0000B5560000}"/>
    <cellStyle name="40% - Accent2 2 3 2 7 2 2" xfId="47123" xr:uid="{00000000-0005-0000-0000-0000B6560000}"/>
    <cellStyle name="40% - Accent2 2 3 2 7 3" xfId="34207" xr:uid="{00000000-0005-0000-0000-0000B7560000}"/>
    <cellStyle name="40% - Accent2 2 3 2 8" xfId="14791" xr:uid="{00000000-0005-0000-0000-0000B8560000}"/>
    <cellStyle name="40% - Accent2 2 3 2 8 2" xfId="40665" xr:uid="{00000000-0005-0000-0000-0000B9560000}"/>
    <cellStyle name="40% - Accent2 2 3 2 9" xfId="27716" xr:uid="{00000000-0005-0000-0000-0000BA560000}"/>
    <cellStyle name="40% - Accent2 2 3 3" xfId="1854" xr:uid="{00000000-0005-0000-0000-0000BB560000}"/>
    <cellStyle name="40% - Accent2 2 3 3 2" xfId="2296" xr:uid="{00000000-0005-0000-0000-0000BC560000}"/>
    <cellStyle name="40% - Accent2 2 3 3 2 2" xfId="3110" xr:uid="{00000000-0005-0000-0000-0000BD560000}"/>
    <cellStyle name="40% - Accent2 2 3 3 2 2 2" xfId="4767" xr:uid="{00000000-0005-0000-0000-0000BE560000}"/>
    <cellStyle name="40% - Accent2 2 3 3 2 2 2 2" xfId="7998" xr:uid="{00000000-0005-0000-0000-0000BF560000}"/>
    <cellStyle name="40% - Accent2 2 3 3 2 2 2 2 2" xfId="14457" xr:uid="{00000000-0005-0000-0000-0000C0560000}"/>
    <cellStyle name="40% - Accent2 2 3 3 2 2 2 2 2 2" xfId="27374" xr:uid="{00000000-0005-0000-0000-0000C1560000}"/>
    <cellStyle name="40% - Accent2 2 3 3 2 2 2 2 2 2 2" xfId="53248" xr:uid="{00000000-0005-0000-0000-0000C2560000}"/>
    <cellStyle name="40% - Accent2 2 3 3 2 2 2 2 2 3" xfId="40332" xr:uid="{00000000-0005-0000-0000-0000C3560000}"/>
    <cellStyle name="40% - Accent2 2 3 3 2 2 2 2 3" xfId="20916" xr:uid="{00000000-0005-0000-0000-0000C4560000}"/>
    <cellStyle name="40% - Accent2 2 3 3 2 2 2 2 3 2" xfId="46790" xr:uid="{00000000-0005-0000-0000-0000C5560000}"/>
    <cellStyle name="40% - Accent2 2 3 3 2 2 2 2 4" xfId="33874" xr:uid="{00000000-0005-0000-0000-0000C6560000}"/>
    <cellStyle name="40% - Accent2 2 3 3 2 2 2 3" xfId="11229" xr:uid="{00000000-0005-0000-0000-0000C7560000}"/>
    <cellStyle name="40% - Accent2 2 3 3 2 2 2 3 2" xfId="24146" xr:uid="{00000000-0005-0000-0000-0000C8560000}"/>
    <cellStyle name="40% - Accent2 2 3 3 2 2 2 3 2 2" xfId="50020" xr:uid="{00000000-0005-0000-0000-0000C9560000}"/>
    <cellStyle name="40% - Accent2 2 3 3 2 2 2 3 3" xfId="37104" xr:uid="{00000000-0005-0000-0000-0000CA560000}"/>
    <cellStyle name="40% - Accent2 2 3 3 2 2 2 4" xfId="17688" xr:uid="{00000000-0005-0000-0000-0000CB560000}"/>
    <cellStyle name="40% - Accent2 2 3 3 2 2 2 4 2" xfId="43562" xr:uid="{00000000-0005-0000-0000-0000CC560000}"/>
    <cellStyle name="40% - Accent2 2 3 3 2 2 2 5" xfId="30614" xr:uid="{00000000-0005-0000-0000-0000CD560000}"/>
    <cellStyle name="40% - Accent2 2 3 3 2 2 3" xfId="6384" xr:uid="{00000000-0005-0000-0000-0000CE560000}"/>
    <cellStyle name="40% - Accent2 2 3 3 2 2 3 2" xfId="12843" xr:uid="{00000000-0005-0000-0000-0000CF560000}"/>
    <cellStyle name="40% - Accent2 2 3 3 2 2 3 2 2" xfId="25760" xr:uid="{00000000-0005-0000-0000-0000D0560000}"/>
    <cellStyle name="40% - Accent2 2 3 3 2 2 3 2 2 2" xfId="51634" xr:uid="{00000000-0005-0000-0000-0000D1560000}"/>
    <cellStyle name="40% - Accent2 2 3 3 2 2 3 2 3" xfId="38718" xr:uid="{00000000-0005-0000-0000-0000D2560000}"/>
    <cellStyle name="40% - Accent2 2 3 3 2 2 3 3" xfId="19302" xr:uid="{00000000-0005-0000-0000-0000D3560000}"/>
    <cellStyle name="40% - Accent2 2 3 3 2 2 3 3 2" xfId="45176" xr:uid="{00000000-0005-0000-0000-0000D4560000}"/>
    <cellStyle name="40% - Accent2 2 3 3 2 2 3 4" xfId="32260" xr:uid="{00000000-0005-0000-0000-0000D5560000}"/>
    <cellStyle name="40% - Accent2 2 3 3 2 2 4" xfId="9615" xr:uid="{00000000-0005-0000-0000-0000D6560000}"/>
    <cellStyle name="40% - Accent2 2 3 3 2 2 4 2" xfId="22532" xr:uid="{00000000-0005-0000-0000-0000D7560000}"/>
    <cellStyle name="40% - Accent2 2 3 3 2 2 4 2 2" xfId="48406" xr:uid="{00000000-0005-0000-0000-0000D8560000}"/>
    <cellStyle name="40% - Accent2 2 3 3 2 2 4 3" xfId="35490" xr:uid="{00000000-0005-0000-0000-0000D9560000}"/>
    <cellStyle name="40% - Accent2 2 3 3 2 2 5" xfId="16074" xr:uid="{00000000-0005-0000-0000-0000DA560000}"/>
    <cellStyle name="40% - Accent2 2 3 3 2 2 5 2" xfId="41948" xr:uid="{00000000-0005-0000-0000-0000DB560000}"/>
    <cellStyle name="40% - Accent2 2 3 3 2 2 6" xfId="29000" xr:uid="{00000000-0005-0000-0000-0000DC560000}"/>
    <cellStyle name="40% - Accent2 2 3 3 2 3" xfId="3937" xr:uid="{00000000-0005-0000-0000-0000DD560000}"/>
    <cellStyle name="40% - Accent2 2 3 3 2 3 2" xfId="7191" xr:uid="{00000000-0005-0000-0000-0000DE560000}"/>
    <cellStyle name="40% - Accent2 2 3 3 2 3 2 2" xfId="13650" xr:uid="{00000000-0005-0000-0000-0000DF560000}"/>
    <cellStyle name="40% - Accent2 2 3 3 2 3 2 2 2" xfId="26567" xr:uid="{00000000-0005-0000-0000-0000E0560000}"/>
    <cellStyle name="40% - Accent2 2 3 3 2 3 2 2 2 2" xfId="52441" xr:uid="{00000000-0005-0000-0000-0000E1560000}"/>
    <cellStyle name="40% - Accent2 2 3 3 2 3 2 2 3" xfId="39525" xr:uid="{00000000-0005-0000-0000-0000E2560000}"/>
    <cellStyle name="40% - Accent2 2 3 3 2 3 2 3" xfId="20109" xr:uid="{00000000-0005-0000-0000-0000E3560000}"/>
    <cellStyle name="40% - Accent2 2 3 3 2 3 2 3 2" xfId="45983" xr:uid="{00000000-0005-0000-0000-0000E4560000}"/>
    <cellStyle name="40% - Accent2 2 3 3 2 3 2 4" xfId="33067" xr:uid="{00000000-0005-0000-0000-0000E5560000}"/>
    <cellStyle name="40% - Accent2 2 3 3 2 3 3" xfId="10422" xr:uid="{00000000-0005-0000-0000-0000E6560000}"/>
    <cellStyle name="40% - Accent2 2 3 3 2 3 3 2" xfId="23339" xr:uid="{00000000-0005-0000-0000-0000E7560000}"/>
    <cellStyle name="40% - Accent2 2 3 3 2 3 3 2 2" xfId="49213" xr:uid="{00000000-0005-0000-0000-0000E8560000}"/>
    <cellStyle name="40% - Accent2 2 3 3 2 3 3 3" xfId="36297" xr:uid="{00000000-0005-0000-0000-0000E9560000}"/>
    <cellStyle name="40% - Accent2 2 3 3 2 3 4" xfId="16881" xr:uid="{00000000-0005-0000-0000-0000EA560000}"/>
    <cellStyle name="40% - Accent2 2 3 3 2 3 4 2" xfId="42755" xr:uid="{00000000-0005-0000-0000-0000EB560000}"/>
    <cellStyle name="40% - Accent2 2 3 3 2 3 5" xfId="29807" xr:uid="{00000000-0005-0000-0000-0000EC560000}"/>
    <cellStyle name="40% - Accent2 2 3 3 2 4" xfId="5577" xr:uid="{00000000-0005-0000-0000-0000ED560000}"/>
    <cellStyle name="40% - Accent2 2 3 3 2 4 2" xfId="12036" xr:uid="{00000000-0005-0000-0000-0000EE560000}"/>
    <cellStyle name="40% - Accent2 2 3 3 2 4 2 2" xfId="24953" xr:uid="{00000000-0005-0000-0000-0000EF560000}"/>
    <cellStyle name="40% - Accent2 2 3 3 2 4 2 2 2" xfId="50827" xr:uid="{00000000-0005-0000-0000-0000F0560000}"/>
    <cellStyle name="40% - Accent2 2 3 3 2 4 2 3" xfId="37911" xr:uid="{00000000-0005-0000-0000-0000F1560000}"/>
    <cellStyle name="40% - Accent2 2 3 3 2 4 3" xfId="18495" xr:uid="{00000000-0005-0000-0000-0000F2560000}"/>
    <cellStyle name="40% - Accent2 2 3 3 2 4 3 2" xfId="44369" xr:uid="{00000000-0005-0000-0000-0000F3560000}"/>
    <cellStyle name="40% - Accent2 2 3 3 2 4 4" xfId="31453" xr:uid="{00000000-0005-0000-0000-0000F4560000}"/>
    <cellStyle name="40% - Accent2 2 3 3 2 5" xfId="8808" xr:uid="{00000000-0005-0000-0000-0000F5560000}"/>
    <cellStyle name="40% - Accent2 2 3 3 2 5 2" xfId="21725" xr:uid="{00000000-0005-0000-0000-0000F6560000}"/>
    <cellStyle name="40% - Accent2 2 3 3 2 5 2 2" xfId="47599" xr:uid="{00000000-0005-0000-0000-0000F7560000}"/>
    <cellStyle name="40% - Accent2 2 3 3 2 5 3" xfId="34683" xr:uid="{00000000-0005-0000-0000-0000F8560000}"/>
    <cellStyle name="40% - Accent2 2 3 3 2 6" xfId="15267" xr:uid="{00000000-0005-0000-0000-0000F9560000}"/>
    <cellStyle name="40% - Accent2 2 3 3 2 6 2" xfId="41141" xr:uid="{00000000-0005-0000-0000-0000FA560000}"/>
    <cellStyle name="40% - Accent2 2 3 3 2 7" xfId="28193" xr:uid="{00000000-0005-0000-0000-0000FB560000}"/>
    <cellStyle name="40% - Accent2 2 3 3 2 8" xfId="54055" xr:uid="{00000000-0005-0000-0000-0000FC560000}"/>
    <cellStyle name="40% - Accent2 2 3 3 3" xfId="2707" xr:uid="{00000000-0005-0000-0000-0000FD560000}"/>
    <cellStyle name="40% - Accent2 2 3 3 3 2" xfId="4364" xr:uid="{00000000-0005-0000-0000-0000FE560000}"/>
    <cellStyle name="40% - Accent2 2 3 3 3 2 2" xfId="7595" xr:uid="{00000000-0005-0000-0000-0000FF560000}"/>
    <cellStyle name="40% - Accent2 2 3 3 3 2 2 2" xfId="14054" xr:uid="{00000000-0005-0000-0000-000000570000}"/>
    <cellStyle name="40% - Accent2 2 3 3 3 2 2 2 2" xfId="26971" xr:uid="{00000000-0005-0000-0000-000001570000}"/>
    <cellStyle name="40% - Accent2 2 3 3 3 2 2 2 2 2" xfId="52845" xr:uid="{00000000-0005-0000-0000-000002570000}"/>
    <cellStyle name="40% - Accent2 2 3 3 3 2 2 2 3" xfId="39929" xr:uid="{00000000-0005-0000-0000-000003570000}"/>
    <cellStyle name="40% - Accent2 2 3 3 3 2 2 3" xfId="20513" xr:uid="{00000000-0005-0000-0000-000004570000}"/>
    <cellStyle name="40% - Accent2 2 3 3 3 2 2 3 2" xfId="46387" xr:uid="{00000000-0005-0000-0000-000005570000}"/>
    <cellStyle name="40% - Accent2 2 3 3 3 2 2 4" xfId="33471" xr:uid="{00000000-0005-0000-0000-000006570000}"/>
    <cellStyle name="40% - Accent2 2 3 3 3 2 3" xfId="10826" xr:uid="{00000000-0005-0000-0000-000007570000}"/>
    <cellStyle name="40% - Accent2 2 3 3 3 2 3 2" xfId="23743" xr:uid="{00000000-0005-0000-0000-000008570000}"/>
    <cellStyle name="40% - Accent2 2 3 3 3 2 3 2 2" xfId="49617" xr:uid="{00000000-0005-0000-0000-000009570000}"/>
    <cellStyle name="40% - Accent2 2 3 3 3 2 3 3" xfId="36701" xr:uid="{00000000-0005-0000-0000-00000A570000}"/>
    <cellStyle name="40% - Accent2 2 3 3 3 2 4" xfId="17285" xr:uid="{00000000-0005-0000-0000-00000B570000}"/>
    <cellStyle name="40% - Accent2 2 3 3 3 2 4 2" xfId="43159" xr:uid="{00000000-0005-0000-0000-00000C570000}"/>
    <cellStyle name="40% - Accent2 2 3 3 3 2 5" xfId="30211" xr:uid="{00000000-0005-0000-0000-00000D570000}"/>
    <cellStyle name="40% - Accent2 2 3 3 3 3" xfId="5981" xr:uid="{00000000-0005-0000-0000-00000E570000}"/>
    <cellStyle name="40% - Accent2 2 3 3 3 3 2" xfId="12440" xr:uid="{00000000-0005-0000-0000-00000F570000}"/>
    <cellStyle name="40% - Accent2 2 3 3 3 3 2 2" xfId="25357" xr:uid="{00000000-0005-0000-0000-000010570000}"/>
    <cellStyle name="40% - Accent2 2 3 3 3 3 2 2 2" xfId="51231" xr:uid="{00000000-0005-0000-0000-000011570000}"/>
    <cellStyle name="40% - Accent2 2 3 3 3 3 2 3" xfId="38315" xr:uid="{00000000-0005-0000-0000-000012570000}"/>
    <cellStyle name="40% - Accent2 2 3 3 3 3 3" xfId="18899" xr:uid="{00000000-0005-0000-0000-000013570000}"/>
    <cellStyle name="40% - Accent2 2 3 3 3 3 3 2" xfId="44773" xr:uid="{00000000-0005-0000-0000-000014570000}"/>
    <cellStyle name="40% - Accent2 2 3 3 3 3 4" xfId="31857" xr:uid="{00000000-0005-0000-0000-000015570000}"/>
    <cellStyle name="40% - Accent2 2 3 3 3 4" xfId="9212" xr:uid="{00000000-0005-0000-0000-000016570000}"/>
    <cellStyle name="40% - Accent2 2 3 3 3 4 2" xfId="22129" xr:uid="{00000000-0005-0000-0000-000017570000}"/>
    <cellStyle name="40% - Accent2 2 3 3 3 4 2 2" xfId="48003" xr:uid="{00000000-0005-0000-0000-000018570000}"/>
    <cellStyle name="40% - Accent2 2 3 3 3 4 3" xfId="35087" xr:uid="{00000000-0005-0000-0000-000019570000}"/>
    <cellStyle name="40% - Accent2 2 3 3 3 5" xfId="15671" xr:uid="{00000000-0005-0000-0000-00001A570000}"/>
    <cellStyle name="40% - Accent2 2 3 3 3 5 2" xfId="41545" xr:uid="{00000000-0005-0000-0000-00001B570000}"/>
    <cellStyle name="40% - Accent2 2 3 3 3 6" xfId="28597" xr:uid="{00000000-0005-0000-0000-00001C570000}"/>
    <cellStyle name="40% - Accent2 2 3 3 4" xfId="3534" xr:uid="{00000000-0005-0000-0000-00001D570000}"/>
    <cellStyle name="40% - Accent2 2 3 3 4 2" xfId="6788" xr:uid="{00000000-0005-0000-0000-00001E570000}"/>
    <cellStyle name="40% - Accent2 2 3 3 4 2 2" xfId="13247" xr:uid="{00000000-0005-0000-0000-00001F570000}"/>
    <cellStyle name="40% - Accent2 2 3 3 4 2 2 2" xfId="26164" xr:uid="{00000000-0005-0000-0000-000020570000}"/>
    <cellStyle name="40% - Accent2 2 3 3 4 2 2 2 2" xfId="52038" xr:uid="{00000000-0005-0000-0000-000021570000}"/>
    <cellStyle name="40% - Accent2 2 3 3 4 2 2 3" xfId="39122" xr:uid="{00000000-0005-0000-0000-000022570000}"/>
    <cellStyle name="40% - Accent2 2 3 3 4 2 3" xfId="19706" xr:uid="{00000000-0005-0000-0000-000023570000}"/>
    <cellStyle name="40% - Accent2 2 3 3 4 2 3 2" xfId="45580" xr:uid="{00000000-0005-0000-0000-000024570000}"/>
    <cellStyle name="40% - Accent2 2 3 3 4 2 4" xfId="32664" xr:uid="{00000000-0005-0000-0000-000025570000}"/>
    <cellStyle name="40% - Accent2 2 3 3 4 3" xfId="10019" xr:uid="{00000000-0005-0000-0000-000026570000}"/>
    <cellStyle name="40% - Accent2 2 3 3 4 3 2" xfId="22936" xr:uid="{00000000-0005-0000-0000-000027570000}"/>
    <cellStyle name="40% - Accent2 2 3 3 4 3 2 2" xfId="48810" xr:uid="{00000000-0005-0000-0000-000028570000}"/>
    <cellStyle name="40% - Accent2 2 3 3 4 3 3" xfId="35894" xr:uid="{00000000-0005-0000-0000-000029570000}"/>
    <cellStyle name="40% - Accent2 2 3 3 4 4" xfId="16478" xr:uid="{00000000-0005-0000-0000-00002A570000}"/>
    <cellStyle name="40% - Accent2 2 3 3 4 4 2" xfId="42352" xr:uid="{00000000-0005-0000-0000-00002B570000}"/>
    <cellStyle name="40% - Accent2 2 3 3 4 5" xfId="29404" xr:uid="{00000000-0005-0000-0000-00002C570000}"/>
    <cellStyle name="40% - Accent2 2 3 3 5" xfId="5174" xr:uid="{00000000-0005-0000-0000-00002D570000}"/>
    <cellStyle name="40% - Accent2 2 3 3 5 2" xfId="11633" xr:uid="{00000000-0005-0000-0000-00002E570000}"/>
    <cellStyle name="40% - Accent2 2 3 3 5 2 2" xfId="24550" xr:uid="{00000000-0005-0000-0000-00002F570000}"/>
    <cellStyle name="40% - Accent2 2 3 3 5 2 2 2" xfId="50424" xr:uid="{00000000-0005-0000-0000-000030570000}"/>
    <cellStyle name="40% - Accent2 2 3 3 5 2 3" xfId="37508" xr:uid="{00000000-0005-0000-0000-000031570000}"/>
    <cellStyle name="40% - Accent2 2 3 3 5 3" xfId="18092" xr:uid="{00000000-0005-0000-0000-000032570000}"/>
    <cellStyle name="40% - Accent2 2 3 3 5 3 2" xfId="43966" xr:uid="{00000000-0005-0000-0000-000033570000}"/>
    <cellStyle name="40% - Accent2 2 3 3 5 4" xfId="31050" xr:uid="{00000000-0005-0000-0000-000034570000}"/>
    <cellStyle name="40% - Accent2 2 3 3 6" xfId="8404" xr:uid="{00000000-0005-0000-0000-000035570000}"/>
    <cellStyle name="40% - Accent2 2 3 3 6 2" xfId="21321" xr:uid="{00000000-0005-0000-0000-000036570000}"/>
    <cellStyle name="40% - Accent2 2 3 3 6 2 2" xfId="47195" xr:uid="{00000000-0005-0000-0000-000037570000}"/>
    <cellStyle name="40% - Accent2 2 3 3 6 3" xfId="34279" xr:uid="{00000000-0005-0000-0000-000038570000}"/>
    <cellStyle name="40% - Accent2 2 3 3 7" xfId="14863" xr:uid="{00000000-0005-0000-0000-000039570000}"/>
    <cellStyle name="40% - Accent2 2 3 3 7 2" xfId="40737" xr:uid="{00000000-0005-0000-0000-00003A570000}"/>
    <cellStyle name="40% - Accent2 2 3 3 8" xfId="27789" xr:uid="{00000000-0005-0000-0000-00003B570000}"/>
    <cellStyle name="40% - Accent2 2 3 3 9" xfId="53652" xr:uid="{00000000-0005-0000-0000-00003C570000}"/>
    <cellStyle name="40% - Accent2 2 3 4" xfId="2098" xr:uid="{00000000-0005-0000-0000-00003D570000}"/>
    <cellStyle name="40% - Accent2 2 3 4 2" xfId="2914" xr:uid="{00000000-0005-0000-0000-00003E570000}"/>
    <cellStyle name="40% - Accent2 2 3 4 2 2" xfId="4571" xr:uid="{00000000-0005-0000-0000-00003F570000}"/>
    <cellStyle name="40% - Accent2 2 3 4 2 2 2" xfId="7802" xr:uid="{00000000-0005-0000-0000-000040570000}"/>
    <cellStyle name="40% - Accent2 2 3 4 2 2 2 2" xfId="14261" xr:uid="{00000000-0005-0000-0000-000041570000}"/>
    <cellStyle name="40% - Accent2 2 3 4 2 2 2 2 2" xfId="27178" xr:uid="{00000000-0005-0000-0000-000042570000}"/>
    <cellStyle name="40% - Accent2 2 3 4 2 2 2 2 2 2" xfId="53052" xr:uid="{00000000-0005-0000-0000-000043570000}"/>
    <cellStyle name="40% - Accent2 2 3 4 2 2 2 2 3" xfId="40136" xr:uid="{00000000-0005-0000-0000-000044570000}"/>
    <cellStyle name="40% - Accent2 2 3 4 2 2 2 3" xfId="20720" xr:uid="{00000000-0005-0000-0000-000045570000}"/>
    <cellStyle name="40% - Accent2 2 3 4 2 2 2 3 2" xfId="46594" xr:uid="{00000000-0005-0000-0000-000046570000}"/>
    <cellStyle name="40% - Accent2 2 3 4 2 2 2 4" xfId="33678" xr:uid="{00000000-0005-0000-0000-000047570000}"/>
    <cellStyle name="40% - Accent2 2 3 4 2 2 3" xfId="11033" xr:uid="{00000000-0005-0000-0000-000048570000}"/>
    <cellStyle name="40% - Accent2 2 3 4 2 2 3 2" xfId="23950" xr:uid="{00000000-0005-0000-0000-000049570000}"/>
    <cellStyle name="40% - Accent2 2 3 4 2 2 3 2 2" xfId="49824" xr:uid="{00000000-0005-0000-0000-00004A570000}"/>
    <cellStyle name="40% - Accent2 2 3 4 2 2 3 3" xfId="36908" xr:uid="{00000000-0005-0000-0000-00004B570000}"/>
    <cellStyle name="40% - Accent2 2 3 4 2 2 4" xfId="17492" xr:uid="{00000000-0005-0000-0000-00004C570000}"/>
    <cellStyle name="40% - Accent2 2 3 4 2 2 4 2" xfId="43366" xr:uid="{00000000-0005-0000-0000-00004D570000}"/>
    <cellStyle name="40% - Accent2 2 3 4 2 2 5" xfId="30418" xr:uid="{00000000-0005-0000-0000-00004E570000}"/>
    <cellStyle name="40% - Accent2 2 3 4 2 3" xfId="6188" xr:uid="{00000000-0005-0000-0000-00004F570000}"/>
    <cellStyle name="40% - Accent2 2 3 4 2 3 2" xfId="12647" xr:uid="{00000000-0005-0000-0000-000050570000}"/>
    <cellStyle name="40% - Accent2 2 3 4 2 3 2 2" xfId="25564" xr:uid="{00000000-0005-0000-0000-000051570000}"/>
    <cellStyle name="40% - Accent2 2 3 4 2 3 2 2 2" xfId="51438" xr:uid="{00000000-0005-0000-0000-000052570000}"/>
    <cellStyle name="40% - Accent2 2 3 4 2 3 2 3" xfId="38522" xr:uid="{00000000-0005-0000-0000-000053570000}"/>
    <cellStyle name="40% - Accent2 2 3 4 2 3 3" xfId="19106" xr:uid="{00000000-0005-0000-0000-000054570000}"/>
    <cellStyle name="40% - Accent2 2 3 4 2 3 3 2" xfId="44980" xr:uid="{00000000-0005-0000-0000-000055570000}"/>
    <cellStyle name="40% - Accent2 2 3 4 2 3 4" xfId="32064" xr:uid="{00000000-0005-0000-0000-000056570000}"/>
    <cellStyle name="40% - Accent2 2 3 4 2 4" xfId="9419" xr:uid="{00000000-0005-0000-0000-000057570000}"/>
    <cellStyle name="40% - Accent2 2 3 4 2 4 2" xfId="22336" xr:uid="{00000000-0005-0000-0000-000058570000}"/>
    <cellStyle name="40% - Accent2 2 3 4 2 4 2 2" xfId="48210" xr:uid="{00000000-0005-0000-0000-000059570000}"/>
    <cellStyle name="40% - Accent2 2 3 4 2 4 3" xfId="35294" xr:uid="{00000000-0005-0000-0000-00005A570000}"/>
    <cellStyle name="40% - Accent2 2 3 4 2 5" xfId="15878" xr:uid="{00000000-0005-0000-0000-00005B570000}"/>
    <cellStyle name="40% - Accent2 2 3 4 2 5 2" xfId="41752" xr:uid="{00000000-0005-0000-0000-00005C570000}"/>
    <cellStyle name="40% - Accent2 2 3 4 2 6" xfId="28804" xr:uid="{00000000-0005-0000-0000-00005D570000}"/>
    <cellStyle name="40% - Accent2 2 3 4 3" xfId="3741" xr:uid="{00000000-0005-0000-0000-00005E570000}"/>
    <cellStyle name="40% - Accent2 2 3 4 3 2" xfId="6995" xr:uid="{00000000-0005-0000-0000-00005F570000}"/>
    <cellStyle name="40% - Accent2 2 3 4 3 2 2" xfId="13454" xr:uid="{00000000-0005-0000-0000-000060570000}"/>
    <cellStyle name="40% - Accent2 2 3 4 3 2 2 2" xfId="26371" xr:uid="{00000000-0005-0000-0000-000061570000}"/>
    <cellStyle name="40% - Accent2 2 3 4 3 2 2 2 2" xfId="52245" xr:uid="{00000000-0005-0000-0000-000062570000}"/>
    <cellStyle name="40% - Accent2 2 3 4 3 2 2 3" xfId="39329" xr:uid="{00000000-0005-0000-0000-000063570000}"/>
    <cellStyle name="40% - Accent2 2 3 4 3 2 3" xfId="19913" xr:uid="{00000000-0005-0000-0000-000064570000}"/>
    <cellStyle name="40% - Accent2 2 3 4 3 2 3 2" xfId="45787" xr:uid="{00000000-0005-0000-0000-000065570000}"/>
    <cellStyle name="40% - Accent2 2 3 4 3 2 4" xfId="32871" xr:uid="{00000000-0005-0000-0000-000066570000}"/>
    <cellStyle name="40% - Accent2 2 3 4 3 3" xfId="10226" xr:uid="{00000000-0005-0000-0000-000067570000}"/>
    <cellStyle name="40% - Accent2 2 3 4 3 3 2" xfId="23143" xr:uid="{00000000-0005-0000-0000-000068570000}"/>
    <cellStyle name="40% - Accent2 2 3 4 3 3 2 2" xfId="49017" xr:uid="{00000000-0005-0000-0000-000069570000}"/>
    <cellStyle name="40% - Accent2 2 3 4 3 3 3" xfId="36101" xr:uid="{00000000-0005-0000-0000-00006A570000}"/>
    <cellStyle name="40% - Accent2 2 3 4 3 4" xfId="16685" xr:uid="{00000000-0005-0000-0000-00006B570000}"/>
    <cellStyle name="40% - Accent2 2 3 4 3 4 2" xfId="42559" xr:uid="{00000000-0005-0000-0000-00006C570000}"/>
    <cellStyle name="40% - Accent2 2 3 4 3 5" xfId="29611" xr:uid="{00000000-0005-0000-0000-00006D570000}"/>
    <cellStyle name="40% - Accent2 2 3 4 4" xfId="5381" xr:uid="{00000000-0005-0000-0000-00006E570000}"/>
    <cellStyle name="40% - Accent2 2 3 4 4 2" xfId="11840" xr:uid="{00000000-0005-0000-0000-00006F570000}"/>
    <cellStyle name="40% - Accent2 2 3 4 4 2 2" xfId="24757" xr:uid="{00000000-0005-0000-0000-000070570000}"/>
    <cellStyle name="40% - Accent2 2 3 4 4 2 2 2" xfId="50631" xr:uid="{00000000-0005-0000-0000-000071570000}"/>
    <cellStyle name="40% - Accent2 2 3 4 4 2 3" xfId="37715" xr:uid="{00000000-0005-0000-0000-000072570000}"/>
    <cellStyle name="40% - Accent2 2 3 4 4 3" xfId="18299" xr:uid="{00000000-0005-0000-0000-000073570000}"/>
    <cellStyle name="40% - Accent2 2 3 4 4 3 2" xfId="44173" xr:uid="{00000000-0005-0000-0000-000074570000}"/>
    <cellStyle name="40% - Accent2 2 3 4 4 4" xfId="31257" xr:uid="{00000000-0005-0000-0000-000075570000}"/>
    <cellStyle name="40% - Accent2 2 3 4 5" xfId="8612" xr:uid="{00000000-0005-0000-0000-000076570000}"/>
    <cellStyle name="40% - Accent2 2 3 4 5 2" xfId="21529" xr:uid="{00000000-0005-0000-0000-000077570000}"/>
    <cellStyle name="40% - Accent2 2 3 4 5 2 2" xfId="47403" xr:uid="{00000000-0005-0000-0000-000078570000}"/>
    <cellStyle name="40% - Accent2 2 3 4 5 3" xfId="34487" xr:uid="{00000000-0005-0000-0000-000079570000}"/>
    <cellStyle name="40% - Accent2 2 3 4 6" xfId="15071" xr:uid="{00000000-0005-0000-0000-00007A570000}"/>
    <cellStyle name="40% - Accent2 2 3 4 6 2" xfId="40945" xr:uid="{00000000-0005-0000-0000-00007B570000}"/>
    <cellStyle name="40% - Accent2 2 3 4 7" xfId="27997" xr:uid="{00000000-0005-0000-0000-00007C570000}"/>
    <cellStyle name="40% - Accent2 2 3 4 8" xfId="53859" xr:uid="{00000000-0005-0000-0000-00007D570000}"/>
    <cellStyle name="40% - Accent2 2 3 5" xfId="2512" xr:uid="{00000000-0005-0000-0000-00007E570000}"/>
    <cellStyle name="40% - Accent2 2 3 5 2" xfId="4169" xr:uid="{00000000-0005-0000-0000-00007F570000}"/>
    <cellStyle name="40% - Accent2 2 3 5 2 2" xfId="7400" xr:uid="{00000000-0005-0000-0000-000080570000}"/>
    <cellStyle name="40% - Accent2 2 3 5 2 2 2" xfId="13859" xr:uid="{00000000-0005-0000-0000-000081570000}"/>
    <cellStyle name="40% - Accent2 2 3 5 2 2 2 2" xfId="26776" xr:uid="{00000000-0005-0000-0000-000082570000}"/>
    <cellStyle name="40% - Accent2 2 3 5 2 2 2 2 2" xfId="52650" xr:uid="{00000000-0005-0000-0000-000083570000}"/>
    <cellStyle name="40% - Accent2 2 3 5 2 2 2 3" xfId="39734" xr:uid="{00000000-0005-0000-0000-000084570000}"/>
    <cellStyle name="40% - Accent2 2 3 5 2 2 3" xfId="20318" xr:uid="{00000000-0005-0000-0000-000085570000}"/>
    <cellStyle name="40% - Accent2 2 3 5 2 2 3 2" xfId="46192" xr:uid="{00000000-0005-0000-0000-000086570000}"/>
    <cellStyle name="40% - Accent2 2 3 5 2 2 4" xfId="33276" xr:uid="{00000000-0005-0000-0000-000087570000}"/>
    <cellStyle name="40% - Accent2 2 3 5 2 3" xfId="10631" xr:uid="{00000000-0005-0000-0000-000088570000}"/>
    <cellStyle name="40% - Accent2 2 3 5 2 3 2" xfId="23548" xr:uid="{00000000-0005-0000-0000-000089570000}"/>
    <cellStyle name="40% - Accent2 2 3 5 2 3 2 2" xfId="49422" xr:uid="{00000000-0005-0000-0000-00008A570000}"/>
    <cellStyle name="40% - Accent2 2 3 5 2 3 3" xfId="36506" xr:uid="{00000000-0005-0000-0000-00008B570000}"/>
    <cellStyle name="40% - Accent2 2 3 5 2 4" xfId="17090" xr:uid="{00000000-0005-0000-0000-00008C570000}"/>
    <cellStyle name="40% - Accent2 2 3 5 2 4 2" xfId="42964" xr:uid="{00000000-0005-0000-0000-00008D570000}"/>
    <cellStyle name="40% - Accent2 2 3 5 2 5" xfId="30016" xr:uid="{00000000-0005-0000-0000-00008E570000}"/>
    <cellStyle name="40% - Accent2 2 3 5 3" xfId="5786" xr:uid="{00000000-0005-0000-0000-00008F570000}"/>
    <cellStyle name="40% - Accent2 2 3 5 3 2" xfId="12245" xr:uid="{00000000-0005-0000-0000-000090570000}"/>
    <cellStyle name="40% - Accent2 2 3 5 3 2 2" xfId="25162" xr:uid="{00000000-0005-0000-0000-000091570000}"/>
    <cellStyle name="40% - Accent2 2 3 5 3 2 2 2" xfId="51036" xr:uid="{00000000-0005-0000-0000-000092570000}"/>
    <cellStyle name="40% - Accent2 2 3 5 3 2 3" xfId="38120" xr:uid="{00000000-0005-0000-0000-000093570000}"/>
    <cellStyle name="40% - Accent2 2 3 5 3 3" xfId="18704" xr:uid="{00000000-0005-0000-0000-000094570000}"/>
    <cellStyle name="40% - Accent2 2 3 5 3 3 2" xfId="44578" xr:uid="{00000000-0005-0000-0000-000095570000}"/>
    <cellStyle name="40% - Accent2 2 3 5 3 4" xfId="31662" xr:uid="{00000000-0005-0000-0000-000096570000}"/>
    <cellStyle name="40% - Accent2 2 3 5 4" xfId="9017" xr:uid="{00000000-0005-0000-0000-000097570000}"/>
    <cellStyle name="40% - Accent2 2 3 5 4 2" xfId="21934" xr:uid="{00000000-0005-0000-0000-000098570000}"/>
    <cellStyle name="40% - Accent2 2 3 5 4 2 2" xfId="47808" xr:uid="{00000000-0005-0000-0000-000099570000}"/>
    <cellStyle name="40% - Accent2 2 3 5 4 3" xfId="34892" xr:uid="{00000000-0005-0000-0000-00009A570000}"/>
    <cellStyle name="40% - Accent2 2 3 5 5" xfId="15476" xr:uid="{00000000-0005-0000-0000-00009B570000}"/>
    <cellStyle name="40% - Accent2 2 3 5 5 2" xfId="41350" xr:uid="{00000000-0005-0000-0000-00009C570000}"/>
    <cellStyle name="40% - Accent2 2 3 5 6" xfId="28402" xr:uid="{00000000-0005-0000-0000-00009D570000}"/>
    <cellStyle name="40% - Accent2 2 3 6" xfId="3332" xr:uid="{00000000-0005-0000-0000-00009E570000}"/>
    <cellStyle name="40% - Accent2 2 3 6 2" xfId="6593" xr:uid="{00000000-0005-0000-0000-00009F570000}"/>
    <cellStyle name="40% - Accent2 2 3 6 2 2" xfId="13052" xr:uid="{00000000-0005-0000-0000-0000A0570000}"/>
    <cellStyle name="40% - Accent2 2 3 6 2 2 2" xfId="25969" xr:uid="{00000000-0005-0000-0000-0000A1570000}"/>
    <cellStyle name="40% - Accent2 2 3 6 2 2 2 2" xfId="51843" xr:uid="{00000000-0005-0000-0000-0000A2570000}"/>
    <cellStyle name="40% - Accent2 2 3 6 2 2 3" xfId="38927" xr:uid="{00000000-0005-0000-0000-0000A3570000}"/>
    <cellStyle name="40% - Accent2 2 3 6 2 3" xfId="19511" xr:uid="{00000000-0005-0000-0000-0000A4570000}"/>
    <cellStyle name="40% - Accent2 2 3 6 2 3 2" xfId="45385" xr:uid="{00000000-0005-0000-0000-0000A5570000}"/>
    <cellStyle name="40% - Accent2 2 3 6 2 4" xfId="32469" xr:uid="{00000000-0005-0000-0000-0000A6570000}"/>
    <cellStyle name="40% - Accent2 2 3 6 3" xfId="9824" xr:uid="{00000000-0005-0000-0000-0000A7570000}"/>
    <cellStyle name="40% - Accent2 2 3 6 3 2" xfId="22741" xr:uid="{00000000-0005-0000-0000-0000A8570000}"/>
    <cellStyle name="40% - Accent2 2 3 6 3 2 2" xfId="48615" xr:uid="{00000000-0005-0000-0000-0000A9570000}"/>
    <cellStyle name="40% - Accent2 2 3 6 3 3" xfId="35699" xr:uid="{00000000-0005-0000-0000-0000AA570000}"/>
    <cellStyle name="40% - Accent2 2 3 6 4" xfId="16283" xr:uid="{00000000-0005-0000-0000-0000AB570000}"/>
    <cellStyle name="40% - Accent2 2 3 6 4 2" xfId="42157" xr:uid="{00000000-0005-0000-0000-0000AC570000}"/>
    <cellStyle name="40% - Accent2 2 3 6 5" xfId="29209" xr:uid="{00000000-0005-0000-0000-0000AD570000}"/>
    <cellStyle name="40% - Accent2 2 3 7" xfId="4979" xr:uid="{00000000-0005-0000-0000-0000AE570000}"/>
    <cellStyle name="40% - Accent2 2 3 7 2" xfId="11438" xr:uid="{00000000-0005-0000-0000-0000AF570000}"/>
    <cellStyle name="40% - Accent2 2 3 7 2 2" xfId="24355" xr:uid="{00000000-0005-0000-0000-0000B0570000}"/>
    <cellStyle name="40% - Accent2 2 3 7 2 2 2" xfId="50229" xr:uid="{00000000-0005-0000-0000-0000B1570000}"/>
    <cellStyle name="40% - Accent2 2 3 7 2 3" xfId="37313" xr:uid="{00000000-0005-0000-0000-0000B2570000}"/>
    <cellStyle name="40% - Accent2 2 3 7 3" xfId="17897" xr:uid="{00000000-0005-0000-0000-0000B3570000}"/>
    <cellStyle name="40% - Accent2 2 3 7 3 2" xfId="43771" xr:uid="{00000000-0005-0000-0000-0000B4570000}"/>
    <cellStyle name="40% - Accent2 2 3 7 4" xfId="30855" xr:uid="{00000000-0005-0000-0000-0000B5570000}"/>
    <cellStyle name="40% - Accent2 2 3 8" xfId="8210" xr:uid="{00000000-0005-0000-0000-0000B6570000}"/>
    <cellStyle name="40% - Accent2 2 3 8 2" xfId="21127" xr:uid="{00000000-0005-0000-0000-0000B7570000}"/>
    <cellStyle name="40% - Accent2 2 3 8 2 2" xfId="47001" xr:uid="{00000000-0005-0000-0000-0000B8570000}"/>
    <cellStyle name="40% - Accent2 2 3 8 3" xfId="34085" xr:uid="{00000000-0005-0000-0000-0000B9570000}"/>
    <cellStyle name="40% - Accent2 2 3 9" xfId="14669" xr:uid="{00000000-0005-0000-0000-0000BA570000}"/>
    <cellStyle name="40% - Accent2 2 3 9 2" xfId="40543" xr:uid="{00000000-0005-0000-0000-0000BB570000}"/>
    <cellStyle name="40% - Accent2 2 4" xfId="1777" xr:uid="{00000000-0005-0000-0000-0000BC570000}"/>
    <cellStyle name="40% - Accent2 2 4 2" xfId="2270" xr:uid="{00000000-0005-0000-0000-0000BD570000}"/>
    <cellStyle name="40% - Accent2 2 4 2 2" xfId="3084" xr:uid="{00000000-0005-0000-0000-0000BE570000}"/>
    <cellStyle name="40% - Accent2 2 4 2 2 2" xfId="4741" xr:uid="{00000000-0005-0000-0000-0000BF570000}"/>
    <cellStyle name="40% - Accent2 2 4 2 2 2 2" xfId="7972" xr:uid="{00000000-0005-0000-0000-0000C0570000}"/>
    <cellStyle name="40% - Accent2 2 4 2 2 2 2 2" xfId="14431" xr:uid="{00000000-0005-0000-0000-0000C1570000}"/>
    <cellStyle name="40% - Accent2 2 4 2 2 2 2 2 2" xfId="27348" xr:uid="{00000000-0005-0000-0000-0000C2570000}"/>
    <cellStyle name="40% - Accent2 2 4 2 2 2 2 2 2 2" xfId="53222" xr:uid="{00000000-0005-0000-0000-0000C3570000}"/>
    <cellStyle name="40% - Accent2 2 4 2 2 2 2 2 3" xfId="40306" xr:uid="{00000000-0005-0000-0000-0000C4570000}"/>
    <cellStyle name="40% - Accent2 2 4 2 2 2 2 3" xfId="20890" xr:uid="{00000000-0005-0000-0000-0000C5570000}"/>
    <cellStyle name="40% - Accent2 2 4 2 2 2 2 3 2" xfId="46764" xr:uid="{00000000-0005-0000-0000-0000C6570000}"/>
    <cellStyle name="40% - Accent2 2 4 2 2 2 2 4" xfId="33848" xr:uid="{00000000-0005-0000-0000-0000C7570000}"/>
    <cellStyle name="40% - Accent2 2 4 2 2 2 3" xfId="11203" xr:uid="{00000000-0005-0000-0000-0000C8570000}"/>
    <cellStyle name="40% - Accent2 2 4 2 2 2 3 2" xfId="24120" xr:uid="{00000000-0005-0000-0000-0000C9570000}"/>
    <cellStyle name="40% - Accent2 2 4 2 2 2 3 2 2" xfId="49994" xr:uid="{00000000-0005-0000-0000-0000CA570000}"/>
    <cellStyle name="40% - Accent2 2 4 2 2 2 3 3" xfId="37078" xr:uid="{00000000-0005-0000-0000-0000CB570000}"/>
    <cellStyle name="40% - Accent2 2 4 2 2 2 4" xfId="17662" xr:uid="{00000000-0005-0000-0000-0000CC570000}"/>
    <cellStyle name="40% - Accent2 2 4 2 2 2 4 2" xfId="43536" xr:uid="{00000000-0005-0000-0000-0000CD570000}"/>
    <cellStyle name="40% - Accent2 2 4 2 2 2 5" xfId="30588" xr:uid="{00000000-0005-0000-0000-0000CE570000}"/>
    <cellStyle name="40% - Accent2 2 4 2 2 3" xfId="6358" xr:uid="{00000000-0005-0000-0000-0000CF570000}"/>
    <cellStyle name="40% - Accent2 2 4 2 2 3 2" xfId="12817" xr:uid="{00000000-0005-0000-0000-0000D0570000}"/>
    <cellStyle name="40% - Accent2 2 4 2 2 3 2 2" xfId="25734" xr:uid="{00000000-0005-0000-0000-0000D1570000}"/>
    <cellStyle name="40% - Accent2 2 4 2 2 3 2 2 2" xfId="51608" xr:uid="{00000000-0005-0000-0000-0000D2570000}"/>
    <cellStyle name="40% - Accent2 2 4 2 2 3 2 3" xfId="38692" xr:uid="{00000000-0005-0000-0000-0000D3570000}"/>
    <cellStyle name="40% - Accent2 2 4 2 2 3 3" xfId="19276" xr:uid="{00000000-0005-0000-0000-0000D4570000}"/>
    <cellStyle name="40% - Accent2 2 4 2 2 3 3 2" xfId="45150" xr:uid="{00000000-0005-0000-0000-0000D5570000}"/>
    <cellStyle name="40% - Accent2 2 4 2 2 3 4" xfId="32234" xr:uid="{00000000-0005-0000-0000-0000D6570000}"/>
    <cellStyle name="40% - Accent2 2 4 2 2 4" xfId="9589" xr:uid="{00000000-0005-0000-0000-0000D7570000}"/>
    <cellStyle name="40% - Accent2 2 4 2 2 4 2" xfId="22506" xr:uid="{00000000-0005-0000-0000-0000D8570000}"/>
    <cellStyle name="40% - Accent2 2 4 2 2 4 2 2" xfId="48380" xr:uid="{00000000-0005-0000-0000-0000D9570000}"/>
    <cellStyle name="40% - Accent2 2 4 2 2 4 3" xfId="35464" xr:uid="{00000000-0005-0000-0000-0000DA570000}"/>
    <cellStyle name="40% - Accent2 2 4 2 2 5" xfId="16048" xr:uid="{00000000-0005-0000-0000-0000DB570000}"/>
    <cellStyle name="40% - Accent2 2 4 2 2 5 2" xfId="41922" xr:uid="{00000000-0005-0000-0000-0000DC570000}"/>
    <cellStyle name="40% - Accent2 2 4 2 2 6" xfId="28974" xr:uid="{00000000-0005-0000-0000-0000DD570000}"/>
    <cellStyle name="40% - Accent2 2 4 2 3" xfId="3911" xr:uid="{00000000-0005-0000-0000-0000DE570000}"/>
    <cellStyle name="40% - Accent2 2 4 2 3 2" xfId="7165" xr:uid="{00000000-0005-0000-0000-0000DF570000}"/>
    <cellStyle name="40% - Accent2 2 4 2 3 2 2" xfId="13624" xr:uid="{00000000-0005-0000-0000-0000E0570000}"/>
    <cellStyle name="40% - Accent2 2 4 2 3 2 2 2" xfId="26541" xr:uid="{00000000-0005-0000-0000-0000E1570000}"/>
    <cellStyle name="40% - Accent2 2 4 2 3 2 2 2 2" xfId="52415" xr:uid="{00000000-0005-0000-0000-0000E2570000}"/>
    <cellStyle name="40% - Accent2 2 4 2 3 2 2 3" xfId="39499" xr:uid="{00000000-0005-0000-0000-0000E3570000}"/>
    <cellStyle name="40% - Accent2 2 4 2 3 2 3" xfId="20083" xr:uid="{00000000-0005-0000-0000-0000E4570000}"/>
    <cellStyle name="40% - Accent2 2 4 2 3 2 3 2" xfId="45957" xr:uid="{00000000-0005-0000-0000-0000E5570000}"/>
    <cellStyle name="40% - Accent2 2 4 2 3 2 4" xfId="33041" xr:uid="{00000000-0005-0000-0000-0000E6570000}"/>
    <cellStyle name="40% - Accent2 2 4 2 3 3" xfId="10396" xr:uid="{00000000-0005-0000-0000-0000E7570000}"/>
    <cellStyle name="40% - Accent2 2 4 2 3 3 2" xfId="23313" xr:uid="{00000000-0005-0000-0000-0000E8570000}"/>
    <cellStyle name="40% - Accent2 2 4 2 3 3 2 2" xfId="49187" xr:uid="{00000000-0005-0000-0000-0000E9570000}"/>
    <cellStyle name="40% - Accent2 2 4 2 3 3 3" xfId="36271" xr:uid="{00000000-0005-0000-0000-0000EA570000}"/>
    <cellStyle name="40% - Accent2 2 4 2 3 4" xfId="16855" xr:uid="{00000000-0005-0000-0000-0000EB570000}"/>
    <cellStyle name="40% - Accent2 2 4 2 3 4 2" xfId="42729" xr:uid="{00000000-0005-0000-0000-0000EC570000}"/>
    <cellStyle name="40% - Accent2 2 4 2 3 5" xfId="29781" xr:uid="{00000000-0005-0000-0000-0000ED570000}"/>
    <cellStyle name="40% - Accent2 2 4 2 4" xfId="5551" xr:uid="{00000000-0005-0000-0000-0000EE570000}"/>
    <cellStyle name="40% - Accent2 2 4 2 4 2" xfId="12010" xr:uid="{00000000-0005-0000-0000-0000EF570000}"/>
    <cellStyle name="40% - Accent2 2 4 2 4 2 2" xfId="24927" xr:uid="{00000000-0005-0000-0000-0000F0570000}"/>
    <cellStyle name="40% - Accent2 2 4 2 4 2 2 2" xfId="50801" xr:uid="{00000000-0005-0000-0000-0000F1570000}"/>
    <cellStyle name="40% - Accent2 2 4 2 4 2 3" xfId="37885" xr:uid="{00000000-0005-0000-0000-0000F2570000}"/>
    <cellStyle name="40% - Accent2 2 4 2 4 3" xfId="18469" xr:uid="{00000000-0005-0000-0000-0000F3570000}"/>
    <cellStyle name="40% - Accent2 2 4 2 4 3 2" xfId="44343" xr:uid="{00000000-0005-0000-0000-0000F4570000}"/>
    <cellStyle name="40% - Accent2 2 4 2 4 4" xfId="31427" xr:uid="{00000000-0005-0000-0000-0000F5570000}"/>
    <cellStyle name="40% - Accent2 2 4 2 5" xfId="8782" xr:uid="{00000000-0005-0000-0000-0000F6570000}"/>
    <cellStyle name="40% - Accent2 2 4 2 5 2" xfId="21699" xr:uid="{00000000-0005-0000-0000-0000F7570000}"/>
    <cellStyle name="40% - Accent2 2 4 2 5 2 2" xfId="47573" xr:uid="{00000000-0005-0000-0000-0000F8570000}"/>
    <cellStyle name="40% - Accent2 2 4 2 5 3" xfId="34657" xr:uid="{00000000-0005-0000-0000-0000F9570000}"/>
    <cellStyle name="40% - Accent2 2 4 2 6" xfId="15241" xr:uid="{00000000-0005-0000-0000-0000FA570000}"/>
    <cellStyle name="40% - Accent2 2 4 2 6 2" xfId="41115" xr:uid="{00000000-0005-0000-0000-0000FB570000}"/>
    <cellStyle name="40% - Accent2 2 4 2 7" xfId="28167" xr:uid="{00000000-0005-0000-0000-0000FC570000}"/>
    <cellStyle name="40% - Accent2 2 4 2 8" xfId="54029" xr:uid="{00000000-0005-0000-0000-0000FD570000}"/>
    <cellStyle name="40% - Accent2 2 4 3" xfId="2681" xr:uid="{00000000-0005-0000-0000-0000FE570000}"/>
    <cellStyle name="40% - Accent2 2 4 3 2" xfId="4338" xr:uid="{00000000-0005-0000-0000-0000FF570000}"/>
    <cellStyle name="40% - Accent2 2 4 3 2 2" xfId="7569" xr:uid="{00000000-0005-0000-0000-000000580000}"/>
    <cellStyle name="40% - Accent2 2 4 3 2 2 2" xfId="14028" xr:uid="{00000000-0005-0000-0000-000001580000}"/>
    <cellStyle name="40% - Accent2 2 4 3 2 2 2 2" xfId="26945" xr:uid="{00000000-0005-0000-0000-000002580000}"/>
    <cellStyle name="40% - Accent2 2 4 3 2 2 2 2 2" xfId="52819" xr:uid="{00000000-0005-0000-0000-000003580000}"/>
    <cellStyle name="40% - Accent2 2 4 3 2 2 2 3" xfId="39903" xr:uid="{00000000-0005-0000-0000-000004580000}"/>
    <cellStyle name="40% - Accent2 2 4 3 2 2 3" xfId="20487" xr:uid="{00000000-0005-0000-0000-000005580000}"/>
    <cellStyle name="40% - Accent2 2 4 3 2 2 3 2" xfId="46361" xr:uid="{00000000-0005-0000-0000-000006580000}"/>
    <cellStyle name="40% - Accent2 2 4 3 2 2 4" xfId="33445" xr:uid="{00000000-0005-0000-0000-000007580000}"/>
    <cellStyle name="40% - Accent2 2 4 3 2 3" xfId="10800" xr:uid="{00000000-0005-0000-0000-000008580000}"/>
    <cellStyle name="40% - Accent2 2 4 3 2 3 2" xfId="23717" xr:uid="{00000000-0005-0000-0000-000009580000}"/>
    <cellStyle name="40% - Accent2 2 4 3 2 3 2 2" xfId="49591" xr:uid="{00000000-0005-0000-0000-00000A580000}"/>
    <cellStyle name="40% - Accent2 2 4 3 2 3 3" xfId="36675" xr:uid="{00000000-0005-0000-0000-00000B580000}"/>
    <cellStyle name="40% - Accent2 2 4 3 2 4" xfId="17259" xr:uid="{00000000-0005-0000-0000-00000C580000}"/>
    <cellStyle name="40% - Accent2 2 4 3 2 4 2" xfId="43133" xr:uid="{00000000-0005-0000-0000-00000D580000}"/>
    <cellStyle name="40% - Accent2 2 4 3 2 5" xfId="30185" xr:uid="{00000000-0005-0000-0000-00000E580000}"/>
    <cellStyle name="40% - Accent2 2 4 3 3" xfId="5955" xr:uid="{00000000-0005-0000-0000-00000F580000}"/>
    <cellStyle name="40% - Accent2 2 4 3 3 2" xfId="12414" xr:uid="{00000000-0005-0000-0000-000010580000}"/>
    <cellStyle name="40% - Accent2 2 4 3 3 2 2" xfId="25331" xr:uid="{00000000-0005-0000-0000-000011580000}"/>
    <cellStyle name="40% - Accent2 2 4 3 3 2 2 2" xfId="51205" xr:uid="{00000000-0005-0000-0000-000012580000}"/>
    <cellStyle name="40% - Accent2 2 4 3 3 2 3" xfId="38289" xr:uid="{00000000-0005-0000-0000-000013580000}"/>
    <cellStyle name="40% - Accent2 2 4 3 3 3" xfId="18873" xr:uid="{00000000-0005-0000-0000-000014580000}"/>
    <cellStyle name="40% - Accent2 2 4 3 3 3 2" xfId="44747" xr:uid="{00000000-0005-0000-0000-000015580000}"/>
    <cellStyle name="40% - Accent2 2 4 3 3 4" xfId="31831" xr:uid="{00000000-0005-0000-0000-000016580000}"/>
    <cellStyle name="40% - Accent2 2 4 3 4" xfId="9186" xr:uid="{00000000-0005-0000-0000-000017580000}"/>
    <cellStyle name="40% - Accent2 2 4 3 4 2" xfId="22103" xr:uid="{00000000-0005-0000-0000-000018580000}"/>
    <cellStyle name="40% - Accent2 2 4 3 4 2 2" xfId="47977" xr:uid="{00000000-0005-0000-0000-000019580000}"/>
    <cellStyle name="40% - Accent2 2 4 3 4 3" xfId="35061" xr:uid="{00000000-0005-0000-0000-00001A580000}"/>
    <cellStyle name="40% - Accent2 2 4 3 5" xfId="15645" xr:uid="{00000000-0005-0000-0000-00001B580000}"/>
    <cellStyle name="40% - Accent2 2 4 3 5 2" xfId="41519" xr:uid="{00000000-0005-0000-0000-00001C580000}"/>
    <cellStyle name="40% - Accent2 2 4 3 6" xfId="28571" xr:uid="{00000000-0005-0000-0000-00001D580000}"/>
    <cellStyle name="40% - Accent2 2 4 4" xfId="3508" xr:uid="{00000000-0005-0000-0000-00001E580000}"/>
    <cellStyle name="40% - Accent2 2 4 4 2" xfId="6762" xr:uid="{00000000-0005-0000-0000-00001F580000}"/>
    <cellStyle name="40% - Accent2 2 4 4 2 2" xfId="13221" xr:uid="{00000000-0005-0000-0000-000020580000}"/>
    <cellStyle name="40% - Accent2 2 4 4 2 2 2" xfId="26138" xr:uid="{00000000-0005-0000-0000-000021580000}"/>
    <cellStyle name="40% - Accent2 2 4 4 2 2 2 2" xfId="52012" xr:uid="{00000000-0005-0000-0000-000022580000}"/>
    <cellStyle name="40% - Accent2 2 4 4 2 2 3" xfId="39096" xr:uid="{00000000-0005-0000-0000-000023580000}"/>
    <cellStyle name="40% - Accent2 2 4 4 2 3" xfId="19680" xr:uid="{00000000-0005-0000-0000-000024580000}"/>
    <cellStyle name="40% - Accent2 2 4 4 2 3 2" xfId="45554" xr:uid="{00000000-0005-0000-0000-000025580000}"/>
    <cellStyle name="40% - Accent2 2 4 4 2 4" xfId="32638" xr:uid="{00000000-0005-0000-0000-000026580000}"/>
    <cellStyle name="40% - Accent2 2 4 4 3" xfId="9993" xr:uid="{00000000-0005-0000-0000-000027580000}"/>
    <cellStyle name="40% - Accent2 2 4 4 3 2" xfId="22910" xr:uid="{00000000-0005-0000-0000-000028580000}"/>
    <cellStyle name="40% - Accent2 2 4 4 3 2 2" xfId="48784" xr:uid="{00000000-0005-0000-0000-000029580000}"/>
    <cellStyle name="40% - Accent2 2 4 4 3 3" xfId="35868" xr:uid="{00000000-0005-0000-0000-00002A580000}"/>
    <cellStyle name="40% - Accent2 2 4 4 4" xfId="16452" xr:uid="{00000000-0005-0000-0000-00002B580000}"/>
    <cellStyle name="40% - Accent2 2 4 4 4 2" xfId="42326" xr:uid="{00000000-0005-0000-0000-00002C580000}"/>
    <cellStyle name="40% - Accent2 2 4 4 5" xfId="29378" xr:uid="{00000000-0005-0000-0000-00002D580000}"/>
    <cellStyle name="40% - Accent2 2 4 5" xfId="5148" xr:uid="{00000000-0005-0000-0000-00002E580000}"/>
    <cellStyle name="40% - Accent2 2 4 5 2" xfId="11607" xr:uid="{00000000-0005-0000-0000-00002F580000}"/>
    <cellStyle name="40% - Accent2 2 4 5 2 2" xfId="24524" xr:uid="{00000000-0005-0000-0000-000030580000}"/>
    <cellStyle name="40% - Accent2 2 4 5 2 2 2" xfId="50398" xr:uid="{00000000-0005-0000-0000-000031580000}"/>
    <cellStyle name="40% - Accent2 2 4 5 2 3" xfId="37482" xr:uid="{00000000-0005-0000-0000-000032580000}"/>
    <cellStyle name="40% - Accent2 2 4 5 3" xfId="18066" xr:uid="{00000000-0005-0000-0000-000033580000}"/>
    <cellStyle name="40% - Accent2 2 4 5 3 2" xfId="43940" xr:uid="{00000000-0005-0000-0000-000034580000}"/>
    <cellStyle name="40% - Accent2 2 4 5 4" xfId="31024" xr:uid="{00000000-0005-0000-0000-000035580000}"/>
    <cellStyle name="40% - Accent2 2 4 6" xfId="8378" xr:uid="{00000000-0005-0000-0000-000036580000}"/>
    <cellStyle name="40% - Accent2 2 4 6 2" xfId="21295" xr:uid="{00000000-0005-0000-0000-000037580000}"/>
    <cellStyle name="40% - Accent2 2 4 6 2 2" xfId="47169" xr:uid="{00000000-0005-0000-0000-000038580000}"/>
    <cellStyle name="40% - Accent2 2 4 6 3" xfId="34253" xr:uid="{00000000-0005-0000-0000-000039580000}"/>
    <cellStyle name="40% - Accent2 2 4 7" xfId="14837" xr:uid="{00000000-0005-0000-0000-00003A580000}"/>
    <cellStyle name="40% - Accent2 2 4 7 2" xfId="40711" xr:uid="{00000000-0005-0000-0000-00003B580000}"/>
    <cellStyle name="40% - Accent2 2 4 8" xfId="27763" xr:uid="{00000000-0005-0000-0000-00003C580000}"/>
    <cellStyle name="40% - Accent2 2 4 9" xfId="53626" xr:uid="{00000000-0005-0000-0000-00003D580000}"/>
    <cellStyle name="40% - Accent2 2 5" xfId="2075" xr:uid="{00000000-0005-0000-0000-00003E580000}"/>
    <cellStyle name="40% - Accent2 2 5 2" xfId="2893" xr:uid="{00000000-0005-0000-0000-00003F580000}"/>
    <cellStyle name="40% - Accent2 2 5 2 2" xfId="4550" xr:uid="{00000000-0005-0000-0000-000040580000}"/>
    <cellStyle name="40% - Accent2 2 5 2 2 2" xfId="7781" xr:uid="{00000000-0005-0000-0000-000041580000}"/>
    <cellStyle name="40% - Accent2 2 5 2 2 2 2" xfId="14240" xr:uid="{00000000-0005-0000-0000-000042580000}"/>
    <cellStyle name="40% - Accent2 2 5 2 2 2 2 2" xfId="27157" xr:uid="{00000000-0005-0000-0000-000043580000}"/>
    <cellStyle name="40% - Accent2 2 5 2 2 2 2 2 2" xfId="53031" xr:uid="{00000000-0005-0000-0000-000044580000}"/>
    <cellStyle name="40% - Accent2 2 5 2 2 2 2 3" xfId="40115" xr:uid="{00000000-0005-0000-0000-000045580000}"/>
    <cellStyle name="40% - Accent2 2 5 2 2 2 3" xfId="20699" xr:uid="{00000000-0005-0000-0000-000046580000}"/>
    <cellStyle name="40% - Accent2 2 5 2 2 2 3 2" xfId="46573" xr:uid="{00000000-0005-0000-0000-000047580000}"/>
    <cellStyle name="40% - Accent2 2 5 2 2 2 4" xfId="33657" xr:uid="{00000000-0005-0000-0000-000048580000}"/>
    <cellStyle name="40% - Accent2 2 5 2 2 3" xfId="11012" xr:uid="{00000000-0005-0000-0000-000049580000}"/>
    <cellStyle name="40% - Accent2 2 5 2 2 3 2" xfId="23929" xr:uid="{00000000-0005-0000-0000-00004A580000}"/>
    <cellStyle name="40% - Accent2 2 5 2 2 3 2 2" xfId="49803" xr:uid="{00000000-0005-0000-0000-00004B580000}"/>
    <cellStyle name="40% - Accent2 2 5 2 2 3 3" xfId="36887" xr:uid="{00000000-0005-0000-0000-00004C580000}"/>
    <cellStyle name="40% - Accent2 2 5 2 2 4" xfId="17471" xr:uid="{00000000-0005-0000-0000-00004D580000}"/>
    <cellStyle name="40% - Accent2 2 5 2 2 4 2" xfId="43345" xr:uid="{00000000-0005-0000-0000-00004E580000}"/>
    <cellStyle name="40% - Accent2 2 5 2 2 5" xfId="30397" xr:uid="{00000000-0005-0000-0000-00004F580000}"/>
    <cellStyle name="40% - Accent2 2 5 2 3" xfId="6167" xr:uid="{00000000-0005-0000-0000-000050580000}"/>
    <cellStyle name="40% - Accent2 2 5 2 3 2" xfId="12626" xr:uid="{00000000-0005-0000-0000-000051580000}"/>
    <cellStyle name="40% - Accent2 2 5 2 3 2 2" xfId="25543" xr:uid="{00000000-0005-0000-0000-000052580000}"/>
    <cellStyle name="40% - Accent2 2 5 2 3 2 2 2" xfId="51417" xr:uid="{00000000-0005-0000-0000-000053580000}"/>
    <cellStyle name="40% - Accent2 2 5 2 3 2 3" xfId="38501" xr:uid="{00000000-0005-0000-0000-000054580000}"/>
    <cellStyle name="40% - Accent2 2 5 2 3 3" xfId="19085" xr:uid="{00000000-0005-0000-0000-000055580000}"/>
    <cellStyle name="40% - Accent2 2 5 2 3 3 2" xfId="44959" xr:uid="{00000000-0005-0000-0000-000056580000}"/>
    <cellStyle name="40% - Accent2 2 5 2 3 4" xfId="32043" xr:uid="{00000000-0005-0000-0000-000057580000}"/>
    <cellStyle name="40% - Accent2 2 5 2 4" xfId="9398" xr:uid="{00000000-0005-0000-0000-000058580000}"/>
    <cellStyle name="40% - Accent2 2 5 2 4 2" xfId="22315" xr:uid="{00000000-0005-0000-0000-000059580000}"/>
    <cellStyle name="40% - Accent2 2 5 2 4 2 2" xfId="48189" xr:uid="{00000000-0005-0000-0000-00005A580000}"/>
    <cellStyle name="40% - Accent2 2 5 2 4 3" xfId="35273" xr:uid="{00000000-0005-0000-0000-00005B580000}"/>
    <cellStyle name="40% - Accent2 2 5 2 5" xfId="15857" xr:uid="{00000000-0005-0000-0000-00005C580000}"/>
    <cellStyle name="40% - Accent2 2 5 2 5 2" xfId="41731" xr:uid="{00000000-0005-0000-0000-00005D580000}"/>
    <cellStyle name="40% - Accent2 2 5 2 6" xfId="28783" xr:uid="{00000000-0005-0000-0000-00005E580000}"/>
    <cellStyle name="40% - Accent2 2 5 3" xfId="3720" xr:uid="{00000000-0005-0000-0000-00005F580000}"/>
    <cellStyle name="40% - Accent2 2 5 3 2" xfId="6974" xr:uid="{00000000-0005-0000-0000-000060580000}"/>
    <cellStyle name="40% - Accent2 2 5 3 2 2" xfId="13433" xr:uid="{00000000-0005-0000-0000-000061580000}"/>
    <cellStyle name="40% - Accent2 2 5 3 2 2 2" xfId="26350" xr:uid="{00000000-0005-0000-0000-000062580000}"/>
    <cellStyle name="40% - Accent2 2 5 3 2 2 2 2" xfId="52224" xr:uid="{00000000-0005-0000-0000-000063580000}"/>
    <cellStyle name="40% - Accent2 2 5 3 2 2 3" xfId="39308" xr:uid="{00000000-0005-0000-0000-000064580000}"/>
    <cellStyle name="40% - Accent2 2 5 3 2 3" xfId="19892" xr:uid="{00000000-0005-0000-0000-000065580000}"/>
    <cellStyle name="40% - Accent2 2 5 3 2 3 2" xfId="45766" xr:uid="{00000000-0005-0000-0000-000066580000}"/>
    <cellStyle name="40% - Accent2 2 5 3 2 4" xfId="32850" xr:uid="{00000000-0005-0000-0000-000067580000}"/>
    <cellStyle name="40% - Accent2 2 5 3 3" xfId="10205" xr:uid="{00000000-0005-0000-0000-000068580000}"/>
    <cellStyle name="40% - Accent2 2 5 3 3 2" xfId="23122" xr:uid="{00000000-0005-0000-0000-000069580000}"/>
    <cellStyle name="40% - Accent2 2 5 3 3 2 2" xfId="48996" xr:uid="{00000000-0005-0000-0000-00006A580000}"/>
    <cellStyle name="40% - Accent2 2 5 3 3 3" xfId="36080" xr:uid="{00000000-0005-0000-0000-00006B580000}"/>
    <cellStyle name="40% - Accent2 2 5 3 4" xfId="16664" xr:uid="{00000000-0005-0000-0000-00006C580000}"/>
    <cellStyle name="40% - Accent2 2 5 3 4 2" xfId="42538" xr:uid="{00000000-0005-0000-0000-00006D580000}"/>
    <cellStyle name="40% - Accent2 2 5 3 5" xfId="29590" xr:uid="{00000000-0005-0000-0000-00006E580000}"/>
    <cellStyle name="40% - Accent2 2 5 4" xfId="5360" xr:uid="{00000000-0005-0000-0000-00006F580000}"/>
    <cellStyle name="40% - Accent2 2 5 4 2" xfId="11819" xr:uid="{00000000-0005-0000-0000-000070580000}"/>
    <cellStyle name="40% - Accent2 2 5 4 2 2" xfId="24736" xr:uid="{00000000-0005-0000-0000-000071580000}"/>
    <cellStyle name="40% - Accent2 2 5 4 2 2 2" xfId="50610" xr:uid="{00000000-0005-0000-0000-000072580000}"/>
    <cellStyle name="40% - Accent2 2 5 4 2 3" xfId="37694" xr:uid="{00000000-0005-0000-0000-000073580000}"/>
    <cellStyle name="40% - Accent2 2 5 4 3" xfId="18278" xr:uid="{00000000-0005-0000-0000-000074580000}"/>
    <cellStyle name="40% - Accent2 2 5 4 3 2" xfId="44152" xr:uid="{00000000-0005-0000-0000-000075580000}"/>
    <cellStyle name="40% - Accent2 2 5 4 4" xfId="31236" xr:uid="{00000000-0005-0000-0000-000076580000}"/>
    <cellStyle name="40% - Accent2 2 5 5" xfId="8591" xr:uid="{00000000-0005-0000-0000-000077580000}"/>
    <cellStyle name="40% - Accent2 2 5 5 2" xfId="21508" xr:uid="{00000000-0005-0000-0000-000078580000}"/>
    <cellStyle name="40% - Accent2 2 5 5 2 2" xfId="47382" xr:uid="{00000000-0005-0000-0000-000079580000}"/>
    <cellStyle name="40% - Accent2 2 5 5 3" xfId="34466" xr:uid="{00000000-0005-0000-0000-00007A580000}"/>
    <cellStyle name="40% - Accent2 2 5 6" xfId="15050" xr:uid="{00000000-0005-0000-0000-00007B580000}"/>
    <cellStyle name="40% - Accent2 2 5 6 2" xfId="40924" xr:uid="{00000000-0005-0000-0000-00007C580000}"/>
    <cellStyle name="40% - Accent2 2 5 7" xfId="27976" xr:uid="{00000000-0005-0000-0000-00007D580000}"/>
    <cellStyle name="40% - Accent2 2 5 8" xfId="53838" xr:uid="{00000000-0005-0000-0000-00007E580000}"/>
    <cellStyle name="40% - Accent2 2 6" xfId="2486" xr:uid="{00000000-0005-0000-0000-00007F580000}"/>
    <cellStyle name="40% - Accent2 2 6 2" xfId="4143" xr:uid="{00000000-0005-0000-0000-000080580000}"/>
    <cellStyle name="40% - Accent2 2 6 2 2" xfId="7374" xr:uid="{00000000-0005-0000-0000-000081580000}"/>
    <cellStyle name="40% - Accent2 2 6 2 2 2" xfId="13833" xr:uid="{00000000-0005-0000-0000-000082580000}"/>
    <cellStyle name="40% - Accent2 2 6 2 2 2 2" xfId="26750" xr:uid="{00000000-0005-0000-0000-000083580000}"/>
    <cellStyle name="40% - Accent2 2 6 2 2 2 2 2" xfId="52624" xr:uid="{00000000-0005-0000-0000-000084580000}"/>
    <cellStyle name="40% - Accent2 2 6 2 2 2 3" xfId="39708" xr:uid="{00000000-0005-0000-0000-000085580000}"/>
    <cellStyle name="40% - Accent2 2 6 2 2 3" xfId="20292" xr:uid="{00000000-0005-0000-0000-000086580000}"/>
    <cellStyle name="40% - Accent2 2 6 2 2 3 2" xfId="46166" xr:uid="{00000000-0005-0000-0000-000087580000}"/>
    <cellStyle name="40% - Accent2 2 6 2 2 4" xfId="33250" xr:uid="{00000000-0005-0000-0000-000088580000}"/>
    <cellStyle name="40% - Accent2 2 6 2 3" xfId="10605" xr:uid="{00000000-0005-0000-0000-000089580000}"/>
    <cellStyle name="40% - Accent2 2 6 2 3 2" xfId="23522" xr:uid="{00000000-0005-0000-0000-00008A580000}"/>
    <cellStyle name="40% - Accent2 2 6 2 3 2 2" xfId="49396" xr:uid="{00000000-0005-0000-0000-00008B580000}"/>
    <cellStyle name="40% - Accent2 2 6 2 3 3" xfId="36480" xr:uid="{00000000-0005-0000-0000-00008C580000}"/>
    <cellStyle name="40% - Accent2 2 6 2 4" xfId="17064" xr:uid="{00000000-0005-0000-0000-00008D580000}"/>
    <cellStyle name="40% - Accent2 2 6 2 4 2" xfId="42938" xr:uid="{00000000-0005-0000-0000-00008E580000}"/>
    <cellStyle name="40% - Accent2 2 6 2 5" xfId="29990" xr:uid="{00000000-0005-0000-0000-00008F580000}"/>
    <cellStyle name="40% - Accent2 2 6 3" xfId="5760" xr:uid="{00000000-0005-0000-0000-000090580000}"/>
    <cellStyle name="40% - Accent2 2 6 3 2" xfId="12219" xr:uid="{00000000-0005-0000-0000-000091580000}"/>
    <cellStyle name="40% - Accent2 2 6 3 2 2" xfId="25136" xr:uid="{00000000-0005-0000-0000-000092580000}"/>
    <cellStyle name="40% - Accent2 2 6 3 2 2 2" xfId="51010" xr:uid="{00000000-0005-0000-0000-000093580000}"/>
    <cellStyle name="40% - Accent2 2 6 3 2 3" xfId="38094" xr:uid="{00000000-0005-0000-0000-000094580000}"/>
    <cellStyle name="40% - Accent2 2 6 3 3" xfId="18678" xr:uid="{00000000-0005-0000-0000-000095580000}"/>
    <cellStyle name="40% - Accent2 2 6 3 3 2" xfId="44552" xr:uid="{00000000-0005-0000-0000-000096580000}"/>
    <cellStyle name="40% - Accent2 2 6 3 4" xfId="31636" xr:uid="{00000000-0005-0000-0000-000097580000}"/>
    <cellStyle name="40% - Accent2 2 6 4" xfId="8991" xr:uid="{00000000-0005-0000-0000-000098580000}"/>
    <cellStyle name="40% - Accent2 2 6 4 2" xfId="21908" xr:uid="{00000000-0005-0000-0000-000099580000}"/>
    <cellStyle name="40% - Accent2 2 6 4 2 2" xfId="47782" xr:uid="{00000000-0005-0000-0000-00009A580000}"/>
    <cellStyle name="40% - Accent2 2 6 4 3" xfId="34866" xr:uid="{00000000-0005-0000-0000-00009B580000}"/>
    <cellStyle name="40% - Accent2 2 6 5" xfId="15450" xr:uid="{00000000-0005-0000-0000-00009C580000}"/>
    <cellStyle name="40% - Accent2 2 6 5 2" xfId="41324" xr:uid="{00000000-0005-0000-0000-00009D580000}"/>
    <cellStyle name="40% - Accent2 2 6 6" xfId="28376" xr:uid="{00000000-0005-0000-0000-00009E580000}"/>
    <cellStyle name="40% - Accent2 2 7" xfId="3295" xr:uid="{00000000-0005-0000-0000-00009F580000}"/>
    <cellStyle name="40% - Accent2 2 7 2" xfId="6567" xr:uid="{00000000-0005-0000-0000-0000A0580000}"/>
    <cellStyle name="40% - Accent2 2 7 2 2" xfId="13026" xr:uid="{00000000-0005-0000-0000-0000A1580000}"/>
    <cellStyle name="40% - Accent2 2 7 2 2 2" xfId="25943" xr:uid="{00000000-0005-0000-0000-0000A2580000}"/>
    <cellStyle name="40% - Accent2 2 7 2 2 2 2" xfId="51817" xr:uid="{00000000-0005-0000-0000-0000A3580000}"/>
    <cellStyle name="40% - Accent2 2 7 2 2 3" xfId="38901" xr:uid="{00000000-0005-0000-0000-0000A4580000}"/>
    <cellStyle name="40% - Accent2 2 7 2 3" xfId="19485" xr:uid="{00000000-0005-0000-0000-0000A5580000}"/>
    <cellStyle name="40% - Accent2 2 7 2 3 2" xfId="45359" xr:uid="{00000000-0005-0000-0000-0000A6580000}"/>
    <cellStyle name="40% - Accent2 2 7 2 4" xfId="32443" xr:uid="{00000000-0005-0000-0000-0000A7580000}"/>
    <cellStyle name="40% - Accent2 2 7 3" xfId="9798" xr:uid="{00000000-0005-0000-0000-0000A8580000}"/>
    <cellStyle name="40% - Accent2 2 7 3 2" xfId="22715" xr:uid="{00000000-0005-0000-0000-0000A9580000}"/>
    <cellStyle name="40% - Accent2 2 7 3 2 2" xfId="48589" xr:uid="{00000000-0005-0000-0000-0000AA580000}"/>
    <cellStyle name="40% - Accent2 2 7 3 3" xfId="35673" xr:uid="{00000000-0005-0000-0000-0000AB580000}"/>
    <cellStyle name="40% - Accent2 2 7 4" xfId="16257" xr:uid="{00000000-0005-0000-0000-0000AC580000}"/>
    <cellStyle name="40% - Accent2 2 7 4 2" xfId="42131" xr:uid="{00000000-0005-0000-0000-0000AD580000}"/>
    <cellStyle name="40% - Accent2 2 7 5" xfId="29183" xr:uid="{00000000-0005-0000-0000-0000AE580000}"/>
    <cellStyle name="40% - Accent2 2 8" xfId="4953" xr:uid="{00000000-0005-0000-0000-0000AF580000}"/>
    <cellStyle name="40% - Accent2 2 8 2" xfId="11412" xr:uid="{00000000-0005-0000-0000-0000B0580000}"/>
    <cellStyle name="40% - Accent2 2 8 2 2" xfId="24329" xr:uid="{00000000-0005-0000-0000-0000B1580000}"/>
    <cellStyle name="40% - Accent2 2 8 2 2 2" xfId="50203" xr:uid="{00000000-0005-0000-0000-0000B2580000}"/>
    <cellStyle name="40% - Accent2 2 8 2 3" xfId="37287" xr:uid="{00000000-0005-0000-0000-0000B3580000}"/>
    <cellStyle name="40% - Accent2 2 8 3" xfId="17871" xr:uid="{00000000-0005-0000-0000-0000B4580000}"/>
    <cellStyle name="40% - Accent2 2 8 3 2" xfId="43745" xr:uid="{00000000-0005-0000-0000-0000B5580000}"/>
    <cellStyle name="40% - Accent2 2 8 4" xfId="30829" xr:uid="{00000000-0005-0000-0000-0000B6580000}"/>
    <cellStyle name="40% - Accent2 2 9" xfId="8181" xr:uid="{00000000-0005-0000-0000-0000B7580000}"/>
    <cellStyle name="40% - Accent2 2 9 2" xfId="21099" xr:uid="{00000000-0005-0000-0000-0000B8580000}"/>
    <cellStyle name="40% - Accent2 2 9 2 2" xfId="46973" xr:uid="{00000000-0005-0000-0000-0000B9580000}"/>
    <cellStyle name="40% - Accent2 2 9 3" xfId="34057" xr:uid="{00000000-0005-0000-0000-0000BA580000}"/>
    <cellStyle name="40% - Accent2 20" xfId="30785" xr:uid="{00000000-0005-0000-0000-0000BB580000}"/>
    <cellStyle name="40% - Accent2 21" xfId="53415" xr:uid="{00000000-0005-0000-0000-0000BC580000}"/>
    <cellStyle name="40% - Accent2 22" xfId="81" xr:uid="{00000000-0005-0000-0000-0000BD580000}"/>
    <cellStyle name="40% - Accent2 3" xfId="259" xr:uid="{00000000-0005-0000-0000-0000BE580000}"/>
    <cellStyle name="40% - Accent2 3 2" xfId="359" xr:uid="{00000000-0005-0000-0000-0000BF580000}"/>
    <cellStyle name="40% - Accent2 3 2 10" xfId="53544" xr:uid="{00000000-0005-0000-0000-0000C0580000}"/>
    <cellStyle name="40% - Accent2 3 2 11" xfId="1628" xr:uid="{00000000-0005-0000-0000-0000C1580000}"/>
    <cellStyle name="40% - Accent2 3 2 2" xfId="470" xr:uid="{00000000-0005-0000-0000-0000C2580000}"/>
    <cellStyle name="40% - Accent2 3 2 2 10" xfId="1953" xr:uid="{00000000-0005-0000-0000-0000C3580000}"/>
    <cellStyle name="40% - Accent2 3 2 2 2" xfId="680" xr:uid="{00000000-0005-0000-0000-0000C4580000}"/>
    <cellStyle name="40% - Accent2 3 2 2 2 2" xfId="3197" xr:uid="{00000000-0005-0000-0000-0000C5580000}"/>
    <cellStyle name="40% - Accent2 3 2 2 2 2 2" xfId="4854" xr:uid="{00000000-0005-0000-0000-0000C6580000}"/>
    <cellStyle name="40% - Accent2 3 2 2 2 2 2 2" xfId="8085" xr:uid="{00000000-0005-0000-0000-0000C7580000}"/>
    <cellStyle name="40% - Accent2 3 2 2 2 2 2 2 2" xfId="14544" xr:uid="{00000000-0005-0000-0000-0000C8580000}"/>
    <cellStyle name="40% - Accent2 3 2 2 2 2 2 2 2 2" xfId="27461" xr:uid="{00000000-0005-0000-0000-0000C9580000}"/>
    <cellStyle name="40% - Accent2 3 2 2 2 2 2 2 2 2 2" xfId="53335" xr:uid="{00000000-0005-0000-0000-0000CA580000}"/>
    <cellStyle name="40% - Accent2 3 2 2 2 2 2 2 2 3" xfId="40419" xr:uid="{00000000-0005-0000-0000-0000CB580000}"/>
    <cellStyle name="40% - Accent2 3 2 2 2 2 2 2 3" xfId="21003" xr:uid="{00000000-0005-0000-0000-0000CC580000}"/>
    <cellStyle name="40% - Accent2 3 2 2 2 2 2 2 3 2" xfId="46877" xr:uid="{00000000-0005-0000-0000-0000CD580000}"/>
    <cellStyle name="40% - Accent2 3 2 2 2 2 2 2 4" xfId="33961" xr:uid="{00000000-0005-0000-0000-0000CE580000}"/>
    <cellStyle name="40% - Accent2 3 2 2 2 2 2 3" xfId="11316" xr:uid="{00000000-0005-0000-0000-0000CF580000}"/>
    <cellStyle name="40% - Accent2 3 2 2 2 2 2 3 2" xfId="24233" xr:uid="{00000000-0005-0000-0000-0000D0580000}"/>
    <cellStyle name="40% - Accent2 3 2 2 2 2 2 3 2 2" xfId="50107" xr:uid="{00000000-0005-0000-0000-0000D1580000}"/>
    <cellStyle name="40% - Accent2 3 2 2 2 2 2 3 3" xfId="37191" xr:uid="{00000000-0005-0000-0000-0000D2580000}"/>
    <cellStyle name="40% - Accent2 3 2 2 2 2 2 4" xfId="17775" xr:uid="{00000000-0005-0000-0000-0000D3580000}"/>
    <cellStyle name="40% - Accent2 3 2 2 2 2 2 4 2" xfId="43649" xr:uid="{00000000-0005-0000-0000-0000D4580000}"/>
    <cellStyle name="40% - Accent2 3 2 2 2 2 2 5" xfId="30701" xr:uid="{00000000-0005-0000-0000-0000D5580000}"/>
    <cellStyle name="40% - Accent2 3 2 2 2 2 3" xfId="6471" xr:uid="{00000000-0005-0000-0000-0000D6580000}"/>
    <cellStyle name="40% - Accent2 3 2 2 2 2 3 2" xfId="12930" xr:uid="{00000000-0005-0000-0000-0000D7580000}"/>
    <cellStyle name="40% - Accent2 3 2 2 2 2 3 2 2" xfId="25847" xr:uid="{00000000-0005-0000-0000-0000D8580000}"/>
    <cellStyle name="40% - Accent2 3 2 2 2 2 3 2 2 2" xfId="51721" xr:uid="{00000000-0005-0000-0000-0000D9580000}"/>
    <cellStyle name="40% - Accent2 3 2 2 2 2 3 2 3" xfId="38805" xr:uid="{00000000-0005-0000-0000-0000DA580000}"/>
    <cellStyle name="40% - Accent2 3 2 2 2 2 3 3" xfId="19389" xr:uid="{00000000-0005-0000-0000-0000DB580000}"/>
    <cellStyle name="40% - Accent2 3 2 2 2 2 3 3 2" xfId="45263" xr:uid="{00000000-0005-0000-0000-0000DC580000}"/>
    <cellStyle name="40% - Accent2 3 2 2 2 2 3 4" xfId="32347" xr:uid="{00000000-0005-0000-0000-0000DD580000}"/>
    <cellStyle name="40% - Accent2 3 2 2 2 2 4" xfId="9702" xr:uid="{00000000-0005-0000-0000-0000DE580000}"/>
    <cellStyle name="40% - Accent2 3 2 2 2 2 4 2" xfId="22619" xr:uid="{00000000-0005-0000-0000-0000DF580000}"/>
    <cellStyle name="40% - Accent2 3 2 2 2 2 4 2 2" xfId="48493" xr:uid="{00000000-0005-0000-0000-0000E0580000}"/>
    <cellStyle name="40% - Accent2 3 2 2 2 2 4 3" xfId="35577" xr:uid="{00000000-0005-0000-0000-0000E1580000}"/>
    <cellStyle name="40% - Accent2 3 2 2 2 2 5" xfId="16161" xr:uid="{00000000-0005-0000-0000-0000E2580000}"/>
    <cellStyle name="40% - Accent2 3 2 2 2 2 5 2" xfId="42035" xr:uid="{00000000-0005-0000-0000-0000E3580000}"/>
    <cellStyle name="40% - Accent2 3 2 2 2 2 6" xfId="29087" xr:uid="{00000000-0005-0000-0000-0000E4580000}"/>
    <cellStyle name="40% - Accent2 3 2 2 2 3" xfId="4024" xr:uid="{00000000-0005-0000-0000-0000E5580000}"/>
    <cellStyle name="40% - Accent2 3 2 2 2 3 2" xfId="7278" xr:uid="{00000000-0005-0000-0000-0000E6580000}"/>
    <cellStyle name="40% - Accent2 3 2 2 2 3 2 2" xfId="13737" xr:uid="{00000000-0005-0000-0000-0000E7580000}"/>
    <cellStyle name="40% - Accent2 3 2 2 2 3 2 2 2" xfId="26654" xr:uid="{00000000-0005-0000-0000-0000E8580000}"/>
    <cellStyle name="40% - Accent2 3 2 2 2 3 2 2 2 2" xfId="52528" xr:uid="{00000000-0005-0000-0000-0000E9580000}"/>
    <cellStyle name="40% - Accent2 3 2 2 2 3 2 2 3" xfId="39612" xr:uid="{00000000-0005-0000-0000-0000EA580000}"/>
    <cellStyle name="40% - Accent2 3 2 2 2 3 2 3" xfId="20196" xr:uid="{00000000-0005-0000-0000-0000EB580000}"/>
    <cellStyle name="40% - Accent2 3 2 2 2 3 2 3 2" xfId="46070" xr:uid="{00000000-0005-0000-0000-0000EC580000}"/>
    <cellStyle name="40% - Accent2 3 2 2 2 3 2 4" xfId="33154" xr:uid="{00000000-0005-0000-0000-0000ED580000}"/>
    <cellStyle name="40% - Accent2 3 2 2 2 3 3" xfId="10509" xr:uid="{00000000-0005-0000-0000-0000EE580000}"/>
    <cellStyle name="40% - Accent2 3 2 2 2 3 3 2" xfId="23426" xr:uid="{00000000-0005-0000-0000-0000EF580000}"/>
    <cellStyle name="40% - Accent2 3 2 2 2 3 3 2 2" xfId="49300" xr:uid="{00000000-0005-0000-0000-0000F0580000}"/>
    <cellStyle name="40% - Accent2 3 2 2 2 3 3 3" xfId="36384" xr:uid="{00000000-0005-0000-0000-0000F1580000}"/>
    <cellStyle name="40% - Accent2 3 2 2 2 3 4" xfId="16968" xr:uid="{00000000-0005-0000-0000-0000F2580000}"/>
    <cellStyle name="40% - Accent2 3 2 2 2 3 4 2" xfId="42842" xr:uid="{00000000-0005-0000-0000-0000F3580000}"/>
    <cellStyle name="40% - Accent2 3 2 2 2 3 5" xfId="29894" xr:uid="{00000000-0005-0000-0000-0000F4580000}"/>
    <cellStyle name="40% - Accent2 3 2 2 2 4" xfId="5664" xr:uid="{00000000-0005-0000-0000-0000F5580000}"/>
    <cellStyle name="40% - Accent2 3 2 2 2 4 2" xfId="12123" xr:uid="{00000000-0005-0000-0000-0000F6580000}"/>
    <cellStyle name="40% - Accent2 3 2 2 2 4 2 2" xfId="25040" xr:uid="{00000000-0005-0000-0000-0000F7580000}"/>
    <cellStyle name="40% - Accent2 3 2 2 2 4 2 2 2" xfId="50914" xr:uid="{00000000-0005-0000-0000-0000F8580000}"/>
    <cellStyle name="40% - Accent2 3 2 2 2 4 2 3" xfId="37998" xr:uid="{00000000-0005-0000-0000-0000F9580000}"/>
    <cellStyle name="40% - Accent2 3 2 2 2 4 3" xfId="18582" xr:uid="{00000000-0005-0000-0000-0000FA580000}"/>
    <cellStyle name="40% - Accent2 3 2 2 2 4 3 2" xfId="44456" xr:uid="{00000000-0005-0000-0000-0000FB580000}"/>
    <cellStyle name="40% - Accent2 3 2 2 2 4 4" xfId="31540" xr:uid="{00000000-0005-0000-0000-0000FC580000}"/>
    <cellStyle name="40% - Accent2 3 2 2 2 5" xfId="8895" xr:uid="{00000000-0005-0000-0000-0000FD580000}"/>
    <cellStyle name="40% - Accent2 3 2 2 2 5 2" xfId="21812" xr:uid="{00000000-0005-0000-0000-0000FE580000}"/>
    <cellStyle name="40% - Accent2 3 2 2 2 5 2 2" xfId="47686" xr:uid="{00000000-0005-0000-0000-0000FF580000}"/>
    <cellStyle name="40% - Accent2 3 2 2 2 5 3" xfId="34770" xr:uid="{00000000-0005-0000-0000-000000590000}"/>
    <cellStyle name="40% - Accent2 3 2 2 2 6" xfId="15354" xr:uid="{00000000-0005-0000-0000-000001590000}"/>
    <cellStyle name="40% - Accent2 3 2 2 2 6 2" xfId="41228" xr:uid="{00000000-0005-0000-0000-000002590000}"/>
    <cellStyle name="40% - Accent2 3 2 2 2 7" xfId="28280" xr:uid="{00000000-0005-0000-0000-000003590000}"/>
    <cellStyle name="40% - Accent2 3 2 2 2 8" xfId="54142" xr:uid="{00000000-0005-0000-0000-000004590000}"/>
    <cellStyle name="40% - Accent2 3 2 2 2 9" xfId="2384" xr:uid="{00000000-0005-0000-0000-000005590000}"/>
    <cellStyle name="40% - Accent2 3 2 2 3" xfId="679" xr:uid="{00000000-0005-0000-0000-000006590000}"/>
    <cellStyle name="40% - Accent2 3 2 2 3 2" xfId="4450" xr:uid="{00000000-0005-0000-0000-000007590000}"/>
    <cellStyle name="40% - Accent2 3 2 2 3 2 2" xfId="7681" xr:uid="{00000000-0005-0000-0000-000008590000}"/>
    <cellStyle name="40% - Accent2 3 2 2 3 2 2 2" xfId="14140" xr:uid="{00000000-0005-0000-0000-000009590000}"/>
    <cellStyle name="40% - Accent2 3 2 2 3 2 2 2 2" xfId="27057" xr:uid="{00000000-0005-0000-0000-00000A590000}"/>
    <cellStyle name="40% - Accent2 3 2 2 3 2 2 2 2 2" xfId="52931" xr:uid="{00000000-0005-0000-0000-00000B590000}"/>
    <cellStyle name="40% - Accent2 3 2 2 3 2 2 2 3" xfId="40015" xr:uid="{00000000-0005-0000-0000-00000C590000}"/>
    <cellStyle name="40% - Accent2 3 2 2 3 2 2 3" xfId="20599" xr:uid="{00000000-0005-0000-0000-00000D590000}"/>
    <cellStyle name="40% - Accent2 3 2 2 3 2 2 3 2" xfId="46473" xr:uid="{00000000-0005-0000-0000-00000E590000}"/>
    <cellStyle name="40% - Accent2 3 2 2 3 2 2 4" xfId="33557" xr:uid="{00000000-0005-0000-0000-00000F590000}"/>
    <cellStyle name="40% - Accent2 3 2 2 3 2 3" xfId="10912" xr:uid="{00000000-0005-0000-0000-000010590000}"/>
    <cellStyle name="40% - Accent2 3 2 2 3 2 3 2" xfId="23829" xr:uid="{00000000-0005-0000-0000-000011590000}"/>
    <cellStyle name="40% - Accent2 3 2 2 3 2 3 2 2" xfId="49703" xr:uid="{00000000-0005-0000-0000-000012590000}"/>
    <cellStyle name="40% - Accent2 3 2 2 3 2 3 3" xfId="36787" xr:uid="{00000000-0005-0000-0000-000013590000}"/>
    <cellStyle name="40% - Accent2 3 2 2 3 2 4" xfId="17371" xr:uid="{00000000-0005-0000-0000-000014590000}"/>
    <cellStyle name="40% - Accent2 3 2 2 3 2 4 2" xfId="43245" xr:uid="{00000000-0005-0000-0000-000015590000}"/>
    <cellStyle name="40% - Accent2 3 2 2 3 2 5" xfId="30297" xr:uid="{00000000-0005-0000-0000-000016590000}"/>
    <cellStyle name="40% - Accent2 3 2 2 3 3" xfId="6067" xr:uid="{00000000-0005-0000-0000-000017590000}"/>
    <cellStyle name="40% - Accent2 3 2 2 3 3 2" xfId="12526" xr:uid="{00000000-0005-0000-0000-000018590000}"/>
    <cellStyle name="40% - Accent2 3 2 2 3 3 2 2" xfId="25443" xr:uid="{00000000-0005-0000-0000-000019590000}"/>
    <cellStyle name="40% - Accent2 3 2 2 3 3 2 2 2" xfId="51317" xr:uid="{00000000-0005-0000-0000-00001A590000}"/>
    <cellStyle name="40% - Accent2 3 2 2 3 3 2 3" xfId="38401" xr:uid="{00000000-0005-0000-0000-00001B590000}"/>
    <cellStyle name="40% - Accent2 3 2 2 3 3 3" xfId="18985" xr:uid="{00000000-0005-0000-0000-00001C590000}"/>
    <cellStyle name="40% - Accent2 3 2 2 3 3 3 2" xfId="44859" xr:uid="{00000000-0005-0000-0000-00001D590000}"/>
    <cellStyle name="40% - Accent2 3 2 2 3 3 4" xfId="31943" xr:uid="{00000000-0005-0000-0000-00001E590000}"/>
    <cellStyle name="40% - Accent2 3 2 2 3 4" xfId="9298" xr:uid="{00000000-0005-0000-0000-00001F590000}"/>
    <cellStyle name="40% - Accent2 3 2 2 3 4 2" xfId="22215" xr:uid="{00000000-0005-0000-0000-000020590000}"/>
    <cellStyle name="40% - Accent2 3 2 2 3 4 2 2" xfId="48089" xr:uid="{00000000-0005-0000-0000-000021590000}"/>
    <cellStyle name="40% - Accent2 3 2 2 3 4 3" xfId="35173" xr:uid="{00000000-0005-0000-0000-000022590000}"/>
    <cellStyle name="40% - Accent2 3 2 2 3 5" xfId="15757" xr:uid="{00000000-0005-0000-0000-000023590000}"/>
    <cellStyle name="40% - Accent2 3 2 2 3 5 2" xfId="41631" xr:uid="{00000000-0005-0000-0000-000024590000}"/>
    <cellStyle name="40% - Accent2 3 2 2 3 6" xfId="28683" xr:uid="{00000000-0005-0000-0000-000025590000}"/>
    <cellStyle name="40% - Accent2 3 2 2 3 7" xfId="2793" xr:uid="{00000000-0005-0000-0000-000026590000}"/>
    <cellStyle name="40% - Accent2 3 2 2 4" xfId="3620" xr:uid="{00000000-0005-0000-0000-000027590000}"/>
    <cellStyle name="40% - Accent2 3 2 2 4 2" xfId="6874" xr:uid="{00000000-0005-0000-0000-000028590000}"/>
    <cellStyle name="40% - Accent2 3 2 2 4 2 2" xfId="13333" xr:uid="{00000000-0005-0000-0000-000029590000}"/>
    <cellStyle name="40% - Accent2 3 2 2 4 2 2 2" xfId="26250" xr:uid="{00000000-0005-0000-0000-00002A590000}"/>
    <cellStyle name="40% - Accent2 3 2 2 4 2 2 2 2" xfId="52124" xr:uid="{00000000-0005-0000-0000-00002B590000}"/>
    <cellStyle name="40% - Accent2 3 2 2 4 2 2 3" xfId="39208" xr:uid="{00000000-0005-0000-0000-00002C590000}"/>
    <cellStyle name="40% - Accent2 3 2 2 4 2 3" xfId="19792" xr:uid="{00000000-0005-0000-0000-00002D590000}"/>
    <cellStyle name="40% - Accent2 3 2 2 4 2 3 2" xfId="45666" xr:uid="{00000000-0005-0000-0000-00002E590000}"/>
    <cellStyle name="40% - Accent2 3 2 2 4 2 4" xfId="32750" xr:uid="{00000000-0005-0000-0000-00002F590000}"/>
    <cellStyle name="40% - Accent2 3 2 2 4 3" xfId="10105" xr:uid="{00000000-0005-0000-0000-000030590000}"/>
    <cellStyle name="40% - Accent2 3 2 2 4 3 2" xfId="23022" xr:uid="{00000000-0005-0000-0000-000031590000}"/>
    <cellStyle name="40% - Accent2 3 2 2 4 3 2 2" xfId="48896" xr:uid="{00000000-0005-0000-0000-000032590000}"/>
    <cellStyle name="40% - Accent2 3 2 2 4 3 3" xfId="35980" xr:uid="{00000000-0005-0000-0000-000033590000}"/>
    <cellStyle name="40% - Accent2 3 2 2 4 4" xfId="16564" xr:uid="{00000000-0005-0000-0000-000034590000}"/>
    <cellStyle name="40% - Accent2 3 2 2 4 4 2" xfId="42438" xr:uid="{00000000-0005-0000-0000-000035590000}"/>
    <cellStyle name="40% - Accent2 3 2 2 4 5" xfId="29490" xr:uid="{00000000-0005-0000-0000-000036590000}"/>
    <cellStyle name="40% - Accent2 3 2 2 5" xfId="5260" xr:uid="{00000000-0005-0000-0000-000037590000}"/>
    <cellStyle name="40% - Accent2 3 2 2 5 2" xfId="11719" xr:uid="{00000000-0005-0000-0000-000038590000}"/>
    <cellStyle name="40% - Accent2 3 2 2 5 2 2" xfId="24636" xr:uid="{00000000-0005-0000-0000-000039590000}"/>
    <cellStyle name="40% - Accent2 3 2 2 5 2 2 2" xfId="50510" xr:uid="{00000000-0005-0000-0000-00003A590000}"/>
    <cellStyle name="40% - Accent2 3 2 2 5 2 3" xfId="37594" xr:uid="{00000000-0005-0000-0000-00003B590000}"/>
    <cellStyle name="40% - Accent2 3 2 2 5 3" xfId="18178" xr:uid="{00000000-0005-0000-0000-00003C590000}"/>
    <cellStyle name="40% - Accent2 3 2 2 5 3 2" xfId="44052" xr:uid="{00000000-0005-0000-0000-00003D590000}"/>
    <cellStyle name="40% - Accent2 3 2 2 5 4" xfId="31136" xr:uid="{00000000-0005-0000-0000-00003E590000}"/>
    <cellStyle name="40% - Accent2 3 2 2 6" xfId="8491" xr:uid="{00000000-0005-0000-0000-00003F590000}"/>
    <cellStyle name="40% - Accent2 3 2 2 6 2" xfId="21408" xr:uid="{00000000-0005-0000-0000-000040590000}"/>
    <cellStyle name="40% - Accent2 3 2 2 6 2 2" xfId="47282" xr:uid="{00000000-0005-0000-0000-000041590000}"/>
    <cellStyle name="40% - Accent2 3 2 2 6 3" xfId="34366" xr:uid="{00000000-0005-0000-0000-000042590000}"/>
    <cellStyle name="40% - Accent2 3 2 2 7" xfId="14950" xr:uid="{00000000-0005-0000-0000-000043590000}"/>
    <cellStyle name="40% - Accent2 3 2 2 7 2" xfId="40824" xr:uid="{00000000-0005-0000-0000-000044590000}"/>
    <cellStyle name="40% - Accent2 3 2 2 8" xfId="27875" xr:uid="{00000000-0005-0000-0000-000045590000}"/>
    <cellStyle name="40% - Accent2 3 2 2 9" xfId="53738" xr:uid="{00000000-0005-0000-0000-000046590000}"/>
    <cellStyle name="40% - Accent2 3 2 3" xfId="681" xr:uid="{00000000-0005-0000-0000-000047590000}"/>
    <cellStyle name="40% - Accent2 3 2 3 2" xfId="3002" xr:uid="{00000000-0005-0000-0000-000048590000}"/>
    <cellStyle name="40% - Accent2 3 2 3 2 2" xfId="4659" xr:uid="{00000000-0005-0000-0000-000049590000}"/>
    <cellStyle name="40% - Accent2 3 2 3 2 2 2" xfId="7890" xr:uid="{00000000-0005-0000-0000-00004A590000}"/>
    <cellStyle name="40% - Accent2 3 2 3 2 2 2 2" xfId="14349" xr:uid="{00000000-0005-0000-0000-00004B590000}"/>
    <cellStyle name="40% - Accent2 3 2 3 2 2 2 2 2" xfId="27266" xr:uid="{00000000-0005-0000-0000-00004C590000}"/>
    <cellStyle name="40% - Accent2 3 2 3 2 2 2 2 2 2" xfId="53140" xr:uid="{00000000-0005-0000-0000-00004D590000}"/>
    <cellStyle name="40% - Accent2 3 2 3 2 2 2 2 3" xfId="40224" xr:uid="{00000000-0005-0000-0000-00004E590000}"/>
    <cellStyle name="40% - Accent2 3 2 3 2 2 2 3" xfId="20808" xr:uid="{00000000-0005-0000-0000-00004F590000}"/>
    <cellStyle name="40% - Accent2 3 2 3 2 2 2 3 2" xfId="46682" xr:uid="{00000000-0005-0000-0000-000050590000}"/>
    <cellStyle name="40% - Accent2 3 2 3 2 2 2 4" xfId="33766" xr:uid="{00000000-0005-0000-0000-000051590000}"/>
    <cellStyle name="40% - Accent2 3 2 3 2 2 3" xfId="11121" xr:uid="{00000000-0005-0000-0000-000052590000}"/>
    <cellStyle name="40% - Accent2 3 2 3 2 2 3 2" xfId="24038" xr:uid="{00000000-0005-0000-0000-000053590000}"/>
    <cellStyle name="40% - Accent2 3 2 3 2 2 3 2 2" xfId="49912" xr:uid="{00000000-0005-0000-0000-000054590000}"/>
    <cellStyle name="40% - Accent2 3 2 3 2 2 3 3" xfId="36996" xr:uid="{00000000-0005-0000-0000-000055590000}"/>
    <cellStyle name="40% - Accent2 3 2 3 2 2 4" xfId="17580" xr:uid="{00000000-0005-0000-0000-000056590000}"/>
    <cellStyle name="40% - Accent2 3 2 3 2 2 4 2" xfId="43454" xr:uid="{00000000-0005-0000-0000-000057590000}"/>
    <cellStyle name="40% - Accent2 3 2 3 2 2 5" xfId="30506" xr:uid="{00000000-0005-0000-0000-000058590000}"/>
    <cellStyle name="40% - Accent2 3 2 3 2 3" xfId="6276" xr:uid="{00000000-0005-0000-0000-000059590000}"/>
    <cellStyle name="40% - Accent2 3 2 3 2 3 2" xfId="12735" xr:uid="{00000000-0005-0000-0000-00005A590000}"/>
    <cellStyle name="40% - Accent2 3 2 3 2 3 2 2" xfId="25652" xr:uid="{00000000-0005-0000-0000-00005B590000}"/>
    <cellStyle name="40% - Accent2 3 2 3 2 3 2 2 2" xfId="51526" xr:uid="{00000000-0005-0000-0000-00005C590000}"/>
    <cellStyle name="40% - Accent2 3 2 3 2 3 2 3" xfId="38610" xr:uid="{00000000-0005-0000-0000-00005D590000}"/>
    <cellStyle name="40% - Accent2 3 2 3 2 3 3" xfId="19194" xr:uid="{00000000-0005-0000-0000-00005E590000}"/>
    <cellStyle name="40% - Accent2 3 2 3 2 3 3 2" xfId="45068" xr:uid="{00000000-0005-0000-0000-00005F590000}"/>
    <cellStyle name="40% - Accent2 3 2 3 2 3 4" xfId="32152" xr:uid="{00000000-0005-0000-0000-000060590000}"/>
    <cellStyle name="40% - Accent2 3 2 3 2 4" xfId="9507" xr:uid="{00000000-0005-0000-0000-000061590000}"/>
    <cellStyle name="40% - Accent2 3 2 3 2 4 2" xfId="22424" xr:uid="{00000000-0005-0000-0000-000062590000}"/>
    <cellStyle name="40% - Accent2 3 2 3 2 4 2 2" xfId="48298" xr:uid="{00000000-0005-0000-0000-000063590000}"/>
    <cellStyle name="40% - Accent2 3 2 3 2 4 3" xfId="35382" xr:uid="{00000000-0005-0000-0000-000064590000}"/>
    <cellStyle name="40% - Accent2 3 2 3 2 5" xfId="15966" xr:uid="{00000000-0005-0000-0000-000065590000}"/>
    <cellStyle name="40% - Accent2 3 2 3 2 5 2" xfId="41840" xr:uid="{00000000-0005-0000-0000-000066590000}"/>
    <cellStyle name="40% - Accent2 3 2 3 2 6" xfId="28892" xr:uid="{00000000-0005-0000-0000-000067590000}"/>
    <cellStyle name="40% - Accent2 3 2 3 3" xfId="3829" xr:uid="{00000000-0005-0000-0000-000068590000}"/>
    <cellStyle name="40% - Accent2 3 2 3 3 2" xfId="7083" xr:uid="{00000000-0005-0000-0000-000069590000}"/>
    <cellStyle name="40% - Accent2 3 2 3 3 2 2" xfId="13542" xr:uid="{00000000-0005-0000-0000-00006A590000}"/>
    <cellStyle name="40% - Accent2 3 2 3 3 2 2 2" xfId="26459" xr:uid="{00000000-0005-0000-0000-00006B590000}"/>
    <cellStyle name="40% - Accent2 3 2 3 3 2 2 2 2" xfId="52333" xr:uid="{00000000-0005-0000-0000-00006C590000}"/>
    <cellStyle name="40% - Accent2 3 2 3 3 2 2 3" xfId="39417" xr:uid="{00000000-0005-0000-0000-00006D590000}"/>
    <cellStyle name="40% - Accent2 3 2 3 3 2 3" xfId="20001" xr:uid="{00000000-0005-0000-0000-00006E590000}"/>
    <cellStyle name="40% - Accent2 3 2 3 3 2 3 2" xfId="45875" xr:uid="{00000000-0005-0000-0000-00006F590000}"/>
    <cellStyle name="40% - Accent2 3 2 3 3 2 4" xfId="32959" xr:uid="{00000000-0005-0000-0000-000070590000}"/>
    <cellStyle name="40% - Accent2 3 2 3 3 3" xfId="10314" xr:uid="{00000000-0005-0000-0000-000071590000}"/>
    <cellStyle name="40% - Accent2 3 2 3 3 3 2" xfId="23231" xr:uid="{00000000-0005-0000-0000-000072590000}"/>
    <cellStyle name="40% - Accent2 3 2 3 3 3 2 2" xfId="49105" xr:uid="{00000000-0005-0000-0000-000073590000}"/>
    <cellStyle name="40% - Accent2 3 2 3 3 3 3" xfId="36189" xr:uid="{00000000-0005-0000-0000-000074590000}"/>
    <cellStyle name="40% - Accent2 3 2 3 3 4" xfId="16773" xr:uid="{00000000-0005-0000-0000-000075590000}"/>
    <cellStyle name="40% - Accent2 3 2 3 3 4 2" xfId="42647" xr:uid="{00000000-0005-0000-0000-000076590000}"/>
    <cellStyle name="40% - Accent2 3 2 3 3 5" xfId="29699" xr:uid="{00000000-0005-0000-0000-000077590000}"/>
    <cellStyle name="40% - Accent2 3 2 3 4" xfId="5469" xr:uid="{00000000-0005-0000-0000-000078590000}"/>
    <cellStyle name="40% - Accent2 3 2 3 4 2" xfId="11928" xr:uid="{00000000-0005-0000-0000-000079590000}"/>
    <cellStyle name="40% - Accent2 3 2 3 4 2 2" xfId="24845" xr:uid="{00000000-0005-0000-0000-00007A590000}"/>
    <cellStyle name="40% - Accent2 3 2 3 4 2 2 2" xfId="50719" xr:uid="{00000000-0005-0000-0000-00007B590000}"/>
    <cellStyle name="40% - Accent2 3 2 3 4 2 3" xfId="37803" xr:uid="{00000000-0005-0000-0000-00007C590000}"/>
    <cellStyle name="40% - Accent2 3 2 3 4 3" xfId="18387" xr:uid="{00000000-0005-0000-0000-00007D590000}"/>
    <cellStyle name="40% - Accent2 3 2 3 4 3 2" xfId="44261" xr:uid="{00000000-0005-0000-0000-00007E590000}"/>
    <cellStyle name="40% - Accent2 3 2 3 4 4" xfId="31345" xr:uid="{00000000-0005-0000-0000-00007F590000}"/>
    <cellStyle name="40% - Accent2 3 2 3 5" xfId="8700" xr:uid="{00000000-0005-0000-0000-000080590000}"/>
    <cellStyle name="40% - Accent2 3 2 3 5 2" xfId="21617" xr:uid="{00000000-0005-0000-0000-000081590000}"/>
    <cellStyle name="40% - Accent2 3 2 3 5 2 2" xfId="47491" xr:uid="{00000000-0005-0000-0000-000082590000}"/>
    <cellStyle name="40% - Accent2 3 2 3 5 3" xfId="34575" xr:uid="{00000000-0005-0000-0000-000083590000}"/>
    <cellStyle name="40% - Accent2 3 2 3 6" xfId="15159" xr:uid="{00000000-0005-0000-0000-000084590000}"/>
    <cellStyle name="40% - Accent2 3 2 3 6 2" xfId="41033" xr:uid="{00000000-0005-0000-0000-000085590000}"/>
    <cellStyle name="40% - Accent2 3 2 3 7" xfId="28085" xr:uid="{00000000-0005-0000-0000-000086590000}"/>
    <cellStyle name="40% - Accent2 3 2 3 8" xfId="53947" xr:uid="{00000000-0005-0000-0000-000087590000}"/>
    <cellStyle name="40% - Accent2 3 2 3 9" xfId="2188" xr:uid="{00000000-0005-0000-0000-000088590000}"/>
    <cellStyle name="40% - Accent2 3 2 4" xfId="678" xr:uid="{00000000-0005-0000-0000-000089590000}"/>
    <cellStyle name="40% - Accent2 3 2 4 2" xfId="4256" xr:uid="{00000000-0005-0000-0000-00008A590000}"/>
    <cellStyle name="40% - Accent2 3 2 4 2 2" xfId="7487" xr:uid="{00000000-0005-0000-0000-00008B590000}"/>
    <cellStyle name="40% - Accent2 3 2 4 2 2 2" xfId="13946" xr:uid="{00000000-0005-0000-0000-00008C590000}"/>
    <cellStyle name="40% - Accent2 3 2 4 2 2 2 2" xfId="26863" xr:uid="{00000000-0005-0000-0000-00008D590000}"/>
    <cellStyle name="40% - Accent2 3 2 4 2 2 2 2 2" xfId="52737" xr:uid="{00000000-0005-0000-0000-00008E590000}"/>
    <cellStyle name="40% - Accent2 3 2 4 2 2 2 3" xfId="39821" xr:uid="{00000000-0005-0000-0000-00008F590000}"/>
    <cellStyle name="40% - Accent2 3 2 4 2 2 3" xfId="20405" xr:uid="{00000000-0005-0000-0000-000090590000}"/>
    <cellStyle name="40% - Accent2 3 2 4 2 2 3 2" xfId="46279" xr:uid="{00000000-0005-0000-0000-000091590000}"/>
    <cellStyle name="40% - Accent2 3 2 4 2 2 4" xfId="33363" xr:uid="{00000000-0005-0000-0000-000092590000}"/>
    <cellStyle name="40% - Accent2 3 2 4 2 3" xfId="10718" xr:uid="{00000000-0005-0000-0000-000093590000}"/>
    <cellStyle name="40% - Accent2 3 2 4 2 3 2" xfId="23635" xr:uid="{00000000-0005-0000-0000-000094590000}"/>
    <cellStyle name="40% - Accent2 3 2 4 2 3 2 2" xfId="49509" xr:uid="{00000000-0005-0000-0000-000095590000}"/>
    <cellStyle name="40% - Accent2 3 2 4 2 3 3" xfId="36593" xr:uid="{00000000-0005-0000-0000-000096590000}"/>
    <cellStyle name="40% - Accent2 3 2 4 2 4" xfId="17177" xr:uid="{00000000-0005-0000-0000-000097590000}"/>
    <cellStyle name="40% - Accent2 3 2 4 2 4 2" xfId="43051" xr:uid="{00000000-0005-0000-0000-000098590000}"/>
    <cellStyle name="40% - Accent2 3 2 4 2 5" xfId="30103" xr:uid="{00000000-0005-0000-0000-000099590000}"/>
    <cellStyle name="40% - Accent2 3 2 4 3" xfId="5873" xr:uid="{00000000-0005-0000-0000-00009A590000}"/>
    <cellStyle name="40% - Accent2 3 2 4 3 2" xfId="12332" xr:uid="{00000000-0005-0000-0000-00009B590000}"/>
    <cellStyle name="40% - Accent2 3 2 4 3 2 2" xfId="25249" xr:uid="{00000000-0005-0000-0000-00009C590000}"/>
    <cellStyle name="40% - Accent2 3 2 4 3 2 2 2" xfId="51123" xr:uid="{00000000-0005-0000-0000-00009D590000}"/>
    <cellStyle name="40% - Accent2 3 2 4 3 2 3" xfId="38207" xr:uid="{00000000-0005-0000-0000-00009E590000}"/>
    <cellStyle name="40% - Accent2 3 2 4 3 3" xfId="18791" xr:uid="{00000000-0005-0000-0000-00009F590000}"/>
    <cellStyle name="40% - Accent2 3 2 4 3 3 2" xfId="44665" xr:uid="{00000000-0005-0000-0000-0000A0590000}"/>
    <cellStyle name="40% - Accent2 3 2 4 3 4" xfId="31749" xr:uid="{00000000-0005-0000-0000-0000A1590000}"/>
    <cellStyle name="40% - Accent2 3 2 4 4" xfId="9104" xr:uid="{00000000-0005-0000-0000-0000A2590000}"/>
    <cellStyle name="40% - Accent2 3 2 4 4 2" xfId="22021" xr:uid="{00000000-0005-0000-0000-0000A3590000}"/>
    <cellStyle name="40% - Accent2 3 2 4 4 2 2" xfId="47895" xr:uid="{00000000-0005-0000-0000-0000A4590000}"/>
    <cellStyle name="40% - Accent2 3 2 4 4 3" xfId="34979" xr:uid="{00000000-0005-0000-0000-0000A5590000}"/>
    <cellStyle name="40% - Accent2 3 2 4 5" xfId="15563" xr:uid="{00000000-0005-0000-0000-0000A6590000}"/>
    <cellStyle name="40% - Accent2 3 2 4 5 2" xfId="41437" xr:uid="{00000000-0005-0000-0000-0000A7590000}"/>
    <cellStyle name="40% - Accent2 3 2 4 6" xfId="28489" xr:uid="{00000000-0005-0000-0000-0000A8590000}"/>
    <cellStyle name="40% - Accent2 3 2 4 7" xfId="2599" xr:uid="{00000000-0005-0000-0000-0000A9590000}"/>
    <cellStyle name="40% - Accent2 3 2 5" xfId="3426" xr:uid="{00000000-0005-0000-0000-0000AA590000}"/>
    <cellStyle name="40% - Accent2 3 2 5 2" xfId="6680" xr:uid="{00000000-0005-0000-0000-0000AB590000}"/>
    <cellStyle name="40% - Accent2 3 2 5 2 2" xfId="13139" xr:uid="{00000000-0005-0000-0000-0000AC590000}"/>
    <cellStyle name="40% - Accent2 3 2 5 2 2 2" xfId="26056" xr:uid="{00000000-0005-0000-0000-0000AD590000}"/>
    <cellStyle name="40% - Accent2 3 2 5 2 2 2 2" xfId="51930" xr:uid="{00000000-0005-0000-0000-0000AE590000}"/>
    <cellStyle name="40% - Accent2 3 2 5 2 2 3" xfId="39014" xr:uid="{00000000-0005-0000-0000-0000AF590000}"/>
    <cellStyle name="40% - Accent2 3 2 5 2 3" xfId="19598" xr:uid="{00000000-0005-0000-0000-0000B0590000}"/>
    <cellStyle name="40% - Accent2 3 2 5 2 3 2" xfId="45472" xr:uid="{00000000-0005-0000-0000-0000B1590000}"/>
    <cellStyle name="40% - Accent2 3 2 5 2 4" xfId="32556" xr:uid="{00000000-0005-0000-0000-0000B2590000}"/>
    <cellStyle name="40% - Accent2 3 2 5 3" xfId="9911" xr:uid="{00000000-0005-0000-0000-0000B3590000}"/>
    <cellStyle name="40% - Accent2 3 2 5 3 2" xfId="22828" xr:uid="{00000000-0005-0000-0000-0000B4590000}"/>
    <cellStyle name="40% - Accent2 3 2 5 3 2 2" xfId="48702" xr:uid="{00000000-0005-0000-0000-0000B5590000}"/>
    <cellStyle name="40% - Accent2 3 2 5 3 3" xfId="35786" xr:uid="{00000000-0005-0000-0000-0000B6590000}"/>
    <cellStyle name="40% - Accent2 3 2 5 4" xfId="16370" xr:uid="{00000000-0005-0000-0000-0000B7590000}"/>
    <cellStyle name="40% - Accent2 3 2 5 4 2" xfId="42244" xr:uid="{00000000-0005-0000-0000-0000B8590000}"/>
    <cellStyle name="40% - Accent2 3 2 5 5" xfId="29296" xr:uid="{00000000-0005-0000-0000-0000B9590000}"/>
    <cellStyle name="40% - Accent2 3 2 6" xfId="5066" xr:uid="{00000000-0005-0000-0000-0000BA590000}"/>
    <cellStyle name="40% - Accent2 3 2 6 2" xfId="11525" xr:uid="{00000000-0005-0000-0000-0000BB590000}"/>
    <cellStyle name="40% - Accent2 3 2 6 2 2" xfId="24442" xr:uid="{00000000-0005-0000-0000-0000BC590000}"/>
    <cellStyle name="40% - Accent2 3 2 6 2 2 2" xfId="50316" xr:uid="{00000000-0005-0000-0000-0000BD590000}"/>
    <cellStyle name="40% - Accent2 3 2 6 2 3" xfId="37400" xr:uid="{00000000-0005-0000-0000-0000BE590000}"/>
    <cellStyle name="40% - Accent2 3 2 6 3" xfId="17984" xr:uid="{00000000-0005-0000-0000-0000BF590000}"/>
    <cellStyle name="40% - Accent2 3 2 6 3 2" xfId="43858" xr:uid="{00000000-0005-0000-0000-0000C0590000}"/>
    <cellStyle name="40% - Accent2 3 2 6 4" xfId="30942" xr:uid="{00000000-0005-0000-0000-0000C1590000}"/>
    <cellStyle name="40% - Accent2 3 2 7" xfId="8296" xr:uid="{00000000-0005-0000-0000-0000C2590000}"/>
    <cellStyle name="40% - Accent2 3 2 7 2" xfId="21213" xr:uid="{00000000-0005-0000-0000-0000C3590000}"/>
    <cellStyle name="40% - Accent2 3 2 7 2 2" xfId="47087" xr:uid="{00000000-0005-0000-0000-0000C4590000}"/>
    <cellStyle name="40% - Accent2 3 2 7 3" xfId="34171" xr:uid="{00000000-0005-0000-0000-0000C5590000}"/>
    <cellStyle name="40% - Accent2 3 2 8" xfId="14755" xr:uid="{00000000-0005-0000-0000-0000C6590000}"/>
    <cellStyle name="40% - Accent2 3 2 8 2" xfId="40629" xr:uid="{00000000-0005-0000-0000-0000C7590000}"/>
    <cellStyle name="40% - Accent2 3 2 9" xfId="27679" xr:uid="{00000000-0005-0000-0000-0000C8590000}"/>
    <cellStyle name="40% - Accent2 3 3" xfId="433" xr:uid="{00000000-0005-0000-0000-0000C9590000}"/>
    <cellStyle name="40% - Accent2 3 3 2" xfId="683" xr:uid="{00000000-0005-0000-0000-0000CA590000}"/>
    <cellStyle name="40% - Accent2 3 3 3" xfId="682" xr:uid="{00000000-0005-0000-0000-0000CB590000}"/>
    <cellStyle name="40% - Accent2 3 3 4" xfId="1676" xr:uid="{00000000-0005-0000-0000-0000CC590000}"/>
    <cellStyle name="40% - Accent2 3 4" xfId="684" xr:uid="{00000000-0005-0000-0000-0000CD590000}"/>
    <cellStyle name="40% - Accent2 3 4 10" xfId="53492" xr:uid="{00000000-0005-0000-0000-0000CE590000}"/>
    <cellStyle name="40% - Accent2 3 4 11" xfId="1552" xr:uid="{00000000-0005-0000-0000-0000CF590000}"/>
    <cellStyle name="40% - Accent2 3 4 2" xfId="1901" xr:uid="{00000000-0005-0000-0000-0000D0590000}"/>
    <cellStyle name="40% - Accent2 3 4 2 2" xfId="2332" xr:uid="{00000000-0005-0000-0000-0000D1590000}"/>
    <cellStyle name="40% - Accent2 3 4 2 2 2" xfId="3145" xr:uid="{00000000-0005-0000-0000-0000D2590000}"/>
    <cellStyle name="40% - Accent2 3 4 2 2 2 2" xfId="4802" xr:uid="{00000000-0005-0000-0000-0000D3590000}"/>
    <cellStyle name="40% - Accent2 3 4 2 2 2 2 2" xfId="8033" xr:uid="{00000000-0005-0000-0000-0000D4590000}"/>
    <cellStyle name="40% - Accent2 3 4 2 2 2 2 2 2" xfId="14492" xr:uid="{00000000-0005-0000-0000-0000D5590000}"/>
    <cellStyle name="40% - Accent2 3 4 2 2 2 2 2 2 2" xfId="27409" xr:uid="{00000000-0005-0000-0000-0000D6590000}"/>
    <cellStyle name="40% - Accent2 3 4 2 2 2 2 2 2 2 2" xfId="53283" xr:uid="{00000000-0005-0000-0000-0000D7590000}"/>
    <cellStyle name="40% - Accent2 3 4 2 2 2 2 2 2 3" xfId="40367" xr:uid="{00000000-0005-0000-0000-0000D8590000}"/>
    <cellStyle name="40% - Accent2 3 4 2 2 2 2 2 3" xfId="20951" xr:uid="{00000000-0005-0000-0000-0000D9590000}"/>
    <cellStyle name="40% - Accent2 3 4 2 2 2 2 2 3 2" xfId="46825" xr:uid="{00000000-0005-0000-0000-0000DA590000}"/>
    <cellStyle name="40% - Accent2 3 4 2 2 2 2 2 4" xfId="33909" xr:uid="{00000000-0005-0000-0000-0000DB590000}"/>
    <cellStyle name="40% - Accent2 3 4 2 2 2 2 3" xfId="11264" xr:uid="{00000000-0005-0000-0000-0000DC590000}"/>
    <cellStyle name="40% - Accent2 3 4 2 2 2 2 3 2" xfId="24181" xr:uid="{00000000-0005-0000-0000-0000DD590000}"/>
    <cellStyle name="40% - Accent2 3 4 2 2 2 2 3 2 2" xfId="50055" xr:uid="{00000000-0005-0000-0000-0000DE590000}"/>
    <cellStyle name="40% - Accent2 3 4 2 2 2 2 3 3" xfId="37139" xr:uid="{00000000-0005-0000-0000-0000DF590000}"/>
    <cellStyle name="40% - Accent2 3 4 2 2 2 2 4" xfId="17723" xr:uid="{00000000-0005-0000-0000-0000E0590000}"/>
    <cellStyle name="40% - Accent2 3 4 2 2 2 2 4 2" xfId="43597" xr:uid="{00000000-0005-0000-0000-0000E1590000}"/>
    <cellStyle name="40% - Accent2 3 4 2 2 2 2 5" xfId="30649" xr:uid="{00000000-0005-0000-0000-0000E2590000}"/>
    <cellStyle name="40% - Accent2 3 4 2 2 2 3" xfId="6419" xr:uid="{00000000-0005-0000-0000-0000E3590000}"/>
    <cellStyle name="40% - Accent2 3 4 2 2 2 3 2" xfId="12878" xr:uid="{00000000-0005-0000-0000-0000E4590000}"/>
    <cellStyle name="40% - Accent2 3 4 2 2 2 3 2 2" xfId="25795" xr:uid="{00000000-0005-0000-0000-0000E5590000}"/>
    <cellStyle name="40% - Accent2 3 4 2 2 2 3 2 2 2" xfId="51669" xr:uid="{00000000-0005-0000-0000-0000E6590000}"/>
    <cellStyle name="40% - Accent2 3 4 2 2 2 3 2 3" xfId="38753" xr:uid="{00000000-0005-0000-0000-0000E7590000}"/>
    <cellStyle name="40% - Accent2 3 4 2 2 2 3 3" xfId="19337" xr:uid="{00000000-0005-0000-0000-0000E8590000}"/>
    <cellStyle name="40% - Accent2 3 4 2 2 2 3 3 2" xfId="45211" xr:uid="{00000000-0005-0000-0000-0000E9590000}"/>
    <cellStyle name="40% - Accent2 3 4 2 2 2 3 4" xfId="32295" xr:uid="{00000000-0005-0000-0000-0000EA590000}"/>
    <cellStyle name="40% - Accent2 3 4 2 2 2 4" xfId="9650" xr:uid="{00000000-0005-0000-0000-0000EB590000}"/>
    <cellStyle name="40% - Accent2 3 4 2 2 2 4 2" xfId="22567" xr:uid="{00000000-0005-0000-0000-0000EC590000}"/>
    <cellStyle name="40% - Accent2 3 4 2 2 2 4 2 2" xfId="48441" xr:uid="{00000000-0005-0000-0000-0000ED590000}"/>
    <cellStyle name="40% - Accent2 3 4 2 2 2 4 3" xfId="35525" xr:uid="{00000000-0005-0000-0000-0000EE590000}"/>
    <cellStyle name="40% - Accent2 3 4 2 2 2 5" xfId="16109" xr:uid="{00000000-0005-0000-0000-0000EF590000}"/>
    <cellStyle name="40% - Accent2 3 4 2 2 2 5 2" xfId="41983" xr:uid="{00000000-0005-0000-0000-0000F0590000}"/>
    <cellStyle name="40% - Accent2 3 4 2 2 2 6" xfId="29035" xr:uid="{00000000-0005-0000-0000-0000F1590000}"/>
    <cellStyle name="40% - Accent2 3 4 2 2 3" xfId="3972" xr:uid="{00000000-0005-0000-0000-0000F2590000}"/>
    <cellStyle name="40% - Accent2 3 4 2 2 3 2" xfId="7226" xr:uid="{00000000-0005-0000-0000-0000F3590000}"/>
    <cellStyle name="40% - Accent2 3 4 2 2 3 2 2" xfId="13685" xr:uid="{00000000-0005-0000-0000-0000F4590000}"/>
    <cellStyle name="40% - Accent2 3 4 2 2 3 2 2 2" xfId="26602" xr:uid="{00000000-0005-0000-0000-0000F5590000}"/>
    <cellStyle name="40% - Accent2 3 4 2 2 3 2 2 2 2" xfId="52476" xr:uid="{00000000-0005-0000-0000-0000F6590000}"/>
    <cellStyle name="40% - Accent2 3 4 2 2 3 2 2 3" xfId="39560" xr:uid="{00000000-0005-0000-0000-0000F7590000}"/>
    <cellStyle name="40% - Accent2 3 4 2 2 3 2 3" xfId="20144" xr:uid="{00000000-0005-0000-0000-0000F8590000}"/>
    <cellStyle name="40% - Accent2 3 4 2 2 3 2 3 2" xfId="46018" xr:uid="{00000000-0005-0000-0000-0000F9590000}"/>
    <cellStyle name="40% - Accent2 3 4 2 2 3 2 4" xfId="33102" xr:uid="{00000000-0005-0000-0000-0000FA590000}"/>
    <cellStyle name="40% - Accent2 3 4 2 2 3 3" xfId="10457" xr:uid="{00000000-0005-0000-0000-0000FB590000}"/>
    <cellStyle name="40% - Accent2 3 4 2 2 3 3 2" xfId="23374" xr:uid="{00000000-0005-0000-0000-0000FC590000}"/>
    <cellStyle name="40% - Accent2 3 4 2 2 3 3 2 2" xfId="49248" xr:uid="{00000000-0005-0000-0000-0000FD590000}"/>
    <cellStyle name="40% - Accent2 3 4 2 2 3 3 3" xfId="36332" xr:uid="{00000000-0005-0000-0000-0000FE590000}"/>
    <cellStyle name="40% - Accent2 3 4 2 2 3 4" xfId="16916" xr:uid="{00000000-0005-0000-0000-0000FF590000}"/>
    <cellStyle name="40% - Accent2 3 4 2 2 3 4 2" xfId="42790" xr:uid="{00000000-0005-0000-0000-0000005A0000}"/>
    <cellStyle name="40% - Accent2 3 4 2 2 3 5" xfId="29842" xr:uid="{00000000-0005-0000-0000-0000015A0000}"/>
    <cellStyle name="40% - Accent2 3 4 2 2 4" xfId="5612" xr:uid="{00000000-0005-0000-0000-0000025A0000}"/>
    <cellStyle name="40% - Accent2 3 4 2 2 4 2" xfId="12071" xr:uid="{00000000-0005-0000-0000-0000035A0000}"/>
    <cellStyle name="40% - Accent2 3 4 2 2 4 2 2" xfId="24988" xr:uid="{00000000-0005-0000-0000-0000045A0000}"/>
    <cellStyle name="40% - Accent2 3 4 2 2 4 2 2 2" xfId="50862" xr:uid="{00000000-0005-0000-0000-0000055A0000}"/>
    <cellStyle name="40% - Accent2 3 4 2 2 4 2 3" xfId="37946" xr:uid="{00000000-0005-0000-0000-0000065A0000}"/>
    <cellStyle name="40% - Accent2 3 4 2 2 4 3" xfId="18530" xr:uid="{00000000-0005-0000-0000-0000075A0000}"/>
    <cellStyle name="40% - Accent2 3 4 2 2 4 3 2" xfId="44404" xr:uid="{00000000-0005-0000-0000-0000085A0000}"/>
    <cellStyle name="40% - Accent2 3 4 2 2 4 4" xfId="31488" xr:uid="{00000000-0005-0000-0000-0000095A0000}"/>
    <cellStyle name="40% - Accent2 3 4 2 2 5" xfId="8843" xr:uid="{00000000-0005-0000-0000-00000A5A0000}"/>
    <cellStyle name="40% - Accent2 3 4 2 2 5 2" xfId="21760" xr:uid="{00000000-0005-0000-0000-00000B5A0000}"/>
    <cellStyle name="40% - Accent2 3 4 2 2 5 2 2" xfId="47634" xr:uid="{00000000-0005-0000-0000-00000C5A0000}"/>
    <cellStyle name="40% - Accent2 3 4 2 2 5 3" xfId="34718" xr:uid="{00000000-0005-0000-0000-00000D5A0000}"/>
    <cellStyle name="40% - Accent2 3 4 2 2 6" xfId="15302" xr:uid="{00000000-0005-0000-0000-00000E5A0000}"/>
    <cellStyle name="40% - Accent2 3 4 2 2 6 2" xfId="41176" xr:uid="{00000000-0005-0000-0000-00000F5A0000}"/>
    <cellStyle name="40% - Accent2 3 4 2 2 7" xfId="28228" xr:uid="{00000000-0005-0000-0000-0000105A0000}"/>
    <cellStyle name="40% - Accent2 3 4 2 2 8" xfId="54090" xr:uid="{00000000-0005-0000-0000-0000115A0000}"/>
    <cellStyle name="40% - Accent2 3 4 2 3" xfId="2741" xr:uid="{00000000-0005-0000-0000-0000125A0000}"/>
    <cellStyle name="40% - Accent2 3 4 2 3 2" xfId="4398" xr:uid="{00000000-0005-0000-0000-0000135A0000}"/>
    <cellStyle name="40% - Accent2 3 4 2 3 2 2" xfId="7629" xr:uid="{00000000-0005-0000-0000-0000145A0000}"/>
    <cellStyle name="40% - Accent2 3 4 2 3 2 2 2" xfId="14088" xr:uid="{00000000-0005-0000-0000-0000155A0000}"/>
    <cellStyle name="40% - Accent2 3 4 2 3 2 2 2 2" xfId="27005" xr:uid="{00000000-0005-0000-0000-0000165A0000}"/>
    <cellStyle name="40% - Accent2 3 4 2 3 2 2 2 2 2" xfId="52879" xr:uid="{00000000-0005-0000-0000-0000175A0000}"/>
    <cellStyle name="40% - Accent2 3 4 2 3 2 2 2 3" xfId="39963" xr:uid="{00000000-0005-0000-0000-0000185A0000}"/>
    <cellStyle name="40% - Accent2 3 4 2 3 2 2 3" xfId="20547" xr:uid="{00000000-0005-0000-0000-0000195A0000}"/>
    <cellStyle name="40% - Accent2 3 4 2 3 2 2 3 2" xfId="46421" xr:uid="{00000000-0005-0000-0000-00001A5A0000}"/>
    <cellStyle name="40% - Accent2 3 4 2 3 2 2 4" xfId="33505" xr:uid="{00000000-0005-0000-0000-00001B5A0000}"/>
    <cellStyle name="40% - Accent2 3 4 2 3 2 3" xfId="10860" xr:uid="{00000000-0005-0000-0000-00001C5A0000}"/>
    <cellStyle name="40% - Accent2 3 4 2 3 2 3 2" xfId="23777" xr:uid="{00000000-0005-0000-0000-00001D5A0000}"/>
    <cellStyle name="40% - Accent2 3 4 2 3 2 3 2 2" xfId="49651" xr:uid="{00000000-0005-0000-0000-00001E5A0000}"/>
    <cellStyle name="40% - Accent2 3 4 2 3 2 3 3" xfId="36735" xr:uid="{00000000-0005-0000-0000-00001F5A0000}"/>
    <cellStyle name="40% - Accent2 3 4 2 3 2 4" xfId="17319" xr:uid="{00000000-0005-0000-0000-0000205A0000}"/>
    <cellStyle name="40% - Accent2 3 4 2 3 2 4 2" xfId="43193" xr:uid="{00000000-0005-0000-0000-0000215A0000}"/>
    <cellStyle name="40% - Accent2 3 4 2 3 2 5" xfId="30245" xr:uid="{00000000-0005-0000-0000-0000225A0000}"/>
    <cellStyle name="40% - Accent2 3 4 2 3 3" xfId="6015" xr:uid="{00000000-0005-0000-0000-0000235A0000}"/>
    <cellStyle name="40% - Accent2 3 4 2 3 3 2" xfId="12474" xr:uid="{00000000-0005-0000-0000-0000245A0000}"/>
    <cellStyle name="40% - Accent2 3 4 2 3 3 2 2" xfId="25391" xr:uid="{00000000-0005-0000-0000-0000255A0000}"/>
    <cellStyle name="40% - Accent2 3 4 2 3 3 2 2 2" xfId="51265" xr:uid="{00000000-0005-0000-0000-0000265A0000}"/>
    <cellStyle name="40% - Accent2 3 4 2 3 3 2 3" xfId="38349" xr:uid="{00000000-0005-0000-0000-0000275A0000}"/>
    <cellStyle name="40% - Accent2 3 4 2 3 3 3" xfId="18933" xr:uid="{00000000-0005-0000-0000-0000285A0000}"/>
    <cellStyle name="40% - Accent2 3 4 2 3 3 3 2" xfId="44807" xr:uid="{00000000-0005-0000-0000-0000295A0000}"/>
    <cellStyle name="40% - Accent2 3 4 2 3 3 4" xfId="31891" xr:uid="{00000000-0005-0000-0000-00002A5A0000}"/>
    <cellStyle name="40% - Accent2 3 4 2 3 4" xfId="9246" xr:uid="{00000000-0005-0000-0000-00002B5A0000}"/>
    <cellStyle name="40% - Accent2 3 4 2 3 4 2" xfId="22163" xr:uid="{00000000-0005-0000-0000-00002C5A0000}"/>
    <cellStyle name="40% - Accent2 3 4 2 3 4 2 2" xfId="48037" xr:uid="{00000000-0005-0000-0000-00002D5A0000}"/>
    <cellStyle name="40% - Accent2 3 4 2 3 4 3" xfId="35121" xr:uid="{00000000-0005-0000-0000-00002E5A0000}"/>
    <cellStyle name="40% - Accent2 3 4 2 3 5" xfId="15705" xr:uid="{00000000-0005-0000-0000-00002F5A0000}"/>
    <cellStyle name="40% - Accent2 3 4 2 3 5 2" xfId="41579" xr:uid="{00000000-0005-0000-0000-0000305A0000}"/>
    <cellStyle name="40% - Accent2 3 4 2 3 6" xfId="28631" xr:uid="{00000000-0005-0000-0000-0000315A0000}"/>
    <cellStyle name="40% - Accent2 3 4 2 4" xfId="3568" xr:uid="{00000000-0005-0000-0000-0000325A0000}"/>
    <cellStyle name="40% - Accent2 3 4 2 4 2" xfId="6822" xr:uid="{00000000-0005-0000-0000-0000335A0000}"/>
    <cellStyle name="40% - Accent2 3 4 2 4 2 2" xfId="13281" xr:uid="{00000000-0005-0000-0000-0000345A0000}"/>
    <cellStyle name="40% - Accent2 3 4 2 4 2 2 2" xfId="26198" xr:uid="{00000000-0005-0000-0000-0000355A0000}"/>
    <cellStyle name="40% - Accent2 3 4 2 4 2 2 2 2" xfId="52072" xr:uid="{00000000-0005-0000-0000-0000365A0000}"/>
    <cellStyle name="40% - Accent2 3 4 2 4 2 2 3" xfId="39156" xr:uid="{00000000-0005-0000-0000-0000375A0000}"/>
    <cellStyle name="40% - Accent2 3 4 2 4 2 3" xfId="19740" xr:uid="{00000000-0005-0000-0000-0000385A0000}"/>
    <cellStyle name="40% - Accent2 3 4 2 4 2 3 2" xfId="45614" xr:uid="{00000000-0005-0000-0000-0000395A0000}"/>
    <cellStyle name="40% - Accent2 3 4 2 4 2 4" xfId="32698" xr:uid="{00000000-0005-0000-0000-00003A5A0000}"/>
    <cellStyle name="40% - Accent2 3 4 2 4 3" xfId="10053" xr:uid="{00000000-0005-0000-0000-00003B5A0000}"/>
    <cellStyle name="40% - Accent2 3 4 2 4 3 2" xfId="22970" xr:uid="{00000000-0005-0000-0000-00003C5A0000}"/>
    <cellStyle name="40% - Accent2 3 4 2 4 3 2 2" xfId="48844" xr:uid="{00000000-0005-0000-0000-00003D5A0000}"/>
    <cellStyle name="40% - Accent2 3 4 2 4 3 3" xfId="35928" xr:uid="{00000000-0005-0000-0000-00003E5A0000}"/>
    <cellStyle name="40% - Accent2 3 4 2 4 4" xfId="16512" xr:uid="{00000000-0005-0000-0000-00003F5A0000}"/>
    <cellStyle name="40% - Accent2 3 4 2 4 4 2" xfId="42386" xr:uid="{00000000-0005-0000-0000-0000405A0000}"/>
    <cellStyle name="40% - Accent2 3 4 2 4 5" xfId="29438" xr:uid="{00000000-0005-0000-0000-0000415A0000}"/>
    <cellStyle name="40% - Accent2 3 4 2 5" xfId="5208" xr:uid="{00000000-0005-0000-0000-0000425A0000}"/>
    <cellStyle name="40% - Accent2 3 4 2 5 2" xfId="11667" xr:uid="{00000000-0005-0000-0000-0000435A0000}"/>
    <cellStyle name="40% - Accent2 3 4 2 5 2 2" xfId="24584" xr:uid="{00000000-0005-0000-0000-0000445A0000}"/>
    <cellStyle name="40% - Accent2 3 4 2 5 2 2 2" xfId="50458" xr:uid="{00000000-0005-0000-0000-0000455A0000}"/>
    <cellStyle name="40% - Accent2 3 4 2 5 2 3" xfId="37542" xr:uid="{00000000-0005-0000-0000-0000465A0000}"/>
    <cellStyle name="40% - Accent2 3 4 2 5 3" xfId="18126" xr:uid="{00000000-0005-0000-0000-0000475A0000}"/>
    <cellStyle name="40% - Accent2 3 4 2 5 3 2" xfId="44000" xr:uid="{00000000-0005-0000-0000-0000485A0000}"/>
    <cellStyle name="40% - Accent2 3 4 2 5 4" xfId="31084" xr:uid="{00000000-0005-0000-0000-0000495A0000}"/>
    <cellStyle name="40% - Accent2 3 4 2 6" xfId="8439" xr:uid="{00000000-0005-0000-0000-00004A5A0000}"/>
    <cellStyle name="40% - Accent2 3 4 2 6 2" xfId="21356" xr:uid="{00000000-0005-0000-0000-00004B5A0000}"/>
    <cellStyle name="40% - Accent2 3 4 2 6 2 2" xfId="47230" xr:uid="{00000000-0005-0000-0000-00004C5A0000}"/>
    <cellStyle name="40% - Accent2 3 4 2 6 3" xfId="34314" xr:uid="{00000000-0005-0000-0000-00004D5A0000}"/>
    <cellStyle name="40% - Accent2 3 4 2 7" xfId="14898" xr:uid="{00000000-0005-0000-0000-00004E5A0000}"/>
    <cellStyle name="40% - Accent2 3 4 2 7 2" xfId="40772" xr:uid="{00000000-0005-0000-0000-00004F5A0000}"/>
    <cellStyle name="40% - Accent2 3 4 2 8" xfId="27823" xr:uid="{00000000-0005-0000-0000-0000505A0000}"/>
    <cellStyle name="40% - Accent2 3 4 2 9" xfId="53686" xr:uid="{00000000-0005-0000-0000-0000515A0000}"/>
    <cellStyle name="40% - Accent2 3 4 3" xfId="2136" xr:uid="{00000000-0005-0000-0000-0000525A0000}"/>
    <cellStyle name="40% - Accent2 3 4 3 2" xfId="2950" xr:uid="{00000000-0005-0000-0000-0000535A0000}"/>
    <cellStyle name="40% - Accent2 3 4 3 2 2" xfId="4607" xr:uid="{00000000-0005-0000-0000-0000545A0000}"/>
    <cellStyle name="40% - Accent2 3 4 3 2 2 2" xfId="7838" xr:uid="{00000000-0005-0000-0000-0000555A0000}"/>
    <cellStyle name="40% - Accent2 3 4 3 2 2 2 2" xfId="14297" xr:uid="{00000000-0005-0000-0000-0000565A0000}"/>
    <cellStyle name="40% - Accent2 3 4 3 2 2 2 2 2" xfId="27214" xr:uid="{00000000-0005-0000-0000-0000575A0000}"/>
    <cellStyle name="40% - Accent2 3 4 3 2 2 2 2 2 2" xfId="53088" xr:uid="{00000000-0005-0000-0000-0000585A0000}"/>
    <cellStyle name="40% - Accent2 3 4 3 2 2 2 2 3" xfId="40172" xr:uid="{00000000-0005-0000-0000-0000595A0000}"/>
    <cellStyle name="40% - Accent2 3 4 3 2 2 2 3" xfId="20756" xr:uid="{00000000-0005-0000-0000-00005A5A0000}"/>
    <cellStyle name="40% - Accent2 3 4 3 2 2 2 3 2" xfId="46630" xr:uid="{00000000-0005-0000-0000-00005B5A0000}"/>
    <cellStyle name="40% - Accent2 3 4 3 2 2 2 4" xfId="33714" xr:uid="{00000000-0005-0000-0000-00005C5A0000}"/>
    <cellStyle name="40% - Accent2 3 4 3 2 2 3" xfId="11069" xr:uid="{00000000-0005-0000-0000-00005D5A0000}"/>
    <cellStyle name="40% - Accent2 3 4 3 2 2 3 2" xfId="23986" xr:uid="{00000000-0005-0000-0000-00005E5A0000}"/>
    <cellStyle name="40% - Accent2 3 4 3 2 2 3 2 2" xfId="49860" xr:uid="{00000000-0005-0000-0000-00005F5A0000}"/>
    <cellStyle name="40% - Accent2 3 4 3 2 2 3 3" xfId="36944" xr:uid="{00000000-0005-0000-0000-0000605A0000}"/>
    <cellStyle name="40% - Accent2 3 4 3 2 2 4" xfId="17528" xr:uid="{00000000-0005-0000-0000-0000615A0000}"/>
    <cellStyle name="40% - Accent2 3 4 3 2 2 4 2" xfId="43402" xr:uid="{00000000-0005-0000-0000-0000625A0000}"/>
    <cellStyle name="40% - Accent2 3 4 3 2 2 5" xfId="30454" xr:uid="{00000000-0005-0000-0000-0000635A0000}"/>
    <cellStyle name="40% - Accent2 3 4 3 2 3" xfId="6224" xr:uid="{00000000-0005-0000-0000-0000645A0000}"/>
    <cellStyle name="40% - Accent2 3 4 3 2 3 2" xfId="12683" xr:uid="{00000000-0005-0000-0000-0000655A0000}"/>
    <cellStyle name="40% - Accent2 3 4 3 2 3 2 2" xfId="25600" xr:uid="{00000000-0005-0000-0000-0000665A0000}"/>
    <cellStyle name="40% - Accent2 3 4 3 2 3 2 2 2" xfId="51474" xr:uid="{00000000-0005-0000-0000-0000675A0000}"/>
    <cellStyle name="40% - Accent2 3 4 3 2 3 2 3" xfId="38558" xr:uid="{00000000-0005-0000-0000-0000685A0000}"/>
    <cellStyle name="40% - Accent2 3 4 3 2 3 3" xfId="19142" xr:uid="{00000000-0005-0000-0000-0000695A0000}"/>
    <cellStyle name="40% - Accent2 3 4 3 2 3 3 2" xfId="45016" xr:uid="{00000000-0005-0000-0000-00006A5A0000}"/>
    <cellStyle name="40% - Accent2 3 4 3 2 3 4" xfId="32100" xr:uid="{00000000-0005-0000-0000-00006B5A0000}"/>
    <cellStyle name="40% - Accent2 3 4 3 2 4" xfId="9455" xr:uid="{00000000-0005-0000-0000-00006C5A0000}"/>
    <cellStyle name="40% - Accent2 3 4 3 2 4 2" xfId="22372" xr:uid="{00000000-0005-0000-0000-00006D5A0000}"/>
    <cellStyle name="40% - Accent2 3 4 3 2 4 2 2" xfId="48246" xr:uid="{00000000-0005-0000-0000-00006E5A0000}"/>
    <cellStyle name="40% - Accent2 3 4 3 2 4 3" xfId="35330" xr:uid="{00000000-0005-0000-0000-00006F5A0000}"/>
    <cellStyle name="40% - Accent2 3 4 3 2 5" xfId="15914" xr:uid="{00000000-0005-0000-0000-0000705A0000}"/>
    <cellStyle name="40% - Accent2 3 4 3 2 5 2" xfId="41788" xr:uid="{00000000-0005-0000-0000-0000715A0000}"/>
    <cellStyle name="40% - Accent2 3 4 3 2 6" xfId="28840" xr:uid="{00000000-0005-0000-0000-0000725A0000}"/>
    <cellStyle name="40% - Accent2 3 4 3 3" xfId="3777" xr:uid="{00000000-0005-0000-0000-0000735A0000}"/>
    <cellStyle name="40% - Accent2 3 4 3 3 2" xfId="7031" xr:uid="{00000000-0005-0000-0000-0000745A0000}"/>
    <cellStyle name="40% - Accent2 3 4 3 3 2 2" xfId="13490" xr:uid="{00000000-0005-0000-0000-0000755A0000}"/>
    <cellStyle name="40% - Accent2 3 4 3 3 2 2 2" xfId="26407" xr:uid="{00000000-0005-0000-0000-0000765A0000}"/>
    <cellStyle name="40% - Accent2 3 4 3 3 2 2 2 2" xfId="52281" xr:uid="{00000000-0005-0000-0000-0000775A0000}"/>
    <cellStyle name="40% - Accent2 3 4 3 3 2 2 3" xfId="39365" xr:uid="{00000000-0005-0000-0000-0000785A0000}"/>
    <cellStyle name="40% - Accent2 3 4 3 3 2 3" xfId="19949" xr:uid="{00000000-0005-0000-0000-0000795A0000}"/>
    <cellStyle name="40% - Accent2 3 4 3 3 2 3 2" xfId="45823" xr:uid="{00000000-0005-0000-0000-00007A5A0000}"/>
    <cellStyle name="40% - Accent2 3 4 3 3 2 4" xfId="32907" xr:uid="{00000000-0005-0000-0000-00007B5A0000}"/>
    <cellStyle name="40% - Accent2 3 4 3 3 3" xfId="10262" xr:uid="{00000000-0005-0000-0000-00007C5A0000}"/>
    <cellStyle name="40% - Accent2 3 4 3 3 3 2" xfId="23179" xr:uid="{00000000-0005-0000-0000-00007D5A0000}"/>
    <cellStyle name="40% - Accent2 3 4 3 3 3 2 2" xfId="49053" xr:uid="{00000000-0005-0000-0000-00007E5A0000}"/>
    <cellStyle name="40% - Accent2 3 4 3 3 3 3" xfId="36137" xr:uid="{00000000-0005-0000-0000-00007F5A0000}"/>
    <cellStyle name="40% - Accent2 3 4 3 3 4" xfId="16721" xr:uid="{00000000-0005-0000-0000-0000805A0000}"/>
    <cellStyle name="40% - Accent2 3 4 3 3 4 2" xfId="42595" xr:uid="{00000000-0005-0000-0000-0000815A0000}"/>
    <cellStyle name="40% - Accent2 3 4 3 3 5" xfId="29647" xr:uid="{00000000-0005-0000-0000-0000825A0000}"/>
    <cellStyle name="40% - Accent2 3 4 3 4" xfId="5417" xr:uid="{00000000-0005-0000-0000-0000835A0000}"/>
    <cellStyle name="40% - Accent2 3 4 3 4 2" xfId="11876" xr:uid="{00000000-0005-0000-0000-0000845A0000}"/>
    <cellStyle name="40% - Accent2 3 4 3 4 2 2" xfId="24793" xr:uid="{00000000-0005-0000-0000-0000855A0000}"/>
    <cellStyle name="40% - Accent2 3 4 3 4 2 2 2" xfId="50667" xr:uid="{00000000-0005-0000-0000-0000865A0000}"/>
    <cellStyle name="40% - Accent2 3 4 3 4 2 3" xfId="37751" xr:uid="{00000000-0005-0000-0000-0000875A0000}"/>
    <cellStyle name="40% - Accent2 3 4 3 4 3" xfId="18335" xr:uid="{00000000-0005-0000-0000-0000885A0000}"/>
    <cellStyle name="40% - Accent2 3 4 3 4 3 2" xfId="44209" xr:uid="{00000000-0005-0000-0000-0000895A0000}"/>
    <cellStyle name="40% - Accent2 3 4 3 4 4" xfId="31293" xr:uid="{00000000-0005-0000-0000-00008A5A0000}"/>
    <cellStyle name="40% - Accent2 3 4 3 5" xfId="8648" xr:uid="{00000000-0005-0000-0000-00008B5A0000}"/>
    <cellStyle name="40% - Accent2 3 4 3 5 2" xfId="21565" xr:uid="{00000000-0005-0000-0000-00008C5A0000}"/>
    <cellStyle name="40% - Accent2 3 4 3 5 2 2" xfId="47439" xr:uid="{00000000-0005-0000-0000-00008D5A0000}"/>
    <cellStyle name="40% - Accent2 3 4 3 5 3" xfId="34523" xr:uid="{00000000-0005-0000-0000-00008E5A0000}"/>
    <cellStyle name="40% - Accent2 3 4 3 6" xfId="15107" xr:uid="{00000000-0005-0000-0000-00008F5A0000}"/>
    <cellStyle name="40% - Accent2 3 4 3 6 2" xfId="40981" xr:uid="{00000000-0005-0000-0000-0000905A0000}"/>
    <cellStyle name="40% - Accent2 3 4 3 7" xfId="28033" xr:uid="{00000000-0005-0000-0000-0000915A0000}"/>
    <cellStyle name="40% - Accent2 3 4 3 8" xfId="53895" xr:uid="{00000000-0005-0000-0000-0000925A0000}"/>
    <cellStyle name="40% - Accent2 3 4 4" xfId="2547" xr:uid="{00000000-0005-0000-0000-0000935A0000}"/>
    <cellStyle name="40% - Accent2 3 4 4 2" xfId="4204" xr:uid="{00000000-0005-0000-0000-0000945A0000}"/>
    <cellStyle name="40% - Accent2 3 4 4 2 2" xfId="7435" xr:uid="{00000000-0005-0000-0000-0000955A0000}"/>
    <cellStyle name="40% - Accent2 3 4 4 2 2 2" xfId="13894" xr:uid="{00000000-0005-0000-0000-0000965A0000}"/>
    <cellStyle name="40% - Accent2 3 4 4 2 2 2 2" xfId="26811" xr:uid="{00000000-0005-0000-0000-0000975A0000}"/>
    <cellStyle name="40% - Accent2 3 4 4 2 2 2 2 2" xfId="52685" xr:uid="{00000000-0005-0000-0000-0000985A0000}"/>
    <cellStyle name="40% - Accent2 3 4 4 2 2 2 3" xfId="39769" xr:uid="{00000000-0005-0000-0000-0000995A0000}"/>
    <cellStyle name="40% - Accent2 3 4 4 2 2 3" xfId="20353" xr:uid="{00000000-0005-0000-0000-00009A5A0000}"/>
    <cellStyle name="40% - Accent2 3 4 4 2 2 3 2" xfId="46227" xr:uid="{00000000-0005-0000-0000-00009B5A0000}"/>
    <cellStyle name="40% - Accent2 3 4 4 2 2 4" xfId="33311" xr:uid="{00000000-0005-0000-0000-00009C5A0000}"/>
    <cellStyle name="40% - Accent2 3 4 4 2 3" xfId="10666" xr:uid="{00000000-0005-0000-0000-00009D5A0000}"/>
    <cellStyle name="40% - Accent2 3 4 4 2 3 2" xfId="23583" xr:uid="{00000000-0005-0000-0000-00009E5A0000}"/>
    <cellStyle name="40% - Accent2 3 4 4 2 3 2 2" xfId="49457" xr:uid="{00000000-0005-0000-0000-00009F5A0000}"/>
    <cellStyle name="40% - Accent2 3 4 4 2 3 3" xfId="36541" xr:uid="{00000000-0005-0000-0000-0000A05A0000}"/>
    <cellStyle name="40% - Accent2 3 4 4 2 4" xfId="17125" xr:uid="{00000000-0005-0000-0000-0000A15A0000}"/>
    <cellStyle name="40% - Accent2 3 4 4 2 4 2" xfId="42999" xr:uid="{00000000-0005-0000-0000-0000A25A0000}"/>
    <cellStyle name="40% - Accent2 3 4 4 2 5" xfId="30051" xr:uid="{00000000-0005-0000-0000-0000A35A0000}"/>
    <cellStyle name="40% - Accent2 3 4 4 3" xfId="5821" xr:uid="{00000000-0005-0000-0000-0000A45A0000}"/>
    <cellStyle name="40% - Accent2 3 4 4 3 2" xfId="12280" xr:uid="{00000000-0005-0000-0000-0000A55A0000}"/>
    <cellStyle name="40% - Accent2 3 4 4 3 2 2" xfId="25197" xr:uid="{00000000-0005-0000-0000-0000A65A0000}"/>
    <cellStyle name="40% - Accent2 3 4 4 3 2 2 2" xfId="51071" xr:uid="{00000000-0005-0000-0000-0000A75A0000}"/>
    <cellStyle name="40% - Accent2 3 4 4 3 2 3" xfId="38155" xr:uid="{00000000-0005-0000-0000-0000A85A0000}"/>
    <cellStyle name="40% - Accent2 3 4 4 3 3" xfId="18739" xr:uid="{00000000-0005-0000-0000-0000A95A0000}"/>
    <cellStyle name="40% - Accent2 3 4 4 3 3 2" xfId="44613" xr:uid="{00000000-0005-0000-0000-0000AA5A0000}"/>
    <cellStyle name="40% - Accent2 3 4 4 3 4" xfId="31697" xr:uid="{00000000-0005-0000-0000-0000AB5A0000}"/>
    <cellStyle name="40% - Accent2 3 4 4 4" xfId="9052" xr:uid="{00000000-0005-0000-0000-0000AC5A0000}"/>
    <cellStyle name="40% - Accent2 3 4 4 4 2" xfId="21969" xr:uid="{00000000-0005-0000-0000-0000AD5A0000}"/>
    <cellStyle name="40% - Accent2 3 4 4 4 2 2" xfId="47843" xr:uid="{00000000-0005-0000-0000-0000AE5A0000}"/>
    <cellStyle name="40% - Accent2 3 4 4 4 3" xfId="34927" xr:uid="{00000000-0005-0000-0000-0000AF5A0000}"/>
    <cellStyle name="40% - Accent2 3 4 4 5" xfId="15511" xr:uid="{00000000-0005-0000-0000-0000B05A0000}"/>
    <cellStyle name="40% - Accent2 3 4 4 5 2" xfId="41385" xr:uid="{00000000-0005-0000-0000-0000B15A0000}"/>
    <cellStyle name="40% - Accent2 3 4 4 6" xfId="28437" xr:uid="{00000000-0005-0000-0000-0000B25A0000}"/>
    <cellStyle name="40% - Accent2 3 4 5" xfId="3372" xr:uid="{00000000-0005-0000-0000-0000B35A0000}"/>
    <cellStyle name="40% - Accent2 3 4 5 2" xfId="6628" xr:uid="{00000000-0005-0000-0000-0000B45A0000}"/>
    <cellStyle name="40% - Accent2 3 4 5 2 2" xfId="13087" xr:uid="{00000000-0005-0000-0000-0000B55A0000}"/>
    <cellStyle name="40% - Accent2 3 4 5 2 2 2" xfId="26004" xr:uid="{00000000-0005-0000-0000-0000B65A0000}"/>
    <cellStyle name="40% - Accent2 3 4 5 2 2 2 2" xfId="51878" xr:uid="{00000000-0005-0000-0000-0000B75A0000}"/>
    <cellStyle name="40% - Accent2 3 4 5 2 2 3" xfId="38962" xr:uid="{00000000-0005-0000-0000-0000B85A0000}"/>
    <cellStyle name="40% - Accent2 3 4 5 2 3" xfId="19546" xr:uid="{00000000-0005-0000-0000-0000B95A0000}"/>
    <cellStyle name="40% - Accent2 3 4 5 2 3 2" xfId="45420" xr:uid="{00000000-0005-0000-0000-0000BA5A0000}"/>
    <cellStyle name="40% - Accent2 3 4 5 2 4" xfId="32504" xr:uid="{00000000-0005-0000-0000-0000BB5A0000}"/>
    <cellStyle name="40% - Accent2 3 4 5 3" xfId="9859" xr:uid="{00000000-0005-0000-0000-0000BC5A0000}"/>
    <cellStyle name="40% - Accent2 3 4 5 3 2" xfId="22776" xr:uid="{00000000-0005-0000-0000-0000BD5A0000}"/>
    <cellStyle name="40% - Accent2 3 4 5 3 2 2" xfId="48650" xr:uid="{00000000-0005-0000-0000-0000BE5A0000}"/>
    <cellStyle name="40% - Accent2 3 4 5 3 3" xfId="35734" xr:uid="{00000000-0005-0000-0000-0000BF5A0000}"/>
    <cellStyle name="40% - Accent2 3 4 5 4" xfId="16318" xr:uid="{00000000-0005-0000-0000-0000C05A0000}"/>
    <cellStyle name="40% - Accent2 3 4 5 4 2" xfId="42192" xr:uid="{00000000-0005-0000-0000-0000C15A0000}"/>
    <cellStyle name="40% - Accent2 3 4 5 5" xfId="29244" xr:uid="{00000000-0005-0000-0000-0000C25A0000}"/>
    <cellStyle name="40% - Accent2 3 4 6" xfId="5014" xr:uid="{00000000-0005-0000-0000-0000C35A0000}"/>
    <cellStyle name="40% - Accent2 3 4 6 2" xfId="11473" xr:uid="{00000000-0005-0000-0000-0000C45A0000}"/>
    <cellStyle name="40% - Accent2 3 4 6 2 2" xfId="24390" xr:uid="{00000000-0005-0000-0000-0000C55A0000}"/>
    <cellStyle name="40% - Accent2 3 4 6 2 2 2" xfId="50264" xr:uid="{00000000-0005-0000-0000-0000C65A0000}"/>
    <cellStyle name="40% - Accent2 3 4 6 2 3" xfId="37348" xr:uid="{00000000-0005-0000-0000-0000C75A0000}"/>
    <cellStyle name="40% - Accent2 3 4 6 3" xfId="17932" xr:uid="{00000000-0005-0000-0000-0000C85A0000}"/>
    <cellStyle name="40% - Accent2 3 4 6 3 2" xfId="43806" xr:uid="{00000000-0005-0000-0000-0000C95A0000}"/>
    <cellStyle name="40% - Accent2 3 4 6 4" xfId="30890" xr:uid="{00000000-0005-0000-0000-0000CA5A0000}"/>
    <cellStyle name="40% - Accent2 3 4 7" xfId="8244" xr:uid="{00000000-0005-0000-0000-0000CB5A0000}"/>
    <cellStyle name="40% - Accent2 3 4 7 2" xfId="21161" xr:uid="{00000000-0005-0000-0000-0000CC5A0000}"/>
    <cellStyle name="40% - Accent2 3 4 7 2 2" xfId="47035" xr:uid="{00000000-0005-0000-0000-0000CD5A0000}"/>
    <cellStyle name="40% - Accent2 3 4 7 3" xfId="34119" xr:uid="{00000000-0005-0000-0000-0000CE5A0000}"/>
    <cellStyle name="40% - Accent2 3 4 8" xfId="14703" xr:uid="{00000000-0005-0000-0000-0000CF5A0000}"/>
    <cellStyle name="40% - Accent2 3 4 8 2" xfId="40577" xr:uid="{00000000-0005-0000-0000-0000D05A0000}"/>
    <cellStyle name="40% - Accent2 3 4 9" xfId="27627" xr:uid="{00000000-0005-0000-0000-0000D15A0000}"/>
    <cellStyle name="40% - Accent2 3 5" xfId="677" xr:uid="{00000000-0005-0000-0000-0000D25A0000}"/>
    <cellStyle name="40% - Accent2 3 6" xfId="1102" xr:uid="{00000000-0005-0000-0000-0000D35A0000}"/>
    <cellStyle name="40% - Accent2 4" xfId="235" xr:uid="{00000000-0005-0000-0000-0000D45A0000}"/>
    <cellStyle name="40% - Accent2 4 2" xfId="425" xr:uid="{00000000-0005-0000-0000-0000D55A0000}"/>
    <cellStyle name="40% - Accent2 4 2 2" xfId="687" xr:uid="{00000000-0005-0000-0000-0000D65A0000}"/>
    <cellStyle name="40% - Accent2 4 2 3" xfId="686" xr:uid="{00000000-0005-0000-0000-0000D75A0000}"/>
    <cellStyle name="40% - Accent2 4 2 4" xfId="1677" xr:uid="{00000000-0005-0000-0000-0000D85A0000}"/>
    <cellStyle name="40% - Accent2 4 3" xfId="688" xr:uid="{00000000-0005-0000-0000-0000D95A0000}"/>
    <cellStyle name="40% - Accent2 4 3 10" xfId="53536" xr:uid="{00000000-0005-0000-0000-0000DA5A0000}"/>
    <cellStyle name="40% - Accent2 4 3 11" xfId="1620" xr:uid="{00000000-0005-0000-0000-0000DB5A0000}"/>
    <cellStyle name="40% - Accent2 4 3 2" xfId="1945" xr:uid="{00000000-0005-0000-0000-0000DC5A0000}"/>
    <cellStyle name="40% - Accent2 4 3 2 2" xfId="2376" xr:uid="{00000000-0005-0000-0000-0000DD5A0000}"/>
    <cellStyle name="40% - Accent2 4 3 2 2 2" xfId="3189" xr:uid="{00000000-0005-0000-0000-0000DE5A0000}"/>
    <cellStyle name="40% - Accent2 4 3 2 2 2 2" xfId="4846" xr:uid="{00000000-0005-0000-0000-0000DF5A0000}"/>
    <cellStyle name="40% - Accent2 4 3 2 2 2 2 2" xfId="8077" xr:uid="{00000000-0005-0000-0000-0000E05A0000}"/>
    <cellStyle name="40% - Accent2 4 3 2 2 2 2 2 2" xfId="14536" xr:uid="{00000000-0005-0000-0000-0000E15A0000}"/>
    <cellStyle name="40% - Accent2 4 3 2 2 2 2 2 2 2" xfId="27453" xr:uid="{00000000-0005-0000-0000-0000E25A0000}"/>
    <cellStyle name="40% - Accent2 4 3 2 2 2 2 2 2 2 2" xfId="53327" xr:uid="{00000000-0005-0000-0000-0000E35A0000}"/>
    <cellStyle name="40% - Accent2 4 3 2 2 2 2 2 2 3" xfId="40411" xr:uid="{00000000-0005-0000-0000-0000E45A0000}"/>
    <cellStyle name="40% - Accent2 4 3 2 2 2 2 2 3" xfId="20995" xr:uid="{00000000-0005-0000-0000-0000E55A0000}"/>
    <cellStyle name="40% - Accent2 4 3 2 2 2 2 2 3 2" xfId="46869" xr:uid="{00000000-0005-0000-0000-0000E65A0000}"/>
    <cellStyle name="40% - Accent2 4 3 2 2 2 2 2 4" xfId="33953" xr:uid="{00000000-0005-0000-0000-0000E75A0000}"/>
    <cellStyle name="40% - Accent2 4 3 2 2 2 2 3" xfId="11308" xr:uid="{00000000-0005-0000-0000-0000E85A0000}"/>
    <cellStyle name="40% - Accent2 4 3 2 2 2 2 3 2" xfId="24225" xr:uid="{00000000-0005-0000-0000-0000E95A0000}"/>
    <cellStyle name="40% - Accent2 4 3 2 2 2 2 3 2 2" xfId="50099" xr:uid="{00000000-0005-0000-0000-0000EA5A0000}"/>
    <cellStyle name="40% - Accent2 4 3 2 2 2 2 3 3" xfId="37183" xr:uid="{00000000-0005-0000-0000-0000EB5A0000}"/>
    <cellStyle name="40% - Accent2 4 3 2 2 2 2 4" xfId="17767" xr:uid="{00000000-0005-0000-0000-0000EC5A0000}"/>
    <cellStyle name="40% - Accent2 4 3 2 2 2 2 4 2" xfId="43641" xr:uid="{00000000-0005-0000-0000-0000ED5A0000}"/>
    <cellStyle name="40% - Accent2 4 3 2 2 2 2 5" xfId="30693" xr:uid="{00000000-0005-0000-0000-0000EE5A0000}"/>
    <cellStyle name="40% - Accent2 4 3 2 2 2 3" xfId="6463" xr:uid="{00000000-0005-0000-0000-0000EF5A0000}"/>
    <cellStyle name="40% - Accent2 4 3 2 2 2 3 2" xfId="12922" xr:uid="{00000000-0005-0000-0000-0000F05A0000}"/>
    <cellStyle name="40% - Accent2 4 3 2 2 2 3 2 2" xfId="25839" xr:uid="{00000000-0005-0000-0000-0000F15A0000}"/>
    <cellStyle name="40% - Accent2 4 3 2 2 2 3 2 2 2" xfId="51713" xr:uid="{00000000-0005-0000-0000-0000F25A0000}"/>
    <cellStyle name="40% - Accent2 4 3 2 2 2 3 2 3" xfId="38797" xr:uid="{00000000-0005-0000-0000-0000F35A0000}"/>
    <cellStyle name="40% - Accent2 4 3 2 2 2 3 3" xfId="19381" xr:uid="{00000000-0005-0000-0000-0000F45A0000}"/>
    <cellStyle name="40% - Accent2 4 3 2 2 2 3 3 2" xfId="45255" xr:uid="{00000000-0005-0000-0000-0000F55A0000}"/>
    <cellStyle name="40% - Accent2 4 3 2 2 2 3 4" xfId="32339" xr:uid="{00000000-0005-0000-0000-0000F65A0000}"/>
    <cellStyle name="40% - Accent2 4 3 2 2 2 4" xfId="9694" xr:uid="{00000000-0005-0000-0000-0000F75A0000}"/>
    <cellStyle name="40% - Accent2 4 3 2 2 2 4 2" xfId="22611" xr:uid="{00000000-0005-0000-0000-0000F85A0000}"/>
    <cellStyle name="40% - Accent2 4 3 2 2 2 4 2 2" xfId="48485" xr:uid="{00000000-0005-0000-0000-0000F95A0000}"/>
    <cellStyle name="40% - Accent2 4 3 2 2 2 4 3" xfId="35569" xr:uid="{00000000-0005-0000-0000-0000FA5A0000}"/>
    <cellStyle name="40% - Accent2 4 3 2 2 2 5" xfId="16153" xr:uid="{00000000-0005-0000-0000-0000FB5A0000}"/>
    <cellStyle name="40% - Accent2 4 3 2 2 2 5 2" xfId="42027" xr:uid="{00000000-0005-0000-0000-0000FC5A0000}"/>
    <cellStyle name="40% - Accent2 4 3 2 2 2 6" xfId="29079" xr:uid="{00000000-0005-0000-0000-0000FD5A0000}"/>
    <cellStyle name="40% - Accent2 4 3 2 2 3" xfId="4016" xr:uid="{00000000-0005-0000-0000-0000FE5A0000}"/>
    <cellStyle name="40% - Accent2 4 3 2 2 3 2" xfId="7270" xr:uid="{00000000-0005-0000-0000-0000FF5A0000}"/>
    <cellStyle name="40% - Accent2 4 3 2 2 3 2 2" xfId="13729" xr:uid="{00000000-0005-0000-0000-0000005B0000}"/>
    <cellStyle name="40% - Accent2 4 3 2 2 3 2 2 2" xfId="26646" xr:uid="{00000000-0005-0000-0000-0000015B0000}"/>
    <cellStyle name="40% - Accent2 4 3 2 2 3 2 2 2 2" xfId="52520" xr:uid="{00000000-0005-0000-0000-0000025B0000}"/>
    <cellStyle name="40% - Accent2 4 3 2 2 3 2 2 3" xfId="39604" xr:uid="{00000000-0005-0000-0000-0000035B0000}"/>
    <cellStyle name="40% - Accent2 4 3 2 2 3 2 3" xfId="20188" xr:uid="{00000000-0005-0000-0000-0000045B0000}"/>
    <cellStyle name="40% - Accent2 4 3 2 2 3 2 3 2" xfId="46062" xr:uid="{00000000-0005-0000-0000-0000055B0000}"/>
    <cellStyle name="40% - Accent2 4 3 2 2 3 2 4" xfId="33146" xr:uid="{00000000-0005-0000-0000-0000065B0000}"/>
    <cellStyle name="40% - Accent2 4 3 2 2 3 3" xfId="10501" xr:uid="{00000000-0005-0000-0000-0000075B0000}"/>
    <cellStyle name="40% - Accent2 4 3 2 2 3 3 2" xfId="23418" xr:uid="{00000000-0005-0000-0000-0000085B0000}"/>
    <cellStyle name="40% - Accent2 4 3 2 2 3 3 2 2" xfId="49292" xr:uid="{00000000-0005-0000-0000-0000095B0000}"/>
    <cellStyle name="40% - Accent2 4 3 2 2 3 3 3" xfId="36376" xr:uid="{00000000-0005-0000-0000-00000A5B0000}"/>
    <cellStyle name="40% - Accent2 4 3 2 2 3 4" xfId="16960" xr:uid="{00000000-0005-0000-0000-00000B5B0000}"/>
    <cellStyle name="40% - Accent2 4 3 2 2 3 4 2" xfId="42834" xr:uid="{00000000-0005-0000-0000-00000C5B0000}"/>
    <cellStyle name="40% - Accent2 4 3 2 2 3 5" xfId="29886" xr:uid="{00000000-0005-0000-0000-00000D5B0000}"/>
    <cellStyle name="40% - Accent2 4 3 2 2 4" xfId="5656" xr:uid="{00000000-0005-0000-0000-00000E5B0000}"/>
    <cellStyle name="40% - Accent2 4 3 2 2 4 2" xfId="12115" xr:uid="{00000000-0005-0000-0000-00000F5B0000}"/>
    <cellStyle name="40% - Accent2 4 3 2 2 4 2 2" xfId="25032" xr:uid="{00000000-0005-0000-0000-0000105B0000}"/>
    <cellStyle name="40% - Accent2 4 3 2 2 4 2 2 2" xfId="50906" xr:uid="{00000000-0005-0000-0000-0000115B0000}"/>
    <cellStyle name="40% - Accent2 4 3 2 2 4 2 3" xfId="37990" xr:uid="{00000000-0005-0000-0000-0000125B0000}"/>
    <cellStyle name="40% - Accent2 4 3 2 2 4 3" xfId="18574" xr:uid="{00000000-0005-0000-0000-0000135B0000}"/>
    <cellStyle name="40% - Accent2 4 3 2 2 4 3 2" xfId="44448" xr:uid="{00000000-0005-0000-0000-0000145B0000}"/>
    <cellStyle name="40% - Accent2 4 3 2 2 4 4" xfId="31532" xr:uid="{00000000-0005-0000-0000-0000155B0000}"/>
    <cellStyle name="40% - Accent2 4 3 2 2 5" xfId="8887" xr:uid="{00000000-0005-0000-0000-0000165B0000}"/>
    <cellStyle name="40% - Accent2 4 3 2 2 5 2" xfId="21804" xr:uid="{00000000-0005-0000-0000-0000175B0000}"/>
    <cellStyle name="40% - Accent2 4 3 2 2 5 2 2" xfId="47678" xr:uid="{00000000-0005-0000-0000-0000185B0000}"/>
    <cellStyle name="40% - Accent2 4 3 2 2 5 3" xfId="34762" xr:uid="{00000000-0005-0000-0000-0000195B0000}"/>
    <cellStyle name="40% - Accent2 4 3 2 2 6" xfId="15346" xr:uid="{00000000-0005-0000-0000-00001A5B0000}"/>
    <cellStyle name="40% - Accent2 4 3 2 2 6 2" xfId="41220" xr:uid="{00000000-0005-0000-0000-00001B5B0000}"/>
    <cellStyle name="40% - Accent2 4 3 2 2 7" xfId="28272" xr:uid="{00000000-0005-0000-0000-00001C5B0000}"/>
    <cellStyle name="40% - Accent2 4 3 2 2 8" xfId="54134" xr:uid="{00000000-0005-0000-0000-00001D5B0000}"/>
    <cellStyle name="40% - Accent2 4 3 2 3" xfId="2785" xr:uid="{00000000-0005-0000-0000-00001E5B0000}"/>
    <cellStyle name="40% - Accent2 4 3 2 3 2" xfId="4442" xr:uid="{00000000-0005-0000-0000-00001F5B0000}"/>
    <cellStyle name="40% - Accent2 4 3 2 3 2 2" xfId="7673" xr:uid="{00000000-0005-0000-0000-0000205B0000}"/>
    <cellStyle name="40% - Accent2 4 3 2 3 2 2 2" xfId="14132" xr:uid="{00000000-0005-0000-0000-0000215B0000}"/>
    <cellStyle name="40% - Accent2 4 3 2 3 2 2 2 2" xfId="27049" xr:uid="{00000000-0005-0000-0000-0000225B0000}"/>
    <cellStyle name="40% - Accent2 4 3 2 3 2 2 2 2 2" xfId="52923" xr:uid="{00000000-0005-0000-0000-0000235B0000}"/>
    <cellStyle name="40% - Accent2 4 3 2 3 2 2 2 3" xfId="40007" xr:uid="{00000000-0005-0000-0000-0000245B0000}"/>
    <cellStyle name="40% - Accent2 4 3 2 3 2 2 3" xfId="20591" xr:uid="{00000000-0005-0000-0000-0000255B0000}"/>
    <cellStyle name="40% - Accent2 4 3 2 3 2 2 3 2" xfId="46465" xr:uid="{00000000-0005-0000-0000-0000265B0000}"/>
    <cellStyle name="40% - Accent2 4 3 2 3 2 2 4" xfId="33549" xr:uid="{00000000-0005-0000-0000-0000275B0000}"/>
    <cellStyle name="40% - Accent2 4 3 2 3 2 3" xfId="10904" xr:uid="{00000000-0005-0000-0000-0000285B0000}"/>
    <cellStyle name="40% - Accent2 4 3 2 3 2 3 2" xfId="23821" xr:uid="{00000000-0005-0000-0000-0000295B0000}"/>
    <cellStyle name="40% - Accent2 4 3 2 3 2 3 2 2" xfId="49695" xr:uid="{00000000-0005-0000-0000-00002A5B0000}"/>
    <cellStyle name="40% - Accent2 4 3 2 3 2 3 3" xfId="36779" xr:uid="{00000000-0005-0000-0000-00002B5B0000}"/>
    <cellStyle name="40% - Accent2 4 3 2 3 2 4" xfId="17363" xr:uid="{00000000-0005-0000-0000-00002C5B0000}"/>
    <cellStyle name="40% - Accent2 4 3 2 3 2 4 2" xfId="43237" xr:uid="{00000000-0005-0000-0000-00002D5B0000}"/>
    <cellStyle name="40% - Accent2 4 3 2 3 2 5" xfId="30289" xr:uid="{00000000-0005-0000-0000-00002E5B0000}"/>
    <cellStyle name="40% - Accent2 4 3 2 3 3" xfId="6059" xr:uid="{00000000-0005-0000-0000-00002F5B0000}"/>
    <cellStyle name="40% - Accent2 4 3 2 3 3 2" xfId="12518" xr:uid="{00000000-0005-0000-0000-0000305B0000}"/>
    <cellStyle name="40% - Accent2 4 3 2 3 3 2 2" xfId="25435" xr:uid="{00000000-0005-0000-0000-0000315B0000}"/>
    <cellStyle name="40% - Accent2 4 3 2 3 3 2 2 2" xfId="51309" xr:uid="{00000000-0005-0000-0000-0000325B0000}"/>
    <cellStyle name="40% - Accent2 4 3 2 3 3 2 3" xfId="38393" xr:uid="{00000000-0005-0000-0000-0000335B0000}"/>
    <cellStyle name="40% - Accent2 4 3 2 3 3 3" xfId="18977" xr:uid="{00000000-0005-0000-0000-0000345B0000}"/>
    <cellStyle name="40% - Accent2 4 3 2 3 3 3 2" xfId="44851" xr:uid="{00000000-0005-0000-0000-0000355B0000}"/>
    <cellStyle name="40% - Accent2 4 3 2 3 3 4" xfId="31935" xr:uid="{00000000-0005-0000-0000-0000365B0000}"/>
    <cellStyle name="40% - Accent2 4 3 2 3 4" xfId="9290" xr:uid="{00000000-0005-0000-0000-0000375B0000}"/>
    <cellStyle name="40% - Accent2 4 3 2 3 4 2" xfId="22207" xr:uid="{00000000-0005-0000-0000-0000385B0000}"/>
    <cellStyle name="40% - Accent2 4 3 2 3 4 2 2" xfId="48081" xr:uid="{00000000-0005-0000-0000-0000395B0000}"/>
    <cellStyle name="40% - Accent2 4 3 2 3 4 3" xfId="35165" xr:uid="{00000000-0005-0000-0000-00003A5B0000}"/>
    <cellStyle name="40% - Accent2 4 3 2 3 5" xfId="15749" xr:uid="{00000000-0005-0000-0000-00003B5B0000}"/>
    <cellStyle name="40% - Accent2 4 3 2 3 5 2" xfId="41623" xr:uid="{00000000-0005-0000-0000-00003C5B0000}"/>
    <cellStyle name="40% - Accent2 4 3 2 3 6" xfId="28675" xr:uid="{00000000-0005-0000-0000-00003D5B0000}"/>
    <cellStyle name="40% - Accent2 4 3 2 4" xfId="3612" xr:uid="{00000000-0005-0000-0000-00003E5B0000}"/>
    <cellStyle name="40% - Accent2 4 3 2 4 2" xfId="6866" xr:uid="{00000000-0005-0000-0000-00003F5B0000}"/>
    <cellStyle name="40% - Accent2 4 3 2 4 2 2" xfId="13325" xr:uid="{00000000-0005-0000-0000-0000405B0000}"/>
    <cellStyle name="40% - Accent2 4 3 2 4 2 2 2" xfId="26242" xr:uid="{00000000-0005-0000-0000-0000415B0000}"/>
    <cellStyle name="40% - Accent2 4 3 2 4 2 2 2 2" xfId="52116" xr:uid="{00000000-0005-0000-0000-0000425B0000}"/>
    <cellStyle name="40% - Accent2 4 3 2 4 2 2 3" xfId="39200" xr:uid="{00000000-0005-0000-0000-0000435B0000}"/>
    <cellStyle name="40% - Accent2 4 3 2 4 2 3" xfId="19784" xr:uid="{00000000-0005-0000-0000-0000445B0000}"/>
    <cellStyle name="40% - Accent2 4 3 2 4 2 3 2" xfId="45658" xr:uid="{00000000-0005-0000-0000-0000455B0000}"/>
    <cellStyle name="40% - Accent2 4 3 2 4 2 4" xfId="32742" xr:uid="{00000000-0005-0000-0000-0000465B0000}"/>
    <cellStyle name="40% - Accent2 4 3 2 4 3" xfId="10097" xr:uid="{00000000-0005-0000-0000-0000475B0000}"/>
    <cellStyle name="40% - Accent2 4 3 2 4 3 2" xfId="23014" xr:uid="{00000000-0005-0000-0000-0000485B0000}"/>
    <cellStyle name="40% - Accent2 4 3 2 4 3 2 2" xfId="48888" xr:uid="{00000000-0005-0000-0000-0000495B0000}"/>
    <cellStyle name="40% - Accent2 4 3 2 4 3 3" xfId="35972" xr:uid="{00000000-0005-0000-0000-00004A5B0000}"/>
    <cellStyle name="40% - Accent2 4 3 2 4 4" xfId="16556" xr:uid="{00000000-0005-0000-0000-00004B5B0000}"/>
    <cellStyle name="40% - Accent2 4 3 2 4 4 2" xfId="42430" xr:uid="{00000000-0005-0000-0000-00004C5B0000}"/>
    <cellStyle name="40% - Accent2 4 3 2 4 5" xfId="29482" xr:uid="{00000000-0005-0000-0000-00004D5B0000}"/>
    <cellStyle name="40% - Accent2 4 3 2 5" xfId="5252" xr:uid="{00000000-0005-0000-0000-00004E5B0000}"/>
    <cellStyle name="40% - Accent2 4 3 2 5 2" xfId="11711" xr:uid="{00000000-0005-0000-0000-00004F5B0000}"/>
    <cellStyle name="40% - Accent2 4 3 2 5 2 2" xfId="24628" xr:uid="{00000000-0005-0000-0000-0000505B0000}"/>
    <cellStyle name="40% - Accent2 4 3 2 5 2 2 2" xfId="50502" xr:uid="{00000000-0005-0000-0000-0000515B0000}"/>
    <cellStyle name="40% - Accent2 4 3 2 5 2 3" xfId="37586" xr:uid="{00000000-0005-0000-0000-0000525B0000}"/>
    <cellStyle name="40% - Accent2 4 3 2 5 3" xfId="18170" xr:uid="{00000000-0005-0000-0000-0000535B0000}"/>
    <cellStyle name="40% - Accent2 4 3 2 5 3 2" xfId="44044" xr:uid="{00000000-0005-0000-0000-0000545B0000}"/>
    <cellStyle name="40% - Accent2 4 3 2 5 4" xfId="31128" xr:uid="{00000000-0005-0000-0000-0000555B0000}"/>
    <cellStyle name="40% - Accent2 4 3 2 6" xfId="8483" xr:uid="{00000000-0005-0000-0000-0000565B0000}"/>
    <cellStyle name="40% - Accent2 4 3 2 6 2" xfId="21400" xr:uid="{00000000-0005-0000-0000-0000575B0000}"/>
    <cellStyle name="40% - Accent2 4 3 2 6 2 2" xfId="47274" xr:uid="{00000000-0005-0000-0000-0000585B0000}"/>
    <cellStyle name="40% - Accent2 4 3 2 6 3" xfId="34358" xr:uid="{00000000-0005-0000-0000-0000595B0000}"/>
    <cellStyle name="40% - Accent2 4 3 2 7" xfId="14942" xr:uid="{00000000-0005-0000-0000-00005A5B0000}"/>
    <cellStyle name="40% - Accent2 4 3 2 7 2" xfId="40816" xr:uid="{00000000-0005-0000-0000-00005B5B0000}"/>
    <cellStyle name="40% - Accent2 4 3 2 8" xfId="27867" xr:uid="{00000000-0005-0000-0000-00005C5B0000}"/>
    <cellStyle name="40% - Accent2 4 3 2 9" xfId="53730" xr:uid="{00000000-0005-0000-0000-00005D5B0000}"/>
    <cellStyle name="40% - Accent2 4 3 3" xfId="2180" xr:uid="{00000000-0005-0000-0000-00005E5B0000}"/>
    <cellStyle name="40% - Accent2 4 3 3 2" xfId="2994" xr:uid="{00000000-0005-0000-0000-00005F5B0000}"/>
    <cellStyle name="40% - Accent2 4 3 3 2 2" xfId="4651" xr:uid="{00000000-0005-0000-0000-0000605B0000}"/>
    <cellStyle name="40% - Accent2 4 3 3 2 2 2" xfId="7882" xr:uid="{00000000-0005-0000-0000-0000615B0000}"/>
    <cellStyle name="40% - Accent2 4 3 3 2 2 2 2" xfId="14341" xr:uid="{00000000-0005-0000-0000-0000625B0000}"/>
    <cellStyle name="40% - Accent2 4 3 3 2 2 2 2 2" xfId="27258" xr:uid="{00000000-0005-0000-0000-0000635B0000}"/>
    <cellStyle name="40% - Accent2 4 3 3 2 2 2 2 2 2" xfId="53132" xr:uid="{00000000-0005-0000-0000-0000645B0000}"/>
    <cellStyle name="40% - Accent2 4 3 3 2 2 2 2 3" xfId="40216" xr:uid="{00000000-0005-0000-0000-0000655B0000}"/>
    <cellStyle name="40% - Accent2 4 3 3 2 2 2 3" xfId="20800" xr:uid="{00000000-0005-0000-0000-0000665B0000}"/>
    <cellStyle name="40% - Accent2 4 3 3 2 2 2 3 2" xfId="46674" xr:uid="{00000000-0005-0000-0000-0000675B0000}"/>
    <cellStyle name="40% - Accent2 4 3 3 2 2 2 4" xfId="33758" xr:uid="{00000000-0005-0000-0000-0000685B0000}"/>
    <cellStyle name="40% - Accent2 4 3 3 2 2 3" xfId="11113" xr:uid="{00000000-0005-0000-0000-0000695B0000}"/>
    <cellStyle name="40% - Accent2 4 3 3 2 2 3 2" xfId="24030" xr:uid="{00000000-0005-0000-0000-00006A5B0000}"/>
    <cellStyle name="40% - Accent2 4 3 3 2 2 3 2 2" xfId="49904" xr:uid="{00000000-0005-0000-0000-00006B5B0000}"/>
    <cellStyle name="40% - Accent2 4 3 3 2 2 3 3" xfId="36988" xr:uid="{00000000-0005-0000-0000-00006C5B0000}"/>
    <cellStyle name="40% - Accent2 4 3 3 2 2 4" xfId="17572" xr:uid="{00000000-0005-0000-0000-00006D5B0000}"/>
    <cellStyle name="40% - Accent2 4 3 3 2 2 4 2" xfId="43446" xr:uid="{00000000-0005-0000-0000-00006E5B0000}"/>
    <cellStyle name="40% - Accent2 4 3 3 2 2 5" xfId="30498" xr:uid="{00000000-0005-0000-0000-00006F5B0000}"/>
    <cellStyle name="40% - Accent2 4 3 3 2 3" xfId="6268" xr:uid="{00000000-0005-0000-0000-0000705B0000}"/>
    <cellStyle name="40% - Accent2 4 3 3 2 3 2" xfId="12727" xr:uid="{00000000-0005-0000-0000-0000715B0000}"/>
    <cellStyle name="40% - Accent2 4 3 3 2 3 2 2" xfId="25644" xr:uid="{00000000-0005-0000-0000-0000725B0000}"/>
    <cellStyle name="40% - Accent2 4 3 3 2 3 2 2 2" xfId="51518" xr:uid="{00000000-0005-0000-0000-0000735B0000}"/>
    <cellStyle name="40% - Accent2 4 3 3 2 3 2 3" xfId="38602" xr:uid="{00000000-0005-0000-0000-0000745B0000}"/>
    <cellStyle name="40% - Accent2 4 3 3 2 3 3" xfId="19186" xr:uid="{00000000-0005-0000-0000-0000755B0000}"/>
    <cellStyle name="40% - Accent2 4 3 3 2 3 3 2" xfId="45060" xr:uid="{00000000-0005-0000-0000-0000765B0000}"/>
    <cellStyle name="40% - Accent2 4 3 3 2 3 4" xfId="32144" xr:uid="{00000000-0005-0000-0000-0000775B0000}"/>
    <cellStyle name="40% - Accent2 4 3 3 2 4" xfId="9499" xr:uid="{00000000-0005-0000-0000-0000785B0000}"/>
    <cellStyle name="40% - Accent2 4 3 3 2 4 2" xfId="22416" xr:uid="{00000000-0005-0000-0000-0000795B0000}"/>
    <cellStyle name="40% - Accent2 4 3 3 2 4 2 2" xfId="48290" xr:uid="{00000000-0005-0000-0000-00007A5B0000}"/>
    <cellStyle name="40% - Accent2 4 3 3 2 4 3" xfId="35374" xr:uid="{00000000-0005-0000-0000-00007B5B0000}"/>
    <cellStyle name="40% - Accent2 4 3 3 2 5" xfId="15958" xr:uid="{00000000-0005-0000-0000-00007C5B0000}"/>
    <cellStyle name="40% - Accent2 4 3 3 2 5 2" xfId="41832" xr:uid="{00000000-0005-0000-0000-00007D5B0000}"/>
    <cellStyle name="40% - Accent2 4 3 3 2 6" xfId="28884" xr:uid="{00000000-0005-0000-0000-00007E5B0000}"/>
    <cellStyle name="40% - Accent2 4 3 3 3" xfId="3821" xr:uid="{00000000-0005-0000-0000-00007F5B0000}"/>
    <cellStyle name="40% - Accent2 4 3 3 3 2" xfId="7075" xr:uid="{00000000-0005-0000-0000-0000805B0000}"/>
    <cellStyle name="40% - Accent2 4 3 3 3 2 2" xfId="13534" xr:uid="{00000000-0005-0000-0000-0000815B0000}"/>
    <cellStyle name="40% - Accent2 4 3 3 3 2 2 2" xfId="26451" xr:uid="{00000000-0005-0000-0000-0000825B0000}"/>
    <cellStyle name="40% - Accent2 4 3 3 3 2 2 2 2" xfId="52325" xr:uid="{00000000-0005-0000-0000-0000835B0000}"/>
    <cellStyle name="40% - Accent2 4 3 3 3 2 2 3" xfId="39409" xr:uid="{00000000-0005-0000-0000-0000845B0000}"/>
    <cellStyle name="40% - Accent2 4 3 3 3 2 3" xfId="19993" xr:uid="{00000000-0005-0000-0000-0000855B0000}"/>
    <cellStyle name="40% - Accent2 4 3 3 3 2 3 2" xfId="45867" xr:uid="{00000000-0005-0000-0000-0000865B0000}"/>
    <cellStyle name="40% - Accent2 4 3 3 3 2 4" xfId="32951" xr:uid="{00000000-0005-0000-0000-0000875B0000}"/>
    <cellStyle name="40% - Accent2 4 3 3 3 3" xfId="10306" xr:uid="{00000000-0005-0000-0000-0000885B0000}"/>
    <cellStyle name="40% - Accent2 4 3 3 3 3 2" xfId="23223" xr:uid="{00000000-0005-0000-0000-0000895B0000}"/>
    <cellStyle name="40% - Accent2 4 3 3 3 3 2 2" xfId="49097" xr:uid="{00000000-0005-0000-0000-00008A5B0000}"/>
    <cellStyle name="40% - Accent2 4 3 3 3 3 3" xfId="36181" xr:uid="{00000000-0005-0000-0000-00008B5B0000}"/>
    <cellStyle name="40% - Accent2 4 3 3 3 4" xfId="16765" xr:uid="{00000000-0005-0000-0000-00008C5B0000}"/>
    <cellStyle name="40% - Accent2 4 3 3 3 4 2" xfId="42639" xr:uid="{00000000-0005-0000-0000-00008D5B0000}"/>
    <cellStyle name="40% - Accent2 4 3 3 3 5" xfId="29691" xr:uid="{00000000-0005-0000-0000-00008E5B0000}"/>
    <cellStyle name="40% - Accent2 4 3 3 4" xfId="5461" xr:uid="{00000000-0005-0000-0000-00008F5B0000}"/>
    <cellStyle name="40% - Accent2 4 3 3 4 2" xfId="11920" xr:uid="{00000000-0005-0000-0000-0000905B0000}"/>
    <cellStyle name="40% - Accent2 4 3 3 4 2 2" xfId="24837" xr:uid="{00000000-0005-0000-0000-0000915B0000}"/>
    <cellStyle name="40% - Accent2 4 3 3 4 2 2 2" xfId="50711" xr:uid="{00000000-0005-0000-0000-0000925B0000}"/>
    <cellStyle name="40% - Accent2 4 3 3 4 2 3" xfId="37795" xr:uid="{00000000-0005-0000-0000-0000935B0000}"/>
    <cellStyle name="40% - Accent2 4 3 3 4 3" xfId="18379" xr:uid="{00000000-0005-0000-0000-0000945B0000}"/>
    <cellStyle name="40% - Accent2 4 3 3 4 3 2" xfId="44253" xr:uid="{00000000-0005-0000-0000-0000955B0000}"/>
    <cellStyle name="40% - Accent2 4 3 3 4 4" xfId="31337" xr:uid="{00000000-0005-0000-0000-0000965B0000}"/>
    <cellStyle name="40% - Accent2 4 3 3 5" xfId="8692" xr:uid="{00000000-0005-0000-0000-0000975B0000}"/>
    <cellStyle name="40% - Accent2 4 3 3 5 2" xfId="21609" xr:uid="{00000000-0005-0000-0000-0000985B0000}"/>
    <cellStyle name="40% - Accent2 4 3 3 5 2 2" xfId="47483" xr:uid="{00000000-0005-0000-0000-0000995B0000}"/>
    <cellStyle name="40% - Accent2 4 3 3 5 3" xfId="34567" xr:uid="{00000000-0005-0000-0000-00009A5B0000}"/>
    <cellStyle name="40% - Accent2 4 3 3 6" xfId="15151" xr:uid="{00000000-0005-0000-0000-00009B5B0000}"/>
    <cellStyle name="40% - Accent2 4 3 3 6 2" xfId="41025" xr:uid="{00000000-0005-0000-0000-00009C5B0000}"/>
    <cellStyle name="40% - Accent2 4 3 3 7" xfId="28077" xr:uid="{00000000-0005-0000-0000-00009D5B0000}"/>
    <cellStyle name="40% - Accent2 4 3 3 8" xfId="53939" xr:uid="{00000000-0005-0000-0000-00009E5B0000}"/>
    <cellStyle name="40% - Accent2 4 3 4" xfId="2591" xr:uid="{00000000-0005-0000-0000-00009F5B0000}"/>
    <cellStyle name="40% - Accent2 4 3 4 2" xfId="4248" xr:uid="{00000000-0005-0000-0000-0000A05B0000}"/>
    <cellStyle name="40% - Accent2 4 3 4 2 2" xfId="7479" xr:uid="{00000000-0005-0000-0000-0000A15B0000}"/>
    <cellStyle name="40% - Accent2 4 3 4 2 2 2" xfId="13938" xr:uid="{00000000-0005-0000-0000-0000A25B0000}"/>
    <cellStyle name="40% - Accent2 4 3 4 2 2 2 2" xfId="26855" xr:uid="{00000000-0005-0000-0000-0000A35B0000}"/>
    <cellStyle name="40% - Accent2 4 3 4 2 2 2 2 2" xfId="52729" xr:uid="{00000000-0005-0000-0000-0000A45B0000}"/>
    <cellStyle name="40% - Accent2 4 3 4 2 2 2 3" xfId="39813" xr:uid="{00000000-0005-0000-0000-0000A55B0000}"/>
    <cellStyle name="40% - Accent2 4 3 4 2 2 3" xfId="20397" xr:uid="{00000000-0005-0000-0000-0000A65B0000}"/>
    <cellStyle name="40% - Accent2 4 3 4 2 2 3 2" xfId="46271" xr:uid="{00000000-0005-0000-0000-0000A75B0000}"/>
    <cellStyle name="40% - Accent2 4 3 4 2 2 4" xfId="33355" xr:uid="{00000000-0005-0000-0000-0000A85B0000}"/>
    <cellStyle name="40% - Accent2 4 3 4 2 3" xfId="10710" xr:uid="{00000000-0005-0000-0000-0000A95B0000}"/>
    <cellStyle name="40% - Accent2 4 3 4 2 3 2" xfId="23627" xr:uid="{00000000-0005-0000-0000-0000AA5B0000}"/>
    <cellStyle name="40% - Accent2 4 3 4 2 3 2 2" xfId="49501" xr:uid="{00000000-0005-0000-0000-0000AB5B0000}"/>
    <cellStyle name="40% - Accent2 4 3 4 2 3 3" xfId="36585" xr:uid="{00000000-0005-0000-0000-0000AC5B0000}"/>
    <cellStyle name="40% - Accent2 4 3 4 2 4" xfId="17169" xr:uid="{00000000-0005-0000-0000-0000AD5B0000}"/>
    <cellStyle name="40% - Accent2 4 3 4 2 4 2" xfId="43043" xr:uid="{00000000-0005-0000-0000-0000AE5B0000}"/>
    <cellStyle name="40% - Accent2 4 3 4 2 5" xfId="30095" xr:uid="{00000000-0005-0000-0000-0000AF5B0000}"/>
    <cellStyle name="40% - Accent2 4 3 4 3" xfId="5865" xr:uid="{00000000-0005-0000-0000-0000B05B0000}"/>
    <cellStyle name="40% - Accent2 4 3 4 3 2" xfId="12324" xr:uid="{00000000-0005-0000-0000-0000B15B0000}"/>
    <cellStyle name="40% - Accent2 4 3 4 3 2 2" xfId="25241" xr:uid="{00000000-0005-0000-0000-0000B25B0000}"/>
    <cellStyle name="40% - Accent2 4 3 4 3 2 2 2" xfId="51115" xr:uid="{00000000-0005-0000-0000-0000B35B0000}"/>
    <cellStyle name="40% - Accent2 4 3 4 3 2 3" xfId="38199" xr:uid="{00000000-0005-0000-0000-0000B45B0000}"/>
    <cellStyle name="40% - Accent2 4 3 4 3 3" xfId="18783" xr:uid="{00000000-0005-0000-0000-0000B55B0000}"/>
    <cellStyle name="40% - Accent2 4 3 4 3 3 2" xfId="44657" xr:uid="{00000000-0005-0000-0000-0000B65B0000}"/>
    <cellStyle name="40% - Accent2 4 3 4 3 4" xfId="31741" xr:uid="{00000000-0005-0000-0000-0000B75B0000}"/>
    <cellStyle name="40% - Accent2 4 3 4 4" xfId="9096" xr:uid="{00000000-0005-0000-0000-0000B85B0000}"/>
    <cellStyle name="40% - Accent2 4 3 4 4 2" xfId="22013" xr:uid="{00000000-0005-0000-0000-0000B95B0000}"/>
    <cellStyle name="40% - Accent2 4 3 4 4 2 2" xfId="47887" xr:uid="{00000000-0005-0000-0000-0000BA5B0000}"/>
    <cellStyle name="40% - Accent2 4 3 4 4 3" xfId="34971" xr:uid="{00000000-0005-0000-0000-0000BB5B0000}"/>
    <cellStyle name="40% - Accent2 4 3 4 5" xfId="15555" xr:uid="{00000000-0005-0000-0000-0000BC5B0000}"/>
    <cellStyle name="40% - Accent2 4 3 4 5 2" xfId="41429" xr:uid="{00000000-0005-0000-0000-0000BD5B0000}"/>
    <cellStyle name="40% - Accent2 4 3 4 6" xfId="28481" xr:uid="{00000000-0005-0000-0000-0000BE5B0000}"/>
    <cellStyle name="40% - Accent2 4 3 5" xfId="3418" xr:uid="{00000000-0005-0000-0000-0000BF5B0000}"/>
    <cellStyle name="40% - Accent2 4 3 5 2" xfId="6672" xr:uid="{00000000-0005-0000-0000-0000C05B0000}"/>
    <cellStyle name="40% - Accent2 4 3 5 2 2" xfId="13131" xr:uid="{00000000-0005-0000-0000-0000C15B0000}"/>
    <cellStyle name="40% - Accent2 4 3 5 2 2 2" xfId="26048" xr:uid="{00000000-0005-0000-0000-0000C25B0000}"/>
    <cellStyle name="40% - Accent2 4 3 5 2 2 2 2" xfId="51922" xr:uid="{00000000-0005-0000-0000-0000C35B0000}"/>
    <cellStyle name="40% - Accent2 4 3 5 2 2 3" xfId="39006" xr:uid="{00000000-0005-0000-0000-0000C45B0000}"/>
    <cellStyle name="40% - Accent2 4 3 5 2 3" xfId="19590" xr:uid="{00000000-0005-0000-0000-0000C55B0000}"/>
    <cellStyle name="40% - Accent2 4 3 5 2 3 2" xfId="45464" xr:uid="{00000000-0005-0000-0000-0000C65B0000}"/>
    <cellStyle name="40% - Accent2 4 3 5 2 4" xfId="32548" xr:uid="{00000000-0005-0000-0000-0000C75B0000}"/>
    <cellStyle name="40% - Accent2 4 3 5 3" xfId="9903" xr:uid="{00000000-0005-0000-0000-0000C85B0000}"/>
    <cellStyle name="40% - Accent2 4 3 5 3 2" xfId="22820" xr:uid="{00000000-0005-0000-0000-0000C95B0000}"/>
    <cellStyle name="40% - Accent2 4 3 5 3 2 2" xfId="48694" xr:uid="{00000000-0005-0000-0000-0000CA5B0000}"/>
    <cellStyle name="40% - Accent2 4 3 5 3 3" xfId="35778" xr:uid="{00000000-0005-0000-0000-0000CB5B0000}"/>
    <cellStyle name="40% - Accent2 4 3 5 4" xfId="16362" xr:uid="{00000000-0005-0000-0000-0000CC5B0000}"/>
    <cellStyle name="40% - Accent2 4 3 5 4 2" xfId="42236" xr:uid="{00000000-0005-0000-0000-0000CD5B0000}"/>
    <cellStyle name="40% - Accent2 4 3 5 5" xfId="29288" xr:uid="{00000000-0005-0000-0000-0000CE5B0000}"/>
    <cellStyle name="40% - Accent2 4 3 6" xfId="5058" xr:uid="{00000000-0005-0000-0000-0000CF5B0000}"/>
    <cellStyle name="40% - Accent2 4 3 6 2" xfId="11517" xr:uid="{00000000-0005-0000-0000-0000D05B0000}"/>
    <cellStyle name="40% - Accent2 4 3 6 2 2" xfId="24434" xr:uid="{00000000-0005-0000-0000-0000D15B0000}"/>
    <cellStyle name="40% - Accent2 4 3 6 2 2 2" xfId="50308" xr:uid="{00000000-0005-0000-0000-0000D25B0000}"/>
    <cellStyle name="40% - Accent2 4 3 6 2 3" xfId="37392" xr:uid="{00000000-0005-0000-0000-0000D35B0000}"/>
    <cellStyle name="40% - Accent2 4 3 6 3" xfId="17976" xr:uid="{00000000-0005-0000-0000-0000D45B0000}"/>
    <cellStyle name="40% - Accent2 4 3 6 3 2" xfId="43850" xr:uid="{00000000-0005-0000-0000-0000D55B0000}"/>
    <cellStyle name="40% - Accent2 4 3 6 4" xfId="30934" xr:uid="{00000000-0005-0000-0000-0000D65B0000}"/>
    <cellStyle name="40% - Accent2 4 3 7" xfId="8288" xr:uid="{00000000-0005-0000-0000-0000D75B0000}"/>
    <cellStyle name="40% - Accent2 4 3 7 2" xfId="21205" xr:uid="{00000000-0005-0000-0000-0000D85B0000}"/>
    <cellStyle name="40% - Accent2 4 3 7 2 2" xfId="47079" xr:uid="{00000000-0005-0000-0000-0000D95B0000}"/>
    <cellStyle name="40% - Accent2 4 3 7 3" xfId="34163" xr:uid="{00000000-0005-0000-0000-0000DA5B0000}"/>
    <cellStyle name="40% - Accent2 4 3 8" xfId="14747" xr:uid="{00000000-0005-0000-0000-0000DB5B0000}"/>
    <cellStyle name="40% - Accent2 4 3 8 2" xfId="40621" xr:uid="{00000000-0005-0000-0000-0000DC5B0000}"/>
    <cellStyle name="40% - Accent2 4 3 9" xfId="27671" xr:uid="{00000000-0005-0000-0000-0000DD5B0000}"/>
    <cellStyle name="40% - Accent2 4 4" xfId="685" xr:uid="{00000000-0005-0000-0000-0000DE5B0000}"/>
    <cellStyle name="40% - Accent2 4 5" xfId="1103" xr:uid="{00000000-0005-0000-0000-0000DF5B0000}"/>
    <cellStyle name="40% - Accent2 5" xfId="307" xr:uid="{00000000-0005-0000-0000-0000E05B0000}"/>
    <cellStyle name="40% - Accent2 5 2" xfId="454" xr:uid="{00000000-0005-0000-0000-0000E15B0000}"/>
    <cellStyle name="40% - Accent2 5 2 2" xfId="691" xr:uid="{00000000-0005-0000-0000-0000E25B0000}"/>
    <cellStyle name="40% - Accent2 5 2 3" xfId="690" xr:uid="{00000000-0005-0000-0000-0000E35B0000}"/>
    <cellStyle name="40% - Accent2 5 2 4" xfId="1678" xr:uid="{00000000-0005-0000-0000-0000E45B0000}"/>
    <cellStyle name="40% - Accent2 5 3" xfId="692" xr:uid="{00000000-0005-0000-0000-0000E55B0000}"/>
    <cellStyle name="40% - Accent2 5 3 10" xfId="53513" xr:uid="{00000000-0005-0000-0000-0000E65B0000}"/>
    <cellStyle name="40% - Accent2 5 3 11" xfId="1594" xr:uid="{00000000-0005-0000-0000-0000E75B0000}"/>
    <cellStyle name="40% - Accent2 5 3 2" xfId="1922" xr:uid="{00000000-0005-0000-0000-0000E85B0000}"/>
    <cellStyle name="40% - Accent2 5 3 2 2" xfId="2353" xr:uid="{00000000-0005-0000-0000-0000E95B0000}"/>
    <cellStyle name="40% - Accent2 5 3 2 2 2" xfId="3166" xr:uid="{00000000-0005-0000-0000-0000EA5B0000}"/>
    <cellStyle name="40% - Accent2 5 3 2 2 2 2" xfId="4823" xr:uid="{00000000-0005-0000-0000-0000EB5B0000}"/>
    <cellStyle name="40% - Accent2 5 3 2 2 2 2 2" xfId="8054" xr:uid="{00000000-0005-0000-0000-0000EC5B0000}"/>
    <cellStyle name="40% - Accent2 5 3 2 2 2 2 2 2" xfId="14513" xr:uid="{00000000-0005-0000-0000-0000ED5B0000}"/>
    <cellStyle name="40% - Accent2 5 3 2 2 2 2 2 2 2" xfId="27430" xr:uid="{00000000-0005-0000-0000-0000EE5B0000}"/>
    <cellStyle name="40% - Accent2 5 3 2 2 2 2 2 2 2 2" xfId="53304" xr:uid="{00000000-0005-0000-0000-0000EF5B0000}"/>
    <cellStyle name="40% - Accent2 5 3 2 2 2 2 2 2 3" xfId="40388" xr:uid="{00000000-0005-0000-0000-0000F05B0000}"/>
    <cellStyle name="40% - Accent2 5 3 2 2 2 2 2 3" xfId="20972" xr:uid="{00000000-0005-0000-0000-0000F15B0000}"/>
    <cellStyle name="40% - Accent2 5 3 2 2 2 2 2 3 2" xfId="46846" xr:uid="{00000000-0005-0000-0000-0000F25B0000}"/>
    <cellStyle name="40% - Accent2 5 3 2 2 2 2 2 4" xfId="33930" xr:uid="{00000000-0005-0000-0000-0000F35B0000}"/>
    <cellStyle name="40% - Accent2 5 3 2 2 2 2 3" xfId="11285" xr:uid="{00000000-0005-0000-0000-0000F45B0000}"/>
    <cellStyle name="40% - Accent2 5 3 2 2 2 2 3 2" xfId="24202" xr:uid="{00000000-0005-0000-0000-0000F55B0000}"/>
    <cellStyle name="40% - Accent2 5 3 2 2 2 2 3 2 2" xfId="50076" xr:uid="{00000000-0005-0000-0000-0000F65B0000}"/>
    <cellStyle name="40% - Accent2 5 3 2 2 2 2 3 3" xfId="37160" xr:uid="{00000000-0005-0000-0000-0000F75B0000}"/>
    <cellStyle name="40% - Accent2 5 3 2 2 2 2 4" xfId="17744" xr:uid="{00000000-0005-0000-0000-0000F85B0000}"/>
    <cellStyle name="40% - Accent2 5 3 2 2 2 2 4 2" xfId="43618" xr:uid="{00000000-0005-0000-0000-0000F95B0000}"/>
    <cellStyle name="40% - Accent2 5 3 2 2 2 2 5" xfId="30670" xr:uid="{00000000-0005-0000-0000-0000FA5B0000}"/>
    <cellStyle name="40% - Accent2 5 3 2 2 2 3" xfId="6440" xr:uid="{00000000-0005-0000-0000-0000FB5B0000}"/>
    <cellStyle name="40% - Accent2 5 3 2 2 2 3 2" xfId="12899" xr:uid="{00000000-0005-0000-0000-0000FC5B0000}"/>
    <cellStyle name="40% - Accent2 5 3 2 2 2 3 2 2" xfId="25816" xr:uid="{00000000-0005-0000-0000-0000FD5B0000}"/>
    <cellStyle name="40% - Accent2 5 3 2 2 2 3 2 2 2" xfId="51690" xr:uid="{00000000-0005-0000-0000-0000FE5B0000}"/>
    <cellStyle name="40% - Accent2 5 3 2 2 2 3 2 3" xfId="38774" xr:uid="{00000000-0005-0000-0000-0000FF5B0000}"/>
    <cellStyle name="40% - Accent2 5 3 2 2 2 3 3" xfId="19358" xr:uid="{00000000-0005-0000-0000-0000005C0000}"/>
    <cellStyle name="40% - Accent2 5 3 2 2 2 3 3 2" xfId="45232" xr:uid="{00000000-0005-0000-0000-0000015C0000}"/>
    <cellStyle name="40% - Accent2 5 3 2 2 2 3 4" xfId="32316" xr:uid="{00000000-0005-0000-0000-0000025C0000}"/>
    <cellStyle name="40% - Accent2 5 3 2 2 2 4" xfId="9671" xr:uid="{00000000-0005-0000-0000-0000035C0000}"/>
    <cellStyle name="40% - Accent2 5 3 2 2 2 4 2" xfId="22588" xr:uid="{00000000-0005-0000-0000-0000045C0000}"/>
    <cellStyle name="40% - Accent2 5 3 2 2 2 4 2 2" xfId="48462" xr:uid="{00000000-0005-0000-0000-0000055C0000}"/>
    <cellStyle name="40% - Accent2 5 3 2 2 2 4 3" xfId="35546" xr:uid="{00000000-0005-0000-0000-0000065C0000}"/>
    <cellStyle name="40% - Accent2 5 3 2 2 2 5" xfId="16130" xr:uid="{00000000-0005-0000-0000-0000075C0000}"/>
    <cellStyle name="40% - Accent2 5 3 2 2 2 5 2" xfId="42004" xr:uid="{00000000-0005-0000-0000-0000085C0000}"/>
    <cellStyle name="40% - Accent2 5 3 2 2 2 6" xfId="29056" xr:uid="{00000000-0005-0000-0000-0000095C0000}"/>
    <cellStyle name="40% - Accent2 5 3 2 2 3" xfId="3993" xr:uid="{00000000-0005-0000-0000-00000A5C0000}"/>
    <cellStyle name="40% - Accent2 5 3 2 2 3 2" xfId="7247" xr:uid="{00000000-0005-0000-0000-00000B5C0000}"/>
    <cellStyle name="40% - Accent2 5 3 2 2 3 2 2" xfId="13706" xr:uid="{00000000-0005-0000-0000-00000C5C0000}"/>
    <cellStyle name="40% - Accent2 5 3 2 2 3 2 2 2" xfId="26623" xr:uid="{00000000-0005-0000-0000-00000D5C0000}"/>
    <cellStyle name="40% - Accent2 5 3 2 2 3 2 2 2 2" xfId="52497" xr:uid="{00000000-0005-0000-0000-00000E5C0000}"/>
    <cellStyle name="40% - Accent2 5 3 2 2 3 2 2 3" xfId="39581" xr:uid="{00000000-0005-0000-0000-00000F5C0000}"/>
    <cellStyle name="40% - Accent2 5 3 2 2 3 2 3" xfId="20165" xr:uid="{00000000-0005-0000-0000-0000105C0000}"/>
    <cellStyle name="40% - Accent2 5 3 2 2 3 2 3 2" xfId="46039" xr:uid="{00000000-0005-0000-0000-0000115C0000}"/>
    <cellStyle name="40% - Accent2 5 3 2 2 3 2 4" xfId="33123" xr:uid="{00000000-0005-0000-0000-0000125C0000}"/>
    <cellStyle name="40% - Accent2 5 3 2 2 3 3" xfId="10478" xr:uid="{00000000-0005-0000-0000-0000135C0000}"/>
    <cellStyle name="40% - Accent2 5 3 2 2 3 3 2" xfId="23395" xr:uid="{00000000-0005-0000-0000-0000145C0000}"/>
    <cellStyle name="40% - Accent2 5 3 2 2 3 3 2 2" xfId="49269" xr:uid="{00000000-0005-0000-0000-0000155C0000}"/>
    <cellStyle name="40% - Accent2 5 3 2 2 3 3 3" xfId="36353" xr:uid="{00000000-0005-0000-0000-0000165C0000}"/>
    <cellStyle name="40% - Accent2 5 3 2 2 3 4" xfId="16937" xr:uid="{00000000-0005-0000-0000-0000175C0000}"/>
    <cellStyle name="40% - Accent2 5 3 2 2 3 4 2" xfId="42811" xr:uid="{00000000-0005-0000-0000-0000185C0000}"/>
    <cellStyle name="40% - Accent2 5 3 2 2 3 5" xfId="29863" xr:uid="{00000000-0005-0000-0000-0000195C0000}"/>
    <cellStyle name="40% - Accent2 5 3 2 2 4" xfId="5633" xr:uid="{00000000-0005-0000-0000-00001A5C0000}"/>
    <cellStyle name="40% - Accent2 5 3 2 2 4 2" xfId="12092" xr:uid="{00000000-0005-0000-0000-00001B5C0000}"/>
    <cellStyle name="40% - Accent2 5 3 2 2 4 2 2" xfId="25009" xr:uid="{00000000-0005-0000-0000-00001C5C0000}"/>
    <cellStyle name="40% - Accent2 5 3 2 2 4 2 2 2" xfId="50883" xr:uid="{00000000-0005-0000-0000-00001D5C0000}"/>
    <cellStyle name="40% - Accent2 5 3 2 2 4 2 3" xfId="37967" xr:uid="{00000000-0005-0000-0000-00001E5C0000}"/>
    <cellStyle name="40% - Accent2 5 3 2 2 4 3" xfId="18551" xr:uid="{00000000-0005-0000-0000-00001F5C0000}"/>
    <cellStyle name="40% - Accent2 5 3 2 2 4 3 2" xfId="44425" xr:uid="{00000000-0005-0000-0000-0000205C0000}"/>
    <cellStyle name="40% - Accent2 5 3 2 2 4 4" xfId="31509" xr:uid="{00000000-0005-0000-0000-0000215C0000}"/>
    <cellStyle name="40% - Accent2 5 3 2 2 5" xfId="8864" xr:uid="{00000000-0005-0000-0000-0000225C0000}"/>
    <cellStyle name="40% - Accent2 5 3 2 2 5 2" xfId="21781" xr:uid="{00000000-0005-0000-0000-0000235C0000}"/>
    <cellStyle name="40% - Accent2 5 3 2 2 5 2 2" xfId="47655" xr:uid="{00000000-0005-0000-0000-0000245C0000}"/>
    <cellStyle name="40% - Accent2 5 3 2 2 5 3" xfId="34739" xr:uid="{00000000-0005-0000-0000-0000255C0000}"/>
    <cellStyle name="40% - Accent2 5 3 2 2 6" xfId="15323" xr:uid="{00000000-0005-0000-0000-0000265C0000}"/>
    <cellStyle name="40% - Accent2 5 3 2 2 6 2" xfId="41197" xr:uid="{00000000-0005-0000-0000-0000275C0000}"/>
    <cellStyle name="40% - Accent2 5 3 2 2 7" xfId="28249" xr:uid="{00000000-0005-0000-0000-0000285C0000}"/>
    <cellStyle name="40% - Accent2 5 3 2 2 8" xfId="54111" xr:uid="{00000000-0005-0000-0000-0000295C0000}"/>
    <cellStyle name="40% - Accent2 5 3 2 3" xfId="2762" xr:uid="{00000000-0005-0000-0000-00002A5C0000}"/>
    <cellStyle name="40% - Accent2 5 3 2 3 2" xfId="4419" xr:uid="{00000000-0005-0000-0000-00002B5C0000}"/>
    <cellStyle name="40% - Accent2 5 3 2 3 2 2" xfId="7650" xr:uid="{00000000-0005-0000-0000-00002C5C0000}"/>
    <cellStyle name="40% - Accent2 5 3 2 3 2 2 2" xfId="14109" xr:uid="{00000000-0005-0000-0000-00002D5C0000}"/>
    <cellStyle name="40% - Accent2 5 3 2 3 2 2 2 2" xfId="27026" xr:uid="{00000000-0005-0000-0000-00002E5C0000}"/>
    <cellStyle name="40% - Accent2 5 3 2 3 2 2 2 2 2" xfId="52900" xr:uid="{00000000-0005-0000-0000-00002F5C0000}"/>
    <cellStyle name="40% - Accent2 5 3 2 3 2 2 2 3" xfId="39984" xr:uid="{00000000-0005-0000-0000-0000305C0000}"/>
    <cellStyle name="40% - Accent2 5 3 2 3 2 2 3" xfId="20568" xr:uid="{00000000-0005-0000-0000-0000315C0000}"/>
    <cellStyle name="40% - Accent2 5 3 2 3 2 2 3 2" xfId="46442" xr:uid="{00000000-0005-0000-0000-0000325C0000}"/>
    <cellStyle name="40% - Accent2 5 3 2 3 2 2 4" xfId="33526" xr:uid="{00000000-0005-0000-0000-0000335C0000}"/>
    <cellStyle name="40% - Accent2 5 3 2 3 2 3" xfId="10881" xr:uid="{00000000-0005-0000-0000-0000345C0000}"/>
    <cellStyle name="40% - Accent2 5 3 2 3 2 3 2" xfId="23798" xr:uid="{00000000-0005-0000-0000-0000355C0000}"/>
    <cellStyle name="40% - Accent2 5 3 2 3 2 3 2 2" xfId="49672" xr:uid="{00000000-0005-0000-0000-0000365C0000}"/>
    <cellStyle name="40% - Accent2 5 3 2 3 2 3 3" xfId="36756" xr:uid="{00000000-0005-0000-0000-0000375C0000}"/>
    <cellStyle name="40% - Accent2 5 3 2 3 2 4" xfId="17340" xr:uid="{00000000-0005-0000-0000-0000385C0000}"/>
    <cellStyle name="40% - Accent2 5 3 2 3 2 4 2" xfId="43214" xr:uid="{00000000-0005-0000-0000-0000395C0000}"/>
    <cellStyle name="40% - Accent2 5 3 2 3 2 5" xfId="30266" xr:uid="{00000000-0005-0000-0000-00003A5C0000}"/>
    <cellStyle name="40% - Accent2 5 3 2 3 3" xfId="6036" xr:uid="{00000000-0005-0000-0000-00003B5C0000}"/>
    <cellStyle name="40% - Accent2 5 3 2 3 3 2" xfId="12495" xr:uid="{00000000-0005-0000-0000-00003C5C0000}"/>
    <cellStyle name="40% - Accent2 5 3 2 3 3 2 2" xfId="25412" xr:uid="{00000000-0005-0000-0000-00003D5C0000}"/>
    <cellStyle name="40% - Accent2 5 3 2 3 3 2 2 2" xfId="51286" xr:uid="{00000000-0005-0000-0000-00003E5C0000}"/>
    <cellStyle name="40% - Accent2 5 3 2 3 3 2 3" xfId="38370" xr:uid="{00000000-0005-0000-0000-00003F5C0000}"/>
    <cellStyle name="40% - Accent2 5 3 2 3 3 3" xfId="18954" xr:uid="{00000000-0005-0000-0000-0000405C0000}"/>
    <cellStyle name="40% - Accent2 5 3 2 3 3 3 2" xfId="44828" xr:uid="{00000000-0005-0000-0000-0000415C0000}"/>
    <cellStyle name="40% - Accent2 5 3 2 3 3 4" xfId="31912" xr:uid="{00000000-0005-0000-0000-0000425C0000}"/>
    <cellStyle name="40% - Accent2 5 3 2 3 4" xfId="9267" xr:uid="{00000000-0005-0000-0000-0000435C0000}"/>
    <cellStyle name="40% - Accent2 5 3 2 3 4 2" xfId="22184" xr:uid="{00000000-0005-0000-0000-0000445C0000}"/>
    <cellStyle name="40% - Accent2 5 3 2 3 4 2 2" xfId="48058" xr:uid="{00000000-0005-0000-0000-0000455C0000}"/>
    <cellStyle name="40% - Accent2 5 3 2 3 4 3" xfId="35142" xr:uid="{00000000-0005-0000-0000-0000465C0000}"/>
    <cellStyle name="40% - Accent2 5 3 2 3 5" xfId="15726" xr:uid="{00000000-0005-0000-0000-0000475C0000}"/>
    <cellStyle name="40% - Accent2 5 3 2 3 5 2" xfId="41600" xr:uid="{00000000-0005-0000-0000-0000485C0000}"/>
    <cellStyle name="40% - Accent2 5 3 2 3 6" xfId="28652" xr:uid="{00000000-0005-0000-0000-0000495C0000}"/>
    <cellStyle name="40% - Accent2 5 3 2 4" xfId="3589" xr:uid="{00000000-0005-0000-0000-00004A5C0000}"/>
    <cellStyle name="40% - Accent2 5 3 2 4 2" xfId="6843" xr:uid="{00000000-0005-0000-0000-00004B5C0000}"/>
    <cellStyle name="40% - Accent2 5 3 2 4 2 2" xfId="13302" xr:uid="{00000000-0005-0000-0000-00004C5C0000}"/>
    <cellStyle name="40% - Accent2 5 3 2 4 2 2 2" xfId="26219" xr:uid="{00000000-0005-0000-0000-00004D5C0000}"/>
    <cellStyle name="40% - Accent2 5 3 2 4 2 2 2 2" xfId="52093" xr:uid="{00000000-0005-0000-0000-00004E5C0000}"/>
    <cellStyle name="40% - Accent2 5 3 2 4 2 2 3" xfId="39177" xr:uid="{00000000-0005-0000-0000-00004F5C0000}"/>
    <cellStyle name="40% - Accent2 5 3 2 4 2 3" xfId="19761" xr:uid="{00000000-0005-0000-0000-0000505C0000}"/>
    <cellStyle name="40% - Accent2 5 3 2 4 2 3 2" xfId="45635" xr:uid="{00000000-0005-0000-0000-0000515C0000}"/>
    <cellStyle name="40% - Accent2 5 3 2 4 2 4" xfId="32719" xr:uid="{00000000-0005-0000-0000-0000525C0000}"/>
    <cellStyle name="40% - Accent2 5 3 2 4 3" xfId="10074" xr:uid="{00000000-0005-0000-0000-0000535C0000}"/>
    <cellStyle name="40% - Accent2 5 3 2 4 3 2" xfId="22991" xr:uid="{00000000-0005-0000-0000-0000545C0000}"/>
    <cellStyle name="40% - Accent2 5 3 2 4 3 2 2" xfId="48865" xr:uid="{00000000-0005-0000-0000-0000555C0000}"/>
    <cellStyle name="40% - Accent2 5 3 2 4 3 3" xfId="35949" xr:uid="{00000000-0005-0000-0000-0000565C0000}"/>
    <cellStyle name="40% - Accent2 5 3 2 4 4" xfId="16533" xr:uid="{00000000-0005-0000-0000-0000575C0000}"/>
    <cellStyle name="40% - Accent2 5 3 2 4 4 2" xfId="42407" xr:uid="{00000000-0005-0000-0000-0000585C0000}"/>
    <cellStyle name="40% - Accent2 5 3 2 4 5" xfId="29459" xr:uid="{00000000-0005-0000-0000-0000595C0000}"/>
    <cellStyle name="40% - Accent2 5 3 2 5" xfId="5229" xr:uid="{00000000-0005-0000-0000-00005A5C0000}"/>
    <cellStyle name="40% - Accent2 5 3 2 5 2" xfId="11688" xr:uid="{00000000-0005-0000-0000-00005B5C0000}"/>
    <cellStyle name="40% - Accent2 5 3 2 5 2 2" xfId="24605" xr:uid="{00000000-0005-0000-0000-00005C5C0000}"/>
    <cellStyle name="40% - Accent2 5 3 2 5 2 2 2" xfId="50479" xr:uid="{00000000-0005-0000-0000-00005D5C0000}"/>
    <cellStyle name="40% - Accent2 5 3 2 5 2 3" xfId="37563" xr:uid="{00000000-0005-0000-0000-00005E5C0000}"/>
    <cellStyle name="40% - Accent2 5 3 2 5 3" xfId="18147" xr:uid="{00000000-0005-0000-0000-00005F5C0000}"/>
    <cellStyle name="40% - Accent2 5 3 2 5 3 2" xfId="44021" xr:uid="{00000000-0005-0000-0000-0000605C0000}"/>
    <cellStyle name="40% - Accent2 5 3 2 5 4" xfId="31105" xr:uid="{00000000-0005-0000-0000-0000615C0000}"/>
    <cellStyle name="40% - Accent2 5 3 2 6" xfId="8460" xr:uid="{00000000-0005-0000-0000-0000625C0000}"/>
    <cellStyle name="40% - Accent2 5 3 2 6 2" xfId="21377" xr:uid="{00000000-0005-0000-0000-0000635C0000}"/>
    <cellStyle name="40% - Accent2 5 3 2 6 2 2" xfId="47251" xr:uid="{00000000-0005-0000-0000-0000645C0000}"/>
    <cellStyle name="40% - Accent2 5 3 2 6 3" xfId="34335" xr:uid="{00000000-0005-0000-0000-0000655C0000}"/>
    <cellStyle name="40% - Accent2 5 3 2 7" xfId="14919" xr:uid="{00000000-0005-0000-0000-0000665C0000}"/>
    <cellStyle name="40% - Accent2 5 3 2 7 2" xfId="40793" xr:uid="{00000000-0005-0000-0000-0000675C0000}"/>
    <cellStyle name="40% - Accent2 5 3 2 8" xfId="27844" xr:uid="{00000000-0005-0000-0000-0000685C0000}"/>
    <cellStyle name="40% - Accent2 5 3 2 9" xfId="53707" xr:uid="{00000000-0005-0000-0000-0000695C0000}"/>
    <cellStyle name="40% - Accent2 5 3 3" xfId="2157" xr:uid="{00000000-0005-0000-0000-00006A5C0000}"/>
    <cellStyle name="40% - Accent2 5 3 3 2" xfId="2971" xr:uid="{00000000-0005-0000-0000-00006B5C0000}"/>
    <cellStyle name="40% - Accent2 5 3 3 2 2" xfId="4628" xr:uid="{00000000-0005-0000-0000-00006C5C0000}"/>
    <cellStyle name="40% - Accent2 5 3 3 2 2 2" xfId="7859" xr:uid="{00000000-0005-0000-0000-00006D5C0000}"/>
    <cellStyle name="40% - Accent2 5 3 3 2 2 2 2" xfId="14318" xr:uid="{00000000-0005-0000-0000-00006E5C0000}"/>
    <cellStyle name="40% - Accent2 5 3 3 2 2 2 2 2" xfId="27235" xr:uid="{00000000-0005-0000-0000-00006F5C0000}"/>
    <cellStyle name="40% - Accent2 5 3 3 2 2 2 2 2 2" xfId="53109" xr:uid="{00000000-0005-0000-0000-0000705C0000}"/>
    <cellStyle name="40% - Accent2 5 3 3 2 2 2 2 3" xfId="40193" xr:uid="{00000000-0005-0000-0000-0000715C0000}"/>
    <cellStyle name="40% - Accent2 5 3 3 2 2 2 3" xfId="20777" xr:uid="{00000000-0005-0000-0000-0000725C0000}"/>
    <cellStyle name="40% - Accent2 5 3 3 2 2 2 3 2" xfId="46651" xr:uid="{00000000-0005-0000-0000-0000735C0000}"/>
    <cellStyle name="40% - Accent2 5 3 3 2 2 2 4" xfId="33735" xr:uid="{00000000-0005-0000-0000-0000745C0000}"/>
    <cellStyle name="40% - Accent2 5 3 3 2 2 3" xfId="11090" xr:uid="{00000000-0005-0000-0000-0000755C0000}"/>
    <cellStyle name="40% - Accent2 5 3 3 2 2 3 2" xfId="24007" xr:uid="{00000000-0005-0000-0000-0000765C0000}"/>
    <cellStyle name="40% - Accent2 5 3 3 2 2 3 2 2" xfId="49881" xr:uid="{00000000-0005-0000-0000-0000775C0000}"/>
    <cellStyle name="40% - Accent2 5 3 3 2 2 3 3" xfId="36965" xr:uid="{00000000-0005-0000-0000-0000785C0000}"/>
    <cellStyle name="40% - Accent2 5 3 3 2 2 4" xfId="17549" xr:uid="{00000000-0005-0000-0000-0000795C0000}"/>
    <cellStyle name="40% - Accent2 5 3 3 2 2 4 2" xfId="43423" xr:uid="{00000000-0005-0000-0000-00007A5C0000}"/>
    <cellStyle name="40% - Accent2 5 3 3 2 2 5" xfId="30475" xr:uid="{00000000-0005-0000-0000-00007B5C0000}"/>
    <cellStyle name="40% - Accent2 5 3 3 2 3" xfId="6245" xr:uid="{00000000-0005-0000-0000-00007C5C0000}"/>
    <cellStyle name="40% - Accent2 5 3 3 2 3 2" xfId="12704" xr:uid="{00000000-0005-0000-0000-00007D5C0000}"/>
    <cellStyle name="40% - Accent2 5 3 3 2 3 2 2" xfId="25621" xr:uid="{00000000-0005-0000-0000-00007E5C0000}"/>
    <cellStyle name="40% - Accent2 5 3 3 2 3 2 2 2" xfId="51495" xr:uid="{00000000-0005-0000-0000-00007F5C0000}"/>
    <cellStyle name="40% - Accent2 5 3 3 2 3 2 3" xfId="38579" xr:uid="{00000000-0005-0000-0000-0000805C0000}"/>
    <cellStyle name="40% - Accent2 5 3 3 2 3 3" xfId="19163" xr:uid="{00000000-0005-0000-0000-0000815C0000}"/>
    <cellStyle name="40% - Accent2 5 3 3 2 3 3 2" xfId="45037" xr:uid="{00000000-0005-0000-0000-0000825C0000}"/>
    <cellStyle name="40% - Accent2 5 3 3 2 3 4" xfId="32121" xr:uid="{00000000-0005-0000-0000-0000835C0000}"/>
    <cellStyle name="40% - Accent2 5 3 3 2 4" xfId="9476" xr:uid="{00000000-0005-0000-0000-0000845C0000}"/>
    <cellStyle name="40% - Accent2 5 3 3 2 4 2" xfId="22393" xr:uid="{00000000-0005-0000-0000-0000855C0000}"/>
    <cellStyle name="40% - Accent2 5 3 3 2 4 2 2" xfId="48267" xr:uid="{00000000-0005-0000-0000-0000865C0000}"/>
    <cellStyle name="40% - Accent2 5 3 3 2 4 3" xfId="35351" xr:uid="{00000000-0005-0000-0000-0000875C0000}"/>
    <cellStyle name="40% - Accent2 5 3 3 2 5" xfId="15935" xr:uid="{00000000-0005-0000-0000-0000885C0000}"/>
    <cellStyle name="40% - Accent2 5 3 3 2 5 2" xfId="41809" xr:uid="{00000000-0005-0000-0000-0000895C0000}"/>
    <cellStyle name="40% - Accent2 5 3 3 2 6" xfId="28861" xr:uid="{00000000-0005-0000-0000-00008A5C0000}"/>
    <cellStyle name="40% - Accent2 5 3 3 3" xfId="3798" xr:uid="{00000000-0005-0000-0000-00008B5C0000}"/>
    <cellStyle name="40% - Accent2 5 3 3 3 2" xfId="7052" xr:uid="{00000000-0005-0000-0000-00008C5C0000}"/>
    <cellStyle name="40% - Accent2 5 3 3 3 2 2" xfId="13511" xr:uid="{00000000-0005-0000-0000-00008D5C0000}"/>
    <cellStyle name="40% - Accent2 5 3 3 3 2 2 2" xfId="26428" xr:uid="{00000000-0005-0000-0000-00008E5C0000}"/>
    <cellStyle name="40% - Accent2 5 3 3 3 2 2 2 2" xfId="52302" xr:uid="{00000000-0005-0000-0000-00008F5C0000}"/>
    <cellStyle name="40% - Accent2 5 3 3 3 2 2 3" xfId="39386" xr:uid="{00000000-0005-0000-0000-0000905C0000}"/>
    <cellStyle name="40% - Accent2 5 3 3 3 2 3" xfId="19970" xr:uid="{00000000-0005-0000-0000-0000915C0000}"/>
    <cellStyle name="40% - Accent2 5 3 3 3 2 3 2" xfId="45844" xr:uid="{00000000-0005-0000-0000-0000925C0000}"/>
    <cellStyle name="40% - Accent2 5 3 3 3 2 4" xfId="32928" xr:uid="{00000000-0005-0000-0000-0000935C0000}"/>
    <cellStyle name="40% - Accent2 5 3 3 3 3" xfId="10283" xr:uid="{00000000-0005-0000-0000-0000945C0000}"/>
    <cellStyle name="40% - Accent2 5 3 3 3 3 2" xfId="23200" xr:uid="{00000000-0005-0000-0000-0000955C0000}"/>
    <cellStyle name="40% - Accent2 5 3 3 3 3 2 2" xfId="49074" xr:uid="{00000000-0005-0000-0000-0000965C0000}"/>
    <cellStyle name="40% - Accent2 5 3 3 3 3 3" xfId="36158" xr:uid="{00000000-0005-0000-0000-0000975C0000}"/>
    <cellStyle name="40% - Accent2 5 3 3 3 4" xfId="16742" xr:uid="{00000000-0005-0000-0000-0000985C0000}"/>
    <cellStyle name="40% - Accent2 5 3 3 3 4 2" xfId="42616" xr:uid="{00000000-0005-0000-0000-0000995C0000}"/>
    <cellStyle name="40% - Accent2 5 3 3 3 5" xfId="29668" xr:uid="{00000000-0005-0000-0000-00009A5C0000}"/>
    <cellStyle name="40% - Accent2 5 3 3 4" xfId="5438" xr:uid="{00000000-0005-0000-0000-00009B5C0000}"/>
    <cellStyle name="40% - Accent2 5 3 3 4 2" xfId="11897" xr:uid="{00000000-0005-0000-0000-00009C5C0000}"/>
    <cellStyle name="40% - Accent2 5 3 3 4 2 2" xfId="24814" xr:uid="{00000000-0005-0000-0000-00009D5C0000}"/>
    <cellStyle name="40% - Accent2 5 3 3 4 2 2 2" xfId="50688" xr:uid="{00000000-0005-0000-0000-00009E5C0000}"/>
    <cellStyle name="40% - Accent2 5 3 3 4 2 3" xfId="37772" xr:uid="{00000000-0005-0000-0000-00009F5C0000}"/>
    <cellStyle name="40% - Accent2 5 3 3 4 3" xfId="18356" xr:uid="{00000000-0005-0000-0000-0000A05C0000}"/>
    <cellStyle name="40% - Accent2 5 3 3 4 3 2" xfId="44230" xr:uid="{00000000-0005-0000-0000-0000A15C0000}"/>
    <cellStyle name="40% - Accent2 5 3 3 4 4" xfId="31314" xr:uid="{00000000-0005-0000-0000-0000A25C0000}"/>
    <cellStyle name="40% - Accent2 5 3 3 5" xfId="8669" xr:uid="{00000000-0005-0000-0000-0000A35C0000}"/>
    <cellStyle name="40% - Accent2 5 3 3 5 2" xfId="21586" xr:uid="{00000000-0005-0000-0000-0000A45C0000}"/>
    <cellStyle name="40% - Accent2 5 3 3 5 2 2" xfId="47460" xr:uid="{00000000-0005-0000-0000-0000A55C0000}"/>
    <cellStyle name="40% - Accent2 5 3 3 5 3" xfId="34544" xr:uid="{00000000-0005-0000-0000-0000A65C0000}"/>
    <cellStyle name="40% - Accent2 5 3 3 6" xfId="15128" xr:uid="{00000000-0005-0000-0000-0000A75C0000}"/>
    <cellStyle name="40% - Accent2 5 3 3 6 2" xfId="41002" xr:uid="{00000000-0005-0000-0000-0000A85C0000}"/>
    <cellStyle name="40% - Accent2 5 3 3 7" xfId="28054" xr:uid="{00000000-0005-0000-0000-0000A95C0000}"/>
    <cellStyle name="40% - Accent2 5 3 3 8" xfId="53916" xr:uid="{00000000-0005-0000-0000-0000AA5C0000}"/>
    <cellStyle name="40% - Accent2 5 3 4" xfId="2568" xr:uid="{00000000-0005-0000-0000-0000AB5C0000}"/>
    <cellStyle name="40% - Accent2 5 3 4 2" xfId="4225" xr:uid="{00000000-0005-0000-0000-0000AC5C0000}"/>
    <cellStyle name="40% - Accent2 5 3 4 2 2" xfId="7456" xr:uid="{00000000-0005-0000-0000-0000AD5C0000}"/>
    <cellStyle name="40% - Accent2 5 3 4 2 2 2" xfId="13915" xr:uid="{00000000-0005-0000-0000-0000AE5C0000}"/>
    <cellStyle name="40% - Accent2 5 3 4 2 2 2 2" xfId="26832" xr:uid="{00000000-0005-0000-0000-0000AF5C0000}"/>
    <cellStyle name="40% - Accent2 5 3 4 2 2 2 2 2" xfId="52706" xr:uid="{00000000-0005-0000-0000-0000B05C0000}"/>
    <cellStyle name="40% - Accent2 5 3 4 2 2 2 3" xfId="39790" xr:uid="{00000000-0005-0000-0000-0000B15C0000}"/>
    <cellStyle name="40% - Accent2 5 3 4 2 2 3" xfId="20374" xr:uid="{00000000-0005-0000-0000-0000B25C0000}"/>
    <cellStyle name="40% - Accent2 5 3 4 2 2 3 2" xfId="46248" xr:uid="{00000000-0005-0000-0000-0000B35C0000}"/>
    <cellStyle name="40% - Accent2 5 3 4 2 2 4" xfId="33332" xr:uid="{00000000-0005-0000-0000-0000B45C0000}"/>
    <cellStyle name="40% - Accent2 5 3 4 2 3" xfId="10687" xr:uid="{00000000-0005-0000-0000-0000B55C0000}"/>
    <cellStyle name="40% - Accent2 5 3 4 2 3 2" xfId="23604" xr:uid="{00000000-0005-0000-0000-0000B65C0000}"/>
    <cellStyle name="40% - Accent2 5 3 4 2 3 2 2" xfId="49478" xr:uid="{00000000-0005-0000-0000-0000B75C0000}"/>
    <cellStyle name="40% - Accent2 5 3 4 2 3 3" xfId="36562" xr:uid="{00000000-0005-0000-0000-0000B85C0000}"/>
    <cellStyle name="40% - Accent2 5 3 4 2 4" xfId="17146" xr:uid="{00000000-0005-0000-0000-0000B95C0000}"/>
    <cellStyle name="40% - Accent2 5 3 4 2 4 2" xfId="43020" xr:uid="{00000000-0005-0000-0000-0000BA5C0000}"/>
    <cellStyle name="40% - Accent2 5 3 4 2 5" xfId="30072" xr:uid="{00000000-0005-0000-0000-0000BB5C0000}"/>
    <cellStyle name="40% - Accent2 5 3 4 3" xfId="5842" xr:uid="{00000000-0005-0000-0000-0000BC5C0000}"/>
    <cellStyle name="40% - Accent2 5 3 4 3 2" xfId="12301" xr:uid="{00000000-0005-0000-0000-0000BD5C0000}"/>
    <cellStyle name="40% - Accent2 5 3 4 3 2 2" xfId="25218" xr:uid="{00000000-0005-0000-0000-0000BE5C0000}"/>
    <cellStyle name="40% - Accent2 5 3 4 3 2 2 2" xfId="51092" xr:uid="{00000000-0005-0000-0000-0000BF5C0000}"/>
    <cellStyle name="40% - Accent2 5 3 4 3 2 3" xfId="38176" xr:uid="{00000000-0005-0000-0000-0000C05C0000}"/>
    <cellStyle name="40% - Accent2 5 3 4 3 3" xfId="18760" xr:uid="{00000000-0005-0000-0000-0000C15C0000}"/>
    <cellStyle name="40% - Accent2 5 3 4 3 3 2" xfId="44634" xr:uid="{00000000-0005-0000-0000-0000C25C0000}"/>
    <cellStyle name="40% - Accent2 5 3 4 3 4" xfId="31718" xr:uid="{00000000-0005-0000-0000-0000C35C0000}"/>
    <cellStyle name="40% - Accent2 5 3 4 4" xfId="9073" xr:uid="{00000000-0005-0000-0000-0000C45C0000}"/>
    <cellStyle name="40% - Accent2 5 3 4 4 2" xfId="21990" xr:uid="{00000000-0005-0000-0000-0000C55C0000}"/>
    <cellStyle name="40% - Accent2 5 3 4 4 2 2" xfId="47864" xr:uid="{00000000-0005-0000-0000-0000C65C0000}"/>
    <cellStyle name="40% - Accent2 5 3 4 4 3" xfId="34948" xr:uid="{00000000-0005-0000-0000-0000C75C0000}"/>
    <cellStyle name="40% - Accent2 5 3 4 5" xfId="15532" xr:uid="{00000000-0005-0000-0000-0000C85C0000}"/>
    <cellStyle name="40% - Accent2 5 3 4 5 2" xfId="41406" xr:uid="{00000000-0005-0000-0000-0000C95C0000}"/>
    <cellStyle name="40% - Accent2 5 3 4 6" xfId="28458" xr:uid="{00000000-0005-0000-0000-0000CA5C0000}"/>
    <cellStyle name="40% - Accent2 5 3 5" xfId="3393" xr:uid="{00000000-0005-0000-0000-0000CB5C0000}"/>
    <cellStyle name="40% - Accent2 5 3 5 2" xfId="6649" xr:uid="{00000000-0005-0000-0000-0000CC5C0000}"/>
    <cellStyle name="40% - Accent2 5 3 5 2 2" xfId="13108" xr:uid="{00000000-0005-0000-0000-0000CD5C0000}"/>
    <cellStyle name="40% - Accent2 5 3 5 2 2 2" xfId="26025" xr:uid="{00000000-0005-0000-0000-0000CE5C0000}"/>
    <cellStyle name="40% - Accent2 5 3 5 2 2 2 2" xfId="51899" xr:uid="{00000000-0005-0000-0000-0000CF5C0000}"/>
    <cellStyle name="40% - Accent2 5 3 5 2 2 3" xfId="38983" xr:uid="{00000000-0005-0000-0000-0000D05C0000}"/>
    <cellStyle name="40% - Accent2 5 3 5 2 3" xfId="19567" xr:uid="{00000000-0005-0000-0000-0000D15C0000}"/>
    <cellStyle name="40% - Accent2 5 3 5 2 3 2" xfId="45441" xr:uid="{00000000-0005-0000-0000-0000D25C0000}"/>
    <cellStyle name="40% - Accent2 5 3 5 2 4" xfId="32525" xr:uid="{00000000-0005-0000-0000-0000D35C0000}"/>
    <cellStyle name="40% - Accent2 5 3 5 3" xfId="9880" xr:uid="{00000000-0005-0000-0000-0000D45C0000}"/>
    <cellStyle name="40% - Accent2 5 3 5 3 2" xfId="22797" xr:uid="{00000000-0005-0000-0000-0000D55C0000}"/>
    <cellStyle name="40% - Accent2 5 3 5 3 2 2" xfId="48671" xr:uid="{00000000-0005-0000-0000-0000D65C0000}"/>
    <cellStyle name="40% - Accent2 5 3 5 3 3" xfId="35755" xr:uid="{00000000-0005-0000-0000-0000D75C0000}"/>
    <cellStyle name="40% - Accent2 5 3 5 4" xfId="16339" xr:uid="{00000000-0005-0000-0000-0000D85C0000}"/>
    <cellStyle name="40% - Accent2 5 3 5 4 2" xfId="42213" xr:uid="{00000000-0005-0000-0000-0000D95C0000}"/>
    <cellStyle name="40% - Accent2 5 3 5 5" xfId="29265" xr:uid="{00000000-0005-0000-0000-0000DA5C0000}"/>
    <cellStyle name="40% - Accent2 5 3 6" xfId="5035" xr:uid="{00000000-0005-0000-0000-0000DB5C0000}"/>
    <cellStyle name="40% - Accent2 5 3 6 2" xfId="11494" xr:uid="{00000000-0005-0000-0000-0000DC5C0000}"/>
    <cellStyle name="40% - Accent2 5 3 6 2 2" xfId="24411" xr:uid="{00000000-0005-0000-0000-0000DD5C0000}"/>
    <cellStyle name="40% - Accent2 5 3 6 2 2 2" xfId="50285" xr:uid="{00000000-0005-0000-0000-0000DE5C0000}"/>
    <cellStyle name="40% - Accent2 5 3 6 2 3" xfId="37369" xr:uid="{00000000-0005-0000-0000-0000DF5C0000}"/>
    <cellStyle name="40% - Accent2 5 3 6 3" xfId="17953" xr:uid="{00000000-0005-0000-0000-0000E05C0000}"/>
    <cellStyle name="40% - Accent2 5 3 6 3 2" xfId="43827" xr:uid="{00000000-0005-0000-0000-0000E15C0000}"/>
    <cellStyle name="40% - Accent2 5 3 6 4" xfId="30911" xr:uid="{00000000-0005-0000-0000-0000E25C0000}"/>
    <cellStyle name="40% - Accent2 5 3 7" xfId="8265" xr:uid="{00000000-0005-0000-0000-0000E35C0000}"/>
    <cellStyle name="40% - Accent2 5 3 7 2" xfId="21182" xr:uid="{00000000-0005-0000-0000-0000E45C0000}"/>
    <cellStyle name="40% - Accent2 5 3 7 2 2" xfId="47056" xr:uid="{00000000-0005-0000-0000-0000E55C0000}"/>
    <cellStyle name="40% - Accent2 5 3 7 3" xfId="34140" xr:uid="{00000000-0005-0000-0000-0000E65C0000}"/>
    <cellStyle name="40% - Accent2 5 3 8" xfId="14724" xr:uid="{00000000-0005-0000-0000-0000E75C0000}"/>
    <cellStyle name="40% - Accent2 5 3 8 2" xfId="40598" xr:uid="{00000000-0005-0000-0000-0000E85C0000}"/>
    <cellStyle name="40% - Accent2 5 3 9" xfId="27648" xr:uid="{00000000-0005-0000-0000-0000E95C0000}"/>
    <cellStyle name="40% - Accent2 5 4" xfId="689" xr:uid="{00000000-0005-0000-0000-0000EA5C0000}"/>
    <cellStyle name="40% - Accent2 5 5" xfId="1104" xr:uid="{00000000-0005-0000-0000-0000EB5C0000}"/>
    <cellStyle name="40% - Accent2 6" xfId="203" xr:uid="{00000000-0005-0000-0000-0000EC5C0000}"/>
    <cellStyle name="40% - Accent2 6 2" xfId="400" xr:uid="{00000000-0005-0000-0000-0000ED5C0000}"/>
    <cellStyle name="40% - Accent2 6 2 2" xfId="695" xr:uid="{00000000-0005-0000-0000-0000EE5C0000}"/>
    <cellStyle name="40% - Accent2 6 2 3" xfId="694" xr:uid="{00000000-0005-0000-0000-0000EF5C0000}"/>
    <cellStyle name="40% - Accent2 6 3" xfId="696" xr:uid="{00000000-0005-0000-0000-0000F05C0000}"/>
    <cellStyle name="40% - Accent2 6 4" xfId="693" xr:uid="{00000000-0005-0000-0000-0000F15C0000}"/>
    <cellStyle name="40% - Accent2 6 5" xfId="1105" xr:uid="{00000000-0005-0000-0000-0000F25C0000}"/>
    <cellStyle name="40% - Accent2 7" xfId="483" xr:uid="{00000000-0005-0000-0000-0000F35C0000}"/>
    <cellStyle name="40% - Accent2 7 2" xfId="698" xr:uid="{00000000-0005-0000-0000-0000F45C0000}"/>
    <cellStyle name="40% - Accent2 7 2 2" xfId="1107" xr:uid="{00000000-0005-0000-0000-0000F55C0000}"/>
    <cellStyle name="40% - Accent2 7 3" xfId="697" xr:uid="{00000000-0005-0000-0000-0000F65C0000}"/>
    <cellStyle name="40% - Accent2 7 3 10" xfId="27592" xr:uid="{00000000-0005-0000-0000-0000F75C0000}"/>
    <cellStyle name="40% - Accent2 7 3 11" xfId="53458" xr:uid="{00000000-0005-0000-0000-0000F85C0000}"/>
    <cellStyle name="40% - Accent2 7 3 12" xfId="1108" xr:uid="{00000000-0005-0000-0000-0000F95C0000}"/>
    <cellStyle name="40% - Accent2 7 3 2" xfId="1733" xr:uid="{00000000-0005-0000-0000-0000FA5C0000}"/>
    <cellStyle name="40% - Accent2 7 3 2 10" xfId="53591" xr:uid="{00000000-0005-0000-0000-0000FB5C0000}"/>
    <cellStyle name="40% - Accent2 7 3 2 2" xfId="2000" xr:uid="{00000000-0005-0000-0000-0000FC5C0000}"/>
    <cellStyle name="40% - Accent2 7 3 2 2 2" xfId="2431" xr:uid="{00000000-0005-0000-0000-0000FD5C0000}"/>
    <cellStyle name="40% - Accent2 7 3 2 2 2 2" xfId="3244" xr:uid="{00000000-0005-0000-0000-0000FE5C0000}"/>
    <cellStyle name="40% - Accent2 7 3 2 2 2 2 2" xfId="4901" xr:uid="{00000000-0005-0000-0000-0000FF5C0000}"/>
    <cellStyle name="40% - Accent2 7 3 2 2 2 2 2 2" xfId="8132" xr:uid="{00000000-0005-0000-0000-0000005D0000}"/>
    <cellStyle name="40% - Accent2 7 3 2 2 2 2 2 2 2" xfId="14591" xr:uid="{00000000-0005-0000-0000-0000015D0000}"/>
    <cellStyle name="40% - Accent2 7 3 2 2 2 2 2 2 2 2" xfId="27508" xr:uid="{00000000-0005-0000-0000-0000025D0000}"/>
    <cellStyle name="40% - Accent2 7 3 2 2 2 2 2 2 2 2 2" xfId="53382" xr:uid="{00000000-0005-0000-0000-0000035D0000}"/>
    <cellStyle name="40% - Accent2 7 3 2 2 2 2 2 2 2 3" xfId="40466" xr:uid="{00000000-0005-0000-0000-0000045D0000}"/>
    <cellStyle name="40% - Accent2 7 3 2 2 2 2 2 2 3" xfId="21050" xr:uid="{00000000-0005-0000-0000-0000055D0000}"/>
    <cellStyle name="40% - Accent2 7 3 2 2 2 2 2 2 3 2" xfId="46924" xr:uid="{00000000-0005-0000-0000-0000065D0000}"/>
    <cellStyle name="40% - Accent2 7 3 2 2 2 2 2 2 4" xfId="34008" xr:uid="{00000000-0005-0000-0000-0000075D0000}"/>
    <cellStyle name="40% - Accent2 7 3 2 2 2 2 2 3" xfId="11363" xr:uid="{00000000-0005-0000-0000-0000085D0000}"/>
    <cellStyle name="40% - Accent2 7 3 2 2 2 2 2 3 2" xfId="24280" xr:uid="{00000000-0005-0000-0000-0000095D0000}"/>
    <cellStyle name="40% - Accent2 7 3 2 2 2 2 2 3 2 2" xfId="50154" xr:uid="{00000000-0005-0000-0000-00000A5D0000}"/>
    <cellStyle name="40% - Accent2 7 3 2 2 2 2 2 3 3" xfId="37238" xr:uid="{00000000-0005-0000-0000-00000B5D0000}"/>
    <cellStyle name="40% - Accent2 7 3 2 2 2 2 2 4" xfId="17822" xr:uid="{00000000-0005-0000-0000-00000C5D0000}"/>
    <cellStyle name="40% - Accent2 7 3 2 2 2 2 2 4 2" xfId="43696" xr:uid="{00000000-0005-0000-0000-00000D5D0000}"/>
    <cellStyle name="40% - Accent2 7 3 2 2 2 2 2 5" xfId="30748" xr:uid="{00000000-0005-0000-0000-00000E5D0000}"/>
    <cellStyle name="40% - Accent2 7 3 2 2 2 2 3" xfId="6518" xr:uid="{00000000-0005-0000-0000-00000F5D0000}"/>
    <cellStyle name="40% - Accent2 7 3 2 2 2 2 3 2" xfId="12977" xr:uid="{00000000-0005-0000-0000-0000105D0000}"/>
    <cellStyle name="40% - Accent2 7 3 2 2 2 2 3 2 2" xfId="25894" xr:uid="{00000000-0005-0000-0000-0000115D0000}"/>
    <cellStyle name="40% - Accent2 7 3 2 2 2 2 3 2 2 2" xfId="51768" xr:uid="{00000000-0005-0000-0000-0000125D0000}"/>
    <cellStyle name="40% - Accent2 7 3 2 2 2 2 3 2 3" xfId="38852" xr:uid="{00000000-0005-0000-0000-0000135D0000}"/>
    <cellStyle name="40% - Accent2 7 3 2 2 2 2 3 3" xfId="19436" xr:uid="{00000000-0005-0000-0000-0000145D0000}"/>
    <cellStyle name="40% - Accent2 7 3 2 2 2 2 3 3 2" xfId="45310" xr:uid="{00000000-0005-0000-0000-0000155D0000}"/>
    <cellStyle name="40% - Accent2 7 3 2 2 2 2 3 4" xfId="32394" xr:uid="{00000000-0005-0000-0000-0000165D0000}"/>
    <cellStyle name="40% - Accent2 7 3 2 2 2 2 4" xfId="9749" xr:uid="{00000000-0005-0000-0000-0000175D0000}"/>
    <cellStyle name="40% - Accent2 7 3 2 2 2 2 4 2" xfId="22666" xr:uid="{00000000-0005-0000-0000-0000185D0000}"/>
    <cellStyle name="40% - Accent2 7 3 2 2 2 2 4 2 2" xfId="48540" xr:uid="{00000000-0005-0000-0000-0000195D0000}"/>
    <cellStyle name="40% - Accent2 7 3 2 2 2 2 4 3" xfId="35624" xr:uid="{00000000-0005-0000-0000-00001A5D0000}"/>
    <cellStyle name="40% - Accent2 7 3 2 2 2 2 5" xfId="16208" xr:uid="{00000000-0005-0000-0000-00001B5D0000}"/>
    <cellStyle name="40% - Accent2 7 3 2 2 2 2 5 2" xfId="42082" xr:uid="{00000000-0005-0000-0000-00001C5D0000}"/>
    <cellStyle name="40% - Accent2 7 3 2 2 2 2 6" xfId="29134" xr:uid="{00000000-0005-0000-0000-00001D5D0000}"/>
    <cellStyle name="40% - Accent2 7 3 2 2 2 3" xfId="4071" xr:uid="{00000000-0005-0000-0000-00001E5D0000}"/>
    <cellStyle name="40% - Accent2 7 3 2 2 2 3 2" xfId="7325" xr:uid="{00000000-0005-0000-0000-00001F5D0000}"/>
    <cellStyle name="40% - Accent2 7 3 2 2 2 3 2 2" xfId="13784" xr:uid="{00000000-0005-0000-0000-0000205D0000}"/>
    <cellStyle name="40% - Accent2 7 3 2 2 2 3 2 2 2" xfId="26701" xr:uid="{00000000-0005-0000-0000-0000215D0000}"/>
    <cellStyle name="40% - Accent2 7 3 2 2 2 3 2 2 2 2" xfId="52575" xr:uid="{00000000-0005-0000-0000-0000225D0000}"/>
    <cellStyle name="40% - Accent2 7 3 2 2 2 3 2 2 3" xfId="39659" xr:uid="{00000000-0005-0000-0000-0000235D0000}"/>
    <cellStyle name="40% - Accent2 7 3 2 2 2 3 2 3" xfId="20243" xr:uid="{00000000-0005-0000-0000-0000245D0000}"/>
    <cellStyle name="40% - Accent2 7 3 2 2 2 3 2 3 2" xfId="46117" xr:uid="{00000000-0005-0000-0000-0000255D0000}"/>
    <cellStyle name="40% - Accent2 7 3 2 2 2 3 2 4" xfId="33201" xr:uid="{00000000-0005-0000-0000-0000265D0000}"/>
    <cellStyle name="40% - Accent2 7 3 2 2 2 3 3" xfId="10556" xr:uid="{00000000-0005-0000-0000-0000275D0000}"/>
    <cellStyle name="40% - Accent2 7 3 2 2 2 3 3 2" xfId="23473" xr:uid="{00000000-0005-0000-0000-0000285D0000}"/>
    <cellStyle name="40% - Accent2 7 3 2 2 2 3 3 2 2" xfId="49347" xr:uid="{00000000-0005-0000-0000-0000295D0000}"/>
    <cellStyle name="40% - Accent2 7 3 2 2 2 3 3 3" xfId="36431" xr:uid="{00000000-0005-0000-0000-00002A5D0000}"/>
    <cellStyle name="40% - Accent2 7 3 2 2 2 3 4" xfId="17015" xr:uid="{00000000-0005-0000-0000-00002B5D0000}"/>
    <cellStyle name="40% - Accent2 7 3 2 2 2 3 4 2" xfId="42889" xr:uid="{00000000-0005-0000-0000-00002C5D0000}"/>
    <cellStyle name="40% - Accent2 7 3 2 2 2 3 5" xfId="29941" xr:uid="{00000000-0005-0000-0000-00002D5D0000}"/>
    <cellStyle name="40% - Accent2 7 3 2 2 2 4" xfId="5711" xr:uid="{00000000-0005-0000-0000-00002E5D0000}"/>
    <cellStyle name="40% - Accent2 7 3 2 2 2 4 2" xfId="12170" xr:uid="{00000000-0005-0000-0000-00002F5D0000}"/>
    <cellStyle name="40% - Accent2 7 3 2 2 2 4 2 2" xfId="25087" xr:uid="{00000000-0005-0000-0000-0000305D0000}"/>
    <cellStyle name="40% - Accent2 7 3 2 2 2 4 2 2 2" xfId="50961" xr:uid="{00000000-0005-0000-0000-0000315D0000}"/>
    <cellStyle name="40% - Accent2 7 3 2 2 2 4 2 3" xfId="38045" xr:uid="{00000000-0005-0000-0000-0000325D0000}"/>
    <cellStyle name="40% - Accent2 7 3 2 2 2 4 3" xfId="18629" xr:uid="{00000000-0005-0000-0000-0000335D0000}"/>
    <cellStyle name="40% - Accent2 7 3 2 2 2 4 3 2" xfId="44503" xr:uid="{00000000-0005-0000-0000-0000345D0000}"/>
    <cellStyle name="40% - Accent2 7 3 2 2 2 4 4" xfId="31587" xr:uid="{00000000-0005-0000-0000-0000355D0000}"/>
    <cellStyle name="40% - Accent2 7 3 2 2 2 5" xfId="8942" xr:uid="{00000000-0005-0000-0000-0000365D0000}"/>
    <cellStyle name="40% - Accent2 7 3 2 2 2 5 2" xfId="21859" xr:uid="{00000000-0005-0000-0000-0000375D0000}"/>
    <cellStyle name="40% - Accent2 7 3 2 2 2 5 2 2" xfId="47733" xr:uid="{00000000-0005-0000-0000-0000385D0000}"/>
    <cellStyle name="40% - Accent2 7 3 2 2 2 5 3" xfId="34817" xr:uid="{00000000-0005-0000-0000-0000395D0000}"/>
    <cellStyle name="40% - Accent2 7 3 2 2 2 6" xfId="15401" xr:uid="{00000000-0005-0000-0000-00003A5D0000}"/>
    <cellStyle name="40% - Accent2 7 3 2 2 2 6 2" xfId="41275" xr:uid="{00000000-0005-0000-0000-00003B5D0000}"/>
    <cellStyle name="40% - Accent2 7 3 2 2 2 7" xfId="28327" xr:uid="{00000000-0005-0000-0000-00003C5D0000}"/>
    <cellStyle name="40% - Accent2 7 3 2 2 2 8" xfId="54189" xr:uid="{00000000-0005-0000-0000-00003D5D0000}"/>
    <cellStyle name="40% - Accent2 7 3 2 2 3" xfId="2840" xr:uid="{00000000-0005-0000-0000-00003E5D0000}"/>
    <cellStyle name="40% - Accent2 7 3 2 2 3 2" xfId="4497" xr:uid="{00000000-0005-0000-0000-00003F5D0000}"/>
    <cellStyle name="40% - Accent2 7 3 2 2 3 2 2" xfId="7728" xr:uid="{00000000-0005-0000-0000-0000405D0000}"/>
    <cellStyle name="40% - Accent2 7 3 2 2 3 2 2 2" xfId="14187" xr:uid="{00000000-0005-0000-0000-0000415D0000}"/>
    <cellStyle name="40% - Accent2 7 3 2 2 3 2 2 2 2" xfId="27104" xr:uid="{00000000-0005-0000-0000-0000425D0000}"/>
    <cellStyle name="40% - Accent2 7 3 2 2 3 2 2 2 2 2" xfId="52978" xr:uid="{00000000-0005-0000-0000-0000435D0000}"/>
    <cellStyle name="40% - Accent2 7 3 2 2 3 2 2 2 3" xfId="40062" xr:uid="{00000000-0005-0000-0000-0000445D0000}"/>
    <cellStyle name="40% - Accent2 7 3 2 2 3 2 2 3" xfId="20646" xr:uid="{00000000-0005-0000-0000-0000455D0000}"/>
    <cellStyle name="40% - Accent2 7 3 2 2 3 2 2 3 2" xfId="46520" xr:uid="{00000000-0005-0000-0000-0000465D0000}"/>
    <cellStyle name="40% - Accent2 7 3 2 2 3 2 2 4" xfId="33604" xr:uid="{00000000-0005-0000-0000-0000475D0000}"/>
    <cellStyle name="40% - Accent2 7 3 2 2 3 2 3" xfId="10959" xr:uid="{00000000-0005-0000-0000-0000485D0000}"/>
    <cellStyle name="40% - Accent2 7 3 2 2 3 2 3 2" xfId="23876" xr:uid="{00000000-0005-0000-0000-0000495D0000}"/>
    <cellStyle name="40% - Accent2 7 3 2 2 3 2 3 2 2" xfId="49750" xr:uid="{00000000-0005-0000-0000-00004A5D0000}"/>
    <cellStyle name="40% - Accent2 7 3 2 2 3 2 3 3" xfId="36834" xr:uid="{00000000-0005-0000-0000-00004B5D0000}"/>
    <cellStyle name="40% - Accent2 7 3 2 2 3 2 4" xfId="17418" xr:uid="{00000000-0005-0000-0000-00004C5D0000}"/>
    <cellStyle name="40% - Accent2 7 3 2 2 3 2 4 2" xfId="43292" xr:uid="{00000000-0005-0000-0000-00004D5D0000}"/>
    <cellStyle name="40% - Accent2 7 3 2 2 3 2 5" xfId="30344" xr:uid="{00000000-0005-0000-0000-00004E5D0000}"/>
    <cellStyle name="40% - Accent2 7 3 2 2 3 3" xfId="6114" xr:uid="{00000000-0005-0000-0000-00004F5D0000}"/>
    <cellStyle name="40% - Accent2 7 3 2 2 3 3 2" xfId="12573" xr:uid="{00000000-0005-0000-0000-0000505D0000}"/>
    <cellStyle name="40% - Accent2 7 3 2 2 3 3 2 2" xfId="25490" xr:uid="{00000000-0005-0000-0000-0000515D0000}"/>
    <cellStyle name="40% - Accent2 7 3 2 2 3 3 2 2 2" xfId="51364" xr:uid="{00000000-0005-0000-0000-0000525D0000}"/>
    <cellStyle name="40% - Accent2 7 3 2 2 3 3 2 3" xfId="38448" xr:uid="{00000000-0005-0000-0000-0000535D0000}"/>
    <cellStyle name="40% - Accent2 7 3 2 2 3 3 3" xfId="19032" xr:uid="{00000000-0005-0000-0000-0000545D0000}"/>
    <cellStyle name="40% - Accent2 7 3 2 2 3 3 3 2" xfId="44906" xr:uid="{00000000-0005-0000-0000-0000555D0000}"/>
    <cellStyle name="40% - Accent2 7 3 2 2 3 3 4" xfId="31990" xr:uid="{00000000-0005-0000-0000-0000565D0000}"/>
    <cellStyle name="40% - Accent2 7 3 2 2 3 4" xfId="9345" xr:uid="{00000000-0005-0000-0000-0000575D0000}"/>
    <cellStyle name="40% - Accent2 7 3 2 2 3 4 2" xfId="22262" xr:uid="{00000000-0005-0000-0000-0000585D0000}"/>
    <cellStyle name="40% - Accent2 7 3 2 2 3 4 2 2" xfId="48136" xr:uid="{00000000-0005-0000-0000-0000595D0000}"/>
    <cellStyle name="40% - Accent2 7 3 2 2 3 4 3" xfId="35220" xr:uid="{00000000-0005-0000-0000-00005A5D0000}"/>
    <cellStyle name="40% - Accent2 7 3 2 2 3 5" xfId="15804" xr:uid="{00000000-0005-0000-0000-00005B5D0000}"/>
    <cellStyle name="40% - Accent2 7 3 2 2 3 5 2" xfId="41678" xr:uid="{00000000-0005-0000-0000-00005C5D0000}"/>
    <cellStyle name="40% - Accent2 7 3 2 2 3 6" xfId="28730" xr:uid="{00000000-0005-0000-0000-00005D5D0000}"/>
    <cellStyle name="40% - Accent2 7 3 2 2 4" xfId="3667" xr:uid="{00000000-0005-0000-0000-00005E5D0000}"/>
    <cellStyle name="40% - Accent2 7 3 2 2 4 2" xfId="6921" xr:uid="{00000000-0005-0000-0000-00005F5D0000}"/>
    <cellStyle name="40% - Accent2 7 3 2 2 4 2 2" xfId="13380" xr:uid="{00000000-0005-0000-0000-0000605D0000}"/>
    <cellStyle name="40% - Accent2 7 3 2 2 4 2 2 2" xfId="26297" xr:uid="{00000000-0005-0000-0000-0000615D0000}"/>
    <cellStyle name="40% - Accent2 7 3 2 2 4 2 2 2 2" xfId="52171" xr:uid="{00000000-0005-0000-0000-0000625D0000}"/>
    <cellStyle name="40% - Accent2 7 3 2 2 4 2 2 3" xfId="39255" xr:uid="{00000000-0005-0000-0000-0000635D0000}"/>
    <cellStyle name="40% - Accent2 7 3 2 2 4 2 3" xfId="19839" xr:uid="{00000000-0005-0000-0000-0000645D0000}"/>
    <cellStyle name="40% - Accent2 7 3 2 2 4 2 3 2" xfId="45713" xr:uid="{00000000-0005-0000-0000-0000655D0000}"/>
    <cellStyle name="40% - Accent2 7 3 2 2 4 2 4" xfId="32797" xr:uid="{00000000-0005-0000-0000-0000665D0000}"/>
    <cellStyle name="40% - Accent2 7 3 2 2 4 3" xfId="10152" xr:uid="{00000000-0005-0000-0000-0000675D0000}"/>
    <cellStyle name="40% - Accent2 7 3 2 2 4 3 2" xfId="23069" xr:uid="{00000000-0005-0000-0000-0000685D0000}"/>
    <cellStyle name="40% - Accent2 7 3 2 2 4 3 2 2" xfId="48943" xr:uid="{00000000-0005-0000-0000-0000695D0000}"/>
    <cellStyle name="40% - Accent2 7 3 2 2 4 3 3" xfId="36027" xr:uid="{00000000-0005-0000-0000-00006A5D0000}"/>
    <cellStyle name="40% - Accent2 7 3 2 2 4 4" xfId="16611" xr:uid="{00000000-0005-0000-0000-00006B5D0000}"/>
    <cellStyle name="40% - Accent2 7 3 2 2 4 4 2" xfId="42485" xr:uid="{00000000-0005-0000-0000-00006C5D0000}"/>
    <cellStyle name="40% - Accent2 7 3 2 2 4 5" xfId="29537" xr:uid="{00000000-0005-0000-0000-00006D5D0000}"/>
    <cellStyle name="40% - Accent2 7 3 2 2 5" xfId="5307" xr:uid="{00000000-0005-0000-0000-00006E5D0000}"/>
    <cellStyle name="40% - Accent2 7 3 2 2 5 2" xfId="11766" xr:uid="{00000000-0005-0000-0000-00006F5D0000}"/>
    <cellStyle name="40% - Accent2 7 3 2 2 5 2 2" xfId="24683" xr:uid="{00000000-0005-0000-0000-0000705D0000}"/>
    <cellStyle name="40% - Accent2 7 3 2 2 5 2 2 2" xfId="50557" xr:uid="{00000000-0005-0000-0000-0000715D0000}"/>
    <cellStyle name="40% - Accent2 7 3 2 2 5 2 3" xfId="37641" xr:uid="{00000000-0005-0000-0000-0000725D0000}"/>
    <cellStyle name="40% - Accent2 7 3 2 2 5 3" xfId="18225" xr:uid="{00000000-0005-0000-0000-0000735D0000}"/>
    <cellStyle name="40% - Accent2 7 3 2 2 5 3 2" xfId="44099" xr:uid="{00000000-0005-0000-0000-0000745D0000}"/>
    <cellStyle name="40% - Accent2 7 3 2 2 5 4" xfId="31183" xr:uid="{00000000-0005-0000-0000-0000755D0000}"/>
    <cellStyle name="40% - Accent2 7 3 2 2 6" xfId="8538" xr:uid="{00000000-0005-0000-0000-0000765D0000}"/>
    <cellStyle name="40% - Accent2 7 3 2 2 6 2" xfId="21455" xr:uid="{00000000-0005-0000-0000-0000775D0000}"/>
    <cellStyle name="40% - Accent2 7 3 2 2 6 2 2" xfId="47329" xr:uid="{00000000-0005-0000-0000-0000785D0000}"/>
    <cellStyle name="40% - Accent2 7 3 2 2 6 3" xfId="34413" xr:uid="{00000000-0005-0000-0000-0000795D0000}"/>
    <cellStyle name="40% - Accent2 7 3 2 2 7" xfId="14997" xr:uid="{00000000-0005-0000-0000-00007A5D0000}"/>
    <cellStyle name="40% - Accent2 7 3 2 2 7 2" xfId="40871" xr:uid="{00000000-0005-0000-0000-00007B5D0000}"/>
    <cellStyle name="40% - Accent2 7 3 2 2 8" xfId="27922" xr:uid="{00000000-0005-0000-0000-00007C5D0000}"/>
    <cellStyle name="40% - Accent2 7 3 2 2 9" xfId="53785" xr:uid="{00000000-0005-0000-0000-00007D5D0000}"/>
    <cellStyle name="40% - Accent2 7 3 2 3" xfId="2235" xr:uid="{00000000-0005-0000-0000-00007E5D0000}"/>
    <cellStyle name="40% - Accent2 7 3 2 3 2" xfId="3049" xr:uid="{00000000-0005-0000-0000-00007F5D0000}"/>
    <cellStyle name="40% - Accent2 7 3 2 3 2 2" xfId="4706" xr:uid="{00000000-0005-0000-0000-0000805D0000}"/>
    <cellStyle name="40% - Accent2 7 3 2 3 2 2 2" xfId="7937" xr:uid="{00000000-0005-0000-0000-0000815D0000}"/>
    <cellStyle name="40% - Accent2 7 3 2 3 2 2 2 2" xfId="14396" xr:uid="{00000000-0005-0000-0000-0000825D0000}"/>
    <cellStyle name="40% - Accent2 7 3 2 3 2 2 2 2 2" xfId="27313" xr:uid="{00000000-0005-0000-0000-0000835D0000}"/>
    <cellStyle name="40% - Accent2 7 3 2 3 2 2 2 2 2 2" xfId="53187" xr:uid="{00000000-0005-0000-0000-0000845D0000}"/>
    <cellStyle name="40% - Accent2 7 3 2 3 2 2 2 2 3" xfId="40271" xr:uid="{00000000-0005-0000-0000-0000855D0000}"/>
    <cellStyle name="40% - Accent2 7 3 2 3 2 2 2 3" xfId="20855" xr:uid="{00000000-0005-0000-0000-0000865D0000}"/>
    <cellStyle name="40% - Accent2 7 3 2 3 2 2 2 3 2" xfId="46729" xr:uid="{00000000-0005-0000-0000-0000875D0000}"/>
    <cellStyle name="40% - Accent2 7 3 2 3 2 2 2 4" xfId="33813" xr:uid="{00000000-0005-0000-0000-0000885D0000}"/>
    <cellStyle name="40% - Accent2 7 3 2 3 2 2 3" xfId="11168" xr:uid="{00000000-0005-0000-0000-0000895D0000}"/>
    <cellStyle name="40% - Accent2 7 3 2 3 2 2 3 2" xfId="24085" xr:uid="{00000000-0005-0000-0000-00008A5D0000}"/>
    <cellStyle name="40% - Accent2 7 3 2 3 2 2 3 2 2" xfId="49959" xr:uid="{00000000-0005-0000-0000-00008B5D0000}"/>
    <cellStyle name="40% - Accent2 7 3 2 3 2 2 3 3" xfId="37043" xr:uid="{00000000-0005-0000-0000-00008C5D0000}"/>
    <cellStyle name="40% - Accent2 7 3 2 3 2 2 4" xfId="17627" xr:uid="{00000000-0005-0000-0000-00008D5D0000}"/>
    <cellStyle name="40% - Accent2 7 3 2 3 2 2 4 2" xfId="43501" xr:uid="{00000000-0005-0000-0000-00008E5D0000}"/>
    <cellStyle name="40% - Accent2 7 3 2 3 2 2 5" xfId="30553" xr:uid="{00000000-0005-0000-0000-00008F5D0000}"/>
    <cellStyle name="40% - Accent2 7 3 2 3 2 3" xfId="6323" xr:uid="{00000000-0005-0000-0000-0000905D0000}"/>
    <cellStyle name="40% - Accent2 7 3 2 3 2 3 2" xfId="12782" xr:uid="{00000000-0005-0000-0000-0000915D0000}"/>
    <cellStyle name="40% - Accent2 7 3 2 3 2 3 2 2" xfId="25699" xr:uid="{00000000-0005-0000-0000-0000925D0000}"/>
    <cellStyle name="40% - Accent2 7 3 2 3 2 3 2 2 2" xfId="51573" xr:uid="{00000000-0005-0000-0000-0000935D0000}"/>
    <cellStyle name="40% - Accent2 7 3 2 3 2 3 2 3" xfId="38657" xr:uid="{00000000-0005-0000-0000-0000945D0000}"/>
    <cellStyle name="40% - Accent2 7 3 2 3 2 3 3" xfId="19241" xr:uid="{00000000-0005-0000-0000-0000955D0000}"/>
    <cellStyle name="40% - Accent2 7 3 2 3 2 3 3 2" xfId="45115" xr:uid="{00000000-0005-0000-0000-0000965D0000}"/>
    <cellStyle name="40% - Accent2 7 3 2 3 2 3 4" xfId="32199" xr:uid="{00000000-0005-0000-0000-0000975D0000}"/>
    <cellStyle name="40% - Accent2 7 3 2 3 2 4" xfId="9554" xr:uid="{00000000-0005-0000-0000-0000985D0000}"/>
    <cellStyle name="40% - Accent2 7 3 2 3 2 4 2" xfId="22471" xr:uid="{00000000-0005-0000-0000-0000995D0000}"/>
    <cellStyle name="40% - Accent2 7 3 2 3 2 4 2 2" xfId="48345" xr:uid="{00000000-0005-0000-0000-00009A5D0000}"/>
    <cellStyle name="40% - Accent2 7 3 2 3 2 4 3" xfId="35429" xr:uid="{00000000-0005-0000-0000-00009B5D0000}"/>
    <cellStyle name="40% - Accent2 7 3 2 3 2 5" xfId="16013" xr:uid="{00000000-0005-0000-0000-00009C5D0000}"/>
    <cellStyle name="40% - Accent2 7 3 2 3 2 5 2" xfId="41887" xr:uid="{00000000-0005-0000-0000-00009D5D0000}"/>
    <cellStyle name="40% - Accent2 7 3 2 3 2 6" xfId="28939" xr:uid="{00000000-0005-0000-0000-00009E5D0000}"/>
    <cellStyle name="40% - Accent2 7 3 2 3 3" xfId="3876" xr:uid="{00000000-0005-0000-0000-00009F5D0000}"/>
    <cellStyle name="40% - Accent2 7 3 2 3 3 2" xfId="7130" xr:uid="{00000000-0005-0000-0000-0000A05D0000}"/>
    <cellStyle name="40% - Accent2 7 3 2 3 3 2 2" xfId="13589" xr:uid="{00000000-0005-0000-0000-0000A15D0000}"/>
    <cellStyle name="40% - Accent2 7 3 2 3 3 2 2 2" xfId="26506" xr:uid="{00000000-0005-0000-0000-0000A25D0000}"/>
    <cellStyle name="40% - Accent2 7 3 2 3 3 2 2 2 2" xfId="52380" xr:uid="{00000000-0005-0000-0000-0000A35D0000}"/>
    <cellStyle name="40% - Accent2 7 3 2 3 3 2 2 3" xfId="39464" xr:uid="{00000000-0005-0000-0000-0000A45D0000}"/>
    <cellStyle name="40% - Accent2 7 3 2 3 3 2 3" xfId="20048" xr:uid="{00000000-0005-0000-0000-0000A55D0000}"/>
    <cellStyle name="40% - Accent2 7 3 2 3 3 2 3 2" xfId="45922" xr:uid="{00000000-0005-0000-0000-0000A65D0000}"/>
    <cellStyle name="40% - Accent2 7 3 2 3 3 2 4" xfId="33006" xr:uid="{00000000-0005-0000-0000-0000A75D0000}"/>
    <cellStyle name="40% - Accent2 7 3 2 3 3 3" xfId="10361" xr:uid="{00000000-0005-0000-0000-0000A85D0000}"/>
    <cellStyle name="40% - Accent2 7 3 2 3 3 3 2" xfId="23278" xr:uid="{00000000-0005-0000-0000-0000A95D0000}"/>
    <cellStyle name="40% - Accent2 7 3 2 3 3 3 2 2" xfId="49152" xr:uid="{00000000-0005-0000-0000-0000AA5D0000}"/>
    <cellStyle name="40% - Accent2 7 3 2 3 3 3 3" xfId="36236" xr:uid="{00000000-0005-0000-0000-0000AB5D0000}"/>
    <cellStyle name="40% - Accent2 7 3 2 3 3 4" xfId="16820" xr:uid="{00000000-0005-0000-0000-0000AC5D0000}"/>
    <cellStyle name="40% - Accent2 7 3 2 3 3 4 2" xfId="42694" xr:uid="{00000000-0005-0000-0000-0000AD5D0000}"/>
    <cellStyle name="40% - Accent2 7 3 2 3 3 5" xfId="29746" xr:uid="{00000000-0005-0000-0000-0000AE5D0000}"/>
    <cellStyle name="40% - Accent2 7 3 2 3 4" xfId="5516" xr:uid="{00000000-0005-0000-0000-0000AF5D0000}"/>
    <cellStyle name="40% - Accent2 7 3 2 3 4 2" xfId="11975" xr:uid="{00000000-0005-0000-0000-0000B05D0000}"/>
    <cellStyle name="40% - Accent2 7 3 2 3 4 2 2" xfId="24892" xr:uid="{00000000-0005-0000-0000-0000B15D0000}"/>
    <cellStyle name="40% - Accent2 7 3 2 3 4 2 2 2" xfId="50766" xr:uid="{00000000-0005-0000-0000-0000B25D0000}"/>
    <cellStyle name="40% - Accent2 7 3 2 3 4 2 3" xfId="37850" xr:uid="{00000000-0005-0000-0000-0000B35D0000}"/>
    <cellStyle name="40% - Accent2 7 3 2 3 4 3" xfId="18434" xr:uid="{00000000-0005-0000-0000-0000B45D0000}"/>
    <cellStyle name="40% - Accent2 7 3 2 3 4 3 2" xfId="44308" xr:uid="{00000000-0005-0000-0000-0000B55D0000}"/>
    <cellStyle name="40% - Accent2 7 3 2 3 4 4" xfId="31392" xr:uid="{00000000-0005-0000-0000-0000B65D0000}"/>
    <cellStyle name="40% - Accent2 7 3 2 3 5" xfId="8747" xr:uid="{00000000-0005-0000-0000-0000B75D0000}"/>
    <cellStyle name="40% - Accent2 7 3 2 3 5 2" xfId="21664" xr:uid="{00000000-0005-0000-0000-0000B85D0000}"/>
    <cellStyle name="40% - Accent2 7 3 2 3 5 2 2" xfId="47538" xr:uid="{00000000-0005-0000-0000-0000B95D0000}"/>
    <cellStyle name="40% - Accent2 7 3 2 3 5 3" xfId="34622" xr:uid="{00000000-0005-0000-0000-0000BA5D0000}"/>
    <cellStyle name="40% - Accent2 7 3 2 3 6" xfId="15206" xr:uid="{00000000-0005-0000-0000-0000BB5D0000}"/>
    <cellStyle name="40% - Accent2 7 3 2 3 6 2" xfId="41080" xr:uid="{00000000-0005-0000-0000-0000BC5D0000}"/>
    <cellStyle name="40% - Accent2 7 3 2 3 7" xfId="28132" xr:uid="{00000000-0005-0000-0000-0000BD5D0000}"/>
    <cellStyle name="40% - Accent2 7 3 2 3 8" xfId="53994" xr:uid="{00000000-0005-0000-0000-0000BE5D0000}"/>
    <cellStyle name="40% - Accent2 7 3 2 4" xfId="2646" xr:uid="{00000000-0005-0000-0000-0000BF5D0000}"/>
    <cellStyle name="40% - Accent2 7 3 2 4 2" xfId="4303" xr:uid="{00000000-0005-0000-0000-0000C05D0000}"/>
    <cellStyle name="40% - Accent2 7 3 2 4 2 2" xfId="7534" xr:uid="{00000000-0005-0000-0000-0000C15D0000}"/>
    <cellStyle name="40% - Accent2 7 3 2 4 2 2 2" xfId="13993" xr:uid="{00000000-0005-0000-0000-0000C25D0000}"/>
    <cellStyle name="40% - Accent2 7 3 2 4 2 2 2 2" xfId="26910" xr:uid="{00000000-0005-0000-0000-0000C35D0000}"/>
    <cellStyle name="40% - Accent2 7 3 2 4 2 2 2 2 2" xfId="52784" xr:uid="{00000000-0005-0000-0000-0000C45D0000}"/>
    <cellStyle name="40% - Accent2 7 3 2 4 2 2 2 3" xfId="39868" xr:uid="{00000000-0005-0000-0000-0000C55D0000}"/>
    <cellStyle name="40% - Accent2 7 3 2 4 2 2 3" xfId="20452" xr:uid="{00000000-0005-0000-0000-0000C65D0000}"/>
    <cellStyle name="40% - Accent2 7 3 2 4 2 2 3 2" xfId="46326" xr:uid="{00000000-0005-0000-0000-0000C75D0000}"/>
    <cellStyle name="40% - Accent2 7 3 2 4 2 2 4" xfId="33410" xr:uid="{00000000-0005-0000-0000-0000C85D0000}"/>
    <cellStyle name="40% - Accent2 7 3 2 4 2 3" xfId="10765" xr:uid="{00000000-0005-0000-0000-0000C95D0000}"/>
    <cellStyle name="40% - Accent2 7 3 2 4 2 3 2" xfId="23682" xr:uid="{00000000-0005-0000-0000-0000CA5D0000}"/>
    <cellStyle name="40% - Accent2 7 3 2 4 2 3 2 2" xfId="49556" xr:uid="{00000000-0005-0000-0000-0000CB5D0000}"/>
    <cellStyle name="40% - Accent2 7 3 2 4 2 3 3" xfId="36640" xr:uid="{00000000-0005-0000-0000-0000CC5D0000}"/>
    <cellStyle name="40% - Accent2 7 3 2 4 2 4" xfId="17224" xr:uid="{00000000-0005-0000-0000-0000CD5D0000}"/>
    <cellStyle name="40% - Accent2 7 3 2 4 2 4 2" xfId="43098" xr:uid="{00000000-0005-0000-0000-0000CE5D0000}"/>
    <cellStyle name="40% - Accent2 7 3 2 4 2 5" xfId="30150" xr:uid="{00000000-0005-0000-0000-0000CF5D0000}"/>
    <cellStyle name="40% - Accent2 7 3 2 4 3" xfId="5920" xr:uid="{00000000-0005-0000-0000-0000D05D0000}"/>
    <cellStyle name="40% - Accent2 7 3 2 4 3 2" xfId="12379" xr:uid="{00000000-0005-0000-0000-0000D15D0000}"/>
    <cellStyle name="40% - Accent2 7 3 2 4 3 2 2" xfId="25296" xr:uid="{00000000-0005-0000-0000-0000D25D0000}"/>
    <cellStyle name="40% - Accent2 7 3 2 4 3 2 2 2" xfId="51170" xr:uid="{00000000-0005-0000-0000-0000D35D0000}"/>
    <cellStyle name="40% - Accent2 7 3 2 4 3 2 3" xfId="38254" xr:uid="{00000000-0005-0000-0000-0000D45D0000}"/>
    <cellStyle name="40% - Accent2 7 3 2 4 3 3" xfId="18838" xr:uid="{00000000-0005-0000-0000-0000D55D0000}"/>
    <cellStyle name="40% - Accent2 7 3 2 4 3 3 2" xfId="44712" xr:uid="{00000000-0005-0000-0000-0000D65D0000}"/>
    <cellStyle name="40% - Accent2 7 3 2 4 3 4" xfId="31796" xr:uid="{00000000-0005-0000-0000-0000D75D0000}"/>
    <cellStyle name="40% - Accent2 7 3 2 4 4" xfId="9151" xr:uid="{00000000-0005-0000-0000-0000D85D0000}"/>
    <cellStyle name="40% - Accent2 7 3 2 4 4 2" xfId="22068" xr:uid="{00000000-0005-0000-0000-0000D95D0000}"/>
    <cellStyle name="40% - Accent2 7 3 2 4 4 2 2" xfId="47942" xr:uid="{00000000-0005-0000-0000-0000DA5D0000}"/>
    <cellStyle name="40% - Accent2 7 3 2 4 4 3" xfId="35026" xr:uid="{00000000-0005-0000-0000-0000DB5D0000}"/>
    <cellStyle name="40% - Accent2 7 3 2 4 5" xfId="15610" xr:uid="{00000000-0005-0000-0000-0000DC5D0000}"/>
    <cellStyle name="40% - Accent2 7 3 2 4 5 2" xfId="41484" xr:uid="{00000000-0005-0000-0000-0000DD5D0000}"/>
    <cellStyle name="40% - Accent2 7 3 2 4 6" xfId="28536" xr:uid="{00000000-0005-0000-0000-0000DE5D0000}"/>
    <cellStyle name="40% - Accent2 7 3 2 5" xfId="3473" xr:uid="{00000000-0005-0000-0000-0000DF5D0000}"/>
    <cellStyle name="40% - Accent2 7 3 2 5 2" xfId="6727" xr:uid="{00000000-0005-0000-0000-0000E05D0000}"/>
    <cellStyle name="40% - Accent2 7 3 2 5 2 2" xfId="13186" xr:uid="{00000000-0005-0000-0000-0000E15D0000}"/>
    <cellStyle name="40% - Accent2 7 3 2 5 2 2 2" xfId="26103" xr:uid="{00000000-0005-0000-0000-0000E25D0000}"/>
    <cellStyle name="40% - Accent2 7 3 2 5 2 2 2 2" xfId="51977" xr:uid="{00000000-0005-0000-0000-0000E35D0000}"/>
    <cellStyle name="40% - Accent2 7 3 2 5 2 2 3" xfId="39061" xr:uid="{00000000-0005-0000-0000-0000E45D0000}"/>
    <cellStyle name="40% - Accent2 7 3 2 5 2 3" xfId="19645" xr:uid="{00000000-0005-0000-0000-0000E55D0000}"/>
    <cellStyle name="40% - Accent2 7 3 2 5 2 3 2" xfId="45519" xr:uid="{00000000-0005-0000-0000-0000E65D0000}"/>
    <cellStyle name="40% - Accent2 7 3 2 5 2 4" xfId="32603" xr:uid="{00000000-0005-0000-0000-0000E75D0000}"/>
    <cellStyle name="40% - Accent2 7 3 2 5 3" xfId="9958" xr:uid="{00000000-0005-0000-0000-0000E85D0000}"/>
    <cellStyle name="40% - Accent2 7 3 2 5 3 2" xfId="22875" xr:uid="{00000000-0005-0000-0000-0000E95D0000}"/>
    <cellStyle name="40% - Accent2 7 3 2 5 3 2 2" xfId="48749" xr:uid="{00000000-0005-0000-0000-0000EA5D0000}"/>
    <cellStyle name="40% - Accent2 7 3 2 5 3 3" xfId="35833" xr:uid="{00000000-0005-0000-0000-0000EB5D0000}"/>
    <cellStyle name="40% - Accent2 7 3 2 5 4" xfId="16417" xr:uid="{00000000-0005-0000-0000-0000EC5D0000}"/>
    <cellStyle name="40% - Accent2 7 3 2 5 4 2" xfId="42291" xr:uid="{00000000-0005-0000-0000-0000ED5D0000}"/>
    <cellStyle name="40% - Accent2 7 3 2 5 5" xfId="29343" xr:uid="{00000000-0005-0000-0000-0000EE5D0000}"/>
    <cellStyle name="40% - Accent2 7 3 2 6" xfId="5113" xr:uid="{00000000-0005-0000-0000-0000EF5D0000}"/>
    <cellStyle name="40% - Accent2 7 3 2 6 2" xfId="11572" xr:uid="{00000000-0005-0000-0000-0000F05D0000}"/>
    <cellStyle name="40% - Accent2 7 3 2 6 2 2" xfId="24489" xr:uid="{00000000-0005-0000-0000-0000F15D0000}"/>
    <cellStyle name="40% - Accent2 7 3 2 6 2 2 2" xfId="50363" xr:uid="{00000000-0005-0000-0000-0000F25D0000}"/>
    <cellStyle name="40% - Accent2 7 3 2 6 2 3" xfId="37447" xr:uid="{00000000-0005-0000-0000-0000F35D0000}"/>
    <cellStyle name="40% - Accent2 7 3 2 6 3" xfId="18031" xr:uid="{00000000-0005-0000-0000-0000F45D0000}"/>
    <cellStyle name="40% - Accent2 7 3 2 6 3 2" xfId="43905" xr:uid="{00000000-0005-0000-0000-0000F55D0000}"/>
    <cellStyle name="40% - Accent2 7 3 2 6 4" xfId="30989" xr:uid="{00000000-0005-0000-0000-0000F65D0000}"/>
    <cellStyle name="40% - Accent2 7 3 2 7" xfId="8343" xr:uid="{00000000-0005-0000-0000-0000F75D0000}"/>
    <cellStyle name="40% - Accent2 7 3 2 7 2" xfId="21260" xr:uid="{00000000-0005-0000-0000-0000F85D0000}"/>
    <cellStyle name="40% - Accent2 7 3 2 7 2 2" xfId="47134" xr:uid="{00000000-0005-0000-0000-0000F95D0000}"/>
    <cellStyle name="40% - Accent2 7 3 2 7 3" xfId="34218" xr:uid="{00000000-0005-0000-0000-0000FA5D0000}"/>
    <cellStyle name="40% - Accent2 7 3 2 8" xfId="14802" xr:uid="{00000000-0005-0000-0000-0000FB5D0000}"/>
    <cellStyle name="40% - Accent2 7 3 2 8 2" xfId="40676" xr:uid="{00000000-0005-0000-0000-0000FC5D0000}"/>
    <cellStyle name="40% - Accent2 7 3 2 9" xfId="27728" xr:uid="{00000000-0005-0000-0000-0000FD5D0000}"/>
    <cellStyle name="40% - Accent2 7 3 3" xfId="1855" xr:uid="{00000000-0005-0000-0000-0000FE5D0000}"/>
    <cellStyle name="40% - Accent2 7 3 3 2" xfId="2297" xr:uid="{00000000-0005-0000-0000-0000FF5D0000}"/>
    <cellStyle name="40% - Accent2 7 3 3 2 2" xfId="3111" xr:uid="{00000000-0005-0000-0000-0000005E0000}"/>
    <cellStyle name="40% - Accent2 7 3 3 2 2 2" xfId="4768" xr:uid="{00000000-0005-0000-0000-0000015E0000}"/>
    <cellStyle name="40% - Accent2 7 3 3 2 2 2 2" xfId="7999" xr:uid="{00000000-0005-0000-0000-0000025E0000}"/>
    <cellStyle name="40% - Accent2 7 3 3 2 2 2 2 2" xfId="14458" xr:uid="{00000000-0005-0000-0000-0000035E0000}"/>
    <cellStyle name="40% - Accent2 7 3 3 2 2 2 2 2 2" xfId="27375" xr:uid="{00000000-0005-0000-0000-0000045E0000}"/>
    <cellStyle name="40% - Accent2 7 3 3 2 2 2 2 2 2 2" xfId="53249" xr:uid="{00000000-0005-0000-0000-0000055E0000}"/>
    <cellStyle name="40% - Accent2 7 3 3 2 2 2 2 2 3" xfId="40333" xr:uid="{00000000-0005-0000-0000-0000065E0000}"/>
    <cellStyle name="40% - Accent2 7 3 3 2 2 2 2 3" xfId="20917" xr:uid="{00000000-0005-0000-0000-0000075E0000}"/>
    <cellStyle name="40% - Accent2 7 3 3 2 2 2 2 3 2" xfId="46791" xr:uid="{00000000-0005-0000-0000-0000085E0000}"/>
    <cellStyle name="40% - Accent2 7 3 3 2 2 2 2 4" xfId="33875" xr:uid="{00000000-0005-0000-0000-0000095E0000}"/>
    <cellStyle name="40% - Accent2 7 3 3 2 2 2 3" xfId="11230" xr:uid="{00000000-0005-0000-0000-00000A5E0000}"/>
    <cellStyle name="40% - Accent2 7 3 3 2 2 2 3 2" xfId="24147" xr:uid="{00000000-0005-0000-0000-00000B5E0000}"/>
    <cellStyle name="40% - Accent2 7 3 3 2 2 2 3 2 2" xfId="50021" xr:uid="{00000000-0005-0000-0000-00000C5E0000}"/>
    <cellStyle name="40% - Accent2 7 3 3 2 2 2 3 3" xfId="37105" xr:uid="{00000000-0005-0000-0000-00000D5E0000}"/>
    <cellStyle name="40% - Accent2 7 3 3 2 2 2 4" xfId="17689" xr:uid="{00000000-0005-0000-0000-00000E5E0000}"/>
    <cellStyle name="40% - Accent2 7 3 3 2 2 2 4 2" xfId="43563" xr:uid="{00000000-0005-0000-0000-00000F5E0000}"/>
    <cellStyle name="40% - Accent2 7 3 3 2 2 2 5" xfId="30615" xr:uid="{00000000-0005-0000-0000-0000105E0000}"/>
    <cellStyle name="40% - Accent2 7 3 3 2 2 3" xfId="6385" xr:uid="{00000000-0005-0000-0000-0000115E0000}"/>
    <cellStyle name="40% - Accent2 7 3 3 2 2 3 2" xfId="12844" xr:uid="{00000000-0005-0000-0000-0000125E0000}"/>
    <cellStyle name="40% - Accent2 7 3 3 2 2 3 2 2" xfId="25761" xr:uid="{00000000-0005-0000-0000-0000135E0000}"/>
    <cellStyle name="40% - Accent2 7 3 3 2 2 3 2 2 2" xfId="51635" xr:uid="{00000000-0005-0000-0000-0000145E0000}"/>
    <cellStyle name="40% - Accent2 7 3 3 2 2 3 2 3" xfId="38719" xr:uid="{00000000-0005-0000-0000-0000155E0000}"/>
    <cellStyle name="40% - Accent2 7 3 3 2 2 3 3" xfId="19303" xr:uid="{00000000-0005-0000-0000-0000165E0000}"/>
    <cellStyle name="40% - Accent2 7 3 3 2 2 3 3 2" xfId="45177" xr:uid="{00000000-0005-0000-0000-0000175E0000}"/>
    <cellStyle name="40% - Accent2 7 3 3 2 2 3 4" xfId="32261" xr:uid="{00000000-0005-0000-0000-0000185E0000}"/>
    <cellStyle name="40% - Accent2 7 3 3 2 2 4" xfId="9616" xr:uid="{00000000-0005-0000-0000-0000195E0000}"/>
    <cellStyle name="40% - Accent2 7 3 3 2 2 4 2" xfId="22533" xr:uid="{00000000-0005-0000-0000-00001A5E0000}"/>
    <cellStyle name="40% - Accent2 7 3 3 2 2 4 2 2" xfId="48407" xr:uid="{00000000-0005-0000-0000-00001B5E0000}"/>
    <cellStyle name="40% - Accent2 7 3 3 2 2 4 3" xfId="35491" xr:uid="{00000000-0005-0000-0000-00001C5E0000}"/>
    <cellStyle name="40% - Accent2 7 3 3 2 2 5" xfId="16075" xr:uid="{00000000-0005-0000-0000-00001D5E0000}"/>
    <cellStyle name="40% - Accent2 7 3 3 2 2 5 2" xfId="41949" xr:uid="{00000000-0005-0000-0000-00001E5E0000}"/>
    <cellStyle name="40% - Accent2 7 3 3 2 2 6" xfId="29001" xr:uid="{00000000-0005-0000-0000-00001F5E0000}"/>
    <cellStyle name="40% - Accent2 7 3 3 2 3" xfId="3938" xr:uid="{00000000-0005-0000-0000-0000205E0000}"/>
    <cellStyle name="40% - Accent2 7 3 3 2 3 2" xfId="7192" xr:uid="{00000000-0005-0000-0000-0000215E0000}"/>
    <cellStyle name="40% - Accent2 7 3 3 2 3 2 2" xfId="13651" xr:uid="{00000000-0005-0000-0000-0000225E0000}"/>
    <cellStyle name="40% - Accent2 7 3 3 2 3 2 2 2" xfId="26568" xr:uid="{00000000-0005-0000-0000-0000235E0000}"/>
    <cellStyle name="40% - Accent2 7 3 3 2 3 2 2 2 2" xfId="52442" xr:uid="{00000000-0005-0000-0000-0000245E0000}"/>
    <cellStyle name="40% - Accent2 7 3 3 2 3 2 2 3" xfId="39526" xr:uid="{00000000-0005-0000-0000-0000255E0000}"/>
    <cellStyle name="40% - Accent2 7 3 3 2 3 2 3" xfId="20110" xr:uid="{00000000-0005-0000-0000-0000265E0000}"/>
    <cellStyle name="40% - Accent2 7 3 3 2 3 2 3 2" xfId="45984" xr:uid="{00000000-0005-0000-0000-0000275E0000}"/>
    <cellStyle name="40% - Accent2 7 3 3 2 3 2 4" xfId="33068" xr:uid="{00000000-0005-0000-0000-0000285E0000}"/>
    <cellStyle name="40% - Accent2 7 3 3 2 3 3" xfId="10423" xr:uid="{00000000-0005-0000-0000-0000295E0000}"/>
    <cellStyle name="40% - Accent2 7 3 3 2 3 3 2" xfId="23340" xr:uid="{00000000-0005-0000-0000-00002A5E0000}"/>
    <cellStyle name="40% - Accent2 7 3 3 2 3 3 2 2" xfId="49214" xr:uid="{00000000-0005-0000-0000-00002B5E0000}"/>
    <cellStyle name="40% - Accent2 7 3 3 2 3 3 3" xfId="36298" xr:uid="{00000000-0005-0000-0000-00002C5E0000}"/>
    <cellStyle name="40% - Accent2 7 3 3 2 3 4" xfId="16882" xr:uid="{00000000-0005-0000-0000-00002D5E0000}"/>
    <cellStyle name="40% - Accent2 7 3 3 2 3 4 2" xfId="42756" xr:uid="{00000000-0005-0000-0000-00002E5E0000}"/>
    <cellStyle name="40% - Accent2 7 3 3 2 3 5" xfId="29808" xr:uid="{00000000-0005-0000-0000-00002F5E0000}"/>
    <cellStyle name="40% - Accent2 7 3 3 2 4" xfId="5578" xr:uid="{00000000-0005-0000-0000-0000305E0000}"/>
    <cellStyle name="40% - Accent2 7 3 3 2 4 2" xfId="12037" xr:uid="{00000000-0005-0000-0000-0000315E0000}"/>
    <cellStyle name="40% - Accent2 7 3 3 2 4 2 2" xfId="24954" xr:uid="{00000000-0005-0000-0000-0000325E0000}"/>
    <cellStyle name="40% - Accent2 7 3 3 2 4 2 2 2" xfId="50828" xr:uid="{00000000-0005-0000-0000-0000335E0000}"/>
    <cellStyle name="40% - Accent2 7 3 3 2 4 2 3" xfId="37912" xr:uid="{00000000-0005-0000-0000-0000345E0000}"/>
    <cellStyle name="40% - Accent2 7 3 3 2 4 3" xfId="18496" xr:uid="{00000000-0005-0000-0000-0000355E0000}"/>
    <cellStyle name="40% - Accent2 7 3 3 2 4 3 2" xfId="44370" xr:uid="{00000000-0005-0000-0000-0000365E0000}"/>
    <cellStyle name="40% - Accent2 7 3 3 2 4 4" xfId="31454" xr:uid="{00000000-0005-0000-0000-0000375E0000}"/>
    <cellStyle name="40% - Accent2 7 3 3 2 5" xfId="8809" xr:uid="{00000000-0005-0000-0000-0000385E0000}"/>
    <cellStyle name="40% - Accent2 7 3 3 2 5 2" xfId="21726" xr:uid="{00000000-0005-0000-0000-0000395E0000}"/>
    <cellStyle name="40% - Accent2 7 3 3 2 5 2 2" xfId="47600" xr:uid="{00000000-0005-0000-0000-00003A5E0000}"/>
    <cellStyle name="40% - Accent2 7 3 3 2 5 3" xfId="34684" xr:uid="{00000000-0005-0000-0000-00003B5E0000}"/>
    <cellStyle name="40% - Accent2 7 3 3 2 6" xfId="15268" xr:uid="{00000000-0005-0000-0000-00003C5E0000}"/>
    <cellStyle name="40% - Accent2 7 3 3 2 6 2" xfId="41142" xr:uid="{00000000-0005-0000-0000-00003D5E0000}"/>
    <cellStyle name="40% - Accent2 7 3 3 2 7" xfId="28194" xr:uid="{00000000-0005-0000-0000-00003E5E0000}"/>
    <cellStyle name="40% - Accent2 7 3 3 2 8" xfId="54056" xr:uid="{00000000-0005-0000-0000-00003F5E0000}"/>
    <cellStyle name="40% - Accent2 7 3 3 3" xfId="2708" xr:uid="{00000000-0005-0000-0000-0000405E0000}"/>
    <cellStyle name="40% - Accent2 7 3 3 3 2" xfId="4365" xr:uid="{00000000-0005-0000-0000-0000415E0000}"/>
    <cellStyle name="40% - Accent2 7 3 3 3 2 2" xfId="7596" xr:uid="{00000000-0005-0000-0000-0000425E0000}"/>
    <cellStyle name="40% - Accent2 7 3 3 3 2 2 2" xfId="14055" xr:uid="{00000000-0005-0000-0000-0000435E0000}"/>
    <cellStyle name="40% - Accent2 7 3 3 3 2 2 2 2" xfId="26972" xr:uid="{00000000-0005-0000-0000-0000445E0000}"/>
    <cellStyle name="40% - Accent2 7 3 3 3 2 2 2 2 2" xfId="52846" xr:uid="{00000000-0005-0000-0000-0000455E0000}"/>
    <cellStyle name="40% - Accent2 7 3 3 3 2 2 2 3" xfId="39930" xr:uid="{00000000-0005-0000-0000-0000465E0000}"/>
    <cellStyle name="40% - Accent2 7 3 3 3 2 2 3" xfId="20514" xr:uid="{00000000-0005-0000-0000-0000475E0000}"/>
    <cellStyle name="40% - Accent2 7 3 3 3 2 2 3 2" xfId="46388" xr:uid="{00000000-0005-0000-0000-0000485E0000}"/>
    <cellStyle name="40% - Accent2 7 3 3 3 2 2 4" xfId="33472" xr:uid="{00000000-0005-0000-0000-0000495E0000}"/>
    <cellStyle name="40% - Accent2 7 3 3 3 2 3" xfId="10827" xr:uid="{00000000-0005-0000-0000-00004A5E0000}"/>
    <cellStyle name="40% - Accent2 7 3 3 3 2 3 2" xfId="23744" xr:uid="{00000000-0005-0000-0000-00004B5E0000}"/>
    <cellStyle name="40% - Accent2 7 3 3 3 2 3 2 2" xfId="49618" xr:uid="{00000000-0005-0000-0000-00004C5E0000}"/>
    <cellStyle name="40% - Accent2 7 3 3 3 2 3 3" xfId="36702" xr:uid="{00000000-0005-0000-0000-00004D5E0000}"/>
    <cellStyle name="40% - Accent2 7 3 3 3 2 4" xfId="17286" xr:uid="{00000000-0005-0000-0000-00004E5E0000}"/>
    <cellStyle name="40% - Accent2 7 3 3 3 2 4 2" xfId="43160" xr:uid="{00000000-0005-0000-0000-00004F5E0000}"/>
    <cellStyle name="40% - Accent2 7 3 3 3 2 5" xfId="30212" xr:uid="{00000000-0005-0000-0000-0000505E0000}"/>
    <cellStyle name="40% - Accent2 7 3 3 3 3" xfId="5982" xr:uid="{00000000-0005-0000-0000-0000515E0000}"/>
    <cellStyle name="40% - Accent2 7 3 3 3 3 2" xfId="12441" xr:uid="{00000000-0005-0000-0000-0000525E0000}"/>
    <cellStyle name="40% - Accent2 7 3 3 3 3 2 2" xfId="25358" xr:uid="{00000000-0005-0000-0000-0000535E0000}"/>
    <cellStyle name="40% - Accent2 7 3 3 3 3 2 2 2" xfId="51232" xr:uid="{00000000-0005-0000-0000-0000545E0000}"/>
    <cellStyle name="40% - Accent2 7 3 3 3 3 2 3" xfId="38316" xr:uid="{00000000-0005-0000-0000-0000555E0000}"/>
    <cellStyle name="40% - Accent2 7 3 3 3 3 3" xfId="18900" xr:uid="{00000000-0005-0000-0000-0000565E0000}"/>
    <cellStyle name="40% - Accent2 7 3 3 3 3 3 2" xfId="44774" xr:uid="{00000000-0005-0000-0000-0000575E0000}"/>
    <cellStyle name="40% - Accent2 7 3 3 3 3 4" xfId="31858" xr:uid="{00000000-0005-0000-0000-0000585E0000}"/>
    <cellStyle name="40% - Accent2 7 3 3 3 4" xfId="9213" xr:uid="{00000000-0005-0000-0000-0000595E0000}"/>
    <cellStyle name="40% - Accent2 7 3 3 3 4 2" xfId="22130" xr:uid="{00000000-0005-0000-0000-00005A5E0000}"/>
    <cellStyle name="40% - Accent2 7 3 3 3 4 2 2" xfId="48004" xr:uid="{00000000-0005-0000-0000-00005B5E0000}"/>
    <cellStyle name="40% - Accent2 7 3 3 3 4 3" xfId="35088" xr:uid="{00000000-0005-0000-0000-00005C5E0000}"/>
    <cellStyle name="40% - Accent2 7 3 3 3 5" xfId="15672" xr:uid="{00000000-0005-0000-0000-00005D5E0000}"/>
    <cellStyle name="40% - Accent2 7 3 3 3 5 2" xfId="41546" xr:uid="{00000000-0005-0000-0000-00005E5E0000}"/>
    <cellStyle name="40% - Accent2 7 3 3 3 6" xfId="28598" xr:uid="{00000000-0005-0000-0000-00005F5E0000}"/>
    <cellStyle name="40% - Accent2 7 3 3 4" xfId="3535" xr:uid="{00000000-0005-0000-0000-0000605E0000}"/>
    <cellStyle name="40% - Accent2 7 3 3 4 2" xfId="6789" xr:uid="{00000000-0005-0000-0000-0000615E0000}"/>
    <cellStyle name="40% - Accent2 7 3 3 4 2 2" xfId="13248" xr:uid="{00000000-0005-0000-0000-0000625E0000}"/>
    <cellStyle name="40% - Accent2 7 3 3 4 2 2 2" xfId="26165" xr:uid="{00000000-0005-0000-0000-0000635E0000}"/>
    <cellStyle name="40% - Accent2 7 3 3 4 2 2 2 2" xfId="52039" xr:uid="{00000000-0005-0000-0000-0000645E0000}"/>
    <cellStyle name="40% - Accent2 7 3 3 4 2 2 3" xfId="39123" xr:uid="{00000000-0005-0000-0000-0000655E0000}"/>
    <cellStyle name="40% - Accent2 7 3 3 4 2 3" xfId="19707" xr:uid="{00000000-0005-0000-0000-0000665E0000}"/>
    <cellStyle name="40% - Accent2 7 3 3 4 2 3 2" xfId="45581" xr:uid="{00000000-0005-0000-0000-0000675E0000}"/>
    <cellStyle name="40% - Accent2 7 3 3 4 2 4" xfId="32665" xr:uid="{00000000-0005-0000-0000-0000685E0000}"/>
    <cellStyle name="40% - Accent2 7 3 3 4 3" xfId="10020" xr:uid="{00000000-0005-0000-0000-0000695E0000}"/>
    <cellStyle name="40% - Accent2 7 3 3 4 3 2" xfId="22937" xr:uid="{00000000-0005-0000-0000-00006A5E0000}"/>
    <cellStyle name="40% - Accent2 7 3 3 4 3 2 2" xfId="48811" xr:uid="{00000000-0005-0000-0000-00006B5E0000}"/>
    <cellStyle name="40% - Accent2 7 3 3 4 3 3" xfId="35895" xr:uid="{00000000-0005-0000-0000-00006C5E0000}"/>
    <cellStyle name="40% - Accent2 7 3 3 4 4" xfId="16479" xr:uid="{00000000-0005-0000-0000-00006D5E0000}"/>
    <cellStyle name="40% - Accent2 7 3 3 4 4 2" xfId="42353" xr:uid="{00000000-0005-0000-0000-00006E5E0000}"/>
    <cellStyle name="40% - Accent2 7 3 3 4 5" xfId="29405" xr:uid="{00000000-0005-0000-0000-00006F5E0000}"/>
    <cellStyle name="40% - Accent2 7 3 3 5" xfId="5175" xr:uid="{00000000-0005-0000-0000-0000705E0000}"/>
    <cellStyle name="40% - Accent2 7 3 3 5 2" xfId="11634" xr:uid="{00000000-0005-0000-0000-0000715E0000}"/>
    <cellStyle name="40% - Accent2 7 3 3 5 2 2" xfId="24551" xr:uid="{00000000-0005-0000-0000-0000725E0000}"/>
    <cellStyle name="40% - Accent2 7 3 3 5 2 2 2" xfId="50425" xr:uid="{00000000-0005-0000-0000-0000735E0000}"/>
    <cellStyle name="40% - Accent2 7 3 3 5 2 3" xfId="37509" xr:uid="{00000000-0005-0000-0000-0000745E0000}"/>
    <cellStyle name="40% - Accent2 7 3 3 5 3" xfId="18093" xr:uid="{00000000-0005-0000-0000-0000755E0000}"/>
    <cellStyle name="40% - Accent2 7 3 3 5 3 2" xfId="43967" xr:uid="{00000000-0005-0000-0000-0000765E0000}"/>
    <cellStyle name="40% - Accent2 7 3 3 5 4" xfId="31051" xr:uid="{00000000-0005-0000-0000-0000775E0000}"/>
    <cellStyle name="40% - Accent2 7 3 3 6" xfId="8405" xr:uid="{00000000-0005-0000-0000-0000785E0000}"/>
    <cellStyle name="40% - Accent2 7 3 3 6 2" xfId="21322" xr:uid="{00000000-0005-0000-0000-0000795E0000}"/>
    <cellStyle name="40% - Accent2 7 3 3 6 2 2" xfId="47196" xr:uid="{00000000-0005-0000-0000-00007A5E0000}"/>
    <cellStyle name="40% - Accent2 7 3 3 6 3" xfId="34280" xr:uid="{00000000-0005-0000-0000-00007B5E0000}"/>
    <cellStyle name="40% - Accent2 7 3 3 7" xfId="14864" xr:uid="{00000000-0005-0000-0000-00007C5E0000}"/>
    <cellStyle name="40% - Accent2 7 3 3 7 2" xfId="40738" xr:uid="{00000000-0005-0000-0000-00007D5E0000}"/>
    <cellStyle name="40% - Accent2 7 3 3 8" xfId="27790" xr:uid="{00000000-0005-0000-0000-00007E5E0000}"/>
    <cellStyle name="40% - Accent2 7 3 3 9" xfId="53653" xr:uid="{00000000-0005-0000-0000-00007F5E0000}"/>
    <cellStyle name="40% - Accent2 7 3 4" xfId="2099" xr:uid="{00000000-0005-0000-0000-0000805E0000}"/>
    <cellStyle name="40% - Accent2 7 3 4 2" xfId="2915" xr:uid="{00000000-0005-0000-0000-0000815E0000}"/>
    <cellStyle name="40% - Accent2 7 3 4 2 2" xfId="4572" xr:uid="{00000000-0005-0000-0000-0000825E0000}"/>
    <cellStyle name="40% - Accent2 7 3 4 2 2 2" xfId="7803" xr:uid="{00000000-0005-0000-0000-0000835E0000}"/>
    <cellStyle name="40% - Accent2 7 3 4 2 2 2 2" xfId="14262" xr:uid="{00000000-0005-0000-0000-0000845E0000}"/>
    <cellStyle name="40% - Accent2 7 3 4 2 2 2 2 2" xfId="27179" xr:uid="{00000000-0005-0000-0000-0000855E0000}"/>
    <cellStyle name="40% - Accent2 7 3 4 2 2 2 2 2 2" xfId="53053" xr:uid="{00000000-0005-0000-0000-0000865E0000}"/>
    <cellStyle name="40% - Accent2 7 3 4 2 2 2 2 3" xfId="40137" xr:uid="{00000000-0005-0000-0000-0000875E0000}"/>
    <cellStyle name="40% - Accent2 7 3 4 2 2 2 3" xfId="20721" xr:uid="{00000000-0005-0000-0000-0000885E0000}"/>
    <cellStyle name="40% - Accent2 7 3 4 2 2 2 3 2" xfId="46595" xr:uid="{00000000-0005-0000-0000-0000895E0000}"/>
    <cellStyle name="40% - Accent2 7 3 4 2 2 2 4" xfId="33679" xr:uid="{00000000-0005-0000-0000-00008A5E0000}"/>
    <cellStyle name="40% - Accent2 7 3 4 2 2 3" xfId="11034" xr:uid="{00000000-0005-0000-0000-00008B5E0000}"/>
    <cellStyle name="40% - Accent2 7 3 4 2 2 3 2" xfId="23951" xr:uid="{00000000-0005-0000-0000-00008C5E0000}"/>
    <cellStyle name="40% - Accent2 7 3 4 2 2 3 2 2" xfId="49825" xr:uid="{00000000-0005-0000-0000-00008D5E0000}"/>
    <cellStyle name="40% - Accent2 7 3 4 2 2 3 3" xfId="36909" xr:uid="{00000000-0005-0000-0000-00008E5E0000}"/>
    <cellStyle name="40% - Accent2 7 3 4 2 2 4" xfId="17493" xr:uid="{00000000-0005-0000-0000-00008F5E0000}"/>
    <cellStyle name="40% - Accent2 7 3 4 2 2 4 2" xfId="43367" xr:uid="{00000000-0005-0000-0000-0000905E0000}"/>
    <cellStyle name="40% - Accent2 7 3 4 2 2 5" xfId="30419" xr:uid="{00000000-0005-0000-0000-0000915E0000}"/>
    <cellStyle name="40% - Accent2 7 3 4 2 3" xfId="6189" xr:uid="{00000000-0005-0000-0000-0000925E0000}"/>
    <cellStyle name="40% - Accent2 7 3 4 2 3 2" xfId="12648" xr:uid="{00000000-0005-0000-0000-0000935E0000}"/>
    <cellStyle name="40% - Accent2 7 3 4 2 3 2 2" xfId="25565" xr:uid="{00000000-0005-0000-0000-0000945E0000}"/>
    <cellStyle name="40% - Accent2 7 3 4 2 3 2 2 2" xfId="51439" xr:uid="{00000000-0005-0000-0000-0000955E0000}"/>
    <cellStyle name="40% - Accent2 7 3 4 2 3 2 3" xfId="38523" xr:uid="{00000000-0005-0000-0000-0000965E0000}"/>
    <cellStyle name="40% - Accent2 7 3 4 2 3 3" xfId="19107" xr:uid="{00000000-0005-0000-0000-0000975E0000}"/>
    <cellStyle name="40% - Accent2 7 3 4 2 3 3 2" xfId="44981" xr:uid="{00000000-0005-0000-0000-0000985E0000}"/>
    <cellStyle name="40% - Accent2 7 3 4 2 3 4" xfId="32065" xr:uid="{00000000-0005-0000-0000-0000995E0000}"/>
    <cellStyle name="40% - Accent2 7 3 4 2 4" xfId="9420" xr:uid="{00000000-0005-0000-0000-00009A5E0000}"/>
    <cellStyle name="40% - Accent2 7 3 4 2 4 2" xfId="22337" xr:uid="{00000000-0005-0000-0000-00009B5E0000}"/>
    <cellStyle name="40% - Accent2 7 3 4 2 4 2 2" xfId="48211" xr:uid="{00000000-0005-0000-0000-00009C5E0000}"/>
    <cellStyle name="40% - Accent2 7 3 4 2 4 3" xfId="35295" xr:uid="{00000000-0005-0000-0000-00009D5E0000}"/>
    <cellStyle name="40% - Accent2 7 3 4 2 5" xfId="15879" xr:uid="{00000000-0005-0000-0000-00009E5E0000}"/>
    <cellStyle name="40% - Accent2 7 3 4 2 5 2" xfId="41753" xr:uid="{00000000-0005-0000-0000-00009F5E0000}"/>
    <cellStyle name="40% - Accent2 7 3 4 2 6" xfId="28805" xr:uid="{00000000-0005-0000-0000-0000A05E0000}"/>
    <cellStyle name="40% - Accent2 7 3 4 3" xfId="3742" xr:uid="{00000000-0005-0000-0000-0000A15E0000}"/>
    <cellStyle name="40% - Accent2 7 3 4 3 2" xfId="6996" xr:uid="{00000000-0005-0000-0000-0000A25E0000}"/>
    <cellStyle name="40% - Accent2 7 3 4 3 2 2" xfId="13455" xr:uid="{00000000-0005-0000-0000-0000A35E0000}"/>
    <cellStyle name="40% - Accent2 7 3 4 3 2 2 2" xfId="26372" xr:uid="{00000000-0005-0000-0000-0000A45E0000}"/>
    <cellStyle name="40% - Accent2 7 3 4 3 2 2 2 2" xfId="52246" xr:uid="{00000000-0005-0000-0000-0000A55E0000}"/>
    <cellStyle name="40% - Accent2 7 3 4 3 2 2 3" xfId="39330" xr:uid="{00000000-0005-0000-0000-0000A65E0000}"/>
    <cellStyle name="40% - Accent2 7 3 4 3 2 3" xfId="19914" xr:uid="{00000000-0005-0000-0000-0000A75E0000}"/>
    <cellStyle name="40% - Accent2 7 3 4 3 2 3 2" xfId="45788" xr:uid="{00000000-0005-0000-0000-0000A85E0000}"/>
    <cellStyle name="40% - Accent2 7 3 4 3 2 4" xfId="32872" xr:uid="{00000000-0005-0000-0000-0000A95E0000}"/>
    <cellStyle name="40% - Accent2 7 3 4 3 3" xfId="10227" xr:uid="{00000000-0005-0000-0000-0000AA5E0000}"/>
    <cellStyle name="40% - Accent2 7 3 4 3 3 2" xfId="23144" xr:uid="{00000000-0005-0000-0000-0000AB5E0000}"/>
    <cellStyle name="40% - Accent2 7 3 4 3 3 2 2" xfId="49018" xr:uid="{00000000-0005-0000-0000-0000AC5E0000}"/>
    <cellStyle name="40% - Accent2 7 3 4 3 3 3" xfId="36102" xr:uid="{00000000-0005-0000-0000-0000AD5E0000}"/>
    <cellStyle name="40% - Accent2 7 3 4 3 4" xfId="16686" xr:uid="{00000000-0005-0000-0000-0000AE5E0000}"/>
    <cellStyle name="40% - Accent2 7 3 4 3 4 2" xfId="42560" xr:uid="{00000000-0005-0000-0000-0000AF5E0000}"/>
    <cellStyle name="40% - Accent2 7 3 4 3 5" xfId="29612" xr:uid="{00000000-0005-0000-0000-0000B05E0000}"/>
    <cellStyle name="40% - Accent2 7 3 4 4" xfId="5382" xr:uid="{00000000-0005-0000-0000-0000B15E0000}"/>
    <cellStyle name="40% - Accent2 7 3 4 4 2" xfId="11841" xr:uid="{00000000-0005-0000-0000-0000B25E0000}"/>
    <cellStyle name="40% - Accent2 7 3 4 4 2 2" xfId="24758" xr:uid="{00000000-0005-0000-0000-0000B35E0000}"/>
    <cellStyle name="40% - Accent2 7 3 4 4 2 2 2" xfId="50632" xr:uid="{00000000-0005-0000-0000-0000B45E0000}"/>
    <cellStyle name="40% - Accent2 7 3 4 4 2 3" xfId="37716" xr:uid="{00000000-0005-0000-0000-0000B55E0000}"/>
    <cellStyle name="40% - Accent2 7 3 4 4 3" xfId="18300" xr:uid="{00000000-0005-0000-0000-0000B65E0000}"/>
    <cellStyle name="40% - Accent2 7 3 4 4 3 2" xfId="44174" xr:uid="{00000000-0005-0000-0000-0000B75E0000}"/>
    <cellStyle name="40% - Accent2 7 3 4 4 4" xfId="31258" xr:uid="{00000000-0005-0000-0000-0000B85E0000}"/>
    <cellStyle name="40% - Accent2 7 3 4 5" xfId="8613" xr:uid="{00000000-0005-0000-0000-0000B95E0000}"/>
    <cellStyle name="40% - Accent2 7 3 4 5 2" xfId="21530" xr:uid="{00000000-0005-0000-0000-0000BA5E0000}"/>
    <cellStyle name="40% - Accent2 7 3 4 5 2 2" xfId="47404" xr:uid="{00000000-0005-0000-0000-0000BB5E0000}"/>
    <cellStyle name="40% - Accent2 7 3 4 5 3" xfId="34488" xr:uid="{00000000-0005-0000-0000-0000BC5E0000}"/>
    <cellStyle name="40% - Accent2 7 3 4 6" xfId="15072" xr:uid="{00000000-0005-0000-0000-0000BD5E0000}"/>
    <cellStyle name="40% - Accent2 7 3 4 6 2" xfId="40946" xr:uid="{00000000-0005-0000-0000-0000BE5E0000}"/>
    <cellStyle name="40% - Accent2 7 3 4 7" xfId="27998" xr:uid="{00000000-0005-0000-0000-0000BF5E0000}"/>
    <cellStyle name="40% - Accent2 7 3 4 8" xfId="53860" xr:uid="{00000000-0005-0000-0000-0000C05E0000}"/>
    <cellStyle name="40% - Accent2 7 3 5" xfId="2513" xr:uid="{00000000-0005-0000-0000-0000C15E0000}"/>
    <cellStyle name="40% - Accent2 7 3 5 2" xfId="4170" xr:uid="{00000000-0005-0000-0000-0000C25E0000}"/>
    <cellStyle name="40% - Accent2 7 3 5 2 2" xfId="7401" xr:uid="{00000000-0005-0000-0000-0000C35E0000}"/>
    <cellStyle name="40% - Accent2 7 3 5 2 2 2" xfId="13860" xr:uid="{00000000-0005-0000-0000-0000C45E0000}"/>
    <cellStyle name="40% - Accent2 7 3 5 2 2 2 2" xfId="26777" xr:uid="{00000000-0005-0000-0000-0000C55E0000}"/>
    <cellStyle name="40% - Accent2 7 3 5 2 2 2 2 2" xfId="52651" xr:uid="{00000000-0005-0000-0000-0000C65E0000}"/>
    <cellStyle name="40% - Accent2 7 3 5 2 2 2 3" xfId="39735" xr:uid="{00000000-0005-0000-0000-0000C75E0000}"/>
    <cellStyle name="40% - Accent2 7 3 5 2 2 3" xfId="20319" xr:uid="{00000000-0005-0000-0000-0000C85E0000}"/>
    <cellStyle name="40% - Accent2 7 3 5 2 2 3 2" xfId="46193" xr:uid="{00000000-0005-0000-0000-0000C95E0000}"/>
    <cellStyle name="40% - Accent2 7 3 5 2 2 4" xfId="33277" xr:uid="{00000000-0005-0000-0000-0000CA5E0000}"/>
    <cellStyle name="40% - Accent2 7 3 5 2 3" xfId="10632" xr:uid="{00000000-0005-0000-0000-0000CB5E0000}"/>
    <cellStyle name="40% - Accent2 7 3 5 2 3 2" xfId="23549" xr:uid="{00000000-0005-0000-0000-0000CC5E0000}"/>
    <cellStyle name="40% - Accent2 7 3 5 2 3 2 2" xfId="49423" xr:uid="{00000000-0005-0000-0000-0000CD5E0000}"/>
    <cellStyle name="40% - Accent2 7 3 5 2 3 3" xfId="36507" xr:uid="{00000000-0005-0000-0000-0000CE5E0000}"/>
    <cellStyle name="40% - Accent2 7 3 5 2 4" xfId="17091" xr:uid="{00000000-0005-0000-0000-0000CF5E0000}"/>
    <cellStyle name="40% - Accent2 7 3 5 2 4 2" xfId="42965" xr:uid="{00000000-0005-0000-0000-0000D05E0000}"/>
    <cellStyle name="40% - Accent2 7 3 5 2 5" xfId="30017" xr:uid="{00000000-0005-0000-0000-0000D15E0000}"/>
    <cellStyle name="40% - Accent2 7 3 5 3" xfId="5787" xr:uid="{00000000-0005-0000-0000-0000D25E0000}"/>
    <cellStyle name="40% - Accent2 7 3 5 3 2" xfId="12246" xr:uid="{00000000-0005-0000-0000-0000D35E0000}"/>
    <cellStyle name="40% - Accent2 7 3 5 3 2 2" xfId="25163" xr:uid="{00000000-0005-0000-0000-0000D45E0000}"/>
    <cellStyle name="40% - Accent2 7 3 5 3 2 2 2" xfId="51037" xr:uid="{00000000-0005-0000-0000-0000D55E0000}"/>
    <cellStyle name="40% - Accent2 7 3 5 3 2 3" xfId="38121" xr:uid="{00000000-0005-0000-0000-0000D65E0000}"/>
    <cellStyle name="40% - Accent2 7 3 5 3 3" xfId="18705" xr:uid="{00000000-0005-0000-0000-0000D75E0000}"/>
    <cellStyle name="40% - Accent2 7 3 5 3 3 2" xfId="44579" xr:uid="{00000000-0005-0000-0000-0000D85E0000}"/>
    <cellStyle name="40% - Accent2 7 3 5 3 4" xfId="31663" xr:uid="{00000000-0005-0000-0000-0000D95E0000}"/>
    <cellStyle name="40% - Accent2 7 3 5 4" xfId="9018" xr:uid="{00000000-0005-0000-0000-0000DA5E0000}"/>
    <cellStyle name="40% - Accent2 7 3 5 4 2" xfId="21935" xr:uid="{00000000-0005-0000-0000-0000DB5E0000}"/>
    <cellStyle name="40% - Accent2 7 3 5 4 2 2" xfId="47809" xr:uid="{00000000-0005-0000-0000-0000DC5E0000}"/>
    <cellStyle name="40% - Accent2 7 3 5 4 3" xfId="34893" xr:uid="{00000000-0005-0000-0000-0000DD5E0000}"/>
    <cellStyle name="40% - Accent2 7 3 5 5" xfId="15477" xr:uid="{00000000-0005-0000-0000-0000DE5E0000}"/>
    <cellStyle name="40% - Accent2 7 3 5 5 2" xfId="41351" xr:uid="{00000000-0005-0000-0000-0000DF5E0000}"/>
    <cellStyle name="40% - Accent2 7 3 5 6" xfId="28403" xr:uid="{00000000-0005-0000-0000-0000E05E0000}"/>
    <cellStyle name="40% - Accent2 7 3 6" xfId="3333" xr:uid="{00000000-0005-0000-0000-0000E15E0000}"/>
    <cellStyle name="40% - Accent2 7 3 6 2" xfId="6594" xr:uid="{00000000-0005-0000-0000-0000E25E0000}"/>
    <cellStyle name="40% - Accent2 7 3 6 2 2" xfId="13053" xr:uid="{00000000-0005-0000-0000-0000E35E0000}"/>
    <cellStyle name="40% - Accent2 7 3 6 2 2 2" xfId="25970" xr:uid="{00000000-0005-0000-0000-0000E45E0000}"/>
    <cellStyle name="40% - Accent2 7 3 6 2 2 2 2" xfId="51844" xr:uid="{00000000-0005-0000-0000-0000E55E0000}"/>
    <cellStyle name="40% - Accent2 7 3 6 2 2 3" xfId="38928" xr:uid="{00000000-0005-0000-0000-0000E65E0000}"/>
    <cellStyle name="40% - Accent2 7 3 6 2 3" xfId="19512" xr:uid="{00000000-0005-0000-0000-0000E75E0000}"/>
    <cellStyle name="40% - Accent2 7 3 6 2 3 2" xfId="45386" xr:uid="{00000000-0005-0000-0000-0000E85E0000}"/>
    <cellStyle name="40% - Accent2 7 3 6 2 4" xfId="32470" xr:uid="{00000000-0005-0000-0000-0000E95E0000}"/>
    <cellStyle name="40% - Accent2 7 3 6 3" xfId="9825" xr:uid="{00000000-0005-0000-0000-0000EA5E0000}"/>
    <cellStyle name="40% - Accent2 7 3 6 3 2" xfId="22742" xr:uid="{00000000-0005-0000-0000-0000EB5E0000}"/>
    <cellStyle name="40% - Accent2 7 3 6 3 2 2" xfId="48616" xr:uid="{00000000-0005-0000-0000-0000EC5E0000}"/>
    <cellStyle name="40% - Accent2 7 3 6 3 3" xfId="35700" xr:uid="{00000000-0005-0000-0000-0000ED5E0000}"/>
    <cellStyle name="40% - Accent2 7 3 6 4" xfId="16284" xr:uid="{00000000-0005-0000-0000-0000EE5E0000}"/>
    <cellStyle name="40% - Accent2 7 3 6 4 2" xfId="42158" xr:uid="{00000000-0005-0000-0000-0000EF5E0000}"/>
    <cellStyle name="40% - Accent2 7 3 6 5" xfId="29210" xr:uid="{00000000-0005-0000-0000-0000F05E0000}"/>
    <cellStyle name="40% - Accent2 7 3 7" xfId="4980" xr:uid="{00000000-0005-0000-0000-0000F15E0000}"/>
    <cellStyle name="40% - Accent2 7 3 7 2" xfId="11439" xr:uid="{00000000-0005-0000-0000-0000F25E0000}"/>
    <cellStyle name="40% - Accent2 7 3 7 2 2" xfId="24356" xr:uid="{00000000-0005-0000-0000-0000F35E0000}"/>
    <cellStyle name="40% - Accent2 7 3 7 2 2 2" xfId="50230" xr:uid="{00000000-0005-0000-0000-0000F45E0000}"/>
    <cellStyle name="40% - Accent2 7 3 7 2 3" xfId="37314" xr:uid="{00000000-0005-0000-0000-0000F55E0000}"/>
    <cellStyle name="40% - Accent2 7 3 7 3" xfId="17898" xr:uid="{00000000-0005-0000-0000-0000F65E0000}"/>
    <cellStyle name="40% - Accent2 7 3 7 3 2" xfId="43772" xr:uid="{00000000-0005-0000-0000-0000F75E0000}"/>
    <cellStyle name="40% - Accent2 7 3 7 4" xfId="30856" xr:uid="{00000000-0005-0000-0000-0000F85E0000}"/>
    <cellStyle name="40% - Accent2 7 3 8" xfId="8211" xr:uid="{00000000-0005-0000-0000-0000F95E0000}"/>
    <cellStyle name="40% - Accent2 7 3 8 2" xfId="21128" xr:uid="{00000000-0005-0000-0000-0000FA5E0000}"/>
    <cellStyle name="40% - Accent2 7 3 8 2 2" xfId="47002" xr:uid="{00000000-0005-0000-0000-0000FB5E0000}"/>
    <cellStyle name="40% - Accent2 7 3 8 3" xfId="34086" xr:uid="{00000000-0005-0000-0000-0000FC5E0000}"/>
    <cellStyle name="40% - Accent2 7 3 9" xfId="14670" xr:uid="{00000000-0005-0000-0000-0000FD5E0000}"/>
    <cellStyle name="40% - Accent2 7 3 9 2" xfId="40544" xr:uid="{00000000-0005-0000-0000-0000FE5E0000}"/>
    <cellStyle name="40% - Accent2 7 4" xfId="1106" xr:uid="{00000000-0005-0000-0000-0000FF5E0000}"/>
    <cellStyle name="40% - Accent2 8" xfId="380" xr:uid="{00000000-0005-0000-0000-0000005F0000}"/>
    <cellStyle name="40% - Accent2 8 2" xfId="700" xr:uid="{00000000-0005-0000-0000-0000015F0000}"/>
    <cellStyle name="40% - Accent2 8 3" xfId="699" xr:uid="{00000000-0005-0000-0000-0000025F0000}"/>
    <cellStyle name="40% - Accent2 8 4" xfId="1425" xr:uid="{00000000-0005-0000-0000-0000035F0000}"/>
    <cellStyle name="40% - Accent2 9" xfId="701" xr:uid="{00000000-0005-0000-0000-0000045F0000}"/>
    <cellStyle name="40% - Accent2 9 2" xfId="1441" xr:uid="{00000000-0005-0000-0000-0000055F0000}"/>
    <cellStyle name="40% - Accent3 10" xfId="1656" xr:uid="{00000000-0005-0000-0000-0000065F0000}"/>
    <cellStyle name="40% - Accent3 10 10" xfId="53572" xr:uid="{00000000-0005-0000-0000-0000075F0000}"/>
    <cellStyle name="40% - Accent3 10 2" xfId="1981" xr:uid="{00000000-0005-0000-0000-0000085F0000}"/>
    <cellStyle name="40% - Accent3 10 2 2" xfId="2412" xr:uid="{00000000-0005-0000-0000-0000095F0000}"/>
    <cellStyle name="40% - Accent3 10 2 2 2" xfId="3225" xr:uid="{00000000-0005-0000-0000-00000A5F0000}"/>
    <cellStyle name="40% - Accent3 10 2 2 2 2" xfId="4882" xr:uid="{00000000-0005-0000-0000-00000B5F0000}"/>
    <cellStyle name="40% - Accent3 10 2 2 2 2 2" xfId="8113" xr:uid="{00000000-0005-0000-0000-00000C5F0000}"/>
    <cellStyle name="40% - Accent3 10 2 2 2 2 2 2" xfId="14572" xr:uid="{00000000-0005-0000-0000-00000D5F0000}"/>
    <cellStyle name="40% - Accent3 10 2 2 2 2 2 2 2" xfId="27489" xr:uid="{00000000-0005-0000-0000-00000E5F0000}"/>
    <cellStyle name="40% - Accent3 10 2 2 2 2 2 2 2 2" xfId="53363" xr:uid="{00000000-0005-0000-0000-00000F5F0000}"/>
    <cellStyle name="40% - Accent3 10 2 2 2 2 2 2 3" xfId="40447" xr:uid="{00000000-0005-0000-0000-0000105F0000}"/>
    <cellStyle name="40% - Accent3 10 2 2 2 2 2 3" xfId="21031" xr:uid="{00000000-0005-0000-0000-0000115F0000}"/>
    <cellStyle name="40% - Accent3 10 2 2 2 2 2 3 2" xfId="46905" xr:uid="{00000000-0005-0000-0000-0000125F0000}"/>
    <cellStyle name="40% - Accent3 10 2 2 2 2 2 4" xfId="33989" xr:uid="{00000000-0005-0000-0000-0000135F0000}"/>
    <cellStyle name="40% - Accent3 10 2 2 2 2 3" xfId="11344" xr:uid="{00000000-0005-0000-0000-0000145F0000}"/>
    <cellStyle name="40% - Accent3 10 2 2 2 2 3 2" xfId="24261" xr:uid="{00000000-0005-0000-0000-0000155F0000}"/>
    <cellStyle name="40% - Accent3 10 2 2 2 2 3 2 2" xfId="50135" xr:uid="{00000000-0005-0000-0000-0000165F0000}"/>
    <cellStyle name="40% - Accent3 10 2 2 2 2 3 3" xfId="37219" xr:uid="{00000000-0005-0000-0000-0000175F0000}"/>
    <cellStyle name="40% - Accent3 10 2 2 2 2 4" xfId="17803" xr:uid="{00000000-0005-0000-0000-0000185F0000}"/>
    <cellStyle name="40% - Accent3 10 2 2 2 2 4 2" xfId="43677" xr:uid="{00000000-0005-0000-0000-0000195F0000}"/>
    <cellStyle name="40% - Accent3 10 2 2 2 2 5" xfId="30729" xr:uid="{00000000-0005-0000-0000-00001A5F0000}"/>
    <cellStyle name="40% - Accent3 10 2 2 2 3" xfId="6499" xr:uid="{00000000-0005-0000-0000-00001B5F0000}"/>
    <cellStyle name="40% - Accent3 10 2 2 2 3 2" xfId="12958" xr:uid="{00000000-0005-0000-0000-00001C5F0000}"/>
    <cellStyle name="40% - Accent3 10 2 2 2 3 2 2" xfId="25875" xr:uid="{00000000-0005-0000-0000-00001D5F0000}"/>
    <cellStyle name="40% - Accent3 10 2 2 2 3 2 2 2" xfId="51749" xr:uid="{00000000-0005-0000-0000-00001E5F0000}"/>
    <cellStyle name="40% - Accent3 10 2 2 2 3 2 3" xfId="38833" xr:uid="{00000000-0005-0000-0000-00001F5F0000}"/>
    <cellStyle name="40% - Accent3 10 2 2 2 3 3" xfId="19417" xr:uid="{00000000-0005-0000-0000-0000205F0000}"/>
    <cellStyle name="40% - Accent3 10 2 2 2 3 3 2" xfId="45291" xr:uid="{00000000-0005-0000-0000-0000215F0000}"/>
    <cellStyle name="40% - Accent3 10 2 2 2 3 4" xfId="32375" xr:uid="{00000000-0005-0000-0000-0000225F0000}"/>
    <cellStyle name="40% - Accent3 10 2 2 2 4" xfId="9730" xr:uid="{00000000-0005-0000-0000-0000235F0000}"/>
    <cellStyle name="40% - Accent3 10 2 2 2 4 2" xfId="22647" xr:uid="{00000000-0005-0000-0000-0000245F0000}"/>
    <cellStyle name="40% - Accent3 10 2 2 2 4 2 2" xfId="48521" xr:uid="{00000000-0005-0000-0000-0000255F0000}"/>
    <cellStyle name="40% - Accent3 10 2 2 2 4 3" xfId="35605" xr:uid="{00000000-0005-0000-0000-0000265F0000}"/>
    <cellStyle name="40% - Accent3 10 2 2 2 5" xfId="16189" xr:uid="{00000000-0005-0000-0000-0000275F0000}"/>
    <cellStyle name="40% - Accent3 10 2 2 2 5 2" xfId="42063" xr:uid="{00000000-0005-0000-0000-0000285F0000}"/>
    <cellStyle name="40% - Accent3 10 2 2 2 6" xfId="29115" xr:uid="{00000000-0005-0000-0000-0000295F0000}"/>
    <cellStyle name="40% - Accent3 10 2 2 3" xfId="4052" xr:uid="{00000000-0005-0000-0000-00002A5F0000}"/>
    <cellStyle name="40% - Accent3 10 2 2 3 2" xfId="7306" xr:uid="{00000000-0005-0000-0000-00002B5F0000}"/>
    <cellStyle name="40% - Accent3 10 2 2 3 2 2" xfId="13765" xr:uid="{00000000-0005-0000-0000-00002C5F0000}"/>
    <cellStyle name="40% - Accent3 10 2 2 3 2 2 2" xfId="26682" xr:uid="{00000000-0005-0000-0000-00002D5F0000}"/>
    <cellStyle name="40% - Accent3 10 2 2 3 2 2 2 2" xfId="52556" xr:uid="{00000000-0005-0000-0000-00002E5F0000}"/>
    <cellStyle name="40% - Accent3 10 2 2 3 2 2 3" xfId="39640" xr:uid="{00000000-0005-0000-0000-00002F5F0000}"/>
    <cellStyle name="40% - Accent3 10 2 2 3 2 3" xfId="20224" xr:uid="{00000000-0005-0000-0000-0000305F0000}"/>
    <cellStyle name="40% - Accent3 10 2 2 3 2 3 2" xfId="46098" xr:uid="{00000000-0005-0000-0000-0000315F0000}"/>
    <cellStyle name="40% - Accent3 10 2 2 3 2 4" xfId="33182" xr:uid="{00000000-0005-0000-0000-0000325F0000}"/>
    <cellStyle name="40% - Accent3 10 2 2 3 3" xfId="10537" xr:uid="{00000000-0005-0000-0000-0000335F0000}"/>
    <cellStyle name="40% - Accent3 10 2 2 3 3 2" xfId="23454" xr:uid="{00000000-0005-0000-0000-0000345F0000}"/>
    <cellStyle name="40% - Accent3 10 2 2 3 3 2 2" xfId="49328" xr:uid="{00000000-0005-0000-0000-0000355F0000}"/>
    <cellStyle name="40% - Accent3 10 2 2 3 3 3" xfId="36412" xr:uid="{00000000-0005-0000-0000-0000365F0000}"/>
    <cellStyle name="40% - Accent3 10 2 2 3 4" xfId="16996" xr:uid="{00000000-0005-0000-0000-0000375F0000}"/>
    <cellStyle name="40% - Accent3 10 2 2 3 4 2" xfId="42870" xr:uid="{00000000-0005-0000-0000-0000385F0000}"/>
    <cellStyle name="40% - Accent3 10 2 2 3 5" xfId="29922" xr:uid="{00000000-0005-0000-0000-0000395F0000}"/>
    <cellStyle name="40% - Accent3 10 2 2 4" xfId="5692" xr:uid="{00000000-0005-0000-0000-00003A5F0000}"/>
    <cellStyle name="40% - Accent3 10 2 2 4 2" xfId="12151" xr:uid="{00000000-0005-0000-0000-00003B5F0000}"/>
    <cellStyle name="40% - Accent3 10 2 2 4 2 2" xfId="25068" xr:uid="{00000000-0005-0000-0000-00003C5F0000}"/>
    <cellStyle name="40% - Accent3 10 2 2 4 2 2 2" xfId="50942" xr:uid="{00000000-0005-0000-0000-00003D5F0000}"/>
    <cellStyle name="40% - Accent3 10 2 2 4 2 3" xfId="38026" xr:uid="{00000000-0005-0000-0000-00003E5F0000}"/>
    <cellStyle name="40% - Accent3 10 2 2 4 3" xfId="18610" xr:uid="{00000000-0005-0000-0000-00003F5F0000}"/>
    <cellStyle name="40% - Accent3 10 2 2 4 3 2" xfId="44484" xr:uid="{00000000-0005-0000-0000-0000405F0000}"/>
    <cellStyle name="40% - Accent3 10 2 2 4 4" xfId="31568" xr:uid="{00000000-0005-0000-0000-0000415F0000}"/>
    <cellStyle name="40% - Accent3 10 2 2 5" xfId="8923" xr:uid="{00000000-0005-0000-0000-0000425F0000}"/>
    <cellStyle name="40% - Accent3 10 2 2 5 2" xfId="21840" xr:uid="{00000000-0005-0000-0000-0000435F0000}"/>
    <cellStyle name="40% - Accent3 10 2 2 5 2 2" xfId="47714" xr:uid="{00000000-0005-0000-0000-0000445F0000}"/>
    <cellStyle name="40% - Accent3 10 2 2 5 3" xfId="34798" xr:uid="{00000000-0005-0000-0000-0000455F0000}"/>
    <cellStyle name="40% - Accent3 10 2 2 6" xfId="15382" xr:uid="{00000000-0005-0000-0000-0000465F0000}"/>
    <cellStyle name="40% - Accent3 10 2 2 6 2" xfId="41256" xr:uid="{00000000-0005-0000-0000-0000475F0000}"/>
    <cellStyle name="40% - Accent3 10 2 2 7" xfId="28308" xr:uid="{00000000-0005-0000-0000-0000485F0000}"/>
    <cellStyle name="40% - Accent3 10 2 2 8" xfId="54170" xr:uid="{00000000-0005-0000-0000-0000495F0000}"/>
    <cellStyle name="40% - Accent3 10 2 3" xfId="2821" xr:uid="{00000000-0005-0000-0000-00004A5F0000}"/>
    <cellStyle name="40% - Accent3 10 2 3 2" xfId="4478" xr:uid="{00000000-0005-0000-0000-00004B5F0000}"/>
    <cellStyle name="40% - Accent3 10 2 3 2 2" xfId="7709" xr:uid="{00000000-0005-0000-0000-00004C5F0000}"/>
    <cellStyle name="40% - Accent3 10 2 3 2 2 2" xfId="14168" xr:uid="{00000000-0005-0000-0000-00004D5F0000}"/>
    <cellStyle name="40% - Accent3 10 2 3 2 2 2 2" xfId="27085" xr:uid="{00000000-0005-0000-0000-00004E5F0000}"/>
    <cellStyle name="40% - Accent3 10 2 3 2 2 2 2 2" xfId="52959" xr:uid="{00000000-0005-0000-0000-00004F5F0000}"/>
    <cellStyle name="40% - Accent3 10 2 3 2 2 2 3" xfId="40043" xr:uid="{00000000-0005-0000-0000-0000505F0000}"/>
    <cellStyle name="40% - Accent3 10 2 3 2 2 3" xfId="20627" xr:uid="{00000000-0005-0000-0000-0000515F0000}"/>
    <cellStyle name="40% - Accent3 10 2 3 2 2 3 2" xfId="46501" xr:uid="{00000000-0005-0000-0000-0000525F0000}"/>
    <cellStyle name="40% - Accent3 10 2 3 2 2 4" xfId="33585" xr:uid="{00000000-0005-0000-0000-0000535F0000}"/>
    <cellStyle name="40% - Accent3 10 2 3 2 3" xfId="10940" xr:uid="{00000000-0005-0000-0000-0000545F0000}"/>
    <cellStyle name="40% - Accent3 10 2 3 2 3 2" xfId="23857" xr:uid="{00000000-0005-0000-0000-0000555F0000}"/>
    <cellStyle name="40% - Accent3 10 2 3 2 3 2 2" xfId="49731" xr:uid="{00000000-0005-0000-0000-0000565F0000}"/>
    <cellStyle name="40% - Accent3 10 2 3 2 3 3" xfId="36815" xr:uid="{00000000-0005-0000-0000-0000575F0000}"/>
    <cellStyle name="40% - Accent3 10 2 3 2 4" xfId="17399" xr:uid="{00000000-0005-0000-0000-0000585F0000}"/>
    <cellStyle name="40% - Accent3 10 2 3 2 4 2" xfId="43273" xr:uid="{00000000-0005-0000-0000-0000595F0000}"/>
    <cellStyle name="40% - Accent3 10 2 3 2 5" xfId="30325" xr:uid="{00000000-0005-0000-0000-00005A5F0000}"/>
    <cellStyle name="40% - Accent3 10 2 3 3" xfId="6095" xr:uid="{00000000-0005-0000-0000-00005B5F0000}"/>
    <cellStyle name="40% - Accent3 10 2 3 3 2" xfId="12554" xr:uid="{00000000-0005-0000-0000-00005C5F0000}"/>
    <cellStyle name="40% - Accent3 10 2 3 3 2 2" xfId="25471" xr:uid="{00000000-0005-0000-0000-00005D5F0000}"/>
    <cellStyle name="40% - Accent3 10 2 3 3 2 2 2" xfId="51345" xr:uid="{00000000-0005-0000-0000-00005E5F0000}"/>
    <cellStyle name="40% - Accent3 10 2 3 3 2 3" xfId="38429" xr:uid="{00000000-0005-0000-0000-00005F5F0000}"/>
    <cellStyle name="40% - Accent3 10 2 3 3 3" xfId="19013" xr:uid="{00000000-0005-0000-0000-0000605F0000}"/>
    <cellStyle name="40% - Accent3 10 2 3 3 3 2" xfId="44887" xr:uid="{00000000-0005-0000-0000-0000615F0000}"/>
    <cellStyle name="40% - Accent3 10 2 3 3 4" xfId="31971" xr:uid="{00000000-0005-0000-0000-0000625F0000}"/>
    <cellStyle name="40% - Accent3 10 2 3 4" xfId="9326" xr:uid="{00000000-0005-0000-0000-0000635F0000}"/>
    <cellStyle name="40% - Accent3 10 2 3 4 2" xfId="22243" xr:uid="{00000000-0005-0000-0000-0000645F0000}"/>
    <cellStyle name="40% - Accent3 10 2 3 4 2 2" xfId="48117" xr:uid="{00000000-0005-0000-0000-0000655F0000}"/>
    <cellStyle name="40% - Accent3 10 2 3 4 3" xfId="35201" xr:uid="{00000000-0005-0000-0000-0000665F0000}"/>
    <cellStyle name="40% - Accent3 10 2 3 5" xfId="15785" xr:uid="{00000000-0005-0000-0000-0000675F0000}"/>
    <cellStyle name="40% - Accent3 10 2 3 5 2" xfId="41659" xr:uid="{00000000-0005-0000-0000-0000685F0000}"/>
    <cellStyle name="40% - Accent3 10 2 3 6" xfId="28711" xr:uid="{00000000-0005-0000-0000-0000695F0000}"/>
    <cellStyle name="40% - Accent3 10 2 4" xfId="3648" xr:uid="{00000000-0005-0000-0000-00006A5F0000}"/>
    <cellStyle name="40% - Accent3 10 2 4 2" xfId="6902" xr:uid="{00000000-0005-0000-0000-00006B5F0000}"/>
    <cellStyle name="40% - Accent3 10 2 4 2 2" xfId="13361" xr:uid="{00000000-0005-0000-0000-00006C5F0000}"/>
    <cellStyle name="40% - Accent3 10 2 4 2 2 2" xfId="26278" xr:uid="{00000000-0005-0000-0000-00006D5F0000}"/>
    <cellStyle name="40% - Accent3 10 2 4 2 2 2 2" xfId="52152" xr:uid="{00000000-0005-0000-0000-00006E5F0000}"/>
    <cellStyle name="40% - Accent3 10 2 4 2 2 3" xfId="39236" xr:uid="{00000000-0005-0000-0000-00006F5F0000}"/>
    <cellStyle name="40% - Accent3 10 2 4 2 3" xfId="19820" xr:uid="{00000000-0005-0000-0000-0000705F0000}"/>
    <cellStyle name="40% - Accent3 10 2 4 2 3 2" xfId="45694" xr:uid="{00000000-0005-0000-0000-0000715F0000}"/>
    <cellStyle name="40% - Accent3 10 2 4 2 4" xfId="32778" xr:uid="{00000000-0005-0000-0000-0000725F0000}"/>
    <cellStyle name="40% - Accent3 10 2 4 3" xfId="10133" xr:uid="{00000000-0005-0000-0000-0000735F0000}"/>
    <cellStyle name="40% - Accent3 10 2 4 3 2" xfId="23050" xr:uid="{00000000-0005-0000-0000-0000745F0000}"/>
    <cellStyle name="40% - Accent3 10 2 4 3 2 2" xfId="48924" xr:uid="{00000000-0005-0000-0000-0000755F0000}"/>
    <cellStyle name="40% - Accent3 10 2 4 3 3" xfId="36008" xr:uid="{00000000-0005-0000-0000-0000765F0000}"/>
    <cellStyle name="40% - Accent3 10 2 4 4" xfId="16592" xr:uid="{00000000-0005-0000-0000-0000775F0000}"/>
    <cellStyle name="40% - Accent3 10 2 4 4 2" xfId="42466" xr:uid="{00000000-0005-0000-0000-0000785F0000}"/>
    <cellStyle name="40% - Accent3 10 2 4 5" xfId="29518" xr:uid="{00000000-0005-0000-0000-0000795F0000}"/>
    <cellStyle name="40% - Accent3 10 2 5" xfId="5288" xr:uid="{00000000-0005-0000-0000-00007A5F0000}"/>
    <cellStyle name="40% - Accent3 10 2 5 2" xfId="11747" xr:uid="{00000000-0005-0000-0000-00007B5F0000}"/>
    <cellStyle name="40% - Accent3 10 2 5 2 2" xfId="24664" xr:uid="{00000000-0005-0000-0000-00007C5F0000}"/>
    <cellStyle name="40% - Accent3 10 2 5 2 2 2" xfId="50538" xr:uid="{00000000-0005-0000-0000-00007D5F0000}"/>
    <cellStyle name="40% - Accent3 10 2 5 2 3" xfId="37622" xr:uid="{00000000-0005-0000-0000-00007E5F0000}"/>
    <cellStyle name="40% - Accent3 10 2 5 3" xfId="18206" xr:uid="{00000000-0005-0000-0000-00007F5F0000}"/>
    <cellStyle name="40% - Accent3 10 2 5 3 2" xfId="44080" xr:uid="{00000000-0005-0000-0000-0000805F0000}"/>
    <cellStyle name="40% - Accent3 10 2 5 4" xfId="31164" xr:uid="{00000000-0005-0000-0000-0000815F0000}"/>
    <cellStyle name="40% - Accent3 10 2 6" xfId="8519" xr:uid="{00000000-0005-0000-0000-0000825F0000}"/>
    <cellStyle name="40% - Accent3 10 2 6 2" xfId="21436" xr:uid="{00000000-0005-0000-0000-0000835F0000}"/>
    <cellStyle name="40% - Accent3 10 2 6 2 2" xfId="47310" xr:uid="{00000000-0005-0000-0000-0000845F0000}"/>
    <cellStyle name="40% - Accent3 10 2 6 3" xfId="34394" xr:uid="{00000000-0005-0000-0000-0000855F0000}"/>
    <cellStyle name="40% - Accent3 10 2 7" xfId="14978" xr:uid="{00000000-0005-0000-0000-0000865F0000}"/>
    <cellStyle name="40% - Accent3 10 2 7 2" xfId="40852" xr:uid="{00000000-0005-0000-0000-0000875F0000}"/>
    <cellStyle name="40% - Accent3 10 2 8" xfId="27903" xr:uid="{00000000-0005-0000-0000-0000885F0000}"/>
    <cellStyle name="40% - Accent3 10 2 9" xfId="53766" xr:uid="{00000000-0005-0000-0000-0000895F0000}"/>
    <cellStyle name="40% - Accent3 10 3" xfId="2216" xr:uid="{00000000-0005-0000-0000-00008A5F0000}"/>
    <cellStyle name="40% - Accent3 10 3 2" xfId="3030" xr:uid="{00000000-0005-0000-0000-00008B5F0000}"/>
    <cellStyle name="40% - Accent3 10 3 2 2" xfId="4687" xr:uid="{00000000-0005-0000-0000-00008C5F0000}"/>
    <cellStyle name="40% - Accent3 10 3 2 2 2" xfId="7918" xr:uid="{00000000-0005-0000-0000-00008D5F0000}"/>
    <cellStyle name="40% - Accent3 10 3 2 2 2 2" xfId="14377" xr:uid="{00000000-0005-0000-0000-00008E5F0000}"/>
    <cellStyle name="40% - Accent3 10 3 2 2 2 2 2" xfId="27294" xr:uid="{00000000-0005-0000-0000-00008F5F0000}"/>
    <cellStyle name="40% - Accent3 10 3 2 2 2 2 2 2" xfId="53168" xr:uid="{00000000-0005-0000-0000-0000905F0000}"/>
    <cellStyle name="40% - Accent3 10 3 2 2 2 2 3" xfId="40252" xr:uid="{00000000-0005-0000-0000-0000915F0000}"/>
    <cellStyle name="40% - Accent3 10 3 2 2 2 3" xfId="20836" xr:uid="{00000000-0005-0000-0000-0000925F0000}"/>
    <cellStyle name="40% - Accent3 10 3 2 2 2 3 2" xfId="46710" xr:uid="{00000000-0005-0000-0000-0000935F0000}"/>
    <cellStyle name="40% - Accent3 10 3 2 2 2 4" xfId="33794" xr:uid="{00000000-0005-0000-0000-0000945F0000}"/>
    <cellStyle name="40% - Accent3 10 3 2 2 3" xfId="11149" xr:uid="{00000000-0005-0000-0000-0000955F0000}"/>
    <cellStyle name="40% - Accent3 10 3 2 2 3 2" xfId="24066" xr:uid="{00000000-0005-0000-0000-0000965F0000}"/>
    <cellStyle name="40% - Accent3 10 3 2 2 3 2 2" xfId="49940" xr:uid="{00000000-0005-0000-0000-0000975F0000}"/>
    <cellStyle name="40% - Accent3 10 3 2 2 3 3" xfId="37024" xr:uid="{00000000-0005-0000-0000-0000985F0000}"/>
    <cellStyle name="40% - Accent3 10 3 2 2 4" xfId="17608" xr:uid="{00000000-0005-0000-0000-0000995F0000}"/>
    <cellStyle name="40% - Accent3 10 3 2 2 4 2" xfId="43482" xr:uid="{00000000-0005-0000-0000-00009A5F0000}"/>
    <cellStyle name="40% - Accent3 10 3 2 2 5" xfId="30534" xr:uid="{00000000-0005-0000-0000-00009B5F0000}"/>
    <cellStyle name="40% - Accent3 10 3 2 3" xfId="6304" xr:uid="{00000000-0005-0000-0000-00009C5F0000}"/>
    <cellStyle name="40% - Accent3 10 3 2 3 2" xfId="12763" xr:uid="{00000000-0005-0000-0000-00009D5F0000}"/>
    <cellStyle name="40% - Accent3 10 3 2 3 2 2" xfId="25680" xr:uid="{00000000-0005-0000-0000-00009E5F0000}"/>
    <cellStyle name="40% - Accent3 10 3 2 3 2 2 2" xfId="51554" xr:uid="{00000000-0005-0000-0000-00009F5F0000}"/>
    <cellStyle name="40% - Accent3 10 3 2 3 2 3" xfId="38638" xr:uid="{00000000-0005-0000-0000-0000A05F0000}"/>
    <cellStyle name="40% - Accent3 10 3 2 3 3" xfId="19222" xr:uid="{00000000-0005-0000-0000-0000A15F0000}"/>
    <cellStyle name="40% - Accent3 10 3 2 3 3 2" xfId="45096" xr:uid="{00000000-0005-0000-0000-0000A25F0000}"/>
    <cellStyle name="40% - Accent3 10 3 2 3 4" xfId="32180" xr:uid="{00000000-0005-0000-0000-0000A35F0000}"/>
    <cellStyle name="40% - Accent3 10 3 2 4" xfId="9535" xr:uid="{00000000-0005-0000-0000-0000A45F0000}"/>
    <cellStyle name="40% - Accent3 10 3 2 4 2" xfId="22452" xr:uid="{00000000-0005-0000-0000-0000A55F0000}"/>
    <cellStyle name="40% - Accent3 10 3 2 4 2 2" xfId="48326" xr:uid="{00000000-0005-0000-0000-0000A65F0000}"/>
    <cellStyle name="40% - Accent3 10 3 2 4 3" xfId="35410" xr:uid="{00000000-0005-0000-0000-0000A75F0000}"/>
    <cellStyle name="40% - Accent3 10 3 2 5" xfId="15994" xr:uid="{00000000-0005-0000-0000-0000A85F0000}"/>
    <cellStyle name="40% - Accent3 10 3 2 5 2" xfId="41868" xr:uid="{00000000-0005-0000-0000-0000A95F0000}"/>
    <cellStyle name="40% - Accent3 10 3 2 6" xfId="28920" xr:uid="{00000000-0005-0000-0000-0000AA5F0000}"/>
    <cellStyle name="40% - Accent3 10 3 3" xfId="3857" xr:uid="{00000000-0005-0000-0000-0000AB5F0000}"/>
    <cellStyle name="40% - Accent3 10 3 3 2" xfId="7111" xr:uid="{00000000-0005-0000-0000-0000AC5F0000}"/>
    <cellStyle name="40% - Accent3 10 3 3 2 2" xfId="13570" xr:uid="{00000000-0005-0000-0000-0000AD5F0000}"/>
    <cellStyle name="40% - Accent3 10 3 3 2 2 2" xfId="26487" xr:uid="{00000000-0005-0000-0000-0000AE5F0000}"/>
    <cellStyle name="40% - Accent3 10 3 3 2 2 2 2" xfId="52361" xr:uid="{00000000-0005-0000-0000-0000AF5F0000}"/>
    <cellStyle name="40% - Accent3 10 3 3 2 2 3" xfId="39445" xr:uid="{00000000-0005-0000-0000-0000B05F0000}"/>
    <cellStyle name="40% - Accent3 10 3 3 2 3" xfId="20029" xr:uid="{00000000-0005-0000-0000-0000B15F0000}"/>
    <cellStyle name="40% - Accent3 10 3 3 2 3 2" xfId="45903" xr:uid="{00000000-0005-0000-0000-0000B25F0000}"/>
    <cellStyle name="40% - Accent3 10 3 3 2 4" xfId="32987" xr:uid="{00000000-0005-0000-0000-0000B35F0000}"/>
    <cellStyle name="40% - Accent3 10 3 3 3" xfId="10342" xr:uid="{00000000-0005-0000-0000-0000B45F0000}"/>
    <cellStyle name="40% - Accent3 10 3 3 3 2" xfId="23259" xr:uid="{00000000-0005-0000-0000-0000B55F0000}"/>
    <cellStyle name="40% - Accent3 10 3 3 3 2 2" xfId="49133" xr:uid="{00000000-0005-0000-0000-0000B65F0000}"/>
    <cellStyle name="40% - Accent3 10 3 3 3 3" xfId="36217" xr:uid="{00000000-0005-0000-0000-0000B75F0000}"/>
    <cellStyle name="40% - Accent3 10 3 3 4" xfId="16801" xr:uid="{00000000-0005-0000-0000-0000B85F0000}"/>
    <cellStyle name="40% - Accent3 10 3 3 4 2" xfId="42675" xr:uid="{00000000-0005-0000-0000-0000B95F0000}"/>
    <cellStyle name="40% - Accent3 10 3 3 5" xfId="29727" xr:uid="{00000000-0005-0000-0000-0000BA5F0000}"/>
    <cellStyle name="40% - Accent3 10 3 4" xfId="5497" xr:uid="{00000000-0005-0000-0000-0000BB5F0000}"/>
    <cellStyle name="40% - Accent3 10 3 4 2" xfId="11956" xr:uid="{00000000-0005-0000-0000-0000BC5F0000}"/>
    <cellStyle name="40% - Accent3 10 3 4 2 2" xfId="24873" xr:uid="{00000000-0005-0000-0000-0000BD5F0000}"/>
    <cellStyle name="40% - Accent3 10 3 4 2 2 2" xfId="50747" xr:uid="{00000000-0005-0000-0000-0000BE5F0000}"/>
    <cellStyle name="40% - Accent3 10 3 4 2 3" xfId="37831" xr:uid="{00000000-0005-0000-0000-0000BF5F0000}"/>
    <cellStyle name="40% - Accent3 10 3 4 3" xfId="18415" xr:uid="{00000000-0005-0000-0000-0000C05F0000}"/>
    <cellStyle name="40% - Accent3 10 3 4 3 2" xfId="44289" xr:uid="{00000000-0005-0000-0000-0000C15F0000}"/>
    <cellStyle name="40% - Accent3 10 3 4 4" xfId="31373" xr:uid="{00000000-0005-0000-0000-0000C25F0000}"/>
    <cellStyle name="40% - Accent3 10 3 5" xfId="8728" xr:uid="{00000000-0005-0000-0000-0000C35F0000}"/>
    <cellStyle name="40% - Accent3 10 3 5 2" xfId="21645" xr:uid="{00000000-0005-0000-0000-0000C45F0000}"/>
    <cellStyle name="40% - Accent3 10 3 5 2 2" xfId="47519" xr:uid="{00000000-0005-0000-0000-0000C55F0000}"/>
    <cellStyle name="40% - Accent3 10 3 5 3" xfId="34603" xr:uid="{00000000-0005-0000-0000-0000C65F0000}"/>
    <cellStyle name="40% - Accent3 10 3 6" xfId="15187" xr:uid="{00000000-0005-0000-0000-0000C75F0000}"/>
    <cellStyle name="40% - Accent3 10 3 6 2" xfId="41061" xr:uid="{00000000-0005-0000-0000-0000C85F0000}"/>
    <cellStyle name="40% - Accent3 10 3 7" xfId="28113" xr:uid="{00000000-0005-0000-0000-0000C95F0000}"/>
    <cellStyle name="40% - Accent3 10 3 8" xfId="53975" xr:uid="{00000000-0005-0000-0000-0000CA5F0000}"/>
    <cellStyle name="40% - Accent3 10 4" xfId="2627" xr:uid="{00000000-0005-0000-0000-0000CB5F0000}"/>
    <cellStyle name="40% - Accent3 10 4 2" xfId="4284" xr:uid="{00000000-0005-0000-0000-0000CC5F0000}"/>
    <cellStyle name="40% - Accent3 10 4 2 2" xfId="7515" xr:uid="{00000000-0005-0000-0000-0000CD5F0000}"/>
    <cellStyle name="40% - Accent3 10 4 2 2 2" xfId="13974" xr:uid="{00000000-0005-0000-0000-0000CE5F0000}"/>
    <cellStyle name="40% - Accent3 10 4 2 2 2 2" xfId="26891" xr:uid="{00000000-0005-0000-0000-0000CF5F0000}"/>
    <cellStyle name="40% - Accent3 10 4 2 2 2 2 2" xfId="52765" xr:uid="{00000000-0005-0000-0000-0000D05F0000}"/>
    <cellStyle name="40% - Accent3 10 4 2 2 2 3" xfId="39849" xr:uid="{00000000-0005-0000-0000-0000D15F0000}"/>
    <cellStyle name="40% - Accent3 10 4 2 2 3" xfId="20433" xr:uid="{00000000-0005-0000-0000-0000D25F0000}"/>
    <cellStyle name="40% - Accent3 10 4 2 2 3 2" xfId="46307" xr:uid="{00000000-0005-0000-0000-0000D35F0000}"/>
    <cellStyle name="40% - Accent3 10 4 2 2 4" xfId="33391" xr:uid="{00000000-0005-0000-0000-0000D45F0000}"/>
    <cellStyle name="40% - Accent3 10 4 2 3" xfId="10746" xr:uid="{00000000-0005-0000-0000-0000D55F0000}"/>
    <cellStyle name="40% - Accent3 10 4 2 3 2" xfId="23663" xr:uid="{00000000-0005-0000-0000-0000D65F0000}"/>
    <cellStyle name="40% - Accent3 10 4 2 3 2 2" xfId="49537" xr:uid="{00000000-0005-0000-0000-0000D75F0000}"/>
    <cellStyle name="40% - Accent3 10 4 2 3 3" xfId="36621" xr:uid="{00000000-0005-0000-0000-0000D85F0000}"/>
    <cellStyle name="40% - Accent3 10 4 2 4" xfId="17205" xr:uid="{00000000-0005-0000-0000-0000D95F0000}"/>
    <cellStyle name="40% - Accent3 10 4 2 4 2" xfId="43079" xr:uid="{00000000-0005-0000-0000-0000DA5F0000}"/>
    <cellStyle name="40% - Accent3 10 4 2 5" xfId="30131" xr:uid="{00000000-0005-0000-0000-0000DB5F0000}"/>
    <cellStyle name="40% - Accent3 10 4 3" xfId="5901" xr:uid="{00000000-0005-0000-0000-0000DC5F0000}"/>
    <cellStyle name="40% - Accent3 10 4 3 2" xfId="12360" xr:uid="{00000000-0005-0000-0000-0000DD5F0000}"/>
    <cellStyle name="40% - Accent3 10 4 3 2 2" xfId="25277" xr:uid="{00000000-0005-0000-0000-0000DE5F0000}"/>
    <cellStyle name="40% - Accent3 10 4 3 2 2 2" xfId="51151" xr:uid="{00000000-0005-0000-0000-0000DF5F0000}"/>
    <cellStyle name="40% - Accent3 10 4 3 2 3" xfId="38235" xr:uid="{00000000-0005-0000-0000-0000E05F0000}"/>
    <cellStyle name="40% - Accent3 10 4 3 3" xfId="18819" xr:uid="{00000000-0005-0000-0000-0000E15F0000}"/>
    <cellStyle name="40% - Accent3 10 4 3 3 2" xfId="44693" xr:uid="{00000000-0005-0000-0000-0000E25F0000}"/>
    <cellStyle name="40% - Accent3 10 4 3 4" xfId="31777" xr:uid="{00000000-0005-0000-0000-0000E35F0000}"/>
    <cellStyle name="40% - Accent3 10 4 4" xfId="9132" xr:uid="{00000000-0005-0000-0000-0000E45F0000}"/>
    <cellStyle name="40% - Accent3 10 4 4 2" xfId="22049" xr:uid="{00000000-0005-0000-0000-0000E55F0000}"/>
    <cellStyle name="40% - Accent3 10 4 4 2 2" xfId="47923" xr:uid="{00000000-0005-0000-0000-0000E65F0000}"/>
    <cellStyle name="40% - Accent3 10 4 4 3" xfId="35007" xr:uid="{00000000-0005-0000-0000-0000E75F0000}"/>
    <cellStyle name="40% - Accent3 10 4 5" xfId="15591" xr:uid="{00000000-0005-0000-0000-0000E85F0000}"/>
    <cellStyle name="40% - Accent3 10 4 5 2" xfId="41465" xr:uid="{00000000-0005-0000-0000-0000E95F0000}"/>
    <cellStyle name="40% - Accent3 10 4 6" xfId="28517" xr:uid="{00000000-0005-0000-0000-0000EA5F0000}"/>
    <cellStyle name="40% - Accent3 10 5" xfId="3454" xr:uid="{00000000-0005-0000-0000-0000EB5F0000}"/>
    <cellStyle name="40% - Accent3 10 5 2" xfId="6708" xr:uid="{00000000-0005-0000-0000-0000EC5F0000}"/>
    <cellStyle name="40% - Accent3 10 5 2 2" xfId="13167" xr:uid="{00000000-0005-0000-0000-0000ED5F0000}"/>
    <cellStyle name="40% - Accent3 10 5 2 2 2" xfId="26084" xr:uid="{00000000-0005-0000-0000-0000EE5F0000}"/>
    <cellStyle name="40% - Accent3 10 5 2 2 2 2" xfId="51958" xr:uid="{00000000-0005-0000-0000-0000EF5F0000}"/>
    <cellStyle name="40% - Accent3 10 5 2 2 3" xfId="39042" xr:uid="{00000000-0005-0000-0000-0000F05F0000}"/>
    <cellStyle name="40% - Accent3 10 5 2 3" xfId="19626" xr:uid="{00000000-0005-0000-0000-0000F15F0000}"/>
    <cellStyle name="40% - Accent3 10 5 2 3 2" xfId="45500" xr:uid="{00000000-0005-0000-0000-0000F25F0000}"/>
    <cellStyle name="40% - Accent3 10 5 2 4" xfId="32584" xr:uid="{00000000-0005-0000-0000-0000F35F0000}"/>
    <cellStyle name="40% - Accent3 10 5 3" xfId="9939" xr:uid="{00000000-0005-0000-0000-0000F45F0000}"/>
    <cellStyle name="40% - Accent3 10 5 3 2" xfId="22856" xr:uid="{00000000-0005-0000-0000-0000F55F0000}"/>
    <cellStyle name="40% - Accent3 10 5 3 2 2" xfId="48730" xr:uid="{00000000-0005-0000-0000-0000F65F0000}"/>
    <cellStyle name="40% - Accent3 10 5 3 3" xfId="35814" xr:uid="{00000000-0005-0000-0000-0000F75F0000}"/>
    <cellStyle name="40% - Accent3 10 5 4" xfId="16398" xr:uid="{00000000-0005-0000-0000-0000F85F0000}"/>
    <cellStyle name="40% - Accent3 10 5 4 2" xfId="42272" xr:uid="{00000000-0005-0000-0000-0000F95F0000}"/>
    <cellStyle name="40% - Accent3 10 5 5" xfId="29324" xr:uid="{00000000-0005-0000-0000-0000FA5F0000}"/>
    <cellStyle name="40% - Accent3 10 6" xfId="5094" xr:uid="{00000000-0005-0000-0000-0000FB5F0000}"/>
    <cellStyle name="40% - Accent3 10 6 2" xfId="11553" xr:uid="{00000000-0005-0000-0000-0000FC5F0000}"/>
    <cellStyle name="40% - Accent3 10 6 2 2" xfId="24470" xr:uid="{00000000-0005-0000-0000-0000FD5F0000}"/>
    <cellStyle name="40% - Accent3 10 6 2 2 2" xfId="50344" xr:uid="{00000000-0005-0000-0000-0000FE5F0000}"/>
    <cellStyle name="40% - Accent3 10 6 2 3" xfId="37428" xr:uid="{00000000-0005-0000-0000-0000FF5F0000}"/>
    <cellStyle name="40% - Accent3 10 6 3" xfId="18012" xr:uid="{00000000-0005-0000-0000-000000600000}"/>
    <cellStyle name="40% - Accent3 10 6 3 2" xfId="43886" xr:uid="{00000000-0005-0000-0000-000001600000}"/>
    <cellStyle name="40% - Accent3 10 6 4" xfId="30970" xr:uid="{00000000-0005-0000-0000-000002600000}"/>
    <cellStyle name="40% - Accent3 10 7" xfId="8324" xr:uid="{00000000-0005-0000-0000-000003600000}"/>
    <cellStyle name="40% - Accent3 10 7 2" xfId="21241" xr:uid="{00000000-0005-0000-0000-000004600000}"/>
    <cellStyle name="40% - Accent3 10 7 2 2" xfId="47115" xr:uid="{00000000-0005-0000-0000-000005600000}"/>
    <cellStyle name="40% - Accent3 10 7 3" xfId="34199" xr:uid="{00000000-0005-0000-0000-000006600000}"/>
    <cellStyle name="40% - Accent3 10 8" xfId="14783" xr:uid="{00000000-0005-0000-0000-000007600000}"/>
    <cellStyle name="40% - Accent3 10 8 2" xfId="40657" xr:uid="{00000000-0005-0000-0000-000008600000}"/>
    <cellStyle name="40% - Accent3 10 9" xfId="27707" xr:uid="{00000000-0005-0000-0000-000009600000}"/>
    <cellStyle name="40% - Accent3 11" xfId="1762" xr:uid="{00000000-0005-0000-0000-00000A600000}"/>
    <cellStyle name="40% - Accent3 11 2" xfId="2256" xr:uid="{00000000-0005-0000-0000-00000B600000}"/>
    <cellStyle name="40% - Accent3 11 2 2" xfId="3070" xr:uid="{00000000-0005-0000-0000-00000C600000}"/>
    <cellStyle name="40% - Accent3 11 2 2 2" xfId="4727" xr:uid="{00000000-0005-0000-0000-00000D600000}"/>
    <cellStyle name="40% - Accent3 11 2 2 2 2" xfId="7958" xr:uid="{00000000-0005-0000-0000-00000E600000}"/>
    <cellStyle name="40% - Accent3 11 2 2 2 2 2" xfId="14417" xr:uid="{00000000-0005-0000-0000-00000F600000}"/>
    <cellStyle name="40% - Accent3 11 2 2 2 2 2 2" xfId="27334" xr:uid="{00000000-0005-0000-0000-000010600000}"/>
    <cellStyle name="40% - Accent3 11 2 2 2 2 2 2 2" xfId="53208" xr:uid="{00000000-0005-0000-0000-000011600000}"/>
    <cellStyle name="40% - Accent3 11 2 2 2 2 2 3" xfId="40292" xr:uid="{00000000-0005-0000-0000-000012600000}"/>
    <cellStyle name="40% - Accent3 11 2 2 2 2 3" xfId="20876" xr:uid="{00000000-0005-0000-0000-000013600000}"/>
    <cellStyle name="40% - Accent3 11 2 2 2 2 3 2" xfId="46750" xr:uid="{00000000-0005-0000-0000-000014600000}"/>
    <cellStyle name="40% - Accent3 11 2 2 2 2 4" xfId="33834" xr:uid="{00000000-0005-0000-0000-000015600000}"/>
    <cellStyle name="40% - Accent3 11 2 2 2 3" xfId="11189" xr:uid="{00000000-0005-0000-0000-000016600000}"/>
    <cellStyle name="40% - Accent3 11 2 2 2 3 2" xfId="24106" xr:uid="{00000000-0005-0000-0000-000017600000}"/>
    <cellStyle name="40% - Accent3 11 2 2 2 3 2 2" xfId="49980" xr:uid="{00000000-0005-0000-0000-000018600000}"/>
    <cellStyle name="40% - Accent3 11 2 2 2 3 3" xfId="37064" xr:uid="{00000000-0005-0000-0000-000019600000}"/>
    <cellStyle name="40% - Accent3 11 2 2 2 4" xfId="17648" xr:uid="{00000000-0005-0000-0000-00001A600000}"/>
    <cellStyle name="40% - Accent3 11 2 2 2 4 2" xfId="43522" xr:uid="{00000000-0005-0000-0000-00001B600000}"/>
    <cellStyle name="40% - Accent3 11 2 2 2 5" xfId="30574" xr:uid="{00000000-0005-0000-0000-00001C600000}"/>
    <cellStyle name="40% - Accent3 11 2 2 3" xfId="6344" xr:uid="{00000000-0005-0000-0000-00001D600000}"/>
    <cellStyle name="40% - Accent3 11 2 2 3 2" xfId="12803" xr:uid="{00000000-0005-0000-0000-00001E600000}"/>
    <cellStyle name="40% - Accent3 11 2 2 3 2 2" xfId="25720" xr:uid="{00000000-0005-0000-0000-00001F600000}"/>
    <cellStyle name="40% - Accent3 11 2 2 3 2 2 2" xfId="51594" xr:uid="{00000000-0005-0000-0000-000020600000}"/>
    <cellStyle name="40% - Accent3 11 2 2 3 2 3" xfId="38678" xr:uid="{00000000-0005-0000-0000-000021600000}"/>
    <cellStyle name="40% - Accent3 11 2 2 3 3" xfId="19262" xr:uid="{00000000-0005-0000-0000-000022600000}"/>
    <cellStyle name="40% - Accent3 11 2 2 3 3 2" xfId="45136" xr:uid="{00000000-0005-0000-0000-000023600000}"/>
    <cellStyle name="40% - Accent3 11 2 2 3 4" xfId="32220" xr:uid="{00000000-0005-0000-0000-000024600000}"/>
    <cellStyle name="40% - Accent3 11 2 2 4" xfId="9575" xr:uid="{00000000-0005-0000-0000-000025600000}"/>
    <cellStyle name="40% - Accent3 11 2 2 4 2" xfId="22492" xr:uid="{00000000-0005-0000-0000-000026600000}"/>
    <cellStyle name="40% - Accent3 11 2 2 4 2 2" xfId="48366" xr:uid="{00000000-0005-0000-0000-000027600000}"/>
    <cellStyle name="40% - Accent3 11 2 2 4 3" xfId="35450" xr:uid="{00000000-0005-0000-0000-000028600000}"/>
    <cellStyle name="40% - Accent3 11 2 2 5" xfId="16034" xr:uid="{00000000-0005-0000-0000-000029600000}"/>
    <cellStyle name="40% - Accent3 11 2 2 5 2" xfId="41908" xr:uid="{00000000-0005-0000-0000-00002A600000}"/>
    <cellStyle name="40% - Accent3 11 2 2 6" xfId="28960" xr:uid="{00000000-0005-0000-0000-00002B600000}"/>
    <cellStyle name="40% - Accent3 11 2 3" xfId="3897" xr:uid="{00000000-0005-0000-0000-00002C600000}"/>
    <cellStyle name="40% - Accent3 11 2 3 2" xfId="7151" xr:uid="{00000000-0005-0000-0000-00002D600000}"/>
    <cellStyle name="40% - Accent3 11 2 3 2 2" xfId="13610" xr:uid="{00000000-0005-0000-0000-00002E600000}"/>
    <cellStyle name="40% - Accent3 11 2 3 2 2 2" xfId="26527" xr:uid="{00000000-0005-0000-0000-00002F600000}"/>
    <cellStyle name="40% - Accent3 11 2 3 2 2 2 2" xfId="52401" xr:uid="{00000000-0005-0000-0000-000030600000}"/>
    <cellStyle name="40% - Accent3 11 2 3 2 2 3" xfId="39485" xr:uid="{00000000-0005-0000-0000-000031600000}"/>
    <cellStyle name="40% - Accent3 11 2 3 2 3" xfId="20069" xr:uid="{00000000-0005-0000-0000-000032600000}"/>
    <cellStyle name="40% - Accent3 11 2 3 2 3 2" xfId="45943" xr:uid="{00000000-0005-0000-0000-000033600000}"/>
    <cellStyle name="40% - Accent3 11 2 3 2 4" xfId="33027" xr:uid="{00000000-0005-0000-0000-000034600000}"/>
    <cellStyle name="40% - Accent3 11 2 3 3" xfId="10382" xr:uid="{00000000-0005-0000-0000-000035600000}"/>
    <cellStyle name="40% - Accent3 11 2 3 3 2" xfId="23299" xr:uid="{00000000-0005-0000-0000-000036600000}"/>
    <cellStyle name="40% - Accent3 11 2 3 3 2 2" xfId="49173" xr:uid="{00000000-0005-0000-0000-000037600000}"/>
    <cellStyle name="40% - Accent3 11 2 3 3 3" xfId="36257" xr:uid="{00000000-0005-0000-0000-000038600000}"/>
    <cellStyle name="40% - Accent3 11 2 3 4" xfId="16841" xr:uid="{00000000-0005-0000-0000-000039600000}"/>
    <cellStyle name="40% - Accent3 11 2 3 4 2" xfId="42715" xr:uid="{00000000-0005-0000-0000-00003A600000}"/>
    <cellStyle name="40% - Accent3 11 2 3 5" xfId="29767" xr:uid="{00000000-0005-0000-0000-00003B600000}"/>
    <cellStyle name="40% - Accent3 11 2 4" xfId="5537" xr:uid="{00000000-0005-0000-0000-00003C600000}"/>
    <cellStyle name="40% - Accent3 11 2 4 2" xfId="11996" xr:uid="{00000000-0005-0000-0000-00003D600000}"/>
    <cellStyle name="40% - Accent3 11 2 4 2 2" xfId="24913" xr:uid="{00000000-0005-0000-0000-00003E600000}"/>
    <cellStyle name="40% - Accent3 11 2 4 2 2 2" xfId="50787" xr:uid="{00000000-0005-0000-0000-00003F600000}"/>
    <cellStyle name="40% - Accent3 11 2 4 2 3" xfId="37871" xr:uid="{00000000-0005-0000-0000-000040600000}"/>
    <cellStyle name="40% - Accent3 11 2 4 3" xfId="18455" xr:uid="{00000000-0005-0000-0000-000041600000}"/>
    <cellStyle name="40% - Accent3 11 2 4 3 2" xfId="44329" xr:uid="{00000000-0005-0000-0000-000042600000}"/>
    <cellStyle name="40% - Accent3 11 2 4 4" xfId="31413" xr:uid="{00000000-0005-0000-0000-000043600000}"/>
    <cellStyle name="40% - Accent3 11 2 5" xfId="8768" xr:uid="{00000000-0005-0000-0000-000044600000}"/>
    <cellStyle name="40% - Accent3 11 2 5 2" xfId="21685" xr:uid="{00000000-0005-0000-0000-000045600000}"/>
    <cellStyle name="40% - Accent3 11 2 5 2 2" xfId="47559" xr:uid="{00000000-0005-0000-0000-000046600000}"/>
    <cellStyle name="40% - Accent3 11 2 5 3" xfId="34643" xr:uid="{00000000-0005-0000-0000-000047600000}"/>
    <cellStyle name="40% - Accent3 11 2 6" xfId="15227" xr:uid="{00000000-0005-0000-0000-000048600000}"/>
    <cellStyle name="40% - Accent3 11 2 6 2" xfId="41101" xr:uid="{00000000-0005-0000-0000-000049600000}"/>
    <cellStyle name="40% - Accent3 11 2 7" xfId="28153" xr:uid="{00000000-0005-0000-0000-00004A600000}"/>
    <cellStyle name="40% - Accent3 11 2 8" xfId="54015" xr:uid="{00000000-0005-0000-0000-00004B600000}"/>
    <cellStyle name="40% - Accent3 11 3" xfId="2667" xr:uid="{00000000-0005-0000-0000-00004C600000}"/>
    <cellStyle name="40% - Accent3 11 3 2" xfId="4324" xr:uid="{00000000-0005-0000-0000-00004D600000}"/>
    <cellStyle name="40% - Accent3 11 3 2 2" xfId="7555" xr:uid="{00000000-0005-0000-0000-00004E600000}"/>
    <cellStyle name="40% - Accent3 11 3 2 2 2" xfId="14014" xr:uid="{00000000-0005-0000-0000-00004F600000}"/>
    <cellStyle name="40% - Accent3 11 3 2 2 2 2" xfId="26931" xr:uid="{00000000-0005-0000-0000-000050600000}"/>
    <cellStyle name="40% - Accent3 11 3 2 2 2 2 2" xfId="52805" xr:uid="{00000000-0005-0000-0000-000051600000}"/>
    <cellStyle name="40% - Accent3 11 3 2 2 2 3" xfId="39889" xr:uid="{00000000-0005-0000-0000-000052600000}"/>
    <cellStyle name="40% - Accent3 11 3 2 2 3" xfId="20473" xr:uid="{00000000-0005-0000-0000-000053600000}"/>
    <cellStyle name="40% - Accent3 11 3 2 2 3 2" xfId="46347" xr:uid="{00000000-0005-0000-0000-000054600000}"/>
    <cellStyle name="40% - Accent3 11 3 2 2 4" xfId="33431" xr:uid="{00000000-0005-0000-0000-000055600000}"/>
    <cellStyle name="40% - Accent3 11 3 2 3" xfId="10786" xr:uid="{00000000-0005-0000-0000-000056600000}"/>
    <cellStyle name="40% - Accent3 11 3 2 3 2" xfId="23703" xr:uid="{00000000-0005-0000-0000-000057600000}"/>
    <cellStyle name="40% - Accent3 11 3 2 3 2 2" xfId="49577" xr:uid="{00000000-0005-0000-0000-000058600000}"/>
    <cellStyle name="40% - Accent3 11 3 2 3 3" xfId="36661" xr:uid="{00000000-0005-0000-0000-000059600000}"/>
    <cellStyle name="40% - Accent3 11 3 2 4" xfId="17245" xr:uid="{00000000-0005-0000-0000-00005A600000}"/>
    <cellStyle name="40% - Accent3 11 3 2 4 2" xfId="43119" xr:uid="{00000000-0005-0000-0000-00005B600000}"/>
    <cellStyle name="40% - Accent3 11 3 2 5" xfId="30171" xr:uid="{00000000-0005-0000-0000-00005C600000}"/>
    <cellStyle name="40% - Accent3 11 3 3" xfId="5941" xr:uid="{00000000-0005-0000-0000-00005D600000}"/>
    <cellStyle name="40% - Accent3 11 3 3 2" xfId="12400" xr:uid="{00000000-0005-0000-0000-00005E600000}"/>
    <cellStyle name="40% - Accent3 11 3 3 2 2" xfId="25317" xr:uid="{00000000-0005-0000-0000-00005F600000}"/>
    <cellStyle name="40% - Accent3 11 3 3 2 2 2" xfId="51191" xr:uid="{00000000-0005-0000-0000-000060600000}"/>
    <cellStyle name="40% - Accent3 11 3 3 2 3" xfId="38275" xr:uid="{00000000-0005-0000-0000-000061600000}"/>
    <cellStyle name="40% - Accent3 11 3 3 3" xfId="18859" xr:uid="{00000000-0005-0000-0000-000062600000}"/>
    <cellStyle name="40% - Accent3 11 3 3 3 2" xfId="44733" xr:uid="{00000000-0005-0000-0000-000063600000}"/>
    <cellStyle name="40% - Accent3 11 3 3 4" xfId="31817" xr:uid="{00000000-0005-0000-0000-000064600000}"/>
    <cellStyle name="40% - Accent3 11 3 4" xfId="9172" xr:uid="{00000000-0005-0000-0000-000065600000}"/>
    <cellStyle name="40% - Accent3 11 3 4 2" xfId="22089" xr:uid="{00000000-0005-0000-0000-000066600000}"/>
    <cellStyle name="40% - Accent3 11 3 4 2 2" xfId="47963" xr:uid="{00000000-0005-0000-0000-000067600000}"/>
    <cellStyle name="40% - Accent3 11 3 4 3" xfId="35047" xr:uid="{00000000-0005-0000-0000-000068600000}"/>
    <cellStyle name="40% - Accent3 11 3 5" xfId="15631" xr:uid="{00000000-0005-0000-0000-000069600000}"/>
    <cellStyle name="40% - Accent3 11 3 5 2" xfId="41505" xr:uid="{00000000-0005-0000-0000-00006A600000}"/>
    <cellStyle name="40% - Accent3 11 3 6" xfId="28557" xr:uid="{00000000-0005-0000-0000-00006B600000}"/>
    <cellStyle name="40% - Accent3 11 4" xfId="3494" xr:uid="{00000000-0005-0000-0000-00006C600000}"/>
    <cellStyle name="40% - Accent3 11 4 2" xfId="6748" xr:uid="{00000000-0005-0000-0000-00006D600000}"/>
    <cellStyle name="40% - Accent3 11 4 2 2" xfId="13207" xr:uid="{00000000-0005-0000-0000-00006E600000}"/>
    <cellStyle name="40% - Accent3 11 4 2 2 2" xfId="26124" xr:uid="{00000000-0005-0000-0000-00006F600000}"/>
    <cellStyle name="40% - Accent3 11 4 2 2 2 2" xfId="51998" xr:uid="{00000000-0005-0000-0000-000070600000}"/>
    <cellStyle name="40% - Accent3 11 4 2 2 3" xfId="39082" xr:uid="{00000000-0005-0000-0000-000071600000}"/>
    <cellStyle name="40% - Accent3 11 4 2 3" xfId="19666" xr:uid="{00000000-0005-0000-0000-000072600000}"/>
    <cellStyle name="40% - Accent3 11 4 2 3 2" xfId="45540" xr:uid="{00000000-0005-0000-0000-000073600000}"/>
    <cellStyle name="40% - Accent3 11 4 2 4" xfId="32624" xr:uid="{00000000-0005-0000-0000-000074600000}"/>
    <cellStyle name="40% - Accent3 11 4 3" xfId="9979" xr:uid="{00000000-0005-0000-0000-000075600000}"/>
    <cellStyle name="40% - Accent3 11 4 3 2" xfId="22896" xr:uid="{00000000-0005-0000-0000-000076600000}"/>
    <cellStyle name="40% - Accent3 11 4 3 2 2" xfId="48770" xr:uid="{00000000-0005-0000-0000-000077600000}"/>
    <cellStyle name="40% - Accent3 11 4 3 3" xfId="35854" xr:uid="{00000000-0005-0000-0000-000078600000}"/>
    <cellStyle name="40% - Accent3 11 4 4" xfId="16438" xr:uid="{00000000-0005-0000-0000-000079600000}"/>
    <cellStyle name="40% - Accent3 11 4 4 2" xfId="42312" xr:uid="{00000000-0005-0000-0000-00007A600000}"/>
    <cellStyle name="40% - Accent3 11 4 5" xfId="29364" xr:uid="{00000000-0005-0000-0000-00007B600000}"/>
    <cellStyle name="40% - Accent3 11 5" xfId="5134" xr:uid="{00000000-0005-0000-0000-00007C600000}"/>
    <cellStyle name="40% - Accent3 11 5 2" xfId="11593" xr:uid="{00000000-0005-0000-0000-00007D600000}"/>
    <cellStyle name="40% - Accent3 11 5 2 2" xfId="24510" xr:uid="{00000000-0005-0000-0000-00007E600000}"/>
    <cellStyle name="40% - Accent3 11 5 2 2 2" xfId="50384" xr:uid="{00000000-0005-0000-0000-00007F600000}"/>
    <cellStyle name="40% - Accent3 11 5 2 3" xfId="37468" xr:uid="{00000000-0005-0000-0000-000080600000}"/>
    <cellStyle name="40% - Accent3 11 5 3" xfId="18052" xr:uid="{00000000-0005-0000-0000-000081600000}"/>
    <cellStyle name="40% - Accent3 11 5 3 2" xfId="43926" xr:uid="{00000000-0005-0000-0000-000082600000}"/>
    <cellStyle name="40% - Accent3 11 5 4" xfId="31010" xr:uid="{00000000-0005-0000-0000-000083600000}"/>
    <cellStyle name="40% - Accent3 11 6" xfId="8364" xr:uid="{00000000-0005-0000-0000-000084600000}"/>
    <cellStyle name="40% - Accent3 11 6 2" xfId="21281" xr:uid="{00000000-0005-0000-0000-000085600000}"/>
    <cellStyle name="40% - Accent3 11 6 2 2" xfId="47155" xr:uid="{00000000-0005-0000-0000-000086600000}"/>
    <cellStyle name="40% - Accent3 11 6 3" xfId="34239" xr:uid="{00000000-0005-0000-0000-000087600000}"/>
    <cellStyle name="40% - Accent3 11 7" xfId="14823" xr:uid="{00000000-0005-0000-0000-000088600000}"/>
    <cellStyle name="40% - Accent3 11 7 2" xfId="40697" xr:uid="{00000000-0005-0000-0000-000089600000}"/>
    <cellStyle name="40% - Accent3 11 8" xfId="27749" xr:uid="{00000000-0005-0000-0000-00008A600000}"/>
    <cellStyle name="40% - Accent3 11 9" xfId="53612" xr:uid="{00000000-0005-0000-0000-00008B600000}"/>
    <cellStyle name="40% - Accent3 12" xfId="2043" xr:uid="{00000000-0005-0000-0000-00008C600000}"/>
    <cellStyle name="40% - Accent3 12 2" xfId="2452" xr:uid="{00000000-0005-0000-0000-00008D600000}"/>
    <cellStyle name="40% - Accent3 12 2 2" xfId="3265" xr:uid="{00000000-0005-0000-0000-00008E600000}"/>
    <cellStyle name="40% - Accent3 12 2 2 2" xfId="4922" xr:uid="{00000000-0005-0000-0000-00008F600000}"/>
    <cellStyle name="40% - Accent3 12 2 2 2 2" xfId="8153" xr:uid="{00000000-0005-0000-0000-000090600000}"/>
    <cellStyle name="40% - Accent3 12 2 2 2 2 2" xfId="14612" xr:uid="{00000000-0005-0000-0000-000091600000}"/>
    <cellStyle name="40% - Accent3 12 2 2 2 2 2 2" xfId="27529" xr:uid="{00000000-0005-0000-0000-000092600000}"/>
    <cellStyle name="40% - Accent3 12 2 2 2 2 2 2 2" xfId="53403" xr:uid="{00000000-0005-0000-0000-000093600000}"/>
    <cellStyle name="40% - Accent3 12 2 2 2 2 2 3" xfId="40487" xr:uid="{00000000-0005-0000-0000-000094600000}"/>
    <cellStyle name="40% - Accent3 12 2 2 2 2 3" xfId="21071" xr:uid="{00000000-0005-0000-0000-000095600000}"/>
    <cellStyle name="40% - Accent3 12 2 2 2 2 3 2" xfId="46945" xr:uid="{00000000-0005-0000-0000-000096600000}"/>
    <cellStyle name="40% - Accent3 12 2 2 2 2 4" xfId="34029" xr:uid="{00000000-0005-0000-0000-000097600000}"/>
    <cellStyle name="40% - Accent3 12 2 2 2 3" xfId="11384" xr:uid="{00000000-0005-0000-0000-000098600000}"/>
    <cellStyle name="40% - Accent3 12 2 2 2 3 2" xfId="24301" xr:uid="{00000000-0005-0000-0000-000099600000}"/>
    <cellStyle name="40% - Accent3 12 2 2 2 3 2 2" xfId="50175" xr:uid="{00000000-0005-0000-0000-00009A600000}"/>
    <cellStyle name="40% - Accent3 12 2 2 2 3 3" xfId="37259" xr:uid="{00000000-0005-0000-0000-00009B600000}"/>
    <cellStyle name="40% - Accent3 12 2 2 2 4" xfId="17843" xr:uid="{00000000-0005-0000-0000-00009C600000}"/>
    <cellStyle name="40% - Accent3 12 2 2 2 4 2" xfId="43717" xr:uid="{00000000-0005-0000-0000-00009D600000}"/>
    <cellStyle name="40% - Accent3 12 2 2 2 5" xfId="30769" xr:uid="{00000000-0005-0000-0000-00009E600000}"/>
    <cellStyle name="40% - Accent3 12 2 2 3" xfId="6539" xr:uid="{00000000-0005-0000-0000-00009F600000}"/>
    <cellStyle name="40% - Accent3 12 2 2 3 2" xfId="12998" xr:uid="{00000000-0005-0000-0000-0000A0600000}"/>
    <cellStyle name="40% - Accent3 12 2 2 3 2 2" xfId="25915" xr:uid="{00000000-0005-0000-0000-0000A1600000}"/>
    <cellStyle name="40% - Accent3 12 2 2 3 2 2 2" xfId="51789" xr:uid="{00000000-0005-0000-0000-0000A2600000}"/>
    <cellStyle name="40% - Accent3 12 2 2 3 2 3" xfId="38873" xr:uid="{00000000-0005-0000-0000-0000A3600000}"/>
    <cellStyle name="40% - Accent3 12 2 2 3 3" xfId="19457" xr:uid="{00000000-0005-0000-0000-0000A4600000}"/>
    <cellStyle name="40% - Accent3 12 2 2 3 3 2" xfId="45331" xr:uid="{00000000-0005-0000-0000-0000A5600000}"/>
    <cellStyle name="40% - Accent3 12 2 2 3 4" xfId="32415" xr:uid="{00000000-0005-0000-0000-0000A6600000}"/>
    <cellStyle name="40% - Accent3 12 2 2 4" xfId="9770" xr:uid="{00000000-0005-0000-0000-0000A7600000}"/>
    <cellStyle name="40% - Accent3 12 2 2 4 2" xfId="22687" xr:uid="{00000000-0005-0000-0000-0000A8600000}"/>
    <cellStyle name="40% - Accent3 12 2 2 4 2 2" xfId="48561" xr:uid="{00000000-0005-0000-0000-0000A9600000}"/>
    <cellStyle name="40% - Accent3 12 2 2 4 3" xfId="35645" xr:uid="{00000000-0005-0000-0000-0000AA600000}"/>
    <cellStyle name="40% - Accent3 12 2 2 5" xfId="16229" xr:uid="{00000000-0005-0000-0000-0000AB600000}"/>
    <cellStyle name="40% - Accent3 12 2 2 5 2" xfId="42103" xr:uid="{00000000-0005-0000-0000-0000AC600000}"/>
    <cellStyle name="40% - Accent3 12 2 2 6" xfId="29155" xr:uid="{00000000-0005-0000-0000-0000AD600000}"/>
    <cellStyle name="40% - Accent3 12 2 3" xfId="4092" xr:uid="{00000000-0005-0000-0000-0000AE600000}"/>
    <cellStyle name="40% - Accent3 12 2 3 2" xfId="7346" xr:uid="{00000000-0005-0000-0000-0000AF600000}"/>
    <cellStyle name="40% - Accent3 12 2 3 2 2" xfId="13805" xr:uid="{00000000-0005-0000-0000-0000B0600000}"/>
    <cellStyle name="40% - Accent3 12 2 3 2 2 2" xfId="26722" xr:uid="{00000000-0005-0000-0000-0000B1600000}"/>
    <cellStyle name="40% - Accent3 12 2 3 2 2 2 2" xfId="52596" xr:uid="{00000000-0005-0000-0000-0000B2600000}"/>
    <cellStyle name="40% - Accent3 12 2 3 2 2 3" xfId="39680" xr:uid="{00000000-0005-0000-0000-0000B3600000}"/>
    <cellStyle name="40% - Accent3 12 2 3 2 3" xfId="20264" xr:uid="{00000000-0005-0000-0000-0000B4600000}"/>
    <cellStyle name="40% - Accent3 12 2 3 2 3 2" xfId="46138" xr:uid="{00000000-0005-0000-0000-0000B5600000}"/>
    <cellStyle name="40% - Accent3 12 2 3 2 4" xfId="33222" xr:uid="{00000000-0005-0000-0000-0000B6600000}"/>
    <cellStyle name="40% - Accent3 12 2 3 3" xfId="10577" xr:uid="{00000000-0005-0000-0000-0000B7600000}"/>
    <cellStyle name="40% - Accent3 12 2 3 3 2" xfId="23494" xr:uid="{00000000-0005-0000-0000-0000B8600000}"/>
    <cellStyle name="40% - Accent3 12 2 3 3 2 2" xfId="49368" xr:uid="{00000000-0005-0000-0000-0000B9600000}"/>
    <cellStyle name="40% - Accent3 12 2 3 3 3" xfId="36452" xr:uid="{00000000-0005-0000-0000-0000BA600000}"/>
    <cellStyle name="40% - Accent3 12 2 3 4" xfId="17036" xr:uid="{00000000-0005-0000-0000-0000BB600000}"/>
    <cellStyle name="40% - Accent3 12 2 3 4 2" xfId="42910" xr:uid="{00000000-0005-0000-0000-0000BC600000}"/>
    <cellStyle name="40% - Accent3 12 2 3 5" xfId="29962" xr:uid="{00000000-0005-0000-0000-0000BD600000}"/>
    <cellStyle name="40% - Accent3 12 2 4" xfId="5732" xr:uid="{00000000-0005-0000-0000-0000BE600000}"/>
    <cellStyle name="40% - Accent3 12 2 4 2" xfId="12191" xr:uid="{00000000-0005-0000-0000-0000BF600000}"/>
    <cellStyle name="40% - Accent3 12 2 4 2 2" xfId="25108" xr:uid="{00000000-0005-0000-0000-0000C0600000}"/>
    <cellStyle name="40% - Accent3 12 2 4 2 2 2" xfId="50982" xr:uid="{00000000-0005-0000-0000-0000C1600000}"/>
    <cellStyle name="40% - Accent3 12 2 4 2 3" xfId="38066" xr:uid="{00000000-0005-0000-0000-0000C2600000}"/>
    <cellStyle name="40% - Accent3 12 2 4 3" xfId="18650" xr:uid="{00000000-0005-0000-0000-0000C3600000}"/>
    <cellStyle name="40% - Accent3 12 2 4 3 2" xfId="44524" xr:uid="{00000000-0005-0000-0000-0000C4600000}"/>
    <cellStyle name="40% - Accent3 12 2 4 4" xfId="31608" xr:uid="{00000000-0005-0000-0000-0000C5600000}"/>
    <cellStyle name="40% - Accent3 12 2 5" xfId="8963" xr:uid="{00000000-0005-0000-0000-0000C6600000}"/>
    <cellStyle name="40% - Accent3 12 2 5 2" xfId="21880" xr:uid="{00000000-0005-0000-0000-0000C7600000}"/>
    <cellStyle name="40% - Accent3 12 2 5 2 2" xfId="47754" xr:uid="{00000000-0005-0000-0000-0000C8600000}"/>
    <cellStyle name="40% - Accent3 12 2 5 3" xfId="34838" xr:uid="{00000000-0005-0000-0000-0000C9600000}"/>
    <cellStyle name="40% - Accent3 12 2 6" xfId="15422" xr:uid="{00000000-0005-0000-0000-0000CA600000}"/>
    <cellStyle name="40% - Accent3 12 2 6 2" xfId="41296" xr:uid="{00000000-0005-0000-0000-0000CB600000}"/>
    <cellStyle name="40% - Accent3 12 2 7" xfId="28348" xr:uid="{00000000-0005-0000-0000-0000CC600000}"/>
    <cellStyle name="40% - Accent3 12 2 8" xfId="54210" xr:uid="{00000000-0005-0000-0000-0000CD600000}"/>
    <cellStyle name="40% - Accent3 12 3" xfId="2861" xr:uid="{00000000-0005-0000-0000-0000CE600000}"/>
    <cellStyle name="40% - Accent3 12 3 2" xfId="4518" xr:uid="{00000000-0005-0000-0000-0000CF600000}"/>
    <cellStyle name="40% - Accent3 12 3 2 2" xfId="7749" xr:uid="{00000000-0005-0000-0000-0000D0600000}"/>
    <cellStyle name="40% - Accent3 12 3 2 2 2" xfId="14208" xr:uid="{00000000-0005-0000-0000-0000D1600000}"/>
    <cellStyle name="40% - Accent3 12 3 2 2 2 2" xfId="27125" xr:uid="{00000000-0005-0000-0000-0000D2600000}"/>
    <cellStyle name="40% - Accent3 12 3 2 2 2 2 2" xfId="52999" xr:uid="{00000000-0005-0000-0000-0000D3600000}"/>
    <cellStyle name="40% - Accent3 12 3 2 2 2 3" xfId="40083" xr:uid="{00000000-0005-0000-0000-0000D4600000}"/>
    <cellStyle name="40% - Accent3 12 3 2 2 3" xfId="20667" xr:uid="{00000000-0005-0000-0000-0000D5600000}"/>
    <cellStyle name="40% - Accent3 12 3 2 2 3 2" xfId="46541" xr:uid="{00000000-0005-0000-0000-0000D6600000}"/>
    <cellStyle name="40% - Accent3 12 3 2 2 4" xfId="33625" xr:uid="{00000000-0005-0000-0000-0000D7600000}"/>
    <cellStyle name="40% - Accent3 12 3 2 3" xfId="10980" xr:uid="{00000000-0005-0000-0000-0000D8600000}"/>
    <cellStyle name="40% - Accent3 12 3 2 3 2" xfId="23897" xr:uid="{00000000-0005-0000-0000-0000D9600000}"/>
    <cellStyle name="40% - Accent3 12 3 2 3 2 2" xfId="49771" xr:uid="{00000000-0005-0000-0000-0000DA600000}"/>
    <cellStyle name="40% - Accent3 12 3 2 3 3" xfId="36855" xr:uid="{00000000-0005-0000-0000-0000DB600000}"/>
    <cellStyle name="40% - Accent3 12 3 2 4" xfId="17439" xr:uid="{00000000-0005-0000-0000-0000DC600000}"/>
    <cellStyle name="40% - Accent3 12 3 2 4 2" xfId="43313" xr:uid="{00000000-0005-0000-0000-0000DD600000}"/>
    <cellStyle name="40% - Accent3 12 3 2 5" xfId="30365" xr:uid="{00000000-0005-0000-0000-0000DE600000}"/>
    <cellStyle name="40% - Accent3 12 3 3" xfId="6135" xr:uid="{00000000-0005-0000-0000-0000DF600000}"/>
    <cellStyle name="40% - Accent3 12 3 3 2" xfId="12594" xr:uid="{00000000-0005-0000-0000-0000E0600000}"/>
    <cellStyle name="40% - Accent3 12 3 3 2 2" xfId="25511" xr:uid="{00000000-0005-0000-0000-0000E1600000}"/>
    <cellStyle name="40% - Accent3 12 3 3 2 2 2" xfId="51385" xr:uid="{00000000-0005-0000-0000-0000E2600000}"/>
    <cellStyle name="40% - Accent3 12 3 3 2 3" xfId="38469" xr:uid="{00000000-0005-0000-0000-0000E3600000}"/>
    <cellStyle name="40% - Accent3 12 3 3 3" xfId="19053" xr:uid="{00000000-0005-0000-0000-0000E4600000}"/>
    <cellStyle name="40% - Accent3 12 3 3 3 2" xfId="44927" xr:uid="{00000000-0005-0000-0000-0000E5600000}"/>
    <cellStyle name="40% - Accent3 12 3 3 4" xfId="32011" xr:uid="{00000000-0005-0000-0000-0000E6600000}"/>
    <cellStyle name="40% - Accent3 12 3 4" xfId="9366" xr:uid="{00000000-0005-0000-0000-0000E7600000}"/>
    <cellStyle name="40% - Accent3 12 3 4 2" xfId="22283" xr:uid="{00000000-0005-0000-0000-0000E8600000}"/>
    <cellStyle name="40% - Accent3 12 3 4 2 2" xfId="48157" xr:uid="{00000000-0005-0000-0000-0000E9600000}"/>
    <cellStyle name="40% - Accent3 12 3 4 3" xfId="35241" xr:uid="{00000000-0005-0000-0000-0000EA600000}"/>
    <cellStyle name="40% - Accent3 12 3 5" xfId="15825" xr:uid="{00000000-0005-0000-0000-0000EB600000}"/>
    <cellStyle name="40% - Accent3 12 3 5 2" xfId="41699" xr:uid="{00000000-0005-0000-0000-0000EC600000}"/>
    <cellStyle name="40% - Accent3 12 3 6" xfId="28751" xr:uid="{00000000-0005-0000-0000-0000ED600000}"/>
    <cellStyle name="40% - Accent3 12 4" xfId="3688" xr:uid="{00000000-0005-0000-0000-0000EE600000}"/>
    <cellStyle name="40% - Accent3 12 4 2" xfId="6942" xr:uid="{00000000-0005-0000-0000-0000EF600000}"/>
    <cellStyle name="40% - Accent3 12 4 2 2" xfId="13401" xr:uid="{00000000-0005-0000-0000-0000F0600000}"/>
    <cellStyle name="40% - Accent3 12 4 2 2 2" xfId="26318" xr:uid="{00000000-0005-0000-0000-0000F1600000}"/>
    <cellStyle name="40% - Accent3 12 4 2 2 2 2" xfId="52192" xr:uid="{00000000-0005-0000-0000-0000F2600000}"/>
    <cellStyle name="40% - Accent3 12 4 2 2 3" xfId="39276" xr:uid="{00000000-0005-0000-0000-0000F3600000}"/>
    <cellStyle name="40% - Accent3 12 4 2 3" xfId="19860" xr:uid="{00000000-0005-0000-0000-0000F4600000}"/>
    <cellStyle name="40% - Accent3 12 4 2 3 2" xfId="45734" xr:uid="{00000000-0005-0000-0000-0000F5600000}"/>
    <cellStyle name="40% - Accent3 12 4 2 4" xfId="32818" xr:uid="{00000000-0005-0000-0000-0000F6600000}"/>
    <cellStyle name="40% - Accent3 12 4 3" xfId="10173" xr:uid="{00000000-0005-0000-0000-0000F7600000}"/>
    <cellStyle name="40% - Accent3 12 4 3 2" xfId="23090" xr:uid="{00000000-0005-0000-0000-0000F8600000}"/>
    <cellStyle name="40% - Accent3 12 4 3 2 2" xfId="48964" xr:uid="{00000000-0005-0000-0000-0000F9600000}"/>
    <cellStyle name="40% - Accent3 12 4 3 3" xfId="36048" xr:uid="{00000000-0005-0000-0000-0000FA600000}"/>
    <cellStyle name="40% - Accent3 12 4 4" xfId="16632" xr:uid="{00000000-0005-0000-0000-0000FB600000}"/>
    <cellStyle name="40% - Accent3 12 4 4 2" xfId="42506" xr:uid="{00000000-0005-0000-0000-0000FC600000}"/>
    <cellStyle name="40% - Accent3 12 4 5" xfId="29558" xr:uid="{00000000-0005-0000-0000-0000FD600000}"/>
    <cellStyle name="40% - Accent3 12 5" xfId="5328" xr:uid="{00000000-0005-0000-0000-0000FE600000}"/>
    <cellStyle name="40% - Accent3 12 5 2" xfId="11787" xr:uid="{00000000-0005-0000-0000-0000FF600000}"/>
    <cellStyle name="40% - Accent3 12 5 2 2" xfId="24704" xr:uid="{00000000-0005-0000-0000-000000610000}"/>
    <cellStyle name="40% - Accent3 12 5 2 2 2" xfId="50578" xr:uid="{00000000-0005-0000-0000-000001610000}"/>
    <cellStyle name="40% - Accent3 12 5 2 3" xfId="37662" xr:uid="{00000000-0005-0000-0000-000002610000}"/>
    <cellStyle name="40% - Accent3 12 5 3" xfId="18246" xr:uid="{00000000-0005-0000-0000-000003610000}"/>
    <cellStyle name="40% - Accent3 12 5 3 2" xfId="44120" xr:uid="{00000000-0005-0000-0000-000004610000}"/>
    <cellStyle name="40% - Accent3 12 5 4" xfId="31204" xr:uid="{00000000-0005-0000-0000-000005610000}"/>
    <cellStyle name="40% - Accent3 12 6" xfId="8559" xr:uid="{00000000-0005-0000-0000-000006610000}"/>
    <cellStyle name="40% - Accent3 12 6 2" xfId="21476" xr:uid="{00000000-0005-0000-0000-000007610000}"/>
    <cellStyle name="40% - Accent3 12 6 2 2" xfId="47350" xr:uid="{00000000-0005-0000-0000-000008610000}"/>
    <cellStyle name="40% - Accent3 12 6 3" xfId="34434" xr:uid="{00000000-0005-0000-0000-000009610000}"/>
    <cellStyle name="40% - Accent3 12 7" xfId="15018" xr:uid="{00000000-0005-0000-0000-00000A610000}"/>
    <cellStyle name="40% - Accent3 12 7 2" xfId="40892" xr:uid="{00000000-0005-0000-0000-00000B610000}"/>
    <cellStyle name="40% - Accent3 12 8" xfId="27944" xr:uid="{00000000-0005-0000-0000-00000C610000}"/>
    <cellStyle name="40% - Accent3 12 9" xfId="53806" xr:uid="{00000000-0005-0000-0000-00000D610000}"/>
    <cellStyle name="40% - Accent3 13" xfId="2057" xr:uid="{00000000-0005-0000-0000-00000E610000}"/>
    <cellStyle name="40% - Accent3 13 2" xfId="2875" xr:uid="{00000000-0005-0000-0000-00000F610000}"/>
    <cellStyle name="40% - Accent3 13 2 2" xfId="4532" xr:uid="{00000000-0005-0000-0000-000010610000}"/>
    <cellStyle name="40% - Accent3 13 2 2 2" xfId="7763" xr:uid="{00000000-0005-0000-0000-000011610000}"/>
    <cellStyle name="40% - Accent3 13 2 2 2 2" xfId="14222" xr:uid="{00000000-0005-0000-0000-000012610000}"/>
    <cellStyle name="40% - Accent3 13 2 2 2 2 2" xfId="27139" xr:uid="{00000000-0005-0000-0000-000013610000}"/>
    <cellStyle name="40% - Accent3 13 2 2 2 2 2 2" xfId="53013" xr:uid="{00000000-0005-0000-0000-000014610000}"/>
    <cellStyle name="40% - Accent3 13 2 2 2 2 3" xfId="40097" xr:uid="{00000000-0005-0000-0000-000015610000}"/>
    <cellStyle name="40% - Accent3 13 2 2 2 3" xfId="20681" xr:uid="{00000000-0005-0000-0000-000016610000}"/>
    <cellStyle name="40% - Accent3 13 2 2 2 3 2" xfId="46555" xr:uid="{00000000-0005-0000-0000-000017610000}"/>
    <cellStyle name="40% - Accent3 13 2 2 2 4" xfId="33639" xr:uid="{00000000-0005-0000-0000-000018610000}"/>
    <cellStyle name="40% - Accent3 13 2 2 3" xfId="10994" xr:uid="{00000000-0005-0000-0000-000019610000}"/>
    <cellStyle name="40% - Accent3 13 2 2 3 2" xfId="23911" xr:uid="{00000000-0005-0000-0000-00001A610000}"/>
    <cellStyle name="40% - Accent3 13 2 2 3 2 2" xfId="49785" xr:uid="{00000000-0005-0000-0000-00001B610000}"/>
    <cellStyle name="40% - Accent3 13 2 2 3 3" xfId="36869" xr:uid="{00000000-0005-0000-0000-00001C610000}"/>
    <cellStyle name="40% - Accent3 13 2 2 4" xfId="17453" xr:uid="{00000000-0005-0000-0000-00001D610000}"/>
    <cellStyle name="40% - Accent3 13 2 2 4 2" xfId="43327" xr:uid="{00000000-0005-0000-0000-00001E610000}"/>
    <cellStyle name="40% - Accent3 13 2 2 5" xfId="30379" xr:uid="{00000000-0005-0000-0000-00001F610000}"/>
    <cellStyle name="40% - Accent3 13 2 3" xfId="6149" xr:uid="{00000000-0005-0000-0000-000020610000}"/>
    <cellStyle name="40% - Accent3 13 2 3 2" xfId="12608" xr:uid="{00000000-0005-0000-0000-000021610000}"/>
    <cellStyle name="40% - Accent3 13 2 3 2 2" xfId="25525" xr:uid="{00000000-0005-0000-0000-000022610000}"/>
    <cellStyle name="40% - Accent3 13 2 3 2 2 2" xfId="51399" xr:uid="{00000000-0005-0000-0000-000023610000}"/>
    <cellStyle name="40% - Accent3 13 2 3 2 3" xfId="38483" xr:uid="{00000000-0005-0000-0000-000024610000}"/>
    <cellStyle name="40% - Accent3 13 2 3 3" xfId="19067" xr:uid="{00000000-0005-0000-0000-000025610000}"/>
    <cellStyle name="40% - Accent3 13 2 3 3 2" xfId="44941" xr:uid="{00000000-0005-0000-0000-000026610000}"/>
    <cellStyle name="40% - Accent3 13 2 3 4" xfId="32025" xr:uid="{00000000-0005-0000-0000-000027610000}"/>
    <cellStyle name="40% - Accent3 13 2 4" xfId="9380" xr:uid="{00000000-0005-0000-0000-000028610000}"/>
    <cellStyle name="40% - Accent3 13 2 4 2" xfId="22297" xr:uid="{00000000-0005-0000-0000-000029610000}"/>
    <cellStyle name="40% - Accent3 13 2 4 2 2" xfId="48171" xr:uid="{00000000-0005-0000-0000-00002A610000}"/>
    <cellStyle name="40% - Accent3 13 2 4 3" xfId="35255" xr:uid="{00000000-0005-0000-0000-00002B610000}"/>
    <cellStyle name="40% - Accent3 13 2 5" xfId="15839" xr:uid="{00000000-0005-0000-0000-00002C610000}"/>
    <cellStyle name="40% - Accent3 13 2 5 2" xfId="41713" xr:uid="{00000000-0005-0000-0000-00002D610000}"/>
    <cellStyle name="40% - Accent3 13 2 6" xfId="28765" xr:uid="{00000000-0005-0000-0000-00002E610000}"/>
    <cellStyle name="40% - Accent3 13 3" xfId="3702" xr:uid="{00000000-0005-0000-0000-00002F610000}"/>
    <cellStyle name="40% - Accent3 13 3 2" xfId="6956" xr:uid="{00000000-0005-0000-0000-000030610000}"/>
    <cellStyle name="40% - Accent3 13 3 2 2" xfId="13415" xr:uid="{00000000-0005-0000-0000-000031610000}"/>
    <cellStyle name="40% - Accent3 13 3 2 2 2" xfId="26332" xr:uid="{00000000-0005-0000-0000-000032610000}"/>
    <cellStyle name="40% - Accent3 13 3 2 2 2 2" xfId="52206" xr:uid="{00000000-0005-0000-0000-000033610000}"/>
    <cellStyle name="40% - Accent3 13 3 2 2 3" xfId="39290" xr:uid="{00000000-0005-0000-0000-000034610000}"/>
    <cellStyle name="40% - Accent3 13 3 2 3" xfId="19874" xr:uid="{00000000-0005-0000-0000-000035610000}"/>
    <cellStyle name="40% - Accent3 13 3 2 3 2" xfId="45748" xr:uid="{00000000-0005-0000-0000-000036610000}"/>
    <cellStyle name="40% - Accent3 13 3 2 4" xfId="32832" xr:uid="{00000000-0005-0000-0000-000037610000}"/>
    <cellStyle name="40% - Accent3 13 3 3" xfId="10187" xr:uid="{00000000-0005-0000-0000-000038610000}"/>
    <cellStyle name="40% - Accent3 13 3 3 2" xfId="23104" xr:uid="{00000000-0005-0000-0000-000039610000}"/>
    <cellStyle name="40% - Accent3 13 3 3 2 2" xfId="48978" xr:uid="{00000000-0005-0000-0000-00003A610000}"/>
    <cellStyle name="40% - Accent3 13 3 3 3" xfId="36062" xr:uid="{00000000-0005-0000-0000-00003B610000}"/>
    <cellStyle name="40% - Accent3 13 3 4" xfId="16646" xr:uid="{00000000-0005-0000-0000-00003C610000}"/>
    <cellStyle name="40% - Accent3 13 3 4 2" xfId="42520" xr:uid="{00000000-0005-0000-0000-00003D610000}"/>
    <cellStyle name="40% - Accent3 13 3 5" xfId="29572" xr:uid="{00000000-0005-0000-0000-00003E610000}"/>
    <cellStyle name="40% - Accent3 13 4" xfId="5342" xr:uid="{00000000-0005-0000-0000-00003F610000}"/>
    <cellStyle name="40% - Accent3 13 4 2" xfId="11801" xr:uid="{00000000-0005-0000-0000-000040610000}"/>
    <cellStyle name="40% - Accent3 13 4 2 2" xfId="24718" xr:uid="{00000000-0005-0000-0000-000041610000}"/>
    <cellStyle name="40% - Accent3 13 4 2 2 2" xfId="50592" xr:uid="{00000000-0005-0000-0000-000042610000}"/>
    <cellStyle name="40% - Accent3 13 4 2 3" xfId="37676" xr:uid="{00000000-0005-0000-0000-000043610000}"/>
    <cellStyle name="40% - Accent3 13 4 3" xfId="18260" xr:uid="{00000000-0005-0000-0000-000044610000}"/>
    <cellStyle name="40% - Accent3 13 4 3 2" xfId="44134" xr:uid="{00000000-0005-0000-0000-000045610000}"/>
    <cellStyle name="40% - Accent3 13 4 4" xfId="31218" xr:uid="{00000000-0005-0000-0000-000046610000}"/>
    <cellStyle name="40% - Accent3 13 5" xfId="8573" xr:uid="{00000000-0005-0000-0000-000047610000}"/>
    <cellStyle name="40% - Accent3 13 5 2" xfId="21490" xr:uid="{00000000-0005-0000-0000-000048610000}"/>
    <cellStyle name="40% - Accent3 13 5 2 2" xfId="47364" xr:uid="{00000000-0005-0000-0000-000049610000}"/>
    <cellStyle name="40% - Accent3 13 5 3" xfId="34448" xr:uid="{00000000-0005-0000-0000-00004A610000}"/>
    <cellStyle name="40% - Accent3 13 6" xfId="15032" xr:uid="{00000000-0005-0000-0000-00004B610000}"/>
    <cellStyle name="40% - Accent3 13 6 2" xfId="40906" xr:uid="{00000000-0005-0000-0000-00004C610000}"/>
    <cellStyle name="40% - Accent3 13 7" xfId="27958" xr:uid="{00000000-0005-0000-0000-00004D610000}"/>
    <cellStyle name="40% - Accent3 13 8" xfId="53820" xr:uid="{00000000-0005-0000-0000-00004E610000}"/>
    <cellStyle name="40% - Accent3 14" xfId="2472" xr:uid="{00000000-0005-0000-0000-00004F610000}"/>
    <cellStyle name="40% - Accent3 14 2" xfId="4129" xr:uid="{00000000-0005-0000-0000-000050610000}"/>
    <cellStyle name="40% - Accent3 14 2 2" xfId="7360" xr:uid="{00000000-0005-0000-0000-000051610000}"/>
    <cellStyle name="40% - Accent3 14 2 2 2" xfId="13819" xr:uid="{00000000-0005-0000-0000-000052610000}"/>
    <cellStyle name="40% - Accent3 14 2 2 2 2" xfId="26736" xr:uid="{00000000-0005-0000-0000-000053610000}"/>
    <cellStyle name="40% - Accent3 14 2 2 2 2 2" xfId="52610" xr:uid="{00000000-0005-0000-0000-000054610000}"/>
    <cellStyle name="40% - Accent3 14 2 2 2 3" xfId="39694" xr:uid="{00000000-0005-0000-0000-000055610000}"/>
    <cellStyle name="40% - Accent3 14 2 2 3" xfId="20278" xr:uid="{00000000-0005-0000-0000-000056610000}"/>
    <cellStyle name="40% - Accent3 14 2 2 3 2" xfId="46152" xr:uid="{00000000-0005-0000-0000-000057610000}"/>
    <cellStyle name="40% - Accent3 14 2 2 4" xfId="33236" xr:uid="{00000000-0005-0000-0000-000058610000}"/>
    <cellStyle name="40% - Accent3 14 2 3" xfId="10591" xr:uid="{00000000-0005-0000-0000-000059610000}"/>
    <cellStyle name="40% - Accent3 14 2 3 2" xfId="23508" xr:uid="{00000000-0005-0000-0000-00005A610000}"/>
    <cellStyle name="40% - Accent3 14 2 3 2 2" xfId="49382" xr:uid="{00000000-0005-0000-0000-00005B610000}"/>
    <cellStyle name="40% - Accent3 14 2 3 3" xfId="36466" xr:uid="{00000000-0005-0000-0000-00005C610000}"/>
    <cellStyle name="40% - Accent3 14 2 4" xfId="17050" xr:uid="{00000000-0005-0000-0000-00005D610000}"/>
    <cellStyle name="40% - Accent3 14 2 4 2" xfId="42924" xr:uid="{00000000-0005-0000-0000-00005E610000}"/>
    <cellStyle name="40% - Accent3 14 2 5" xfId="29976" xr:uid="{00000000-0005-0000-0000-00005F610000}"/>
    <cellStyle name="40% - Accent3 14 3" xfId="5746" xr:uid="{00000000-0005-0000-0000-000060610000}"/>
    <cellStyle name="40% - Accent3 14 3 2" xfId="12205" xr:uid="{00000000-0005-0000-0000-000061610000}"/>
    <cellStyle name="40% - Accent3 14 3 2 2" xfId="25122" xr:uid="{00000000-0005-0000-0000-000062610000}"/>
    <cellStyle name="40% - Accent3 14 3 2 2 2" xfId="50996" xr:uid="{00000000-0005-0000-0000-000063610000}"/>
    <cellStyle name="40% - Accent3 14 3 2 3" xfId="38080" xr:uid="{00000000-0005-0000-0000-000064610000}"/>
    <cellStyle name="40% - Accent3 14 3 3" xfId="18664" xr:uid="{00000000-0005-0000-0000-000065610000}"/>
    <cellStyle name="40% - Accent3 14 3 3 2" xfId="44538" xr:uid="{00000000-0005-0000-0000-000066610000}"/>
    <cellStyle name="40% - Accent3 14 3 4" xfId="31622" xr:uid="{00000000-0005-0000-0000-000067610000}"/>
    <cellStyle name="40% - Accent3 14 4" xfId="8977" xr:uid="{00000000-0005-0000-0000-000068610000}"/>
    <cellStyle name="40% - Accent3 14 4 2" xfId="21894" xr:uid="{00000000-0005-0000-0000-000069610000}"/>
    <cellStyle name="40% - Accent3 14 4 2 2" xfId="47768" xr:uid="{00000000-0005-0000-0000-00006A610000}"/>
    <cellStyle name="40% - Accent3 14 4 3" xfId="34852" xr:uid="{00000000-0005-0000-0000-00006B610000}"/>
    <cellStyle name="40% - Accent3 14 5" xfId="15436" xr:uid="{00000000-0005-0000-0000-00006C610000}"/>
    <cellStyle name="40% - Accent3 14 5 2" xfId="41310" xr:uid="{00000000-0005-0000-0000-00006D610000}"/>
    <cellStyle name="40% - Accent3 14 6" xfId="28362" xr:uid="{00000000-0005-0000-0000-00006E610000}"/>
    <cellStyle name="40% - Accent3 15" xfId="3281" xr:uid="{00000000-0005-0000-0000-00006F610000}"/>
    <cellStyle name="40% - Accent3 15 2" xfId="6553" xr:uid="{00000000-0005-0000-0000-000070610000}"/>
    <cellStyle name="40% - Accent3 15 2 2" xfId="13012" xr:uid="{00000000-0005-0000-0000-000071610000}"/>
    <cellStyle name="40% - Accent3 15 2 2 2" xfId="25929" xr:uid="{00000000-0005-0000-0000-000072610000}"/>
    <cellStyle name="40% - Accent3 15 2 2 2 2" xfId="51803" xr:uid="{00000000-0005-0000-0000-000073610000}"/>
    <cellStyle name="40% - Accent3 15 2 2 3" xfId="38887" xr:uid="{00000000-0005-0000-0000-000074610000}"/>
    <cellStyle name="40% - Accent3 15 2 3" xfId="19471" xr:uid="{00000000-0005-0000-0000-000075610000}"/>
    <cellStyle name="40% - Accent3 15 2 3 2" xfId="45345" xr:uid="{00000000-0005-0000-0000-000076610000}"/>
    <cellStyle name="40% - Accent3 15 2 4" xfId="32429" xr:uid="{00000000-0005-0000-0000-000077610000}"/>
    <cellStyle name="40% - Accent3 15 3" xfId="9784" xr:uid="{00000000-0005-0000-0000-000078610000}"/>
    <cellStyle name="40% - Accent3 15 3 2" xfId="22701" xr:uid="{00000000-0005-0000-0000-000079610000}"/>
    <cellStyle name="40% - Accent3 15 3 2 2" xfId="48575" xr:uid="{00000000-0005-0000-0000-00007A610000}"/>
    <cellStyle name="40% - Accent3 15 3 3" xfId="35659" xr:uid="{00000000-0005-0000-0000-00007B610000}"/>
    <cellStyle name="40% - Accent3 15 4" xfId="16243" xr:uid="{00000000-0005-0000-0000-00007C610000}"/>
    <cellStyle name="40% - Accent3 15 4 2" xfId="42117" xr:uid="{00000000-0005-0000-0000-00007D610000}"/>
    <cellStyle name="40% - Accent3 15 5" xfId="29169" xr:uid="{00000000-0005-0000-0000-00007E610000}"/>
    <cellStyle name="40% - Accent3 16" xfId="4939" xr:uid="{00000000-0005-0000-0000-00007F610000}"/>
    <cellStyle name="40% - Accent3 16 2" xfId="11398" xr:uid="{00000000-0005-0000-0000-000080610000}"/>
    <cellStyle name="40% - Accent3 16 2 2" xfId="24315" xr:uid="{00000000-0005-0000-0000-000081610000}"/>
    <cellStyle name="40% - Accent3 16 2 2 2" xfId="50189" xr:uid="{00000000-0005-0000-0000-000082610000}"/>
    <cellStyle name="40% - Accent3 16 2 3" xfId="37273" xr:uid="{00000000-0005-0000-0000-000083610000}"/>
    <cellStyle name="40% - Accent3 16 3" xfId="17857" xr:uid="{00000000-0005-0000-0000-000084610000}"/>
    <cellStyle name="40% - Accent3 16 3 2" xfId="43731" xr:uid="{00000000-0005-0000-0000-000085610000}"/>
    <cellStyle name="40% - Accent3 16 4" xfId="30815" xr:uid="{00000000-0005-0000-0000-000086610000}"/>
    <cellStyle name="40% - Accent3 17" xfId="8167" xr:uid="{00000000-0005-0000-0000-000087610000}"/>
    <cellStyle name="40% - Accent3 17 2" xfId="21085" xr:uid="{00000000-0005-0000-0000-000088610000}"/>
    <cellStyle name="40% - Accent3 17 2 2" xfId="46959" xr:uid="{00000000-0005-0000-0000-000089610000}"/>
    <cellStyle name="40% - Accent3 17 3" xfId="34043" xr:uid="{00000000-0005-0000-0000-00008A610000}"/>
    <cellStyle name="40% - Accent3 18" xfId="14627" xr:uid="{00000000-0005-0000-0000-00008B610000}"/>
    <cellStyle name="40% - Accent3 18 2" xfId="40501" xr:uid="{00000000-0005-0000-0000-00008C610000}"/>
    <cellStyle name="40% - Accent3 19" xfId="27545" xr:uid="{00000000-0005-0000-0000-00008D610000}"/>
    <cellStyle name="40% - Accent3 2" xfId="28" xr:uid="{00000000-0005-0000-0000-00008E610000}"/>
    <cellStyle name="40% - Accent3 2 10" xfId="8182" xr:uid="{00000000-0005-0000-0000-00008F610000}"/>
    <cellStyle name="40% - Accent3 2 10 2" xfId="21100" xr:uid="{00000000-0005-0000-0000-000090610000}"/>
    <cellStyle name="40% - Accent3 2 10 2 2" xfId="46974" xr:uid="{00000000-0005-0000-0000-000091610000}"/>
    <cellStyle name="40% - Accent3 2 10 3" xfId="34058" xr:uid="{00000000-0005-0000-0000-000092610000}"/>
    <cellStyle name="40% - Accent3 2 11" xfId="14642" xr:uid="{00000000-0005-0000-0000-000093610000}"/>
    <cellStyle name="40% - Accent3 2 11 2" xfId="40516" xr:uid="{00000000-0005-0000-0000-000094610000}"/>
    <cellStyle name="40% - Accent3 2 12" xfId="27560" xr:uid="{00000000-0005-0000-0000-000095610000}"/>
    <cellStyle name="40% - Accent3 2 13" xfId="53432" xr:uid="{00000000-0005-0000-0000-000096610000}"/>
    <cellStyle name="40% - Accent3 2 14" xfId="1109" xr:uid="{00000000-0005-0000-0000-000097610000}"/>
    <cellStyle name="40% - Accent3 2 2" xfId="279" xr:uid="{00000000-0005-0000-0000-000098610000}"/>
    <cellStyle name="40% - Accent3 2 3" xfId="236" xr:uid="{00000000-0005-0000-0000-000099610000}"/>
    <cellStyle name="40% - Accent3 2 3 10" xfId="27593" xr:uid="{00000000-0005-0000-0000-00009A610000}"/>
    <cellStyle name="40% - Accent3 2 3 11" xfId="53459" xr:uid="{00000000-0005-0000-0000-00009B610000}"/>
    <cellStyle name="40% - Accent3 2 3 12" xfId="1110" xr:uid="{00000000-0005-0000-0000-00009C610000}"/>
    <cellStyle name="40% - Accent3 2 3 2" xfId="426" xr:uid="{00000000-0005-0000-0000-00009D610000}"/>
    <cellStyle name="40% - Accent3 2 3 2 10" xfId="53537" xr:uid="{00000000-0005-0000-0000-00009E610000}"/>
    <cellStyle name="40% - Accent3 2 3 2 11" xfId="1621" xr:uid="{00000000-0005-0000-0000-00009F610000}"/>
    <cellStyle name="40% - Accent3 2 3 2 2" xfId="705" xr:uid="{00000000-0005-0000-0000-0000A0610000}"/>
    <cellStyle name="40% - Accent3 2 3 2 2 10" xfId="1946" xr:uid="{00000000-0005-0000-0000-0000A1610000}"/>
    <cellStyle name="40% - Accent3 2 3 2 2 2" xfId="2377" xr:uid="{00000000-0005-0000-0000-0000A2610000}"/>
    <cellStyle name="40% - Accent3 2 3 2 2 2 2" xfId="3190" xr:uid="{00000000-0005-0000-0000-0000A3610000}"/>
    <cellStyle name="40% - Accent3 2 3 2 2 2 2 2" xfId="4847" xr:uid="{00000000-0005-0000-0000-0000A4610000}"/>
    <cellStyle name="40% - Accent3 2 3 2 2 2 2 2 2" xfId="8078" xr:uid="{00000000-0005-0000-0000-0000A5610000}"/>
    <cellStyle name="40% - Accent3 2 3 2 2 2 2 2 2 2" xfId="14537" xr:uid="{00000000-0005-0000-0000-0000A6610000}"/>
    <cellStyle name="40% - Accent3 2 3 2 2 2 2 2 2 2 2" xfId="27454" xr:uid="{00000000-0005-0000-0000-0000A7610000}"/>
    <cellStyle name="40% - Accent3 2 3 2 2 2 2 2 2 2 2 2" xfId="53328" xr:uid="{00000000-0005-0000-0000-0000A8610000}"/>
    <cellStyle name="40% - Accent3 2 3 2 2 2 2 2 2 2 3" xfId="40412" xr:uid="{00000000-0005-0000-0000-0000A9610000}"/>
    <cellStyle name="40% - Accent3 2 3 2 2 2 2 2 2 3" xfId="20996" xr:uid="{00000000-0005-0000-0000-0000AA610000}"/>
    <cellStyle name="40% - Accent3 2 3 2 2 2 2 2 2 3 2" xfId="46870" xr:uid="{00000000-0005-0000-0000-0000AB610000}"/>
    <cellStyle name="40% - Accent3 2 3 2 2 2 2 2 2 4" xfId="33954" xr:uid="{00000000-0005-0000-0000-0000AC610000}"/>
    <cellStyle name="40% - Accent3 2 3 2 2 2 2 2 3" xfId="11309" xr:uid="{00000000-0005-0000-0000-0000AD610000}"/>
    <cellStyle name="40% - Accent3 2 3 2 2 2 2 2 3 2" xfId="24226" xr:uid="{00000000-0005-0000-0000-0000AE610000}"/>
    <cellStyle name="40% - Accent3 2 3 2 2 2 2 2 3 2 2" xfId="50100" xr:uid="{00000000-0005-0000-0000-0000AF610000}"/>
    <cellStyle name="40% - Accent3 2 3 2 2 2 2 2 3 3" xfId="37184" xr:uid="{00000000-0005-0000-0000-0000B0610000}"/>
    <cellStyle name="40% - Accent3 2 3 2 2 2 2 2 4" xfId="17768" xr:uid="{00000000-0005-0000-0000-0000B1610000}"/>
    <cellStyle name="40% - Accent3 2 3 2 2 2 2 2 4 2" xfId="43642" xr:uid="{00000000-0005-0000-0000-0000B2610000}"/>
    <cellStyle name="40% - Accent3 2 3 2 2 2 2 2 5" xfId="30694" xr:uid="{00000000-0005-0000-0000-0000B3610000}"/>
    <cellStyle name="40% - Accent3 2 3 2 2 2 2 3" xfId="6464" xr:uid="{00000000-0005-0000-0000-0000B4610000}"/>
    <cellStyle name="40% - Accent3 2 3 2 2 2 2 3 2" xfId="12923" xr:uid="{00000000-0005-0000-0000-0000B5610000}"/>
    <cellStyle name="40% - Accent3 2 3 2 2 2 2 3 2 2" xfId="25840" xr:uid="{00000000-0005-0000-0000-0000B6610000}"/>
    <cellStyle name="40% - Accent3 2 3 2 2 2 2 3 2 2 2" xfId="51714" xr:uid="{00000000-0005-0000-0000-0000B7610000}"/>
    <cellStyle name="40% - Accent3 2 3 2 2 2 2 3 2 3" xfId="38798" xr:uid="{00000000-0005-0000-0000-0000B8610000}"/>
    <cellStyle name="40% - Accent3 2 3 2 2 2 2 3 3" xfId="19382" xr:uid="{00000000-0005-0000-0000-0000B9610000}"/>
    <cellStyle name="40% - Accent3 2 3 2 2 2 2 3 3 2" xfId="45256" xr:uid="{00000000-0005-0000-0000-0000BA610000}"/>
    <cellStyle name="40% - Accent3 2 3 2 2 2 2 3 4" xfId="32340" xr:uid="{00000000-0005-0000-0000-0000BB610000}"/>
    <cellStyle name="40% - Accent3 2 3 2 2 2 2 4" xfId="9695" xr:uid="{00000000-0005-0000-0000-0000BC610000}"/>
    <cellStyle name="40% - Accent3 2 3 2 2 2 2 4 2" xfId="22612" xr:uid="{00000000-0005-0000-0000-0000BD610000}"/>
    <cellStyle name="40% - Accent3 2 3 2 2 2 2 4 2 2" xfId="48486" xr:uid="{00000000-0005-0000-0000-0000BE610000}"/>
    <cellStyle name="40% - Accent3 2 3 2 2 2 2 4 3" xfId="35570" xr:uid="{00000000-0005-0000-0000-0000BF610000}"/>
    <cellStyle name="40% - Accent3 2 3 2 2 2 2 5" xfId="16154" xr:uid="{00000000-0005-0000-0000-0000C0610000}"/>
    <cellStyle name="40% - Accent3 2 3 2 2 2 2 5 2" xfId="42028" xr:uid="{00000000-0005-0000-0000-0000C1610000}"/>
    <cellStyle name="40% - Accent3 2 3 2 2 2 2 6" xfId="29080" xr:uid="{00000000-0005-0000-0000-0000C2610000}"/>
    <cellStyle name="40% - Accent3 2 3 2 2 2 3" xfId="4017" xr:uid="{00000000-0005-0000-0000-0000C3610000}"/>
    <cellStyle name="40% - Accent3 2 3 2 2 2 3 2" xfId="7271" xr:uid="{00000000-0005-0000-0000-0000C4610000}"/>
    <cellStyle name="40% - Accent3 2 3 2 2 2 3 2 2" xfId="13730" xr:uid="{00000000-0005-0000-0000-0000C5610000}"/>
    <cellStyle name="40% - Accent3 2 3 2 2 2 3 2 2 2" xfId="26647" xr:uid="{00000000-0005-0000-0000-0000C6610000}"/>
    <cellStyle name="40% - Accent3 2 3 2 2 2 3 2 2 2 2" xfId="52521" xr:uid="{00000000-0005-0000-0000-0000C7610000}"/>
    <cellStyle name="40% - Accent3 2 3 2 2 2 3 2 2 3" xfId="39605" xr:uid="{00000000-0005-0000-0000-0000C8610000}"/>
    <cellStyle name="40% - Accent3 2 3 2 2 2 3 2 3" xfId="20189" xr:uid="{00000000-0005-0000-0000-0000C9610000}"/>
    <cellStyle name="40% - Accent3 2 3 2 2 2 3 2 3 2" xfId="46063" xr:uid="{00000000-0005-0000-0000-0000CA610000}"/>
    <cellStyle name="40% - Accent3 2 3 2 2 2 3 2 4" xfId="33147" xr:uid="{00000000-0005-0000-0000-0000CB610000}"/>
    <cellStyle name="40% - Accent3 2 3 2 2 2 3 3" xfId="10502" xr:uid="{00000000-0005-0000-0000-0000CC610000}"/>
    <cellStyle name="40% - Accent3 2 3 2 2 2 3 3 2" xfId="23419" xr:uid="{00000000-0005-0000-0000-0000CD610000}"/>
    <cellStyle name="40% - Accent3 2 3 2 2 2 3 3 2 2" xfId="49293" xr:uid="{00000000-0005-0000-0000-0000CE610000}"/>
    <cellStyle name="40% - Accent3 2 3 2 2 2 3 3 3" xfId="36377" xr:uid="{00000000-0005-0000-0000-0000CF610000}"/>
    <cellStyle name="40% - Accent3 2 3 2 2 2 3 4" xfId="16961" xr:uid="{00000000-0005-0000-0000-0000D0610000}"/>
    <cellStyle name="40% - Accent3 2 3 2 2 2 3 4 2" xfId="42835" xr:uid="{00000000-0005-0000-0000-0000D1610000}"/>
    <cellStyle name="40% - Accent3 2 3 2 2 2 3 5" xfId="29887" xr:uid="{00000000-0005-0000-0000-0000D2610000}"/>
    <cellStyle name="40% - Accent3 2 3 2 2 2 4" xfId="5657" xr:uid="{00000000-0005-0000-0000-0000D3610000}"/>
    <cellStyle name="40% - Accent3 2 3 2 2 2 4 2" xfId="12116" xr:uid="{00000000-0005-0000-0000-0000D4610000}"/>
    <cellStyle name="40% - Accent3 2 3 2 2 2 4 2 2" xfId="25033" xr:uid="{00000000-0005-0000-0000-0000D5610000}"/>
    <cellStyle name="40% - Accent3 2 3 2 2 2 4 2 2 2" xfId="50907" xr:uid="{00000000-0005-0000-0000-0000D6610000}"/>
    <cellStyle name="40% - Accent3 2 3 2 2 2 4 2 3" xfId="37991" xr:uid="{00000000-0005-0000-0000-0000D7610000}"/>
    <cellStyle name="40% - Accent3 2 3 2 2 2 4 3" xfId="18575" xr:uid="{00000000-0005-0000-0000-0000D8610000}"/>
    <cellStyle name="40% - Accent3 2 3 2 2 2 4 3 2" xfId="44449" xr:uid="{00000000-0005-0000-0000-0000D9610000}"/>
    <cellStyle name="40% - Accent3 2 3 2 2 2 4 4" xfId="31533" xr:uid="{00000000-0005-0000-0000-0000DA610000}"/>
    <cellStyle name="40% - Accent3 2 3 2 2 2 5" xfId="8888" xr:uid="{00000000-0005-0000-0000-0000DB610000}"/>
    <cellStyle name="40% - Accent3 2 3 2 2 2 5 2" xfId="21805" xr:uid="{00000000-0005-0000-0000-0000DC610000}"/>
    <cellStyle name="40% - Accent3 2 3 2 2 2 5 2 2" xfId="47679" xr:uid="{00000000-0005-0000-0000-0000DD610000}"/>
    <cellStyle name="40% - Accent3 2 3 2 2 2 5 3" xfId="34763" xr:uid="{00000000-0005-0000-0000-0000DE610000}"/>
    <cellStyle name="40% - Accent3 2 3 2 2 2 6" xfId="15347" xr:uid="{00000000-0005-0000-0000-0000DF610000}"/>
    <cellStyle name="40% - Accent3 2 3 2 2 2 6 2" xfId="41221" xr:uid="{00000000-0005-0000-0000-0000E0610000}"/>
    <cellStyle name="40% - Accent3 2 3 2 2 2 7" xfId="28273" xr:uid="{00000000-0005-0000-0000-0000E1610000}"/>
    <cellStyle name="40% - Accent3 2 3 2 2 2 8" xfId="54135" xr:uid="{00000000-0005-0000-0000-0000E2610000}"/>
    <cellStyle name="40% - Accent3 2 3 2 2 3" xfId="2786" xr:uid="{00000000-0005-0000-0000-0000E3610000}"/>
    <cellStyle name="40% - Accent3 2 3 2 2 3 2" xfId="4443" xr:uid="{00000000-0005-0000-0000-0000E4610000}"/>
    <cellStyle name="40% - Accent3 2 3 2 2 3 2 2" xfId="7674" xr:uid="{00000000-0005-0000-0000-0000E5610000}"/>
    <cellStyle name="40% - Accent3 2 3 2 2 3 2 2 2" xfId="14133" xr:uid="{00000000-0005-0000-0000-0000E6610000}"/>
    <cellStyle name="40% - Accent3 2 3 2 2 3 2 2 2 2" xfId="27050" xr:uid="{00000000-0005-0000-0000-0000E7610000}"/>
    <cellStyle name="40% - Accent3 2 3 2 2 3 2 2 2 2 2" xfId="52924" xr:uid="{00000000-0005-0000-0000-0000E8610000}"/>
    <cellStyle name="40% - Accent3 2 3 2 2 3 2 2 2 3" xfId="40008" xr:uid="{00000000-0005-0000-0000-0000E9610000}"/>
    <cellStyle name="40% - Accent3 2 3 2 2 3 2 2 3" xfId="20592" xr:uid="{00000000-0005-0000-0000-0000EA610000}"/>
    <cellStyle name="40% - Accent3 2 3 2 2 3 2 2 3 2" xfId="46466" xr:uid="{00000000-0005-0000-0000-0000EB610000}"/>
    <cellStyle name="40% - Accent3 2 3 2 2 3 2 2 4" xfId="33550" xr:uid="{00000000-0005-0000-0000-0000EC610000}"/>
    <cellStyle name="40% - Accent3 2 3 2 2 3 2 3" xfId="10905" xr:uid="{00000000-0005-0000-0000-0000ED610000}"/>
    <cellStyle name="40% - Accent3 2 3 2 2 3 2 3 2" xfId="23822" xr:uid="{00000000-0005-0000-0000-0000EE610000}"/>
    <cellStyle name="40% - Accent3 2 3 2 2 3 2 3 2 2" xfId="49696" xr:uid="{00000000-0005-0000-0000-0000EF610000}"/>
    <cellStyle name="40% - Accent3 2 3 2 2 3 2 3 3" xfId="36780" xr:uid="{00000000-0005-0000-0000-0000F0610000}"/>
    <cellStyle name="40% - Accent3 2 3 2 2 3 2 4" xfId="17364" xr:uid="{00000000-0005-0000-0000-0000F1610000}"/>
    <cellStyle name="40% - Accent3 2 3 2 2 3 2 4 2" xfId="43238" xr:uid="{00000000-0005-0000-0000-0000F2610000}"/>
    <cellStyle name="40% - Accent3 2 3 2 2 3 2 5" xfId="30290" xr:uid="{00000000-0005-0000-0000-0000F3610000}"/>
    <cellStyle name="40% - Accent3 2 3 2 2 3 3" xfId="6060" xr:uid="{00000000-0005-0000-0000-0000F4610000}"/>
    <cellStyle name="40% - Accent3 2 3 2 2 3 3 2" xfId="12519" xr:uid="{00000000-0005-0000-0000-0000F5610000}"/>
    <cellStyle name="40% - Accent3 2 3 2 2 3 3 2 2" xfId="25436" xr:uid="{00000000-0005-0000-0000-0000F6610000}"/>
    <cellStyle name="40% - Accent3 2 3 2 2 3 3 2 2 2" xfId="51310" xr:uid="{00000000-0005-0000-0000-0000F7610000}"/>
    <cellStyle name="40% - Accent3 2 3 2 2 3 3 2 3" xfId="38394" xr:uid="{00000000-0005-0000-0000-0000F8610000}"/>
    <cellStyle name="40% - Accent3 2 3 2 2 3 3 3" xfId="18978" xr:uid="{00000000-0005-0000-0000-0000F9610000}"/>
    <cellStyle name="40% - Accent3 2 3 2 2 3 3 3 2" xfId="44852" xr:uid="{00000000-0005-0000-0000-0000FA610000}"/>
    <cellStyle name="40% - Accent3 2 3 2 2 3 3 4" xfId="31936" xr:uid="{00000000-0005-0000-0000-0000FB610000}"/>
    <cellStyle name="40% - Accent3 2 3 2 2 3 4" xfId="9291" xr:uid="{00000000-0005-0000-0000-0000FC610000}"/>
    <cellStyle name="40% - Accent3 2 3 2 2 3 4 2" xfId="22208" xr:uid="{00000000-0005-0000-0000-0000FD610000}"/>
    <cellStyle name="40% - Accent3 2 3 2 2 3 4 2 2" xfId="48082" xr:uid="{00000000-0005-0000-0000-0000FE610000}"/>
    <cellStyle name="40% - Accent3 2 3 2 2 3 4 3" xfId="35166" xr:uid="{00000000-0005-0000-0000-0000FF610000}"/>
    <cellStyle name="40% - Accent3 2 3 2 2 3 5" xfId="15750" xr:uid="{00000000-0005-0000-0000-000000620000}"/>
    <cellStyle name="40% - Accent3 2 3 2 2 3 5 2" xfId="41624" xr:uid="{00000000-0005-0000-0000-000001620000}"/>
    <cellStyle name="40% - Accent3 2 3 2 2 3 6" xfId="28676" xr:uid="{00000000-0005-0000-0000-000002620000}"/>
    <cellStyle name="40% - Accent3 2 3 2 2 4" xfId="3613" xr:uid="{00000000-0005-0000-0000-000003620000}"/>
    <cellStyle name="40% - Accent3 2 3 2 2 4 2" xfId="6867" xr:uid="{00000000-0005-0000-0000-000004620000}"/>
    <cellStyle name="40% - Accent3 2 3 2 2 4 2 2" xfId="13326" xr:uid="{00000000-0005-0000-0000-000005620000}"/>
    <cellStyle name="40% - Accent3 2 3 2 2 4 2 2 2" xfId="26243" xr:uid="{00000000-0005-0000-0000-000006620000}"/>
    <cellStyle name="40% - Accent3 2 3 2 2 4 2 2 2 2" xfId="52117" xr:uid="{00000000-0005-0000-0000-000007620000}"/>
    <cellStyle name="40% - Accent3 2 3 2 2 4 2 2 3" xfId="39201" xr:uid="{00000000-0005-0000-0000-000008620000}"/>
    <cellStyle name="40% - Accent3 2 3 2 2 4 2 3" xfId="19785" xr:uid="{00000000-0005-0000-0000-000009620000}"/>
    <cellStyle name="40% - Accent3 2 3 2 2 4 2 3 2" xfId="45659" xr:uid="{00000000-0005-0000-0000-00000A620000}"/>
    <cellStyle name="40% - Accent3 2 3 2 2 4 2 4" xfId="32743" xr:uid="{00000000-0005-0000-0000-00000B620000}"/>
    <cellStyle name="40% - Accent3 2 3 2 2 4 3" xfId="10098" xr:uid="{00000000-0005-0000-0000-00000C620000}"/>
    <cellStyle name="40% - Accent3 2 3 2 2 4 3 2" xfId="23015" xr:uid="{00000000-0005-0000-0000-00000D620000}"/>
    <cellStyle name="40% - Accent3 2 3 2 2 4 3 2 2" xfId="48889" xr:uid="{00000000-0005-0000-0000-00000E620000}"/>
    <cellStyle name="40% - Accent3 2 3 2 2 4 3 3" xfId="35973" xr:uid="{00000000-0005-0000-0000-00000F620000}"/>
    <cellStyle name="40% - Accent3 2 3 2 2 4 4" xfId="16557" xr:uid="{00000000-0005-0000-0000-000010620000}"/>
    <cellStyle name="40% - Accent3 2 3 2 2 4 4 2" xfId="42431" xr:uid="{00000000-0005-0000-0000-000011620000}"/>
    <cellStyle name="40% - Accent3 2 3 2 2 4 5" xfId="29483" xr:uid="{00000000-0005-0000-0000-000012620000}"/>
    <cellStyle name="40% - Accent3 2 3 2 2 5" xfId="5253" xr:uid="{00000000-0005-0000-0000-000013620000}"/>
    <cellStyle name="40% - Accent3 2 3 2 2 5 2" xfId="11712" xr:uid="{00000000-0005-0000-0000-000014620000}"/>
    <cellStyle name="40% - Accent3 2 3 2 2 5 2 2" xfId="24629" xr:uid="{00000000-0005-0000-0000-000015620000}"/>
    <cellStyle name="40% - Accent3 2 3 2 2 5 2 2 2" xfId="50503" xr:uid="{00000000-0005-0000-0000-000016620000}"/>
    <cellStyle name="40% - Accent3 2 3 2 2 5 2 3" xfId="37587" xr:uid="{00000000-0005-0000-0000-000017620000}"/>
    <cellStyle name="40% - Accent3 2 3 2 2 5 3" xfId="18171" xr:uid="{00000000-0005-0000-0000-000018620000}"/>
    <cellStyle name="40% - Accent3 2 3 2 2 5 3 2" xfId="44045" xr:uid="{00000000-0005-0000-0000-000019620000}"/>
    <cellStyle name="40% - Accent3 2 3 2 2 5 4" xfId="31129" xr:uid="{00000000-0005-0000-0000-00001A620000}"/>
    <cellStyle name="40% - Accent3 2 3 2 2 6" xfId="8484" xr:uid="{00000000-0005-0000-0000-00001B620000}"/>
    <cellStyle name="40% - Accent3 2 3 2 2 6 2" xfId="21401" xr:uid="{00000000-0005-0000-0000-00001C620000}"/>
    <cellStyle name="40% - Accent3 2 3 2 2 6 2 2" xfId="47275" xr:uid="{00000000-0005-0000-0000-00001D620000}"/>
    <cellStyle name="40% - Accent3 2 3 2 2 6 3" xfId="34359" xr:uid="{00000000-0005-0000-0000-00001E620000}"/>
    <cellStyle name="40% - Accent3 2 3 2 2 7" xfId="14943" xr:uid="{00000000-0005-0000-0000-00001F620000}"/>
    <cellStyle name="40% - Accent3 2 3 2 2 7 2" xfId="40817" xr:uid="{00000000-0005-0000-0000-000020620000}"/>
    <cellStyle name="40% - Accent3 2 3 2 2 8" xfId="27868" xr:uid="{00000000-0005-0000-0000-000021620000}"/>
    <cellStyle name="40% - Accent3 2 3 2 2 9" xfId="53731" xr:uid="{00000000-0005-0000-0000-000022620000}"/>
    <cellStyle name="40% - Accent3 2 3 2 3" xfId="704" xr:uid="{00000000-0005-0000-0000-000023620000}"/>
    <cellStyle name="40% - Accent3 2 3 2 3 2" xfId="2995" xr:uid="{00000000-0005-0000-0000-000024620000}"/>
    <cellStyle name="40% - Accent3 2 3 2 3 2 2" xfId="4652" xr:uid="{00000000-0005-0000-0000-000025620000}"/>
    <cellStyle name="40% - Accent3 2 3 2 3 2 2 2" xfId="7883" xr:uid="{00000000-0005-0000-0000-000026620000}"/>
    <cellStyle name="40% - Accent3 2 3 2 3 2 2 2 2" xfId="14342" xr:uid="{00000000-0005-0000-0000-000027620000}"/>
    <cellStyle name="40% - Accent3 2 3 2 3 2 2 2 2 2" xfId="27259" xr:uid="{00000000-0005-0000-0000-000028620000}"/>
    <cellStyle name="40% - Accent3 2 3 2 3 2 2 2 2 2 2" xfId="53133" xr:uid="{00000000-0005-0000-0000-000029620000}"/>
    <cellStyle name="40% - Accent3 2 3 2 3 2 2 2 2 3" xfId="40217" xr:uid="{00000000-0005-0000-0000-00002A620000}"/>
    <cellStyle name="40% - Accent3 2 3 2 3 2 2 2 3" xfId="20801" xr:uid="{00000000-0005-0000-0000-00002B620000}"/>
    <cellStyle name="40% - Accent3 2 3 2 3 2 2 2 3 2" xfId="46675" xr:uid="{00000000-0005-0000-0000-00002C620000}"/>
    <cellStyle name="40% - Accent3 2 3 2 3 2 2 2 4" xfId="33759" xr:uid="{00000000-0005-0000-0000-00002D620000}"/>
    <cellStyle name="40% - Accent3 2 3 2 3 2 2 3" xfId="11114" xr:uid="{00000000-0005-0000-0000-00002E620000}"/>
    <cellStyle name="40% - Accent3 2 3 2 3 2 2 3 2" xfId="24031" xr:uid="{00000000-0005-0000-0000-00002F620000}"/>
    <cellStyle name="40% - Accent3 2 3 2 3 2 2 3 2 2" xfId="49905" xr:uid="{00000000-0005-0000-0000-000030620000}"/>
    <cellStyle name="40% - Accent3 2 3 2 3 2 2 3 3" xfId="36989" xr:uid="{00000000-0005-0000-0000-000031620000}"/>
    <cellStyle name="40% - Accent3 2 3 2 3 2 2 4" xfId="17573" xr:uid="{00000000-0005-0000-0000-000032620000}"/>
    <cellStyle name="40% - Accent3 2 3 2 3 2 2 4 2" xfId="43447" xr:uid="{00000000-0005-0000-0000-000033620000}"/>
    <cellStyle name="40% - Accent3 2 3 2 3 2 2 5" xfId="30499" xr:uid="{00000000-0005-0000-0000-000034620000}"/>
    <cellStyle name="40% - Accent3 2 3 2 3 2 3" xfId="6269" xr:uid="{00000000-0005-0000-0000-000035620000}"/>
    <cellStyle name="40% - Accent3 2 3 2 3 2 3 2" xfId="12728" xr:uid="{00000000-0005-0000-0000-000036620000}"/>
    <cellStyle name="40% - Accent3 2 3 2 3 2 3 2 2" xfId="25645" xr:uid="{00000000-0005-0000-0000-000037620000}"/>
    <cellStyle name="40% - Accent3 2 3 2 3 2 3 2 2 2" xfId="51519" xr:uid="{00000000-0005-0000-0000-000038620000}"/>
    <cellStyle name="40% - Accent3 2 3 2 3 2 3 2 3" xfId="38603" xr:uid="{00000000-0005-0000-0000-000039620000}"/>
    <cellStyle name="40% - Accent3 2 3 2 3 2 3 3" xfId="19187" xr:uid="{00000000-0005-0000-0000-00003A620000}"/>
    <cellStyle name="40% - Accent3 2 3 2 3 2 3 3 2" xfId="45061" xr:uid="{00000000-0005-0000-0000-00003B620000}"/>
    <cellStyle name="40% - Accent3 2 3 2 3 2 3 4" xfId="32145" xr:uid="{00000000-0005-0000-0000-00003C620000}"/>
    <cellStyle name="40% - Accent3 2 3 2 3 2 4" xfId="9500" xr:uid="{00000000-0005-0000-0000-00003D620000}"/>
    <cellStyle name="40% - Accent3 2 3 2 3 2 4 2" xfId="22417" xr:uid="{00000000-0005-0000-0000-00003E620000}"/>
    <cellStyle name="40% - Accent3 2 3 2 3 2 4 2 2" xfId="48291" xr:uid="{00000000-0005-0000-0000-00003F620000}"/>
    <cellStyle name="40% - Accent3 2 3 2 3 2 4 3" xfId="35375" xr:uid="{00000000-0005-0000-0000-000040620000}"/>
    <cellStyle name="40% - Accent3 2 3 2 3 2 5" xfId="15959" xr:uid="{00000000-0005-0000-0000-000041620000}"/>
    <cellStyle name="40% - Accent3 2 3 2 3 2 5 2" xfId="41833" xr:uid="{00000000-0005-0000-0000-000042620000}"/>
    <cellStyle name="40% - Accent3 2 3 2 3 2 6" xfId="28885" xr:uid="{00000000-0005-0000-0000-000043620000}"/>
    <cellStyle name="40% - Accent3 2 3 2 3 3" xfId="3822" xr:uid="{00000000-0005-0000-0000-000044620000}"/>
    <cellStyle name="40% - Accent3 2 3 2 3 3 2" xfId="7076" xr:uid="{00000000-0005-0000-0000-000045620000}"/>
    <cellStyle name="40% - Accent3 2 3 2 3 3 2 2" xfId="13535" xr:uid="{00000000-0005-0000-0000-000046620000}"/>
    <cellStyle name="40% - Accent3 2 3 2 3 3 2 2 2" xfId="26452" xr:uid="{00000000-0005-0000-0000-000047620000}"/>
    <cellStyle name="40% - Accent3 2 3 2 3 3 2 2 2 2" xfId="52326" xr:uid="{00000000-0005-0000-0000-000048620000}"/>
    <cellStyle name="40% - Accent3 2 3 2 3 3 2 2 3" xfId="39410" xr:uid="{00000000-0005-0000-0000-000049620000}"/>
    <cellStyle name="40% - Accent3 2 3 2 3 3 2 3" xfId="19994" xr:uid="{00000000-0005-0000-0000-00004A620000}"/>
    <cellStyle name="40% - Accent3 2 3 2 3 3 2 3 2" xfId="45868" xr:uid="{00000000-0005-0000-0000-00004B620000}"/>
    <cellStyle name="40% - Accent3 2 3 2 3 3 2 4" xfId="32952" xr:uid="{00000000-0005-0000-0000-00004C620000}"/>
    <cellStyle name="40% - Accent3 2 3 2 3 3 3" xfId="10307" xr:uid="{00000000-0005-0000-0000-00004D620000}"/>
    <cellStyle name="40% - Accent3 2 3 2 3 3 3 2" xfId="23224" xr:uid="{00000000-0005-0000-0000-00004E620000}"/>
    <cellStyle name="40% - Accent3 2 3 2 3 3 3 2 2" xfId="49098" xr:uid="{00000000-0005-0000-0000-00004F620000}"/>
    <cellStyle name="40% - Accent3 2 3 2 3 3 3 3" xfId="36182" xr:uid="{00000000-0005-0000-0000-000050620000}"/>
    <cellStyle name="40% - Accent3 2 3 2 3 3 4" xfId="16766" xr:uid="{00000000-0005-0000-0000-000051620000}"/>
    <cellStyle name="40% - Accent3 2 3 2 3 3 4 2" xfId="42640" xr:uid="{00000000-0005-0000-0000-000052620000}"/>
    <cellStyle name="40% - Accent3 2 3 2 3 3 5" xfId="29692" xr:uid="{00000000-0005-0000-0000-000053620000}"/>
    <cellStyle name="40% - Accent3 2 3 2 3 4" xfId="5462" xr:uid="{00000000-0005-0000-0000-000054620000}"/>
    <cellStyle name="40% - Accent3 2 3 2 3 4 2" xfId="11921" xr:uid="{00000000-0005-0000-0000-000055620000}"/>
    <cellStyle name="40% - Accent3 2 3 2 3 4 2 2" xfId="24838" xr:uid="{00000000-0005-0000-0000-000056620000}"/>
    <cellStyle name="40% - Accent3 2 3 2 3 4 2 2 2" xfId="50712" xr:uid="{00000000-0005-0000-0000-000057620000}"/>
    <cellStyle name="40% - Accent3 2 3 2 3 4 2 3" xfId="37796" xr:uid="{00000000-0005-0000-0000-000058620000}"/>
    <cellStyle name="40% - Accent3 2 3 2 3 4 3" xfId="18380" xr:uid="{00000000-0005-0000-0000-000059620000}"/>
    <cellStyle name="40% - Accent3 2 3 2 3 4 3 2" xfId="44254" xr:uid="{00000000-0005-0000-0000-00005A620000}"/>
    <cellStyle name="40% - Accent3 2 3 2 3 4 4" xfId="31338" xr:uid="{00000000-0005-0000-0000-00005B620000}"/>
    <cellStyle name="40% - Accent3 2 3 2 3 5" xfId="8693" xr:uid="{00000000-0005-0000-0000-00005C620000}"/>
    <cellStyle name="40% - Accent3 2 3 2 3 5 2" xfId="21610" xr:uid="{00000000-0005-0000-0000-00005D620000}"/>
    <cellStyle name="40% - Accent3 2 3 2 3 5 2 2" xfId="47484" xr:uid="{00000000-0005-0000-0000-00005E620000}"/>
    <cellStyle name="40% - Accent3 2 3 2 3 5 3" xfId="34568" xr:uid="{00000000-0005-0000-0000-00005F620000}"/>
    <cellStyle name="40% - Accent3 2 3 2 3 6" xfId="15152" xr:uid="{00000000-0005-0000-0000-000060620000}"/>
    <cellStyle name="40% - Accent3 2 3 2 3 6 2" xfId="41026" xr:uid="{00000000-0005-0000-0000-000061620000}"/>
    <cellStyle name="40% - Accent3 2 3 2 3 7" xfId="28078" xr:uid="{00000000-0005-0000-0000-000062620000}"/>
    <cellStyle name="40% - Accent3 2 3 2 3 8" xfId="53940" xr:uid="{00000000-0005-0000-0000-000063620000}"/>
    <cellStyle name="40% - Accent3 2 3 2 3 9" xfId="2181" xr:uid="{00000000-0005-0000-0000-000064620000}"/>
    <cellStyle name="40% - Accent3 2 3 2 4" xfId="2592" xr:uid="{00000000-0005-0000-0000-000065620000}"/>
    <cellStyle name="40% - Accent3 2 3 2 4 2" xfId="4249" xr:uid="{00000000-0005-0000-0000-000066620000}"/>
    <cellStyle name="40% - Accent3 2 3 2 4 2 2" xfId="7480" xr:uid="{00000000-0005-0000-0000-000067620000}"/>
    <cellStyle name="40% - Accent3 2 3 2 4 2 2 2" xfId="13939" xr:uid="{00000000-0005-0000-0000-000068620000}"/>
    <cellStyle name="40% - Accent3 2 3 2 4 2 2 2 2" xfId="26856" xr:uid="{00000000-0005-0000-0000-000069620000}"/>
    <cellStyle name="40% - Accent3 2 3 2 4 2 2 2 2 2" xfId="52730" xr:uid="{00000000-0005-0000-0000-00006A620000}"/>
    <cellStyle name="40% - Accent3 2 3 2 4 2 2 2 3" xfId="39814" xr:uid="{00000000-0005-0000-0000-00006B620000}"/>
    <cellStyle name="40% - Accent3 2 3 2 4 2 2 3" xfId="20398" xr:uid="{00000000-0005-0000-0000-00006C620000}"/>
    <cellStyle name="40% - Accent3 2 3 2 4 2 2 3 2" xfId="46272" xr:uid="{00000000-0005-0000-0000-00006D620000}"/>
    <cellStyle name="40% - Accent3 2 3 2 4 2 2 4" xfId="33356" xr:uid="{00000000-0005-0000-0000-00006E620000}"/>
    <cellStyle name="40% - Accent3 2 3 2 4 2 3" xfId="10711" xr:uid="{00000000-0005-0000-0000-00006F620000}"/>
    <cellStyle name="40% - Accent3 2 3 2 4 2 3 2" xfId="23628" xr:uid="{00000000-0005-0000-0000-000070620000}"/>
    <cellStyle name="40% - Accent3 2 3 2 4 2 3 2 2" xfId="49502" xr:uid="{00000000-0005-0000-0000-000071620000}"/>
    <cellStyle name="40% - Accent3 2 3 2 4 2 3 3" xfId="36586" xr:uid="{00000000-0005-0000-0000-000072620000}"/>
    <cellStyle name="40% - Accent3 2 3 2 4 2 4" xfId="17170" xr:uid="{00000000-0005-0000-0000-000073620000}"/>
    <cellStyle name="40% - Accent3 2 3 2 4 2 4 2" xfId="43044" xr:uid="{00000000-0005-0000-0000-000074620000}"/>
    <cellStyle name="40% - Accent3 2 3 2 4 2 5" xfId="30096" xr:uid="{00000000-0005-0000-0000-000075620000}"/>
    <cellStyle name="40% - Accent3 2 3 2 4 3" xfId="5866" xr:uid="{00000000-0005-0000-0000-000076620000}"/>
    <cellStyle name="40% - Accent3 2 3 2 4 3 2" xfId="12325" xr:uid="{00000000-0005-0000-0000-000077620000}"/>
    <cellStyle name="40% - Accent3 2 3 2 4 3 2 2" xfId="25242" xr:uid="{00000000-0005-0000-0000-000078620000}"/>
    <cellStyle name="40% - Accent3 2 3 2 4 3 2 2 2" xfId="51116" xr:uid="{00000000-0005-0000-0000-000079620000}"/>
    <cellStyle name="40% - Accent3 2 3 2 4 3 2 3" xfId="38200" xr:uid="{00000000-0005-0000-0000-00007A620000}"/>
    <cellStyle name="40% - Accent3 2 3 2 4 3 3" xfId="18784" xr:uid="{00000000-0005-0000-0000-00007B620000}"/>
    <cellStyle name="40% - Accent3 2 3 2 4 3 3 2" xfId="44658" xr:uid="{00000000-0005-0000-0000-00007C620000}"/>
    <cellStyle name="40% - Accent3 2 3 2 4 3 4" xfId="31742" xr:uid="{00000000-0005-0000-0000-00007D620000}"/>
    <cellStyle name="40% - Accent3 2 3 2 4 4" xfId="9097" xr:uid="{00000000-0005-0000-0000-00007E620000}"/>
    <cellStyle name="40% - Accent3 2 3 2 4 4 2" xfId="22014" xr:uid="{00000000-0005-0000-0000-00007F620000}"/>
    <cellStyle name="40% - Accent3 2 3 2 4 4 2 2" xfId="47888" xr:uid="{00000000-0005-0000-0000-000080620000}"/>
    <cellStyle name="40% - Accent3 2 3 2 4 4 3" xfId="34972" xr:uid="{00000000-0005-0000-0000-000081620000}"/>
    <cellStyle name="40% - Accent3 2 3 2 4 5" xfId="15556" xr:uid="{00000000-0005-0000-0000-000082620000}"/>
    <cellStyle name="40% - Accent3 2 3 2 4 5 2" xfId="41430" xr:uid="{00000000-0005-0000-0000-000083620000}"/>
    <cellStyle name="40% - Accent3 2 3 2 4 6" xfId="28482" xr:uid="{00000000-0005-0000-0000-000084620000}"/>
    <cellStyle name="40% - Accent3 2 3 2 5" xfId="3419" xr:uid="{00000000-0005-0000-0000-000085620000}"/>
    <cellStyle name="40% - Accent3 2 3 2 5 2" xfId="6673" xr:uid="{00000000-0005-0000-0000-000086620000}"/>
    <cellStyle name="40% - Accent3 2 3 2 5 2 2" xfId="13132" xr:uid="{00000000-0005-0000-0000-000087620000}"/>
    <cellStyle name="40% - Accent3 2 3 2 5 2 2 2" xfId="26049" xr:uid="{00000000-0005-0000-0000-000088620000}"/>
    <cellStyle name="40% - Accent3 2 3 2 5 2 2 2 2" xfId="51923" xr:uid="{00000000-0005-0000-0000-000089620000}"/>
    <cellStyle name="40% - Accent3 2 3 2 5 2 2 3" xfId="39007" xr:uid="{00000000-0005-0000-0000-00008A620000}"/>
    <cellStyle name="40% - Accent3 2 3 2 5 2 3" xfId="19591" xr:uid="{00000000-0005-0000-0000-00008B620000}"/>
    <cellStyle name="40% - Accent3 2 3 2 5 2 3 2" xfId="45465" xr:uid="{00000000-0005-0000-0000-00008C620000}"/>
    <cellStyle name="40% - Accent3 2 3 2 5 2 4" xfId="32549" xr:uid="{00000000-0005-0000-0000-00008D620000}"/>
    <cellStyle name="40% - Accent3 2 3 2 5 3" xfId="9904" xr:uid="{00000000-0005-0000-0000-00008E620000}"/>
    <cellStyle name="40% - Accent3 2 3 2 5 3 2" xfId="22821" xr:uid="{00000000-0005-0000-0000-00008F620000}"/>
    <cellStyle name="40% - Accent3 2 3 2 5 3 2 2" xfId="48695" xr:uid="{00000000-0005-0000-0000-000090620000}"/>
    <cellStyle name="40% - Accent3 2 3 2 5 3 3" xfId="35779" xr:uid="{00000000-0005-0000-0000-000091620000}"/>
    <cellStyle name="40% - Accent3 2 3 2 5 4" xfId="16363" xr:uid="{00000000-0005-0000-0000-000092620000}"/>
    <cellStyle name="40% - Accent3 2 3 2 5 4 2" xfId="42237" xr:uid="{00000000-0005-0000-0000-000093620000}"/>
    <cellStyle name="40% - Accent3 2 3 2 5 5" xfId="29289" xr:uid="{00000000-0005-0000-0000-000094620000}"/>
    <cellStyle name="40% - Accent3 2 3 2 6" xfId="5059" xr:uid="{00000000-0005-0000-0000-000095620000}"/>
    <cellStyle name="40% - Accent3 2 3 2 6 2" xfId="11518" xr:uid="{00000000-0005-0000-0000-000096620000}"/>
    <cellStyle name="40% - Accent3 2 3 2 6 2 2" xfId="24435" xr:uid="{00000000-0005-0000-0000-000097620000}"/>
    <cellStyle name="40% - Accent3 2 3 2 6 2 2 2" xfId="50309" xr:uid="{00000000-0005-0000-0000-000098620000}"/>
    <cellStyle name="40% - Accent3 2 3 2 6 2 3" xfId="37393" xr:uid="{00000000-0005-0000-0000-000099620000}"/>
    <cellStyle name="40% - Accent3 2 3 2 6 3" xfId="17977" xr:uid="{00000000-0005-0000-0000-00009A620000}"/>
    <cellStyle name="40% - Accent3 2 3 2 6 3 2" xfId="43851" xr:uid="{00000000-0005-0000-0000-00009B620000}"/>
    <cellStyle name="40% - Accent3 2 3 2 6 4" xfId="30935" xr:uid="{00000000-0005-0000-0000-00009C620000}"/>
    <cellStyle name="40% - Accent3 2 3 2 7" xfId="8289" xr:uid="{00000000-0005-0000-0000-00009D620000}"/>
    <cellStyle name="40% - Accent3 2 3 2 7 2" xfId="21206" xr:uid="{00000000-0005-0000-0000-00009E620000}"/>
    <cellStyle name="40% - Accent3 2 3 2 7 2 2" xfId="47080" xr:uid="{00000000-0005-0000-0000-00009F620000}"/>
    <cellStyle name="40% - Accent3 2 3 2 7 3" xfId="34164" xr:uid="{00000000-0005-0000-0000-0000A0620000}"/>
    <cellStyle name="40% - Accent3 2 3 2 8" xfId="14748" xr:uid="{00000000-0005-0000-0000-0000A1620000}"/>
    <cellStyle name="40% - Accent3 2 3 2 8 2" xfId="40622" xr:uid="{00000000-0005-0000-0000-0000A2620000}"/>
    <cellStyle name="40% - Accent3 2 3 2 9" xfId="27672" xr:uid="{00000000-0005-0000-0000-0000A3620000}"/>
    <cellStyle name="40% - Accent3 2 3 3" xfId="706" xr:uid="{00000000-0005-0000-0000-0000A4620000}"/>
    <cellStyle name="40% - Accent3 2 3 3 10" xfId="1856" xr:uid="{00000000-0005-0000-0000-0000A5620000}"/>
    <cellStyle name="40% - Accent3 2 3 3 2" xfId="2298" xr:uid="{00000000-0005-0000-0000-0000A6620000}"/>
    <cellStyle name="40% - Accent3 2 3 3 2 2" xfId="3112" xr:uid="{00000000-0005-0000-0000-0000A7620000}"/>
    <cellStyle name="40% - Accent3 2 3 3 2 2 2" xfId="4769" xr:uid="{00000000-0005-0000-0000-0000A8620000}"/>
    <cellStyle name="40% - Accent3 2 3 3 2 2 2 2" xfId="8000" xr:uid="{00000000-0005-0000-0000-0000A9620000}"/>
    <cellStyle name="40% - Accent3 2 3 3 2 2 2 2 2" xfId="14459" xr:uid="{00000000-0005-0000-0000-0000AA620000}"/>
    <cellStyle name="40% - Accent3 2 3 3 2 2 2 2 2 2" xfId="27376" xr:uid="{00000000-0005-0000-0000-0000AB620000}"/>
    <cellStyle name="40% - Accent3 2 3 3 2 2 2 2 2 2 2" xfId="53250" xr:uid="{00000000-0005-0000-0000-0000AC620000}"/>
    <cellStyle name="40% - Accent3 2 3 3 2 2 2 2 2 3" xfId="40334" xr:uid="{00000000-0005-0000-0000-0000AD620000}"/>
    <cellStyle name="40% - Accent3 2 3 3 2 2 2 2 3" xfId="20918" xr:uid="{00000000-0005-0000-0000-0000AE620000}"/>
    <cellStyle name="40% - Accent3 2 3 3 2 2 2 2 3 2" xfId="46792" xr:uid="{00000000-0005-0000-0000-0000AF620000}"/>
    <cellStyle name="40% - Accent3 2 3 3 2 2 2 2 4" xfId="33876" xr:uid="{00000000-0005-0000-0000-0000B0620000}"/>
    <cellStyle name="40% - Accent3 2 3 3 2 2 2 3" xfId="11231" xr:uid="{00000000-0005-0000-0000-0000B1620000}"/>
    <cellStyle name="40% - Accent3 2 3 3 2 2 2 3 2" xfId="24148" xr:uid="{00000000-0005-0000-0000-0000B2620000}"/>
    <cellStyle name="40% - Accent3 2 3 3 2 2 2 3 2 2" xfId="50022" xr:uid="{00000000-0005-0000-0000-0000B3620000}"/>
    <cellStyle name="40% - Accent3 2 3 3 2 2 2 3 3" xfId="37106" xr:uid="{00000000-0005-0000-0000-0000B4620000}"/>
    <cellStyle name="40% - Accent3 2 3 3 2 2 2 4" xfId="17690" xr:uid="{00000000-0005-0000-0000-0000B5620000}"/>
    <cellStyle name="40% - Accent3 2 3 3 2 2 2 4 2" xfId="43564" xr:uid="{00000000-0005-0000-0000-0000B6620000}"/>
    <cellStyle name="40% - Accent3 2 3 3 2 2 2 5" xfId="30616" xr:uid="{00000000-0005-0000-0000-0000B7620000}"/>
    <cellStyle name="40% - Accent3 2 3 3 2 2 3" xfId="6386" xr:uid="{00000000-0005-0000-0000-0000B8620000}"/>
    <cellStyle name="40% - Accent3 2 3 3 2 2 3 2" xfId="12845" xr:uid="{00000000-0005-0000-0000-0000B9620000}"/>
    <cellStyle name="40% - Accent3 2 3 3 2 2 3 2 2" xfId="25762" xr:uid="{00000000-0005-0000-0000-0000BA620000}"/>
    <cellStyle name="40% - Accent3 2 3 3 2 2 3 2 2 2" xfId="51636" xr:uid="{00000000-0005-0000-0000-0000BB620000}"/>
    <cellStyle name="40% - Accent3 2 3 3 2 2 3 2 3" xfId="38720" xr:uid="{00000000-0005-0000-0000-0000BC620000}"/>
    <cellStyle name="40% - Accent3 2 3 3 2 2 3 3" xfId="19304" xr:uid="{00000000-0005-0000-0000-0000BD620000}"/>
    <cellStyle name="40% - Accent3 2 3 3 2 2 3 3 2" xfId="45178" xr:uid="{00000000-0005-0000-0000-0000BE620000}"/>
    <cellStyle name="40% - Accent3 2 3 3 2 2 3 4" xfId="32262" xr:uid="{00000000-0005-0000-0000-0000BF620000}"/>
    <cellStyle name="40% - Accent3 2 3 3 2 2 4" xfId="9617" xr:uid="{00000000-0005-0000-0000-0000C0620000}"/>
    <cellStyle name="40% - Accent3 2 3 3 2 2 4 2" xfId="22534" xr:uid="{00000000-0005-0000-0000-0000C1620000}"/>
    <cellStyle name="40% - Accent3 2 3 3 2 2 4 2 2" xfId="48408" xr:uid="{00000000-0005-0000-0000-0000C2620000}"/>
    <cellStyle name="40% - Accent3 2 3 3 2 2 4 3" xfId="35492" xr:uid="{00000000-0005-0000-0000-0000C3620000}"/>
    <cellStyle name="40% - Accent3 2 3 3 2 2 5" xfId="16076" xr:uid="{00000000-0005-0000-0000-0000C4620000}"/>
    <cellStyle name="40% - Accent3 2 3 3 2 2 5 2" xfId="41950" xr:uid="{00000000-0005-0000-0000-0000C5620000}"/>
    <cellStyle name="40% - Accent3 2 3 3 2 2 6" xfId="29002" xr:uid="{00000000-0005-0000-0000-0000C6620000}"/>
    <cellStyle name="40% - Accent3 2 3 3 2 3" xfId="3939" xr:uid="{00000000-0005-0000-0000-0000C7620000}"/>
    <cellStyle name="40% - Accent3 2 3 3 2 3 2" xfId="7193" xr:uid="{00000000-0005-0000-0000-0000C8620000}"/>
    <cellStyle name="40% - Accent3 2 3 3 2 3 2 2" xfId="13652" xr:uid="{00000000-0005-0000-0000-0000C9620000}"/>
    <cellStyle name="40% - Accent3 2 3 3 2 3 2 2 2" xfId="26569" xr:uid="{00000000-0005-0000-0000-0000CA620000}"/>
    <cellStyle name="40% - Accent3 2 3 3 2 3 2 2 2 2" xfId="52443" xr:uid="{00000000-0005-0000-0000-0000CB620000}"/>
    <cellStyle name="40% - Accent3 2 3 3 2 3 2 2 3" xfId="39527" xr:uid="{00000000-0005-0000-0000-0000CC620000}"/>
    <cellStyle name="40% - Accent3 2 3 3 2 3 2 3" xfId="20111" xr:uid="{00000000-0005-0000-0000-0000CD620000}"/>
    <cellStyle name="40% - Accent3 2 3 3 2 3 2 3 2" xfId="45985" xr:uid="{00000000-0005-0000-0000-0000CE620000}"/>
    <cellStyle name="40% - Accent3 2 3 3 2 3 2 4" xfId="33069" xr:uid="{00000000-0005-0000-0000-0000CF620000}"/>
    <cellStyle name="40% - Accent3 2 3 3 2 3 3" xfId="10424" xr:uid="{00000000-0005-0000-0000-0000D0620000}"/>
    <cellStyle name="40% - Accent3 2 3 3 2 3 3 2" xfId="23341" xr:uid="{00000000-0005-0000-0000-0000D1620000}"/>
    <cellStyle name="40% - Accent3 2 3 3 2 3 3 2 2" xfId="49215" xr:uid="{00000000-0005-0000-0000-0000D2620000}"/>
    <cellStyle name="40% - Accent3 2 3 3 2 3 3 3" xfId="36299" xr:uid="{00000000-0005-0000-0000-0000D3620000}"/>
    <cellStyle name="40% - Accent3 2 3 3 2 3 4" xfId="16883" xr:uid="{00000000-0005-0000-0000-0000D4620000}"/>
    <cellStyle name="40% - Accent3 2 3 3 2 3 4 2" xfId="42757" xr:uid="{00000000-0005-0000-0000-0000D5620000}"/>
    <cellStyle name="40% - Accent3 2 3 3 2 3 5" xfId="29809" xr:uid="{00000000-0005-0000-0000-0000D6620000}"/>
    <cellStyle name="40% - Accent3 2 3 3 2 4" xfId="5579" xr:uid="{00000000-0005-0000-0000-0000D7620000}"/>
    <cellStyle name="40% - Accent3 2 3 3 2 4 2" xfId="12038" xr:uid="{00000000-0005-0000-0000-0000D8620000}"/>
    <cellStyle name="40% - Accent3 2 3 3 2 4 2 2" xfId="24955" xr:uid="{00000000-0005-0000-0000-0000D9620000}"/>
    <cellStyle name="40% - Accent3 2 3 3 2 4 2 2 2" xfId="50829" xr:uid="{00000000-0005-0000-0000-0000DA620000}"/>
    <cellStyle name="40% - Accent3 2 3 3 2 4 2 3" xfId="37913" xr:uid="{00000000-0005-0000-0000-0000DB620000}"/>
    <cellStyle name="40% - Accent3 2 3 3 2 4 3" xfId="18497" xr:uid="{00000000-0005-0000-0000-0000DC620000}"/>
    <cellStyle name="40% - Accent3 2 3 3 2 4 3 2" xfId="44371" xr:uid="{00000000-0005-0000-0000-0000DD620000}"/>
    <cellStyle name="40% - Accent3 2 3 3 2 4 4" xfId="31455" xr:uid="{00000000-0005-0000-0000-0000DE620000}"/>
    <cellStyle name="40% - Accent3 2 3 3 2 5" xfId="8810" xr:uid="{00000000-0005-0000-0000-0000DF620000}"/>
    <cellStyle name="40% - Accent3 2 3 3 2 5 2" xfId="21727" xr:uid="{00000000-0005-0000-0000-0000E0620000}"/>
    <cellStyle name="40% - Accent3 2 3 3 2 5 2 2" xfId="47601" xr:uid="{00000000-0005-0000-0000-0000E1620000}"/>
    <cellStyle name="40% - Accent3 2 3 3 2 5 3" xfId="34685" xr:uid="{00000000-0005-0000-0000-0000E2620000}"/>
    <cellStyle name="40% - Accent3 2 3 3 2 6" xfId="15269" xr:uid="{00000000-0005-0000-0000-0000E3620000}"/>
    <cellStyle name="40% - Accent3 2 3 3 2 6 2" xfId="41143" xr:uid="{00000000-0005-0000-0000-0000E4620000}"/>
    <cellStyle name="40% - Accent3 2 3 3 2 7" xfId="28195" xr:uid="{00000000-0005-0000-0000-0000E5620000}"/>
    <cellStyle name="40% - Accent3 2 3 3 2 8" xfId="54057" xr:uid="{00000000-0005-0000-0000-0000E6620000}"/>
    <cellStyle name="40% - Accent3 2 3 3 3" xfId="2709" xr:uid="{00000000-0005-0000-0000-0000E7620000}"/>
    <cellStyle name="40% - Accent3 2 3 3 3 2" xfId="4366" xr:uid="{00000000-0005-0000-0000-0000E8620000}"/>
    <cellStyle name="40% - Accent3 2 3 3 3 2 2" xfId="7597" xr:uid="{00000000-0005-0000-0000-0000E9620000}"/>
    <cellStyle name="40% - Accent3 2 3 3 3 2 2 2" xfId="14056" xr:uid="{00000000-0005-0000-0000-0000EA620000}"/>
    <cellStyle name="40% - Accent3 2 3 3 3 2 2 2 2" xfId="26973" xr:uid="{00000000-0005-0000-0000-0000EB620000}"/>
    <cellStyle name="40% - Accent3 2 3 3 3 2 2 2 2 2" xfId="52847" xr:uid="{00000000-0005-0000-0000-0000EC620000}"/>
    <cellStyle name="40% - Accent3 2 3 3 3 2 2 2 3" xfId="39931" xr:uid="{00000000-0005-0000-0000-0000ED620000}"/>
    <cellStyle name="40% - Accent3 2 3 3 3 2 2 3" xfId="20515" xr:uid="{00000000-0005-0000-0000-0000EE620000}"/>
    <cellStyle name="40% - Accent3 2 3 3 3 2 2 3 2" xfId="46389" xr:uid="{00000000-0005-0000-0000-0000EF620000}"/>
    <cellStyle name="40% - Accent3 2 3 3 3 2 2 4" xfId="33473" xr:uid="{00000000-0005-0000-0000-0000F0620000}"/>
    <cellStyle name="40% - Accent3 2 3 3 3 2 3" xfId="10828" xr:uid="{00000000-0005-0000-0000-0000F1620000}"/>
    <cellStyle name="40% - Accent3 2 3 3 3 2 3 2" xfId="23745" xr:uid="{00000000-0005-0000-0000-0000F2620000}"/>
    <cellStyle name="40% - Accent3 2 3 3 3 2 3 2 2" xfId="49619" xr:uid="{00000000-0005-0000-0000-0000F3620000}"/>
    <cellStyle name="40% - Accent3 2 3 3 3 2 3 3" xfId="36703" xr:uid="{00000000-0005-0000-0000-0000F4620000}"/>
    <cellStyle name="40% - Accent3 2 3 3 3 2 4" xfId="17287" xr:uid="{00000000-0005-0000-0000-0000F5620000}"/>
    <cellStyle name="40% - Accent3 2 3 3 3 2 4 2" xfId="43161" xr:uid="{00000000-0005-0000-0000-0000F6620000}"/>
    <cellStyle name="40% - Accent3 2 3 3 3 2 5" xfId="30213" xr:uid="{00000000-0005-0000-0000-0000F7620000}"/>
    <cellStyle name="40% - Accent3 2 3 3 3 3" xfId="5983" xr:uid="{00000000-0005-0000-0000-0000F8620000}"/>
    <cellStyle name="40% - Accent3 2 3 3 3 3 2" xfId="12442" xr:uid="{00000000-0005-0000-0000-0000F9620000}"/>
    <cellStyle name="40% - Accent3 2 3 3 3 3 2 2" xfId="25359" xr:uid="{00000000-0005-0000-0000-0000FA620000}"/>
    <cellStyle name="40% - Accent3 2 3 3 3 3 2 2 2" xfId="51233" xr:uid="{00000000-0005-0000-0000-0000FB620000}"/>
    <cellStyle name="40% - Accent3 2 3 3 3 3 2 3" xfId="38317" xr:uid="{00000000-0005-0000-0000-0000FC620000}"/>
    <cellStyle name="40% - Accent3 2 3 3 3 3 3" xfId="18901" xr:uid="{00000000-0005-0000-0000-0000FD620000}"/>
    <cellStyle name="40% - Accent3 2 3 3 3 3 3 2" xfId="44775" xr:uid="{00000000-0005-0000-0000-0000FE620000}"/>
    <cellStyle name="40% - Accent3 2 3 3 3 3 4" xfId="31859" xr:uid="{00000000-0005-0000-0000-0000FF620000}"/>
    <cellStyle name="40% - Accent3 2 3 3 3 4" xfId="9214" xr:uid="{00000000-0005-0000-0000-000000630000}"/>
    <cellStyle name="40% - Accent3 2 3 3 3 4 2" xfId="22131" xr:uid="{00000000-0005-0000-0000-000001630000}"/>
    <cellStyle name="40% - Accent3 2 3 3 3 4 2 2" xfId="48005" xr:uid="{00000000-0005-0000-0000-000002630000}"/>
    <cellStyle name="40% - Accent3 2 3 3 3 4 3" xfId="35089" xr:uid="{00000000-0005-0000-0000-000003630000}"/>
    <cellStyle name="40% - Accent3 2 3 3 3 5" xfId="15673" xr:uid="{00000000-0005-0000-0000-000004630000}"/>
    <cellStyle name="40% - Accent3 2 3 3 3 5 2" xfId="41547" xr:uid="{00000000-0005-0000-0000-000005630000}"/>
    <cellStyle name="40% - Accent3 2 3 3 3 6" xfId="28599" xr:uid="{00000000-0005-0000-0000-000006630000}"/>
    <cellStyle name="40% - Accent3 2 3 3 4" xfId="3536" xr:uid="{00000000-0005-0000-0000-000007630000}"/>
    <cellStyle name="40% - Accent3 2 3 3 4 2" xfId="6790" xr:uid="{00000000-0005-0000-0000-000008630000}"/>
    <cellStyle name="40% - Accent3 2 3 3 4 2 2" xfId="13249" xr:uid="{00000000-0005-0000-0000-000009630000}"/>
    <cellStyle name="40% - Accent3 2 3 3 4 2 2 2" xfId="26166" xr:uid="{00000000-0005-0000-0000-00000A630000}"/>
    <cellStyle name="40% - Accent3 2 3 3 4 2 2 2 2" xfId="52040" xr:uid="{00000000-0005-0000-0000-00000B630000}"/>
    <cellStyle name="40% - Accent3 2 3 3 4 2 2 3" xfId="39124" xr:uid="{00000000-0005-0000-0000-00000C630000}"/>
    <cellStyle name="40% - Accent3 2 3 3 4 2 3" xfId="19708" xr:uid="{00000000-0005-0000-0000-00000D630000}"/>
    <cellStyle name="40% - Accent3 2 3 3 4 2 3 2" xfId="45582" xr:uid="{00000000-0005-0000-0000-00000E630000}"/>
    <cellStyle name="40% - Accent3 2 3 3 4 2 4" xfId="32666" xr:uid="{00000000-0005-0000-0000-00000F630000}"/>
    <cellStyle name="40% - Accent3 2 3 3 4 3" xfId="10021" xr:uid="{00000000-0005-0000-0000-000010630000}"/>
    <cellStyle name="40% - Accent3 2 3 3 4 3 2" xfId="22938" xr:uid="{00000000-0005-0000-0000-000011630000}"/>
    <cellStyle name="40% - Accent3 2 3 3 4 3 2 2" xfId="48812" xr:uid="{00000000-0005-0000-0000-000012630000}"/>
    <cellStyle name="40% - Accent3 2 3 3 4 3 3" xfId="35896" xr:uid="{00000000-0005-0000-0000-000013630000}"/>
    <cellStyle name="40% - Accent3 2 3 3 4 4" xfId="16480" xr:uid="{00000000-0005-0000-0000-000014630000}"/>
    <cellStyle name="40% - Accent3 2 3 3 4 4 2" xfId="42354" xr:uid="{00000000-0005-0000-0000-000015630000}"/>
    <cellStyle name="40% - Accent3 2 3 3 4 5" xfId="29406" xr:uid="{00000000-0005-0000-0000-000016630000}"/>
    <cellStyle name="40% - Accent3 2 3 3 5" xfId="5176" xr:uid="{00000000-0005-0000-0000-000017630000}"/>
    <cellStyle name="40% - Accent3 2 3 3 5 2" xfId="11635" xr:uid="{00000000-0005-0000-0000-000018630000}"/>
    <cellStyle name="40% - Accent3 2 3 3 5 2 2" xfId="24552" xr:uid="{00000000-0005-0000-0000-000019630000}"/>
    <cellStyle name="40% - Accent3 2 3 3 5 2 2 2" xfId="50426" xr:uid="{00000000-0005-0000-0000-00001A630000}"/>
    <cellStyle name="40% - Accent3 2 3 3 5 2 3" xfId="37510" xr:uid="{00000000-0005-0000-0000-00001B630000}"/>
    <cellStyle name="40% - Accent3 2 3 3 5 3" xfId="18094" xr:uid="{00000000-0005-0000-0000-00001C630000}"/>
    <cellStyle name="40% - Accent3 2 3 3 5 3 2" xfId="43968" xr:uid="{00000000-0005-0000-0000-00001D630000}"/>
    <cellStyle name="40% - Accent3 2 3 3 5 4" xfId="31052" xr:uid="{00000000-0005-0000-0000-00001E630000}"/>
    <cellStyle name="40% - Accent3 2 3 3 6" xfId="8406" xr:uid="{00000000-0005-0000-0000-00001F630000}"/>
    <cellStyle name="40% - Accent3 2 3 3 6 2" xfId="21323" xr:uid="{00000000-0005-0000-0000-000020630000}"/>
    <cellStyle name="40% - Accent3 2 3 3 6 2 2" xfId="47197" xr:uid="{00000000-0005-0000-0000-000021630000}"/>
    <cellStyle name="40% - Accent3 2 3 3 6 3" xfId="34281" xr:uid="{00000000-0005-0000-0000-000022630000}"/>
    <cellStyle name="40% - Accent3 2 3 3 7" xfId="14865" xr:uid="{00000000-0005-0000-0000-000023630000}"/>
    <cellStyle name="40% - Accent3 2 3 3 7 2" xfId="40739" xr:uid="{00000000-0005-0000-0000-000024630000}"/>
    <cellStyle name="40% - Accent3 2 3 3 8" xfId="27791" xr:uid="{00000000-0005-0000-0000-000025630000}"/>
    <cellStyle name="40% - Accent3 2 3 3 9" xfId="53654" xr:uid="{00000000-0005-0000-0000-000026630000}"/>
    <cellStyle name="40% - Accent3 2 3 4" xfId="703" xr:uid="{00000000-0005-0000-0000-000027630000}"/>
    <cellStyle name="40% - Accent3 2 3 4 2" xfId="2916" xr:uid="{00000000-0005-0000-0000-000028630000}"/>
    <cellStyle name="40% - Accent3 2 3 4 2 2" xfId="4573" xr:uid="{00000000-0005-0000-0000-000029630000}"/>
    <cellStyle name="40% - Accent3 2 3 4 2 2 2" xfId="7804" xr:uid="{00000000-0005-0000-0000-00002A630000}"/>
    <cellStyle name="40% - Accent3 2 3 4 2 2 2 2" xfId="14263" xr:uid="{00000000-0005-0000-0000-00002B630000}"/>
    <cellStyle name="40% - Accent3 2 3 4 2 2 2 2 2" xfId="27180" xr:uid="{00000000-0005-0000-0000-00002C630000}"/>
    <cellStyle name="40% - Accent3 2 3 4 2 2 2 2 2 2" xfId="53054" xr:uid="{00000000-0005-0000-0000-00002D630000}"/>
    <cellStyle name="40% - Accent3 2 3 4 2 2 2 2 3" xfId="40138" xr:uid="{00000000-0005-0000-0000-00002E630000}"/>
    <cellStyle name="40% - Accent3 2 3 4 2 2 2 3" xfId="20722" xr:uid="{00000000-0005-0000-0000-00002F630000}"/>
    <cellStyle name="40% - Accent3 2 3 4 2 2 2 3 2" xfId="46596" xr:uid="{00000000-0005-0000-0000-000030630000}"/>
    <cellStyle name="40% - Accent3 2 3 4 2 2 2 4" xfId="33680" xr:uid="{00000000-0005-0000-0000-000031630000}"/>
    <cellStyle name="40% - Accent3 2 3 4 2 2 3" xfId="11035" xr:uid="{00000000-0005-0000-0000-000032630000}"/>
    <cellStyle name="40% - Accent3 2 3 4 2 2 3 2" xfId="23952" xr:uid="{00000000-0005-0000-0000-000033630000}"/>
    <cellStyle name="40% - Accent3 2 3 4 2 2 3 2 2" xfId="49826" xr:uid="{00000000-0005-0000-0000-000034630000}"/>
    <cellStyle name="40% - Accent3 2 3 4 2 2 3 3" xfId="36910" xr:uid="{00000000-0005-0000-0000-000035630000}"/>
    <cellStyle name="40% - Accent3 2 3 4 2 2 4" xfId="17494" xr:uid="{00000000-0005-0000-0000-000036630000}"/>
    <cellStyle name="40% - Accent3 2 3 4 2 2 4 2" xfId="43368" xr:uid="{00000000-0005-0000-0000-000037630000}"/>
    <cellStyle name="40% - Accent3 2 3 4 2 2 5" xfId="30420" xr:uid="{00000000-0005-0000-0000-000038630000}"/>
    <cellStyle name="40% - Accent3 2 3 4 2 3" xfId="6190" xr:uid="{00000000-0005-0000-0000-000039630000}"/>
    <cellStyle name="40% - Accent3 2 3 4 2 3 2" xfId="12649" xr:uid="{00000000-0005-0000-0000-00003A630000}"/>
    <cellStyle name="40% - Accent3 2 3 4 2 3 2 2" xfId="25566" xr:uid="{00000000-0005-0000-0000-00003B630000}"/>
    <cellStyle name="40% - Accent3 2 3 4 2 3 2 2 2" xfId="51440" xr:uid="{00000000-0005-0000-0000-00003C630000}"/>
    <cellStyle name="40% - Accent3 2 3 4 2 3 2 3" xfId="38524" xr:uid="{00000000-0005-0000-0000-00003D630000}"/>
    <cellStyle name="40% - Accent3 2 3 4 2 3 3" xfId="19108" xr:uid="{00000000-0005-0000-0000-00003E630000}"/>
    <cellStyle name="40% - Accent3 2 3 4 2 3 3 2" xfId="44982" xr:uid="{00000000-0005-0000-0000-00003F630000}"/>
    <cellStyle name="40% - Accent3 2 3 4 2 3 4" xfId="32066" xr:uid="{00000000-0005-0000-0000-000040630000}"/>
    <cellStyle name="40% - Accent3 2 3 4 2 4" xfId="9421" xr:uid="{00000000-0005-0000-0000-000041630000}"/>
    <cellStyle name="40% - Accent3 2 3 4 2 4 2" xfId="22338" xr:uid="{00000000-0005-0000-0000-000042630000}"/>
    <cellStyle name="40% - Accent3 2 3 4 2 4 2 2" xfId="48212" xr:uid="{00000000-0005-0000-0000-000043630000}"/>
    <cellStyle name="40% - Accent3 2 3 4 2 4 3" xfId="35296" xr:uid="{00000000-0005-0000-0000-000044630000}"/>
    <cellStyle name="40% - Accent3 2 3 4 2 5" xfId="15880" xr:uid="{00000000-0005-0000-0000-000045630000}"/>
    <cellStyle name="40% - Accent3 2 3 4 2 5 2" xfId="41754" xr:uid="{00000000-0005-0000-0000-000046630000}"/>
    <cellStyle name="40% - Accent3 2 3 4 2 6" xfId="28806" xr:uid="{00000000-0005-0000-0000-000047630000}"/>
    <cellStyle name="40% - Accent3 2 3 4 3" xfId="3743" xr:uid="{00000000-0005-0000-0000-000048630000}"/>
    <cellStyle name="40% - Accent3 2 3 4 3 2" xfId="6997" xr:uid="{00000000-0005-0000-0000-000049630000}"/>
    <cellStyle name="40% - Accent3 2 3 4 3 2 2" xfId="13456" xr:uid="{00000000-0005-0000-0000-00004A630000}"/>
    <cellStyle name="40% - Accent3 2 3 4 3 2 2 2" xfId="26373" xr:uid="{00000000-0005-0000-0000-00004B630000}"/>
    <cellStyle name="40% - Accent3 2 3 4 3 2 2 2 2" xfId="52247" xr:uid="{00000000-0005-0000-0000-00004C630000}"/>
    <cellStyle name="40% - Accent3 2 3 4 3 2 2 3" xfId="39331" xr:uid="{00000000-0005-0000-0000-00004D630000}"/>
    <cellStyle name="40% - Accent3 2 3 4 3 2 3" xfId="19915" xr:uid="{00000000-0005-0000-0000-00004E630000}"/>
    <cellStyle name="40% - Accent3 2 3 4 3 2 3 2" xfId="45789" xr:uid="{00000000-0005-0000-0000-00004F630000}"/>
    <cellStyle name="40% - Accent3 2 3 4 3 2 4" xfId="32873" xr:uid="{00000000-0005-0000-0000-000050630000}"/>
    <cellStyle name="40% - Accent3 2 3 4 3 3" xfId="10228" xr:uid="{00000000-0005-0000-0000-000051630000}"/>
    <cellStyle name="40% - Accent3 2 3 4 3 3 2" xfId="23145" xr:uid="{00000000-0005-0000-0000-000052630000}"/>
    <cellStyle name="40% - Accent3 2 3 4 3 3 2 2" xfId="49019" xr:uid="{00000000-0005-0000-0000-000053630000}"/>
    <cellStyle name="40% - Accent3 2 3 4 3 3 3" xfId="36103" xr:uid="{00000000-0005-0000-0000-000054630000}"/>
    <cellStyle name="40% - Accent3 2 3 4 3 4" xfId="16687" xr:uid="{00000000-0005-0000-0000-000055630000}"/>
    <cellStyle name="40% - Accent3 2 3 4 3 4 2" xfId="42561" xr:uid="{00000000-0005-0000-0000-000056630000}"/>
    <cellStyle name="40% - Accent3 2 3 4 3 5" xfId="29613" xr:uid="{00000000-0005-0000-0000-000057630000}"/>
    <cellStyle name="40% - Accent3 2 3 4 4" xfId="5383" xr:uid="{00000000-0005-0000-0000-000058630000}"/>
    <cellStyle name="40% - Accent3 2 3 4 4 2" xfId="11842" xr:uid="{00000000-0005-0000-0000-000059630000}"/>
    <cellStyle name="40% - Accent3 2 3 4 4 2 2" xfId="24759" xr:uid="{00000000-0005-0000-0000-00005A630000}"/>
    <cellStyle name="40% - Accent3 2 3 4 4 2 2 2" xfId="50633" xr:uid="{00000000-0005-0000-0000-00005B630000}"/>
    <cellStyle name="40% - Accent3 2 3 4 4 2 3" xfId="37717" xr:uid="{00000000-0005-0000-0000-00005C630000}"/>
    <cellStyle name="40% - Accent3 2 3 4 4 3" xfId="18301" xr:uid="{00000000-0005-0000-0000-00005D630000}"/>
    <cellStyle name="40% - Accent3 2 3 4 4 3 2" xfId="44175" xr:uid="{00000000-0005-0000-0000-00005E630000}"/>
    <cellStyle name="40% - Accent3 2 3 4 4 4" xfId="31259" xr:uid="{00000000-0005-0000-0000-00005F630000}"/>
    <cellStyle name="40% - Accent3 2 3 4 5" xfId="8614" xr:uid="{00000000-0005-0000-0000-000060630000}"/>
    <cellStyle name="40% - Accent3 2 3 4 5 2" xfId="21531" xr:uid="{00000000-0005-0000-0000-000061630000}"/>
    <cellStyle name="40% - Accent3 2 3 4 5 2 2" xfId="47405" xr:uid="{00000000-0005-0000-0000-000062630000}"/>
    <cellStyle name="40% - Accent3 2 3 4 5 3" xfId="34489" xr:uid="{00000000-0005-0000-0000-000063630000}"/>
    <cellStyle name="40% - Accent3 2 3 4 6" xfId="15073" xr:uid="{00000000-0005-0000-0000-000064630000}"/>
    <cellStyle name="40% - Accent3 2 3 4 6 2" xfId="40947" xr:uid="{00000000-0005-0000-0000-000065630000}"/>
    <cellStyle name="40% - Accent3 2 3 4 7" xfId="27999" xr:uid="{00000000-0005-0000-0000-000066630000}"/>
    <cellStyle name="40% - Accent3 2 3 4 8" xfId="53861" xr:uid="{00000000-0005-0000-0000-000067630000}"/>
    <cellStyle name="40% - Accent3 2 3 4 9" xfId="2100" xr:uid="{00000000-0005-0000-0000-000068630000}"/>
    <cellStyle name="40% - Accent3 2 3 5" xfId="2514" xr:uid="{00000000-0005-0000-0000-000069630000}"/>
    <cellStyle name="40% - Accent3 2 3 5 2" xfId="4171" xr:uid="{00000000-0005-0000-0000-00006A630000}"/>
    <cellStyle name="40% - Accent3 2 3 5 2 2" xfId="7402" xr:uid="{00000000-0005-0000-0000-00006B630000}"/>
    <cellStyle name="40% - Accent3 2 3 5 2 2 2" xfId="13861" xr:uid="{00000000-0005-0000-0000-00006C630000}"/>
    <cellStyle name="40% - Accent3 2 3 5 2 2 2 2" xfId="26778" xr:uid="{00000000-0005-0000-0000-00006D630000}"/>
    <cellStyle name="40% - Accent3 2 3 5 2 2 2 2 2" xfId="52652" xr:uid="{00000000-0005-0000-0000-00006E630000}"/>
    <cellStyle name="40% - Accent3 2 3 5 2 2 2 3" xfId="39736" xr:uid="{00000000-0005-0000-0000-00006F630000}"/>
    <cellStyle name="40% - Accent3 2 3 5 2 2 3" xfId="20320" xr:uid="{00000000-0005-0000-0000-000070630000}"/>
    <cellStyle name="40% - Accent3 2 3 5 2 2 3 2" xfId="46194" xr:uid="{00000000-0005-0000-0000-000071630000}"/>
    <cellStyle name="40% - Accent3 2 3 5 2 2 4" xfId="33278" xr:uid="{00000000-0005-0000-0000-000072630000}"/>
    <cellStyle name="40% - Accent3 2 3 5 2 3" xfId="10633" xr:uid="{00000000-0005-0000-0000-000073630000}"/>
    <cellStyle name="40% - Accent3 2 3 5 2 3 2" xfId="23550" xr:uid="{00000000-0005-0000-0000-000074630000}"/>
    <cellStyle name="40% - Accent3 2 3 5 2 3 2 2" xfId="49424" xr:uid="{00000000-0005-0000-0000-000075630000}"/>
    <cellStyle name="40% - Accent3 2 3 5 2 3 3" xfId="36508" xr:uid="{00000000-0005-0000-0000-000076630000}"/>
    <cellStyle name="40% - Accent3 2 3 5 2 4" xfId="17092" xr:uid="{00000000-0005-0000-0000-000077630000}"/>
    <cellStyle name="40% - Accent3 2 3 5 2 4 2" xfId="42966" xr:uid="{00000000-0005-0000-0000-000078630000}"/>
    <cellStyle name="40% - Accent3 2 3 5 2 5" xfId="30018" xr:uid="{00000000-0005-0000-0000-000079630000}"/>
    <cellStyle name="40% - Accent3 2 3 5 3" xfId="5788" xr:uid="{00000000-0005-0000-0000-00007A630000}"/>
    <cellStyle name="40% - Accent3 2 3 5 3 2" xfId="12247" xr:uid="{00000000-0005-0000-0000-00007B630000}"/>
    <cellStyle name="40% - Accent3 2 3 5 3 2 2" xfId="25164" xr:uid="{00000000-0005-0000-0000-00007C630000}"/>
    <cellStyle name="40% - Accent3 2 3 5 3 2 2 2" xfId="51038" xr:uid="{00000000-0005-0000-0000-00007D630000}"/>
    <cellStyle name="40% - Accent3 2 3 5 3 2 3" xfId="38122" xr:uid="{00000000-0005-0000-0000-00007E630000}"/>
    <cellStyle name="40% - Accent3 2 3 5 3 3" xfId="18706" xr:uid="{00000000-0005-0000-0000-00007F630000}"/>
    <cellStyle name="40% - Accent3 2 3 5 3 3 2" xfId="44580" xr:uid="{00000000-0005-0000-0000-000080630000}"/>
    <cellStyle name="40% - Accent3 2 3 5 3 4" xfId="31664" xr:uid="{00000000-0005-0000-0000-000081630000}"/>
    <cellStyle name="40% - Accent3 2 3 5 4" xfId="9019" xr:uid="{00000000-0005-0000-0000-000082630000}"/>
    <cellStyle name="40% - Accent3 2 3 5 4 2" xfId="21936" xr:uid="{00000000-0005-0000-0000-000083630000}"/>
    <cellStyle name="40% - Accent3 2 3 5 4 2 2" xfId="47810" xr:uid="{00000000-0005-0000-0000-000084630000}"/>
    <cellStyle name="40% - Accent3 2 3 5 4 3" xfId="34894" xr:uid="{00000000-0005-0000-0000-000085630000}"/>
    <cellStyle name="40% - Accent3 2 3 5 5" xfId="15478" xr:uid="{00000000-0005-0000-0000-000086630000}"/>
    <cellStyle name="40% - Accent3 2 3 5 5 2" xfId="41352" xr:uid="{00000000-0005-0000-0000-000087630000}"/>
    <cellStyle name="40% - Accent3 2 3 5 6" xfId="28404" xr:uid="{00000000-0005-0000-0000-000088630000}"/>
    <cellStyle name="40% - Accent3 2 3 6" xfId="3334" xr:uid="{00000000-0005-0000-0000-000089630000}"/>
    <cellStyle name="40% - Accent3 2 3 6 2" xfId="6595" xr:uid="{00000000-0005-0000-0000-00008A630000}"/>
    <cellStyle name="40% - Accent3 2 3 6 2 2" xfId="13054" xr:uid="{00000000-0005-0000-0000-00008B630000}"/>
    <cellStyle name="40% - Accent3 2 3 6 2 2 2" xfId="25971" xr:uid="{00000000-0005-0000-0000-00008C630000}"/>
    <cellStyle name="40% - Accent3 2 3 6 2 2 2 2" xfId="51845" xr:uid="{00000000-0005-0000-0000-00008D630000}"/>
    <cellStyle name="40% - Accent3 2 3 6 2 2 3" xfId="38929" xr:uid="{00000000-0005-0000-0000-00008E630000}"/>
    <cellStyle name="40% - Accent3 2 3 6 2 3" xfId="19513" xr:uid="{00000000-0005-0000-0000-00008F630000}"/>
    <cellStyle name="40% - Accent3 2 3 6 2 3 2" xfId="45387" xr:uid="{00000000-0005-0000-0000-000090630000}"/>
    <cellStyle name="40% - Accent3 2 3 6 2 4" xfId="32471" xr:uid="{00000000-0005-0000-0000-000091630000}"/>
    <cellStyle name="40% - Accent3 2 3 6 3" xfId="9826" xr:uid="{00000000-0005-0000-0000-000092630000}"/>
    <cellStyle name="40% - Accent3 2 3 6 3 2" xfId="22743" xr:uid="{00000000-0005-0000-0000-000093630000}"/>
    <cellStyle name="40% - Accent3 2 3 6 3 2 2" xfId="48617" xr:uid="{00000000-0005-0000-0000-000094630000}"/>
    <cellStyle name="40% - Accent3 2 3 6 3 3" xfId="35701" xr:uid="{00000000-0005-0000-0000-000095630000}"/>
    <cellStyle name="40% - Accent3 2 3 6 4" xfId="16285" xr:uid="{00000000-0005-0000-0000-000096630000}"/>
    <cellStyle name="40% - Accent3 2 3 6 4 2" xfId="42159" xr:uid="{00000000-0005-0000-0000-000097630000}"/>
    <cellStyle name="40% - Accent3 2 3 6 5" xfId="29211" xr:uid="{00000000-0005-0000-0000-000098630000}"/>
    <cellStyle name="40% - Accent3 2 3 7" xfId="4981" xr:uid="{00000000-0005-0000-0000-000099630000}"/>
    <cellStyle name="40% - Accent3 2 3 7 2" xfId="11440" xr:uid="{00000000-0005-0000-0000-00009A630000}"/>
    <cellStyle name="40% - Accent3 2 3 7 2 2" xfId="24357" xr:uid="{00000000-0005-0000-0000-00009B630000}"/>
    <cellStyle name="40% - Accent3 2 3 7 2 2 2" xfId="50231" xr:uid="{00000000-0005-0000-0000-00009C630000}"/>
    <cellStyle name="40% - Accent3 2 3 7 2 3" xfId="37315" xr:uid="{00000000-0005-0000-0000-00009D630000}"/>
    <cellStyle name="40% - Accent3 2 3 7 3" xfId="17899" xr:uid="{00000000-0005-0000-0000-00009E630000}"/>
    <cellStyle name="40% - Accent3 2 3 7 3 2" xfId="43773" xr:uid="{00000000-0005-0000-0000-00009F630000}"/>
    <cellStyle name="40% - Accent3 2 3 7 4" xfId="30857" xr:uid="{00000000-0005-0000-0000-0000A0630000}"/>
    <cellStyle name="40% - Accent3 2 3 8" xfId="8212" xr:uid="{00000000-0005-0000-0000-0000A1630000}"/>
    <cellStyle name="40% - Accent3 2 3 8 2" xfId="21129" xr:uid="{00000000-0005-0000-0000-0000A2630000}"/>
    <cellStyle name="40% - Accent3 2 3 8 2 2" xfId="47003" xr:uid="{00000000-0005-0000-0000-0000A3630000}"/>
    <cellStyle name="40% - Accent3 2 3 8 3" xfId="34087" xr:uid="{00000000-0005-0000-0000-0000A4630000}"/>
    <cellStyle name="40% - Accent3 2 3 9" xfId="14671" xr:uid="{00000000-0005-0000-0000-0000A5630000}"/>
    <cellStyle name="40% - Accent3 2 3 9 2" xfId="40545" xr:uid="{00000000-0005-0000-0000-0000A6630000}"/>
    <cellStyle name="40% - Accent3 2 4" xfId="1538" xr:uid="{00000000-0005-0000-0000-0000A7630000}"/>
    <cellStyle name="40% - Accent3 2 4 10" xfId="53486" xr:uid="{00000000-0005-0000-0000-0000A8630000}"/>
    <cellStyle name="40% - Accent3 2 4 2" xfId="1895" xr:uid="{00000000-0005-0000-0000-0000A9630000}"/>
    <cellStyle name="40% - Accent3 2 4 2 2" xfId="2326" xr:uid="{00000000-0005-0000-0000-0000AA630000}"/>
    <cellStyle name="40% - Accent3 2 4 2 2 2" xfId="3139" xr:uid="{00000000-0005-0000-0000-0000AB630000}"/>
    <cellStyle name="40% - Accent3 2 4 2 2 2 2" xfId="4796" xr:uid="{00000000-0005-0000-0000-0000AC630000}"/>
    <cellStyle name="40% - Accent3 2 4 2 2 2 2 2" xfId="8027" xr:uid="{00000000-0005-0000-0000-0000AD630000}"/>
    <cellStyle name="40% - Accent3 2 4 2 2 2 2 2 2" xfId="14486" xr:uid="{00000000-0005-0000-0000-0000AE630000}"/>
    <cellStyle name="40% - Accent3 2 4 2 2 2 2 2 2 2" xfId="27403" xr:uid="{00000000-0005-0000-0000-0000AF630000}"/>
    <cellStyle name="40% - Accent3 2 4 2 2 2 2 2 2 2 2" xfId="53277" xr:uid="{00000000-0005-0000-0000-0000B0630000}"/>
    <cellStyle name="40% - Accent3 2 4 2 2 2 2 2 2 3" xfId="40361" xr:uid="{00000000-0005-0000-0000-0000B1630000}"/>
    <cellStyle name="40% - Accent3 2 4 2 2 2 2 2 3" xfId="20945" xr:uid="{00000000-0005-0000-0000-0000B2630000}"/>
    <cellStyle name="40% - Accent3 2 4 2 2 2 2 2 3 2" xfId="46819" xr:uid="{00000000-0005-0000-0000-0000B3630000}"/>
    <cellStyle name="40% - Accent3 2 4 2 2 2 2 2 4" xfId="33903" xr:uid="{00000000-0005-0000-0000-0000B4630000}"/>
    <cellStyle name="40% - Accent3 2 4 2 2 2 2 3" xfId="11258" xr:uid="{00000000-0005-0000-0000-0000B5630000}"/>
    <cellStyle name="40% - Accent3 2 4 2 2 2 2 3 2" xfId="24175" xr:uid="{00000000-0005-0000-0000-0000B6630000}"/>
    <cellStyle name="40% - Accent3 2 4 2 2 2 2 3 2 2" xfId="50049" xr:uid="{00000000-0005-0000-0000-0000B7630000}"/>
    <cellStyle name="40% - Accent3 2 4 2 2 2 2 3 3" xfId="37133" xr:uid="{00000000-0005-0000-0000-0000B8630000}"/>
    <cellStyle name="40% - Accent3 2 4 2 2 2 2 4" xfId="17717" xr:uid="{00000000-0005-0000-0000-0000B9630000}"/>
    <cellStyle name="40% - Accent3 2 4 2 2 2 2 4 2" xfId="43591" xr:uid="{00000000-0005-0000-0000-0000BA630000}"/>
    <cellStyle name="40% - Accent3 2 4 2 2 2 2 5" xfId="30643" xr:uid="{00000000-0005-0000-0000-0000BB630000}"/>
    <cellStyle name="40% - Accent3 2 4 2 2 2 3" xfId="6413" xr:uid="{00000000-0005-0000-0000-0000BC630000}"/>
    <cellStyle name="40% - Accent3 2 4 2 2 2 3 2" xfId="12872" xr:uid="{00000000-0005-0000-0000-0000BD630000}"/>
    <cellStyle name="40% - Accent3 2 4 2 2 2 3 2 2" xfId="25789" xr:uid="{00000000-0005-0000-0000-0000BE630000}"/>
    <cellStyle name="40% - Accent3 2 4 2 2 2 3 2 2 2" xfId="51663" xr:uid="{00000000-0005-0000-0000-0000BF630000}"/>
    <cellStyle name="40% - Accent3 2 4 2 2 2 3 2 3" xfId="38747" xr:uid="{00000000-0005-0000-0000-0000C0630000}"/>
    <cellStyle name="40% - Accent3 2 4 2 2 2 3 3" xfId="19331" xr:uid="{00000000-0005-0000-0000-0000C1630000}"/>
    <cellStyle name="40% - Accent3 2 4 2 2 2 3 3 2" xfId="45205" xr:uid="{00000000-0005-0000-0000-0000C2630000}"/>
    <cellStyle name="40% - Accent3 2 4 2 2 2 3 4" xfId="32289" xr:uid="{00000000-0005-0000-0000-0000C3630000}"/>
    <cellStyle name="40% - Accent3 2 4 2 2 2 4" xfId="9644" xr:uid="{00000000-0005-0000-0000-0000C4630000}"/>
    <cellStyle name="40% - Accent3 2 4 2 2 2 4 2" xfId="22561" xr:uid="{00000000-0005-0000-0000-0000C5630000}"/>
    <cellStyle name="40% - Accent3 2 4 2 2 2 4 2 2" xfId="48435" xr:uid="{00000000-0005-0000-0000-0000C6630000}"/>
    <cellStyle name="40% - Accent3 2 4 2 2 2 4 3" xfId="35519" xr:uid="{00000000-0005-0000-0000-0000C7630000}"/>
    <cellStyle name="40% - Accent3 2 4 2 2 2 5" xfId="16103" xr:uid="{00000000-0005-0000-0000-0000C8630000}"/>
    <cellStyle name="40% - Accent3 2 4 2 2 2 5 2" xfId="41977" xr:uid="{00000000-0005-0000-0000-0000C9630000}"/>
    <cellStyle name="40% - Accent3 2 4 2 2 2 6" xfId="29029" xr:uid="{00000000-0005-0000-0000-0000CA630000}"/>
    <cellStyle name="40% - Accent3 2 4 2 2 3" xfId="3966" xr:uid="{00000000-0005-0000-0000-0000CB630000}"/>
    <cellStyle name="40% - Accent3 2 4 2 2 3 2" xfId="7220" xr:uid="{00000000-0005-0000-0000-0000CC630000}"/>
    <cellStyle name="40% - Accent3 2 4 2 2 3 2 2" xfId="13679" xr:uid="{00000000-0005-0000-0000-0000CD630000}"/>
    <cellStyle name="40% - Accent3 2 4 2 2 3 2 2 2" xfId="26596" xr:uid="{00000000-0005-0000-0000-0000CE630000}"/>
    <cellStyle name="40% - Accent3 2 4 2 2 3 2 2 2 2" xfId="52470" xr:uid="{00000000-0005-0000-0000-0000CF630000}"/>
    <cellStyle name="40% - Accent3 2 4 2 2 3 2 2 3" xfId="39554" xr:uid="{00000000-0005-0000-0000-0000D0630000}"/>
    <cellStyle name="40% - Accent3 2 4 2 2 3 2 3" xfId="20138" xr:uid="{00000000-0005-0000-0000-0000D1630000}"/>
    <cellStyle name="40% - Accent3 2 4 2 2 3 2 3 2" xfId="46012" xr:uid="{00000000-0005-0000-0000-0000D2630000}"/>
    <cellStyle name="40% - Accent3 2 4 2 2 3 2 4" xfId="33096" xr:uid="{00000000-0005-0000-0000-0000D3630000}"/>
    <cellStyle name="40% - Accent3 2 4 2 2 3 3" xfId="10451" xr:uid="{00000000-0005-0000-0000-0000D4630000}"/>
    <cellStyle name="40% - Accent3 2 4 2 2 3 3 2" xfId="23368" xr:uid="{00000000-0005-0000-0000-0000D5630000}"/>
    <cellStyle name="40% - Accent3 2 4 2 2 3 3 2 2" xfId="49242" xr:uid="{00000000-0005-0000-0000-0000D6630000}"/>
    <cellStyle name="40% - Accent3 2 4 2 2 3 3 3" xfId="36326" xr:uid="{00000000-0005-0000-0000-0000D7630000}"/>
    <cellStyle name="40% - Accent3 2 4 2 2 3 4" xfId="16910" xr:uid="{00000000-0005-0000-0000-0000D8630000}"/>
    <cellStyle name="40% - Accent3 2 4 2 2 3 4 2" xfId="42784" xr:uid="{00000000-0005-0000-0000-0000D9630000}"/>
    <cellStyle name="40% - Accent3 2 4 2 2 3 5" xfId="29836" xr:uid="{00000000-0005-0000-0000-0000DA630000}"/>
    <cellStyle name="40% - Accent3 2 4 2 2 4" xfId="5606" xr:uid="{00000000-0005-0000-0000-0000DB630000}"/>
    <cellStyle name="40% - Accent3 2 4 2 2 4 2" xfId="12065" xr:uid="{00000000-0005-0000-0000-0000DC630000}"/>
    <cellStyle name="40% - Accent3 2 4 2 2 4 2 2" xfId="24982" xr:uid="{00000000-0005-0000-0000-0000DD630000}"/>
    <cellStyle name="40% - Accent3 2 4 2 2 4 2 2 2" xfId="50856" xr:uid="{00000000-0005-0000-0000-0000DE630000}"/>
    <cellStyle name="40% - Accent3 2 4 2 2 4 2 3" xfId="37940" xr:uid="{00000000-0005-0000-0000-0000DF630000}"/>
    <cellStyle name="40% - Accent3 2 4 2 2 4 3" xfId="18524" xr:uid="{00000000-0005-0000-0000-0000E0630000}"/>
    <cellStyle name="40% - Accent3 2 4 2 2 4 3 2" xfId="44398" xr:uid="{00000000-0005-0000-0000-0000E1630000}"/>
    <cellStyle name="40% - Accent3 2 4 2 2 4 4" xfId="31482" xr:uid="{00000000-0005-0000-0000-0000E2630000}"/>
    <cellStyle name="40% - Accent3 2 4 2 2 5" xfId="8837" xr:uid="{00000000-0005-0000-0000-0000E3630000}"/>
    <cellStyle name="40% - Accent3 2 4 2 2 5 2" xfId="21754" xr:uid="{00000000-0005-0000-0000-0000E4630000}"/>
    <cellStyle name="40% - Accent3 2 4 2 2 5 2 2" xfId="47628" xr:uid="{00000000-0005-0000-0000-0000E5630000}"/>
    <cellStyle name="40% - Accent3 2 4 2 2 5 3" xfId="34712" xr:uid="{00000000-0005-0000-0000-0000E6630000}"/>
    <cellStyle name="40% - Accent3 2 4 2 2 6" xfId="15296" xr:uid="{00000000-0005-0000-0000-0000E7630000}"/>
    <cellStyle name="40% - Accent3 2 4 2 2 6 2" xfId="41170" xr:uid="{00000000-0005-0000-0000-0000E8630000}"/>
    <cellStyle name="40% - Accent3 2 4 2 2 7" xfId="28222" xr:uid="{00000000-0005-0000-0000-0000E9630000}"/>
    <cellStyle name="40% - Accent3 2 4 2 2 8" xfId="54084" xr:uid="{00000000-0005-0000-0000-0000EA630000}"/>
    <cellStyle name="40% - Accent3 2 4 2 3" xfId="2735" xr:uid="{00000000-0005-0000-0000-0000EB630000}"/>
    <cellStyle name="40% - Accent3 2 4 2 3 2" xfId="4392" xr:uid="{00000000-0005-0000-0000-0000EC630000}"/>
    <cellStyle name="40% - Accent3 2 4 2 3 2 2" xfId="7623" xr:uid="{00000000-0005-0000-0000-0000ED630000}"/>
    <cellStyle name="40% - Accent3 2 4 2 3 2 2 2" xfId="14082" xr:uid="{00000000-0005-0000-0000-0000EE630000}"/>
    <cellStyle name="40% - Accent3 2 4 2 3 2 2 2 2" xfId="26999" xr:uid="{00000000-0005-0000-0000-0000EF630000}"/>
    <cellStyle name="40% - Accent3 2 4 2 3 2 2 2 2 2" xfId="52873" xr:uid="{00000000-0005-0000-0000-0000F0630000}"/>
    <cellStyle name="40% - Accent3 2 4 2 3 2 2 2 3" xfId="39957" xr:uid="{00000000-0005-0000-0000-0000F1630000}"/>
    <cellStyle name="40% - Accent3 2 4 2 3 2 2 3" xfId="20541" xr:uid="{00000000-0005-0000-0000-0000F2630000}"/>
    <cellStyle name="40% - Accent3 2 4 2 3 2 2 3 2" xfId="46415" xr:uid="{00000000-0005-0000-0000-0000F3630000}"/>
    <cellStyle name="40% - Accent3 2 4 2 3 2 2 4" xfId="33499" xr:uid="{00000000-0005-0000-0000-0000F4630000}"/>
    <cellStyle name="40% - Accent3 2 4 2 3 2 3" xfId="10854" xr:uid="{00000000-0005-0000-0000-0000F5630000}"/>
    <cellStyle name="40% - Accent3 2 4 2 3 2 3 2" xfId="23771" xr:uid="{00000000-0005-0000-0000-0000F6630000}"/>
    <cellStyle name="40% - Accent3 2 4 2 3 2 3 2 2" xfId="49645" xr:uid="{00000000-0005-0000-0000-0000F7630000}"/>
    <cellStyle name="40% - Accent3 2 4 2 3 2 3 3" xfId="36729" xr:uid="{00000000-0005-0000-0000-0000F8630000}"/>
    <cellStyle name="40% - Accent3 2 4 2 3 2 4" xfId="17313" xr:uid="{00000000-0005-0000-0000-0000F9630000}"/>
    <cellStyle name="40% - Accent3 2 4 2 3 2 4 2" xfId="43187" xr:uid="{00000000-0005-0000-0000-0000FA630000}"/>
    <cellStyle name="40% - Accent3 2 4 2 3 2 5" xfId="30239" xr:uid="{00000000-0005-0000-0000-0000FB630000}"/>
    <cellStyle name="40% - Accent3 2 4 2 3 3" xfId="6009" xr:uid="{00000000-0005-0000-0000-0000FC630000}"/>
    <cellStyle name="40% - Accent3 2 4 2 3 3 2" xfId="12468" xr:uid="{00000000-0005-0000-0000-0000FD630000}"/>
    <cellStyle name="40% - Accent3 2 4 2 3 3 2 2" xfId="25385" xr:uid="{00000000-0005-0000-0000-0000FE630000}"/>
    <cellStyle name="40% - Accent3 2 4 2 3 3 2 2 2" xfId="51259" xr:uid="{00000000-0005-0000-0000-0000FF630000}"/>
    <cellStyle name="40% - Accent3 2 4 2 3 3 2 3" xfId="38343" xr:uid="{00000000-0005-0000-0000-000000640000}"/>
    <cellStyle name="40% - Accent3 2 4 2 3 3 3" xfId="18927" xr:uid="{00000000-0005-0000-0000-000001640000}"/>
    <cellStyle name="40% - Accent3 2 4 2 3 3 3 2" xfId="44801" xr:uid="{00000000-0005-0000-0000-000002640000}"/>
    <cellStyle name="40% - Accent3 2 4 2 3 3 4" xfId="31885" xr:uid="{00000000-0005-0000-0000-000003640000}"/>
    <cellStyle name="40% - Accent3 2 4 2 3 4" xfId="9240" xr:uid="{00000000-0005-0000-0000-000004640000}"/>
    <cellStyle name="40% - Accent3 2 4 2 3 4 2" xfId="22157" xr:uid="{00000000-0005-0000-0000-000005640000}"/>
    <cellStyle name="40% - Accent3 2 4 2 3 4 2 2" xfId="48031" xr:uid="{00000000-0005-0000-0000-000006640000}"/>
    <cellStyle name="40% - Accent3 2 4 2 3 4 3" xfId="35115" xr:uid="{00000000-0005-0000-0000-000007640000}"/>
    <cellStyle name="40% - Accent3 2 4 2 3 5" xfId="15699" xr:uid="{00000000-0005-0000-0000-000008640000}"/>
    <cellStyle name="40% - Accent3 2 4 2 3 5 2" xfId="41573" xr:uid="{00000000-0005-0000-0000-000009640000}"/>
    <cellStyle name="40% - Accent3 2 4 2 3 6" xfId="28625" xr:uid="{00000000-0005-0000-0000-00000A640000}"/>
    <cellStyle name="40% - Accent3 2 4 2 4" xfId="3562" xr:uid="{00000000-0005-0000-0000-00000B640000}"/>
    <cellStyle name="40% - Accent3 2 4 2 4 2" xfId="6816" xr:uid="{00000000-0005-0000-0000-00000C640000}"/>
    <cellStyle name="40% - Accent3 2 4 2 4 2 2" xfId="13275" xr:uid="{00000000-0005-0000-0000-00000D640000}"/>
    <cellStyle name="40% - Accent3 2 4 2 4 2 2 2" xfId="26192" xr:uid="{00000000-0005-0000-0000-00000E640000}"/>
    <cellStyle name="40% - Accent3 2 4 2 4 2 2 2 2" xfId="52066" xr:uid="{00000000-0005-0000-0000-00000F640000}"/>
    <cellStyle name="40% - Accent3 2 4 2 4 2 2 3" xfId="39150" xr:uid="{00000000-0005-0000-0000-000010640000}"/>
    <cellStyle name="40% - Accent3 2 4 2 4 2 3" xfId="19734" xr:uid="{00000000-0005-0000-0000-000011640000}"/>
    <cellStyle name="40% - Accent3 2 4 2 4 2 3 2" xfId="45608" xr:uid="{00000000-0005-0000-0000-000012640000}"/>
    <cellStyle name="40% - Accent3 2 4 2 4 2 4" xfId="32692" xr:uid="{00000000-0005-0000-0000-000013640000}"/>
    <cellStyle name="40% - Accent3 2 4 2 4 3" xfId="10047" xr:uid="{00000000-0005-0000-0000-000014640000}"/>
    <cellStyle name="40% - Accent3 2 4 2 4 3 2" xfId="22964" xr:uid="{00000000-0005-0000-0000-000015640000}"/>
    <cellStyle name="40% - Accent3 2 4 2 4 3 2 2" xfId="48838" xr:uid="{00000000-0005-0000-0000-000016640000}"/>
    <cellStyle name="40% - Accent3 2 4 2 4 3 3" xfId="35922" xr:uid="{00000000-0005-0000-0000-000017640000}"/>
    <cellStyle name="40% - Accent3 2 4 2 4 4" xfId="16506" xr:uid="{00000000-0005-0000-0000-000018640000}"/>
    <cellStyle name="40% - Accent3 2 4 2 4 4 2" xfId="42380" xr:uid="{00000000-0005-0000-0000-000019640000}"/>
    <cellStyle name="40% - Accent3 2 4 2 4 5" xfId="29432" xr:uid="{00000000-0005-0000-0000-00001A640000}"/>
    <cellStyle name="40% - Accent3 2 4 2 5" xfId="5202" xr:uid="{00000000-0005-0000-0000-00001B640000}"/>
    <cellStyle name="40% - Accent3 2 4 2 5 2" xfId="11661" xr:uid="{00000000-0005-0000-0000-00001C640000}"/>
    <cellStyle name="40% - Accent3 2 4 2 5 2 2" xfId="24578" xr:uid="{00000000-0005-0000-0000-00001D640000}"/>
    <cellStyle name="40% - Accent3 2 4 2 5 2 2 2" xfId="50452" xr:uid="{00000000-0005-0000-0000-00001E640000}"/>
    <cellStyle name="40% - Accent3 2 4 2 5 2 3" xfId="37536" xr:uid="{00000000-0005-0000-0000-00001F640000}"/>
    <cellStyle name="40% - Accent3 2 4 2 5 3" xfId="18120" xr:uid="{00000000-0005-0000-0000-000020640000}"/>
    <cellStyle name="40% - Accent3 2 4 2 5 3 2" xfId="43994" xr:uid="{00000000-0005-0000-0000-000021640000}"/>
    <cellStyle name="40% - Accent3 2 4 2 5 4" xfId="31078" xr:uid="{00000000-0005-0000-0000-000022640000}"/>
    <cellStyle name="40% - Accent3 2 4 2 6" xfId="8433" xr:uid="{00000000-0005-0000-0000-000023640000}"/>
    <cellStyle name="40% - Accent3 2 4 2 6 2" xfId="21350" xr:uid="{00000000-0005-0000-0000-000024640000}"/>
    <cellStyle name="40% - Accent3 2 4 2 6 2 2" xfId="47224" xr:uid="{00000000-0005-0000-0000-000025640000}"/>
    <cellStyle name="40% - Accent3 2 4 2 6 3" xfId="34308" xr:uid="{00000000-0005-0000-0000-000026640000}"/>
    <cellStyle name="40% - Accent3 2 4 2 7" xfId="14892" xr:uid="{00000000-0005-0000-0000-000027640000}"/>
    <cellStyle name="40% - Accent3 2 4 2 7 2" xfId="40766" xr:uid="{00000000-0005-0000-0000-000028640000}"/>
    <cellStyle name="40% - Accent3 2 4 2 8" xfId="27817" xr:uid="{00000000-0005-0000-0000-000029640000}"/>
    <cellStyle name="40% - Accent3 2 4 2 9" xfId="53680" xr:uid="{00000000-0005-0000-0000-00002A640000}"/>
    <cellStyle name="40% - Accent3 2 4 3" xfId="2130" xr:uid="{00000000-0005-0000-0000-00002B640000}"/>
    <cellStyle name="40% - Accent3 2 4 3 2" xfId="2944" xr:uid="{00000000-0005-0000-0000-00002C640000}"/>
    <cellStyle name="40% - Accent3 2 4 3 2 2" xfId="4601" xr:uid="{00000000-0005-0000-0000-00002D640000}"/>
    <cellStyle name="40% - Accent3 2 4 3 2 2 2" xfId="7832" xr:uid="{00000000-0005-0000-0000-00002E640000}"/>
    <cellStyle name="40% - Accent3 2 4 3 2 2 2 2" xfId="14291" xr:uid="{00000000-0005-0000-0000-00002F640000}"/>
    <cellStyle name="40% - Accent3 2 4 3 2 2 2 2 2" xfId="27208" xr:uid="{00000000-0005-0000-0000-000030640000}"/>
    <cellStyle name="40% - Accent3 2 4 3 2 2 2 2 2 2" xfId="53082" xr:uid="{00000000-0005-0000-0000-000031640000}"/>
    <cellStyle name="40% - Accent3 2 4 3 2 2 2 2 3" xfId="40166" xr:uid="{00000000-0005-0000-0000-000032640000}"/>
    <cellStyle name="40% - Accent3 2 4 3 2 2 2 3" xfId="20750" xr:uid="{00000000-0005-0000-0000-000033640000}"/>
    <cellStyle name="40% - Accent3 2 4 3 2 2 2 3 2" xfId="46624" xr:uid="{00000000-0005-0000-0000-000034640000}"/>
    <cellStyle name="40% - Accent3 2 4 3 2 2 2 4" xfId="33708" xr:uid="{00000000-0005-0000-0000-000035640000}"/>
    <cellStyle name="40% - Accent3 2 4 3 2 2 3" xfId="11063" xr:uid="{00000000-0005-0000-0000-000036640000}"/>
    <cellStyle name="40% - Accent3 2 4 3 2 2 3 2" xfId="23980" xr:uid="{00000000-0005-0000-0000-000037640000}"/>
    <cellStyle name="40% - Accent3 2 4 3 2 2 3 2 2" xfId="49854" xr:uid="{00000000-0005-0000-0000-000038640000}"/>
    <cellStyle name="40% - Accent3 2 4 3 2 2 3 3" xfId="36938" xr:uid="{00000000-0005-0000-0000-000039640000}"/>
    <cellStyle name="40% - Accent3 2 4 3 2 2 4" xfId="17522" xr:uid="{00000000-0005-0000-0000-00003A640000}"/>
    <cellStyle name="40% - Accent3 2 4 3 2 2 4 2" xfId="43396" xr:uid="{00000000-0005-0000-0000-00003B640000}"/>
    <cellStyle name="40% - Accent3 2 4 3 2 2 5" xfId="30448" xr:uid="{00000000-0005-0000-0000-00003C640000}"/>
    <cellStyle name="40% - Accent3 2 4 3 2 3" xfId="6218" xr:uid="{00000000-0005-0000-0000-00003D640000}"/>
    <cellStyle name="40% - Accent3 2 4 3 2 3 2" xfId="12677" xr:uid="{00000000-0005-0000-0000-00003E640000}"/>
    <cellStyle name="40% - Accent3 2 4 3 2 3 2 2" xfId="25594" xr:uid="{00000000-0005-0000-0000-00003F640000}"/>
    <cellStyle name="40% - Accent3 2 4 3 2 3 2 2 2" xfId="51468" xr:uid="{00000000-0005-0000-0000-000040640000}"/>
    <cellStyle name="40% - Accent3 2 4 3 2 3 2 3" xfId="38552" xr:uid="{00000000-0005-0000-0000-000041640000}"/>
    <cellStyle name="40% - Accent3 2 4 3 2 3 3" xfId="19136" xr:uid="{00000000-0005-0000-0000-000042640000}"/>
    <cellStyle name="40% - Accent3 2 4 3 2 3 3 2" xfId="45010" xr:uid="{00000000-0005-0000-0000-000043640000}"/>
    <cellStyle name="40% - Accent3 2 4 3 2 3 4" xfId="32094" xr:uid="{00000000-0005-0000-0000-000044640000}"/>
    <cellStyle name="40% - Accent3 2 4 3 2 4" xfId="9449" xr:uid="{00000000-0005-0000-0000-000045640000}"/>
    <cellStyle name="40% - Accent3 2 4 3 2 4 2" xfId="22366" xr:uid="{00000000-0005-0000-0000-000046640000}"/>
    <cellStyle name="40% - Accent3 2 4 3 2 4 2 2" xfId="48240" xr:uid="{00000000-0005-0000-0000-000047640000}"/>
    <cellStyle name="40% - Accent3 2 4 3 2 4 3" xfId="35324" xr:uid="{00000000-0005-0000-0000-000048640000}"/>
    <cellStyle name="40% - Accent3 2 4 3 2 5" xfId="15908" xr:uid="{00000000-0005-0000-0000-000049640000}"/>
    <cellStyle name="40% - Accent3 2 4 3 2 5 2" xfId="41782" xr:uid="{00000000-0005-0000-0000-00004A640000}"/>
    <cellStyle name="40% - Accent3 2 4 3 2 6" xfId="28834" xr:uid="{00000000-0005-0000-0000-00004B640000}"/>
    <cellStyle name="40% - Accent3 2 4 3 3" xfId="3771" xr:uid="{00000000-0005-0000-0000-00004C640000}"/>
    <cellStyle name="40% - Accent3 2 4 3 3 2" xfId="7025" xr:uid="{00000000-0005-0000-0000-00004D640000}"/>
    <cellStyle name="40% - Accent3 2 4 3 3 2 2" xfId="13484" xr:uid="{00000000-0005-0000-0000-00004E640000}"/>
    <cellStyle name="40% - Accent3 2 4 3 3 2 2 2" xfId="26401" xr:uid="{00000000-0005-0000-0000-00004F640000}"/>
    <cellStyle name="40% - Accent3 2 4 3 3 2 2 2 2" xfId="52275" xr:uid="{00000000-0005-0000-0000-000050640000}"/>
    <cellStyle name="40% - Accent3 2 4 3 3 2 2 3" xfId="39359" xr:uid="{00000000-0005-0000-0000-000051640000}"/>
    <cellStyle name="40% - Accent3 2 4 3 3 2 3" xfId="19943" xr:uid="{00000000-0005-0000-0000-000052640000}"/>
    <cellStyle name="40% - Accent3 2 4 3 3 2 3 2" xfId="45817" xr:uid="{00000000-0005-0000-0000-000053640000}"/>
    <cellStyle name="40% - Accent3 2 4 3 3 2 4" xfId="32901" xr:uid="{00000000-0005-0000-0000-000054640000}"/>
    <cellStyle name="40% - Accent3 2 4 3 3 3" xfId="10256" xr:uid="{00000000-0005-0000-0000-000055640000}"/>
    <cellStyle name="40% - Accent3 2 4 3 3 3 2" xfId="23173" xr:uid="{00000000-0005-0000-0000-000056640000}"/>
    <cellStyle name="40% - Accent3 2 4 3 3 3 2 2" xfId="49047" xr:uid="{00000000-0005-0000-0000-000057640000}"/>
    <cellStyle name="40% - Accent3 2 4 3 3 3 3" xfId="36131" xr:uid="{00000000-0005-0000-0000-000058640000}"/>
    <cellStyle name="40% - Accent3 2 4 3 3 4" xfId="16715" xr:uid="{00000000-0005-0000-0000-000059640000}"/>
    <cellStyle name="40% - Accent3 2 4 3 3 4 2" xfId="42589" xr:uid="{00000000-0005-0000-0000-00005A640000}"/>
    <cellStyle name="40% - Accent3 2 4 3 3 5" xfId="29641" xr:uid="{00000000-0005-0000-0000-00005B640000}"/>
    <cellStyle name="40% - Accent3 2 4 3 4" xfId="5411" xr:uid="{00000000-0005-0000-0000-00005C640000}"/>
    <cellStyle name="40% - Accent3 2 4 3 4 2" xfId="11870" xr:uid="{00000000-0005-0000-0000-00005D640000}"/>
    <cellStyle name="40% - Accent3 2 4 3 4 2 2" xfId="24787" xr:uid="{00000000-0005-0000-0000-00005E640000}"/>
    <cellStyle name="40% - Accent3 2 4 3 4 2 2 2" xfId="50661" xr:uid="{00000000-0005-0000-0000-00005F640000}"/>
    <cellStyle name="40% - Accent3 2 4 3 4 2 3" xfId="37745" xr:uid="{00000000-0005-0000-0000-000060640000}"/>
    <cellStyle name="40% - Accent3 2 4 3 4 3" xfId="18329" xr:uid="{00000000-0005-0000-0000-000061640000}"/>
    <cellStyle name="40% - Accent3 2 4 3 4 3 2" xfId="44203" xr:uid="{00000000-0005-0000-0000-000062640000}"/>
    <cellStyle name="40% - Accent3 2 4 3 4 4" xfId="31287" xr:uid="{00000000-0005-0000-0000-000063640000}"/>
    <cellStyle name="40% - Accent3 2 4 3 5" xfId="8642" xr:uid="{00000000-0005-0000-0000-000064640000}"/>
    <cellStyle name="40% - Accent3 2 4 3 5 2" xfId="21559" xr:uid="{00000000-0005-0000-0000-000065640000}"/>
    <cellStyle name="40% - Accent3 2 4 3 5 2 2" xfId="47433" xr:uid="{00000000-0005-0000-0000-000066640000}"/>
    <cellStyle name="40% - Accent3 2 4 3 5 3" xfId="34517" xr:uid="{00000000-0005-0000-0000-000067640000}"/>
    <cellStyle name="40% - Accent3 2 4 3 6" xfId="15101" xr:uid="{00000000-0005-0000-0000-000068640000}"/>
    <cellStyle name="40% - Accent3 2 4 3 6 2" xfId="40975" xr:uid="{00000000-0005-0000-0000-000069640000}"/>
    <cellStyle name="40% - Accent3 2 4 3 7" xfId="28027" xr:uid="{00000000-0005-0000-0000-00006A640000}"/>
    <cellStyle name="40% - Accent3 2 4 3 8" xfId="53889" xr:uid="{00000000-0005-0000-0000-00006B640000}"/>
    <cellStyle name="40% - Accent3 2 4 4" xfId="2541" xr:uid="{00000000-0005-0000-0000-00006C640000}"/>
    <cellStyle name="40% - Accent3 2 4 4 2" xfId="4198" xr:uid="{00000000-0005-0000-0000-00006D640000}"/>
    <cellStyle name="40% - Accent3 2 4 4 2 2" xfId="7429" xr:uid="{00000000-0005-0000-0000-00006E640000}"/>
    <cellStyle name="40% - Accent3 2 4 4 2 2 2" xfId="13888" xr:uid="{00000000-0005-0000-0000-00006F640000}"/>
    <cellStyle name="40% - Accent3 2 4 4 2 2 2 2" xfId="26805" xr:uid="{00000000-0005-0000-0000-000070640000}"/>
    <cellStyle name="40% - Accent3 2 4 4 2 2 2 2 2" xfId="52679" xr:uid="{00000000-0005-0000-0000-000071640000}"/>
    <cellStyle name="40% - Accent3 2 4 4 2 2 2 3" xfId="39763" xr:uid="{00000000-0005-0000-0000-000072640000}"/>
    <cellStyle name="40% - Accent3 2 4 4 2 2 3" xfId="20347" xr:uid="{00000000-0005-0000-0000-000073640000}"/>
    <cellStyle name="40% - Accent3 2 4 4 2 2 3 2" xfId="46221" xr:uid="{00000000-0005-0000-0000-000074640000}"/>
    <cellStyle name="40% - Accent3 2 4 4 2 2 4" xfId="33305" xr:uid="{00000000-0005-0000-0000-000075640000}"/>
    <cellStyle name="40% - Accent3 2 4 4 2 3" xfId="10660" xr:uid="{00000000-0005-0000-0000-000076640000}"/>
    <cellStyle name="40% - Accent3 2 4 4 2 3 2" xfId="23577" xr:uid="{00000000-0005-0000-0000-000077640000}"/>
    <cellStyle name="40% - Accent3 2 4 4 2 3 2 2" xfId="49451" xr:uid="{00000000-0005-0000-0000-000078640000}"/>
    <cellStyle name="40% - Accent3 2 4 4 2 3 3" xfId="36535" xr:uid="{00000000-0005-0000-0000-000079640000}"/>
    <cellStyle name="40% - Accent3 2 4 4 2 4" xfId="17119" xr:uid="{00000000-0005-0000-0000-00007A640000}"/>
    <cellStyle name="40% - Accent3 2 4 4 2 4 2" xfId="42993" xr:uid="{00000000-0005-0000-0000-00007B640000}"/>
    <cellStyle name="40% - Accent3 2 4 4 2 5" xfId="30045" xr:uid="{00000000-0005-0000-0000-00007C640000}"/>
    <cellStyle name="40% - Accent3 2 4 4 3" xfId="5815" xr:uid="{00000000-0005-0000-0000-00007D640000}"/>
    <cellStyle name="40% - Accent3 2 4 4 3 2" xfId="12274" xr:uid="{00000000-0005-0000-0000-00007E640000}"/>
    <cellStyle name="40% - Accent3 2 4 4 3 2 2" xfId="25191" xr:uid="{00000000-0005-0000-0000-00007F640000}"/>
    <cellStyle name="40% - Accent3 2 4 4 3 2 2 2" xfId="51065" xr:uid="{00000000-0005-0000-0000-000080640000}"/>
    <cellStyle name="40% - Accent3 2 4 4 3 2 3" xfId="38149" xr:uid="{00000000-0005-0000-0000-000081640000}"/>
    <cellStyle name="40% - Accent3 2 4 4 3 3" xfId="18733" xr:uid="{00000000-0005-0000-0000-000082640000}"/>
    <cellStyle name="40% - Accent3 2 4 4 3 3 2" xfId="44607" xr:uid="{00000000-0005-0000-0000-000083640000}"/>
    <cellStyle name="40% - Accent3 2 4 4 3 4" xfId="31691" xr:uid="{00000000-0005-0000-0000-000084640000}"/>
    <cellStyle name="40% - Accent3 2 4 4 4" xfId="9046" xr:uid="{00000000-0005-0000-0000-000085640000}"/>
    <cellStyle name="40% - Accent3 2 4 4 4 2" xfId="21963" xr:uid="{00000000-0005-0000-0000-000086640000}"/>
    <cellStyle name="40% - Accent3 2 4 4 4 2 2" xfId="47837" xr:uid="{00000000-0005-0000-0000-000087640000}"/>
    <cellStyle name="40% - Accent3 2 4 4 4 3" xfId="34921" xr:uid="{00000000-0005-0000-0000-000088640000}"/>
    <cellStyle name="40% - Accent3 2 4 4 5" xfId="15505" xr:uid="{00000000-0005-0000-0000-000089640000}"/>
    <cellStyle name="40% - Accent3 2 4 4 5 2" xfId="41379" xr:uid="{00000000-0005-0000-0000-00008A640000}"/>
    <cellStyle name="40% - Accent3 2 4 4 6" xfId="28431" xr:uid="{00000000-0005-0000-0000-00008B640000}"/>
    <cellStyle name="40% - Accent3 2 4 5" xfId="3363" xr:uid="{00000000-0005-0000-0000-00008C640000}"/>
    <cellStyle name="40% - Accent3 2 4 5 2" xfId="6622" xr:uid="{00000000-0005-0000-0000-00008D640000}"/>
    <cellStyle name="40% - Accent3 2 4 5 2 2" xfId="13081" xr:uid="{00000000-0005-0000-0000-00008E640000}"/>
    <cellStyle name="40% - Accent3 2 4 5 2 2 2" xfId="25998" xr:uid="{00000000-0005-0000-0000-00008F640000}"/>
    <cellStyle name="40% - Accent3 2 4 5 2 2 2 2" xfId="51872" xr:uid="{00000000-0005-0000-0000-000090640000}"/>
    <cellStyle name="40% - Accent3 2 4 5 2 2 3" xfId="38956" xr:uid="{00000000-0005-0000-0000-000091640000}"/>
    <cellStyle name="40% - Accent3 2 4 5 2 3" xfId="19540" xr:uid="{00000000-0005-0000-0000-000092640000}"/>
    <cellStyle name="40% - Accent3 2 4 5 2 3 2" xfId="45414" xr:uid="{00000000-0005-0000-0000-000093640000}"/>
    <cellStyle name="40% - Accent3 2 4 5 2 4" xfId="32498" xr:uid="{00000000-0005-0000-0000-000094640000}"/>
    <cellStyle name="40% - Accent3 2 4 5 3" xfId="9853" xr:uid="{00000000-0005-0000-0000-000095640000}"/>
    <cellStyle name="40% - Accent3 2 4 5 3 2" xfId="22770" xr:uid="{00000000-0005-0000-0000-000096640000}"/>
    <cellStyle name="40% - Accent3 2 4 5 3 2 2" xfId="48644" xr:uid="{00000000-0005-0000-0000-000097640000}"/>
    <cellStyle name="40% - Accent3 2 4 5 3 3" xfId="35728" xr:uid="{00000000-0005-0000-0000-000098640000}"/>
    <cellStyle name="40% - Accent3 2 4 5 4" xfId="16312" xr:uid="{00000000-0005-0000-0000-000099640000}"/>
    <cellStyle name="40% - Accent3 2 4 5 4 2" xfId="42186" xr:uid="{00000000-0005-0000-0000-00009A640000}"/>
    <cellStyle name="40% - Accent3 2 4 5 5" xfId="29238" xr:uid="{00000000-0005-0000-0000-00009B640000}"/>
    <cellStyle name="40% - Accent3 2 4 6" xfId="5008" xr:uid="{00000000-0005-0000-0000-00009C640000}"/>
    <cellStyle name="40% - Accent3 2 4 6 2" xfId="11467" xr:uid="{00000000-0005-0000-0000-00009D640000}"/>
    <cellStyle name="40% - Accent3 2 4 6 2 2" xfId="24384" xr:uid="{00000000-0005-0000-0000-00009E640000}"/>
    <cellStyle name="40% - Accent3 2 4 6 2 2 2" xfId="50258" xr:uid="{00000000-0005-0000-0000-00009F640000}"/>
    <cellStyle name="40% - Accent3 2 4 6 2 3" xfId="37342" xr:uid="{00000000-0005-0000-0000-0000A0640000}"/>
    <cellStyle name="40% - Accent3 2 4 6 3" xfId="17926" xr:uid="{00000000-0005-0000-0000-0000A1640000}"/>
    <cellStyle name="40% - Accent3 2 4 6 3 2" xfId="43800" xr:uid="{00000000-0005-0000-0000-0000A2640000}"/>
    <cellStyle name="40% - Accent3 2 4 6 4" xfId="30884" xr:uid="{00000000-0005-0000-0000-0000A3640000}"/>
    <cellStyle name="40% - Accent3 2 4 7" xfId="8238" xr:uid="{00000000-0005-0000-0000-0000A4640000}"/>
    <cellStyle name="40% - Accent3 2 4 7 2" xfId="21155" xr:uid="{00000000-0005-0000-0000-0000A5640000}"/>
    <cellStyle name="40% - Accent3 2 4 7 2 2" xfId="47029" xr:uid="{00000000-0005-0000-0000-0000A6640000}"/>
    <cellStyle name="40% - Accent3 2 4 7 3" xfId="34113" xr:uid="{00000000-0005-0000-0000-0000A7640000}"/>
    <cellStyle name="40% - Accent3 2 4 8" xfId="14697" xr:uid="{00000000-0005-0000-0000-0000A8640000}"/>
    <cellStyle name="40% - Accent3 2 4 8 2" xfId="40571" xr:uid="{00000000-0005-0000-0000-0000A9640000}"/>
    <cellStyle name="40% - Accent3 2 4 9" xfId="27621" xr:uid="{00000000-0005-0000-0000-0000AA640000}"/>
    <cellStyle name="40% - Accent3 2 5" xfId="1778" xr:uid="{00000000-0005-0000-0000-0000AB640000}"/>
    <cellStyle name="40% - Accent3 2 5 2" xfId="2271" xr:uid="{00000000-0005-0000-0000-0000AC640000}"/>
    <cellStyle name="40% - Accent3 2 5 2 2" xfId="3085" xr:uid="{00000000-0005-0000-0000-0000AD640000}"/>
    <cellStyle name="40% - Accent3 2 5 2 2 2" xfId="4742" xr:uid="{00000000-0005-0000-0000-0000AE640000}"/>
    <cellStyle name="40% - Accent3 2 5 2 2 2 2" xfId="7973" xr:uid="{00000000-0005-0000-0000-0000AF640000}"/>
    <cellStyle name="40% - Accent3 2 5 2 2 2 2 2" xfId="14432" xr:uid="{00000000-0005-0000-0000-0000B0640000}"/>
    <cellStyle name="40% - Accent3 2 5 2 2 2 2 2 2" xfId="27349" xr:uid="{00000000-0005-0000-0000-0000B1640000}"/>
    <cellStyle name="40% - Accent3 2 5 2 2 2 2 2 2 2" xfId="53223" xr:uid="{00000000-0005-0000-0000-0000B2640000}"/>
    <cellStyle name="40% - Accent3 2 5 2 2 2 2 2 3" xfId="40307" xr:uid="{00000000-0005-0000-0000-0000B3640000}"/>
    <cellStyle name="40% - Accent3 2 5 2 2 2 2 3" xfId="20891" xr:uid="{00000000-0005-0000-0000-0000B4640000}"/>
    <cellStyle name="40% - Accent3 2 5 2 2 2 2 3 2" xfId="46765" xr:uid="{00000000-0005-0000-0000-0000B5640000}"/>
    <cellStyle name="40% - Accent3 2 5 2 2 2 2 4" xfId="33849" xr:uid="{00000000-0005-0000-0000-0000B6640000}"/>
    <cellStyle name="40% - Accent3 2 5 2 2 2 3" xfId="11204" xr:uid="{00000000-0005-0000-0000-0000B7640000}"/>
    <cellStyle name="40% - Accent3 2 5 2 2 2 3 2" xfId="24121" xr:uid="{00000000-0005-0000-0000-0000B8640000}"/>
    <cellStyle name="40% - Accent3 2 5 2 2 2 3 2 2" xfId="49995" xr:uid="{00000000-0005-0000-0000-0000B9640000}"/>
    <cellStyle name="40% - Accent3 2 5 2 2 2 3 3" xfId="37079" xr:uid="{00000000-0005-0000-0000-0000BA640000}"/>
    <cellStyle name="40% - Accent3 2 5 2 2 2 4" xfId="17663" xr:uid="{00000000-0005-0000-0000-0000BB640000}"/>
    <cellStyle name="40% - Accent3 2 5 2 2 2 4 2" xfId="43537" xr:uid="{00000000-0005-0000-0000-0000BC640000}"/>
    <cellStyle name="40% - Accent3 2 5 2 2 2 5" xfId="30589" xr:uid="{00000000-0005-0000-0000-0000BD640000}"/>
    <cellStyle name="40% - Accent3 2 5 2 2 3" xfId="6359" xr:uid="{00000000-0005-0000-0000-0000BE640000}"/>
    <cellStyle name="40% - Accent3 2 5 2 2 3 2" xfId="12818" xr:uid="{00000000-0005-0000-0000-0000BF640000}"/>
    <cellStyle name="40% - Accent3 2 5 2 2 3 2 2" xfId="25735" xr:uid="{00000000-0005-0000-0000-0000C0640000}"/>
    <cellStyle name="40% - Accent3 2 5 2 2 3 2 2 2" xfId="51609" xr:uid="{00000000-0005-0000-0000-0000C1640000}"/>
    <cellStyle name="40% - Accent3 2 5 2 2 3 2 3" xfId="38693" xr:uid="{00000000-0005-0000-0000-0000C2640000}"/>
    <cellStyle name="40% - Accent3 2 5 2 2 3 3" xfId="19277" xr:uid="{00000000-0005-0000-0000-0000C3640000}"/>
    <cellStyle name="40% - Accent3 2 5 2 2 3 3 2" xfId="45151" xr:uid="{00000000-0005-0000-0000-0000C4640000}"/>
    <cellStyle name="40% - Accent3 2 5 2 2 3 4" xfId="32235" xr:uid="{00000000-0005-0000-0000-0000C5640000}"/>
    <cellStyle name="40% - Accent3 2 5 2 2 4" xfId="9590" xr:uid="{00000000-0005-0000-0000-0000C6640000}"/>
    <cellStyle name="40% - Accent3 2 5 2 2 4 2" xfId="22507" xr:uid="{00000000-0005-0000-0000-0000C7640000}"/>
    <cellStyle name="40% - Accent3 2 5 2 2 4 2 2" xfId="48381" xr:uid="{00000000-0005-0000-0000-0000C8640000}"/>
    <cellStyle name="40% - Accent3 2 5 2 2 4 3" xfId="35465" xr:uid="{00000000-0005-0000-0000-0000C9640000}"/>
    <cellStyle name="40% - Accent3 2 5 2 2 5" xfId="16049" xr:uid="{00000000-0005-0000-0000-0000CA640000}"/>
    <cellStyle name="40% - Accent3 2 5 2 2 5 2" xfId="41923" xr:uid="{00000000-0005-0000-0000-0000CB640000}"/>
    <cellStyle name="40% - Accent3 2 5 2 2 6" xfId="28975" xr:uid="{00000000-0005-0000-0000-0000CC640000}"/>
    <cellStyle name="40% - Accent3 2 5 2 3" xfId="3912" xr:uid="{00000000-0005-0000-0000-0000CD640000}"/>
    <cellStyle name="40% - Accent3 2 5 2 3 2" xfId="7166" xr:uid="{00000000-0005-0000-0000-0000CE640000}"/>
    <cellStyle name="40% - Accent3 2 5 2 3 2 2" xfId="13625" xr:uid="{00000000-0005-0000-0000-0000CF640000}"/>
    <cellStyle name="40% - Accent3 2 5 2 3 2 2 2" xfId="26542" xr:uid="{00000000-0005-0000-0000-0000D0640000}"/>
    <cellStyle name="40% - Accent3 2 5 2 3 2 2 2 2" xfId="52416" xr:uid="{00000000-0005-0000-0000-0000D1640000}"/>
    <cellStyle name="40% - Accent3 2 5 2 3 2 2 3" xfId="39500" xr:uid="{00000000-0005-0000-0000-0000D2640000}"/>
    <cellStyle name="40% - Accent3 2 5 2 3 2 3" xfId="20084" xr:uid="{00000000-0005-0000-0000-0000D3640000}"/>
    <cellStyle name="40% - Accent3 2 5 2 3 2 3 2" xfId="45958" xr:uid="{00000000-0005-0000-0000-0000D4640000}"/>
    <cellStyle name="40% - Accent3 2 5 2 3 2 4" xfId="33042" xr:uid="{00000000-0005-0000-0000-0000D5640000}"/>
    <cellStyle name="40% - Accent3 2 5 2 3 3" xfId="10397" xr:uid="{00000000-0005-0000-0000-0000D6640000}"/>
    <cellStyle name="40% - Accent3 2 5 2 3 3 2" xfId="23314" xr:uid="{00000000-0005-0000-0000-0000D7640000}"/>
    <cellStyle name="40% - Accent3 2 5 2 3 3 2 2" xfId="49188" xr:uid="{00000000-0005-0000-0000-0000D8640000}"/>
    <cellStyle name="40% - Accent3 2 5 2 3 3 3" xfId="36272" xr:uid="{00000000-0005-0000-0000-0000D9640000}"/>
    <cellStyle name="40% - Accent3 2 5 2 3 4" xfId="16856" xr:uid="{00000000-0005-0000-0000-0000DA640000}"/>
    <cellStyle name="40% - Accent3 2 5 2 3 4 2" xfId="42730" xr:uid="{00000000-0005-0000-0000-0000DB640000}"/>
    <cellStyle name="40% - Accent3 2 5 2 3 5" xfId="29782" xr:uid="{00000000-0005-0000-0000-0000DC640000}"/>
    <cellStyle name="40% - Accent3 2 5 2 4" xfId="5552" xr:uid="{00000000-0005-0000-0000-0000DD640000}"/>
    <cellStyle name="40% - Accent3 2 5 2 4 2" xfId="12011" xr:uid="{00000000-0005-0000-0000-0000DE640000}"/>
    <cellStyle name="40% - Accent3 2 5 2 4 2 2" xfId="24928" xr:uid="{00000000-0005-0000-0000-0000DF640000}"/>
    <cellStyle name="40% - Accent3 2 5 2 4 2 2 2" xfId="50802" xr:uid="{00000000-0005-0000-0000-0000E0640000}"/>
    <cellStyle name="40% - Accent3 2 5 2 4 2 3" xfId="37886" xr:uid="{00000000-0005-0000-0000-0000E1640000}"/>
    <cellStyle name="40% - Accent3 2 5 2 4 3" xfId="18470" xr:uid="{00000000-0005-0000-0000-0000E2640000}"/>
    <cellStyle name="40% - Accent3 2 5 2 4 3 2" xfId="44344" xr:uid="{00000000-0005-0000-0000-0000E3640000}"/>
    <cellStyle name="40% - Accent3 2 5 2 4 4" xfId="31428" xr:uid="{00000000-0005-0000-0000-0000E4640000}"/>
    <cellStyle name="40% - Accent3 2 5 2 5" xfId="8783" xr:uid="{00000000-0005-0000-0000-0000E5640000}"/>
    <cellStyle name="40% - Accent3 2 5 2 5 2" xfId="21700" xr:uid="{00000000-0005-0000-0000-0000E6640000}"/>
    <cellStyle name="40% - Accent3 2 5 2 5 2 2" xfId="47574" xr:uid="{00000000-0005-0000-0000-0000E7640000}"/>
    <cellStyle name="40% - Accent3 2 5 2 5 3" xfId="34658" xr:uid="{00000000-0005-0000-0000-0000E8640000}"/>
    <cellStyle name="40% - Accent3 2 5 2 6" xfId="15242" xr:uid="{00000000-0005-0000-0000-0000E9640000}"/>
    <cellStyle name="40% - Accent3 2 5 2 6 2" xfId="41116" xr:uid="{00000000-0005-0000-0000-0000EA640000}"/>
    <cellStyle name="40% - Accent3 2 5 2 7" xfId="28168" xr:uid="{00000000-0005-0000-0000-0000EB640000}"/>
    <cellStyle name="40% - Accent3 2 5 2 8" xfId="54030" xr:uid="{00000000-0005-0000-0000-0000EC640000}"/>
    <cellStyle name="40% - Accent3 2 5 3" xfId="2682" xr:uid="{00000000-0005-0000-0000-0000ED640000}"/>
    <cellStyle name="40% - Accent3 2 5 3 2" xfId="4339" xr:uid="{00000000-0005-0000-0000-0000EE640000}"/>
    <cellStyle name="40% - Accent3 2 5 3 2 2" xfId="7570" xr:uid="{00000000-0005-0000-0000-0000EF640000}"/>
    <cellStyle name="40% - Accent3 2 5 3 2 2 2" xfId="14029" xr:uid="{00000000-0005-0000-0000-0000F0640000}"/>
    <cellStyle name="40% - Accent3 2 5 3 2 2 2 2" xfId="26946" xr:uid="{00000000-0005-0000-0000-0000F1640000}"/>
    <cellStyle name="40% - Accent3 2 5 3 2 2 2 2 2" xfId="52820" xr:uid="{00000000-0005-0000-0000-0000F2640000}"/>
    <cellStyle name="40% - Accent3 2 5 3 2 2 2 3" xfId="39904" xr:uid="{00000000-0005-0000-0000-0000F3640000}"/>
    <cellStyle name="40% - Accent3 2 5 3 2 2 3" xfId="20488" xr:uid="{00000000-0005-0000-0000-0000F4640000}"/>
    <cellStyle name="40% - Accent3 2 5 3 2 2 3 2" xfId="46362" xr:uid="{00000000-0005-0000-0000-0000F5640000}"/>
    <cellStyle name="40% - Accent3 2 5 3 2 2 4" xfId="33446" xr:uid="{00000000-0005-0000-0000-0000F6640000}"/>
    <cellStyle name="40% - Accent3 2 5 3 2 3" xfId="10801" xr:uid="{00000000-0005-0000-0000-0000F7640000}"/>
    <cellStyle name="40% - Accent3 2 5 3 2 3 2" xfId="23718" xr:uid="{00000000-0005-0000-0000-0000F8640000}"/>
    <cellStyle name="40% - Accent3 2 5 3 2 3 2 2" xfId="49592" xr:uid="{00000000-0005-0000-0000-0000F9640000}"/>
    <cellStyle name="40% - Accent3 2 5 3 2 3 3" xfId="36676" xr:uid="{00000000-0005-0000-0000-0000FA640000}"/>
    <cellStyle name="40% - Accent3 2 5 3 2 4" xfId="17260" xr:uid="{00000000-0005-0000-0000-0000FB640000}"/>
    <cellStyle name="40% - Accent3 2 5 3 2 4 2" xfId="43134" xr:uid="{00000000-0005-0000-0000-0000FC640000}"/>
    <cellStyle name="40% - Accent3 2 5 3 2 5" xfId="30186" xr:uid="{00000000-0005-0000-0000-0000FD640000}"/>
    <cellStyle name="40% - Accent3 2 5 3 3" xfId="5956" xr:uid="{00000000-0005-0000-0000-0000FE640000}"/>
    <cellStyle name="40% - Accent3 2 5 3 3 2" xfId="12415" xr:uid="{00000000-0005-0000-0000-0000FF640000}"/>
    <cellStyle name="40% - Accent3 2 5 3 3 2 2" xfId="25332" xr:uid="{00000000-0005-0000-0000-000000650000}"/>
    <cellStyle name="40% - Accent3 2 5 3 3 2 2 2" xfId="51206" xr:uid="{00000000-0005-0000-0000-000001650000}"/>
    <cellStyle name="40% - Accent3 2 5 3 3 2 3" xfId="38290" xr:uid="{00000000-0005-0000-0000-000002650000}"/>
    <cellStyle name="40% - Accent3 2 5 3 3 3" xfId="18874" xr:uid="{00000000-0005-0000-0000-000003650000}"/>
    <cellStyle name="40% - Accent3 2 5 3 3 3 2" xfId="44748" xr:uid="{00000000-0005-0000-0000-000004650000}"/>
    <cellStyle name="40% - Accent3 2 5 3 3 4" xfId="31832" xr:uid="{00000000-0005-0000-0000-000005650000}"/>
    <cellStyle name="40% - Accent3 2 5 3 4" xfId="9187" xr:uid="{00000000-0005-0000-0000-000006650000}"/>
    <cellStyle name="40% - Accent3 2 5 3 4 2" xfId="22104" xr:uid="{00000000-0005-0000-0000-000007650000}"/>
    <cellStyle name="40% - Accent3 2 5 3 4 2 2" xfId="47978" xr:uid="{00000000-0005-0000-0000-000008650000}"/>
    <cellStyle name="40% - Accent3 2 5 3 4 3" xfId="35062" xr:uid="{00000000-0005-0000-0000-000009650000}"/>
    <cellStyle name="40% - Accent3 2 5 3 5" xfId="15646" xr:uid="{00000000-0005-0000-0000-00000A650000}"/>
    <cellStyle name="40% - Accent3 2 5 3 5 2" xfId="41520" xr:uid="{00000000-0005-0000-0000-00000B650000}"/>
    <cellStyle name="40% - Accent3 2 5 3 6" xfId="28572" xr:uid="{00000000-0005-0000-0000-00000C650000}"/>
    <cellStyle name="40% - Accent3 2 5 4" xfId="3509" xr:uid="{00000000-0005-0000-0000-00000D650000}"/>
    <cellStyle name="40% - Accent3 2 5 4 2" xfId="6763" xr:uid="{00000000-0005-0000-0000-00000E650000}"/>
    <cellStyle name="40% - Accent3 2 5 4 2 2" xfId="13222" xr:uid="{00000000-0005-0000-0000-00000F650000}"/>
    <cellStyle name="40% - Accent3 2 5 4 2 2 2" xfId="26139" xr:uid="{00000000-0005-0000-0000-000010650000}"/>
    <cellStyle name="40% - Accent3 2 5 4 2 2 2 2" xfId="52013" xr:uid="{00000000-0005-0000-0000-000011650000}"/>
    <cellStyle name="40% - Accent3 2 5 4 2 2 3" xfId="39097" xr:uid="{00000000-0005-0000-0000-000012650000}"/>
    <cellStyle name="40% - Accent3 2 5 4 2 3" xfId="19681" xr:uid="{00000000-0005-0000-0000-000013650000}"/>
    <cellStyle name="40% - Accent3 2 5 4 2 3 2" xfId="45555" xr:uid="{00000000-0005-0000-0000-000014650000}"/>
    <cellStyle name="40% - Accent3 2 5 4 2 4" xfId="32639" xr:uid="{00000000-0005-0000-0000-000015650000}"/>
    <cellStyle name="40% - Accent3 2 5 4 3" xfId="9994" xr:uid="{00000000-0005-0000-0000-000016650000}"/>
    <cellStyle name="40% - Accent3 2 5 4 3 2" xfId="22911" xr:uid="{00000000-0005-0000-0000-000017650000}"/>
    <cellStyle name="40% - Accent3 2 5 4 3 2 2" xfId="48785" xr:uid="{00000000-0005-0000-0000-000018650000}"/>
    <cellStyle name="40% - Accent3 2 5 4 3 3" xfId="35869" xr:uid="{00000000-0005-0000-0000-000019650000}"/>
    <cellStyle name="40% - Accent3 2 5 4 4" xfId="16453" xr:uid="{00000000-0005-0000-0000-00001A650000}"/>
    <cellStyle name="40% - Accent3 2 5 4 4 2" xfId="42327" xr:uid="{00000000-0005-0000-0000-00001B650000}"/>
    <cellStyle name="40% - Accent3 2 5 4 5" xfId="29379" xr:uid="{00000000-0005-0000-0000-00001C650000}"/>
    <cellStyle name="40% - Accent3 2 5 5" xfId="5149" xr:uid="{00000000-0005-0000-0000-00001D650000}"/>
    <cellStyle name="40% - Accent3 2 5 5 2" xfId="11608" xr:uid="{00000000-0005-0000-0000-00001E650000}"/>
    <cellStyle name="40% - Accent3 2 5 5 2 2" xfId="24525" xr:uid="{00000000-0005-0000-0000-00001F650000}"/>
    <cellStyle name="40% - Accent3 2 5 5 2 2 2" xfId="50399" xr:uid="{00000000-0005-0000-0000-000020650000}"/>
    <cellStyle name="40% - Accent3 2 5 5 2 3" xfId="37483" xr:uid="{00000000-0005-0000-0000-000021650000}"/>
    <cellStyle name="40% - Accent3 2 5 5 3" xfId="18067" xr:uid="{00000000-0005-0000-0000-000022650000}"/>
    <cellStyle name="40% - Accent3 2 5 5 3 2" xfId="43941" xr:uid="{00000000-0005-0000-0000-000023650000}"/>
    <cellStyle name="40% - Accent3 2 5 5 4" xfId="31025" xr:uid="{00000000-0005-0000-0000-000024650000}"/>
    <cellStyle name="40% - Accent3 2 5 6" xfId="8379" xr:uid="{00000000-0005-0000-0000-000025650000}"/>
    <cellStyle name="40% - Accent3 2 5 6 2" xfId="21296" xr:uid="{00000000-0005-0000-0000-000026650000}"/>
    <cellStyle name="40% - Accent3 2 5 6 2 2" xfId="47170" xr:uid="{00000000-0005-0000-0000-000027650000}"/>
    <cellStyle name="40% - Accent3 2 5 6 3" xfId="34254" xr:uid="{00000000-0005-0000-0000-000028650000}"/>
    <cellStyle name="40% - Accent3 2 5 7" xfId="14838" xr:uid="{00000000-0005-0000-0000-000029650000}"/>
    <cellStyle name="40% - Accent3 2 5 7 2" xfId="40712" xr:uid="{00000000-0005-0000-0000-00002A650000}"/>
    <cellStyle name="40% - Accent3 2 5 8" xfId="27764" xr:uid="{00000000-0005-0000-0000-00002B650000}"/>
    <cellStyle name="40% - Accent3 2 5 9" xfId="53627" xr:uid="{00000000-0005-0000-0000-00002C650000}"/>
    <cellStyle name="40% - Accent3 2 6" xfId="2076" xr:uid="{00000000-0005-0000-0000-00002D650000}"/>
    <cellStyle name="40% - Accent3 2 6 2" xfId="2894" xr:uid="{00000000-0005-0000-0000-00002E650000}"/>
    <cellStyle name="40% - Accent3 2 6 2 2" xfId="4551" xr:uid="{00000000-0005-0000-0000-00002F650000}"/>
    <cellStyle name="40% - Accent3 2 6 2 2 2" xfId="7782" xr:uid="{00000000-0005-0000-0000-000030650000}"/>
    <cellStyle name="40% - Accent3 2 6 2 2 2 2" xfId="14241" xr:uid="{00000000-0005-0000-0000-000031650000}"/>
    <cellStyle name="40% - Accent3 2 6 2 2 2 2 2" xfId="27158" xr:uid="{00000000-0005-0000-0000-000032650000}"/>
    <cellStyle name="40% - Accent3 2 6 2 2 2 2 2 2" xfId="53032" xr:uid="{00000000-0005-0000-0000-000033650000}"/>
    <cellStyle name="40% - Accent3 2 6 2 2 2 2 3" xfId="40116" xr:uid="{00000000-0005-0000-0000-000034650000}"/>
    <cellStyle name="40% - Accent3 2 6 2 2 2 3" xfId="20700" xr:uid="{00000000-0005-0000-0000-000035650000}"/>
    <cellStyle name="40% - Accent3 2 6 2 2 2 3 2" xfId="46574" xr:uid="{00000000-0005-0000-0000-000036650000}"/>
    <cellStyle name="40% - Accent3 2 6 2 2 2 4" xfId="33658" xr:uid="{00000000-0005-0000-0000-000037650000}"/>
    <cellStyle name="40% - Accent3 2 6 2 2 3" xfId="11013" xr:uid="{00000000-0005-0000-0000-000038650000}"/>
    <cellStyle name="40% - Accent3 2 6 2 2 3 2" xfId="23930" xr:uid="{00000000-0005-0000-0000-000039650000}"/>
    <cellStyle name="40% - Accent3 2 6 2 2 3 2 2" xfId="49804" xr:uid="{00000000-0005-0000-0000-00003A650000}"/>
    <cellStyle name="40% - Accent3 2 6 2 2 3 3" xfId="36888" xr:uid="{00000000-0005-0000-0000-00003B650000}"/>
    <cellStyle name="40% - Accent3 2 6 2 2 4" xfId="17472" xr:uid="{00000000-0005-0000-0000-00003C650000}"/>
    <cellStyle name="40% - Accent3 2 6 2 2 4 2" xfId="43346" xr:uid="{00000000-0005-0000-0000-00003D650000}"/>
    <cellStyle name="40% - Accent3 2 6 2 2 5" xfId="30398" xr:uid="{00000000-0005-0000-0000-00003E650000}"/>
    <cellStyle name="40% - Accent3 2 6 2 3" xfId="6168" xr:uid="{00000000-0005-0000-0000-00003F650000}"/>
    <cellStyle name="40% - Accent3 2 6 2 3 2" xfId="12627" xr:uid="{00000000-0005-0000-0000-000040650000}"/>
    <cellStyle name="40% - Accent3 2 6 2 3 2 2" xfId="25544" xr:uid="{00000000-0005-0000-0000-000041650000}"/>
    <cellStyle name="40% - Accent3 2 6 2 3 2 2 2" xfId="51418" xr:uid="{00000000-0005-0000-0000-000042650000}"/>
    <cellStyle name="40% - Accent3 2 6 2 3 2 3" xfId="38502" xr:uid="{00000000-0005-0000-0000-000043650000}"/>
    <cellStyle name="40% - Accent3 2 6 2 3 3" xfId="19086" xr:uid="{00000000-0005-0000-0000-000044650000}"/>
    <cellStyle name="40% - Accent3 2 6 2 3 3 2" xfId="44960" xr:uid="{00000000-0005-0000-0000-000045650000}"/>
    <cellStyle name="40% - Accent3 2 6 2 3 4" xfId="32044" xr:uid="{00000000-0005-0000-0000-000046650000}"/>
    <cellStyle name="40% - Accent3 2 6 2 4" xfId="9399" xr:uid="{00000000-0005-0000-0000-000047650000}"/>
    <cellStyle name="40% - Accent3 2 6 2 4 2" xfId="22316" xr:uid="{00000000-0005-0000-0000-000048650000}"/>
    <cellStyle name="40% - Accent3 2 6 2 4 2 2" xfId="48190" xr:uid="{00000000-0005-0000-0000-000049650000}"/>
    <cellStyle name="40% - Accent3 2 6 2 4 3" xfId="35274" xr:uid="{00000000-0005-0000-0000-00004A650000}"/>
    <cellStyle name="40% - Accent3 2 6 2 5" xfId="15858" xr:uid="{00000000-0005-0000-0000-00004B650000}"/>
    <cellStyle name="40% - Accent3 2 6 2 5 2" xfId="41732" xr:uid="{00000000-0005-0000-0000-00004C650000}"/>
    <cellStyle name="40% - Accent3 2 6 2 6" xfId="28784" xr:uid="{00000000-0005-0000-0000-00004D650000}"/>
    <cellStyle name="40% - Accent3 2 6 3" xfId="3721" xr:uid="{00000000-0005-0000-0000-00004E650000}"/>
    <cellStyle name="40% - Accent3 2 6 3 2" xfId="6975" xr:uid="{00000000-0005-0000-0000-00004F650000}"/>
    <cellStyle name="40% - Accent3 2 6 3 2 2" xfId="13434" xr:uid="{00000000-0005-0000-0000-000050650000}"/>
    <cellStyle name="40% - Accent3 2 6 3 2 2 2" xfId="26351" xr:uid="{00000000-0005-0000-0000-000051650000}"/>
    <cellStyle name="40% - Accent3 2 6 3 2 2 2 2" xfId="52225" xr:uid="{00000000-0005-0000-0000-000052650000}"/>
    <cellStyle name="40% - Accent3 2 6 3 2 2 3" xfId="39309" xr:uid="{00000000-0005-0000-0000-000053650000}"/>
    <cellStyle name="40% - Accent3 2 6 3 2 3" xfId="19893" xr:uid="{00000000-0005-0000-0000-000054650000}"/>
    <cellStyle name="40% - Accent3 2 6 3 2 3 2" xfId="45767" xr:uid="{00000000-0005-0000-0000-000055650000}"/>
    <cellStyle name="40% - Accent3 2 6 3 2 4" xfId="32851" xr:uid="{00000000-0005-0000-0000-000056650000}"/>
    <cellStyle name="40% - Accent3 2 6 3 3" xfId="10206" xr:uid="{00000000-0005-0000-0000-000057650000}"/>
    <cellStyle name="40% - Accent3 2 6 3 3 2" xfId="23123" xr:uid="{00000000-0005-0000-0000-000058650000}"/>
    <cellStyle name="40% - Accent3 2 6 3 3 2 2" xfId="48997" xr:uid="{00000000-0005-0000-0000-000059650000}"/>
    <cellStyle name="40% - Accent3 2 6 3 3 3" xfId="36081" xr:uid="{00000000-0005-0000-0000-00005A650000}"/>
    <cellStyle name="40% - Accent3 2 6 3 4" xfId="16665" xr:uid="{00000000-0005-0000-0000-00005B650000}"/>
    <cellStyle name="40% - Accent3 2 6 3 4 2" xfId="42539" xr:uid="{00000000-0005-0000-0000-00005C650000}"/>
    <cellStyle name="40% - Accent3 2 6 3 5" xfId="29591" xr:uid="{00000000-0005-0000-0000-00005D650000}"/>
    <cellStyle name="40% - Accent3 2 6 4" xfId="5361" xr:uid="{00000000-0005-0000-0000-00005E650000}"/>
    <cellStyle name="40% - Accent3 2 6 4 2" xfId="11820" xr:uid="{00000000-0005-0000-0000-00005F650000}"/>
    <cellStyle name="40% - Accent3 2 6 4 2 2" xfId="24737" xr:uid="{00000000-0005-0000-0000-000060650000}"/>
    <cellStyle name="40% - Accent3 2 6 4 2 2 2" xfId="50611" xr:uid="{00000000-0005-0000-0000-000061650000}"/>
    <cellStyle name="40% - Accent3 2 6 4 2 3" xfId="37695" xr:uid="{00000000-0005-0000-0000-000062650000}"/>
    <cellStyle name="40% - Accent3 2 6 4 3" xfId="18279" xr:uid="{00000000-0005-0000-0000-000063650000}"/>
    <cellStyle name="40% - Accent3 2 6 4 3 2" xfId="44153" xr:uid="{00000000-0005-0000-0000-000064650000}"/>
    <cellStyle name="40% - Accent3 2 6 4 4" xfId="31237" xr:uid="{00000000-0005-0000-0000-000065650000}"/>
    <cellStyle name="40% - Accent3 2 6 5" xfId="8592" xr:uid="{00000000-0005-0000-0000-000066650000}"/>
    <cellStyle name="40% - Accent3 2 6 5 2" xfId="21509" xr:uid="{00000000-0005-0000-0000-000067650000}"/>
    <cellStyle name="40% - Accent3 2 6 5 2 2" xfId="47383" xr:uid="{00000000-0005-0000-0000-000068650000}"/>
    <cellStyle name="40% - Accent3 2 6 5 3" xfId="34467" xr:uid="{00000000-0005-0000-0000-000069650000}"/>
    <cellStyle name="40% - Accent3 2 6 6" xfId="15051" xr:uid="{00000000-0005-0000-0000-00006A650000}"/>
    <cellStyle name="40% - Accent3 2 6 6 2" xfId="40925" xr:uid="{00000000-0005-0000-0000-00006B650000}"/>
    <cellStyle name="40% - Accent3 2 6 7" xfId="27977" xr:uid="{00000000-0005-0000-0000-00006C650000}"/>
    <cellStyle name="40% - Accent3 2 6 8" xfId="53839" xr:uid="{00000000-0005-0000-0000-00006D650000}"/>
    <cellStyle name="40% - Accent3 2 7" xfId="2487" xr:uid="{00000000-0005-0000-0000-00006E650000}"/>
    <cellStyle name="40% - Accent3 2 7 2" xfId="4144" xr:uid="{00000000-0005-0000-0000-00006F650000}"/>
    <cellStyle name="40% - Accent3 2 7 2 2" xfId="7375" xr:uid="{00000000-0005-0000-0000-000070650000}"/>
    <cellStyle name="40% - Accent3 2 7 2 2 2" xfId="13834" xr:uid="{00000000-0005-0000-0000-000071650000}"/>
    <cellStyle name="40% - Accent3 2 7 2 2 2 2" xfId="26751" xr:uid="{00000000-0005-0000-0000-000072650000}"/>
    <cellStyle name="40% - Accent3 2 7 2 2 2 2 2" xfId="52625" xr:uid="{00000000-0005-0000-0000-000073650000}"/>
    <cellStyle name="40% - Accent3 2 7 2 2 2 3" xfId="39709" xr:uid="{00000000-0005-0000-0000-000074650000}"/>
    <cellStyle name="40% - Accent3 2 7 2 2 3" xfId="20293" xr:uid="{00000000-0005-0000-0000-000075650000}"/>
    <cellStyle name="40% - Accent3 2 7 2 2 3 2" xfId="46167" xr:uid="{00000000-0005-0000-0000-000076650000}"/>
    <cellStyle name="40% - Accent3 2 7 2 2 4" xfId="33251" xr:uid="{00000000-0005-0000-0000-000077650000}"/>
    <cellStyle name="40% - Accent3 2 7 2 3" xfId="10606" xr:uid="{00000000-0005-0000-0000-000078650000}"/>
    <cellStyle name="40% - Accent3 2 7 2 3 2" xfId="23523" xr:uid="{00000000-0005-0000-0000-000079650000}"/>
    <cellStyle name="40% - Accent3 2 7 2 3 2 2" xfId="49397" xr:uid="{00000000-0005-0000-0000-00007A650000}"/>
    <cellStyle name="40% - Accent3 2 7 2 3 3" xfId="36481" xr:uid="{00000000-0005-0000-0000-00007B650000}"/>
    <cellStyle name="40% - Accent3 2 7 2 4" xfId="17065" xr:uid="{00000000-0005-0000-0000-00007C650000}"/>
    <cellStyle name="40% - Accent3 2 7 2 4 2" xfId="42939" xr:uid="{00000000-0005-0000-0000-00007D650000}"/>
    <cellStyle name="40% - Accent3 2 7 2 5" xfId="29991" xr:uid="{00000000-0005-0000-0000-00007E650000}"/>
    <cellStyle name="40% - Accent3 2 7 3" xfId="5761" xr:uid="{00000000-0005-0000-0000-00007F650000}"/>
    <cellStyle name="40% - Accent3 2 7 3 2" xfId="12220" xr:uid="{00000000-0005-0000-0000-000080650000}"/>
    <cellStyle name="40% - Accent3 2 7 3 2 2" xfId="25137" xr:uid="{00000000-0005-0000-0000-000081650000}"/>
    <cellStyle name="40% - Accent3 2 7 3 2 2 2" xfId="51011" xr:uid="{00000000-0005-0000-0000-000082650000}"/>
    <cellStyle name="40% - Accent3 2 7 3 2 3" xfId="38095" xr:uid="{00000000-0005-0000-0000-000083650000}"/>
    <cellStyle name="40% - Accent3 2 7 3 3" xfId="18679" xr:uid="{00000000-0005-0000-0000-000084650000}"/>
    <cellStyle name="40% - Accent3 2 7 3 3 2" xfId="44553" xr:uid="{00000000-0005-0000-0000-000085650000}"/>
    <cellStyle name="40% - Accent3 2 7 3 4" xfId="31637" xr:uid="{00000000-0005-0000-0000-000086650000}"/>
    <cellStyle name="40% - Accent3 2 7 4" xfId="8992" xr:uid="{00000000-0005-0000-0000-000087650000}"/>
    <cellStyle name="40% - Accent3 2 7 4 2" xfId="21909" xr:uid="{00000000-0005-0000-0000-000088650000}"/>
    <cellStyle name="40% - Accent3 2 7 4 2 2" xfId="47783" xr:uid="{00000000-0005-0000-0000-000089650000}"/>
    <cellStyle name="40% - Accent3 2 7 4 3" xfId="34867" xr:uid="{00000000-0005-0000-0000-00008A650000}"/>
    <cellStyle name="40% - Accent3 2 7 5" xfId="15451" xr:uid="{00000000-0005-0000-0000-00008B650000}"/>
    <cellStyle name="40% - Accent3 2 7 5 2" xfId="41325" xr:uid="{00000000-0005-0000-0000-00008C650000}"/>
    <cellStyle name="40% - Accent3 2 7 6" xfId="28377" xr:uid="{00000000-0005-0000-0000-00008D650000}"/>
    <cellStyle name="40% - Accent3 2 8" xfId="3296" xr:uid="{00000000-0005-0000-0000-00008E650000}"/>
    <cellStyle name="40% - Accent3 2 8 2" xfId="6568" xr:uid="{00000000-0005-0000-0000-00008F650000}"/>
    <cellStyle name="40% - Accent3 2 8 2 2" xfId="13027" xr:uid="{00000000-0005-0000-0000-000090650000}"/>
    <cellStyle name="40% - Accent3 2 8 2 2 2" xfId="25944" xr:uid="{00000000-0005-0000-0000-000091650000}"/>
    <cellStyle name="40% - Accent3 2 8 2 2 2 2" xfId="51818" xr:uid="{00000000-0005-0000-0000-000092650000}"/>
    <cellStyle name="40% - Accent3 2 8 2 2 3" xfId="38902" xr:uid="{00000000-0005-0000-0000-000093650000}"/>
    <cellStyle name="40% - Accent3 2 8 2 3" xfId="19486" xr:uid="{00000000-0005-0000-0000-000094650000}"/>
    <cellStyle name="40% - Accent3 2 8 2 3 2" xfId="45360" xr:uid="{00000000-0005-0000-0000-000095650000}"/>
    <cellStyle name="40% - Accent3 2 8 2 4" xfId="32444" xr:uid="{00000000-0005-0000-0000-000096650000}"/>
    <cellStyle name="40% - Accent3 2 8 3" xfId="9799" xr:uid="{00000000-0005-0000-0000-000097650000}"/>
    <cellStyle name="40% - Accent3 2 8 3 2" xfId="22716" xr:uid="{00000000-0005-0000-0000-000098650000}"/>
    <cellStyle name="40% - Accent3 2 8 3 2 2" xfId="48590" xr:uid="{00000000-0005-0000-0000-000099650000}"/>
    <cellStyle name="40% - Accent3 2 8 3 3" xfId="35674" xr:uid="{00000000-0005-0000-0000-00009A650000}"/>
    <cellStyle name="40% - Accent3 2 8 4" xfId="16258" xr:uid="{00000000-0005-0000-0000-00009B650000}"/>
    <cellStyle name="40% - Accent3 2 8 4 2" xfId="42132" xr:uid="{00000000-0005-0000-0000-00009C650000}"/>
    <cellStyle name="40% - Accent3 2 8 5" xfId="29184" xr:uid="{00000000-0005-0000-0000-00009D650000}"/>
    <cellStyle name="40% - Accent3 2 9" xfId="4954" xr:uid="{00000000-0005-0000-0000-00009E650000}"/>
    <cellStyle name="40% - Accent3 2 9 2" xfId="11413" xr:uid="{00000000-0005-0000-0000-00009F650000}"/>
    <cellStyle name="40% - Accent3 2 9 2 2" xfId="24330" xr:uid="{00000000-0005-0000-0000-0000A0650000}"/>
    <cellStyle name="40% - Accent3 2 9 2 2 2" xfId="50204" xr:uid="{00000000-0005-0000-0000-0000A1650000}"/>
    <cellStyle name="40% - Accent3 2 9 2 3" xfId="37288" xr:uid="{00000000-0005-0000-0000-0000A2650000}"/>
    <cellStyle name="40% - Accent3 2 9 3" xfId="17872" xr:uid="{00000000-0005-0000-0000-0000A3650000}"/>
    <cellStyle name="40% - Accent3 2 9 3 2" xfId="43746" xr:uid="{00000000-0005-0000-0000-0000A4650000}"/>
    <cellStyle name="40% - Accent3 2 9 4" xfId="30830" xr:uid="{00000000-0005-0000-0000-0000A5650000}"/>
    <cellStyle name="40% - Accent3 20" xfId="27573" xr:uid="{00000000-0005-0000-0000-0000A6650000}"/>
    <cellStyle name="40% - Accent3 21" xfId="53417" xr:uid="{00000000-0005-0000-0000-0000A7650000}"/>
    <cellStyle name="40% - Accent3 22" xfId="194" xr:uid="{00000000-0005-0000-0000-0000A8650000}"/>
    <cellStyle name="40% - Accent3 3" xfId="82" xr:uid="{00000000-0005-0000-0000-0000A9650000}"/>
    <cellStyle name="40% - Accent3 3 2" xfId="270" xr:uid="{00000000-0005-0000-0000-0000AA650000}"/>
    <cellStyle name="40% - Accent3 3 2 10" xfId="53555" xr:uid="{00000000-0005-0000-0000-0000AB650000}"/>
    <cellStyle name="40% - Accent3 3 2 11" xfId="1639" xr:uid="{00000000-0005-0000-0000-0000AC650000}"/>
    <cellStyle name="40% - Accent3 3 2 2" xfId="444" xr:uid="{00000000-0005-0000-0000-0000AD650000}"/>
    <cellStyle name="40% - Accent3 3 2 2 10" xfId="1964" xr:uid="{00000000-0005-0000-0000-0000AE650000}"/>
    <cellStyle name="40% - Accent3 3 2 2 2" xfId="710" xr:uid="{00000000-0005-0000-0000-0000AF650000}"/>
    <cellStyle name="40% - Accent3 3 2 2 2 2" xfId="3208" xr:uid="{00000000-0005-0000-0000-0000B0650000}"/>
    <cellStyle name="40% - Accent3 3 2 2 2 2 2" xfId="4865" xr:uid="{00000000-0005-0000-0000-0000B1650000}"/>
    <cellStyle name="40% - Accent3 3 2 2 2 2 2 2" xfId="8096" xr:uid="{00000000-0005-0000-0000-0000B2650000}"/>
    <cellStyle name="40% - Accent3 3 2 2 2 2 2 2 2" xfId="14555" xr:uid="{00000000-0005-0000-0000-0000B3650000}"/>
    <cellStyle name="40% - Accent3 3 2 2 2 2 2 2 2 2" xfId="27472" xr:uid="{00000000-0005-0000-0000-0000B4650000}"/>
    <cellStyle name="40% - Accent3 3 2 2 2 2 2 2 2 2 2" xfId="53346" xr:uid="{00000000-0005-0000-0000-0000B5650000}"/>
    <cellStyle name="40% - Accent3 3 2 2 2 2 2 2 2 3" xfId="40430" xr:uid="{00000000-0005-0000-0000-0000B6650000}"/>
    <cellStyle name="40% - Accent3 3 2 2 2 2 2 2 3" xfId="21014" xr:uid="{00000000-0005-0000-0000-0000B7650000}"/>
    <cellStyle name="40% - Accent3 3 2 2 2 2 2 2 3 2" xfId="46888" xr:uid="{00000000-0005-0000-0000-0000B8650000}"/>
    <cellStyle name="40% - Accent3 3 2 2 2 2 2 2 4" xfId="33972" xr:uid="{00000000-0005-0000-0000-0000B9650000}"/>
    <cellStyle name="40% - Accent3 3 2 2 2 2 2 3" xfId="11327" xr:uid="{00000000-0005-0000-0000-0000BA650000}"/>
    <cellStyle name="40% - Accent3 3 2 2 2 2 2 3 2" xfId="24244" xr:uid="{00000000-0005-0000-0000-0000BB650000}"/>
    <cellStyle name="40% - Accent3 3 2 2 2 2 2 3 2 2" xfId="50118" xr:uid="{00000000-0005-0000-0000-0000BC650000}"/>
    <cellStyle name="40% - Accent3 3 2 2 2 2 2 3 3" xfId="37202" xr:uid="{00000000-0005-0000-0000-0000BD650000}"/>
    <cellStyle name="40% - Accent3 3 2 2 2 2 2 4" xfId="17786" xr:uid="{00000000-0005-0000-0000-0000BE650000}"/>
    <cellStyle name="40% - Accent3 3 2 2 2 2 2 4 2" xfId="43660" xr:uid="{00000000-0005-0000-0000-0000BF650000}"/>
    <cellStyle name="40% - Accent3 3 2 2 2 2 2 5" xfId="30712" xr:uid="{00000000-0005-0000-0000-0000C0650000}"/>
    <cellStyle name="40% - Accent3 3 2 2 2 2 3" xfId="6482" xr:uid="{00000000-0005-0000-0000-0000C1650000}"/>
    <cellStyle name="40% - Accent3 3 2 2 2 2 3 2" xfId="12941" xr:uid="{00000000-0005-0000-0000-0000C2650000}"/>
    <cellStyle name="40% - Accent3 3 2 2 2 2 3 2 2" xfId="25858" xr:uid="{00000000-0005-0000-0000-0000C3650000}"/>
    <cellStyle name="40% - Accent3 3 2 2 2 2 3 2 2 2" xfId="51732" xr:uid="{00000000-0005-0000-0000-0000C4650000}"/>
    <cellStyle name="40% - Accent3 3 2 2 2 2 3 2 3" xfId="38816" xr:uid="{00000000-0005-0000-0000-0000C5650000}"/>
    <cellStyle name="40% - Accent3 3 2 2 2 2 3 3" xfId="19400" xr:uid="{00000000-0005-0000-0000-0000C6650000}"/>
    <cellStyle name="40% - Accent3 3 2 2 2 2 3 3 2" xfId="45274" xr:uid="{00000000-0005-0000-0000-0000C7650000}"/>
    <cellStyle name="40% - Accent3 3 2 2 2 2 3 4" xfId="32358" xr:uid="{00000000-0005-0000-0000-0000C8650000}"/>
    <cellStyle name="40% - Accent3 3 2 2 2 2 4" xfId="9713" xr:uid="{00000000-0005-0000-0000-0000C9650000}"/>
    <cellStyle name="40% - Accent3 3 2 2 2 2 4 2" xfId="22630" xr:uid="{00000000-0005-0000-0000-0000CA650000}"/>
    <cellStyle name="40% - Accent3 3 2 2 2 2 4 2 2" xfId="48504" xr:uid="{00000000-0005-0000-0000-0000CB650000}"/>
    <cellStyle name="40% - Accent3 3 2 2 2 2 4 3" xfId="35588" xr:uid="{00000000-0005-0000-0000-0000CC650000}"/>
    <cellStyle name="40% - Accent3 3 2 2 2 2 5" xfId="16172" xr:uid="{00000000-0005-0000-0000-0000CD650000}"/>
    <cellStyle name="40% - Accent3 3 2 2 2 2 5 2" xfId="42046" xr:uid="{00000000-0005-0000-0000-0000CE650000}"/>
    <cellStyle name="40% - Accent3 3 2 2 2 2 6" xfId="29098" xr:uid="{00000000-0005-0000-0000-0000CF650000}"/>
    <cellStyle name="40% - Accent3 3 2 2 2 3" xfId="4035" xr:uid="{00000000-0005-0000-0000-0000D0650000}"/>
    <cellStyle name="40% - Accent3 3 2 2 2 3 2" xfId="7289" xr:uid="{00000000-0005-0000-0000-0000D1650000}"/>
    <cellStyle name="40% - Accent3 3 2 2 2 3 2 2" xfId="13748" xr:uid="{00000000-0005-0000-0000-0000D2650000}"/>
    <cellStyle name="40% - Accent3 3 2 2 2 3 2 2 2" xfId="26665" xr:uid="{00000000-0005-0000-0000-0000D3650000}"/>
    <cellStyle name="40% - Accent3 3 2 2 2 3 2 2 2 2" xfId="52539" xr:uid="{00000000-0005-0000-0000-0000D4650000}"/>
    <cellStyle name="40% - Accent3 3 2 2 2 3 2 2 3" xfId="39623" xr:uid="{00000000-0005-0000-0000-0000D5650000}"/>
    <cellStyle name="40% - Accent3 3 2 2 2 3 2 3" xfId="20207" xr:uid="{00000000-0005-0000-0000-0000D6650000}"/>
    <cellStyle name="40% - Accent3 3 2 2 2 3 2 3 2" xfId="46081" xr:uid="{00000000-0005-0000-0000-0000D7650000}"/>
    <cellStyle name="40% - Accent3 3 2 2 2 3 2 4" xfId="33165" xr:uid="{00000000-0005-0000-0000-0000D8650000}"/>
    <cellStyle name="40% - Accent3 3 2 2 2 3 3" xfId="10520" xr:uid="{00000000-0005-0000-0000-0000D9650000}"/>
    <cellStyle name="40% - Accent3 3 2 2 2 3 3 2" xfId="23437" xr:uid="{00000000-0005-0000-0000-0000DA650000}"/>
    <cellStyle name="40% - Accent3 3 2 2 2 3 3 2 2" xfId="49311" xr:uid="{00000000-0005-0000-0000-0000DB650000}"/>
    <cellStyle name="40% - Accent3 3 2 2 2 3 3 3" xfId="36395" xr:uid="{00000000-0005-0000-0000-0000DC650000}"/>
    <cellStyle name="40% - Accent3 3 2 2 2 3 4" xfId="16979" xr:uid="{00000000-0005-0000-0000-0000DD650000}"/>
    <cellStyle name="40% - Accent3 3 2 2 2 3 4 2" xfId="42853" xr:uid="{00000000-0005-0000-0000-0000DE650000}"/>
    <cellStyle name="40% - Accent3 3 2 2 2 3 5" xfId="29905" xr:uid="{00000000-0005-0000-0000-0000DF650000}"/>
    <cellStyle name="40% - Accent3 3 2 2 2 4" xfId="5675" xr:uid="{00000000-0005-0000-0000-0000E0650000}"/>
    <cellStyle name="40% - Accent3 3 2 2 2 4 2" xfId="12134" xr:uid="{00000000-0005-0000-0000-0000E1650000}"/>
    <cellStyle name="40% - Accent3 3 2 2 2 4 2 2" xfId="25051" xr:uid="{00000000-0005-0000-0000-0000E2650000}"/>
    <cellStyle name="40% - Accent3 3 2 2 2 4 2 2 2" xfId="50925" xr:uid="{00000000-0005-0000-0000-0000E3650000}"/>
    <cellStyle name="40% - Accent3 3 2 2 2 4 2 3" xfId="38009" xr:uid="{00000000-0005-0000-0000-0000E4650000}"/>
    <cellStyle name="40% - Accent3 3 2 2 2 4 3" xfId="18593" xr:uid="{00000000-0005-0000-0000-0000E5650000}"/>
    <cellStyle name="40% - Accent3 3 2 2 2 4 3 2" xfId="44467" xr:uid="{00000000-0005-0000-0000-0000E6650000}"/>
    <cellStyle name="40% - Accent3 3 2 2 2 4 4" xfId="31551" xr:uid="{00000000-0005-0000-0000-0000E7650000}"/>
    <cellStyle name="40% - Accent3 3 2 2 2 5" xfId="8906" xr:uid="{00000000-0005-0000-0000-0000E8650000}"/>
    <cellStyle name="40% - Accent3 3 2 2 2 5 2" xfId="21823" xr:uid="{00000000-0005-0000-0000-0000E9650000}"/>
    <cellStyle name="40% - Accent3 3 2 2 2 5 2 2" xfId="47697" xr:uid="{00000000-0005-0000-0000-0000EA650000}"/>
    <cellStyle name="40% - Accent3 3 2 2 2 5 3" xfId="34781" xr:uid="{00000000-0005-0000-0000-0000EB650000}"/>
    <cellStyle name="40% - Accent3 3 2 2 2 6" xfId="15365" xr:uid="{00000000-0005-0000-0000-0000EC650000}"/>
    <cellStyle name="40% - Accent3 3 2 2 2 6 2" xfId="41239" xr:uid="{00000000-0005-0000-0000-0000ED650000}"/>
    <cellStyle name="40% - Accent3 3 2 2 2 7" xfId="28291" xr:uid="{00000000-0005-0000-0000-0000EE650000}"/>
    <cellStyle name="40% - Accent3 3 2 2 2 8" xfId="54153" xr:uid="{00000000-0005-0000-0000-0000EF650000}"/>
    <cellStyle name="40% - Accent3 3 2 2 2 9" xfId="2395" xr:uid="{00000000-0005-0000-0000-0000F0650000}"/>
    <cellStyle name="40% - Accent3 3 2 2 3" xfId="709" xr:uid="{00000000-0005-0000-0000-0000F1650000}"/>
    <cellStyle name="40% - Accent3 3 2 2 3 2" xfId="4461" xr:uid="{00000000-0005-0000-0000-0000F2650000}"/>
    <cellStyle name="40% - Accent3 3 2 2 3 2 2" xfId="7692" xr:uid="{00000000-0005-0000-0000-0000F3650000}"/>
    <cellStyle name="40% - Accent3 3 2 2 3 2 2 2" xfId="14151" xr:uid="{00000000-0005-0000-0000-0000F4650000}"/>
    <cellStyle name="40% - Accent3 3 2 2 3 2 2 2 2" xfId="27068" xr:uid="{00000000-0005-0000-0000-0000F5650000}"/>
    <cellStyle name="40% - Accent3 3 2 2 3 2 2 2 2 2" xfId="52942" xr:uid="{00000000-0005-0000-0000-0000F6650000}"/>
    <cellStyle name="40% - Accent3 3 2 2 3 2 2 2 3" xfId="40026" xr:uid="{00000000-0005-0000-0000-0000F7650000}"/>
    <cellStyle name="40% - Accent3 3 2 2 3 2 2 3" xfId="20610" xr:uid="{00000000-0005-0000-0000-0000F8650000}"/>
    <cellStyle name="40% - Accent3 3 2 2 3 2 2 3 2" xfId="46484" xr:uid="{00000000-0005-0000-0000-0000F9650000}"/>
    <cellStyle name="40% - Accent3 3 2 2 3 2 2 4" xfId="33568" xr:uid="{00000000-0005-0000-0000-0000FA650000}"/>
    <cellStyle name="40% - Accent3 3 2 2 3 2 3" xfId="10923" xr:uid="{00000000-0005-0000-0000-0000FB650000}"/>
    <cellStyle name="40% - Accent3 3 2 2 3 2 3 2" xfId="23840" xr:uid="{00000000-0005-0000-0000-0000FC650000}"/>
    <cellStyle name="40% - Accent3 3 2 2 3 2 3 2 2" xfId="49714" xr:uid="{00000000-0005-0000-0000-0000FD650000}"/>
    <cellStyle name="40% - Accent3 3 2 2 3 2 3 3" xfId="36798" xr:uid="{00000000-0005-0000-0000-0000FE650000}"/>
    <cellStyle name="40% - Accent3 3 2 2 3 2 4" xfId="17382" xr:uid="{00000000-0005-0000-0000-0000FF650000}"/>
    <cellStyle name="40% - Accent3 3 2 2 3 2 4 2" xfId="43256" xr:uid="{00000000-0005-0000-0000-000000660000}"/>
    <cellStyle name="40% - Accent3 3 2 2 3 2 5" xfId="30308" xr:uid="{00000000-0005-0000-0000-000001660000}"/>
    <cellStyle name="40% - Accent3 3 2 2 3 3" xfId="6078" xr:uid="{00000000-0005-0000-0000-000002660000}"/>
    <cellStyle name="40% - Accent3 3 2 2 3 3 2" xfId="12537" xr:uid="{00000000-0005-0000-0000-000003660000}"/>
    <cellStyle name="40% - Accent3 3 2 2 3 3 2 2" xfId="25454" xr:uid="{00000000-0005-0000-0000-000004660000}"/>
    <cellStyle name="40% - Accent3 3 2 2 3 3 2 2 2" xfId="51328" xr:uid="{00000000-0005-0000-0000-000005660000}"/>
    <cellStyle name="40% - Accent3 3 2 2 3 3 2 3" xfId="38412" xr:uid="{00000000-0005-0000-0000-000006660000}"/>
    <cellStyle name="40% - Accent3 3 2 2 3 3 3" xfId="18996" xr:uid="{00000000-0005-0000-0000-000007660000}"/>
    <cellStyle name="40% - Accent3 3 2 2 3 3 3 2" xfId="44870" xr:uid="{00000000-0005-0000-0000-000008660000}"/>
    <cellStyle name="40% - Accent3 3 2 2 3 3 4" xfId="31954" xr:uid="{00000000-0005-0000-0000-000009660000}"/>
    <cellStyle name="40% - Accent3 3 2 2 3 4" xfId="9309" xr:uid="{00000000-0005-0000-0000-00000A660000}"/>
    <cellStyle name="40% - Accent3 3 2 2 3 4 2" xfId="22226" xr:uid="{00000000-0005-0000-0000-00000B660000}"/>
    <cellStyle name="40% - Accent3 3 2 2 3 4 2 2" xfId="48100" xr:uid="{00000000-0005-0000-0000-00000C660000}"/>
    <cellStyle name="40% - Accent3 3 2 2 3 4 3" xfId="35184" xr:uid="{00000000-0005-0000-0000-00000D660000}"/>
    <cellStyle name="40% - Accent3 3 2 2 3 5" xfId="15768" xr:uid="{00000000-0005-0000-0000-00000E660000}"/>
    <cellStyle name="40% - Accent3 3 2 2 3 5 2" xfId="41642" xr:uid="{00000000-0005-0000-0000-00000F660000}"/>
    <cellStyle name="40% - Accent3 3 2 2 3 6" xfId="28694" xr:uid="{00000000-0005-0000-0000-000010660000}"/>
    <cellStyle name="40% - Accent3 3 2 2 3 7" xfId="2804" xr:uid="{00000000-0005-0000-0000-000011660000}"/>
    <cellStyle name="40% - Accent3 3 2 2 4" xfId="3631" xr:uid="{00000000-0005-0000-0000-000012660000}"/>
    <cellStyle name="40% - Accent3 3 2 2 4 2" xfId="6885" xr:uid="{00000000-0005-0000-0000-000013660000}"/>
    <cellStyle name="40% - Accent3 3 2 2 4 2 2" xfId="13344" xr:uid="{00000000-0005-0000-0000-000014660000}"/>
    <cellStyle name="40% - Accent3 3 2 2 4 2 2 2" xfId="26261" xr:uid="{00000000-0005-0000-0000-000015660000}"/>
    <cellStyle name="40% - Accent3 3 2 2 4 2 2 2 2" xfId="52135" xr:uid="{00000000-0005-0000-0000-000016660000}"/>
    <cellStyle name="40% - Accent3 3 2 2 4 2 2 3" xfId="39219" xr:uid="{00000000-0005-0000-0000-000017660000}"/>
    <cellStyle name="40% - Accent3 3 2 2 4 2 3" xfId="19803" xr:uid="{00000000-0005-0000-0000-000018660000}"/>
    <cellStyle name="40% - Accent3 3 2 2 4 2 3 2" xfId="45677" xr:uid="{00000000-0005-0000-0000-000019660000}"/>
    <cellStyle name="40% - Accent3 3 2 2 4 2 4" xfId="32761" xr:uid="{00000000-0005-0000-0000-00001A660000}"/>
    <cellStyle name="40% - Accent3 3 2 2 4 3" xfId="10116" xr:uid="{00000000-0005-0000-0000-00001B660000}"/>
    <cellStyle name="40% - Accent3 3 2 2 4 3 2" xfId="23033" xr:uid="{00000000-0005-0000-0000-00001C660000}"/>
    <cellStyle name="40% - Accent3 3 2 2 4 3 2 2" xfId="48907" xr:uid="{00000000-0005-0000-0000-00001D660000}"/>
    <cellStyle name="40% - Accent3 3 2 2 4 3 3" xfId="35991" xr:uid="{00000000-0005-0000-0000-00001E660000}"/>
    <cellStyle name="40% - Accent3 3 2 2 4 4" xfId="16575" xr:uid="{00000000-0005-0000-0000-00001F660000}"/>
    <cellStyle name="40% - Accent3 3 2 2 4 4 2" xfId="42449" xr:uid="{00000000-0005-0000-0000-000020660000}"/>
    <cellStyle name="40% - Accent3 3 2 2 4 5" xfId="29501" xr:uid="{00000000-0005-0000-0000-000021660000}"/>
    <cellStyle name="40% - Accent3 3 2 2 5" xfId="5271" xr:uid="{00000000-0005-0000-0000-000022660000}"/>
    <cellStyle name="40% - Accent3 3 2 2 5 2" xfId="11730" xr:uid="{00000000-0005-0000-0000-000023660000}"/>
    <cellStyle name="40% - Accent3 3 2 2 5 2 2" xfId="24647" xr:uid="{00000000-0005-0000-0000-000024660000}"/>
    <cellStyle name="40% - Accent3 3 2 2 5 2 2 2" xfId="50521" xr:uid="{00000000-0005-0000-0000-000025660000}"/>
    <cellStyle name="40% - Accent3 3 2 2 5 2 3" xfId="37605" xr:uid="{00000000-0005-0000-0000-000026660000}"/>
    <cellStyle name="40% - Accent3 3 2 2 5 3" xfId="18189" xr:uid="{00000000-0005-0000-0000-000027660000}"/>
    <cellStyle name="40% - Accent3 3 2 2 5 3 2" xfId="44063" xr:uid="{00000000-0005-0000-0000-000028660000}"/>
    <cellStyle name="40% - Accent3 3 2 2 5 4" xfId="31147" xr:uid="{00000000-0005-0000-0000-000029660000}"/>
    <cellStyle name="40% - Accent3 3 2 2 6" xfId="8502" xr:uid="{00000000-0005-0000-0000-00002A660000}"/>
    <cellStyle name="40% - Accent3 3 2 2 6 2" xfId="21419" xr:uid="{00000000-0005-0000-0000-00002B660000}"/>
    <cellStyle name="40% - Accent3 3 2 2 6 2 2" xfId="47293" xr:uid="{00000000-0005-0000-0000-00002C660000}"/>
    <cellStyle name="40% - Accent3 3 2 2 6 3" xfId="34377" xr:uid="{00000000-0005-0000-0000-00002D660000}"/>
    <cellStyle name="40% - Accent3 3 2 2 7" xfId="14961" xr:uid="{00000000-0005-0000-0000-00002E660000}"/>
    <cellStyle name="40% - Accent3 3 2 2 7 2" xfId="40835" xr:uid="{00000000-0005-0000-0000-00002F660000}"/>
    <cellStyle name="40% - Accent3 3 2 2 8" xfId="27886" xr:uid="{00000000-0005-0000-0000-000030660000}"/>
    <cellStyle name="40% - Accent3 3 2 2 9" xfId="53749" xr:uid="{00000000-0005-0000-0000-000031660000}"/>
    <cellStyle name="40% - Accent3 3 2 3" xfId="711" xr:uid="{00000000-0005-0000-0000-000032660000}"/>
    <cellStyle name="40% - Accent3 3 2 3 2" xfId="3013" xr:uid="{00000000-0005-0000-0000-000033660000}"/>
    <cellStyle name="40% - Accent3 3 2 3 2 2" xfId="4670" xr:uid="{00000000-0005-0000-0000-000034660000}"/>
    <cellStyle name="40% - Accent3 3 2 3 2 2 2" xfId="7901" xr:uid="{00000000-0005-0000-0000-000035660000}"/>
    <cellStyle name="40% - Accent3 3 2 3 2 2 2 2" xfId="14360" xr:uid="{00000000-0005-0000-0000-000036660000}"/>
    <cellStyle name="40% - Accent3 3 2 3 2 2 2 2 2" xfId="27277" xr:uid="{00000000-0005-0000-0000-000037660000}"/>
    <cellStyle name="40% - Accent3 3 2 3 2 2 2 2 2 2" xfId="53151" xr:uid="{00000000-0005-0000-0000-000038660000}"/>
    <cellStyle name="40% - Accent3 3 2 3 2 2 2 2 3" xfId="40235" xr:uid="{00000000-0005-0000-0000-000039660000}"/>
    <cellStyle name="40% - Accent3 3 2 3 2 2 2 3" xfId="20819" xr:uid="{00000000-0005-0000-0000-00003A660000}"/>
    <cellStyle name="40% - Accent3 3 2 3 2 2 2 3 2" xfId="46693" xr:uid="{00000000-0005-0000-0000-00003B660000}"/>
    <cellStyle name="40% - Accent3 3 2 3 2 2 2 4" xfId="33777" xr:uid="{00000000-0005-0000-0000-00003C660000}"/>
    <cellStyle name="40% - Accent3 3 2 3 2 2 3" xfId="11132" xr:uid="{00000000-0005-0000-0000-00003D660000}"/>
    <cellStyle name="40% - Accent3 3 2 3 2 2 3 2" xfId="24049" xr:uid="{00000000-0005-0000-0000-00003E660000}"/>
    <cellStyle name="40% - Accent3 3 2 3 2 2 3 2 2" xfId="49923" xr:uid="{00000000-0005-0000-0000-00003F660000}"/>
    <cellStyle name="40% - Accent3 3 2 3 2 2 3 3" xfId="37007" xr:uid="{00000000-0005-0000-0000-000040660000}"/>
    <cellStyle name="40% - Accent3 3 2 3 2 2 4" xfId="17591" xr:uid="{00000000-0005-0000-0000-000041660000}"/>
    <cellStyle name="40% - Accent3 3 2 3 2 2 4 2" xfId="43465" xr:uid="{00000000-0005-0000-0000-000042660000}"/>
    <cellStyle name="40% - Accent3 3 2 3 2 2 5" xfId="30517" xr:uid="{00000000-0005-0000-0000-000043660000}"/>
    <cellStyle name="40% - Accent3 3 2 3 2 3" xfId="6287" xr:uid="{00000000-0005-0000-0000-000044660000}"/>
    <cellStyle name="40% - Accent3 3 2 3 2 3 2" xfId="12746" xr:uid="{00000000-0005-0000-0000-000045660000}"/>
    <cellStyle name="40% - Accent3 3 2 3 2 3 2 2" xfId="25663" xr:uid="{00000000-0005-0000-0000-000046660000}"/>
    <cellStyle name="40% - Accent3 3 2 3 2 3 2 2 2" xfId="51537" xr:uid="{00000000-0005-0000-0000-000047660000}"/>
    <cellStyle name="40% - Accent3 3 2 3 2 3 2 3" xfId="38621" xr:uid="{00000000-0005-0000-0000-000048660000}"/>
    <cellStyle name="40% - Accent3 3 2 3 2 3 3" xfId="19205" xr:uid="{00000000-0005-0000-0000-000049660000}"/>
    <cellStyle name="40% - Accent3 3 2 3 2 3 3 2" xfId="45079" xr:uid="{00000000-0005-0000-0000-00004A660000}"/>
    <cellStyle name="40% - Accent3 3 2 3 2 3 4" xfId="32163" xr:uid="{00000000-0005-0000-0000-00004B660000}"/>
    <cellStyle name="40% - Accent3 3 2 3 2 4" xfId="9518" xr:uid="{00000000-0005-0000-0000-00004C660000}"/>
    <cellStyle name="40% - Accent3 3 2 3 2 4 2" xfId="22435" xr:uid="{00000000-0005-0000-0000-00004D660000}"/>
    <cellStyle name="40% - Accent3 3 2 3 2 4 2 2" xfId="48309" xr:uid="{00000000-0005-0000-0000-00004E660000}"/>
    <cellStyle name="40% - Accent3 3 2 3 2 4 3" xfId="35393" xr:uid="{00000000-0005-0000-0000-00004F660000}"/>
    <cellStyle name="40% - Accent3 3 2 3 2 5" xfId="15977" xr:uid="{00000000-0005-0000-0000-000050660000}"/>
    <cellStyle name="40% - Accent3 3 2 3 2 5 2" xfId="41851" xr:uid="{00000000-0005-0000-0000-000051660000}"/>
    <cellStyle name="40% - Accent3 3 2 3 2 6" xfId="28903" xr:uid="{00000000-0005-0000-0000-000052660000}"/>
    <cellStyle name="40% - Accent3 3 2 3 3" xfId="3840" xr:uid="{00000000-0005-0000-0000-000053660000}"/>
    <cellStyle name="40% - Accent3 3 2 3 3 2" xfId="7094" xr:uid="{00000000-0005-0000-0000-000054660000}"/>
    <cellStyle name="40% - Accent3 3 2 3 3 2 2" xfId="13553" xr:uid="{00000000-0005-0000-0000-000055660000}"/>
    <cellStyle name="40% - Accent3 3 2 3 3 2 2 2" xfId="26470" xr:uid="{00000000-0005-0000-0000-000056660000}"/>
    <cellStyle name="40% - Accent3 3 2 3 3 2 2 2 2" xfId="52344" xr:uid="{00000000-0005-0000-0000-000057660000}"/>
    <cellStyle name="40% - Accent3 3 2 3 3 2 2 3" xfId="39428" xr:uid="{00000000-0005-0000-0000-000058660000}"/>
    <cellStyle name="40% - Accent3 3 2 3 3 2 3" xfId="20012" xr:uid="{00000000-0005-0000-0000-000059660000}"/>
    <cellStyle name="40% - Accent3 3 2 3 3 2 3 2" xfId="45886" xr:uid="{00000000-0005-0000-0000-00005A660000}"/>
    <cellStyle name="40% - Accent3 3 2 3 3 2 4" xfId="32970" xr:uid="{00000000-0005-0000-0000-00005B660000}"/>
    <cellStyle name="40% - Accent3 3 2 3 3 3" xfId="10325" xr:uid="{00000000-0005-0000-0000-00005C660000}"/>
    <cellStyle name="40% - Accent3 3 2 3 3 3 2" xfId="23242" xr:uid="{00000000-0005-0000-0000-00005D660000}"/>
    <cellStyle name="40% - Accent3 3 2 3 3 3 2 2" xfId="49116" xr:uid="{00000000-0005-0000-0000-00005E660000}"/>
    <cellStyle name="40% - Accent3 3 2 3 3 3 3" xfId="36200" xr:uid="{00000000-0005-0000-0000-00005F660000}"/>
    <cellStyle name="40% - Accent3 3 2 3 3 4" xfId="16784" xr:uid="{00000000-0005-0000-0000-000060660000}"/>
    <cellStyle name="40% - Accent3 3 2 3 3 4 2" xfId="42658" xr:uid="{00000000-0005-0000-0000-000061660000}"/>
    <cellStyle name="40% - Accent3 3 2 3 3 5" xfId="29710" xr:uid="{00000000-0005-0000-0000-000062660000}"/>
    <cellStyle name="40% - Accent3 3 2 3 4" xfId="5480" xr:uid="{00000000-0005-0000-0000-000063660000}"/>
    <cellStyle name="40% - Accent3 3 2 3 4 2" xfId="11939" xr:uid="{00000000-0005-0000-0000-000064660000}"/>
    <cellStyle name="40% - Accent3 3 2 3 4 2 2" xfId="24856" xr:uid="{00000000-0005-0000-0000-000065660000}"/>
    <cellStyle name="40% - Accent3 3 2 3 4 2 2 2" xfId="50730" xr:uid="{00000000-0005-0000-0000-000066660000}"/>
    <cellStyle name="40% - Accent3 3 2 3 4 2 3" xfId="37814" xr:uid="{00000000-0005-0000-0000-000067660000}"/>
    <cellStyle name="40% - Accent3 3 2 3 4 3" xfId="18398" xr:uid="{00000000-0005-0000-0000-000068660000}"/>
    <cellStyle name="40% - Accent3 3 2 3 4 3 2" xfId="44272" xr:uid="{00000000-0005-0000-0000-000069660000}"/>
    <cellStyle name="40% - Accent3 3 2 3 4 4" xfId="31356" xr:uid="{00000000-0005-0000-0000-00006A660000}"/>
    <cellStyle name="40% - Accent3 3 2 3 5" xfId="8711" xr:uid="{00000000-0005-0000-0000-00006B660000}"/>
    <cellStyle name="40% - Accent3 3 2 3 5 2" xfId="21628" xr:uid="{00000000-0005-0000-0000-00006C660000}"/>
    <cellStyle name="40% - Accent3 3 2 3 5 2 2" xfId="47502" xr:uid="{00000000-0005-0000-0000-00006D660000}"/>
    <cellStyle name="40% - Accent3 3 2 3 5 3" xfId="34586" xr:uid="{00000000-0005-0000-0000-00006E660000}"/>
    <cellStyle name="40% - Accent3 3 2 3 6" xfId="15170" xr:uid="{00000000-0005-0000-0000-00006F660000}"/>
    <cellStyle name="40% - Accent3 3 2 3 6 2" xfId="41044" xr:uid="{00000000-0005-0000-0000-000070660000}"/>
    <cellStyle name="40% - Accent3 3 2 3 7" xfId="28096" xr:uid="{00000000-0005-0000-0000-000071660000}"/>
    <cellStyle name="40% - Accent3 3 2 3 8" xfId="53958" xr:uid="{00000000-0005-0000-0000-000072660000}"/>
    <cellStyle name="40% - Accent3 3 2 3 9" xfId="2199" xr:uid="{00000000-0005-0000-0000-000073660000}"/>
    <cellStyle name="40% - Accent3 3 2 4" xfId="708" xr:uid="{00000000-0005-0000-0000-000074660000}"/>
    <cellStyle name="40% - Accent3 3 2 4 2" xfId="4267" xr:uid="{00000000-0005-0000-0000-000075660000}"/>
    <cellStyle name="40% - Accent3 3 2 4 2 2" xfId="7498" xr:uid="{00000000-0005-0000-0000-000076660000}"/>
    <cellStyle name="40% - Accent3 3 2 4 2 2 2" xfId="13957" xr:uid="{00000000-0005-0000-0000-000077660000}"/>
    <cellStyle name="40% - Accent3 3 2 4 2 2 2 2" xfId="26874" xr:uid="{00000000-0005-0000-0000-000078660000}"/>
    <cellStyle name="40% - Accent3 3 2 4 2 2 2 2 2" xfId="52748" xr:uid="{00000000-0005-0000-0000-000079660000}"/>
    <cellStyle name="40% - Accent3 3 2 4 2 2 2 3" xfId="39832" xr:uid="{00000000-0005-0000-0000-00007A660000}"/>
    <cellStyle name="40% - Accent3 3 2 4 2 2 3" xfId="20416" xr:uid="{00000000-0005-0000-0000-00007B660000}"/>
    <cellStyle name="40% - Accent3 3 2 4 2 2 3 2" xfId="46290" xr:uid="{00000000-0005-0000-0000-00007C660000}"/>
    <cellStyle name="40% - Accent3 3 2 4 2 2 4" xfId="33374" xr:uid="{00000000-0005-0000-0000-00007D660000}"/>
    <cellStyle name="40% - Accent3 3 2 4 2 3" xfId="10729" xr:uid="{00000000-0005-0000-0000-00007E660000}"/>
    <cellStyle name="40% - Accent3 3 2 4 2 3 2" xfId="23646" xr:uid="{00000000-0005-0000-0000-00007F660000}"/>
    <cellStyle name="40% - Accent3 3 2 4 2 3 2 2" xfId="49520" xr:uid="{00000000-0005-0000-0000-000080660000}"/>
    <cellStyle name="40% - Accent3 3 2 4 2 3 3" xfId="36604" xr:uid="{00000000-0005-0000-0000-000081660000}"/>
    <cellStyle name="40% - Accent3 3 2 4 2 4" xfId="17188" xr:uid="{00000000-0005-0000-0000-000082660000}"/>
    <cellStyle name="40% - Accent3 3 2 4 2 4 2" xfId="43062" xr:uid="{00000000-0005-0000-0000-000083660000}"/>
    <cellStyle name="40% - Accent3 3 2 4 2 5" xfId="30114" xr:uid="{00000000-0005-0000-0000-000084660000}"/>
    <cellStyle name="40% - Accent3 3 2 4 3" xfId="5884" xr:uid="{00000000-0005-0000-0000-000085660000}"/>
    <cellStyle name="40% - Accent3 3 2 4 3 2" xfId="12343" xr:uid="{00000000-0005-0000-0000-000086660000}"/>
    <cellStyle name="40% - Accent3 3 2 4 3 2 2" xfId="25260" xr:uid="{00000000-0005-0000-0000-000087660000}"/>
    <cellStyle name="40% - Accent3 3 2 4 3 2 2 2" xfId="51134" xr:uid="{00000000-0005-0000-0000-000088660000}"/>
    <cellStyle name="40% - Accent3 3 2 4 3 2 3" xfId="38218" xr:uid="{00000000-0005-0000-0000-000089660000}"/>
    <cellStyle name="40% - Accent3 3 2 4 3 3" xfId="18802" xr:uid="{00000000-0005-0000-0000-00008A660000}"/>
    <cellStyle name="40% - Accent3 3 2 4 3 3 2" xfId="44676" xr:uid="{00000000-0005-0000-0000-00008B660000}"/>
    <cellStyle name="40% - Accent3 3 2 4 3 4" xfId="31760" xr:uid="{00000000-0005-0000-0000-00008C660000}"/>
    <cellStyle name="40% - Accent3 3 2 4 4" xfId="9115" xr:uid="{00000000-0005-0000-0000-00008D660000}"/>
    <cellStyle name="40% - Accent3 3 2 4 4 2" xfId="22032" xr:uid="{00000000-0005-0000-0000-00008E660000}"/>
    <cellStyle name="40% - Accent3 3 2 4 4 2 2" xfId="47906" xr:uid="{00000000-0005-0000-0000-00008F660000}"/>
    <cellStyle name="40% - Accent3 3 2 4 4 3" xfId="34990" xr:uid="{00000000-0005-0000-0000-000090660000}"/>
    <cellStyle name="40% - Accent3 3 2 4 5" xfId="15574" xr:uid="{00000000-0005-0000-0000-000091660000}"/>
    <cellStyle name="40% - Accent3 3 2 4 5 2" xfId="41448" xr:uid="{00000000-0005-0000-0000-000092660000}"/>
    <cellStyle name="40% - Accent3 3 2 4 6" xfId="28500" xr:uid="{00000000-0005-0000-0000-000093660000}"/>
    <cellStyle name="40% - Accent3 3 2 4 7" xfId="2610" xr:uid="{00000000-0005-0000-0000-000094660000}"/>
    <cellStyle name="40% - Accent3 3 2 5" xfId="3437" xr:uid="{00000000-0005-0000-0000-000095660000}"/>
    <cellStyle name="40% - Accent3 3 2 5 2" xfId="6691" xr:uid="{00000000-0005-0000-0000-000096660000}"/>
    <cellStyle name="40% - Accent3 3 2 5 2 2" xfId="13150" xr:uid="{00000000-0005-0000-0000-000097660000}"/>
    <cellStyle name="40% - Accent3 3 2 5 2 2 2" xfId="26067" xr:uid="{00000000-0005-0000-0000-000098660000}"/>
    <cellStyle name="40% - Accent3 3 2 5 2 2 2 2" xfId="51941" xr:uid="{00000000-0005-0000-0000-000099660000}"/>
    <cellStyle name="40% - Accent3 3 2 5 2 2 3" xfId="39025" xr:uid="{00000000-0005-0000-0000-00009A660000}"/>
    <cellStyle name="40% - Accent3 3 2 5 2 3" xfId="19609" xr:uid="{00000000-0005-0000-0000-00009B660000}"/>
    <cellStyle name="40% - Accent3 3 2 5 2 3 2" xfId="45483" xr:uid="{00000000-0005-0000-0000-00009C660000}"/>
    <cellStyle name="40% - Accent3 3 2 5 2 4" xfId="32567" xr:uid="{00000000-0005-0000-0000-00009D660000}"/>
    <cellStyle name="40% - Accent3 3 2 5 3" xfId="9922" xr:uid="{00000000-0005-0000-0000-00009E660000}"/>
    <cellStyle name="40% - Accent3 3 2 5 3 2" xfId="22839" xr:uid="{00000000-0005-0000-0000-00009F660000}"/>
    <cellStyle name="40% - Accent3 3 2 5 3 2 2" xfId="48713" xr:uid="{00000000-0005-0000-0000-0000A0660000}"/>
    <cellStyle name="40% - Accent3 3 2 5 3 3" xfId="35797" xr:uid="{00000000-0005-0000-0000-0000A1660000}"/>
    <cellStyle name="40% - Accent3 3 2 5 4" xfId="16381" xr:uid="{00000000-0005-0000-0000-0000A2660000}"/>
    <cellStyle name="40% - Accent3 3 2 5 4 2" xfId="42255" xr:uid="{00000000-0005-0000-0000-0000A3660000}"/>
    <cellStyle name="40% - Accent3 3 2 5 5" xfId="29307" xr:uid="{00000000-0005-0000-0000-0000A4660000}"/>
    <cellStyle name="40% - Accent3 3 2 6" xfId="5077" xr:uid="{00000000-0005-0000-0000-0000A5660000}"/>
    <cellStyle name="40% - Accent3 3 2 6 2" xfId="11536" xr:uid="{00000000-0005-0000-0000-0000A6660000}"/>
    <cellStyle name="40% - Accent3 3 2 6 2 2" xfId="24453" xr:uid="{00000000-0005-0000-0000-0000A7660000}"/>
    <cellStyle name="40% - Accent3 3 2 6 2 2 2" xfId="50327" xr:uid="{00000000-0005-0000-0000-0000A8660000}"/>
    <cellStyle name="40% - Accent3 3 2 6 2 3" xfId="37411" xr:uid="{00000000-0005-0000-0000-0000A9660000}"/>
    <cellStyle name="40% - Accent3 3 2 6 3" xfId="17995" xr:uid="{00000000-0005-0000-0000-0000AA660000}"/>
    <cellStyle name="40% - Accent3 3 2 6 3 2" xfId="43869" xr:uid="{00000000-0005-0000-0000-0000AB660000}"/>
    <cellStyle name="40% - Accent3 3 2 6 4" xfId="30953" xr:uid="{00000000-0005-0000-0000-0000AC660000}"/>
    <cellStyle name="40% - Accent3 3 2 7" xfId="8307" xr:uid="{00000000-0005-0000-0000-0000AD660000}"/>
    <cellStyle name="40% - Accent3 3 2 7 2" xfId="21224" xr:uid="{00000000-0005-0000-0000-0000AE660000}"/>
    <cellStyle name="40% - Accent3 3 2 7 2 2" xfId="47098" xr:uid="{00000000-0005-0000-0000-0000AF660000}"/>
    <cellStyle name="40% - Accent3 3 2 7 3" xfId="34182" xr:uid="{00000000-0005-0000-0000-0000B0660000}"/>
    <cellStyle name="40% - Accent3 3 2 8" xfId="14766" xr:uid="{00000000-0005-0000-0000-0000B1660000}"/>
    <cellStyle name="40% - Accent3 3 2 8 2" xfId="40640" xr:uid="{00000000-0005-0000-0000-0000B2660000}"/>
    <cellStyle name="40% - Accent3 3 2 9" xfId="27690" xr:uid="{00000000-0005-0000-0000-0000B3660000}"/>
    <cellStyle name="40% - Accent3 3 3" xfId="325" xr:uid="{00000000-0005-0000-0000-0000B4660000}"/>
    <cellStyle name="40% - Accent3 3 3 10" xfId="53521" xr:uid="{00000000-0005-0000-0000-0000B5660000}"/>
    <cellStyle name="40% - Accent3 3 3 11" xfId="1604" xr:uid="{00000000-0005-0000-0000-0000B6660000}"/>
    <cellStyle name="40% - Accent3 3 3 2" xfId="462" xr:uid="{00000000-0005-0000-0000-0000B7660000}"/>
    <cellStyle name="40% - Accent3 3 3 2 10" xfId="1930" xr:uid="{00000000-0005-0000-0000-0000B8660000}"/>
    <cellStyle name="40% - Accent3 3 3 2 2" xfId="714" xr:uid="{00000000-0005-0000-0000-0000B9660000}"/>
    <cellStyle name="40% - Accent3 3 3 2 2 2" xfId="3174" xr:uid="{00000000-0005-0000-0000-0000BA660000}"/>
    <cellStyle name="40% - Accent3 3 3 2 2 2 2" xfId="4831" xr:uid="{00000000-0005-0000-0000-0000BB660000}"/>
    <cellStyle name="40% - Accent3 3 3 2 2 2 2 2" xfId="8062" xr:uid="{00000000-0005-0000-0000-0000BC660000}"/>
    <cellStyle name="40% - Accent3 3 3 2 2 2 2 2 2" xfId="14521" xr:uid="{00000000-0005-0000-0000-0000BD660000}"/>
    <cellStyle name="40% - Accent3 3 3 2 2 2 2 2 2 2" xfId="27438" xr:uid="{00000000-0005-0000-0000-0000BE660000}"/>
    <cellStyle name="40% - Accent3 3 3 2 2 2 2 2 2 2 2" xfId="53312" xr:uid="{00000000-0005-0000-0000-0000BF660000}"/>
    <cellStyle name="40% - Accent3 3 3 2 2 2 2 2 2 3" xfId="40396" xr:uid="{00000000-0005-0000-0000-0000C0660000}"/>
    <cellStyle name="40% - Accent3 3 3 2 2 2 2 2 3" xfId="20980" xr:uid="{00000000-0005-0000-0000-0000C1660000}"/>
    <cellStyle name="40% - Accent3 3 3 2 2 2 2 2 3 2" xfId="46854" xr:uid="{00000000-0005-0000-0000-0000C2660000}"/>
    <cellStyle name="40% - Accent3 3 3 2 2 2 2 2 4" xfId="33938" xr:uid="{00000000-0005-0000-0000-0000C3660000}"/>
    <cellStyle name="40% - Accent3 3 3 2 2 2 2 3" xfId="11293" xr:uid="{00000000-0005-0000-0000-0000C4660000}"/>
    <cellStyle name="40% - Accent3 3 3 2 2 2 2 3 2" xfId="24210" xr:uid="{00000000-0005-0000-0000-0000C5660000}"/>
    <cellStyle name="40% - Accent3 3 3 2 2 2 2 3 2 2" xfId="50084" xr:uid="{00000000-0005-0000-0000-0000C6660000}"/>
    <cellStyle name="40% - Accent3 3 3 2 2 2 2 3 3" xfId="37168" xr:uid="{00000000-0005-0000-0000-0000C7660000}"/>
    <cellStyle name="40% - Accent3 3 3 2 2 2 2 4" xfId="17752" xr:uid="{00000000-0005-0000-0000-0000C8660000}"/>
    <cellStyle name="40% - Accent3 3 3 2 2 2 2 4 2" xfId="43626" xr:uid="{00000000-0005-0000-0000-0000C9660000}"/>
    <cellStyle name="40% - Accent3 3 3 2 2 2 2 5" xfId="30678" xr:uid="{00000000-0005-0000-0000-0000CA660000}"/>
    <cellStyle name="40% - Accent3 3 3 2 2 2 3" xfId="6448" xr:uid="{00000000-0005-0000-0000-0000CB660000}"/>
    <cellStyle name="40% - Accent3 3 3 2 2 2 3 2" xfId="12907" xr:uid="{00000000-0005-0000-0000-0000CC660000}"/>
    <cellStyle name="40% - Accent3 3 3 2 2 2 3 2 2" xfId="25824" xr:uid="{00000000-0005-0000-0000-0000CD660000}"/>
    <cellStyle name="40% - Accent3 3 3 2 2 2 3 2 2 2" xfId="51698" xr:uid="{00000000-0005-0000-0000-0000CE660000}"/>
    <cellStyle name="40% - Accent3 3 3 2 2 2 3 2 3" xfId="38782" xr:uid="{00000000-0005-0000-0000-0000CF660000}"/>
    <cellStyle name="40% - Accent3 3 3 2 2 2 3 3" xfId="19366" xr:uid="{00000000-0005-0000-0000-0000D0660000}"/>
    <cellStyle name="40% - Accent3 3 3 2 2 2 3 3 2" xfId="45240" xr:uid="{00000000-0005-0000-0000-0000D1660000}"/>
    <cellStyle name="40% - Accent3 3 3 2 2 2 3 4" xfId="32324" xr:uid="{00000000-0005-0000-0000-0000D2660000}"/>
    <cellStyle name="40% - Accent3 3 3 2 2 2 4" xfId="9679" xr:uid="{00000000-0005-0000-0000-0000D3660000}"/>
    <cellStyle name="40% - Accent3 3 3 2 2 2 4 2" xfId="22596" xr:uid="{00000000-0005-0000-0000-0000D4660000}"/>
    <cellStyle name="40% - Accent3 3 3 2 2 2 4 2 2" xfId="48470" xr:uid="{00000000-0005-0000-0000-0000D5660000}"/>
    <cellStyle name="40% - Accent3 3 3 2 2 2 4 3" xfId="35554" xr:uid="{00000000-0005-0000-0000-0000D6660000}"/>
    <cellStyle name="40% - Accent3 3 3 2 2 2 5" xfId="16138" xr:uid="{00000000-0005-0000-0000-0000D7660000}"/>
    <cellStyle name="40% - Accent3 3 3 2 2 2 5 2" xfId="42012" xr:uid="{00000000-0005-0000-0000-0000D8660000}"/>
    <cellStyle name="40% - Accent3 3 3 2 2 2 6" xfId="29064" xr:uid="{00000000-0005-0000-0000-0000D9660000}"/>
    <cellStyle name="40% - Accent3 3 3 2 2 3" xfId="4001" xr:uid="{00000000-0005-0000-0000-0000DA660000}"/>
    <cellStyle name="40% - Accent3 3 3 2 2 3 2" xfId="7255" xr:uid="{00000000-0005-0000-0000-0000DB660000}"/>
    <cellStyle name="40% - Accent3 3 3 2 2 3 2 2" xfId="13714" xr:uid="{00000000-0005-0000-0000-0000DC660000}"/>
    <cellStyle name="40% - Accent3 3 3 2 2 3 2 2 2" xfId="26631" xr:uid="{00000000-0005-0000-0000-0000DD660000}"/>
    <cellStyle name="40% - Accent3 3 3 2 2 3 2 2 2 2" xfId="52505" xr:uid="{00000000-0005-0000-0000-0000DE660000}"/>
    <cellStyle name="40% - Accent3 3 3 2 2 3 2 2 3" xfId="39589" xr:uid="{00000000-0005-0000-0000-0000DF660000}"/>
    <cellStyle name="40% - Accent3 3 3 2 2 3 2 3" xfId="20173" xr:uid="{00000000-0005-0000-0000-0000E0660000}"/>
    <cellStyle name="40% - Accent3 3 3 2 2 3 2 3 2" xfId="46047" xr:uid="{00000000-0005-0000-0000-0000E1660000}"/>
    <cellStyle name="40% - Accent3 3 3 2 2 3 2 4" xfId="33131" xr:uid="{00000000-0005-0000-0000-0000E2660000}"/>
    <cellStyle name="40% - Accent3 3 3 2 2 3 3" xfId="10486" xr:uid="{00000000-0005-0000-0000-0000E3660000}"/>
    <cellStyle name="40% - Accent3 3 3 2 2 3 3 2" xfId="23403" xr:uid="{00000000-0005-0000-0000-0000E4660000}"/>
    <cellStyle name="40% - Accent3 3 3 2 2 3 3 2 2" xfId="49277" xr:uid="{00000000-0005-0000-0000-0000E5660000}"/>
    <cellStyle name="40% - Accent3 3 3 2 2 3 3 3" xfId="36361" xr:uid="{00000000-0005-0000-0000-0000E6660000}"/>
    <cellStyle name="40% - Accent3 3 3 2 2 3 4" xfId="16945" xr:uid="{00000000-0005-0000-0000-0000E7660000}"/>
    <cellStyle name="40% - Accent3 3 3 2 2 3 4 2" xfId="42819" xr:uid="{00000000-0005-0000-0000-0000E8660000}"/>
    <cellStyle name="40% - Accent3 3 3 2 2 3 5" xfId="29871" xr:uid="{00000000-0005-0000-0000-0000E9660000}"/>
    <cellStyle name="40% - Accent3 3 3 2 2 4" xfId="5641" xr:uid="{00000000-0005-0000-0000-0000EA660000}"/>
    <cellStyle name="40% - Accent3 3 3 2 2 4 2" xfId="12100" xr:uid="{00000000-0005-0000-0000-0000EB660000}"/>
    <cellStyle name="40% - Accent3 3 3 2 2 4 2 2" xfId="25017" xr:uid="{00000000-0005-0000-0000-0000EC660000}"/>
    <cellStyle name="40% - Accent3 3 3 2 2 4 2 2 2" xfId="50891" xr:uid="{00000000-0005-0000-0000-0000ED660000}"/>
    <cellStyle name="40% - Accent3 3 3 2 2 4 2 3" xfId="37975" xr:uid="{00000000-0005-0000-0000-0000EE660000}"/>
    <cellStyle name="40% - Accent3 3 3 2 2 4 3" xfId="18559" xr:uid="{00000000-0005-0000-0000-0000EF660000}"/>
    <cellStyle name="40% - Accent3 3 3 2 2 4 3 2" xfId="44433" xr:uid="{00000000-0005-0000-0000-0000F0660000}"/>
    <cellStyle name="40% - Accent3 3 3 2 2 4 4" xfId="31517" xr:uid="{00000000-0005-0000-0000-0000F1660000}"/>
    <cellStyle name="40% - Accent3 3 3 2 2 5" xfId="8872" xr:uid="{00000000-0005-0000-0000-0000F2660000}"/>
    <cellStyle name="40% - Accent3 3 3 2 2 5 2" xfId="21789" xr:uid="{00000000-0005-0000-0000-0000F3660000}"/>
    <cellStyle name="40% - Accent3 3 3 2 2 5 2 2" xfId="47663" xr:uid="{00000000-0005-0000-0000-0000F4660000}"/>
    <cellStyle name="40% - Accent3 3 3 2 2 5 3" xfId="34747" xr:uid="{00000000-0005-0000-0000-0000F5660000}"/>
    <cellStyle name="40% - Accent3 3 3 2 2 6" xfId="15331" xr:uid="{00000000-0005-0000-0000-0000F6660000}"/>
    <cellStyle name="40% - Accent3 3 3 2 2 6 2" xfId="41205" xr:uid="{00000000-0005-0000-0000-0000F7660000}"/>
    <cellStyle name="40% - Accent3 3 3 2 2 7" xfId="28257" xr:uid="{00000000-0005-0000-0000-0000F8660000}"/>
    <cellStyle name="40% - Accent3 3 3 2 2 8" xfId="54119" xr:uid="{00000000-0005-0000-0000-0000F9660000}"/>
    <cellStyle name="40% - Accent3 3 3 2 2 9" xfId="2361" xr:uid="{00000000-0005-0000-0000-0000FA660000}"/>
    <cellStyle name="40% - Accent3 3 3 2 3" xfId="713" xr:uid="{00000000-0005-0000-0000-0000FB660000}"/>
    <cellStyle name="40% - Accent3 3 3 2 3 2" xfId="4427" xr:uid="{00000000-0005-0000-0000-0000FC660000}"/>
    <cellStyle name="40% - Accent3 3 3 2 3 2 2" xfId="7658" xr:uid="{00000000-0005-0000-0000-0000FD660000}"/>
    <cellStyle name="40% - Accent3 3 3 2 3 2 2 2" xfId="14117" xr:uid="{00000000-0005-0000-0000-0000FE660000}"/>
    <cellStyle name="40% - Accent3 3 3 2 3 2 2 2 2" xfId="27034" xr:uid="{00000000-0005-0000-0000-0000FF660000}"/>
    <cellStyle name="40% - Accent3 3 3 2 3 2 2 2 2 2" xfId="52908" xr:uid="{00000000-0005-0000-0000-000000670000}"/>
    <cellStyle name="40% - Accent3 3 3 2 3 2 2 2 3" xfId="39992" xr:uid="{00000000-0005-0000-0000-000001670000}"/>
    <cellStyle name="40% - Accent3 3 3 2 3 2 2 3" xfId="20576" xr:uid="{00000000-0005-0000-0000-000002670000}"/>
    <cellStyle name="40% - Accent3 3 3 2 3 2 2 3 2" xfId="46450" xr:uid="{00000000-0005-0000-0000-000003670000}"/>
    <cellStyle name="40% - Accent3 3 3 2 3 2 2 4" xfId="33534" xr:uid="{00000000-0005-0000-0000-000004670000}"/>
    <cellStyle name="40% - Accent3 3 3 2 3 2 3" xfId="10889" xr:uid="{00000000-0005-0000-0000-000005670000}"/>
    <cellStyle name="40% - Accent3 3 3 2 3 2 3 2" xfId="23806" xr:uid="{00000000-0005-0000-0000-000006670000}"/>
    <cellStyle name="40% - Accent3 3 3 2 3 2 3 2 2" xfId="49680" xr:uid="{00000000-0005-0000-0000-000007670000}"/>
    <cellStyle name="40% - Accent3 3 3 2 3 2 3 3" xfId="36764" xr:uid="{00000000-0005-0000-0000-000008670000}"/>
    <cellStyle name="40% - Accent3 3 3 2 3 2 4" xfId="17348" xr:uid="{00000000-0005-0000-0000-000009670000}"/>
    <cellStyle name="40% - Accent3 3 3 2 3 2 4 2" xfId="43222" xr:uid="{00000000-0005-0000-0000-00000A670000}"/>
    <cellStyle name="40% - Accent3 3 3 2 3 2 5" xfId="30274" xr:uid="{00000000-0005-0000-0000-00000B670000}"/>
    <cellStyle name="40% - Accent3 3 3 2 3 3" xfId="6044" xr:uid="{00000000-0005-0000-0000-00000C670000}"/>
    <cellStyle name="40% - Accent3 3 3 2 3 3 2" xfId="12503" xr:uid="{00000000-0005-0000-0000-00000D670000}"/>
    <cellStyle name="40% - Accent3 3 3 2 3 3 2 2" xfId="25420" xr:uid="{00000000-0005-0000-0000-00000E670000}"/>
    <cellStyle name="40% - Accent3 3 3 2 3 3 2 2 2" xfId="51294" xr:uid="{00000000-0005-0000-0000-00000F670000}"/>
    <cellStyle name="40% - Accent3 3 3 2 3 3 2 3" xfId="38378" xr:uid="{00000000-0005-0000-0000-000010670000}"/>
    <cellStyle name="40% - Accent3 3 3 2 3 3 3" xfId="18962" xr:uid="{00000000-0005-0000-0000-000011670000}"/>
    <cellStyle name="40% - Accent3 3 3 2 3 3 3 2" xfId="44836" xr:uid="{00000000-0005-0000-0000-000012670000}"/>
    <cellStyle name="40% - Accent3 3 3 2 3 3 4" xfId="31920" xr:uid="{00000000-0005-0000-0000-000013670000}"/>
    <cellStyle name="40% - Accent3 3 3 2 3 4" xfId="9275" xr:uid="{00000000-0005-0000-0000-000014670000}"/>
    <cellStyle name="40% - Accent3 3 3 2 3 4 2" xfId="22192" xr:uid="{00000000-0005-0000-0000-000015670000}"/>
    <cellStyle name="40% - Accent3 3 3 2 3 4 2 2" xfId="48066" xr:uid="{00000000-0005-0000-0000-000016670000}"/>
    <cellStyle name="40% - Accent3 3 3 2 3 4 3" xfId="35150" xr:uid="{00000000-0005-0000-0000-000017670000}"/>
    <cellStyle name="40% - Accent3 3 3 2 3 5" xfId="15734" xr:uid="{00000000-0005-0000-0000-000018670000}"/>
    <cellStyle name="40% - Accent3 3 3 2 3 5 2" xfId="41608" xr:uid="{00000000-0005-0000-0000-000019670000}"/>
    <cellStyle name="40% - Accent3 3 3 2 3 6" xfId="28660" xr:uid="{00000000-0005-0000-0000-00001A670000}"/>
    <cellStyle name="40% - Accent3 3 3 2 3 7" xfId="2770" xr:uid="{00000000-0005-0000-0000-00001B670000}"/>
    <cellStyle name="40% - Accent3 3 3 2 4" xfId="3597" xr:uid="{00000000-0005-0000-0000-00001C670000}"/>
    <cellStyle name="40% - Accent3 3 3 2 4 2" xfId="6851" xr:uid="{00000000-0005-0000-0000-00001D670000}"/>
    <cellStyle name="40% - Accent3 3 3 2 4 2 2" xfId="13310" xr:uid="{00000000-0005-0000-0000-00001E670000}"/>
    <cellStyle name="40% - Accent3 3 3 2 4 2 2 2" xfId="26227" xr:uid="{00000000-0005-0000-0000-00001F670000}"/>
    <cellStyle name="40% - Accent3 3 3 2 4 2 2 2 2" xfId="52101" xr:uid="{00000000-0005-0000-0000-000020670000}"/>
    <cellStyle name="40% - Accent3 3 3 2 4 2 2 3" xfId="39185" xr:uid="{00000000-0005-0000-0000-000021670000}"/>
    <cellStyle name="40% - Accent3 3 3 2 4 2 3" xfId="19769" xr:uid="{00000000-0005-0000-0000-000022670000}"/>
    <cellStyle name="40% - Accent3 3 3 2 4 2 3 2" xfId="45643" xr:uid="{00000000-0005-0000-0000-000023670000}"/>
    <cellStyle name="40% - Accent3 3 3 2 4 2 4" xfId="32727" xr:uid="{00000000-0005-0000-0000-000024670000}"/>
    <cellStyle name="40% - Accent3 3 3 2 4 3" xfId="10082" xr:uid="{00000000-0005-0000-0000-000025670000}"/>
    <cellStyle name="40% - Accent3 3 3 2 4 3 2" xfId="22999" xr:uid="{00000000-0005-0000-0000-000026670000}"/>
    <cellStyle name="40% - Accent3 3 3 2 4 3 2 2" xfId="48873" xr:uid="{00000000-0005-0000-0000-000027670000}"/>
    <cellStyle name="40% - Accent3 3 3 2 4 3 3" xfId="35957" xr:uid="{00000000-0005-0000-0000-000028670000}"/>
    <cellStyle name="40% - Accent3 3 3 2 4 4" xfId="16541" xr:uid="{00000000-0005-0000-0000-000029670000}"/>
    <cellStyle name="40% - Accent3 3 3 2 4 4 2" xfId="42415" xr:uid="{00000000-0005-0000-0000-00002A670000}"/>
    <cellStyle name="40% - Accent3 3 3 2 4 5" xfId="29467" xr:uid="{00000000-0005-0000-0000-00002B670000}"/>
    <cellStyle name="40% - Accent3 3 3 2 5" xfId="5237" xr:uid="{00000000-0005-0000-0000-00002C670000}"/>
    <cellStyle name="40% - Accent3 3 3 2 5 2" xfId="11696" xr:uid="{00000000-0005-0000-0000-00002D670000}"/>
    <cellStyle name="40% - Accent3 3 3 2 5 2 2" xfId="24613" xr:uid="{00000000-0005-0000-0000-00002E670000}"/>
    <cellStyle name="40% - Accent3 3 3 2 5 2 2 2" xfId="50487" xr:uid="{00000000-0005-0000-0000-00002F670000}"/>
    <cellStyle name="40% - Accent3 3 3 2 5 2 3" xfId="37571" xr:uid="{00000000-0005-0000-0000-000030670000}"/>
    <cellStyle name="40% - Accent3 3 3 2 5 3" xfId="18155" xr:uid="{00000000-0005-0000-0000-000031670000}"/>
    <cellStyle name="40% - Accent3 3 3 2 5 3 2" xfId="44029" xr:uid="{00000000-0005-0000-0000-000032670000}"/>
    <cellStyle name="40% - Accent3 3 3 2 5 4" xfId="31113" xr:uid="{00000000-0005-0000-0000-000033670000}"/>
    <cellStyle name="40% - Accent3 3 3 2 6" xfId="8468" xr:uid="{00000000-0005-0000-0000-000034670000}"/>
    <cellStyle name="40% - Accent3 3 3 2 6 2" xfId="21385" xr:uid="{00000000-0005-0000-0000-000035670000}"/>
    <cellStyle name="40% - Accent3 3 3 2 6 2 2" xfId="47259" xr:uid="{00000000-0005-0000-0000-000036670000}"/>
    <cellStyle name="40% - Accent3 3 3 2 6 3" xfId="34343" xr:uid="{00000000-0005-0000-0000-000037670000}"/>
    <cellStyle name="40% - Accent3 3 3 2 7" xfId="14927" xr:uid="{00000000-0005-0000-0000-000038670000}"/>
    <cellStyle name="40% - Accent3 3 3 2 7 2" xfId="40801" xr:uid="{00000000-0005-0000-0000-000039670000}"/>
    <cellStyle name="40% - Accent3 3 3 2 8" xfId="27852" xr:uid="{00000000-0005-0000-0000-00003A670000}"/>
    <cellStyle name="40% - Accent3 3 3 2 9" xfId="53715" xr:uid="{00000000-0005-0000-0000-00003B670000}"/>
    <cellStyle name="40% - Accent3 3 3 3" xfId="715" xr:uid="{00000000-0005-0000-0000-00003C670000}"/>
    <cellStyle name="40% - Accent3 3 3 3 2" xfId="2979" xr:uid="{00000000-0005-0000-0000-00003D670000}"/>
    <cellStyle name="40% - Accent3 3 3 3 2 2" xfId="4636" xr:uid="{00000000-0005-0000-0000-00003E670000}"/>
    <cellStyle name="40% - Accent3 3 3 3 2 2 2" xfId="7867" xr:uid="{00000000-0005-0000-0000-00003F670000}"/>
    <cellStyle name="40% - Accent3 3 3 3 2 2 2 2" xfId="14326" xr:uid="{00000000-0005-0000-0000-000040670000}"/>
    <cellStyle name="40% - Accent3 3 3 3 2 2 2 2 2" xfId="27243" xr:uid="{00000000-0005-0000-0000-000041670000}"/>
    <cellStyle name="40% - Accent3 3 3 3 2 2 2 2 2 2" xfId="53117" xr:uid="{00000000-0005-0000-0000-000042670000}"/>
    <cellStyle name="40% - Accent3 3 3 3 2 2 2 2 3" xfId="40201" xr:uid="{00000000-0005-0000-0000-000043670000}"/>
    <cellStyle name="40% - Accent3 3 3 3 2 2 2 3" xfId="20785" xr:uid="{00000000-0005-0000-0000-000044670000}"/>
    <cellStyle name="40% - Accent3 3 3 3 2 2 2 3 2" xfId="46659" xr:uid="{00000000-0005-0000-0000-000045670000}"/>
    <cellStyle name="40% - Accent3 3 3 3 2 2 2 4" xfId="33743" xr:uid="{00000000-0005-0000-0000-000046670000}"/>
    <cellStyle name="40% - Accent3 3 3 3 2 2 3" xfId="11098" xr:uid="{00000000-0005-0000-0000-000047670000}"/>
    <cellStyle name="40% - Accent3 3 3 3 2 2 3 2" xfId="24015" xr:uid="{00000000-0005-0000-0000-000048670000}"/>
    <cellStyle name="40% - Accent3 3 3 3 2 2 3 2 2" xfId="49889" xr:uid="{00000000-0005-0000-0000-000049670000}"/>
    <cellStyle name="40% - Accent3 3 3 3 2 2 3 3" xfId="36973" xr:uid="{00000000-0005-0000-0000-00004A670000}"/>
    <cellStyle name="40% - Accent3 3 3 3 2 2 4" xfId="17557" xr:uid="{00000000-0005-0000-0000-00004B670000}"/>
    <cellStyle name="40% - Accent3 3 3 3 2 2 4 2" xfId="43431" xr:uid="{00000000-0005-0000-0000-00004C670000}"/>
    <cellStyle name="40% - Accent3 3 3 3 2 2 5" xfId="30483" xr:uid="{00000000-0005-0000-0000-00004D670000}"/>
    <cellStyle name="40% - Accent3 3 3 3 2 3" xfId="6253" xr:uid="{00000000-0005-0000-0000-00004E670000}"/>
    <cellStyle name="40% - Accent3 3 3 3 2 3 2" xfId="12712" xr:uid="{00000000-0005-0000-0000-00004F670000}"/>
    <cellStyle name="40% - Accent3 3 3 3 2 3 2 2" xfId="25629" xr:uid="{00000000-0005-0000-0000-000050670000}"/>
    <cellStyle name="40% - Accent3 3 3 3 2 3 2 2 2" xfId="51503" xr:uid="{00000000-0005-0000-0000-000051670000}"/>
    <cellStyle name="40% - Accent3 3 3 3 2 3 2 3" xfId="38587" xr:uid="{00000000-0005-0000-0000-000052670000}"/>
    <cellStyle name="40% - Accent3 3 3 3 2 3 3" xfId="19171" xr:uid="{00000000-0005-0000-0000-000053670000}"/>
    <cellStyle name="40% - Accent3 3 3 3 2 3 3 2" xfId="45045" xr:uid="{00000000-0005-0000-0000-000054670000}"/>
    <cellStyle name="40% - Accent3 3 3 3 2 3 4" xfId="32129" xr:uid="{00000000-0005-0000-0000-000055670000}"/>
    <cellStyle name="40% - Accent3 3 3 3 2 4" xfId="9484" xr:uid="{00000000-0005-0000-0000-000056670000}"/>
    <cellStyle name="40% - Accent3 3 3 3 2 4 2" xfId="22401" xr:uid="{00000000-0005-0000-0000-000057670000}"/>
    <cellStyle name="40% - Accent3 3 3 3 2 4 2 2" xfId="48275" xr:uid="{00000000-0005-0000-0000-000058670000}"/>
    <cellStyle name="40% - Accent3 3 3 3 2 4 3" xfId="35359" xr:uid="{00000000-0005-0000-0000-000059670000}"/>
    <cellStyle name="40% - Accent3 3 3 3 2 5" xfId="15943" xr:uid="{00000000-0005-0000-0000-00005A670000}"/>
    <cellStyle name="40% - Accent3 3 3 3 2 5 2" xfId="41817" xr:uid="{00000000-0005-0000-0000-00005B670000}"/>
    <cellStyle name="40% - Accent3 3 3 3 2 6" xfId="28869" xr:uid="{00000000-0005-0000-0000-00005C670000}"/>
    <cellStyle name="40% - Accent3 3 3 3 3" xfId="3806" xr:uid="{00000000-0005-0000-0000-00005D670000}"/>
    <cellStyle name="40% - Accent3 3 3 3 3 2" xfId="7060" xr:uid="{00000000-0005-0000-0000-00005E670000}"/>
    <cellStyle name="40% - Accent3 3 3 3 3 2 2" xfId="13519" xr:uid="{00000000-0005-0000-0000-00005F670000}"/>
    <cellStyle name="40% - Accent3 3 3 3 3 2 2 2" xfId="26436" xr:uid="{00000000-0005-0000-0000-000060670000}"/>
    <cellStyle name="40% - Accent3 3 3 3 3 2 2 2 2" xfId="52310" xr:uid="{00000000-0005-0000-0000-000061670000}"/>
    <cellStyle name="40% - Accent3 3 3 3 3 2 2 3" xfId="39394" xr:uid="{00000000-0005-0000-0000-000062670000}"/>
    <cellStyle name="40% - Accent3 3 3 3 3 2 3" xfId="19978" xr:uid="{00000000-0005-0000-0000-000063670000}"/>
    <cellStyle name="40% - Accent3 3 3 3 3 2 3 2" xfId="45852" xr:uid="{00000000-0005-0000-0000-000064670000}"/>
    <cellStyle name="40% - Accent3 3 3 3 3 2 4" xfId="32936" xr:uid="{00000000-0005-0000-0000-000065670000}"/>
    <cellStyle name="40% - Accent3 3 3 3 3 3" xfId="10291" xr:uid="{00000000-0005-0000-0000-000066670000}"/>
    <cellStyle name="40% - Accent3 3 3 3 3 3 2" xfId="23208" xr:uid="{00000000-0005-0000-0000-000067670000}"/>
    <cellStyle name="40% - Accent3 3 3 3 3 3 2 2" xfId="49082" xr:uid="{00000000-0005-0000-0000-000068670000}"/>
    <cellStyle name="40% - Accent3 3 3 3 3 3 3" xfId="36166" xr:uid="{00000000-0005-0000-0000-000069670000}"/>
    <cellStyle name="40% - Accent3 3 3 3 3 4" xfId="16750" xr:uid="{00000000-0005-0000-0000-00006A670000}"/>
    <cellStyle name="40% - Accent3 3 3 3 3 4 2" xfId="42624" xr:uid="{00000000-0005-0000-0000-00006B670000}"/>
    <cellStyle name="40% - Accent3 3 3 3 3 5" xfId="29676" xr:uid="{00000000-0005-0000-0000-00006C670000}"/>
    <cellStyle name="40% - Accent3 3 3 3 4" xfId="5446" xr:uid="{00000000-0005-0000-0000-00006D670000}"/>
    <cellStyle name="40% - Accent3 3 3 3 4 2" xfId="11905" xr:uid="{00000000-0005-0000-0000-00006E670000}"/>
    <cellStyle name="40% - Accent3 3 3 3 4 2 2" xfId="24822" xr:uid="{00000000-0005-0000-0000-00006F670000}"/>
    <cellStyle name="40% - Accent3 3 3 3 4 2 2 2" xfId="50696" xr:uid="{00000000-0005-0000-0000-000070670000}"/>
    <cellStyle name="40% - Accent3 3 3 3 4 2 3" xfId="37780" xr:uid="{00000000-0005-0000-0000-000071670000}"/>
    <cellStyle name="40% - Accent3 3 3 3 4 3" xfId="18364" xr:uid="{00000000-0005-0000-0000-000072670000}"/>
    <cellStyle name="40% - Accent3 3 3 3 4 3 2" xfId="44238" xr:uid="{00000000-0005-0000-0000-000073670000}"/>
    <cellStyle name="40% - Accent3 3 3 3 4 4" xfId="31322" xr:uid="{00000000-0005-0000-0000-000074670000}"/>
    <cellStyle name="40% - Accent3 3 3 3 5" xfId="8677" xr:uid="{00000000-0005-0000-0000-000075670000}"/>
    <cellStyle name="40% - Accent3 3 3 3 5 2" xfId="21594" xr:uid="{00000000-0005-0000-0000-000076670000}"/>
    <cellStyle name="40% - Accent3 3 3 3 5 2 2" xfId="47468" xr:uid="{00000000-0005-0000-0000-000077670000}"/>
    <cellStyle name="40% - Accent3 3 3 3 5 3" xfId="34552" xr:uid="{00000000-0005-0000-0000-000078670000}"/>
    <cellStyle name="40% - Accent3 3 3 3 6" xfId="15136" xr:uid="{00000000-0005-0000-0000-000079670000}"/>
    <cellStyle name="40% - Accent3 3 3 3 6 2" xfId="41010" xr:uid="{00000000-0005-0000-0000-00007A670000}"/>
    <cellStyle name="40% - Accent3 3 3 3 7" xfId="28062" xr:uid="{00000000-0005-0000-0000-00007B670000}"/>
    <cellStyle name="40% - Accent3 3 3 3 8" xfId="53924" xr:uid="{00000000-0005-0000-0000-00007C670000}"/>
    <cellStyle name="40% - Accent3 3 3 3 9" xfId="2165" xr:uid="{00000000-0005-0000-0000-00007D670000}"/>
    <cellStyle name="40% - Accent3 3 3 4" xfId="712" xr:uid="{00000000-0005-0000-0000-00007E670000}"/>
    <cellStyle name="40% - Accent3 3 3 4 2" xfId="4233" xr:uid="{00000000-0005-0000-0000-00007F670000}"/>
    <cellStyle name="40% - Accent3 3 3 4 2 2" xfId="7464" xr:uid="{00000000-0005-0000-0000-000080670000}"/>
    <cellStyle name="40% - Accent3 3 3 4 2 2 2" xfId="13923" xr:uid="{00000000-0005-0000-0000-000081670000}"/>
    <cellStyle name="40% - Accent3 3 3 4 2 2 2 2" xfId="26840" xr:uid="{00000000-0005-0000-0000-000082670000}"/>
    <cellStyle name="40% - Accent3 3 3 4 2 2 2 2 2" xfId="52714" xr:uid="{00000000-0005-0000-0000-000083670000}"/>
    <cellStyle name="40% - Accent3 3 3 4 2 2 2 3" xfId="39798" xr:uid="{00000000-0005-0000-0000-000084670000}"/>
    <cellStyle name="40% - Accent3 3 3 4 2 2 3" xfId="20382" xr:uid="{00000000-0005-0000-0000-000085670000}"/>
    <cellStyle name="40% - Accent3 3 3 4 2 2 3 2" xfId="46256" xr:uid="{00000000-0005-0000-0000-000086670000}"/>
    <cellStyle name="40% - Accent3 3 3 4 2 2 4" xfId="33340" xr:uid="{00000000-0005-0000-0000-000087670000}"/>
    <cellStyle name="40% - Accent3 3 3 4 2 3" xfId="10695" xr:uid="{00000000-0005-0000-0000-000088670000}"/>
    <cellStyle name="40% - Accent3 3 3 4 2 3 2" xfId="23612" xr:uid="{00000000-0005-0000-0000-000089670000}"/>
    <cellStyle name="40% - Accent3 3 3 4 2 3 2 2" xfId="49486" xr:uid="{00000000-0005-0000-0000-00008A670000}"/>
    <cellStyle name="40% - Accent3 3 3 4 2 3 3" xfId="36570" xr:uid="{00000000-0005-0000-0000-00008B670000}"/>
    <cellStyle name="40% - Accent3 3 3 4 2 4" xfId="17154" xr:uid="{00000000-0005-0000-0000-00008C670000}"/>
    <cellStyle name="40% - Accent3 3 3 4 2 4 2" xfId="43028" xr:uid="{00000000-0005-0000-0000-00008D670000}"/>
    <cellStyle name="40% - Accent3 3 3 4 2 5" xfId="30080" xr:uid="{00000000-0005-0000-0000-00008E670000}"/>
    <cellStyle name="40% - Accent3 3 3 4 3" xfId="5850" xr:uid="{00000000-0005-0000-0000-00008F670000}"/>
    <cellStyle name="40% - Accent3 3 3 4 3 2" xfId="12309" xr:uid="{00000000-0005-0000-0000-000090670000}"/>
    <cellStyle name="40% - Accent3 3 3 4 3 2 2" xfId="25226" xr:uid="{00000000-0005-0000-0000-000091670000}"/>
    <cellStyle name="40% - Accent3 3 3 4 3 2 2 2" xfId="51100" xr:uid="{00000000-0005-0000-0000-000092670000}"/>
    <cellStyle name="40% - Accent3 3 3 4 3 2 3" xfId="38184" xr:uid="{00000000-0005-0000-0000-000093670000}"/>
    <cellStyle name="40% - Accent3 3 3 4 3 3" xfId="18768" xr:uid="{00000000-0005-0000-0000-000094670000}"/>
    <cellStyle name="40% - Accent3 3 3 4 3 3 2" xfId="44642" xr:uid="{00000000-0005-0000-0000-000095670000}"/>
    <cellStyle name="40% - Accent3 3 3 4 3 4" xfId="31726" xr:uid="{00000000-0005-0000-0000-000096670000}"/>
    <cellStyle name="40% - Accent3 3 3 4 4" xfId="9081" xr:uid="{00000000-0005-0000-0000-000097670000}"/>
    <cellStyle name="40% - Accent3 3 3 4 4 2" xfId="21998" xr:uid="{00000000-0005-0000-0000-000098670000}"/>
    <cellStyle name="40% - Accent3 3 3 4 4 2 2" xfId="47872" xr:uid="{00000000-0005-0000-0000-000099670000}"/>
    <cellStyle name="40% - Accent3 3 3 4 4 3" xfId="34956" xr:uid="{00000000-0005-0000-0000-00009A670000}"/>
    <cellStyle name="40% - Accent3 3 3 4 5" xfId="15540" xr:uid="{00000000-0005-0000-0000-00009B670000}"/>
    <cellStyle name="40% - Accent3 3 3 4 5 2" xfId="41414" xr:uid="{00000000-0005-0000-0000-00009C670000}"/>
    <cellStyle name="40% - Accent3 3 3 4 6" xfId="28466" xr:uid="{00000000-0005-0000-0000-00009D670000}"/>
    <cellStyle name="40% - Accent3 3 3 4 7" xfId="2576" xr:uid="{00000000-0005-0000-0000-00009E670000}"/>
    <cellStyle name="40% - Accent3 3 3 5" xfId="3402" xr:uid="{00000000-0005-0000-0000-00009F670000}"/>
    <cellStyle name="40% - Accent3 3 3 5 2" xfId="6657" xr:uid="{00000000-0005-0000-0000-0000A0670000}"/>
    <cellStyle name="40% - Accent3 3 3 5 2 2" xfId="13116" xr:uid="{00000000-0005-0000-0000-0000A1670000}"/>
    <cellStyle name="40% - Accent3 3 3 5 2 2 2" xfId="26033" xr:uid="{00000000-0005-0000-0000-0000A2670000}"/>
    <cellStyle name="40% - Accent3 3 3 5 2 2 2 2" xfId="51907" xr:uid="{00000000-0005-0000-0000-0000A3670000}"/>
    <cellStyle name="40% - Accent3 3 3 5 2 2 3" xfId="38991" xr:uid="{00000000-0005-0000-0000-0000A4670000}"/>
    <cellStyle name="40% - Accent3 3 3 5 2 3" xfId="19575" xr:uid="{00000000-0005-0000-0000-0000A5670000}"/>
    <cellStyle name="40% - Accent3 3 3 5 2 3 2" xfId="45449" xr:uid="{00000000-0005-0000-0000-0000A6670000}"/>
    <cellStyle name="40% - Accent3 3 3 5 2 4" xfId="32533" xr:uid="{00000000-0005-0000-0000-0000A7670000}"/>
    <cellStyle name="40% - Accent3 3 3 5 3" xfId="9888" xr:uid="{00000000-0005-0000-0000-0000A8670000}"/>
    <cellStyle name="40% - Accent3 3 3 5 3 2" xfId="22805" xr:uid="{00000000-0005-0000-0000-0000A9670000}"/>
    <cellStyle name="40% - Accent3 3 3 5 3 2 2" xfId="48679" xr:uid="{00000000-0005-0000-0000-0000AA670000}"/>
    <cellStyle name="40% - Accent3 3 3 5 3 3" xfId="35763" xr:uid="{00000000-0005-0000-0000-0000AB670000}"/>
    <cellStyle name="40% - Accent3 3 3 5 4" xfId="16347" xr:uid="{00000000-0005-0000-0000-0000AC670000}"/>
    <cellStyle name="40% - Accent3 3 3 5 4 2" xfId="42221" xr:uid="{00000000-0005-0000-0000-0000AD670000}"/>
    <cellStyle name="40% - Accent3 3 3 5 5" xfId="29273" xr:uid="{00000000-0005-0000-0000-0000AE670000}"/>
    <cellStyle name="40% - Accent3 3 3 6" xfId="5043" xr:uid="{00000000-0005-0000-0000-0000AF670000}"/>
    <cellStyle name="40% - Accent3 3 3 6 2" xfId="11502" xr:uid="{00000000-0005-0000-0000-0000B0670000}"/>
    <cellStyle name="40% - Accent3 3 3 6 2 2" xfId="24419" xr:uid="{00000000-0005-0000-0000-0000B1670000}"/>
    <cellStyle name="40% - Accent3 3 3 6 2 2 2" xfId="50293" xr:uid="{00000000-0005-0000-0000-0000B2670000}"/>
    <cellStyle name="40% - Accent3 3 3 6 2 3" xfId="37377" xr:uid="{00000000-0005-0000-0000-0000B3670000}"/>
    <cellStyle name="40% - Accent3 3 3 6 3" xfId="17961" xr:uid="{00000000-0005-0000-0000-0000B4670000}"/>
    <cellStyle name="40% - Accent3 3 3 6 3 2" xfId="43835" xr:uid="{00000000-0005-0000-0000-0000B5670000}"/>
    <cellStyle name="40% - Accent3 3 3 6 4" xfId="30919" xr:uid="{00000000-0005-0000-0000-0000B6670000}"/>
    <cellStyle name="40% - Accent3 3 3 7" xfId="8273" xr:uid="{00000000-0005-0000-0000-0000B7670000}"/>
    <cellStyle name="40% - Accent3 3 3 7 2" xfId="21190" xr:uid="{00000000-0005-0000-0000-0000B8670000}"/>
    <cellStyle name="40% - Accent3 3 3 7 2 2" xfId="47064" xr:uid="{00000000-0005-0000-0000-0000B9670000}"/>
    <cellStyle name="40% - Accent3 3 3 7 3" xfId="34148" xr:uid="{00000000-0005-0000-0000-0000BA670000}"/>
    <cellStyle name="40% - Accent3 3 3 8" xfId="14732" xr:uid="{00000000-0005-0000-0000-0000BB670000}"/>
    <cellStyle name="40% - Accent3 3 3 8 2" xfId="40606" xr:uid="{00000000-0005-0000-0000-0000BC670000}"/>
    <cellStyle name="40% - Accent3 3 3 9" xfId="27656" xr:uid="{00000000-0005-0000-0000-0000BD670000}"/>
    <cellStyle name="40% - Accent3 3 4" xfId="222" xr:uid="{00000000-0005-0000-0000-0000BE670000}"/>
    <cellStyle name="40% - Accent3 3 4 2" xfId="413" xr:uid="{00000000-0005-0000-0000-0000BF670000}"/>
    <cellStyle name="40% - Accent3 3 4 2 2" xfId="718" xr:uid="{00000000-0005-0000-0000-0000C0670000}"/>
    <cellStyle name="40% - Accent3 3 4 2 3" xfId="717" xr:uid="{00000000-0005-0000-0000-0000C1670000}"/>
    <cellStyle name="40% - Accent3 3 4 3" xfId="719" xr:uid="{00000000-0005-0000-0000-0000C2670000}"/>
    <cellStyle name="40% - Accent3 3 4 4" xfId="716" xr:uid="{00000000-0005-0000-0000-0000C3670000}"/>
    <cellStyle name="40% - Accent3 3 4 5" xfId="1679" xr:uid="{00000000-0005-0000-0000-0000C4670000}"/>
    <cellStyle name="40% - Accent3 3 5" xfId="381" xr:uid="{00000000-0005-0000-0000-0000C5670000}"/>
    <cellStyle name="40% - Accent3 3 5 10" xfId="53503" xr:uid="{00000000-0005-0000-0000-0000C6670000}"/>
    <cellStyle name="40% - Accent3 3 5 11" xfId="1576" xr:uid="{00000000-0005-0000-0000-0000C7670000}"/>
    <cellStyle name="40% - Accent3 3 5 2" xfId="721" xr:uid="{00000000-0005-0000-0000-0000C8670000}"/>
    <cellStyle name="40% - Accent3 3 5 2 10" xfId="1912" xr:uid="{00000000-0005-0000-0000-0000C9670000}"/>
    <cellStyle name="40% - Accent3 3 5 2 2" xfId="2343" xr:uid="{00000000-0005-0000-0000-0000CA670000}"/>
    <cellStyle name="40% - Accent3 3 5 2 2 2" xfId="3156" xr:uid="{00000000-0005-0000-0000-0000CB670000}"/>
    <cellStyle name="40% - Accent3 3 5 2 2 2 2" xfId="4813" xr:uid="{00000000-0005-0000-0000-0000CC670000}"/>
    <cellStyle name="40% - Accent3 3 5 2 2 2 2 2" xfId="8044" xr:uid="{00000000-0005-0000-0000-0000CD670000}"/>
    <cellStyle name="40% - Accent3 3 5 2 2 2 2 2 2" xfId="14503" xr:uid="{00000000-0005-0000-0000-0000CE670000}"/>
    <cellStyle name="40% - Accent3 3 5 2 2 2 2 2 2 2" xfId="27420" xr:uid="{00000000-0005-0000-0000-0000CF670000}"/>
    <cellStyle name="40% - Accent3 3 5 2 2 2 2 2 2 2 2" xfId="53294" xr:uid="{00000000-0005-0000-0000-0000D0670000}"/>
    <cellStyle name="40% - Accent3 3 5 2 2 2 2 2 2 3" xfId="40378" xr:uid="{00000000-0005-0000-0000-0000D1670000}"/>
    <cellStyle name="40% - Accent3 3 5 2 2 2 2 2 3" xfId="20962" xr:uid="{00000000-0005-0000-0000-0000D2670000}"/>
    <cellStyle name="40% - Accent3 3 5 2 2 2 2 2 3 2" xfId="46836" xr:uid="{00000000-0005-0000-0000-0000D3670000}"/>
    <cellStyle name="40% - Accent3 3 5 2 2 2 2 2 4" xfId="33920" xr:uid="{00000000-0005-0000-0000-0000D4670000}"/>
    <cellStyle name="40% - Accent3 3 5 2 2 2 2 3" xfId="11275" xr:uid="{00000000-0005-0000-0000-0000D5670000}"/>
    <cellStyle name="40% - Accent3 3 5 2 2 2 2 3 2" xfId="24192" xr:uid="{00000000-0005-0000-0000-0000D6670000}"/>
    <cellStyle name="40% - Accent3 3 5 2 2 2 2 3 2 2" xfId="50066" xr:uid="{00000000-0005-0000-0000-0000D7670000}"/>
    <cellStyle name="40% - Accent3 3 5 2 2 2 2 3 3" xfId="37150" xr:uid="{00000000-0005-0000-0000-0000D8670000}"/>
    <cellStyle name="40% - Accent3 3 5 2 2 2 2 4" xfId="17734" xr:uid="{00000000-0005-0000-0000-0000D9670000}"/>
    <cellStyle name="40% - Accent3 3 5 2 2 2 2 4 2" xfId="43608" xr:uid="{00000000-0005-0000-0000-0000DA670000}"/>
    <cellStyle name="40% - Accent3 3 5 2 2 2 2 5" xfId="30660" xr:uid="{00000000-0005-0000-0000-0000DB670000}"/>
    <cellStyle name="40% - Accent3 3 5 2 2 2 3" xfId="6430" xr:uid="{00000000-0005-0000-0000-0000DC670000}"/>
    <cellStyle name="40% - Accent3 3 5 2 2 2 3 2" xfId="12889" xr:uid="{00000000-0005-0000-0000-0000DD670000}"/>
    <cellStyle name="40% - Accent3 3 5 2 2 2 3 2 2" xfId="25806" xr:uid="{00000000-0005-0000-0000-0000DE670000}"/>
    <cellStyle name="40% - Accent3 3 5 2 2 2 3 2 2 2" xfId="51680" xr:uid="{00000000-0005-0000-0000-0000DF670000}"/>
    <cellStyle name="40% - Accent3 3 5 2 2 2 3 2 3" xfId="38764" xr:uid="{00000000-0005-0000-0000-0000E0670000}"/>
    <cellStyle name="40% - Accent3 3 5 2 2 2 3 3" xfId="19348" xr:uid="{00000000-0005-0000-0000-0000E1670000}"/>
    <cellStyle name="40% - Accent3 3 5 2 2 2 3 3 2" xfId="45222" xr:uid="{00000000-0005-0000-0000-0000E2670000}"/>
    <cellStyle name="40% - Accent3 3 5 2 2 2 3 4" xfId="32306" xr:uid="{00000000-0005-0000-0000-0000E3670000}"/>
    <cellStyle name="40% - Accent3 3 5 2 2 2 4" xfId="9661" xr:uid="{00000000-0005-0000-0000-0000E4670000}"/>
    <cellStyle name="40% - Accent3 3 5 2 2 2 4 2" xfId="22578" xr:uid="{00000000-0005-0000-0000-0000E5670000}"/>
    <cellStyle name="40% - Accent3 3 5 2 2 2 4 2 2" xfId="48452" xr:uid="{00000000-0005-0000-0000-0000E6670000}"/>
    <cellStyle name="40% - Accent3 3 5 2 2 2 4 3" xfId="35536" xr:uid="{00000000-0005-0000-0000-0000E7670000}"/>
    <cellStyle name="40% - Accent3 3 5 2 2 2 5" xfId="16120" xr:uid="{00000000-0005-0000-0000-0000E8670000}"/>
    <cellStyle name="40% - Accent3 3 5 2 2 2 5 2" xfId="41994" xr:uid="{00000000-0005-0000-0000-0000E9670000}"/>
    <cellStyle name="40% - Accent3 3 5 2 2 2 6" xfId="29046" xr:uid="{00000000-0005-0000-0000-0000EA670000}"/>
    <cellStyle name="40% - Accent3 3 5 2 2 3" xfId="3983" xr:uid="{00000000-0005-0000-0000-0000EB670000}"/>
    <cellStyle name="40% - Accent3 3 5 2 2 3 2" xfId="7237" xr:uid="{00000000-0005-0000-0000-0000EC670000}"/>
    <cellStyle name="40% - Accent3 3 5 2 2 3 2 2" xfId="13696" xr:uid="{00000000-0005-0000-0000-0000ED670000}"/>
    <cellStyle name="40% - Accent3 3 5 2 2 3 2 2 2" xfId="26613" xr:uid="{00000000-0005-0000-0000-0000EE670000}"/>
    <cellStyle name="40% - Accent3 3 5 2 2 3 2 2 2 2" xfId="52487" xr:uid="{00000000-0005-0000-0000-0000EF670000}"/>
    <cellStyle name="40% - Accent3 3 5 2 2 3 2 2 3" xfId="39571" xr:uid="{00000000-0005-0000-0000-0000F0670000}"/>
    <cellStyle name="40% - Accent3 3 5 2 2 3 2 3" xfId="20155" xr:uid="{00000000-0005-0000-0000-0000F1670000}"/>
    <cellStyle name="40% - Accent3 3 5 2 2 3 2 3 2" xfId="46029" xr:uid="{00000000-0005-0000-0000-0000F2670000}"/>
    <cellStyle name="40% - Accent3 3 5 2 2 3 2 4" xfId="33113" xr:uid="{00000000-0005-0000-0000-0000F3670000}"/>
    <cellStyle name="40% - Accent3 3 5 2 2 3 3" xfId="10468" xr:uid="{00000000-0005-0000-0000-0000F4670000}"/>
    <cellStyle name="40% - Accent3 3 5 2 2 3 3 2" xfId="23385" xr:uid="{00000000-0005-0000-0000-0000F5670000}"/>
    <cellStyle name="40% - Accent3 3 5 2 2 3 3 2 2" xfId="49259" xr:uid="{00000000-0005-0000-0000-0000F6670000}"/>
    <cellStyle name="40% - Accent3 3 5 2 2 3 3 3" xfId="36343" xr:uid="{00000000-0005-0000-0000-0000F7670000}"/>
    <cellStyle name="40% - Accent3 3 5 2 2 3 4" xfId="16927" xr:uid="{00000000-0005-0000-0000-0000F8670000}"/>
    <cellStyle name="40% - Accent3 3 5 2 2 3 4 2" xfId="42801" xr:uid="{00000000-0005-0000-0000-0000F9670000}"/>
    <cellStyle name="40% - Accent3 3 5 2 2 3 5" xfId="29853" xr:uid="{00000000-0005-0000-0000-0000FA670000}"/>
    <cellStyle name="40% - Accent3 3 5 2 2 4" xfId="5623" xr:uid="{00000000-0005-0000-0000-0000FB670000}"/>
    <cellStyle name="40% - Accent3 3 5 2 2 4 2" xfId="12082" xr:uid="{00000000-0005-0000-0000-0000FC670000}"/>
    <cellStyle name="40% - Accent3 3 5 2 2 4 2 2" xfId="24999" xr:uid="{00000000-0005-0000-0000-0000FD670000}"/>
    <cellStyle name="40% - Accent3 3 5 2 2 4 2 2 2" xfId="50873" xr:uid="{00000000-0005-0000-0000-0000FE670000}"/>
    <cellStyle name="40% - Accent3 3 5 2 2 4 2 3" xfId="37957" xr:uid="{00000000-0005-0000-0000-0000FF670000}"/>
    <cellStyle name="40% - Accent3 3 5 2 2 4 3" xfId="18541" xr:uid="{00000000-0005-0000-0000-000000680000}"/>
    <cellStyle name="40% - Accent3 3 5 2 2 4 3 2" xfId="44415" xr:uid="{00000000-0005-0000-0000-000001680000}"/>
    <cellStyle name="40% - Accent3 3 5 2 2 4 4" xfId="31499" xr:uid="{00000000-0005-0000-0000-000002680000}"/>
    <cellStyle name="40% - Accent3 3 5 2 2 5" xfId="8854" xr:uid="{00000000-0005-0000-0000-000003680000}"/>
    <cellStyle name="40% - Accent3 3 5 2 2 5 2" xfId="21771" xr:uid="{00000000-0005-0000-0000-000004680000}"/>
    <cellStyle name="40% - Accent3 3 5 2 2 5 2 2" xfId="47645" xr:uid="{00000000-0005-0000-0000-000005680000}"/>
    <cellStyle name="40% - Accent3 3 5 2 2 5 3" xfId="34729" xr:uid="{00000000-0005-0000-0000-000006680000}"/>
    <cellStyle name="40% - Accent3 3 5 2 2 6" xfId="15313" xr:uid="{00000000-0005-0000-0000-000007680000}"/>
    <cellStyle name="40% - Accent3 3 5 2 2 6 2" xfId="41187" xr:uid="{00000000-0005-0000-0000-000008680000}"/>
    <cellStyle name="40% - Accent3 3 5 2 2 7" xfId="28239" xr:uid="{00000000-0005-0000-0000-000009680000}"/>
    <cellStyle name="40% - Accent3 3 5 2 2 8" xfId="54101" xr:uid="{00000000-0005-0000-0000-00000A680000}"/>
    <cellStyle name="40% - Accent3 3 5 2 3" xfId="2752" xr:uid="{00000000-0005-0000-0000-00000B680000}"/>
    <cellStyle name="40% - Accent3 3 5 2 3 2" xfId="4409" xr:uid="{00000000-0005-0000-0000-00000C680000}"/>
    <cellStyle name="40% - Accent3 3 5 2 3 2 2" xfId="7640" xr:uid="{00000000-0005-0000-0000-00000D680000}"/>
    <cellStyle name="40% - Accent3 3 5 2 3 2 2 2" xfId="14099" xr:uid="{00000000-0005-0000-0000-00000E680000}"/>
    <cellStyle name="40% - Accent3 3 5 2 3 2 2 2 2" xfId="27016" xr:uid="{00000000-0005-0000-0000-00000F680000}"/>
    <cellStyle name="40% - Accent3 3 5 2 3 2 2 2 2 2" xfId="52890" xr:uid="{00000000-0005-0000-0000-000010680000}"/>
    <cellStyle name="40% - Accent3 3 5 2 3 2 2 2 3" xfId="39974" xr:uid="{00000000-0005-0000-0000-000011680000}"/>
    <cellStyle name="40% - Accent3 3 5 2 3 2 2 3" xfId="20558" xr:uid="{00000000-0005-0000-0000-000012680000}"/>
    <cellStyle name="40% - Accent3 3 5 2 3 2 2 3 2" xfId="46432" xr:uid="{00000000-0005-0000-0000-000013680000}"/>
    <cellStyle name="40% - Accent3 3 5 2 3 2 2 4" xfId="33516" xr:uid="{00000000-0005-0000-0000-000014680000}"/>
    <cellStyle name="40% - Accent3 3 5 2 3 2 3" xfId="10871" xr:uid="{00000000-0005-0000-0000-000015680000}"/>
    <cellStyle name="40% - Accent3 3 5 2 3 2 3 2" xfId="23788" xr:uid="{00000000-0005-0000-0000-000016680000}"/>
    <cellStyle name="40% - Accent3 3 5 2 3 2 3 2 2" xfId="49662" xr:uid="{00000000-0005-0000-0000-000017680000}"/>
    <cellStyle name="40% - Accent3 3 5 2 3 2 3 3" xfId="36746" xr:uid="{00000000-0005-0000-0000-000018680000}"/>
    <cellStyle name="40% - Accent3 3 5 2 3 2 4" xfId="17330" xr:uid="{00000000-0005-0000-0000-000019680000}"/>
    <cellStyle name="40% - Accent3 3 5 2 3 2 4 2" xfId="43204" xr:uid="{00000000-0005-0000-0000-00001A680000}"/>
    <cellStyle name="40% - Accent3 3 5 2 3 2 5" xfId="30256" xr:uid="{00000000-0005-0000-0000-00001B680000}"/>
    <cellStyle name="40% - Accent3 3 5 2 3 3" xfId="6026" xr:uid="{00000000-0005-0000-0000-00001C680000}"/>
    <cellStyle name="40% - Accent3 3 5 2 3 3 2" xfId="12485" xr:uid="{00000000-0005-0000-0000-00001D680000}"/>
    <cellStyle name="40% - Accent3 3 5 2 3 3 2 2" xfId="25402" xr:uid="{00000000-0005-0000-0000-00001E680000}"/>
    <cellStyle name="40% - Accent3 3 5 2 3 3 2 2 2" xfId="51276" xr:uid="{00000000-0005-0000-0000-00001F680000}"/>
    <cellStyle name="40% - Accent3 3 5 2 3 3 2 3" xfId="38360" xr:uid="{00000000-0005-0000-0000-000020680000}"/>
    <cellStyle name="40% - Accent3 3 5 2 3 3 3" xfId="18944" xr:uid="{00000000-0005-0000-0000-000021680000}"/>
    <cellStyle name="40% - Accent3 3 5 2 3 3 3 2" xfId="44818" xr:uid="{00000000-0005-0000-0000-000022680000}"/>
    <cellStyle name="40% - Accent3 3 5 2 3 3 4" xfId="31902" xr:uid="{00000000-0005-0000-0000-000023680000}"/>
    <cellStyle name="40% - Accent3 3 5 2 3 4" xfId="9257" xr:uid="{00000000-0005-0000-0000-000024680000}"/>
    <cellStyle name="40% - Accent3 3 5 2 3 4 2" xfId="22174" xr:uid="{00000000-0005-0000-0000-000025680000}"/>
    <cellStyle name="40% - Accent3 3 5 2 3 4 2 2" xfId="48048" xr:uid="{00000000-0005-0000-0000-000026680000}"/>
    <cellStyle name="40% - Accent3 3 5 2 3 4 3" xfId="35132" xr:uid="{00000000-0005-0000-0000-000027680000}"/>
    <cellStyle name="40% - Accent3 3 5 2 3 5" xfId="15716" xr:uid="{00000000-0005-0000-0000-000028680000}"/>
    <cellStyle name="40% - Accent3 3 5 2 3 5 2" xfId="41590" xr:uid="{00000000-0005-0000-0000-000029680000}"/>
    <cellStyle name="40% - Accent3 3 5 2 3 6" xfId="28642" xr:uid="{00000000-0005-0000-0000-00002A680000}"/>
    <cellStyle name="40% - Accent3 3 5 2 4" xfId="3579" xr:uid="{00000000-0005-0000-0000-00002B680000}"/>
    <cellStyle name="40% - Accent3 3 5 2 4 2" xfId="6833" xr:uid="{00000000-0005-0000-0000-00002C680000}"/>
    <cellStyle name="40% - Accent3 3 5 2 4 2 2" xfId="13292" xr:uid="{00000000-0005-0000-0000-00002D680000}"/>
    <cellStyle name="40% - Accent3 3 5 2 4 2 2 2" xfId="26209" xr:uid="{00000000-0005-0000-0000-00002E680000}"/>
    <cellStyle name="40% - Accent3 3 5 2 4 2 2 2 2" xfId="52083" xr:uid="{00000000-0005-0000-0000-00002F680000}"/>
    <cellStyle name="40% - Accent3 3 5 2 4 2 2 3" xfId="39167" xr:uid="{00000000-0005-0000-0000-000030680000}"/>
    <cellStyle name="40% - Accent3 3 5 2 4 2 3" xfId="19751" xr:uid="{00000000-0005-0000-0000-000031680000}"/>
    <cellStyle name="40% - Accent3 3 5 2 4 2 3 2" xfId="45625" xr:uid="{00000000-0005-0000-0000-000032680000}"/>
    <cellStyle name="40% - Accent3 3 5 2 4 2 4" xfId="32709" xr:uid="{00000000-0005-0000-0000-000033680000}"/>
    <cellStyle name="40% - Accent3 3 5 2 4 3" xfId="10064" xr:uid="{00000000-0005-0000-0000-000034680000}"/>
    <cellStyle name="40% - Accent3 3 5 2 4 3 2" xfId="22981" xr:uid="{00000000-0005-0000-0000-000035680000}"/>
    <cellStyle name="40% - Accent3 3 5 2 4 3 2 2" xfId="48855" xr:uid="{00000000-0005-0000-0000-000036680000}"/>
    <cellStyle name="40% - Accent3 3 5 2 4 3 3" xfId="35939" xr:uid="{00000000-0005-0000-0000-000037680000}"/>
    <cellStyle name="40% - Accent3 3 5 2 4 4" xfId="16523" xr:uid="{00000000-0005-0000-0000-000038680000}"/>
    <cellStyle name="40% - Accent3 3 5 2 4 4 2" xfId="42397" xr:uid="{00000000-0005-0000-0000-000039680000}"/>
    <cellStyle name="40% - Accent3 3 5 2 4 5" xfId="29449" xr:uid="{00000000-0005-0000-0000-00003A680000}"/>
    <cellStyle name="40% - Accent3 3 5 2 5" xfId="5219" xr:uid="{00000000-0005-0000-0000-00003B680000}"/>
    <cellStyle name="40% - Accent3 3 5 2 5 2" xfId="11678" xr:uid="{00000000-0005-0000-0000-00003C680000}"/>
    <cellStyle name="40% - Accent3 3 5 2 5 2 2" xfId="24595" xr:uid="{00000000-0005-0000-0000-00003D680000}"/>
    <cellStyle name="40% - Accent3 3 5 2 5 2 2 2" xfId="50469" xr:uid="{00000000-0005-0000-0000-00003E680000}"/>
    <cellStyle name="40% - Accent3 3 5 2 5 2 3" xfId="37553" xr:uid="{00000000-0005-0000-0000-00003F680000}"/>
    <cellStyle name="40% - Accent3 3 5 2 5 3" xfId="18137" xr:uid="{00000000-0005-0000-0000-000040680000}"/>
    <cellStyle name="40% - Accent3 3 5 2 5 3 2" xfId="44011" xr:uid="{00000000-0005-0000-0000-000041680000}"/>
    <cellStyle name="40% - Accent3 3 5 2 5 4" xfId="31095" xr:uid="{00000000-0005-0000-0000-000042680000}"/>
    <cellStyle name="40% - Accent3 3 5 2 6" xfId="8450" xr:uid="{00000000-0005-0000-0000-000043680000}"/>
    <cellStyle name="40% - Accent3 3 5 2 6 2" xfId="21367" xr:uid="{00000000-0005-0000-0000-000044680000}"/>
    <cellStyle name="40% - Accent3 3 5 2 6 2 2" xfId="47241" xr:uid="{00000000-0005-0000-0000-000045680000}"/>
    <cellStyle name="40% - Accent3 3 5 2 6 3" xfId="34325" xr:uid="{00000000-0005-0000-0000-000046680000}"/>
    <cellStyle name="40% - Accent3 3 5 2 7" xfId="14909" xr:uid="{00000000-0005-0000-0000-000047680000}"/>
    <cellStyle name="40% - Accent3 3 5 2 7 2" xfId="40783" xr:uid="{00000000-0005-0000-0000-000048680000}"/>
    <cellStyle name="40% - Accent3 3 5 2 8" xfId="27834" xr:uid="{00000000-0005-0000-0000-000049680000}"/>
    <cellStyle name="40% - Accent3 3 5 2 9" xfId="53697" xr:uid="{00000000-0005-0000-0000-00004A680000}"/>
    <cellStyle name="40% - Accent3 3 5 3" xfId="720" xr:uid="{00000000-0005-0000-0000-00004B680000}"/>
    <cellStyle name="40% - Accent3 3 5 3 2" xfId="2961" xr:uid="{00000000-0005-0000-0000-00004C680000}"/>
    <cellStyle name="40% - Accent3 3 5 3 2 2" xfId="4618" xr:uid="{00000000-0005-0000-0000-00004D680000}"/>
    <cellStyle name="40% - Accent3 3 5 3 2 2 2" xfId="7849" xr:uid="{00000000-0005-0000-0000-00004E680000}"/>
    <cellStyle name="40% - Accent3 3 5 3 2 2 2 2" xfId="14308" xr:uid="{00000000-0005-0000-0000-00004F680000}"/>
    <cellStyle name="40% - Accent3 3 5 3 2 2 2 2 2" xfId="27225" xr:uid="{00000000-0005-0000-0000-000050680000}"/>
    <cellStyle name="40% - Accent3 3 5 3 2 2 2 2 2 2" xfId="53099" xr:uid="{00000000-0005-0000-0000-000051680000}"/>
    <cellStyle name="40% - Accent3 3 5 3 2 2 2 2 3" xfId="40183" xr:uid="{00000000-0005-0000-0000-000052680000}"/>
    <cellStyle name="40% - Accent3 3 5 3 2 2 2 3" xfId="20767" xr:uid="{00000000-0005-0000-0000-000053680000}"/>
    <cellStyle name="40% - Accent3 3 5 3 2 2 2 3 2" xfId="46641" xr:uid="{00000000-0005-0000-0000-000054680000}"/>
    <cellStyle name="40% - Accent3 3 5 3 2 2 2 4" xfId="33725" xr:uid="{00000000-0005-0000-0000-000055680000}"/>
    <cellStyle name="40% - Accent3 3 5 3 2 2 3" xfId="11080" xr:uid="{00000000-0005-0000-0000-000056680000}"/>
    <cellStyle name="40% - Accent3 3 5 3 2 2 3 2" xfId="23997" xr:uid="{00000000-0005-0000-0000-000057680000}"/>
    <cellStyle name="40% - Accent3 3 5 3 2 2 3 2 2" xfId="49871" xr:uid="{00000000-0005-0000-0000-000058680000}"/>
    <cellStyle name="40% - Accent3 3 5 3 2 2 3 3" xfId="36955" xr:uid="{00000000-0005-0000-0000-000059680000}"/>
    <cellStyle name="40% - Accent3 3 5 3 2 2 4" xfId="17539" xr:uid="{00000000-0005-0000-0000-00005A680000}"/>
    <cellStyle name="40% - Accent3 3 5 3 2 2 4 2" xfId="43413" xr:uid="{00000000-0005-0000-0000-00005B680000}"/>
    <cellStyle name="40% - Accent3 3 5 3 2 2 5" xfId="30465" xr:uid="{00000000-0005-0000-0000-00005C680000}"/>
    <cellStyle name="40% - Accent3 3 5 3 2 3" xfId="6235" xr:uid="{00000000-0005-0000-0000-00005D680000}"/>
    <cellStyle name="40% - Accent3 3 5 3 2 3 2" xfId="12694" xr:uid="{00000000-0005-0000-0000-00005E680000}"/>
    <cellStyle name="40% - Accent3 3 5 3 2 3 2 2" xfId="25611" xr:uid="{00000000-0005-0000-0000-00005F680000}"/>
    <cellStyle name="40% - Accent3 3 5 3 2 3 2 2 2" xfId="51485" xr:uid="{00000000-0005-0000-0000-000060680000}"/>
    <cellStyle name="40% - Accent3 3 5 3 2 3 2 3" xfId="38569" xr:uid="{00000000-0005-0000-0000-000061680000}"/>
    <cellStyle name="40% - Accent3 3 5 3 2 3 3" xfId="19153" xr:uid="{00000000-0005-0000-0000-000062680000}"/>
    <cellStyle name="40% - Accent3 3 5 3 2 3 3 2" xfId="45027" xr:uid="{00000000-0005-0000-0000-000063680000}"/>
    <cellStyle name="40% - Accent3 3 5 3 2 3 4" xfId="32111" xr:uid="{00000000-0005-0000-0000-000064680000}"/>
    <cellStyle name="40% - Accent3 3 5 3 2 4" xfId="9466" xr:uid="{00000000-0005-0000-0000-000065680000}"/>
    <cellStyle name="40% - Accent3 3 5 3 2 4 2" xfId="22383" xr:uid="{00000000-0005-0000-0000-000066680000}"/>
    <cellStyle name="40% - Accent3 3 5 3 2 4 2 2" xfId="48257" xr:uid="{00000000-0005-0000-0000-000067680000}"/>
    <cellStyle name="40% - Accent3 3 5 3 2 4 3" xfId="35341" xr:uid="{00000000-0005-0000-0000-000068680000}"/>
    <cellStyle name="40% - Accent3 3 5 3 2 5" xfId="15925" xr:uid="{00000000-0005-0000-0000-000069680000}"/>
    <cellStyle name="40% - Accent3 3 5 3 2 5 2" xfId="41799" xr:uid="{00000000-0005-0000-0000-00006A680000}"/>
    <cellStyle name="40% - Accent3 3 5 3 2 6" xfId="28851" xr:uid="{00000000-0005-0000-0000-00006B680000}"/>
    <cellStyle name="40% - Accent3 3 5 3 3" xfId="3788" xr:uid="{00000000-0005-0000-0000-00006C680000}"/>
    <cellStyle name="40% - Accent3 3 5 3 3 2" xfId="7042" xr:uid="{00000000-0005-0000-0000-00006D680000}"/>
    <cellStyle name="40% - Accent3 3 5 3 3 2 2" xfId="13501" xr:uid="{00000000-0005-0000-0000-00006E680000}"/>
    <cellStyle name="40% - Accent3 3 5 3 3 2 2 2" xfId="26418" xr:uid="{00000000-0005-0000-0000-00006F680000}"/>
    <cellStyle name="40% - Accent3 3 5 3 3 2 2 2 2" xfId="52292" xr:uid="{00000000-0005-0000-0000-000070680000}"/>
    <cellStyle name="40% - Accent3 3 5 3 3 2 2 3" xfId="39376" xr:uid="{00000000-0005-0000-0000-000071680000}"/>
    <cellStyle name="40% - Accent3 3 5 3 3 2 3" xfId="19960" xr:uid="{00000000-0005-0000-0000-000072680000}"/>
    <cellStyle name="40% - Accent3 3 5 3 3 2 3 2" xfId="45834" xr:uid="{00000000-0005-0000-0000-000073680000}"/>
    <cellStyle name="40% - Accent3 3 5 3 3 2 4" xfId="32918" xr:uid="{00000000-0005-0000-0000-000074680000}"/>
    <cellStyle name="40% - Accent3 3 5 3 3 3" xfId="10273" xr:uid="{00000000-0005-0000-0000-000075680000}"/>
    <cellStyle name="40% - Accent3 3 5 3 3 3 2" xfId="23190" xr:uid="{00000000-0005-0000-0000-000076680000}"/>
    <cellStyle name="40% - Accent3 3 5 3 3 3 2 2" xfId="49064" xr:uid="{00000000-0005-0000-0000-000077680000}"/>
    <cellStyle name="40% - Accent3 3 5 3 3 3 3" xfId="36148" xr:uid="{00000000-0005-0000-0000-000078680000}"/>
    <cellStyle name="40% - Accent3 3 5 3 3 4" xfId="16732" xr:uid="{00000000-0005-0000-0000-000079680000}"/>
    <cellStyle name="40% - Accent3 3 5 3 3 4 2" xfId="42606" xr:uid="{00000000-0005-0000-0000-00007A680000}"/>
    <cellStyle name="40% - Accent3 3 5 3 3 5" xfId="29658" xr:uid="{00000000-0005-0000-0000-00007B680000}"/>
    <cellStyle name="40% - Accent3 3 5 3 4" xfId="5428" xr:uid="{00000000-0005-0000-0000-00007C680000}"/>
    <cellStyle name="40% - Accent3 3 5 3 4 2" xfId="11887" xr:uid="{00000000-0005-0000-0000-00007D680000}"/>
    <cellStyle name="40% - Accent3 3 5 3 4 2 2" xfId="24804" xr:uid="{00000000-0005-0000-0000-00007E680000}"/>
    <cellStyle name="40% - Accent3 3 5 3 4 2 2 2" xfId="50678" xr:uid="{00000000-0005-0000-0000-00007F680000}"/>
    <cellStyle name="40% - Accent3 3 5 3 4 2 3" xfId="37762" xr:uid="{00000000-0005-0000-0000-000080680000}"/>
    <cellStyle name="40% - Accent3 3 5 3 4 3" xfId="18346" xr:uid="{00000000-0005-0000-0000-000081680000}"/>
    <cellStyle name="40% - Accent3 3 5 3 4 3 2" xfId="44220" xr:uid="{00000000-0005-0000-0000-000082680000}"/>
    <cellStyle name="40% - Accent3 3 5 3 4 4" xfId="31304" xr:uid="{00000000-0005-0000-0000-000083680000}"/>
    <cellStyle name="40% - Accent3 3 5 3 5" xfId="8659" xr:uid="{00000000-0005-0000-0000-000084680000}"/>
    <cellStyle name="40% - Accent3 3 5 3 5 2" xfId="21576" xr:uid="{00000000-0005-0000-0000-000085680000}"/>
    <cellStyle name="40% - Accent3 3 5 3 5 2 2" xfId="47450" xr:uid="{00000000-0005-0000-0000-000086680000}"/>
    <cellStyle name="40% - Accent3 3 5 3 5 3" xfId="34534" xr:uid="{00000000-0005-0000-0000-000087680000}"/>
    <cellStyle name="40% - Accent3 3 5 3 6" xfId="15118" xr:uid="{00000000-0005-0000-0000-000088680000}"/>
    <cellStyle name="40% - Accent3 3 5 3 6 2" xfId="40992" xr:uid="{00000000-0005-0000-0000-000089680000}"/>
    <cellStyle name="40% - Accent3 3 5 3 7" xfId="28044" xr:uid="{00000000-0005-0000-0000-00008A680000}"/>
    <cellStyle name="40% - Accent3 3 5 3 8" xfId="53906" xr:uid="{00000000-0005-0000-0000-00008B680000}"/>
    <cellStyle name="40% - Accent3 3 5 3 9" xfId="2147" xr:uid="{00000000-0005-0000-0000-00008C680000}"/>
    <cellStyle name="40% - Accent3 3 5 4" xfId="2558" xr:uid="{00000000-0005-0000-0000-00008D680000}"/>
    <cellStyle name="40% - Accent3 3 5 4 2" xfId="4215" xr:uid="{00000000-0005-0000-0000-00008E680000}"/>
    <cellStyle name="40% - Accent3 3 5 4 2 2" xfId="7446" xr:uid="{00000000-0005-0000-0000-00008F680000}"/>
    <cellStyle name="40% - Accent3 3 5 4 2 2 2" xfId="13905" xr:uid="{00000000-0005-0000-0000-000090680000}"/>
    <cellStyle name="40% - Accent3 3 5 4 2 2 2 2" xfId="26822" xr:uid="{00000000-0005-0000-0000-000091680000}"/>
    <cellStyle name="40% - Accent3 3 5 4 2 2 2 2 2" xfId="52696" xr:uid="{00000000-0005-0000-0000-000092680000}"/>
    <cellStyle name="40% - Accent3 3 5 4 2 2 2 3" xfId="39780" xr:uid="{00000000-0005-0000-0000-000093680000}"/>
    <cellStyle name="40% - Accent3 3 5 4 2 2 3" xfId="20364" xr:uid="{00000000-0005-0000-0000-000094680000}"/>
    <cellStyle name="40% - Accent3 3 5 4 2 2 3 2" xfId="46238" xr:uid="{00000000-0005-0000-0000-000095680000}"/>
    <cellStyle name="40% - Accent3 3 5 4 2 2 4" xfId="33322" xr:uid="{00000000-0005-0000-0000-000096680000}"/>
    <cellStyle name="40% - Accent3 3 5 4 2 3" xfId="10677" xr:uid="{00000000-0005-0000-0000-000097680000}"/>
    <cellStyle name="40% - Accent3 3 5 4 2 3 2" xfId="23594" xr:uid="{00000000-0005-0000-0000-000098680000}"/>
    <cellStyle name="40% - Accent3 3 5 4 2 3 2 2" xfId="49468" xr:uid="{00000000-0005-0000-0000-000099680000}"/>
    <cellStyle name="40% - Accent3 3 5 4 2 3 3" xfId="36552" xr:uid="{00000000-0005-0000-0000-00009A680000}"/>
    <cellStyle name="40% - Accent3 3 5 4 2 4" xfId="17136" xr:uid="{00000000-0005-0000-0000-00009B680000}"/>
    <cellStyle name="40% - Accent3 3 5 4 2 4 2" xfId="43010" xr:uid="{00000000-0005-0000-0000-00009C680000}"/>
    <cellStyle name="40% - Accent3 3 5 4 2 5" xfId="30062" xr:uid="{00000000-0005-0000-0000-00009D680000}"/>
    <cellStyle name="40% - Accent3 3 5 4 3" xfId="5832" xr:uid="{00000000-0005-0000-0000-00009E680000}"/>
    <cellStyle name="40% - Accent3 3 5 4 3 2" xfId="12291" xr:uid="{00000000-0005-0000-0000-00009F680000}"/>
    <cellStyle name="40% - Accent3 3 5 4 3 2 2" xfId="25208" xr:uid="{00000000-0005-0000-0000-0000A0680000}"/>
    <cellStyle name="40% - Accent3 3 5 4 3 2 2 2" xfId="51082" xr:uid="{00000000-0005-0000-0000-0000A1680000}"/>
    <cellStyle name="40% - Accent3 3 5 4 3 2 3" xfId="38166" xr:uid="{00000000-0005-0000-0000-0000A2680000}"/>
    <cellStyle name="40% - Accent3 3 5 4 3 3" xfId="18750" xr:uid="{00000000-0005-0000-0000-0000A3680000}"/>
    <cellStyle name="40% - Accent3 3 5 4 3 3 2" xfId="44624" xr:uid="{00000000-0005-0000-0000-0000A4680000}"/>
    <cellStyle name="40% - Accent3 3 5 4 3 4" xfId="31708" xr:uid="{00000000-0005-0000-0000-0000A5680000}"/>
    <cellStyle name="40% - Accent3 3 5 4 4" xfId="9063" xr:uid="{00000000-0005-0000-0000-0000A6680000}"/>
    <cellStyle name="40% - Accent3 3 5 4 4 2" xfId="21980" xr:uid="{00000000-0005-0000-0000-0000A7680000}"/>
    <cellStyle name="40% - Accent3 3 5 4 4 2 2" xfId="47854" xr:uid="{00000000-0005-0000-0000-0000A8680000}"/>
    <cellStyle name="40% - Accent3 3 5 4 4 3" xfId="34938" xr:uid="{00000000-0005-0000-0000-0000A9680000}"/>
    <cellStyle name="40% - Accent3 3 5 4 5" xfId="15522" xr:uid="{00000000-0005-0000-0000-0000AA680000}"/>
    <cellStyle name="40% - Accent3 3 5 4 5 2" xfId="41396" xr:uid="{00000000-0005-0000-0000-0000AB680000}"/>
    <cellStyle name="40% - Accent3 3 5 4 6" xfId="28448" xr:uid="{00000000-0005-0000-0000-0000AC680000}"/>
    <cellStyle name="40% - Accent3 3 5 5" xfId="3383" xr:uid="{00000000-0005-0000-0000-0000AD680000}"/>
    <cellStyle name="40% - Accent3 3 5 5 2" xfId="6639" xr:uid="{00000000-0005-0000-0000-0000AE680000}"/>
    <cellStyle name="40% - Accent3 3 5 5 2 2" xfId="13098" xr:uid="{00000000-0005-0000-0000-0000AF680000}"/>
    <cellStyle name="40% - Accent3 3 5 5 2 2 2" xfId="26015" xr:uid="{00000000-0005-0000-0000-0000B0680000}"/>
    <cellStyle name="40% - Accent3 3 5 5 2 2 2 2" xfId="51889" xr:uid="{00000000-0005-0000-0000-0000B1680000}"/>
    <cellStyle name="40% - Accent3 3 5 5 2 2 3" xfId="38973" xr:uid="{00000000-0005-0000-0000-0000B2680000}"/>
    <cellStyle name="40% - Accent3 3 5 5 2 3" xfId="19557" xr:uid="{00000000-0005-0000-0000-0000B3680000}"/>
    <cellStyle name="40% - Accent3 3 5 5 2 3 2" xfId="45431" xr:uid="{00000000-0005-0000-0000-0000B4680000}"/>
    <cellStyle name="40% - Accent3 3 5 5 2 4" xfId="32515" xr:uid="{00000000-0005-0000-0000-0000B5680000}"/>
    <cellStyle name="40% - Accent3 3 5 5 3" xfId="9870" xr:uid="{00000000-0005-0000-0000-0000B6680000}"/>
    <cellStyle name="40% - Accent3 3 5 5 3 2" xfId="22787" xr:uid="{00000000-0005-0000-0000-0000B7680000}"/>
    <cellStyle name="40% - Accent3 3 5 5 3 2 2" xfId="48661" xr:uid="{00000000-0005-0000-0000-0000B8680000}"/>
    <cellStyle name="40% - Accent3 3 5 5 3 3" xfId="35745" xr:uid="{00000000-0005-0000-0000-0000B9680000}"/>
    <cellStyle name="40% - Accent3 3 5 5 4" xfId="16329" xr:uid="{00000000-0005-0000-0000-0000BA680000}"/>
    <cellStyle name="40% - Accent3 3 5 5 4 2" xfId="42203" xr:uid="{00000000-0005-0000-0000-0000BB680000}"/>
    <cellStyle name="40% - Accent3 3 5 5 5" xfId="29255" xr:uid="{00000000-0005-0000-0000-0000BC680000}"/>
    <cellStyle name="40% - Accent3 3 5 6" xfId="5025" xr:uid="{00000000-0005-0000-0000-0000BD680000}"/>
    <cellStyle name="40% - Accent3 3 5 6 2" xfId="11484" xr:uid="{00000000-0005-0000-0000-0000BE680000}"/>
    <cellStyle name="40% - Accent3 3 5 6 2 2" xfId="24401" xr:uid="{00000000-0005-0000-0000-0000BF680000}"/>
    <cellStyle name="40% - Accent3 3 5 6 2 2 2" xfId="50275" xr:uid="{00000000-0005-0000-0000-0000C0680000}"/>
    <cellStyle name="40% - Accent3 3 5 6 2 3" xfId="37359" xr:uid="{00000000-0005-0000-0000-0000C1680000}"/>
    <cellStyle name="40% - Accent3 3 5 6 3" xfId="17943" xr:uid="{00000000-0005-0000-0000-0000C2680000}"/>
    <cellStyle name="40% - Accent3 3 5 6 3 2" xfId="43817" xr:uid="{00000000-0005-0000-0000-0000C3680000}"/>
    <cellStyle name="40% - Accent3 3 5 6 4" xfId="30901" xr:uid="{00000000-0005-0000-0000-0000C4680000}"/>
    <cellStyle name="40% - Accent3 3 5 7" xfId="8255" xr:uid="{00000000-0005-0000-0000-0000C5680000}"/>
    <cellStyle name="40% - Accent3 3 5 7 2" xfId="21172" xr:uid="{00000000-0005-0000-0000-0000C6680000}"/>
    <cellStyle name="40% - Accent3 3 5 7 2 2" xfId="47046" xr:uid="{00000000-0005-0000-0000-0000C7680000}"/>
    <cellStyle name="40% - Accent3 3 5 7 3" xfId="34130" xr:uid="{00000000-0005-0000-0000-0000C8680000}"/>
    <cellStyle name="40% - Accent3 3 5 8" xfId="14714" xr:uid="{00000000-0005-0000-0000-0000C9680000}"/>
    <cellStyle name="40% - Accent3 3 5 8 2" xfId="40588" xr:uid="{00000000-0005-0000-0000-0000CA680000}"/>
    <cellStyle name="40% - Accent3 3 5 9" xfId="27638" xr:uid="{00000000-0005-0000-0000-0000CB680000}"/>
    <cellStyle name="40% - Accent3 3 6" xfId="722" xr:uid="{00000000-0005-0000-0000-0000CC680000}"/>
    <cellStyle name="40% - Accent3 3 7" xfId="707" xr:uid="{00000000-0005-0000-0000-0000CD680000}"/>
    <cellStyle name="40% - Accent3 3 8" xfId="1111" xr:uid="{00000000-0005-0000-0000-0000CE680000}"/>
    <cellStyle name="40% - Accent3 4" xfId="485" xr:uid="{00000000-0005-0000-0000-0000CF680000}"/>
    <cellStyle name="40% - Accent3 4 2" xfId="724" xr:uid="{00000000-0005-0000-0000-0000D0680000}"/>
    <cellStyle name="40% - Accent3 4 3" xfId="723" xr:uid="{00000000-0005-0000-0000-0000D1680000}"/>
    <cellStyle name="40% - Accent3 4 4" xfId="1112" xr:uid="{00000000-0005-0000-0000-0000D2680000}"/>
    <cellStyle name="40% - Accent3 5" xfId="395" xr:uid="{00000000-0005-0000-0000-0000D3680000}"/>
    <cellStyle name="40% - Accent3 5 2" xfId="726" xr:uid="{00000000-0005-0000-0000-0000D4680000}"/>
    <cellStyle name="40% - Accent3 5 3" xfId="725" xr:uid="{00000000-0005-0000-0000-0000D5680000}"/>
    <cellStyle name="40% - Accent3 5 4" xfId="1113" xr:uid="{00000000-0005-0000-0000-0000D6680000}"/>
    <cellStyle name="40% - Accent3 6" xfId="727" xr:uid="{00000000-0005-0000-0000-0000D7680000}"/>
    <cellStyle name="40% - Accent3 6 2" xfId="1114" xr:uid="{00000000-0005-0000-0000-0000D8680000}"/>
    <cellStyle name="40% - Accent3 7" xfId="702" xr:uid="{00000000-0005-0000-0000-0000D9680000}"/>
    <cellStyle name="40% - Accent3 7 2" xfId="1116" xr:uid="{00000000-0005-0000-0000-0000DA680000}"/>
    <cellStyle name="40% - Accent3 7 3" xfId="1117" xr:uid="{00000000-0005-0000-0000-0000DB680000}"/>
    <cellStyle name="40% - Accent3 7 3 10" xfId="27594" xr:uid="{00000000-0005-0000-0000-0000DC680000}"/>
    <cellStyle name="40% - Accent3 7 3 11" xfId="53460" xr:uid="{00000000-0005-0000-0000-0000DD680000}"/>
    <cellStyle name="40% - Accent3 7 3 2" xfId="1741" xr:uid="{00000000-0005-0000-0000-0000DE680000}"/>
    <cellStyle name="40% - Accent3 7 3 2 10" xfId="53597" xr:uid="{00000000-0005-0000-0000-0000DF680000}"/>
    <cellStyle name="40% - Accent3 7 3 2 2" xfId="2006" xr:uid="{00000000-0005-0000-0000-0000E0680000}"/>
    <cellStyle name="40% - Accent3 7 3 2 2 2" xfId="2437" xr:uid="{00000000-0005-0000-0000-0000E1680000}"/>
    <cellStyle name="40% - Accent3 7 3 2 2 2 2" xfId="3250" xr:uid="{00000000-0005-0000-0000-0000E2680000}"/>
    <cellStyle name="40% - Accent3 7 3 2 2 2 2 2" xfId="4907" xr:uid="{00000000-0005-0000-0000-0000E3680000}"/>
    <cellStyle name="40% - Accent3 7 3 2 2 2 2 2 2" xfId="8138" xr:uid="{00000000-0005-0000-0000-0000E4680000}"/>
    <cellStyle name="40% - Accent3 7 3 2 2 2 2 2 2 2" xfId="14597" xr:uid="{00000000-0005-0000-0000-0000E5680000}"/>
    <cellStyle name="40% - Accent3 7 3 2 2 2 2 2 2 2 2" xfId="27514" xr:uid="{00000000-0005-0000-0000-0000E6680000}"/>
    <cellStyle name="40% - Accent3 7 3 2 2 2 2 2 2 2 2 2" xfId="53388" xr:uid="{00000000-0005-0000-0000-0000E7680000}"/>
    <cellStyle name="40% - Accent3 7 3 2 2 2 2 2 2 2 3" xfId="40472" xr:uid="{00000000-0005-0000-0000-0000E8680000}"/>
    <cellStyle name="40% - Accent3 7 3 2 2 2 2 2 2 3" xfId="21056" xr:uid="{00000000-0005-0000-0000-0000E9680000}"/>
    <cellStyle name="40% - Accent3 7 3 2 2 2 2 2 2 3 2" xfId="46930" xr:uid="{00000000-0005-0000-0000-0000EA680000}"/>
    <cellStyle name="40% - Accent3 7 3 2 2 2 2 2 2 4" xfId="34014" xr:uid="{00000000-0005-0000-0000-0000EB680000}"/>
    <cellStyle name="40% - Accent3 7 3 2 2 2 2 2 3" xfId="11369" xr:uid="{00000000-0005-0000-0000-0000EC680000}"/>
    <cellStyle name="40% - Accent3 7 3 2 2 2 2 2 3 2" xfId="24286" xr:uid="{00000000-0005-0000-0000-0000ED680000}"/>
    <cellStyle name="40% - Accent3 7 3 2 2 2 2 2 3 2 2" xfId="50160" xr:uid="{00000000-0005-0000-0000-0000EE680000}"/>
    <cellStyle name="40% - Accent3 7 3 2 2 2 2 2 3 3" xfId="37244" xr:uid="{00000000-0005-0000-0000-0000EF680000}"/>
    <cellStyle name="40% - Accent3 7 3 2 2 2 2 2 4" xfId="17828" xr:uid="{00000000-0005-0000-0000-0000F0680000}"/>
    <cellStyle name="40% - Accent3 7 3 2 2 2 2 2 4 2" xfId="43702" xr:uid="{00000000-0005-0000-0000-0000F1680000}"/>
    <cellStyle name="40% - Accent3 7 3 2 2 2 2 2 5" xfId="30754" xr:uid="{00000000-0005-0000-0000-0000F2680000}"/>
    <cellStyle name="40% - Accent3 7 3 2 2 2 2 3" xfId="6524" xr:uid="{00000000-0005-0000-0000-0000F3680000}"/>
    <cellStyle name="40% - Accent3 7 3 2 2 2 2 3 2" xfId="12983" xr:uid="{00000000-0005-0000-0000-0000F4680000}"/>
    <cellStyle name="40% - Accent3 7 3 2 2 2 2 3 2 2" xfId="25900" xr:uid="{00000000-0005-0000-0000-0000F5680000}"/>
    <cellStyle name="40% - Accent3 7 3 2 2 2 2 3 2 2 2" xfId="51774" xr:uid="{00000000-0005-0000-0000-0000F6680000}"/>
    <cellStyle name="40% - Accent3 7 3 2 2 2 2 3 2 3" xfId="38858" xr:uid="{00000000-0005-0000-0000-0000F7680000}"/>
    <cellStyle name="40% - Accent3 7 3 2 2 2 2 3 3" xfId="19442" xr:uid="{00000000-0005-0000-0000-0000F8680000}"/>
    <cellStyle name="40% - Accent3 7 3 2 2 2 2 3 3 2" xfId="45316" xr:uid="{00000000-0005-0000-0000-0000F9680000}"/>
    <cellStyle name="40% - Accent3 7 3 2 2 2 2 3 4" xfId="32400" xr:uid="{00000000-0005-0000-0000-0000FA680000}"/>
    <cellStyle name="40% - Accent3 7 3 2 2 2 2 4" xfId="9755" xr:uid="{00000000-0005-0000-0000-0000FB680000}"/>
    <cellStyle name="40% - Accent3 7 3 2 2 2 2 4 2" xfId="22672" xr:uid="{00000000-0005-0000-0000-0000FC680000}"/>
    <cellStyle name="40% - Accent3 7 3 2 2 2 2 4 2 2" xfId="48546" xr:uid="{00000000-0005-0000-0000-0000FD680000}"/>
    <cellStyle name="40% - Accent3 7 3 2 2 2 2 4 3" xfId="35630" xr:uid="{00000000-0005-0000-0000-0000FE680000}"/>
    <cellStyle name="40% - Accent3 7 3 2 2 2 2 5" xfId="16214" xr:uid="{00000000-0005-0000-0000-0000FF680000}"/>
    <cellStyle name="40% - Accent3 7 3 2 2 2 2 5 2" xfId="42088" xr:uid="{00000000-0005-0000-0000-000000690000}"/>
    <cellStyle name="40% - Accent3 7 3 2 2 2 2 6" xfId="29140" xr:uid="{00000000-0005-0000-0000-000001690000}"/>
    <cellStyle name="40% - Accent3 7 3 2 2 2 3" xfId="4077" xr:uid="{00000000-0005-0000-0000-000002690000}"/>
    <cellStyle name="40% - Accent3 7 3 2 2 2 3 2" xfId="7331" xr:uid="{00000000-0005-0000-0000-000003690000}"/>
    <cellStyle name="40% - Accent3 7 3 2 2 2 3 2 2" xfId="13790" xr:uid="{00000000-0005-0000-0000-000004690000}"/>
    <cellStyle name="40% - Accent3 7 3 2 2 2 3 2 2 2" xfId="26707" xr:uid="{00000000-0005-0000-0000-000005690000}"/>
    <cellStyle name="40% - Accent3 7 3 2 2 2 3 2 2 2 2" xfId="52581" xr:uid="{00000000-0005-0000-0000-000006690000}"/>
    <cellStyle name="40% - Accent3 7 3 2 2 2 3 2 2 3" xfId="39665" xr:uid="{00000000-0005-0000-0000-000007690000}"/>
    <cellStyle name="40% - Accent3 7 3 2 2 2 3 2 3" xfId="20249" xr:uid="{00000000-0005-0000-0000-000008690000}"/>
    <cellStyle name="40% - Accent3 7 3 2 2 2 3 2 3 2" xfId="46123" xr:uid="{00000000-0005-0000-0000-000009690000}"/>
    <cellStyle name="40% - Accent3 7 3 2 2 2 3 2 4" xfId="33207" xr:uid="{00000000-0005-0000-0000-00000A690000}"/>
    <cellStyle name="40% - Accent3 7 3 2 2 2 3 3" xfId="10562" xr:uid="{00000000-0005-0000-0000-00000B690000}"/>
    <cellStyle name="40% - Accent3 7 3 2 2 2 3 3 2" xfId="23479" xr:uid="{00000000-0005-0000-0000-00000C690000}"/>
    <cellStyle name="40% - Accent3 7 3 2 2 2 3 3 2 2" xfId="49353" xr:uid="{00000000-0005-0000-0000-00000D690000}"/>
    <cellStyle name="40% - Accent3 7 3 2 2 2 3 3 3" xfId="36437" xr:uid="{00000000-0005-0000-0000-00000E690000}"/>
    <cellStyle name="40% - Accent3 7 3 2 2 2 3 4" xfId="17021" xr:uid="{00000000-0005-0000-0000-00000F690000}"/>
    <cellStyle name="40% - Accent3 7 3 2 2 2 3 4 2" xfId="42895" xr:uid="{00000000-0005-0000-0000-000010690000}"/>
    <cellStyle name="40% - Accent3 7 3 2 2 2 3 5" xfId="29947" xr:uid="{00000000-0005-0000-0000-000011690000}"/>
    <cellStyle name="40% - Accent3 7 3 2 2 2 4" xfId="5717" xr:uid="{00000000-0005-0000-0000-000012690000}"/>
    <cellStyle name="40% - Accent3 7 3 2 2 2 4 2" xfId="12176" xr:uid="{00000000-0005-0000-0000-000013690000}"/>
    <cellStyle name="40% - Accent3 7 3 2 2 2 4 2 2" xfId="25093" xr:uid="{00000000-0005-0000-0000-000014690000}"/>
    <cellStyle name="40% - Accent3 7 3 2 2 2 4 2 2 2" xfId="50967" xr:uid="{00000000-0005-0000-0000-000015690000}"/>
    <cellStyle name="40% - Accent3 7 3 2 2 2 4 2 3" xfId="38051" xr:uid="{00000000-0005-0000-0000-000016690000}"/>
    <cellStyle name="40% - Accent3 7 3 2 2 2 4 3" xfId="18635" xr:uid="{00000000-0005-0000-0000-000017690000}"/>
    <cellStyle name="40% - Accent3 7 3 2 2 2 4 3 2" xfId="44509" xr:uid="{00000000-0005-0000-0000-000018690000}"/>
    <cellStyle name="40% - Accent3 7 3 2 2 2 4 4" xfId="31593" xr:uid="{00000000-0005-0000-0000-000019690000}"/>
    <cellStyle name="40% - Accent3 7 3 2 2 2 5" xfId="8948" xr:uid="{00000000-0005-0000-0000-00001A690000}"/>
    <cellStyle name="40% - Accent3 7 3 2 2 2 5 2" xfId="21865" xr:uid="{00000000-0005-0000-0000-00001B690000}"/>
    <cellStyle name="40% - Accent3 7 3 2 2 2 5 2 2" xfId="47739" xr:uid="{00000000-0005-0000-0000-00001C690000}"/>
    <cellStyle name="40% - Accent3 7 3 2 2 2 5 3" xfId="34823" xr:uid="{00000000-0005-0000-0000-00001D690000}"/>
    <cellStyle name="40% - Accent3 7 3 2 2 2 6" xfId="15407" xr:uid="{00000000-0005-0000-0000-00001E690000}"/>
    <cellStyle name="40% - Accent3 7 3 2 2 2 6 2" xfId="41281" xr:uid="{00000000-0005-0000-0000-00001F690000}"/>
    <cellStyle name="40% - Accent3 7 3 2 2 2 7" xfId="28333" xr:uid="{00000000-0005-0000-0000-000020690000}"/>
    <cellStyle name="40% - Accent3 7 3 2 2 2 8" xfId="54195" xr:uid="{00000000-0005-0000-0000-000021690000}"/>
    <cellStyle name="40% - Accent3 7 3 2 2 3" xfId="2846" xr:uid="{00000000-0005-0000-0000-000022690000}"/>
    <cellStyle name="40% - Accent3 7 3 2 2 3 2" xfId="4503" xr:uid="{00000000-0005-0000-0000-000023690000}"/>
    <cellStyle name="40% - Accent3 7 3 2 2 3 2 2" xfId="7734" xr:uid="{00000000-0005-0000-0000-000024690000}"/>
    <cellStyle name="40% - Accent3 7 3 2 2 3 2 2 2" xfId="14193" xr:uid="{00000000-0005-0000-0000-000025690000}"/>
    <cellStyle name="40% - Accent3 7 3 2 2 3 2 2 2 2" xfId="27110" xr:uid="{00000000-0005-0000-0000-000026690000}"/>
    <cellStyle name="40% - Accent3 7 3 2 2 3 2 2 2 2 2" xfId="52984" xr:uid="{00000000-0005-0000-0000-000027690000}"/>
    <cellStyle name="40% - Accent3 7 3 2 2 3 2 2 2 3" xfId="40068" xr:uid="{00000000-0005-0000-0000-000028690000}"/>
    <cellStyle name="40% - Accent3 7 3 2 2 3 2 2 3" xfId="20652" xr:uid="{00000000-0005-0000-0000-000029690000}"/>
    <cellStyle name="40% - Accent3 7 3 2 2 3 2 2 3 2" xfId="46526" xr:uid="{00000000-0005-0000-0000-00002A690000}"/>
    <cellStyle name="40% - Accent3 7 3 2 2 3 2 2 4" xfId="33610" xr:uid="{00000000-0005-0000-0000-00002B690000}"/>
    <cellStyle name="40% - Accent3 7 3 2 2 3 2 3" xfId="10965" xr:uid="{00000000-0005-0000-0000-00002C690000}"/>
    <cellStyle name="40% - Accent3 7 3 2 2 3 2 3 2" xfId="23882" xr:uid="{00000000-0005-0000-0000-00002D690000}"/>
    <cellStyle name="40% - Accent3 7 3 2 2 3 2 3 2 2" xfId="49756" xr:uid="{00000000-0005-0000-0000-00002E690000}"/>
    <cellStyle name="40% - Accent3 7 3 2 2 3 2 3 3" xfId="36840" xr:uid="{00000000-0005-0000-0000-00002F690000}"/>
    <cellStyle name="40% - Accent3 7 3 2 2 3 2 4" xfId="17424" xr:uid="{00000000-0005-0000-0000-000030690000}"/>
    <cellStyle name="40% - Accent3 7 3 2 2 3 2 4 2" xfId="43298" xr:uid="{00000000-0005-0000-0000-000031690000}"/>
    <cellStyle name="40% - Accent3 7 3 2 2 3 2 5" xfId="30350" xr:uid="{00000000-0005-0000-0000-000032690000}"/>
    <cellStyle name="40% - Accent3 7 3 2 2 3 3" xfId="6120" xr:uid="{00000000-0005-0000-0000-000033690000}"/>
    <cellStyle name="40% - Accent3 7 3 2 2 3 3 2" xfId="12579" xr:uid="{00000000-0005-0000-0000-000034690000}"/>
    <cellStyle name="40% - Accent3 7 3 2 2 3 3 2 2" xfId="25496" xr:uid="{00000000-0005-0000-0000-000035690000}"/>
    <cellStyle name="40% - Accent3 7 3 2 2 3 3 2 2 2" xfId="51370" xr:uid="{00000000-0005-0000-0000-000036690000}"/>
    <cellStyle name="40% - Accent3 7 3 2 2 3 3 2 3" xfId="38454" xr:uid="{00000000-0005-0000-0000-000037690000}"/>
    <cellStyle name="40% - Accent3 7 3 2 2 3 3 3" xfId="19038" xr:uid="{00000000-0005-0000-0000-000038690000}"/>
    <cellStyle name="40% - Accent3 7 3 2 2 3 3 3 2" xfId="44912" xr:uid="{00000000-0005-0000-0000-000039690000}"/>
    <cellStyle name="40% - Accent3 7 3 2 2 3 3 4" xfId="31996" xr:uid="{00000000-0005-0000-0000-00003A690000}"/>
    <cellStyle name="40% - Accent3 7 3 2 2 3 4" xfId="9351" xr:uid="{00000000-0005-0000-0000-00003B690000}"/>
    <cellStyle name="40% - Accent3 7 3 2 2 3 4 2" xfId="22268" xr:uid="{00000000-0005-0000-0000-00003C690000}"/>
    <cellStyle name="40% - Accent3 7 3 2 2 3 4 2 2" xfId="48142" xr:uid="{00000000-0005-0000-0000-00003D690000}"/>
    <cellStyle name="40% - Accent3 7 3 2 2 3 4 3" xfId="35226" xr:uid="{00000000-0005-0000-0000-00003E690000}"/>
    <cellStyle name="40% - Accent3 7 3 2 2 3 5" xfId="15810" xr:uid="{00000000-0005-0000-0000-00003F690000}"/>
    <cellStyle name="40% - Accent3 7 3 2 2 3 5 2" xfId="41684" xr:uid="{00000000-0005-0000-0000-000040690000}"/>
    <cellStyle name="40% - Accent3 7 3 2 2 3 6" xfId="28736" xr:uid="{00000000-0005-0000-0000-000041690000}"/>
    <cellStyle name="40% - Accent3 7 3 2 2 4" xfId="3673" xr:uid="{00000000-0005-0000-0000-000042690000}"/>
    <cellStyle name="40% - Accent3 7 3 2 2 4 2" xfId="6927" xr:uid="{00000000-0005-0000-0000-000043690000}"/>
    <cellStyle name="40% - Accent3 7 3 2 2 4 2 2" xfId="13386" xr:uid="{00000000-0005-0000-0000-000044690000}"/>
    <cellStyle name="40% - Accent3 7 3 2 2 4 2 2 2" xfId="26303" xr:uid="{00000000-0005-0000-0000-000045690000}"/>
    <cellStyle name="40% - Accent3 7 3 2 2 4 2 2 2 2" xfId="52177" xr:uid="{00000000-0005-0000-0000-000046690000}"/>
    <cellStyle name="40% - Accent3 7 3 2 2 4 2 2 3" xfId="39261" xr:uid="{00000000-0005-0000-0000-000047690000}"/>
    <cellStyle name="40% - Accent3 7 3 2 2 4 2 3" xfId="19845" xr:uid="{00000000-0005-0000-0000-000048690000}"/>
    <cellStyle name="40% - Accent3 7 3 2 2 4 2 3 2" xfId="45719" xr:uid="{00000000-0005-0000-0000-000049690000}"/>
    <cellStyle name="40% - Accent3 7 3 2 2 4 2 4" xfId="32803" xr:uid="{00000000-0005-0000-0000-00004A690000}"/>
    <cellStyle name="40% - Accent3 7 3 2 2 4 3" xfId="10158" xr:uid="{00000000-0005-0000-0000-00004B690000}"/>
    <cellStyle name="40% - Accent3 7 3 2 2 4 3 2" xfId="23075" xr:uid="{00000000-0005-0000-0000-00004C690000}"/>
    <cellStyle name="40% - Accent3 7 3 2 2 4 3 2 2" xfId="48949" xr:uid="{00000000-0005-0000-0000-00004D690000}"/>
    <cellStyle name="40% - Accent3 7 3 2 2 4 3 3" xfId="36033" xr:uid="{00000000-0005-0000-0000-00004E690000}"/>
    <cellStyle name="40% - Accent3 7 3 2 2 4 4" xfId="16617" xr:uid="{00000000-0005-0000-0000-00004F690000}"/>
    <cellStyle name="40% - Accent3 7 3 2 2 4 4 2" xfId="42491" xr:uid="{00000000-0005-0000-0000-000050690000}"/>
    <cellStyle name="40% - Accent3 7 3 2 2 4 5" xfId="29543" xr:uid="{00000000-0005-0000-0000-000051690000}"/>
    <cellStyle name="40% - Accent3 7 3 2 2 5" xfId="5313" xr:uid="{00000000-0005-0000-0000-000052690000}"/>
    <cellStyle name="40% - Accent3 7 3 2 2 5 2" xfId="11772" xr:uid="{00000000-0005-0000-0000-000053690000}"/>
    <cellStyle name="40% - Accent3 7 3 2 2 5 2 2" xfId="24689" xr:uid="{00000000-0005-0000-0000-000054690000}"/>
    <cellStyle name="40% - Accent3 7 3 2 2 5 2 2 2" xfId="50563" xr:uid="{00000000-0005-0000-0000-000055690000}"/>
    <cellStyle name="40% - Accent3 7 3 2 2 5 2 3" xfId="37647" xr:uid="{00000000-0005-0000-0000-000056690000}"/>
    <cellStyle name="40% - Accent3 7 3 2 2 5 3" xfId="18231" xr:uid="{00000000-0005-0000-0000-000057690000}"/>
    <cellStyle name="40% - Accent3 7 3 2 2 5 3 2" xfId="44105" xr:uid="{00000000-0005-0000-0000-000058690000}"/>
    <cellStyle name="40% - Accent3 7 3 2 2 5 4" xfId="31189" xr:uid="{00000000-0005-0000-0000-000059690000}"/>
    <cellStyle name="40% - Accent3 7 3 2 2 6" xfId="8544" xr:uid="{00000000-0005-0000-0000-00005A690000}"/>
    <cellStyle name="40% - Accent3 7 3 2 2 6 2" xfId="21461" xr:uid="{00000000-0005-0000-0000-00005B690000}"/>
    <cellStyle name="40% - Accent3 7 3 2 2 6 2 2" xfId="47335" xr:uid="{00000000-0005-0000-0000-00005C690000}"/>
    <cellStyle name="40% - Accent3 7 3 2 2 6 3" xfId="34419" xr:uid="{00000000-0005-0000-0000-00005D690000}"/>
    <cellStyle name="40% - Accent3 7 3 2 2 7" xfId="15003" xr:uid="{00000000-0005-0000-0000-00005E690000}"/>
    <cellStyle name="40% - Accent3 7 3 2 2 7 2" xfId="40877" xr:uid="{00000000-0005-0000-0000-00005F690000}"/>
    <cellStyle name="40% - Accent3 7 3 2 2 8" xfId="27928" xr:uid="{00000000-0005-0000-0000-000060690000}"/>
    <cellStyle name="40% - Accent3 7 3 2 2 9" xfId="53791" xr:uid="{00000000-0005-0000-0000-000061690000}"/>
    <cellStyle name="40% - Accent3 7 3 2 3" xfId="2241" xr:uid="{00000000-0005-0000-0000-000062690000}"/>
    <cellStyle name="40% - Accent3 7 3 2 3 2" xfId="3055" xr:uid="{00000000-0005-0000-0000-000063690000}"/>
    <cellStyle name="40% - Accent3 7 3 2 3 2 2" xfId="4712" xr:uid="{00000000-0005-0000-0000-000064690000}"/>
    <cellStyle name="40% - Accent3 7 3 2 3 2 2 2" xfId="7943" xr:uid="{00000000-0005-0000-0000-000065690000}"/>
    <cellStyle name="40% - Accent3 7 3 2 3 2 2 2 2" xfId="14402" xr:uid="{00000000-0005-0000-0000-000066690000}"/>
    <cellStyle name="40% - Accent3 7 3 2 3 2 2 2 2 2" xfId="27319" xr:uid="{00000000-0005-0000-0000-000067690000}"/>
    <cellStyle name="40% - Accent3 7 3 2 3 2 2 2 2 2 2" xfId="53193" xr:uid="{00000000-0005-0000-0000-000068690000}"/>
    <cellStyle name="40% - Accent3 7 3 2 3 2 2 2 2 3" xfId="40277" xr:uid="{00000000-0005-0000-0000-000069690000}"/>
    <cellStyle name="40% - Accent3 7 3 2 3 2 2 2 3" xfId="20861" xr:uid="{00000000-0005-0000-0000-00006A690000}"/>
    <cellStyle name="40% - Accent3 7 3 2 3 2 2 2 3 2" xfId="46735" xr:uid="{00000000-0005-0000-0000-00006B690000}"/>
    <cellStyle name="40% - Accent3 7 3 2 3 2 2 2 4" xfId="33819" xr:uid="{00000000-0005-0000-0000-00006C690000}"/>
    <cellStyle name="40% - Accent3 7 3 2 3 2 2 3" xfId="11174" xr:uid="{00000000-0005-0000-0000-00006D690000}"/>
    <cellStyle name="40% - Accent3 7 3 2 3 2 2 3 2" xfId="24091" xr:uid="{00000000-0005-0000-0000-00006E690000}"/>
    <cellStyle name="40% - Accent3 7 3 2 3 2 2 3 2 2" xfId="49965" xr:uid="{00000000-0005-0000-0000-00006F690000}"/>
    <cellStyle name="40% - Accent3 7 3 2 3 2 2 3 3" xfId="37049" xr:uid="{00000000-0005-0000-0000-000070690000}"/>
    <cellStyle name="40% - Accent3 7 3 2 3 2 2 4" xfId="17633" xr:uid="{00000000-0005-0000-0000-000071690000}"/>
    <cellStyle name="40% - Accent3 7 3 2 3 2 2 4 2" xfId="43507" xr:uid="{00000000-0005-0000-0000-000072690000}"/>
    <cellStyle name="40% - Accent3 7 3 2 3 2 2 5" xfId="30559" xr:uid="{00000000-0005-0000-0000-000073690000}"/>
    <cellStyle name="40% - Accent3 7 3 2 3 2 3" xfId="6329" xr:uid="{00000000-0005-0000-0000-000074690000}"/>
    <cellStyle name="40% - Accent3 7 3 2 3 2 3 2" xfId="12788" xr:uid="{00000000-0005-0000-0000-000075690000}"/>
    <cellStyle name="40% - Accent3 7 3 2 3 2 3 2 2" xfId="25705" xr:uid="{00000000-0005-0000-0000-000076690000}"/>
    <cellStyle name="40% - Accent3 7 3 2 3 2 3 2 2 2" xfId="51579" xr:uid="{00000000-0005-0000-0000-000077690000}"/>
    <cellStyle name="40% - Accent3 7 3 2 3 2 3 2 3" xfId="38663" xr:uid="{00000000-0005-0000-0000-000078690000}"/>
    <cellStyle name="40% - Accent3 7 3 2 3 2 3 3" xfId="19247" xr:uid="{00000000-0005-0000-0000-000079690000}"/>
    <cellStyle name="40% - Accent3 7 3 2 3 2 3 3 2" xfId="45121" xr:uid="{00000000-0005-0000-0000-00007A690000}"/>
    <cellStyle name="40% - Accent3 7 3 2 3 2 3 4" xfId="32205" xr:uid="{00000000-0005-0000-0000-00007B690000}"/>
    <cellStyle name="40% - Accent3 7 3 2 3 2 4" xfId="9560" xr:uid="{00000000-0005-0000-0000-00007C690000}"/>
    <cellStyle name="40% - Accent3 7 3 2 3 2 4 2" xfId="22477" xr:uid="{00000000-0005-0000-0000-00007D690000}"/>
    <cellStyle name="40% - Accent3 7 3 2 3 2 4 2 2" xfId="48351" xr:uid="{00000000-0005-0000-0000-00007E690000}"/>
    <cellStyle name="40% - Accent3 7 3 2 3 2 4 3" xfId="35435" xr:uid="{00000000-0005-0000-0000-00007F690000}"/>
    <cellStyle name="40% - Accent3 7 3 2 3 2 5" xfId="16019" xr:uid="{00000000-0005-0000-0000-000080690000}"/>
    <cellStyle name="40% - Accent3 7 3 2 3 2 5 2" xfId="41893" xr:uid="{00000000-0005-0000-0000-000081690000}"/>
    <cellStyle name="40% - Accent3 7 3 2 3 2 6" xfId="28945" xr:uid="{00000000-0005-0000-0000-000082690000}"/>
    <cellStyle name="40% - Accent3 7 3 2 3 3" xfId="3882" xr:uid="{00000000-0005-0000-0000-000083690000}"/>
    <cellStyle name="40% - Accent3 7 3 2 3 3 2" xfId="7136" xr:uid="{00000000-0005-0000-0000-000084690000}"/>
    <cellStyle name="40% - Accent3 7 3 2 3 3 2 2" xfId="13595" xr:uid="{00000000-0005-0000-0000-000085690000}"/>
    <cellStyle name="40% - Accent3 7 3 2 3 3 2 2 2" xfId="26512" xr:uid="{00000000-0005-0000-0000-000086690000}"/>
    <cellStyle name="40% - Accent3 7 3 2 3 3 2 2 2 2" xfId="52386" xr:uid="{00000000-0005-0000-0000-000087690000}"/>
    <cellStyle name="40% - Accent3 7 3 2 3 3 2 2 3" xfId="39470" xr:uid="{00000000-0005-0000-0000-000088690000}"/>
    <cellStyle name="40% - Accent3 7 3 2 3 3 2 3" xfId="20054" xr:uid="{00000000-0005-0000-0000-000089690000}"/>
    <cellStyle name="40% - Accent3 7 3 2 3 3 2 3 2" xfId="45928" xr:uid="{00000000-0005-0000-0000-00008A690000}"/>
    <cellStyle name="40% - Accent3 7 3 2 3 3 2 4" xfId="33012" xr:uid="{00000000-0005-0000-0000-00008B690000}"/>
    <cellStyle name="40% - Accent3 7 3 2 3 3 3" xfId="10367" xr:uid="{00000000-0005-0000-0000-00008C690000}"/>
    <cellStyle name="40% - Accent3 7 3 2 3 3 3 2" xfId="23284" xr:uid="{00000000-0005-0000-0000-00008D690000}"/>
    <cellStyle name="40% - Accent3 7 3 2 3 3 3 2 2" xfId="49158" xr:uid="{00000000-0005-0000-0000-00008E690000}"/>
    <cellStyle name="40% - Accent3 7 3 2 3 3 3 3" xfId="36242" xr:uid="{00000000-0005-0000-0000-00008F690000}"/>
    <cellStyle name="40% - Accent3 7 3 2 3 3 4" xfId="16826" xr:uid="{00000000-0005-0000-0000-000090690000}"/>
    <cellStyle name="40% - Accent3 7 3 2 3 3 4 2" xfId="42700" xr:uid="{00000000-0005-0000-0000-000091690000}"/>
    <cellStyle name="40% - Accent3 7 3 2 3 3 5" xfId="29752" xr:uid="{00000000-0005-0000-0000-000092690000}"/>
    <cellStyle name="40% - Accent3 7 3 2 3 4" xfId="5522" xr:uid="{00000000-0005-0000-0000-000093690000}"/>
    <cellStyle name="40% - Accent3 7 3 2 3 4 2" xfId="11981" xr:uid="{00000000-0005-0000-0000-000094690000}"/>
    <cellStyle name="40% - Accent3 7 3 2 3 4 2 2" xfId="24898" xr:uid="{00000000-0005-0000-0000-000095690000}"/>
    <cellStyle name="40% - Accent3 7 3 2 3 4 2 2 2" xfId="50772" xr:uid="{00000000-0005-0000-0000-000096690000}"/>
    <cellStyle name="40% - Accent3 7 3 2 3 4 2 3" xfId="37856" xr:uid="{00000000-0005-0000-0000-000097690000}"/>
    <cellStyle name="40% - Accent3 7 3 2 3 4 3" xfId="18440" xr:uid="{00000000-0005-0000-0000-000098690000}"/>
    <cellStyle name="40% - Accent3 7 3 2 3 4 3 2" xfId="44314" xr:uid="{00000000-0005-0000-0000-000099690000}"/>
    <cellStyle name="40% - Accent3 7 3 2 3 4 4" xfId="31398" xr:uid="{00000000-0005-0000-0000-00009A690000}"/>
    <cellStyle name="40% - Accent3 7 3 2 3 5" xfId="8753" xr:uid="{00000000-0005-0000-0000-00009B690000}"/>
    <cellStyle name="40% - Accent3 7 3 2 3 5 2" xfId="21670" xr:uid="{00000000-0005-0000-0000-00009C690000}"/>
    <cellStyle name="40% - Accent3 7 3 2 3 5 2 2" xfId="47544" xr:uid="{00000000-0005-0000-0000-00009D690000}"/>
    <cellStyle name="40% - Accent3 7 3 2 3 5 3" xfId="34628" xr:uid="{00000000-0005-0000-0000-00009E690000}"/>
    <cellStyle name="40% - Accent3 7 3 2 3 6" xfId="15212" xr:uid="{00000000-0005-0000-0000-00009F690000}"/>
    <cellStyle name="40% - Accent3 7 3 2 3 6 2" xfId="41086" xr:uid="{00000000-0005-0000-0000-0000A0690000}"/>
    <cellStyle name="40% - Accent3 7 3 2 3 7" xfId="28138" xr:uid="{00000000-0005-0000-0000-0000A1690000}"/>
    <cellStyle name="40% - Accent3 7 3 2 3 8" xfId="54000" xr:uid="{00000000-0005-0000-0000-0000A2690000}"/>
    <cellStyle name="40% - Accent3 7 3 2 4" xfId="2652" xr:uid="{00000000-0005-0000-0000-0000A3690000}"/>
    <cellStyle name="40% - Accent3 7 3 2 4 2" xfId="4309" xr:uid="{00000000-0005-0000-0000-0000A4690000}"/>
    <cellStyle name="40% - Accent3 7 3 2 4 2 2" xfId="7540" xr:uid="{00000000-0005-0000-0000-0000A5690000}"/>
    <cellStyle name="40% - Accent3 7 3 2 4 2 2 2" xfId="13999" xr:uid="{00000000-0005-0000-0000-0000A6690000}"/>
    <cellStyle name="40% - Accent3 7 3 2 4 2 2 2 2" xfId="26916" xr:uid="{00000000-0005-0000-0000-0000A7690000}"/>
    <cellStyle name="40% - Accent3 7 3 2 4 2 2 2 2 2" xfId="52790" xr:uid="{00000000-0005-0000-0000-0000A8690000}"/>
    <cellStyle name="40% - Accent3 7 3 2 4 2 2 2 3" xfId="39874" xr:uid="{00000000-0005-0000-0000-0000A9690000}"/>
    <cellStyle name="40% - Accent3 7 3 2 4 2 2 3" xfId="20458" xr:uid="{00000000-0005-0000-0000-0000AA690000}"/>
    <cellStyle name="40% - Accent3 7 3 2 4 2 2 3 2" xfId="46332" xr:uid="{00000000-0005-0000-0000-0000AB690000}"/>
    <cellStyle name="40% - Accent3 7 3 2 4 2 2 4" xfId="33416" xr:uid="{00000000-0005-0000-0000-0000AC690000}"/>
    <cellStyle name="40% - Accent3 7 3 2 4 2 3" xfId="10771" xr:uid="{00000000-0005-0000-0000-0000AD690000}"/>
    <cellStyle name="40% - Accent3 7 3 2 4 2 3 2" xfId="23688" xr:uid="{00000000-0005-0000-0000-0000AE690000}"/>
    <cellStyle name="40% - Accent3 7 3 2 4 2 3 2 2" xfId="49562" xr:uid="{00000000-0005-0000-0000-0000AF690000}"/>
    <cellStyle name="40% - Accent3 7 3 2 4 2 3 3" xfId="36646" xr:uid="{00000000-0005-0000-0000-0000B0690000}"/>
    <cellStyle name="40% - Accent3 7 3 2 4 2 4" xfId="17230" xr:uid="{00000000-0005-0000-0000-0000B1690000}"/>
    <cellStyle name="40% - Accent3 7 3 2 4 2 4 2" xfId="43104" xr:uid="{00000000-0005-0000-0000-0000B2690000}"/>
    <cellStyle name="40% - Accent3 7 3 2 4 2 5" xfId="30156" xr:uid="{00000000-0005-0000-0000-0000B3690000}"/>
    <cellStyle name="40% - Accent3 7 3 2 4 3" xfId="5926" xr:uid="{00000000-0005-0000-0000-0000B4690000}"/>
    <cellStyle name="40% - Accent3 7 3 2 4 3 2" xfId="12385" xr:uid="{00000000-0005-0000-0000-0000B5690000}"/>
    <cellStyle name="40% - Accent3 7 3 2 4 3 2 2" xfId="25302" xr:uid="{00000000-0005-0000-0000-0000B6690000}"/>
    <cellStyle name="40% - Accent3 7 3 2 4 3 2 2 2" xfId="51176" xr:uid="{00000000-0005-0000-0000-0000B7690000}"/>
    <cellStyle name="40% - Accent3 7 3 2 4 3 2 3" xfId="38260" xr:uid="{00000000-0005-0000-0000-0000B8690000}"/>
    <cellStyle name="40% - Accent3 7 3 2 4 3 3" xfId="18844" xr:uid="{00000000-0005-0000-0000-0000B9690000}"/>
    <cellStyle name="40% - Accent3 7 3 2 4 3 3 2" xfId="44718" xr:uid="{00000000-0005-0000-0000-0000BA690000}"/>
    <cellStyle name="40% - Accent3 7 3 2 4 3 4" xfId="31802" xr:uid="{00000000-0005-0000-0000-0000BB690000}"/>
    <cellStyle name="40% - Accent3 7 3 2 4 4" xfId="9157" xr:uid="{00000000-0005-0000-0000-0000BC690000}"/>
    <cellStyle name="40% - Accent3 7 3 2 4 4 2" xfId="22074" xr:uid="{00000000-0005-0000-0000-0000BD690000}"/>
    <cellStyle name="40% - Accent3 7 3 2 4 4 2 2" xfId="47948" xr:uid="{00000000-0005-0000-0000-0000BE690000}"/>
    <cellStyle name="40% - Accent3 7 3 2 4 4 3" xfId="35032" xr:uid="{00000000-0005-0000-0000-0000BF690000}"/>
    <cellStyle name="40% - Accent3 7 3 2 4 5" xfId="15616" xr:uid="{00000000-0005-0000-0000-0000C0690000}"/>
    <cellStyle name="40% - Accent3 7 3 2 4 5 2" xfId="41490" xr:uid="{00000000-0005-0000-0000-0000C1690000}"/>
    <cellStyle name="40% - Accent3 7 3 2 4 6" xfId="28542" xr:uid="{00000000-0005-0000-0000-0000C2690000}"/>
    <cellStyle name="40% - Accent3 7 3 2 5" xfId="3479" xr:uid="{00000000-0005-0000-0000-0000C3690000}"/>
    <cellStyle name="40% - Accent3 7 3 2 5 2" xfId="6733" xr:uid="{00000000-0005-0000-0000-0000C4690000}"/>
    <cellStyle name="40% - Accent3 7 3 2 5 2 2" xfId="13192" xr:uid="{00000000-0005-0000-0000-0000C5690000}"/>
    <cellStyle name="40% - Accent3 7 3 2 5 2 2 2" xfId="26109" xr:uid="{00000000-0005-0000-0000-0000C6690000}"/>
    <cellStyle name="40% - Accent3 7 3 2 5 2 2 2 2" xfId="51983" xr:uid="{00000000-0005-0000-0000-0000C7690000}"/>
    <cellStyle name="40% - Accent3 7 3 2 5 2 2 3" xfId="39067" xr:uid="{00000000-0005-0000-0000-0000C8690000}"/>
    <cellStyle name="40% - Accent3 7 3 2 5 2 3" xfId="19651" xr:uid="{00000000-0005-0000-0000-0000C9690000}"/>
    <cellStyle name="40% - Accent3 7 3 2 5 2 3 2" xfId="45525" xr:uid="{00000000-0005-0000-0000-0000CA690000}"/>
    <cellStyle name="40% - Accent3 7 3 2 5 2 4" xfId="32609" xr:uid="{00000000-0005-0000-0000-0000CB690000}"/>
    <cellStyle name="40% - Accent3 7 3 2 5 3" xfId="9964" xr:uid="{00000000-0005-0000-0000-0000CC690000}"/>
    <cellStyle name="40% - Accent3 7 3 2 5 3 2" xfId="22881" xr:uid="{00000000-0005-0000-0000-0000CD690000}"/>
    <cellStyle name="40% - Accent3 7 3 2 5 3 2 2" xfId="48755" xr:uid="{00000000-0005-0000-0000-0000CE690000}"/>
    <cellStyle name="40% - Accent3 7 3 2 5 3 3" xfId="35839" xr:uid="{00000000-0005-0000-0000-0000CF690000}"/>
    <cellStyle name="40% - Accent3 7 3 2 5 4" xfId="16423" xr:uid="{00000000-0005-0000-0000-0000D0690000}"/>
    <cellStyle name="40% - Accent3 7 3 2 5 4 2" xfId="42297" xr:uid="{00000000-0005-0000-0000-0000D1690000}"/>
    <cellStyle name="40% - Accent3 7 3 2 5 5" xfId="29349" xr:uid="{00000000-0005-0000-0000-0000D2690000}"/>
    <cellStyle name="40% - Accent3 7 3 2 6" xfId="5119" xr:uid="{00000000-0005-0000-0000-0000D3690000}"/>
    <cellStyle name="40% - Accent3 7 3 2 6 2" xfId="11578" xr:uid="{00000000-0005-0000-0000-0000D4690000}"/>
    <cellStyle name="40% - Accent3 7 3 2 6 2 2" xfId="24495" xr:uid="{00000000-0005-0000-0000-0000D5690000}"/>
    <cellStyle name="40% - Accent3 7 3 2 6 2 2 2" xfId="50369" xr:uid="{00000000-0005-0000-0000-0000D6690000}"/>
    <cellStyle name="40% - Accent3 7 3 2 6 2 3" xfId="37453" xr:uid="{00000000-0005-0000-0000-0000D7690000}"/>
    <cellStyle name="40% - Accent3 7 3 2 6 3" xfId="18037" xr:uid="{00000000-0005-0000-0000-0000D8690000}"/>
    <cellStyle name="40% - Accent3 7 3 2 6 3 2" xfId="43911" xr:uid="{00000000-0005-0000-0000-0000D9690000}"/>
    <cellStyle name="40% - Accent3 7 3 2 6 4" xfId="30995" xr:uid="{00000000-0005-0000-0000-0000DA690000}"/>
    <cellStyle name="40% - Accent3 7 3 2 7" xfId="8349" xr:uid="{00000000-0005-0000-0000-0000DB690000}"/>
    <cellStyle name="40% - Accent3 7 3 2 7 2" xfId="21266" xr:uid="{00000000-0005-0000-0000-0000DC690000}"/>
    <cellStyle name="40% - Accent3 7 3 2 7 2 2" xfId="47140" xr:uid="{00000000-0005-0000-0000-0000DD690000}"/>
    <cellStyle name="40% - Accent3 7 3 2 7 3" xfId="34224" xr:uid="{00000000-0005-0000-0000-0000DE690000}"/>
    <cellStyle name="40% - Accent3 7 3 2 8" xfId="14808" xr:uid="{00000000-0005-0000-0000-0000DF690000}"/>
    <cellStyle name="40% - Accent3 7 3 2 8 2" xfId="40682" xr:uid="{00000000-0005-0000-0000-0000E0690000}"/>
    <cellStyle name="40% - Accent3 7 3 2 9" xfId="27734" xr:uid="{00000000-0005-0000-0000-0000E1690000}"/>
    <cellStyle name="40% - Accent3 7 3 3" xfId="1857" xr:uid="{00000000-0005-0000-0000-0000E2690000}"/>
    <cellStyle name="40% - Accent3 7 3 3 2" xfId="2299" xr:uid="{00000000-0005-0000-0000-0000E3690000}"/>
    <cellStyle name="40% - Accent3 7 3 3 2 2" xfId="3113" xr:uid="{00000000-0005-0000-0000-0000E4690000}"/>
    <cellStyle name="40% - Accent3 7 3 3 2 2 2" xfId="4770" xr:uid="{00000000-0005-0000-0000-0000E5690000}"/>
    <cellStyle name="40% - Accent3 7 3 3 2 2 2 2" xfId="8001" xr:uid="{00000000-0005-0000-0000-0000E6690000}"/>
    <cellStyle name="40% - Accent3 7 3 3 2 2 2 2 2" xfId="14460" xr:uid="{00000000-0005-0000-0000-0000E7690000}"/>
    <cellStyle name="40% - Accent3 7 3 3 2 2 2 2 2 2" xfId="27377" xr:uid="{00000000-0005-0000-0000-0000E8690000}"/>
    <cellStyle name="40% - Accent3 7 3 3 2 2 2 2 2 2 2" xfId="53251" xr:uid="{00000000-0005-0000-0000-0000E9690000}"/>
    <cellStyle name="40% - Accent3 7 3 3 2 2 2 2 2 3" xfId="40335" xr:uid="{00000000-0005-0000-0000-0000EA690000}"/>
    <cellStyle name="40% - Accent3 7 3 3 2 2 2 2 3" xfId="20919" xr:uid="{00000000-0005-0000-0000-0000EB690000}"/>
    <cellStyle name="40% - Accent3 7 3 3 2 2 2 2 3 2" xfId="46793" xr:uid="{00000000-0005-0000-0000-0000EC690000}"/>
    <cellStyle name="40% - Accent3 7 3 3 2 2 2 2 4" xfId="33877" xr:uid="{00000000-0005-0000-0000-0000ED690000}"/>
    <cellStyle name="40% - Accent3 7 3 3 2 2 2 3" xfId="11232" xr:uid="{00000000-0005-0000-0000-0000EE690000}"/>
    <cellStyle name="40% - Accent3 7 3 3 2 2 2 3 2" xfId="24149" xr:uid="{00000000-0005-0000-0000-0000EF690000}"/>
    <cellStyle name="40% - Accent3 7 3 3 2 2 2 3 2 2" xfId="50023" xr:uid="{00000000-0005-0000-0000-0000F0690000}"/>
    <cellStyle name="40% - Accent3 7 3 3 2 2 2 3 3" xfId="37107" xr:uid="{00000000-0005-0000-0000-0000F1690000}"/>
    <cellStyle name="40% - Accent3 7 3 3 2 2 2 4" xfId="17691" xr:uid="{00000000-0005-0000-0000-0000F2690000}"/>
    <cellStyle name="40% - Accent3 7 3 3 2 2 2 4 2" xfId="43565" xr:uid="{00000000-0005-0000-0000-0000F3690000}"/>
    <cellStyle name="40% - Accent3 7 3 3 2 2 2 5" xfId="30617" xr:uid="{00000000-0005-0000-0000-0000F4690000}"/>
    <cellStyle name="40% - Accent3 7 3 3 2 2 3" xfId="6387" xr:uid="{00000000-0005-0000-0000-0000F5690000}"/>
    <cellStyle name="40% - Accent3 7 3 3 2 2 3 2" xfId="12846" xr:uid="{00000000-0005-0000-0000-0000F6690000}"/>
    <cellStyle name="40% - Accent3 7 3 3 2 2 3 2 2" xfId="25763" xr:uid="{00000000-0005-0000-0000-0000F7690000}"/>
    <cellStyle name="40% - Accent3 7 3 3 2 2 3 2 2 2" xfId="51637" xr:uid="{00000000-0005-0000-0000-0000F8690000}"/>
    <cellStyle name="40% - Accent3 7 3 3 2 2 3 2 3" xfId="38721" xr:uid="{00000000-0005-0000-0000-0000F9690000}"/>
    <cellStyle name="40% - Accent3 7 3 3 2 2 3 3" xfId="19305" xr:uid="{00000000-0005-0000-0000-0000FA690000}"/>
    <cellStyle name="40% - Accent3 7 3 3 2 2 3 3 2" xfId="45179" xr:uid="{00000000-0005-0000-0000-0000FB690000}"/>
    <cellStyle name="40% - Accent3 7 3 3 2 2 3 4" xfId="32263" xr:uid="{00000000-0005-0000-0000-0000FC690000}"/>
    <cellStyle name="40% - Accent3 7 3 3 2 2 4" xfId="9618" xr:uid="{00000000-0005-0000-0000-0000FD690000}"/>
    <cellStyle name="40% - Accent3 7 3 3 2 2 4 2" xfId="22535" xr:uid="{00000000-0005-0000-0000-0000FE690000}"/>
    <cellStyle name="40% - Accent3 7 3 3 2 2 4 2 2" xfId="48409" xr:uid="{00000000-0005-0000-0000-0000FF690000}"/>
    <cellStyle name="40% - Accent3 7 3 3 2 2 4 3" xfId="35493" xr:uid="{00000000-0005-0000-0000-0000006A0000}"/>
    <cellStyle name="40% - Accent3 7 3 3 2 2 5" xfId="16077" xr:uid="{00000000-0005-0000-0000-0000016A0000}"/>
    <cellStyle name="40% - Accent3 7 3 3 2 2 5 2" xfId="41951" xr:uid="{00000000-0005-0000-0000-0000026A0000}"/>
    <cellStyle name="40% - Accent3 7 3 3 2 2 6" xfId="29003" xr:uid="{00000000-0005-0000-0000-0000036A0000}"/>
    <cellStyle name="40% - Accent3 7 3 3 2 3" xfId="3940" xr:uid="{00000000-0005-0000-0000-0000046A0000}"/>
    <cellStyle name="40% - Accent3 7 3 3 2 3 2" xfId="7194" xr:uid="{00000000-0005-0000-0000-0000056A0000}"/>
    <cellStyle name="40% - Accent3 7 3 3 2 3 2 2" xfId="13653" xr:uid="{00000000-0005-0000-0000-0000066A0000}"/>
    <cellStyle name="40% - Accent3 7 3 3 2 3 2 2 2" xfId="26570" xr:uid="{00000000-0005-0000-0000-0000076A0000}"/>
    <cellStyle name="40% - Accent3 7 3 3 2 3 2 2 2 2" xfId="52444" xr:uid="{00000000-0005-0000-0000-0000086A0000}"/>
    <cellStyle name="40% - Accent3 7 3 3 2 3 2 2 3" xfId="39528" xr:uid="{00000000-0005-0000-0000-0000096A0000}"/>
    <cellStyle name="40% - Accent3 7 3 3 2 3 2 3" xfId="20112" xr:uid="{00000000-0005-0000-0000-00000A6A0000}"/>
    <cellStyle name="40% - Accent3 7 3 3 2 3 2 3 2" xfId="45986" xr:uid="{00000000-0005-0000-0000-00000B6A0000}"/>
    <cellStyle name="40% - Accent3 7 3 3 2 3 2 4" xfId="33070" xr:uid="{00000000-0005-0000-0000-00000C6A0000}"/>
    <cellStyle name="40% - Accent3 7 3 3 2 3 3" xfId="10425" xr:uid="{00000000-0005-0000-0000-00000D6A0000}"/>
    <cellStyle name="40% - Accent3 7 3 3 2 3 3 2" xfId="23342" xr:uid="{00000000-0005-0000-0000-00000E6A0000}"/>
    <cellStyle name="40% - Accent3 7 3 3 2 3 3 2 2" xfId="49216" xr:uid="{00000000-0005-0000-0000-00000F6A0000}"/>
    <cellStyle name="40% - Accent3 7 3 3 2 3 3 3" xfId="36300" xr:uid="{00000000-0005-0000-0000-0000106A0000}"/>
    <cellStyle name="40% - Accent3 7 3 3 2 3 4" xfId="16884" xr:uid="{00000000-0005-0000-0000-0000116A0000}"/>
    <cellStyle name="40% - Accent3 7 3 3 2 3 4 2" xfId="42758" xr:uid="{00000000-0005-0000-0000-0000126A0000}"/>
    <cellStyle name="40% - Accent3 7 3 3 2 3 5" xfId="29810" xr:uid="{00000000-0005-0000-0000-0000136A0000}"/>
    <cellStyle name="40% - Accent3 7 3 3 2 4" xfId="5580" xr:uid="{00000000-0005-0000-0000-0000146A0000}"/>
    <cellStyle name="40% - Accent3 7 3 3 2 4 2" xfId="12039" xr:uid="{00000000-0005-0000-0000-0000156A0000}"/>
    <cellStyle name="40% - Accent3 7 3 3 2 4 2 2" xfId="24956" xr:uid="{00000000-0005-0000-0000-0000166A0000}"/>
    <cellStyle name="40% - Accent3 7 3 3 2 4 2 2 2" xfId="50830" xr:uid="{00000000-0005-0000-0000-0000176A0000}"/>
    <cellStyle name="40% - Accent3 7 3 3 2 4 2 3" xfId="37914" xr:uid="{00000000-0005-0000-0000-0000186A0000}"/>
    <cellStyle name="40% - Accent3 7 3 3 2 4 3" xfId="18498" xr:uid="{00000000-0005-0000-0000-0000196A0000}"/>
    <cellStyle name="40% - Accent3 7 3 3 2 4 3 2" xfId="44372" xr:uid="{00000000-0005-0000-0000-00001A6A0000}"/>
    <cellStyle name="40% - Accent3 7 3 3 2 4 4" xfId="31456" xr:uid="{00000000-0005-0000-0000-00001B6A0000}"/>
    <cellStyle name="40% - Accent3 7 3 3 2 5" xfId="8811" xr:uid="{00000000-0005-0000-0000-00001C6A0000}"/>
    <cellStyle name="40% - Accent3 7 3 3 2 5 2" xfId="21728" xr:uid="{00000000-0005-0000-0000-00001D6A0000}"/>
    <cellStyle name="40% - Accent3 7 3 3 2 5 2 2" xfId="47602" xr:uid="{00000000-0005-0000-0000-00001E6A0000}"/>
    <cellStyle name="40% - Accent3 7 3 3 2 5 3" xfId="34686" xr:uid="{00000000-0005-0000-0000-00001F6A0000}"/>
    <cellStyle name="40% - Accent3 7 3 3 2 6" xfId="15270" xr:uid="{00000000-0005-0000-0000-0000206A0000}"/>
    <cellStyle name="40% - Accent3 7 3 3 2 6 2" xfId="41144" xr:uid="{00000000-0005-0000-0000-0000216A0000}"/>
    <cellStyle name="40% - Accent3 7 3 3 2 7" xfId="28196" xr:uid="{00000000-0005-0000-0000-0000226A0000}"/>
    <cellStyle name="40% - Accent3 7 3 3 2 8" xfId="54058" xr:uid="{00000000-0005-0000-0000-0000236A0000}"/>
    <cellStyle name="40% - Accent3 7 3 3 3" xfId="2710" xr:uid="{00000000-0005-0000-0000-0000246A0000}"/>
    <cellStyle name="40% - Accent3 7 3 3 3 2" xfId="4367" xr:uid="{00000000-0005-0000-0000-0000256A0000}"/>
    <cellStyle name="40% - Accent3 7 3 3 3 2 2" xfId="7598" xr:uid="{00000000-0005-0000-0000-0000266A0000}"/>
    <cellStyle name="40% - Accent3 7 3 3 3 2 2 2" xfId="14057" xr:uid="{00000000-0005-0000-0000-0000276A0000}"/>
    <cellStyle name="40% - Accent3 7 3 3 3 2 2 2 2" xfId="26974" xr:uid="{00000000-0005-0000-0000-0000286A0000}"/>
    <cellStyle name="40% - Accent3 7 3 3 3 2 2 2 2 2" xfId="52848" xr:uid="{00000000-0005-0000-0000-0000296A0000}"/>
    <cellStyle name="40% - Accent3 7 3 3 3 2 2 2 3" xfId="39932" xr:uid="{00000000-0005-0000-0000-00002A6A0000}"/>
    <cellStyle name="40% - Accent3 7 3 3 3 2 2 3" xfId="20516" xr:uid="{00000000-0005-0000-0000-00002B6A0000}"/>
    <cellStyle name="40% - Accent3 7 3 3 3 2 2 3 2" xfId="46390" xr:uid="{00000000-0005-0000-0000-00002C6A0000}"/>
    <cellStyle name="40% - Accent3 7 3 3 3 2 2 4" xfId="33474" xr:uid="{00000000-0005-0000-0000-00002D6A0000}"/>
    <cellStyle name="40% - Accent3 7 3 3 3 2 3" xfId="10829" xr:uid="{00000000-0005-0000-0000-00002E6A0000}"/>
    <cellStyle name="40% - Accent3 7 3 3 3 2 3 2" xfId="23746" xr:uid="{00000000-0005-0000-0000-00002F6A0000}"/>
    <cellStyle name="40% - Accent3 7 3 3 3 2 3 2 2" xfId="49620" xr:uid="{00000000-0005-0000-0000-0000306A0000}"/>
    <cellStyle name="40% - Accent3 7 3 3 3 2 3 3" xfId="36704" xr:uid="{00000000-0005-0000-0000-0000316A0000}"/>
    <cellStyle name="40% - Accent3 7 3 3 3 2 4" xfId="17288" xr:uid="{00000000-0005-0000-0000-0000326A0000}"/>
    <cellStyle name="40% - Accent3 7 3 3 3 2 4 2" xfId="43162" xr:uid="{00000000-0005-0000-0000-0000336A0000}"/>
    <cellStyle name="40% - Accent3 7 3 3 3 2 5" xfId="30214" xr:uid="{00000000-0005-0000-0000-0000346A0000}"/>
    <cellStyle name="40% - Accent3 7 3 3 3 3" xfId="5984" xr:uid="{00000000-0005-0000-0000-0000356A0000}"/>
    <cellStyle name="40% - Accent3 7 3 3 3 3 2" xfId="12443" xr:uid="{00000000-0005-0000-0000-0000366A0000}"/>
    <cellStyle name="40% - Accent3 7 3 3 3 3 2 2" xfId="25360" xr:uid="{00000000-0005-0000-0000-0000376A0000}"/>
    <cellStyle name="40% - Accent3 7 3 3 3 3 2 2 2" xfId="51234" xr:uid="{00000000-0005-0000-0000-0000386A0000}"/>
    <cellStyle name="40% - Accent3 7 3 3 3 3 2 3" xfId="38318" xr:uid="{00000000-0005-0000-0000-0000396A0000}"/>
    <cellStyle name="40% - Accent3 7 3 3 3 3 3" xfId="18902" xr:uid="{00000000-0005-0000-0000-00003A6A0000}"/>
    <cellStyle name="40% - Accent3 7 3 3 3 3 3 2" xfId="44776" xr:uid="{00000000-0005-0000-0000-00003B6A0000}"/>
    <cellStyle name="40% - Accent3 7 3 3 3 3 4" xfId="31860" xr:uid="{00000000-0005-0000-0000-00003C6A0000}"/>
    <cellStyle name="40% - Accent3 7 3 3 3 4" xfId="9215" xr:uid="{00000000-0005-0000-0000-00003D6A0000}"/>
    <cellStyle name="40% - Accent3 7 3 3 3 4 2" xfId="22132" xr:uid="{00000000-0005-0000-0000-00003E6A0000}"/>
    <cellStyle name="40% - Accent3 7 3 3 3 4 2 2" xfId="48006" xr:uid="{00000000-0005-0000-0000-00003F6A0000}"/>
    <cellStyle name="40% - Accent3 7 3 3 3 4 3" xfId="35090" xr:uid="{00000000-0005-0000-0000-0000406A0000}"/>
    <cellStyle name="40% - Accent3 7 3 3 3 5" xfId="15674" xr:uid="{00000000-0005-0000-0000-0000416A0000}"/>
    <cellStyle name="40% - Accent3 7 3 3 3 5 2" xfId="41548" xr:uid="{00000000-0005-0000-0000-0000426A0000}"/>
    <cellStyle name="40% - Accent3 7 3 3 3 6" xfId="28600" xr:uid="{00000000-0005-0000-0000-0000436A0000}"/>
    <cellStyle name="40% - Accent3 7 3 3 4" xfId="3537" xr:uid="{00000000-0005-0000-0000-0000446A0000}"/>
    <cellStyle name="40% - Accent3 7 3 3 4 2" xfId="6791" xr:uid="{00000000-0005-0000-0000-0000456A0000}"/>
    <cellStyle name="40% - Accent3 7 3 3 4 2 2" xfId="13250" xr:uid="{00000000-0005-0000-0000-0000466A0000}"/>
    <cellStyle name="40% - Accent3 7 3 3 4 2 2 2" xfId="26167" xr:uid="{00000000-0005-0000-0000-0000476A0000}"/>
    <cellStyle name="40% - Accent3 7 3 3 4 2 2 2 2" xfId="52041" xr:uid="{00000000-0005-0000-0000-0000486A0000}"/>
    <cellStyle name="40% - Accent3 7 3 3 4 2 2 3" xfId="39125" xr:uid="{00000000-0005-0000-0000-0000496A0000}"/>
    <cellStyle name="40% - Accent3 7 3 3 4 2 3" xfId="19709" xr:uid="{00000000-0005-0000-0000-00004A6A0000}"/>
    <cellStyle name="40% - Accent3 7 3 3 4 2 3 2" xfId="45583" xr:uid="{00000000-0005-0000-0000-00004B6A0000}"/>
    <cellStyle name="40% - Accent3 7 3 3 4 2 4" xfId="32667" xr:uid="{00000000-0005-0000-0000-00004C6A0000}"/>
    <cellStyle name="40% - Accent3 7 3 3 4 3" xfId="10022" xr:uid="{00000000-0005-0000-0000-00004D6A0000}"/>
    <cellStyle name="40% - Accent3 7 3 3 4 3 2" xfId="22939" xr:uid="{00000000-0005-0000-0000-00004E6A0000}"/>
    <cellStyle name="40% - Accent3 7 3 3 4 3 2 2" xfId="48813" xr:uid="{00000000-0005-0000-0000-00004F6A0000}"/>
    <cellStyle name="40% - Accent3 7 3 3 4 3 3" xfId="35897" xr:uid="{00000000-0005-0000-0000-0000506A0000}"/>
    <cellStyle name="40% - Accent3 7 3 3 4 4" xfId="16481" xr:uid="{00000000-0005-0000-0000-0000516A0000}"/>
    <cellStyle name="40% - Accent3 7 3 3 4 4 2" xfId="42355" xr:uid="{00000000-0005-0000-0000-0000526A0000}"/>
    <cellStyle name="40% - Accent3 7 3 3 4 5" xfId="29407" xr:uid="{00000000-0005-0000-0000-0000536A0000}"/>
    <cellStyle name="40% - Accent3 7 3 3 5" xfId="5177" xr:uid="{00000000-0005-0000-0000-0000546A0000}"/>
    <cellStyle name="40% - Accent3 7 3 3 5 2" xfId="11636" xr:uid="{00000000-0005-0000-0000-0000556A0000}"/>
    <cellStyle name="40% - Accent3 7 3 3 5 2 2" xfId="24553" xr:uid="{00000000-0005-0000-0000-0000566A0000}"/>
    <cellStyle name="40% - Accent3 7 3 3 5 2 2 2" xfId="50427" xr:uid="{00000000-0005-0000-0000-0000576A0000}"/>
    <cellStyle name="40% - Accent3 7 3 3 5 2 3" xfId="37511" xr:uid="{00000000-0005-0000-0000-0000586A0000}"/>
    <cellStyle name="40% - Accent3 7 3 3 5 3" xfId="18095" xr:uid="{00000000-0005-0000-0000-0000596A0000}"/>
    <cellStyle name="40% - Accent3 7 3 3 5 3 2" xfId="43969" xr:uid="{00000000-0005-0000-0000-00005A6A0000}"/>
    <cellStyle name="40% - Accent3 7 3 3 5 4" xfId="31053" xr:uid="{00000000-0005-0000-0000-00005B6A0000}"/>
    <cellStyle name="40% - Accent3 7 3 3 6" xfId="8407" xr:uid="{00000000-0005-0000-0000-00005C6A0000}"/>
    <cellStyle name="40% - Accent3 7 3 3 6 2" xfId="21324" xr:uid="{00000000-0005-0000-0000-00005D6A0000}"/>
    <cellStyle name="40% - Accent3 7 3 3 6 2 2" xfId="47198" xr:uid="{00000000-0005-0000-0000-00005E6A0000}"/>
    <cellStyle name="40% - Accent3 7 3 3 6 3" xfId="34282" xr:uid="{00000000-0005-0000-0000-00005F6A0000}"/>
    <cellStyle name="40% - Accent3 7 3 3 7" xfId="14866" xr:uid="{00000000-0005-0000-0000-0000606A0000}"/>
    <cellStyle name="40% - Accent3 7 3 3 7 2" xfId="40740" xr:uid="{00000000-0005-0000-0000-0000616A0000}"/>
    <cellStyle name="40% - Accent3 7 3 3 8" xfId="27792" xr:uid="{00000000-0005-0000-0000-0000626A0000}"/>
    <cellStyle name="40% - Accent3 7 3 3 9" xfId="53655" xr:uid="{00000000-0005-0000-0000-0000636A0000}"/>
    <cellStyle name="40% - Accent3 7 3 4" xfId="2101" xr:uid="{00000000-0005-0000-0000-0000646A0000}"/>
    <cellStyle name="40% - Accent3 7 3 4 2" xfId="2917" xr:uid="{00000000-0005-0000-0000-0000656A0000}"/>
    <cellStyle name="40% - Accent3 7 3 4 2 2" xfId="4574" xr:uid="{00000000-0005-0000-0000-0000666A0000}"/>
    <cellStyle name="40% - Accent3 7 3 4 2 2 2" xfId="7805" xr:uid="{00000000-0005-0000-0000-0000676A0000}"/>
    <cellStyle name="40% - Accent3 7 3 4 2 2 2 2" xfId="14264" xr:uid="{00000000-0005-0000-0000-0000686A0000}"/>
    <cellStyle name="40% - Accent3 7 3 4 2 2 2 2 2" xfId="27181" xr:uid="{00000000-0005-0000-0000-0000696A0000}"/>
    <cellStyle name="40% - Accent3 7 3 4 2 2 2 2 2 2" xfId="53055" xr:uid="{00000000-0005-0000-0000-00006A6A0000}"/>
    <cellStyle name="40% - Accent3 7 3 4 2 2 2 2 3" xfId="40139" xr:uid="{00000000-0005-0000-0000-00006B6A0000}"/>
    <cellStyle name="40% - Accent3 7 3 4 2 2 2 3" xfId="20723" xr:uid="{00000000-0005-0000-0000-00006C6A0000}"/>
    <cellStyle name="40% - Accent3 7 3 4 2 2 2 3 2" xfId="46597" xr:uid="{00000000-0005-0000-0000-00006D6A0000}"/>
    <cellStyle name="40% - Accent3 7 3 4 2 2 2 4" xfId="33681" xr:uid="{00000000-0005-0000-0000-00006E6A0000}"/>
    <cellStyle name="40% - Accent3 7 3 4 2 2 3" xfId="11036" xr:uid="{00000000-0005-0000-0000-00006F6A0000}"/>
    <cellStyle name="40% - Accent3 7 3 4 2 2 3 2" xfId="23953" xr:uid="{00000000-0005-0000-0000-0000706A0000}"/>
    <cellStyle name="40% - Accent3 7 3 4 2 2 3 2 2" xfId="49827" xr:uid="{00000000-0005-0000-0000-0000716A0000}"/>
    <cellStyle name="40% - Accent3 7 3 4 2 2 3 3" xfId="36911" xr:uid="{00000000-0005-0000-0000-0000726A0000}"/>
    <cellStyle name="40% - Accent3 7 3 4 2 2 4" xfId="17495" xr:uid="{00000000-0005-0000-0000-0000736A0000}"/>
    <cellStyle name="40% - Accent3 7 3 4 2 2 4 2" xfId="43369" xr:uid="{00000000-0005-0000-0000-0000746A0000}"/>
    <cellStyle name="40% - Accent3 7 3 4 2 2 5" xfId="30421" xr:uid="{00000000-0005-0000-0000-0000756A0000}"/>
    <cellStyle name="40% - Accent3 7 3 4 2 3" xfId="6191" xr:uid="{00000000-0005-0000-0000-0000766A0000}"/>
    <cellStyle name="40% - Accent3 7 3 4 2 3 2" xfId="12650" xr:uid="{00000000-0005-0000-0000-0000776A0000}"/>
    <cellStyle name="40% - Accent3 7 3 4 2 3 2 2" xfId="25567" xr:uid="{00000000-0005-0000-0000-0000786A0000}"/>
    <cellStyle name="40% - Accent3 7 3 4 2 3 2 2 2" xfId="51441" xr:uid="{00000000-0005-0000-0000-0000796A0000}"/>
    <cellStyle name="40% - Accent3 7 3 4 2 3 2 3" xfId="38525" xr:uid="{00000000-0005-0000-0000-00007A6A0000}"/>
    <cellStyle name="40% - Accent3 7 3 4 2 3 3" xfId="19109" xr:uid="{00000000-0005-0000-0000-00007B6A0000}"/>
    <cellStyle name="40% - Accent3 7 3 4 2 3 3 2" xfId="44983" xr:uid="{00000000-0005-0000-0000-00007C6A0000}"/>
    <cellStyle name="40% - Accent3 7 3 4 2 3 4" xfId="32067" xr:uid="{00000000-0005-0000-0000-00007D6A0000}"/>
    <cellStyle name="40% - Accent3 7 3 4 2 4" xfId="9422" xr:uid="{00000000-0005-0000-0000-00007E6A0000}"/>
    <cellStyle name="40% - Accent3 7 3 4 2 4 2" xfId="22339" xr:uid="{00000000-0005-0000-0000-00007F6A0000}"/>
    <cellStyle name="40% - Accent3 7 3 4 2 4 2 2" xfId="48213" xr:uid="{00000000-0005-0000-0000-0000806A0000}"/>
    <cellStyle name="40% - Accent3 7 3 4 2 4 3" xfId="35297" xr:uid="{00000000-0005-0000-0000-0000816A0000}"/>
    <cellStyle name="40% - Accent3 7 3 4 2 5" xfId="15881" xr:uid="{00000000-0005-0000-0000-0000826A0000}"/>
    <cellStyle name="40% - Accent3 7 3 4 2 5 2" xfId="41755" xr:uid="{00000000-0005-0000-0000-0000836A0000}"/>
    <cellStyle name="40% - Accent3 7 3 4 2 6" xfId="28807" xr:uid="{00000000-0005-0000-0000-0000846A0000}"/>
    <cellStyle name="40% - Accent3 7 3 4 3" xfId="3744" xr:uid="{00000000-0005-0000-0000-0000856A0000}"/>
    <cellStyle name="40% - Accent3 7 3 4 3 2" xfId="6998" xr:uid="{00000000-0005-0000-0000-0000866A0000}"/>
    <cellStyle name="40% - Accent3 7 3 4 3 2 2" xfId="13457" xr:uid="{00000000-0005-0000-0000-0000876A0000}"/>
    <cellStyle name="40% - Accent3 7 3 4 3 2 2 2" xfId="26374" xr:uid="{00000000-0005-0000-0000-0000886A0000}"/>
    <cellStyle name="40% - Accent3 7 3 4 3 2 2 2 2" xfId="52248" xr:uid="{00000000-0005-0000-0000-0000896A0000}"/>
    <cellStyle name="40% - Accent3 7 3 4 3 2 2 3" xfId="39332" xr:uid="{00000000-0005-0000-0000-00008A6A0000}"/>
    <cellStyle name="40% - Accent3 7 3 4 3 2 3" xfId="19916" xr:uid="{00000000-0005-0000-0000-00008B6A0000}"/>
    <cellStyle name="40% - Accent3 7 3 4 3 2 3 2" xfId="45790" xr:uid="{00000000-0005-0000-0000-00008C6A0000}"/>
    <cellStyle name="40% - Accent3 7 3 4 3 2 4" xfId="32874" xr:uid="{00000000-0005-0000-0000-00008D6A0000}"/>
    <cellStyle name="40% - Accent3 7 3 4 3 3" xfId="10229" xr:uid="{00000000-0005-0000-0000-00008E6A0000}"/>
    <cellStyle name="40% - Accent3 7 3 4 3 3 2" xfId="23146" xr:uid="{00000000-0005-0000-0000-00008F6A0000}"/>
    <cellStyle name="40% - Accent3 7 3 4 3 3 2 2" xfId="49020" xr:uid="{00000000-0005-0000-0000-0000906A0000}"/>
    <cellStyle name="40% - Accent3 7 3 4 3 3 3" xfId="36104" xr:uid="{00000000-0005-0000-0000-0000916A0000}"/>
    <cellStyle name="40% - Accent3 7 3 4 3 4" xfId="16688" xr:uid="{00000000-0005-0000-0000-0000926A0000}"/>
    <cellStyle name="40% - Accent3 7 3 4 3 4 2" xfId="42562" xr:uid="{00000000-0005-0000-0000-0000936A0000}"/>
    <cellStyle name="40% - Accent3 7 3 4 3 5" xfId="29614" xr:uid="{00000000-0005-0000-0000-0000946A0000}"/>
    <cellStyle name="40% - Accent3 7 3 4 4" xfId="5384" xr:uid="{00000000-0005-0000-0000-0000956A0000}"/>
    <cellStyle name="40% - Accent3 7 3 4 4 2" xfId="11843" xr:uid="{00000000-0005-0000-0000-0000966A0000}"/>
    <cellStyle name="40% - Accent3 7 3 4 4 2 2" xfId="24760" xr:uid="{00000000-0005-0000-0000-0000976A0000}"/>
    <cellStyle name="40% - Accent3 7 3 4 4 2 2 2" xfId="50634" xr:uid="{00000000-0005-0000-0000-0000986A0000}"/>
    <cellStyle name="40% - Accent3 7 3 4 4 2 3" xfId="37718" xr:uid="{00000000-0005-0000-0000-0000996A0000}"/>
    <cellStyle name="40% - Accent3 7 3 4 4 3" xfId="18302" xr:uid="{00000000-0005-0000-0000-00009A6A0000}"/>
    <cellStyle name="40% - Accent3 7 3 4 4 3 2" xfId="44176" xr:uid="{00000000-0005-0000-0000-00009B6A0000}"/>
    <cellStyle name="40% - Accent3 7 3 4 4 4" xfId="31260" xr:uid="{00000000-0005-0000-0000-00009C6A0000}"/>
    <cellStyle name="40% - Accent3 7 3 4 5" xfId="8615" xr:uid="{00000000-0005-0000-0000-00009D6A0000}"/>
    <cellStyle name="40% - Accent3 7 3 4 5 2" xfId="21532" xr:uid="{00000000-0005-0000-0000-00009E6A0000}"/>
    <cellStyle name="40% - Accent3 7 3 4 5 2 2" xfId="47406" xr:uid="{00000000-0005-0000-0000-00009F6A0000}"/>
    <cellStyle name="40% - Accent3 7 3 4 5 3" xfId="34490" xr:uid="{00000000-0005-0000-0000-0000A06A0000}"/>
    <cellStyle name="40% - Accent3 7 3 4 6" xfId="15074" xr:uid="{00000000-0005-0000-0000-0000A16A0000}"/>
    <cellStyle name="40% - Accent3 7 3 4 6 2" xfId="40948" xr:uid="{00000000-0005-0000-0000-0000A26A0000}"/>
    <cellStyle name="40% - Accent3 7 3 4 7" xfId="28000" xr:uid="{00000000-0005-0000-0000-0000A36A0000}"/>
    <cellStyle name="40% - Accent3 7 3 4 8" xfId="53862" xr:uid="{00000000-0005-0000-0000-0000A46A0000}"/>
    <cellStyle name="40% - Accent3 7 3 5" xfId="2515" xr:uid="{00000000-0005-0000-0000-0000A56A0000}"/>
    <cellStyle name="40% - Accent3 7 3 5 2" xfId="4172" xr:uid="{00000000-0005-0000-0000-0000A66A0000}"/>
    <cellStyle name="40% - Accent3 7 3 5 2 2" xfId="7403" xr:uid="{00000000-0005-0000-0000-0000A76A0000}"/>
    <cellStyle name="40% - Accent3 7 3 5 2 2 2" xfId="13862" xr:uid="{00000000-0005-0000-0000-0000A86A0000}"/>
    <cellStyle name="40% - Accent3 7 3 5 2 2 2 2" xfId="26779" xr:uid="{00000000-0005-0000-0000-0000A96A0000}"/>
    <cellStyle name="40% - Accent3 7 3 5 2 2 2 2 2" xfId="52653" xr:uid="{00000000-0005-0000-0000-0000AA6A0000}"/>
    <cellStyle name="40% - Accent3 7 3 5 2 2 2 3" xfId="39737" xr:uid="{00000000-0005-0000-0000-0000AB6A0000}"/>
    <cellStyle name="40% - Accent3 7 3 5 2 2 3" xfId="20321" xr:uid="{00000000-0005-0000-0000-0000AC6A0000}"/>
    <cellStyle name="40% - Accent3 7 3 5 2 2 3 2" xfId="46195" xr:uid="{00000000-0005-0000-0000-0000AD6A0000}"/>
    <cellStyle name="40% - Accent3 7 3 5 2 2 4" xfId="33279" xr:uid="{00000000-0005-0000-0000-0000AE6A0000}"/>
    <cellStyle name="40% - Accent3 7 3 5 2 3" xfId="10634" xr:uid="{00000000-0005-0000-0000-0000AF6A0000}"/>
    <cellStyle name="40% - Accent3 7 3 5 2 3 2" xfId="23551" xr:uid="{00000000-0005-0000-0000-0000B06A0000}"/>
    <cellStyle name="40% - Accent3 7 3 5 2 3 2 2" xfId="49425" xr:uid="{00000000-0005-0000-0000-0000B16A0000}"/>
    <cellStyle name="40% - Accent3 7 3 5 2 3 3" xfId="36509" xr:uid="{00000000-0005-0000-0000-0000B26A0000}"/>
    <cellStyle name="40% - Accent3 7 3 5 2 4" xfId="17093" xr:uid="{00000000-0005-0000-0000-0000B36A0000}"/>
    <cellStyle name="40% - Accent3 7 3 5 2 4 2" xfId="42967" xr:uid="{00000000-0005-0000-0000-0000B46A0000}"/>
    <cellStyle name="40% - Accent3 7 3 5 2 5" xfId="30019" xr:uid="{00000000-0005-0000-0000-0000B56A0000}"/>
    <cellStyle name="40% - Accent3 7 3 5 3" xfId="5789" xr:uid="{00000000-0005-0000-0000-0000B66A0000}"/>
    <cellStyle name="40% - Accent3 7 3 5 3 2" xfId="12248" xr:uid="{00000000-0005-0000-0000-0000B76A0000}"/>
    <cellStyle name="40% - Accent3 7 3 5 3 2 2" xfId="25165" xr:uid="{00000000-0005-0000-0000-0000B86A0000}"/>
    <cellStyle name="40% - Accent3 7 3 5 3 2 2 2" xfId="51039" xr:uid="{00000000-0005-0000-0000-0000B96A0000}"/>
    <cellStyle name="40% - Accent3 7 3 5 3 2 3" xfId="38123" xr:uid="{00000000-0005-0000-0000-0000BA6A0000}"/>
    <cellStyle name="40% - Accent3 7 3 5 3 3" xfId="18707" xr:uid="{00000000-0005-0000-0000-0000BB6A0000}"/>
    <cellStyle name="40% - Accent3 7 3 5 3 3 2" xfId="44581" xr:uid="{00000000-0005-0000-0000-0000BC6A0000}"/>
    <cellStyle name="40% - Accent3 7 3 5 3 4" xfId="31665" xr:uid="{00000000-0005-0000-0000-0000BD6A0000}"/>
    <cellStyle name="40% - Accent3 7 3 5 4" xfId="9020" xr:uid="{00000000-0005-0000-0000-0000BE6A0000}"/>
    <cellStyle name="40% - Accent3 7 3 5 4 2" xfId="21937" xr:uid="{00000000-0005-0000-0000-0000BF6A0000}"/>
    <cellStyle name="40% - Accent3 7 3 5 4 2 2" xfId="47811" xr:uid="{00000000-0005-0000-0000-0000C06A0000}"/>
    <cellStyle name="40% - Accent3 7 3 5 4 3" xfId="34895" xr:uid="{00000000-0005-0000-0000-0000C16A0000}"/>
    <cellStyle name="40% - Accent3 7 3 5 5" xfId="15479" xr:uid="{00000000-0005-0000-0000-0000C26A0000}"/>
    <cellStyle name="40% - Accent3 7 3 5 5 2" xfId="41353" xr:uid="{00000000-0005-0000-0000-0000C36A0000}"/>
    <cellStyle name="40% - Accent3 7 3 5 6" xfId="28405" xr:uid="{00000000-0005-0000-0000-0000C46A0000}"/>
    <cellStyle name="40% - Accent3 7 3 6" xfId="3335" xr:uid="{00000000-0005-0000-0000-0000C56A0000}"/>
    <cellStyle name="40% - Accent3 7 3 6 2" xfId="6596" xr:uid="{00000000-0005-0000-0000-0000C66A0000}"/>
    <cellStyle name="40% - Accent3 7 3 6 2 2" xfId="13055" xr:uid="{00000000-0005-0000-0000-0000C76A0000}"/>
    <cellStyle name="40% - Accent3 7 3 6 2 2 2" xfId="25972" xr:uid="{00000000-0005-0000-0000-0000C86A0000}"/>
    <cellStyle name="40% - Accent3 7 3 6 2 2 2 2" xfId="51846" xr:uid="{00000000-0005-0000-0000-0000C96A0000}"/>
    <cellStyle name="40% - Accent3 7 3 6 2 2 3" xfId="38930" xr:uid="{00000000-0005-0000-0000-0000CA6A0000}"/>
    <cellStyle name="40% - Accent3 7 3 6 2 3" xfId="19514" xr:uid="{00000000-0005-0000-0000-0000CB6A0000}"/>
    <cellStyle name="40% - Accent3 7 3 6 2 3 2" xfId="45388" xr:uid="{00000000-0005-0000-0000-0000CC6A0000}"/>
    <cellStyle name="40% - Accent3 7 3 6 2 4" xfId="32472" xr:uid="{00000000-0005-0000-0000-0000CD6A0000}"/>
    <cellStyle name="40% - Accent3 7 3 6 3" xfId="9827" xr:uid="{00000000-0005-0000-0000-0000CE6A0000}"/>
    <cellStyle name="40% - Accent3 7 3 6 3 2" xfId="22744" xr:uid="{00000000-0005-0000-0000-0000CF6A0000}"/>
    <cellStyle name="40% - Accent3 7 3 6 3 2 2" xfId="48618" xr:uid="{00000000-0005-0000-0000-0000D06A0000}"/>
    <cellStyle name="40% - Accent3 7 3 6 3 3" xfId="35702" xr:uid="{00000000-0005-0000-0000-0000D16A0000}"/>
    <cellStyle name="40% - Accent3 7 3 6 4" xfId="16286" xr:uid="{00000000-0005-0000-0000-0000D26A0000}"/>
    <cellStyle name="40% - Accent3 7 3 6 4 2" xfId="42160" xr:uid="{00000000-0005-0000-0000-0000D36A0000}"/>
    <cellStyle name="40% - Accent3 7 3 6 5" xfId="29212" xr:uid="{00000000-0005-0000-0000-0000D46A0000}"/>
    <cellStyle name="40% - Accent3 7 3 7" xfId="4982" xr:uid="{00000000-0005-0000-0000-0000D56A0000}"/>
    <cellStyle name="40% - Accent3 7 3 7 2" xfId="11441" xr:uid="{00000000-0005-0000-0000-0000D66A0000}"/>
    <cellStyle name="40% - Accent3 7 3 7 2 2" xfId="24358" xr:uid="{00000000-0005-0000-0000-0000D76A0000}"/>
    <cellStyle name="40% - Accent3 7 3 7 2 2 2" xfId="50232" xr:uid="{00000000-0005-0000-0000-0000D86A0000}"/>
    <cellStyle name="40% - Accent3 7 3 7 2 3" xfId="37316" xr:uid="{00000000-0005-0000-0000-0000D96A0000}"/>
    <cellStyle name="40% - Accent3 7 3 7 3" xfId="17900" xr:uid="{00000000-0005-0000-0000-0000DA6A0000}"/>
    <cellStyle name="40% - Accent3 7 3 7 3 2" xfId="43774" xr:uid="{00000000-0005-0000-0000-0000DB6A0000}"/>
    <cellStyle name="40% - Accent3 7 3 7 4" xfId="30858" xr:uid="{00000000-0005-0000-0000-0000DC6A0000}"/>
    <cellStyle name="40% - Accent3 7 3 8" xfId="8213" xr:uid="{00000000-0005-0000-0000-0000DD6A0000}"/>
    <cellStyle name="40% - Accent3 7 3 8 2" xfId="21130" xr:uid="{00000000-0005-0000-0000-0000DE6A0000}"/>
    <cellStyle name="40% - Accent3 7 3 8 2 2" xfId="47004" xr:uid="{00000000-0005-0000-0000-0000DF6A0000}"/>
    <cellStyle name="40% - Accent3 7 3 8 3" xfId="34088" xr:uid="{00000000-0005-0000-0000-0000E06A0000}"/>
    <cellStyle name="40% - Accent3 7 3 9" xfId="14672" xr:uid="{00000000-0005-0000-0000-0000E16A0000}"/>
    <cellStyle name="40% - Accent3 7 3 9 2" xfId="40546" xr:uid="{00000000-0005-0000-0000-0000E26A0000}"/>
    <cellStyle name="40% - Accent3 7 4" xfId="1115" xr:uid="{00000000-0005-0000-0000-0000E36A0000}"/>
    <cellStyle name="40% - Accent3 8" xfId="1451" xr:uid="{00000000-0005-0000-0000-0000E46A0000}"/>
    <cellStyle name="40% - Accent3 9" xfId="1420" xr:uid="{00000000-0005-0000-0000-0000E56A0000}"/>
    <cellStyle name="40% - Accent4 10" xfId="1658" xr:uid="{00000000-0005-0000-0000-0000E66A0000}"/>
    <cellStyle name="40% - Accent4 10 10" xfId="53574" xr:uid="{00000000-0005-0000-0000-0000E76A0000}"/>
    <cellStyle name="40% - Accent4 10 2" xfId="1983" xr:uid="{00000000-0005-0000-0000-0000E86A0000}"/>
    <cellStyle name="40% - Accent4 10 2 2" xfId="2414" xr:uid="{00000000-0005-0000-0000-0000E96A0000}"/>
    <cellStyle name="40% - Accent4 10 2 2 2" xfId="3227" xr:uid="{00000000-0005-0000-0000-0000EA6A0000}"/>
    <cellStyle name="40% - Accent4 10 2 2 2 2" xfId="4884" xr:uid="{00000000-0005-0000-0000-0000EB6A0000}"/>
    <cellStyle name="40% - Accent4 10 2 2 2 2 2" xfId="8115" xr:uid="{00000000-0005-0000-0000-0000EC6A0000}"/>
    <cellStyle name="40% - Accent4 10 2 2 2 2 2 2" xfId="14574" xr:uid="{00000000-0005-0000-0000-0000ED6A0000}"/>
    <cellStyle name="40% - Accent4 10 2 2 2 2 2 2 2" xfId="27491" xr:uid="{00000000-0005-0000-0000-0000EE6A0000}"/>
    <cellStyle name="40% - Accent4 10 2 2 2 2 2 2 2 2" xfId="53365" xr:uid="{00000000-0005-0000-0000-0000EF6A0000}"/>
    <cellStyle name="40% - Accent4 10 2 2 2 2 2 2 3" xfId="40449" xr:uid="{00000000-0005-0000-0000-0000F06A0000}"/>
    <cellStyle name="40% - Accent4 10 2 2 2 2 2 3" xfId="21033" xr:uid="{00000000-0005-0000-0000-0000F16A0000}"/>
    <cellStyle name="40% - Accent4 10 2 2 2 2 2 3 2" xfId="46907" xr:uid="{00000000-0005-0000-0000-0000F26A0000}"/>
    <cellStyle name="40% - Accent4 10 2 2 2 2 2 4" xfId="33991" xr:uid="{00000000-0005-0000-0000-0000F36A0000}"/>
    <cellStyle name="40% - Accent4 10 2 2 2 2 3" xfId="11346" xr:uid="{00000000-0005-0000-0000-0000F46A0000}"/>
    <cellStyle name="40% - Accent4 10 2 2 2 2 3 2" xfId="24263" xr:uid="{00000000-0005-0000-0000-0000F56A0000}"/>
    <cellStyle name="40% - Accent4 10 2 2 2 2 3 2 2" xfId="50137" xr:uid="{00000000-0005-0000-0000-0000F66A0000}"/>
    <cellStyle name="40% - Accent4 10 2 2 2 2 3 3" xfId="37221" xr:uid="{00000000-0005-0000-0000-0000F76A0000}"/>
    <cellStyle name="40% - Accent4 10 2 2 2 2 4" xfId="17805" xr:uid="{00000000-0005-0000-0000-0000F86A0000}"/>
    <cellStyle name="40% - Accent4 10 2 2 2 2 4 2" xfId="43679" xr:uid="{00000000-0005-0000-0000-0000F96A0000}"/>
    <cellStyle name="40% - Accent4 10 2 2 2 2 5" xfId="30731" xr:uid="{00000000-0005-0000-0000-0000FA6A0000}"/>
    <cellStyle name="40% - Accent4 10 2 2 2 3" xfId="6501" xr:uid="{00000000-0005-0000-0000-0000FB6A0000}"/>
    <cellStyle name="40% - Accent4 10 2 2 2 3 2" xfId="12960" xr:uid="{00000000-0005-0000-0000-0000FC6A0000}"/>
    <cellStyle name="40% - Accent4 10 2 2 2 3 2 2" xfId="25877" xr:uid="{00000000-0005-0000-0000-0000FD6A0000}"/>
    <cellStyle name="40% - Accent4 10 2 2 2 3 2 2 2" xfId="51751" xr:uid="{00000000-0005-0000-0000-0000FE6A0000}"/>
    <cellStyle name="40% - Accent4 10 2 2 2 3 2 3" xfId="38835" xr:uid="{00000000-0005-0000-0000-0000FF6A0000}"/>
    <cellStyle name="40% - Accent4 10 2 2 2 3 3" xfId="19419" xr:uid="{00000000-0005-0000-0000-0000006B0000}"/>
    <cellStyle name="40% - Accent4 10 2 2 2 3 3 2" xfId="45293" xr:uid="{00000000-0005-0000-0000-0000016B0000}"/>
    <cellStyle name="40% - Accent4 10 2 2 2 3 4" xfId="32377" xr:uid="{00000000-0005-0000-0000-0000026B0000}"/>
    <cellStyle name="40% - Accent4 10 2 2 2 4" xfId="9732" xr:uid="{00000000-0005-0000-0000-0000036B0000}"/>
    <cellStyle name="40% - Accent4 10 2 2 2 4 2" xfId="22649" xr:uid="{00000000-0005-0000-0000-0000046B0000}"/>
    <cellStyle name="40% - Accent4 10 2 2 2 4 2 2" xfId="48523" xr:uid="{00000000-0005-0000-0000-0000056B0000}"/>
    <cellStyle name="40% - Accent4 10 2 2 2 4 3" xfId="35607" xr:uid="{00000000-0005-0000-0000-0000066B0000}"/>
    <cellStyle name="40% - Accent4 10 2 2 2 5" xfId="16191" xr:uid="{00000000-0005-0000-0000-0000076B0000}"/>
    <cellStyle name="40% - Accent4 10 2 2 2 5 2" xfId="42065" xr:uid="{00000000-0005-0000-0000-0000086B0000}"/>
    <cellStyle name="40% - Accent4 10 2 2 2 6" xfId="29117" xr:uid="{00000000-0005-0000-0000-0000096B0000}"/>
    <cellStyle name="40% - Accent4 10 2 2 3" xfId="4054" xr:uid="{00000000-0005-0000-0000-00000A6B0000}"/>
    <cellStyle name="40% - Accent4 10 2 2 3 2" xfId="7308" xr:uid="{00000000-0005-0000-0000-00000B6B0000}"/>
    <cellStyle name="40% - Accent4 10 2 2 3 2 2" xfId="13767" xr:uid="{00000000-0005-0000-0000-00000C6B0000}"/>
    <cellStyle name="40% - Accent4 10 2 2 3 2 2 2" xfId="26684" xr:uid="{00000000-0005-0000-0000-00000D6B0000}"/>
    <cellStyle name="40% - Accent4 10 2 2 3 2 2 2 2" xfId="52558" xr:uid="{00000000-0005-0000-0000-00000E6B0000}"/>
    <cellStyle name="40% - Accent4 10 2 2 3 2 2 3" xfId="39642" xr:uid="{00000000-0005-0000-0000-00000F6B0000}"/>
    <cellStyle name="40% - Accent4 10 2 2 3 2 3" xfId="20226" xr:uid="{00000000-0005-0000-0000-0000106B0000}"/>
    <cellStyle name="40% - Accent4 10 2 2 3 2 3 2" xfId="46100" xr:uid="{00000000-0005-0000-0000-0000116B0000}"/>
    <cellStyle name="40% - Accent4 10 2 2 3 2 4" xfId="33184" xr:uid="{00000000-0005-0000-0000-0000126B0000}"/>
    <cellStyle name="40% - Accent4 10 2 2 3 3" xfId="10539" xr:uid="{00000000-0005-0000-0000-0000136B0000}"/>
    <cellStyle name="40% - Accent4 10 2 2 3 3 2" xfId="23456" xr:uid="{00000000-0005-0000-0000-0000146B0000}"/>
    <cellStyle name="40% - Accent4 10 2 2 3 3 2 2" xfId="49330" xr:uid="{00000000-0005-0000-0000-0000156B0000}"/>
    <cellStyle name="40% - Accent4 10 2 2 3 3 3" xfId="36414" xr:uid="{00000000-0005-0000-0000-0000166B0000}"/>
    <cellStyle name="40% - Accent4 10 2 2 3 4" xfId="16998" xr:uid="{00000000-0005-0000-0000-0000176B0000}"/>
    <cellStyle name="40% - Accent4 10 2 2 3 4 2" xfId="42872" xr:uid="{00000000-0005-0000-0000-0000186B0000}"/>
    <cellStyle name="40% - Accent4 10 2 2 3 5" xfId="29924" xr:uid="{00000000-0005-0000-0000-0000196B0000}"/>
    <cellStyle name="40% - Accent4 10 2 2 4" xfId="5694" xr:uid="{00000000-0005-0000-0000-00001A6B0000}"/>
    <cellStyle name="40% - Accent4 10 2 2 4 2" xfId="12153" xr:uid="{00000000-0005-0000-0000-00001B6B0000}"/>
    <cellStyle name="40% - Accent4 10 2 2 4 2 2" xfId="25070" xr:uid="{00000000-0005-0000-0000-00001C6B0000}"/>
    <cellStyle name="40% - Accent4 10 2 2 4 2 2 2" xfId="50944" xr:uid="{00000000-0005-0000-0000-00001D6B0000}"/>
    <cellStyle name="40% - Accent4 10 2 2 4 2 3" xfId="38028" xr:uid="{00000000-0005-0000-0000-00001E6B0000}"/>
    <cellStyle name="40% - Accent4 10 2 2 4 3" xfId="18612" xr:uid="{00000000-0005-0000-0000-00001F6B0000}"/>
    <cellStyle name="40% - Accent4 10 2 2 4 3 2" xfId="44486" xr:uid="{00000000-0005-0000-0000-0000206B0000}"/>
    <cellStyle name="40% - Accent4 10 2 2 4 4" xfId="31570" xr:uid="{00000000-0005-0000-0000-0000216B0000}"/>
    <cellStyle name="40% - Accent4 10 2 2 5" xfId="8925" xr:uid="{00000000-0005-0000-0000-0000226B0000}"/>
    <cellStyle name="40% - Accent4 10 2 2 5 2" xfId="21842" xr:uid="{00000000-0005-0000-0000-0000236B0000}"/>
    <cellStyle name="40% - Accent4 10 2 2 5 2 2" xfId="47716" xr:uid="{00000000-0005-0000-0000-0000246B0000}"/>
    <cellStyle name="40% - Accent4 10 2 2 5 3" xfId="34800" xr:uid="{00000000-0005-0000-0000-0000256B0000}"/>
    <cellStyle name="40% - Accent4 10 2 2 6" xfId="15384" xr:uid="{00000000-0005-0000-0000-0000266B0000}"/>
    <cellStyle name="40% - Accent4 10 2 2 6 2" xfId="41258" xr:uid="{00000000-0005-0000-0000-0000276B0000}"/>
    <cellStyle name="40% - Accent4 10 2 2 7" xfId="28310" xr:uid="{00000000-0005-0000-0000-0000286B0000}"/>
    <cellStyle name="40% - Accent4 10 2 2 8" xfId="54172" xr:uid="{00000000-0005-0000-0000-0000296B0000}"/>
    <cellStyle name="40% - Accent4 10 2 3" xfId="2823" xr:uid="{00000000-0005-0000-0000-00002A6B0000}"/>
    <cellStyle name="40% - Accent4 10 2 3 2" xfId="4480" xr:uid="{00000000-0005-0000-0000-00002B6B0000}"/>
    <cellStyle name="40% - Accent4 10 2 3 2 2" xfId="7711" xr:uid="{00000000-0005-0000-0000-00002C6B0000}"/>
    <cellStyle name="40% - Accent4 10 2 3 2 2 2" xfId="14170" xr:uid="{00000000-0005-0000-0000-00002D6B0000}"/>
    <cellStyle name="40% - Accent4 10 2 3 2 2 2 2" xfId="27087" xr:uid="{00000000-0005-0000-0000-00002E6B0000}"/>
    <cellStyle name="40% - Accent4 10 2 3 2 2 2 2 2" xfId="52961" xr:uid="{00000000-0005-0000-0000-00002F6B0000}"/>
    <cellStyle name="40% - Accent4 10 2 3 2 2 2 3" xfId="40045" xr:uid="{00000000-0005-0000-0000-0000306B0000}"/>
    <cellStyle name="40% - Accent4 10 2 3 2 2 3" xfId="20629" xr:uid="{00000000-0005-0000-0000-0000316B0000}"/>
    <cellStyle name="40% - Accent4 10 2 3 2 2 3 2" xfId="46503" xr:uid="{00000000-0005-0000-0000-0000326B0000}"/>
    <cellStyle name="40% - Accent4 10 2 3 2 2 4" xfId="33587" xr:uid="{00000000-0005-0000-0000-0000336B0000}"/>
    <cellStyle name="40% - Accent4 10 2 3 2 3" xfId="10942" xr:uid="{00000000-0005-0000-0000-0000346B0000}"/>
    <cellStyle name="40% - Accent4 10 2 3 2 3 2" xfId="23859" xr:uid="{00000000-0005-0000-0000-0000356B0000}"/>
    <cellStyle name="40% - Accent4 10 2 3 2 3 2 2" xfId="49733" xr:uid="{00000000-0005-0000-0000-0000366B0000}"/>
    <cellStyle name="40% - Accent4 10 2 3 2 3 3" xfId="36817" xr:uid="{00000000-0005-0000-0000-0000376B0000}"/>
    <cellStyle name="40% - Accent4 10 2 3 2 4" xfId="17401" xr:uid="{00000000-0005-0000-0000-0000386B0000}"/>
    <cellStyle name="40% - Accent4 10 2 3 2 4 2" xfId="43275" xr:uid="{00000000-0005-0000-0000-0000396B0000}"/>
    <cellStyle name="40% - Accent4 10 2 3 2 5" xfId="30327" xr:uid="{00000000-0005-0000-0000-00003A6B0000}"/>
    <cellStyle name="40% - Accent4 10 2 3 3" xfId="6097" xr:uid="{00000000-0005-0000-0000-00003B6B0000}"/>
    <cellStyle name="40% - Accent4 10 2 3 3 2" xfId="12556" xr:uid="{00000000-0005-0000-0000-00003C6B0000}"/>
    <cellStyle name="40% - Accent4 10 2 3 3 2 2" xfId="25473" xr:uid="{00000000-0005-0000-0000-00003D6B0000}"/>
    <cellStyle name="40% - Accent4 10 2 3 3 2 2 2" xfId="51347" xr:uid="{00000000-0005-0000-0000-00003E6B0000}"/>
    <cellStyle name="40% - Accent4 10 2 3 3 2 3" xfId="38431" xr:uid="{00000000-0005-0000-0000-00003F6B0000}"/>
    <cellStyle name="40% - Accent4 10 2 3 3 3" xfId="19015" xr:uid="{00000000-0005-0000-0000-0000406B0000}"/>
    <cellStyle name="40% - Accent4 10 2 3 3 3 2" xfId="44889" xr:uid="{00000000-0005-0000-0000-0000416B0000}"/>
    <cellStyle name="40% - Accent4 10 2 3 3 4" xfId="31973" xr:uid="{00000000-0005-0000-0000-0000426B0000}"/>
    <cellStyle name="40% - Accent4 10 2 3 4" xfId="9328" xr:uid="{00000000-0005-0000-0000-0000436B0000}"/>
    <cellStyle name="40% - Accent4 10 2 3 4 2" xfId="22245" xr:uid="{00000000-0005-0000-0000-0000446B0000}"/>
    <cellStyle name="40% - Accent4 10 2 3 4 2 2" xfId="48119" xr:uid="{00000000-0005-0000-0000-0000456B0000}"/>
    <cellStyle name="40% - Accent4 10 2 3 4 3" xfId="35203" xr:uid="{00000000-0005-0000-0000-0000466B0000}"/>
    <cellStyle name="40% - Accent4 10 2 3 5" xfId="15787" xr:uid="{00000000-0005-0000-0000-0000476B0000}"/>
    <cellStyle name="40% - Accent4 10 2 3 5 2" xfId="41661" xr:uid="{00000000-0005-0000-0000-0000486B0000}"/>
    <cellStyle name="40% - Accent4 10 2 3 6" xfId="28713" xr:uid="{00000000-0005-0000-0000-0000496B0000}"/>
    <cellStyle name="40% - Accent4 10 2 4" xfId="3650" xr:uid="{00000000-0005-0000-0000-00004A6B0000}"/>
    <cellStyle name="40% - Accent4 10 2 4 2" xfId="6904" xr:uid="{00000000-0005-0000-0000-00004B6B0000}"/>
    <cellStyle name="40% - Accent4 10 2 4 2 2" xfId="13363" xr:uid="{00000000-0005-0000-0000-00004C6B0000}"/>
    <cellStyle name="40% - Accent4 10 2 4 2 2 2" xfId="26280" xr:uid="{00000000-0005-0000-0000-00004D6B0000}"/>
    <cellStyle name="40% - Accent4 10 2 4 2 2 2 2" xfId="52154" xr:uid="{00000000-0005-0000-0000-00004E6B0000}"/>
    <cellStyle name="40% - Accent4 10 2 4 2 2 3" xfId="39238" xr:uid="{00000000-0005-0000-0000-00004F6B0000}"/>
    <cellStyle name="40% - Accent4 10 2 4 2 3" xfId="19822" xr:uid="{00000000-0005-0000-0000-0000506B0000}"/>
    <cellStyle name="40% - Accent4 10 2 4 2 3 2" xfId="45696" xr:uid="{00000000-0005-0000-0000-0000516B0000}"/>
    <cellStyle name="40% - Accent4 10 2 4 2 4" xfId="32780" xr:uid="{00000000-0005-0000-0000-0000526B0000}"/>
    <cellStyle name="40% - Accent4 10 2 4 3" xfId="10135" xr:uid="{00000000-0005-0000-0000-0000536B0000}"/>
    <cellStyle name="40% - Accent4 10 2 4 3 2" xfId="23052" xr:uid="{00000000-0005-0000-0000-0000546B0000}"/>
    <cellStyle name="40% - Accent4 10 2 4 3 2 2" xfId="48926" xr:uid="{00000000-0005-0000-0000-0000556B0000}"/>
    <cellStyle name="40% - Accent4 10 2 4 3 3" xfId="36010" xr:uid="{00000000-0005-0000-0000-0000566B0000}"/>
    <cellStyle name="40% - Accent4 10 2 4 4" xfId="16594" xr:uid="{00000000-0005-0000-0000-0000576B0000}"/>
    <cellStyle name="40% - Accent4 10 2 4 4 2" xfId="42468" xr:uid="{00000000-0005-0000-0000-0000586B0000}"/>
    <cellStyle name="40% - Accent4 10 2 4 5" xfId="29520" xr:uid="{00000000-0005-0000-0000-0000596B0000}"/>
    <cellStyle name="40% - Accent4 10 2 5" xfId="5290" xr:uid="{00000000-0005-0000-0000-00005A6B0000}"/>
    <cellStyle name="40% - Accent4 10 2 5 2" xfId="11749" xr:uid="{00000000-0005-0000-0000-00005B6B0000}"/>
    <cellStyle name="40% - Accent4 10 2 5 2 2" xfId="24666" xr:uid="{00000000-0005-0000-0000-00005C6B0000}"/>
    <cellStyle name="40% - Accent4 10 2 5 2 2 2" xfId="50540" xr:uid="{00000000-0005-0000-0000-00005D6B0000}"/>
    <cellStyle name="40% - Accent4 10 2 5 2 3" xfId="37624" xr:uid="{00000000-0005-0000-0000-00005E6B0000}"/>
    <cellStyle name="40% - Accent4 10 2 5 3" xfId="18208" xr:uid="{00000000-0005-0000-0000-00005F6B0000}"/>
    <cellStyle name="40% - Accent4 10 2 5 3 2" xfId="44082" xr:uid="{00000000-0005-0000-0000-0000606B0000}"/>
    <cellStyle name="40% - Accent4 10 2 5 4" xfId="31166" xr:uid="{00000000-0005-0000-0000-0000616B0000}"/>
    <cellStyle name="40% - Accent4 10 2 6" xfId="8521" xr:uid="{00000000-0005-0000-0000-0000626B0000}"/>
    <cellStyle name="40% - Accent4 10 2 6 2" xfId="21438" xr:uid="{00000000-0005-0000-0000-0000636B0000}"/>
    <cellStyle name="40% - Accent4 10 2 6 2 2" xfId="47312" xr:uid="{00000000-0005-0000-0000-0000646B0000}"/>
    <cellStyle name="40% - Accent4 10 2 6 3" xfId="34396" xr:uid="{00000000-0005-0000-0000-0000656B0000}"/>
    <cellStyle name="40% - Accent4 10 2 7" xfId="14980" xr:uid="{00000000-0005-0000-0000-0000666B0000}"/>
    <cellStyle name="40% - Accent4 10 2 7 2" xfId="40854" xr:uid="{00000000-0005-0000-0000-0000676B0000}"/>
    <cellStyle name="40% - Accent4 10 2 8" xfId="27905" xr:uid="{00000000-0005-0000-0000-0000686B0000}"/>
    <cellStyle name="40% - Accent4 10 2 9" xfId="53768" xr:uid="{00000000-0005-0000-0000-0000696B0000}"/>
    <cellStyle name="40% - Accent4 10 3" xfId="2218" xr:uid="{00000000-0005-0000-0000-00006A6B0000}"/>
    <cellStyle name="40% - Accent4 10 3 2" xfId="3032" xr:uid="{00000000-0005-0000-0000-00006B6B0000}"/>
    <cellStyle name="40% - Accent4 10 3 2 2" xfId="4689" xr:uid="{00000000-0005-0000-0000-00006C6B0000}"/>
    <cellStyle name="40% - Accent4 10 3 2 2 2" xfId="7920" xr:uid="{00000000-0005-0000-0000-00006D6B0000}"/>
    <cellStyle name="40% - Accent4 10 3 2 2 2 2" xfId="14379" xr:uid="{00000000-0005-0000-0000-00006E6B0000}"/>
    <cellStyle name="40% - Accent4 10 3 2 2 2 2 2" xfId="27296" xr:uid="{00000000-0005-0000-0000-00006F6B0000}"/>
    <cellStyle name="40% - Accent4 10 3 2 2 2 2 2 2" xfId="53170" xr:uid="{00000000-0005-0000-0000-0000706B0000}"/>
    <cellStyle name="40% - Accent4 10 3 2 2 2 2 3" xfId="40254" xr:uid="{00000000-0005-0000-0000-0000716B0000}"/>
    <cellStyle name="40% - Accent4 10 3 2 2 2 3" xfId="20838" xr:uid="{00000000-0005-0000-0000-0000726B0000}"/>
    <cellStyle name="40% - Accent4 10 3 2 2 2 3 2" xfId="46712" xr:uid="{00000000-0005-0000-0000-0000736B0000}"/>
    <cellStyle name="40% - Accent4 10 3 2 2 2 4" xfId="33796" xr:uid="{00000000-0005-0000-0000-0000746B0000}"/>
    <cellStyle name="40% - Accent4 10 3 2 2 3" xfId="11151" xr:uid="{00000000-0005-0000-0000-0000756B0000}"/>
    <cellStyle name="40% - Accent4 10 3 2 2 3 2" xfId="24068" xr:uid="{00000000-0005-0000-0000-0000766B0000}"/>
    <cellStyle name="40% - Accent4 10 3 2 2 3 2 2" xfId="49942" xr:uid="{00000000-0005-0000-0000-0000776B0000}"/>
    <cellStyle name="40% - Accent4 10 3 2 2 3 3" xfId="37026" xr:uid="{00000000-0005-0000-0000-0000786B0000}"/>
    <cellStyle name="40% - Accent4 10 3 2 2 4" xfId="17610" xr:uid="{00000000-0005-0000-0000-0000796B0000}"/>
    <cellStyle name="40% - Accent4 10 3 2 2 4 2" xfId="43484" xr:uid="{00000000-0005-0000-0000-00007A6B0000}"/>
    <cellStyle name="40% - Accent4 10 3 2 2 5" xfId="30536" xr:uid="{00000000-0005-0000-0000-00007B6B0000}"/>
    <cellStyle name="40% - Accent4 10 3 2 3" xfId="6306" xr:uid="{00000000-0005-0000-0000-00007C6B0000}"/>
    <cellStyle name="40% - Accent4 10 3 2 3 2" xfId="12765" xr:uid="{00000000-0005-0000-0000-00007D6B0000}"/>
    <cellStyle name="40% - Accent4 10 3 2 3 2 2" xfId="25682" xr:uid="{00000000-0005-0000-0000-00007E6B0000}"/>
    <cellStyle name="40% - Accent4 10 3 2 3 2 2 2" xfId="51556" xr:uid="{00000000-0005-0000-0000-00007F6B0000}"/>
    <cellStyle name="40% - Accent4 10 3 2 3 2 3" xfId="38640" xr:uid="{00000000-0005-0000-0000-0000806B0000}"/>
    <cellStyle name="40% - Accent4 10 3 2 3 3" xfId="19224" xr:uid="{00000000-0005-0000-0000-0000816B0000}"/>
    <cellStyle name="40% - Accent4 10 3 2 3 3 2" xfId="45098" xr:uid="{00000000-0005-0000-0000-0000826B0000}"/>
    <cellStyle name="40% - Accent4 10 3 2 3 4" xfId="32182" xr:uid="{00000000-0005-0000-0000-0000836B0000}"/>
    <cellStyle name="40% - Accent4 10 3 2 4" xfId="9537" xr:uid="{00000000-0005-0000-0000-0000846B0000}"/>
    <cellStyle name="40% - Accent4 10 3 2 4 2" xfId="22454" xr:uid="{00000000-0005-0000-0000-0000856B0000}"/>
    <cellStyle name="40% - Accent4 10 3 2 4 2 2" xfId="48328" xr:uid="{00000000-0005-0000-0000-0000866B0000}"/>
    <cellStyle name="40% - Accent4 10 3 2 4 3" xfId="35412" xr:uid="{00000000-0005-0000-0000-0000876B0000}"/>
    <cellStyle name="40% - Accent4 10 3 2 5" xfId="15996" xr:uid="{00000000-0005-0000-0000-0000886B0000}"/>
    <cellStyle name="40% - Accent4 10 3 2 5 2" xfId="41870" xr:uid="{00000000-0005-0000-0000-0000896B0000}"/>
    <cellStyle name="40% - Accent4 10 3 2 6" xfId="28922" xr:uid="{00000000-0005-0000-0000-00008A6B0000}"/>
    <cellStyle name="40% - Accent4 10 3 3" xfId="3859" xr:uid="{00000000-0005-0000-0000-00008B6B0000}"/>
    <cellStyle name="40% - Accent4 10 3 3 2" xfId="7113" xr:uid="{00000000-0005-0000-0000-00008C6B0000}"/>
    <cellStyle name="40% - Accent4 10 3 3 2 2" xfId="13572" xr:uid="{00000000-0005-0000-0000-00008D6B0000}"/>
    <cellStyle name="40% - Accent4 10 3 3 2 2 2" xfId="26489" xr:uid="{00000000-0005-0000-0000-00008E6B0000}"/>
    <cellStyle name="40% - Accent4 10 3 3 2 2 2 2" xfId="52363" xr:uid="{00000000-0005-0000-0000-00008F6B0000}"/>
    <cellStyle name="40% - Accent4 10 3 3 2 2 3" xfId="39447" xr:uid="{00000000-0005-0000-0000-0000906B0000}"/>
    <cellStyle name="40% - Accent4 10 3 3 2 3" xfId="20031" xr:uid="{00000000-0005-0000-0000-0000916B0000}"/>
    <cellStyle name="40% - Accent4 10 3 3 2 3 2" xfId="45905" xr:uid="{00000000-0005-0000-0000-0000926B0000}"/>
    <cellStyle name="40% - Accent4 10 3 3 2 4" xfId="32989" xr:uid="{00000000-0005-0000-0000-0000936B0000}"/>
    <cellStyle name="40% - Accent4 10 3 3 3" xfId="10344" xr:uid="{00000000-0005-0000-0000-0000946B0000}"/>
    <cellStyle name="40% - Accent4 10 3 3 3 2" xfId="23261" xr:uid="{00000000-0005-0000-0000-0000956B0000}"/>
    <cellStyle name="40% - Accent4 10 3 3 3 2 2" xfId="49135" xr:uid="{00000000-0005-0000-0000-0000966B0000}"/>
    <cellStyle name="40% - Accent4 10 3 3 3 3" xfId="36219" xr:uid="{00000000-0005-0000-0000-0000976B0000}"/>
    <cellStyle name="40% - Accent4 10 3 3 4" xfId="16803" xr:uid="{00000000-0005-0000-0000-0000986B0000}"/>
    <cellStyle name="40% - Accent4 10 3 3 4 2" xfId="42677" xr:uid="{00000000-0005-0000-0000-0000996B0000}"/>
    <cellStyle name="40% - Accent4 10 3 3 5" xfId="29729" xr:uid="{00000000-0005-0000-0000-00009A6B0000}"/>
    <cellStyle name="40% - Accent4 10 3 4" xfId="5499" xr:uid="{00000000-0005-0000-0000-00009B6B0000}"/>
    <cellStyle name="40% - Accent4 10 3 4 2" xfId="11958" xr:uid="{00000000-0005-0000-0000-00009C6B0000}"/>
    <cellStyle name="40% - Accent4 10 3 4 2 2" xfId="24875" xr:uid="{00000000-0005-0000-0000-00009D6B0000}"/>
    <cellStyle name="40% - Accent4 10 3 4 2 2 2" xfId="50749" xr:uid="{00000000-0005-0000-0000-00009E6B0000}"/>
    <cellStyle name="40% - Accent4 10 3 4 2 3" xfId="37833" xr:uid="{00000000-0005-0000-0000-00009F6B0000}"/>
    <cellStyle name="40% - Accent4 10 3 4 3" xfId="18417" xr:uid="{00000000-0005-0000-0000-0000A06B0000}"/>
    <cellStyle name="40% - Accent4 10 3 4 3 2" xfId="44291" xr:uid="{00000000-0005-0000-0000-0000A16B0000}"/>
    <cellStyle name="40% - Accent4 10 3 4 4" xfId="31375" xr:uid="{00000000-0005-0000-0000-0000A26B0000}"/>
    <cellStyle name="40% - Accent4 10 3 5" xfId="8730" xr:uid="{00000000-0005-0000-0000-0000A36B0000}"/>
    <cellStyle name="40% - Accent4 10 3 5 2" xfId="21647" xr:uid="{00000000-0005-0000-0000-0000A46B0000}"/>
    <cellStyle name="40% - Accent4 10 3 5 2 2" xfId="47521" xr:uid="{00000000-0005-0000-0000-0000A56B0000}"/>
    <cellStyle name="40% - Accent4 10 3 5 3" xfId="34605" xr:uid="{00000000-0005-0000-0000-0000A66B0000}"/>
    <cellStyle name="40% - Accent4 10 3 6" xfId="15189" xr:uid="{00000000-0005-0000-0000-0000A76B0000}"/>
    <cellStyle name="40% - Accent4 10 3 6 2" xfId="41063" xr:uid="{00000000-0005-0000-0000-0000A86B0000}"/>
    <cellStyle name="40% - Accent4 10 3 7" xfId="28115" xr:uid="{00000000-0005-0000-0000-0000A96B0000}"/>
    <cellStyle name="40% - Accent4 10 3 8" xfId="53977" xr:uid="{00000000-0005-0000-0000-0000AA6B0000}"/>
    <cellStyle name="40% - Accent4 10 4" xfId="2629" xr:uid="{00000000-0005-0000-0000-0000AB6B0000}"/>
    <cellStyle name="40% - Accent4 10 4 2" xfId="4286" xr:uid="{00000000-0005-0000-0000-0000AC6B0000}"/>
    <cellStyle name="40% - Accent4 10 4 2 2" xfId="7517" xr:uid="{00000000-0005-0000-0000-0000AD6B0000}"/>
    <cellStyle name="40% - Accent4 10 4 2 2 2" xfId="13976" xr:uid="{00000000-0005-0000-0000-0000AE6B0000}"/>
    <cellStyle name="40% - Accent4 10 4 2 2 2 2" xfId="26893" xr:uid="{00000000-0005-0000-0000-0000AF6B0000}"/>
    <cellStyle name="40% - Accent4 10 4 2 2 2 2 2" xfId="52767" xr:uid="{00000000-0005-0000-0000-0000B06B0000}"/>
    <cellStyle name="40% - Accent4 10 4 2 2 2 3" xfId="39851" xr:uid="{00000000-0005-0000-0000-0000B16B0000}"/>
    <cellStyle name="40% - Accent4 10 4 2 2 3" xfId="20435" xr:uid="{00000000-0005-0000-0000-0000B26B0000}"/>
    <cellStyle name="40% - Accent4 10 4 2 2 3 2" xfId="46309" xr:uid="{00000000-0005-0000-0000-0000B36B0000}"/>
    <cellStyle name="40% - Accent4 10 4 2 2 4" xfId="33393" xr:uid="{00000000-0005-0000-0000-0000B46B0000}"/>
    <cellStyle name="40% - Accent4 10 4 2 3" xfId="10748" xr:uid="{00000000-0005-0000-0000-0000B56B0000}"/>
    <cellStyle name="40% - Accent4 10 4 2 3 2" xfId="23665" xr:uid="{00000000-0005-0000-0000-0000B66B0000}"/>
    <cellStyle name="40% - Accent4 10 4 2 3 2 2" xfId="49539" xr:uid="{00000000-0005-0000-0000-0000B76B0000}"/>
    <cellStyle name="40% - Accent4 10 4 2 3 3" xfId="36623" xr:uid="{00000000-0005-0000-0000-0000B86B0000}"/>
    <cellStyle name="40% - Accent4 10 4 2 4" xfId="17207" xr:uid="{00000000-0005-0000-0000-0000B96B0000}"/>
    <cellStyle name="40% - Accent4 10 4 2 4 2" xfId="43081" xr:uid="{00000000-0005-0000-0000-0000BA6B0000}"/>
    <cellStyle name="40% - Accent4 10 4 2 5" xfId="30133" xr:uid="{00000000-0005-0000-0000-0000BB6B0000}"/>
    <cellStyle name="40% - Accent4 10 4 3" xfId="5903" xr:uid="{00000000-0005-0000-0000-0000BC6B0000}"/>
    <cellStyle name="40% - Accent4 10 4 3 2" xfId="12362" xr:uid="{00000000-0005-0000-0000-0000BD6B0000}"/>
    <cellStyle name="40% - Accent4 10 4 3 2 2" xfId="25279" xr:uid="{00000000-0005-0000-0000-0000BE6B0000}"/>
    <cellStyle name="40% - Accent4 10 4 3 2 2 2" xfId="51153" xr:uid="{00000000-0005-0000-0000-0000BF6B0000}"/>
    <cellStyle name="40% - Accent4 10 4 3 2 3" xfId="38237" xr:uid="{00000000-0005-0000-0000-0000C06B0000}"/>
    <cellStyle name="40% - Accent4 10 4 3 3" xfId="18821" xr:uid="{00000000-0005-0000-0000-0000C16B0000}"/>
    <cellStyle name="40% - Accent4 10 4 3 3 2" xfId="44695" xr:uid="{00000000-0005-0000-0000-0000C26B0000}"/>
    <cellStyle name="40% - Accent4 10 4 3 4" xfId="31779" xr:uid="{00000000-0005-0000-0000-0000C36B0000}"/>
    <cellStyle name="40% - Accent4 10 4 4" xfId="9134" xr:uid="{00000000-0005-0000-0000-0000C46B0000}"/>
    <cellStyle name="40% - Accent4 10 4 4 2" xfId="22051" xr:uid="{00000000-0005-0000-0000-0000C56B0000}"/>
    <cellStyle name="40% - Accent4 10 4 4 2 2" xfId="47925" xr:uid="{00000000-0005-0000-0000-0000C66B0000}"/>
    <cellStyle name="40% - Accent4 10 4 4 3" xfId="35009" xr:uid="{00000000-0005-0000-0000-0000C76B0000}"/>
    <cellStyle name="40% - Accent4 10 4 5" xfId="15593" xr:uid="{00000000-0005-0000-0000-0000C86B0000}"/>
    <cellStyle name="40% - Accent4 10 4 5 2" xfId="41467" xr:uid="{00000000-0005-0000-0000-0000C96B0000}"/>
    <cellStyle name="40% - Accent4 10 4 6" xfId="28519" xr:uid="{00000000-0005-0000-0000-0000CA6B0000}"/>
    <cellStyle name="40% - Accent4 10 5" xfId="3456" xr:uid="{00000000-0005-0000-0000-0000CB6B0000}"/>
    <cellStyle name="40% - Accent4 10 5 2" xfId="6710" xr:uid="{00000000-0005-0000-0000-0000CC6B0000}"/>
    <cellStyle name="40% - Accent4 10 5 2 2" xfId="13169" xr:uid="{00000000-0005-0000-0000-0000CD6B0000}"/>
    <cellStyle name="40% - Accent4 10 5 2 2 2" xfId="26086" xr:uid="{00000000-0005-0000-0000-0000CE6B0000}"/>
    <cellStyle name="40% - Accent4 10 5 2 2 2 2" xfId="51960" xr:uid="{00000000-0005-0000-0000-0000CF6B0000}"/>
    <cellStyle name="40% - Accent4 10 5 2 2 3" xfId="39044" xr:uid="{00000000-0005-0000-0000-0000D06B0000}"/>
    <cellStyle name="40% - Accent4 10 5 2 3" xfId="19628" xr:uid="{00000000-0005-0000-0000-0000D16B0000}"/>
    <cellStyle name="40% - Accent4 10 5 2 3 2" xfId="45502" xr:uid="{00000000-0005-0000-0000-0000D26B0000}"/>
    <cellStyle name="40% - Accent4 10 5 2 4" xfId="32586" xr:uid="{00000000-0005-0000-0000-0000D36B0000}"/>
    <cellStyle name="40% - Accent4 10 5 3" xfId="9941" xr:uid="{00000000-0005-0000-0000-0000D46B0000}"/>
    <cellStyle name="40% - Accent4 10 5 3 2" xfId="22858" xr:uid="{00000000-0005-0000-0000-0000D56B0000}"/>
    <cellStyle name="40% - Accent4 10 5 3 2 2" xfId="48732" xr:uid="{00000000-0005-0000-0000-0000D66B0000}"/>
    <cellStyle name="40% - Accent4 10 5 3 3" xfId="35816" xr:uid="{00000000-0005-0000-0000-0000D76B0000}"/>
    <cellStyle name="40% - Accent4 10 5 4" xfId="16400" xr:uid="{00000000-0005-0000-0000-0000D86B0000}"/>
    <cellStyle name="40% - Accent4 10 5 4 2" xfId="42274" xr:uid="{00000000-0005-0000-0000-0000D96B0000}"/>
    <cellStyle name="40% - Accent4 10 5 5" xfId="29326" xr:uid="{00000000-0005-0000-0000-0000DA6B0000}"/>
    <cellStyle name="40% - Accent4 10 6" xfId="5096" xr:uid="{00000000-0005-0000-0000-0000DB6B0000}"/>
    <cellStyle name="40% - Accent4 10 6 2" xfId="11555" xr:uid="{00000000-0005-0000-0000-0000DC6B0000}"/>
    <cellStyle name="40% - Accent4 10 6 2 2" xfId="24472" xr:uid="{00000000-0005-0000-0000-0000DD6B0000}"/>
    <cellStyle name="40% - Accent4 10 6 2 2 2" xfId="50346" xr:uid="{00000000-0005-0000-0000-0000DE6B0000}"/>
    <cellStyle name="40% - Accent4 10 6 2 3" xfId="37430" xr:uid="{00000000-0005-0000-0000-0000DF6B0000}"/>
    <cellStyle name="40% - Accent4 10 6 3" xfId="18014" xr:uid="{00000000-0005-0000-0000-0000E06B0000}"/>
    <cellStyle name="40% - Accent4 10 6 3 2" xfId="43888" xr:uid="{00000000-0005-0000-0000-0000E16B0000}"/>
    <cellStyle name="40% - Accent4 10 6 4" xfId="30972" xr:uid="{00000000-0005-0000-0000-0000E26B0000}"/>
    <cellStyle name="40% - Accent4 10 7" xfId="8326" xr:uid="{00000000-0005-0000-0000-0000E36B0000}"/>
    <cellStyle name="40% - Accent4 10 7 2" xfId="21243" xr:uid="{00000000-0005-0000-0000-0000E46B0000}"/>
    <cellStyle name="40% - Accent4 10 7 2 2" xfId="47117" xr:uid="{00000000-0005-0000-0000-0000E56B0000}"/>
    <cellStyle name="40% - Accent4 10 7 3" xfId="34201" xr:uid="{00000000-0005-0000-0000-0000E66B0000}"/>
    <cellStyle name="40% - Accent4 10 8" xfId="14785" xr:uid="{00000000-0005-0000-0000-0000E76B0000}"/>
    <cellStyle name="40% - Accent4 10 8 2" xfId="40659" xr:uid="{00000000-0005-0000-0000-0000E86B0000}"/>
    <cellStyle name="40% - Accent4 10 9" xfId="27709" xr:uid="{00000000-0005-0000-0000-0000E96B0000}"/>
    <cellStyle name="40% - Accent4 11" xfId="1764" xr:uid="{00000000-0005-0000-0000-0000EA6B0000}"/>
    <cellStyle name="40% - Accent4 11 2" xfId="2258" xr:uid="{00000000-0005-0000-0000-0000EB6B0000}"/>
    <cellStyle name="40% - Accent4 11 2 2" xfId="3072" xr:uid="{00000000-0005-0000-0000-0000EC6B0000}"/>
    <cellStyle name="40% - Accent4 11 2 2 2" xfId="4729" xr:uid="{00000000-0005-0000-0000-0000ED6B0000}"/>
    <cellStyle name="40% - Accent4 11 2 2 2 2" xfId="7960" xr:uid="{00000000-0005-0000-0000-0000EE6B0000}"/>
    <cellStyle name="40% - Accent4 11 2 2 2 2 2" xfId="14419" xr:uid="{00000000-0005-0000-0000-0000EF6B0000}"/>
    <cellStyle name="40% - Accent4 11 2 2 2 2 2 2" xfId="27336" xr:uid="{00000000-0005-0000-0000-0000F06B0000}"/>
    <cellStyle name="40% - Accent4 11 2 2 2 2 2 2 2" xfId="53210" xr:uid="{00000000-0005-0000-0000-0000F16B0000}"/>
    <cellStyle name="40% - Accent4 11 2 2 2 2 2 3" xfId="40294" xr:uid="{00000000-0005-0000-0000-0000F26B0000}"/>
    <cellStyle name="40% - Accent4 11 2 2 2 2 3" xfId="20878" xr:uid="{00000000-0005-0000-0000-0000F36B0000}"/>
    <cellStyle name="40% - Accent4 11 2 2 2 2 3 2" xfId="46752" xr:uid="{00000000-0005-0000-0000-0000F46B0000}"/>
    <cellStyle name="40% - Accent4 11 2 2 2 2 4" xfId="33836" xr:uid="{00000000-0005-0000-0000-0000F56B0000}"/>
    <cellStyle name="40% - Accent4 11 2 2 2 3" xfId="11191" xr:uid="{00000000-0005-0000-0000-0000F66B0000}"/>
    <cellStyle name="40% - Accent4 11 2 2 2 3 2" xfId="24108" xr:uid="{00000000-0005-0000-0000-0000F76B0000}"/>
    <cellStyle name="40% - Accent4 11 2 2 2 3 2 2" xfId="49982" xr:uid="{00000000-0005-0000-0000-0000F86B0000}"/>
    <cellStyle name="40% - Accent4 11 2 2 2 3 3" xfId="37066" xr:uid="{00000000-0005-0000-0000-0000F96B0000}"/>
    <cellStyle name="40% - Accent4 11 2 2 2 4" xfId="17650" xr:uid="{00000000-0005-0000-0000-0000FA6B0000}"/>
    <cellStyle name="40% - Accent4 11 2 2 2 4 2" xfId="43524" xr:uid="{00000000-0005-0000-0000-0000FB6B0000}"/>
    <cellStyle name="40% - Accent4 11 2 2 2 5" xfId="30576" xr:uid="{00000000-0005-0000-0000-0000FC6B0000}"/>
    <cellStyle name="40% - Accent4 11 2 2 3" xfId="6346" xr:uid="{00000000-0005-0000-0000-0000FD6B0000}"/>
    <cellStyle name="40% - Accent4 11 2 2 3 2" xfId="12805" xr:uid="{00000000-0005-0000-0000-0000FE6B0000}"/>
    <cellStyle name="40% - Accent4 11 2 2 3 2 2" xfId="25722" xr:uid="{00000000-0005-0000-0000-0000FF6B0000}"/>
    <cellStyle name="40% - Accent4 11 2 2 3 2 2 2" xfId="51596" xr:uid="{00000000-0005-0000-0000-0000006C0000}"/>
    <cellStyle name="40% - Accent4 11 2 2 3 2 3" xfId="38680" xr:uid="{00000000-0005-0000-0000-0000016C0000}"/>
    <cellStyle name="40% - Accent4 11 2 2 3 3" xfId="19264" xr:uid="{00000000-0005-0000-0000-0000026C0000}"/>
    <cellStyle name="40% - Accent4 11 2 2 3 3 2" xfId="45138" xr:uid="{00000000-0005-0000-0000-0000036C0000}"/>
    <cellStyle name="40% - Accent4 11 2 2 3 4" xfId="32222" xr:uid="{00000000-0005-0000-0000-0000046C0000}"/>
    <cellStyle name="40% - Accent4 11 2 2 4" xfId="9577" xr:uid="{00000000-0005-0000-0000-0000056C0000}"/>
    <cellStyle name="40% - Accent4 11 2 2 4 2" xfId="22494" xr:uid="{00000000-0005-0000-0000-0000066C0000}"/>
    <cellStyle name="40% - Accent4 11 2 2 4 2 2" xfId="48368" xr:uid="{00000000-0005-0000-0000-0000076C0000}"/>
    <cellStyle name="40% - Accent4 11 2 2 4 3" xfId="35452" xr:uid="{00000000-0005-0000-0000-0000086C0000}"/>
    <cellStyle name="40% - Accent4 11 2 2 5" xfId="16036" xr:uid="{00000000-0005-0000-0000-0000096C0000}"/>
    <cellStyle name="40% - Accent4 11 2 2 5 2" xfId="41910" xr:uid="{00000000-0005-0000-0000-00000A6C0000}"/>
    <cellStyle name="40% - Accent4 11 2 2 6" xfId="28962" xr:uid="{00000000-0005-0000-0000-00000B6C0000}"/>
    <cellStyle name="40% - Accent4 11 2 3" xfId="3899" xr:uid="{00000000-0005-0000-0000-00000C6C0000}"/>
    <cellStyle name="40% - Accent4 11 2 3 2" xfId="7153" xr:uid="{00000000-0005-0000-0000-00000D6C0000}"/>
    <cellStyle name="40% - Accent4 11 2 3 2 2" xfId="13612" xr:uid="{00000000-0005-0000-0000-00000E6C0000}"/>
    <cellStyle name="40% - Accent4 11 2 3 2 2 2" xfId="26529" xr:uid="{00000000-0005-0000-0000-00000F6C0000}"/>
    <cellStyle name="40% - Accent4 11 2 3 2 2 2 2" xfId="52403" xr:uid="{00000000-0005-0000-0000-0000106C0000}"/>
    <cellStyle name="40% - Accent4 11 2 3 2 2 3" xfId="39487" xr:uid="{00000000-0005-0000-0000-0000116C0000}"/>
    <cellStyle name="40% - Accent4 11 2 3 2 3" xfId="20071" xr:uid="{00000000-0005-0000-0000-0000126C0000}"/>
    <cellStyle name="40% - Accent4 11 2 3 2 3 2" xfId="45945" xr:uid="{00000000-0005-0000-0000-0000136C0000}"/>
    <cellStyle name="40% - Accent4 11 2 3 2 4" xfId="33029" xr:uid="{00000000-0005-0000-0000-0000146C0000}"/>
    <cellStyle name="40% - Accent4 11 2 3 3" xfId="10384" xr:uid="{00000000-0005-0000-0000-0000156C0000}"/>
    <cellStyle name="40% - Accent4 11 2 3 3 2" xfId="23301" xr:uid="{00000000-0005-0000-0000-0000166C0000}"/>
    <cellStyle name="40% - Accent4 11 2 3 3 2 2" xfId="49175" xr:uid="{00000000-0005-0000-0000-0000176C0000}"/>
    <cellStyle name="40% - Accent4 11 2 3 3 3" xfId="36259" xr:uid="{00000000-0005-0000-0000-0000186C0000}"/>
    <cellStyle name="40% - Accent4 11 2 3 4" xfId="16843" xr:uid="{00000000-0005-0000-0000-0000196C0000}"/>
    <cellStyle name="40% - Accent4 11 2 3 4 2" xfId="42717" xr:uid="{00000000-0005-0000-0000-00001A6C0000}"/>
    <cellStyle name="40% - Accent4 11 2 3 5" xfId="29769" xr:uid="{00000000-0005-0000-0000-00001B6C0000}"/>
    <cellStyle name="40% - Accent4 11 2 4" xfId="5539" xr:uid="{00000000-0005-0000-0000-00001C6C0000}"/>
    <cellStyle name="40% - Accent4 11 2 4 2" xfId="11998" xr:uid="{00000000-0005-0000-0000-00001D6C0000}"/>
    <cellStyle name="40% - Accent4 11 2 4 2 2" xfId="24915" xr:uid="{00000000-0005-0000-0000-00001E6C0000}"/>
    <cellStyle name="40% - Accent4 11 2 4 2 2 2" xfId="50789" xr:uid="{00000000-0005-0000-0000-00001F6C0000}"/>
    <cellStyle name="40% - Accent4 11 2 4 2 3" xfId="37873" xr:uid="{00000000-0005-0000-0000-0000206C0000}"/>
    <cellStyle name="40% - Accent4 11 2 4 3" xfId="18457" xr:uid="{00000000-0005-0000-0000-0000216C0000}"/>
    <cellStyle name="40% - Accent4 11 2 4 3 2" xfId="44331" xr:uid="{00000000-0005-0000-0000-0000226C0000}"/>
    <cellStyle name="40% - Accent4 11 2 4 4" xfId="31415" xr:uid="{00000000-0005-0000-0000-0000236C0000}"/>
    <cellStyle name="40% - Accent4 11 2 5" xfId="8770" xr:uid="{00000000-0005-0000-0000-0000246C0000}"/>
    <cellStyle name="40% - Accent4 11 2 5 2" xfId="21687" xr:uid="{00000000-0005-0000-0000-0000256C0000}"/>
    <cellStyle name="40% - Accent4 11 2 5 2 2" xfId="47561" xr:uid="{00000000-0005-0000-0000-0000266C0000}"/>
    <cellStyle name="40% - Accent4 11 2 5 3" xfId="34645" xr:uid="{00000000-0005-0000-0000-0000276C0000}"/>
    <cellStyle name="40% - Accent4 11 2 6" xfId="15229" xr:uid="{00000000-0005-0000-0000-0000286C0000}"/>
    <cellStyle name="40% - Accent4 11 2 6 2" xfId="41103" xr:uid="{00000000-0005-0000-0000-0000296C0000}"/>
    <cellStyle name="40% - Accent4 11 2 7" xfId="28155" xr:uid="{00000000-0005-0000-0000-00002A6C0000}"/>
    <cellStyle name="40% - Accent4 11 2 8" xfId="54017" xr:uid="{00000000-0005-0000-0000-00002B6C0000}"/>
    <cellStyle name="40% - Accent4 11 3" xfId="2669" xr:uid="{00000000-0005-0000-0000-00002C6C0000}"/>
    <cellStyle name="40% - Accent4 11 3 2" xfId="4326" xr:uid="{00000000-0005-0000-0000-00002D6C0000}"/>
    <cellStyle name="40% - Accent4 11 3 2 2" xfId="7557" xr:uid="{00000000-0005-0000-0000-00002E6C0000}"/>
    <cellStyle name="40% - Accent4 11 3 2 2 2" xfId="14016" xr:uid="{00000000-0005-0000-0000-00002F6C0000}"/>
    <cellStyle name="40% - Accent4 11 3 2 2 2 2" xfId="26933" xr:uid="{00000000-0005-0000-0000-0000306C0000}"/>
    <cellStyle name="40% - Accent4 11 3 2 2 2 2 2" xfId="52807" xr:uid="{00000000-0005-0000-0000-0000316C0000}"/>
    <cellStyle name="40% - Accent4 11 3 2 2 2 3" xfId="39891" xr:uid="{00000000-0005-0000-0000-0000326C0000}"/>
    <cellStyle name="40% - Accent4 11 3 2 2 3" xfId="20475" xr:uid="{00000000-0005-0000-0000-0000336C0000}"/>
    <cellStyle name="40% - Accent4 11 3 2 2 3 2" xfId="46349" xr:uid="{00000000-0005-0000-0000-0000346C0000}"/>
    <cellStyle name="40% - Accent4 11 3 2 2 4" xfId="33433" xr:uid="{00000000-0005-0000-0000-0000356C0000}"/>
    <cellStyle name="40% - Accent4 11 3 2 3" xfId="10788" xr:uid="{00000000-0005-0000-0000-0000366C0000}"/>
    <cellStyle name="40% - Accent4 11 3 2 3 2" xfId="23705" xr:uid="{00000000-0005-0000-0000-0000376C0000}"/>
    <cellStyle name="40% - Accent4 11 3 2 3 2 2" xfId="49579" xr:uid="{00000000-0005-0000-0000-0000386C0000}"/>
    <cellStyle name="40% - Accent4 11 3 2 3 3" xfId="36663" xr:uid="{00000000-0005-0000-0000-0000396C0000}"/>
    <cellStyle name="40% - Accent4 11 3 2 4" xfId="17247" xr:uid="{00000000-0005-0000-0000-00003A6C0000}"/>
    <cellStyle name="40% - Accent4 11 3 2 4 2" xfId="43121" xr:uid="{00000000-0005-0000-0000-00003B6C0000}"/>
    <cellStyle name="40% - Accent4 11 3 2 5" xfId="30173" xr:uid="{00000000-0005-0000-0000-00003C6C0000}"/>
    <cellStyle name="40% - Accent4 11 3 3" xfId="5943" xr:uid="{00000000-0005-0000-0000-00003D6C0000}"/>
    <cellStyle name="40% - Accent4 11 3 3 2" xfId="12402" xr:uid="{00000000-0005-0000-0000-00003E6C0000}"/>
    <cellStyle name="40% - Accent4 11 3 3 2 2" xfId="25319" xr:uid="{00000000-0005-0000-0000-00003F6C0000}"/>
    <cellStyle name="40% - Accent4 11 3 3 2 2 2" xfId="51193" xr:uid="{00000000-0005-0000-0000-0000406C0000}"/>
    <cellStyle name="40% - Accent4 11 3 3 2 3" xfId="38277" xr:uid="{00000000-0005-0000-0000-0000416C0000}"/>
    <cellStyle name="40% - Accent4 11 3 3 3" xfId="18861" xr:uid="{00000000-0005-0000-0000-0000426C0000}"/>
    <cellStyle name="40% - Accent4 11 3 3 3 2" xfId="44735" xr:uid="{00000000-0005-0000-0000-0000436C0000}"/>
    <cellStyle name="40% - Accent4 11 3 3 4" xfId="31819" xr:uid="{00000000-0005-0000-0000-0000446C0000}"/>
    <cellStyle name="40% - Accent4 11 3 4" xfId="9174" xr:uid="{00000000-0005-0000-0000-0000456C0000}"/>
    <cellStyle name="40% - Accent4 11 3 4 2" xfId="22091" xr:uid="{00000000-0005-0000-0000-0000466C0000}"/>
    <cellStyle name="40% - Accent4 11 3 4 2 2" xfId="47965" xr:uid="{00000000-0005-0000-0000-0000476C0000}"/>
    <cellStyle name="40% - Accent4 11 3 4 3" xfId="35049" xr:uid="{00000000-0005-0000-0000-0000486C0000}"/>
    <cellStyle name="40% - Accent4 11 3 5" xfId="15633" xr:uid="{00000000-0005-0000-0000-0000496C0000}"/>
    <cellStyle name="40% - Accent4 11 3 5 2" xfId="41507" xr:uid="{00000000-0005-0000-0000-00004A6C0000}"/>
    <cellStyle name="40% - Accent4 11 3 6" xfId="28559" xr:uid="{00000000-0005-0000-0000-00004B6C0000}"/>
    <cellStyle name="40% - Accent4 11 4" xfId="3496" xr:uid="{00000000-0005-0000-0000-00004C6C0000}"/>
    <cellStyle name="40% - Accent4 11 4 2" xfId="6750" xr:uid="{00000000-0005-0000-0000-00004D6C0000}"/>
    <cellStyle name="40% - Accent4 11 4 2 2" xfId="13209" xr:uid="{00000000-0005-0000-0000-00004E6C0000}"/>
    <cellStyle name="40% - Accent4 11 4 2 2 2" xfId="26126" xr:uid="{00000000-0005-0000-0000-00004F6C0000}"/>
    <cellStyle name="40% - Accent4 11 4 2 2 2 2" xfId="52000" xr:uid="{00000000-0005-0000-0000-0000506C0000}"/>
    <cellStyle name="40% - Accent4 11 4 2 2 3" xfId="39084" xr:uid="{00000000-0005-0000-0000-0000516C0000}"/>
    <cellStyle name="40% - Accent4 11 4 2 3" xfId="19668" xr:uid="{00000000-0005-0000-0000-0000526C0000}"/>
    <cellStyle name="40% - Accent4 11 4 2 3 2" xfId="45542" xr:uid="{00000000-0005-0000-0000-0000536C0000}"/>
    <cellStyle name="40% - Accent4 11 4 2 4" xfId="32626" xr:uid="{00000000-0005-0000-0000-0000546C0000}"/>
    <cellStyle name="40% - Accent4 11 4 3" xfId="9981" xr:uid="{00000000-0005-0000-0000-0000556C0000}"/>
    <cellStyle name="40% - Accent4 11 4 3 2" xfId="22898" xr:uid="{00000000-0005-0000-0000-0000566C0000}"/>
    <cellStyle name="40% - Accent4 11 4 3 2 2" xfId="48772" xr:uid="{00000000-0005-0000-0000-0000576C0000}"/>
    <cellStyle name="40% - Accent4 11 4 3 3" xfId="35856" xr:uid="{00000000-0005-0000-0000-0000586C0000}"/>
    <cellStyle name="40% - Accent4 11 4 4" xfId="16440" xr:uid="{00000000-0005-0000-0000-0000596C0000}"/>
    <cellStyle name="40% - Accent4 11 4 4 2" xfId="42314" xr:uid="{00000000-0005-0000-0000-00005A6C0000}"/>
    <cellStyle name="40% - Accent4 11 4 5" xfId="29366" xr:uid="{00000000-0005-0000-0000-00005B6C0000}"/>
    <cellStyle name="40% - Accent4 11 5" xfId="5136" xr:uid="{00000000-0005-0000-0000-00005C6C0000}"/>
    <cellStyle name="40% - Accent4 11 5 2" xfId="11595" xr:uid="{00000000-0005-0000-0000-00005D6C0000}"/>
    <cellStyle name="40% - Accent4 11 5 2 2" xfId="24512" xr:uid="{00000000-0005-0000-0000-00005E6C0000}"/>
    <cellStyle name="40% - Accent4 11 5 2 2 2" xfId="50386" xr:uid="{00000000-0005-0000-0000-00005F6C0000}"/>
    <cellStyle name="40% - Accent4 11 5 2 3" xfId="37470" xr:uid="{00000000-0005-0000-0000-0000606C0000}"/>
    <cellStyle name="40% - Accent4 11 5 3" xfId="18054" xr:uid="{00000000-0005-0000-0000-0000616C0000}"/>
    <cellStyle name="40% - Accent4 11 5 3 2" xfId="43928" xr:uid="{00000000-0005-0000-0000-0000626C0000}"/>
    <cellStyle name="40% - Accent4 11 5 4" xfId="31012" xr:uid="{00000000-0005-0000-0000-0000636C0000}"/>
    <cellStyle name="40% - Accent4 11 6" xfId="8366" xr:uid="{00000000-0005-0000-0000-0000646C0000}"/>
    <cellStyle name="40% - Accent4 11 6 2" xfId="21283" xr:uid="{00000000-0005-0000-0000-0000656C0000}"/>
    <cellStyle name="40% - Accent4 11 6 2 2" xfId="47157" xr:uid="{00000000-0005-0000-0000-0000666C0000}"/>
    <cellStyle name="40% - Accent4 11 6 3" xfId="34241" xr:uid="{00000000-0005-0000-0000-0000676C0000}"/>
    <cellStyle name="40% - Accent4 11 7" xfId="14825" xr:uid="{00000000-0005-0000-0000-0000686C0000}"/>
    <cellStyle name="40% - Accent4 11 7 2" xfId="40699" xr:uid="{00000000-0005-0000-0000-0000696C0000}"/>
    <cellStyle name="40% - Accent4 11 8" xfId="27751" xr:uid="{00000000-0005-0000-0000-00006A6C0000}"/>
    <cellStyle name="40% - Accent4 11 9" xfId="53614" xr:uid="{00000000-0005-0000-0000-00006B6C0000}"/>
    <cellStyle name="40% - Accent4 12" xfId="2045" xr:uid="{00000000-0005-0000-0000-00006C6C0000}"/>
    <cellStyle name="40% - Accent4 12 2" xfId="2454" xr:uid="{00000000-0005-0000-0000-00006D6C0000}"/>
    <cellStyle name="40% - Accent4 12 2 2" xfId="3267" xr:uid="{00000000-0005-0000-0000-00006E6C0000}"/>
    <cellStyle name="40% - Accent4 12 2 2 2" xfId="4924" xr:uid="{00000000-0005-0000-0000-00006F6C0000}"/>
    <cellStyle name="40% - Accent4 12 2 2 2 2" xfId="8155" xr:uid="{00000000-0005-0000-0000-0000706C0000}"/>
    <cellStyle name="40% - Accent4 12 2 2 2 2 2" xfId="14614" xr:uid="{00000000-0005-0000-0000-0000716C0000}"/>
    <cellStyle name="40% - Accent4 12 2 2 2 2 2 2" xfId="27531" xr:uid="{00000000-0005-0000-0000-0000726C0000}"/>
    <cellStyle name="40% - Accent4 12 2 2 2 2 2 2 2" xfId="53405" xr:uid="{00000000-0005-0000-0000-0000736C0000}"/>
    <cellStyle name="40% - Accent4 12 2 2 2 2 2 3" xfId="40489" xr:uid="{00000000-0005-0000-0000-0000746C0000}"/>
    <cellStyle name="40% - Accent4 12 2 2 2 2 3" xfId="21073" xr:uid="{00000000-0005-0000-0000-0000756C0000}"/>
    <cellStyle name="40% - Accent4 12 2 2 2 2 3 2" xfId="46947" xr:uid="{00000000-0005-0000-0000-0000766C0000}"/>
    <cellStyle name="40% - Accent4 12 2 2 2 2 4" xfId="34031" xr:uid="{00000000-0005-0000-0000-0000776C0000}"/>
    <cellStyle name="40% - Accent4 12 2 2 2 3" xfId="11386" xr:uid="{00000000-0005-0000-0000-0000786C0000}"/>
    <cellStyle name="40% - Accent4 12 2 2 2 3 2" xfId="24303" xr:uid="{00000000-0005-0000-0000-0000796C0000}"/>
    <cellStyle name="40% - Accent4 12 2 2 2 3 2 2" xfId="50177" xr:uid="{00000000-0005-0000-0000-00007A6C0000}"/>
    <cellStyle name="40% - Accent4 12 2 2 2 3 3" xfId="37261" xr:uid="{00000000-0005-0000-0000-00007B6C0000}"/>
    <cellStyle name="40% - Accent4 12 2 2 2 4" xfId="17845" xr:uid="{00000000-0005-0000-0000-00007C6C0000}"/>
    <cellStyle name="40% - Accent4 12 2 2 2 4 2" xfId="43719" xr:uid="{00000000-0005-0000-0000-00007D6C0000}"/>
    <cellStyle name="40% - Accent4 12 2 2 2 5" xfId="30771" xr:uid="{00000000-0005-0000-0000-00007E6C0000}"/>
    <cellStyle name="40% - Accent4 12 2 2 3" xfId="6541" xr:uid="{00000000-0005-0000-0000-00007F6C0000}"/>
    <cellStyle name="40% - Accent4 12 2 2 3 2" xfId="13000" xr:uid="{00000000-0005-0000-0000-0000806C0000}"/>
    <cellStyle name="40% - Accent4 12 2 2 3 2 2" xfId="25917" xr:uid="{00000000-0005-0000-0000-0000816C0000}"/>
    <cellStyle name="40% - Accent4 12 2 2 3 2 2 2" xfId="51791" xr:uid="{00000000-0005-0000-0000-0000826C0000}"/>
    <cellStyle name="40% - Accent4 12 2 2 3 2 3" xfId="38875" xr:uid="{00000000-0005-0000-0000-0000836C0000}"/>
    <cellStyle name="40% - Accent4 12 2 2 3 3" xfId="19459" xr:uid="{00000000-0005-0000-0000-0000846C0000}"/>
    <cellStyle name="40% - Accent4 12 2 2 3 3 2" xfId="45333" xr:uid="{00000000-0005-0000-0000-0000856C0000}"/>
    <cellStyle name="40% - Accent4 12 2 2 3 4" xfId="32417" xr:uid="{00000000-0005-0000-0000-0000866C0000}"/>
    <cellStyle name="40% - Accent4 12 2 2 4" xfId="9772" xr:uid="{00000000-0005-0000-0000-0000876C0000}"/>
    <cellStyle name="40% - Accent4 12 2 2 4 2" xfId="22689" xr:uid="{00000000-0005-0000-0000-0000886C0000}"/>
    <cellStyle name="40% - Accent4 12 2 2 4 2 2" xfId="48563" xr:uid="{00000000-0005-0000-0000-0000896C0000}"/>
    <cellStyle name="40% - Accent4 12 2 2 4 3" xfId="35647" xr:uid="{00000000-0005-0000-0000-00008A6C0000}"/>
    <cellStyle name="40% - Accent4 12 2 2 5" xfId="16231" xr:uid="{00000000-0005-0000-0000-00008B6C0000}"/>
    <cellStyle name="40% - Accent4 12 2 2 5 2" xfId="42105" xr:uid="{00000000-0005-0000-0000-00008C6C0000}"/>
    <cellStyle name="40% - Accent4 12 2 2 6" xfId="29157" xr:uid="{00000000-0005-0000-0000-00008D6C0000}"/>
    <cellStyle name="40% - Accent4 12 2 3" xfId="4094" xr:uid="{00000000-0005-0000-0000-00008E6C0000}"/>
    <cellStyle name="40% - Accent4 12 2 3 2" xfId="7348" xr:uid="{00000000-0005-0000-0000-00008F6C0000}"/>
    <cellStyle name="40% - Accent4 12 2 3 2 2" xfId="13807" xr:uid="{00000000-0005-0000-0000-0000906C0000}"/>
    <cellStyle name="40% - Accent4 12 2 3 2 2 2" xfId="26724" xr:uid="{00000000-0005-0000-0000-0000916C0000}"/>
    <cellStyle name="40% - Accent4 12 2 3 2 2 2 2" xfId="52598" xr:uid="{00000000-0005-0000-0000-0000926C0000}"/>
    <cellStyle name="40% - Accent4 12 2 3 2 2 3" xfId="39682" xr:uid="{00000000-0005-0000-0000-0000936C0000}"/>
    <cellStyle name="40% - Accent4 12 2 3 2 3" xfId="20266" xr:uid="{00000000-0005-0000-0000-0000946C0000}"/>
    <cellStyle name="40% - Accent4 12 2 3 2 3 2" xfId="46140" xr:uid="{00000000-0005-0000-0000-0000956C0000}"/>
    <cellStyle name="40% - Accent4 12 2 3 2 4" xfId="33224" xr:uid="{00000000-0005-0000-0000-0000966C0000}"/>
    <cellStyle name="40% - Accent4 12 2 3 3" xfId="10579" xr:uid="{00000000-0005-0000-0000-0000976C0000}"/>
    <cellStyle name="40% - Accent4 12 2 3 3 2" xfId="23496" xr:uid="{00000000-0005-0000-0000-0000986C0000}"/>
    <cellStyle name="40% - Accent4 12 2 3 3 2 2" xfId="49370" xr:uid="{00000000-0005-0000-0000-0000996C0000}"/>
    <cellStyle name="40% - Accent4 12 2 3 3 3" xfId="36454" xr:uid="{00000000-0005-0000-0000-00009A6C0000}"/>
    <cellStyle name="40% - Accent4 12 2 3 4" xfId="17038" xr:uid="{00000000-0005-0000-0000-00009B6C0000}"/>
    <cellStyle name="40% - Accent4 12 2 3 4 2" xfId="42912" xr:uid="{00000000-0005-0000-0000-00009C6C0000}"/>
    <cellStyle name="40% - Accent4 12 2 3 5" xfId="29964" xr:uid="{00000000-0005-0000-0000-00009D6C0000}"/>
    <cellStyle name="40% - Accent4 12 2 4" xfId="5734" xr:uid="{00000000-0005-0000-0000-00009E6C0000}"/>
    <cellStyle name="40% - Accent4 12 2 4 2" xfId="12193" xr:uid="{00000000-0005-0000-0000-00009F6C0000}"/>
    <cellStyle name="40% - Accent4 12 2 4 2 2" xfId="25110" xr:uid="{00000000-0005-0000-0000-0000A06C0000}"/>
    <cellStyle name="40% - Accent4 12 2 4 2 2 2" xfId="50984" xr:uid="{00000000-0005-0000-0000-0000A16C0000}"/>
    <cellStyle name="40% - Accent4 12 2 4 2 3" xfId="38068" xr:uid="{00000000-0005-0000-0000-0000A26C0000}"/>
    <cellStyle name="40% - Accent4 12 2 4 3" xfId="18652" xr:uid="{00000000-0005-0000-0000-0000A36C0000}"/>
    <cellStyle name="40% - Accent4 12 2 4 3 2" xfId="44526" xr:uid="{00000000-0005-0000-0000-0000A46C0000}"/>
    <cellStyle name="40% - Accent4 12 2 4 4" xfId="31610" xr:uid="{00000000-0005-0000-0000-0000A56C0000}"/>
    <cellStyle name="40% - Accent4 12 2 5" xfId="8965" xr:uid="{00000000-0005-0000-0000-0000A66C0000}"/>
    <cellStyle name="40% - Accent4 12 2 5 2" xfId="21882" xr:uid="{00000000-0005-0000-0000-0000A76C0000}"/>
    <cellStyle name="40% - Accent4 12 2 5 2 2" xfId="47756" xr:uid="{00000000-0005-0000-0000-0000A86C0000}"/>
    <cellStyle name="40% - Accent4 12 2 5 3" xfId="34840" xr:uid="{00000000-0005-0000-0000-0000A96C0000}"/>
    <cellStyle name="40% - Accent4 12 2 6" xfId="15424" xr:uid="{00000000-0005-0000-0000-0000AA6C0000}"/>
    <cellStyle name="40% - Accent4 12 2 6 2" xfId="41298" xr:uid="{00000000-0005-0000-0000-0000AB6C0000}"/>
    <cellStyle name="40% - Accent4 12 2 7" xfId="28350" xr:uid="{00000000-0005-0000-0000-0000AC6C0000}"/>
    <cellStyle name="40% - Accent4 12 2 8" xfId="54212" xr:uid="{00000000-0005-0000-0000-0000AD6C0000}"/>
    <cellStyle name="40% - Accent4 12 3" xfId="2863" xr:uid="{00000000-0005-0000-0000-0000AE6C0000}"/>
    <cellStyle name="40% - Accent4 12 3 2" xfId="4520" xr:uid="{00000000-0005-0000-0000-0000AF6C0000}"/>
    <cellStyle name="40% - Accent4 12 3 2 2" xfId="7751" xr:uid="{00000000-0005-0000-0000-0000B06C0000}"/>
    <cellStyle name="40% - Accent4 12 3 2 2 2" xfId="14210" xr:uid="{00000000-0005-0000-0000-0000B16C0000}"/>
    <cellStyle name="40% - Accent4 12 3 2 2 2 2" xfId="27127" xr:uid="{00000000-0005-0000-0000-0000B26C0000}"/>
    <cellStyle name="40% - Accent4 12 3 2 2 2 2 2" xfId="53001" xr:uid="{00000000-0005-0000-0000-0000B36C0000}"/>
    <cellStyle name="40% - Accent4 12 3 2 2 2 3" xfId="40085" xr:uid="{00000000-0005-0000-0000-0000B46C0000}"/>
    <cellStyle name="40% - Accent4 12 3 2 2 3" xfId="20669" xr:uid="{00000000-0005-0000-0000-0000B56C0000}"/>
    <cellStyle name="40% - Accent4 12 3 2 2 3 2" xfId="46543" xr:uid="{00000000-0005-0000-0000-0000B66C0000}"/>
    <cellStyle name="40% - Accent4 12 3 2 2 4" xfId="33627" xr:uid="{00000000-0005-0000-0000-0000B76C0000}"/>
    <cellStyle name="40% - Accent4 12 3 2 3" xfId="10982" xr:uid="{00000000-0005-0000-0000-0000B86C0000}"/>
    <cellStyle name="40% - Accent4 12 3 2 3 2" xfId="23899" xr:uid="{00000000-0005-0000-0000-0000B96C0000}"/>
    <cellStyle name="40% - Accent4 12 3 2 3 2 2" xfId="49773" xr:uid="{00000000-0005-0000-0000-0000BA6C0000}"/>
    <cellStyle name="40% - Accent4 12 3 2 3 3" xfId="36857" xr:uid="{00000000-0005-0000-0000-0000BB6C0000}"/>
    <cellStyle name="40% - Accent4 12 3 2 4" xfId="17441" xr:uid="{00000000-0005-0000-0000-0000BC6C0000}"/>
    <cellStyle name="40% - Accent4 12 3 2 4 2" xfId="43315" xr:uid="{00000000-0005-0000-0000-0000BD6C0000}"/>
    <cellStyle name="40% - Accent4 12 3 2 5" xfId="30367" xr:uid="{00000000-0005-0000-0000-0000BE6C0000}"/>
    <cellStyle name="40% - Accent4 12 3 3" xfId="6137" xr:uid="{00000000-0005-0000-0000-0000BF6C0000}"/>
    <cellStyle name="40% - Accent4 12 3 3 2" xfId="12596" xr:uid="{00000000-0005-0000-0000-0000C06C0000}"/>
    <cellStyle name="40% - Accent4 12 3 3 2 2" xfId="25513" xr:uid="{00000000-0005-0000-0000-0000C16C0000}"/>
    <cellStyle name="40% - Accent4 12 3 3 2 2 2" xfId="51387" xr:uid="{00000000-0005-0000-0000-0000C26C0000}"/>
    <cellStyle name="40% - Accent4 12 3 3 2 3" xfId="38471" xr:uid="{00000000-0005-0000-0000-0000C36C0000}"/>
    <cellStyle name="40% - Accent4 12 3 3 3" xfId="19055" xr:uid="{00000000-0005-0000-0000-0000C46C0000}"/>
    <cellStyle name="40% - Accent4 12 3 3 3 2" xfId="44929" xr:uid="{00000000-0005-0000-0000-0000C56C0000}"/>
    <cellStyle name="40% - Accent4 12 3 3 4" xfId="32013" xr:uid="{00000000-0005-0000-0000-0000C66C0000}"/>
    <cellStyle name="40% - Accent4 12 3 4" xfId="9368" xr:uid="{00000000-0005-0000-0000-0000C76C0000}"/>
    <cellStyle name="40% - Accent4 12 3 4 2" xfId="22285" xr:uid="{00000000-0005-0000-0000-0000C86C0000}"/>
    <cellStyle name="40% - Accent4 12 3 4 2 2" xfId="48159" xr:uid="{00000000-0005-0000-0000-0000C96C0000}"/>
    <cellStyle name="40% - Accent4 12 3 4 3" xfId="35243" xr:uid="{00000000-0005-0000-0000-0000CA6C0000}"/>
    <cellStyle name="40% - Accent4 12 3 5" xfId="15827" xr:uid="{00000000-0005-0000-0000-0000CB6C0000}"/>
    <cellStyle name="40% - Accent4 12 3 5 2" xfId="41701" xr:uid="{00000000-0005-0000-0000-0000CC6C0000}"/>
    <cellStyle name="40% - Accent4 12 3 6" xfId="28753" xr:uid="{00000000-0005-0000-0000-0000CD6C0000}"/>
    <cellStyle name="40% - Accent4 12 4" xfId="3690" xr:uid="{00000000-0005-0000-0000-0000CE6C0000}"/>
    <cellStyle name="40% - Accent4 12 4 2" xfId="6944" xr:uid="{00000000-0005-0000-0000-0000CF6C0000}"/>
    <cellStyle name="40% - Accent4 12 4 2 2" xfId="13403" xr:uid="{00000000-0005-0000-0000-0000D06C0000}"/>
    <cellStyle name="40% - Accent4 12 4 2 2 2" xfId="26320" xr:uid="{00000000-0005-0000-0000-0000D16C0000}"/>
    <cellStyle name="40% - Accent4 12 4 2 2 2 2" xfId="52194" xr:uid="{00000000-0005-0000-0000-0000D26C0000}"/>
    <cellStyle name="40% - Accent4 12 4 2 2 3" xfId="39278" xr:uid="{00000000-0005-0000-0000-0000D36C0000}"/>
    <cellStyle name="40% - Accent4 12 4 2 3" xfId="19862" xr:uid="{00000000-0005-0000-0000-0000D46C0000}"/>
    <cellStyle name="40% - Accent4 12 4 2 3 2" xfId="45736" xr:uid="{00000000-0005-0000-0000-0000D56C0000}"/>
    <cellStyle name="40% - Accent4 12 4 2 4" xfId="32820" xr:uid="{00000000-0005-0000-0000-0000D66C0000}"/>
    <cellStyle name="40% - Accent4 12 4 3" xfId="10175" xr:uid="{00000000-0005-0000-0000-0000D76C0000}"/>
    <cellStyle name="40% - Accent4 12 4 3 2" xfId="23092" xr:uid="{00000000-0005-0000-0000-0000D86C0000}"/>
    <cellStyle name="40% - Accent4 12 4 3 2 2" xfId="48966" xr:uid="{00000000-0005-0000-0000-0000D96C0000}"/>
    <cellStyle name="40% - Accent4 12 4 3 3" xfId="36050" xr:uid="{00000000-0005-0000-0000-0000DA6C0000}"/>
    <cellStyle name="40% - Accent4 12 4 4" xfId="16634" xr:uid="{00000000-0005-0000-0000-0000DB6C0000}"/>
    <cellStyle name="40% - Accent4 12 4 4 2" xfId="42508" xr:uid="{00000000-0005-0000-0000-0000DC6C0000}"/>
    <cellStyle name="40% - Accent4 12 4 5" xfId="29560" xr:uid="{00000000-0005-0000-0000-0000DD6C0000}"/>
    <cellStyle name="40% - Accent4 12 5" xfId="5330" xr:uid="{00000000-0005-0000-0000-0000DE6C0000}"/>
    <cellStyle name="40% - Accent4 12 5 2" xfId="11789" xr:uid="{00000000-0005-0000-0000-0000DF6C0000}"/>
    <cellStyle name="40% - Accent4 12 5 2 2" xfId="24706" xr:uid="{00000000-0005-0000-0000-0000E06C0000}"/>
    <cellStyle name="40% - Accent4 12 5 2 2 2" xfId="50580" xr:uid="{00000000-0005-0000-0000-0000E16C0000}"/>
    <cellStyle name="40% - Accent4 12 5 2 3" xfId="37664" xr:uid="{00000000-0005-0000-0000-0000E26C0000}"/>
    <cellStyle name="40% - Accent4 12 5 3" xfId="18248" xr:uid="{00000000-0005-0000-0000-0000E36C0000}"/>
    <cellStyle name="40% - Accent4 12 5 3 2" xfId="44122" xr:uid="{00000000-0005-0000-0000-0000E46C0000}"/>
    <cellStyle name="40% - Accent4 12 5 4" xfId="31206" xr:uid="{00000000-0005-0000-0000-0000E56C0000}"/>
    <cellStyle name="40% - Accent4 12 6" xfId="8561" xr:uid="{00000000-0005-0000-0000-0000E66C0000}"/>
    <cellStyle name="40% - Accent4 12 6 2" xfId="21478" xr:uid="{00000000-0005-0000-0000-0000E76C0000}"/>
    <cellStyle name="40% - Accent4 12 6 2 2" xfId="47352" xr:uid="{00000000-0005-0000-0000-0000E86C0000}"/>
    <cellStyle name="40% - Accent4 12 6 3" xfId="34436" xr:uid="{00000000-0005-0000-0000-0000E96C0000}"/>
    <cellStyle name="40% - Accent4 12 7" xfId="15020" xr:uid="{00000000-0005-0000-0000-0000EA6C0000}"/>
    <cellStyle name="40% - Accent4 12 7 2" xfId="40894" xr:uid="{00000000-0005-0000-0000-0000EB6C0000}"/>
    <cellStyle name="40% - Accent4 12 8" xfId="27946" xr:uid="{00000000-0005-0000-0000-0000EC6C0000}"/>
    <cellStyle name="40% - Accent4 12 9" xfId="53808" xr:uid="{00000000-0005-0000-0000-0000ED6C0000}"/>
    <cellStyle name="40% - Accent4 13" xfId="2059" xr:uid="{00000000-0005-0000-0000-0000EE6C0000}"/>
    <cellStyle name="40% - Accent4 13 2" xfId="2877" xr:uid="{00000000-0005-0000-0000-0000EF6C0000}"/>
    <cellStyle name="40% - Accent4 13 2 2" xfId="4534" xr:uid="{00000000-0005-0000-0000-0000F06C0000}"/>
    <cellStyle name="40% - Accent4 13 2 2 2" xfId="7765" xr:uid="{00000000-0005-0000-0000-0000F16C0000}"/>
    <cellStyle name="40% - Accent4 13 2 2 2 2" xfId="14224" xr:uid="{00000000-0005-0000-0000-0000F26C0000}"/>
    <cellStyle name="40% - Accent4 13 2 2 2 2 2" xfId="27141" xr:uid="{00000000-0005-0000-0000-0000F36C0000}"/>
    <cellStyle name="40% - Accent4 13 2 2 2 2 2 2" xfId="53015" xr:uid="{00000000-0005-0000-0000-0000F46C0000}"/>
    <cellStyle name="40% - Accent4 13 2 2 2 2 3" xfId="40099" xr:uid="{00000000-0005-0000-0000-0000F56C0000}"/>
    <cellStyle name="40% - Accent4 13 2 2 2 3" xfId="20683" xr:uid="{00000000-0005-0000-0000-0000F66C0000}"/>
    <cellStyle name="40% - Accent4 13 2 2 2 3 2" xfId="46557" xr:uid="{00000000-0005-0000-0000-0000F76C0000}"/>
    <cellStyle name="40% - Accent4 13 2 2 2 4" xfId="33641" xr:uid="{00000000-0005-0000-0000-0000F86C0000}"/>
    <cellStyle name="40% - Accent4 13 2 2 3" xfId="10996" xr:uid="{00000000-0005-0000-0000-0000F96C0000}"/>
    <cellStyle name="40% - Accent4 13 2 2 3 2" xfId="23913" xr:uid="{00000000-0005-0000-0000-0000FA6C0000}"/>
    <cellStyle name="40% - Accent4 13 2 2 3 2 2" xfId="49787" xr:uid="{00000000-0005-0000-0000-0000FB6C0000}"/>
    <cellStyle name="40% - Accent4 13 2 2 3 3" xfId="36871" xr:uid="{00000000-0005-0000-0000-0000FC6C0000}"/>
    <cellStyle name="40% - Accent4 13 2 2 4" xfId="17455" xr:uid="{00000000-0005-0000-0000-0000FD6C0000}"/>
    <cellStyle name="40% - Accent4 13 2 2 4 2" xfId="43329" xr:uid="{00000000-0005-0000-0000-0000FE6C0000}"/>
    <cellStyle name="40% - Accent4 13 2 2 5" xfId="30381" xr:uid="{00000000-0005-0000-0000-0000FF6C0000}"/>
    <cellStyle name="40% - Accent4 13 2 3" xfId="6151" xr:uid="{00000000-0005-0000-0000-0000006D0000}"/>
    <cellStyle name="40% - Accent4 13 2 3 2" xfId="12610" xr:uid="{00000000-0005-0000-0000-0000016D0000}"/>
    <cellStyle name="40% - Accent4 13 2 3 2 2" xfId="25527" xr:uid="{00000000-0005-0000-0000-0000026D0000}"/>
    <cellStyle name="40% - Accent4 13 2 3 2 2 2" xfId="51401" xr:uid="{00000000-0005-0000-0000-0000036D0000}"/>
    <cellStyle name="40% - Accent4 13 2 3 2 3" xfId="38485" xr:uid="{00000000-0005-0000-0000-0000046D0000}"/>
    <cellStyle name="40% - Accent4 13 2 3 3" xfId="19069" xr:uid="{00000000-0005-0000-0000-0000056D0000}"/>
    <cellStyle name="40% - Accent4 13 2 3 3 2" xfId="44943" xr:uid="{00000000-0005-0000-0000-0000066D0000}"/>
    <cellStyle name="40% - Accent4 13 2 3 4" xfId="32027" xr:uid="{00000000-0005-0000-0000-0000076D0000}"/>
    <cellStyle name="40% - Accent4 13 2 4" xfId="9382" xr:uid="{00000000-0005-0000-0000-0000086D0000}"/>
    <cellStyle name="40% - Accent4 13 2 4 2" xfId="22299" xr:uid="{00000000-0005-0000-0000-0000096D0000}"/>
    <cellStyle name="40% - Accent4 13 2 4 2 2" xfId="48173" xr:uid="{00000000-0005-0000-0000-00000A6D0000}"/>
    <cellStyle name="40% - Accent4 13 2 4 3" xfId="35257" xr:uid="{00000000-0005-0000-0000-00000B6D0000}"/>
    <cellStyle name="40% - Accent4 13 2 5" xfId="15841" xr:uid="{00000000-0005-0000-0000-00000C6D0000}"/>
    <cellStyle name="40% - Accent4 13 2 5 2" xfId="41715" xr:uid="{00000000-0005-0000-0000-00000D6D0000}"/>
    <cellStyle name="40% - Accent4 13 2 6" xfId="28767" xr:uid="{00000000-0005-0000-0000-00000E6D0000}"/>
    <cellStyle name="40% - Accent4 13 3" xfId="3704" xr:uid="{00000000-0005-0000-0000-00000F6D0000}"/>
    <cellStyle name="40% - Accent4 13 3 2" xfId="6958" xr:uid="{00000000-0005-0000-0000-0000106D0000}"/>
    <cellStyle name="40% - Accent4 13 3 2 2" xfId="13417" xr:uid="{00000000-0005-0000-0000-0000116D0000}"/>
    <cellStyle name="40% - Accent4 13 3 2 2 2" xfId="26334" xr:uid="{00000000-0005-0000-0000-0000126D0000}"/>
    <cellStyle name="40% - Accent4 13 3 2 2 2 2" xfId="52208" xr:uid="{00000000-0005-0000-0000-0000136D0000}"/>
    <cellStyle name="40% - Accent4 13 3 2 2 3" xfId="39292" xr:uid="{00000000-0005-0000-0000-0000146D0000}"/>
    <cellStyle name="40% - Accent4 13 3 2 3" xfId="19876" xr:uid="{00000000-0005-0000-0000-0000156D0000}"/>
    <cellStyle name="40% - Accent4 13 3 2 3 2" xfId="45750" xr:uid="{00000000-0005-0000-0000-0000166D0000}"/>
    <cellStyle name="40% - Accent4 13 3 2 4" xfId="32834" xr:uid="{00000000-0005-0000-0000-0000176D0000}"/>
    <cellStyle name="40% - Accent4 13 3 3" xfId="10189" xr:uid="{00000000-0005-0000-0000-0000186D0000}"/>
    <cellStyle name="40% - Accent4 13 3 3 2" xfId="23106" xr:uid="{00000000-0005-0000-0000-0000196D0000}"/>
    <cellStyle name="40% - Accent4 13 3 3 2 2" xfId="48980" xr:uid="{00000000-0005-0000-0000-00001A6D0000}"/>
    <cellStyle name="40% - Accent4 13 3 3 3" xfId="36064" xr:uid="{00000000-0005-0000-0000-00001B6D0000}"/>
    <cellStyle name="40% - Accent4 13 3 4" xfId="16648" xr:uid="{00000000-0005-0000-0000-00001C6D0000}"/>
    <cellStyle name="40% - Accent4 13 3 4 2" xfId="42522" xr:uid="{00000000-0005-0000-0000-00001D6D0000}"/>
    <cellStyle name="40% - Accent4 13 3 5" xfId="29574" xr:uid="{00000000-0005-0000-0000-00001E6D0000}"/>
    <cellStyle name="40% - Accent4 13 4" xfId="5344" xr:uid="{00000000-0005-0000-0000-00001F6D0000}"/>
    <cellStyle name="40% - Accent4 13 4 2" xfId="11803" xr:uid="{00000000-0005-0000-0000-0000206D0000}"/>
    <cellStyle name="40% - Accent4 13 4 2 2" xfId="24720" xr:uid="{00000000-0005-0000-0000-0000216D0000}"/>
    <cellStyle name="40% - Accent4 13 4 2 2 2" xfId="50594" xr:uid="{00000000-0005-0000-0000-0000226D0000}"/>
    <cellStyle name="40% - Accent4 13 4 2 3" xfId="37678" xr:uid="{00000000-0005-0000-0000-0000236D0000}"/>
    <cellStyle name="40% - Accent4 13 4 3" xfId="18262" xr:uid="{00000000-0005-0000-0000-0000246D0000}"/>
    <cellStyle name="40% - Accent4 13 4 3 2" xfId="44136" xr:uid="{00000000-0005-0000-0000-0000256D0000}"/>
    <cellStyle name="40% - Accent4 13 4 4" xfId="31220" xr:uid="{00000000-0005-0000-0000-0000266D0000}"/>
    <cellStyle name="40% - Accent4 13 5" xfId="8575" xr:uid="{00000000-0005-0000-0000-0000276D0000}"/>
    <cellStyle name="40% - Accent4 13 5 2" xfId="21492" xr:uid="{00000000-0005-0000-0000-0000286D0000}"/>
    <cellStyle name="40% - Accent4 13 5 2 2" xfId="47366" xr:uid="{00000000-0005-0000-0000-0000296D0000}"/>
    <cellStyle name="40% - Accent4 13 5 3" xfId="34450" xr:uid="{00000000-0005-0000-0000-00002A6D0000}"/>
    <cellStyle name="40% - Accent4 13 6" xfId="15034" xr:uid="{00000000-0005-0000-0000-00002B6D0000}"/>
    <cellStyle name="40% - Accent4 13 6 2" xfId="40908" xr:uid="{00000000-0005-0000-0000-00002C6D0000}"/>
    <cellStyle name="40% - Accent4 13 7" xfId="27960" xr:uid="{00000000-0005-0000-0000-00002D6D0000}"/>
    <cellStyle name="40% - Accent4 13 8" xfId="53822" xr:uid="{00000000-0005-0000-0000-00002E6D0000}"/>
    <cellStyle name="40% - Accent4 14" xfId="2474" xr:uid="{00000000-0005-0000-0000-00002F6D0000}"/>
    <cellStyle name="40% - Accent4 14 2" xfId="4131" xr:uid="{00000000-0005-0000-0000-0000306D0000}"/>
    <cellStyle name="40% - Accent4 14 2 2" xfId="7362" xr:uid="{00000000-0005-0000-0000-0000316D0000}"/>
    <cellStyle name="40% - Accent4 14 2 2 2" xfId="13821" xr:uid="{00000000-0005-0000-0000-0000326D0000}"/>
    <cellStyle name="40% - Accent4 14 2 2 2 2" xfId="26738" xr:uid="{00000000-0005-0000-0000-0000336D0000}"/>
    <cellStyle name="40% - Accent4 14 2 2 2 2 2" xfId="52612" xr:uid="{00000000-0005-0000-0000-0000346D0000}"/>
    <cellStyle name="40% - Accent4 14 2 2 2 3" xfId="39696" xr:uid="{00000000-0005-0000-0000-0000356D0000}"/>
    <cellStyle name="40% - Accent4 14 2 2 3" xfId="20280" xr:uid="{00000000-0005-0000-0000-0000366D0000}"/>
    <cellStyle name="40% - Accent4 14 2 2 3 2" xfId="46154" xr:uid="{00000000-0005-0000-0000-0000376D0000}"/>
    <cellStyle name="40% - Accent4 14 2 2 4" xfId="33238" xr:uid="{00000000-0005-0000-0000-0000386D0000}"/>
    <cellStyle name="40% - Accent4 14 2 3" xfId="10593" xr:uid="{00000000-0005-0000-0000-0000396D0000}"/>
    <cellStyle name="40% - Accent4 14 2 3 2" xfId="23510" xr:uid="{00000000-0005-0000-0000-00003A6D0000}"/>
    <cellStyle name="40% - Accent4 14 2 3 2 2" xfId="49384" xr:uid="{00000000-0005-0000-0000-00003B6D0000}"/>
    <cellStyle name="40% - Accent4 14 2 3 3" xfId="36468" xr:uid="{00000000-0005-0000-0000-00003C6D0000}"/>
    <cellStyle name="40% - Accent4 14 2 4" xfId="17052" xr:uid="{00000000-0005-0000-0000-00003D6D0000}"/>
    <cellStyle name="40% - Accent4 14 2 4 2" xfId="42926" xr:uid="{00000000-0005-0000-0000-00003E6D0000}"/>
    <cellStyle name="40% - Accent4 14 2 5" xfId="29978" xr:uid="{00000000-0005-0000-0000-00003F6D0000}"/>
    <cellStyle name="40% - Accent4 14 3" xfId="5748" xr:uid="{00000000-0005-0000-0000-0000406D0000}"/>
    <cellStyle name="40% - Accent4 14 3 2" xfId="12207" xr:uid="{00000000-0005-0000-0000-0000416D0000}"/>
    <cellStyle name="40% - Accent4 14 3 2 2" xfId="25124" xr:uid="{00000000-0005-0000-0000-0000426D0000}"/>
    <cellStyle name="40% - Accent4 14 3 2 2 2" xfId="50998" xr:uid="{00000000-0005-0000-0000-0000436D0000}"/>
    <cellStyle name="40% - Accent4 14 3 2 3" xfId="38082" xr:uid="{00000000-0005-0000-0000-0000446D0000}"/>
    <cellStyle name="40% - Accent4 14 3 3" xfId="18666" xr:uid="{00000000-0005-0000-0000-0000456D0000}"/>
    <cellStyle name="40% - Accent4 14 3 3 2" xfId="44540" xr:uid="{00000000-0005-0000-0000-0000466D0000}"/>
    <cellStyle name="40% - Accent4 14 3 4" xfId="31624" xr:uid="{00000000-0005-0000-0000-0000476D0000}"/>
    <cellStyle name="40% - Accent4 14 4" xfId="8979" xr:uid="{00000000-0005-0000-0000-0000486D0000}"/>
    <cellStyle name="40% - Accent4 14 4 2" xfId="21896" xr:uid="{00000000-0005-0000-0000-0000496D0000}"/>
    <cellStyle name="40% - Accent4 14 4 2 2" xfId="47770" xr:uid="{00000000-0005-0000-0000-00004A6D0000}"/>
    <cellStyle name="40% - Accent4 14 4 3" xfId="34854" xr:uid="{00000000-0005-0000-0000-00004B6D0000}"/>
    <cellStyle name="40% - Accent4 14 5" xfId="15438" xr:uid="{00000000-0005-0000-0000-00004C6D0000}"/>
    <cellStyle name="40% - Accent4 14 5 2" xfId="41312" xr:uid="{00000000-0005-0000-0000-00004D6D0000}"/>
    <cellStyle name="40% - Accent4 14 6" xfId="28364" xr:uid="{00000000-0005-0000-0000-00004E6D0000}"/>
    <cellStyle name="40% - Accent4 15" xfId="3283" xr:uid="{00000000-0005-0000-0000-00004F6D0000}"/>
    <cellStyle name="40% - Accent4 15 2" xfId="6555" xr:uid="{00000000-0005-0000-0000-0000506D0000}"/>
    <cellStyle name="40% - Accent4 15 2 2" xfId="13014" xr:uid="{00000000-0005-0000-0000-0000516D0000}"/>
    <cellStyle name="40% - Accent4 15 2 2 2" xfId="25931" xr:uid="{00000000-0005-0000-0000-0000526D0000}"/>
    <cellStyle name="40% - Accent4 15 2 2 2 2" xfId="51805" xr:uid="{00000000-0005-0000-0000-0000536D0000}"/>
    <cellStyle name="40% - Accent4 15 2 2 3" xfId="38889" xr:uid="{00000000-0005-0000-0000-0000546D0000}"/>
    <cellStyle name="40% - Accent4 15 2 3" xfId="19473" xr:uid="{00000000-0005-0000-0000-0000556D0000}"/>
    <cellStyle name="40% - Accent4 15 2 3 2" xfId="45347" xr:uid="{00000000-0005-0000-0000-0000566D0000}"/>
    <cellStyle name="40% - Accent4 15 2 4" xfId="32431" xr:uid="{00000000-0005-0000-0000-0000576D0000}"/>
    <cellStyle name="40% - Accent4 15 3" xfId="9786" xr:uid="{00000000-0005-0000-0000-0000586D0000}"/>
    <cellStyle name="40% - Accent4 15 3 2" xfId="22703" xr:uid="{00000000-0005-0000-0000-0000596D0000}"/>
    <cellStyle name="40% - Accent4 15 3 2 2" xfId="48577" xr:uid="{00000000-0005-0000-0000-00005A6D0000}"/>
    <cellStyle name="40% - Accent4 15 3 3" xfId="35661" xr:uid="{00000000-0005-0000-0000-00005B6D0000}"/>
    <cellStyle name="40% - Accent4 15 4" xfId="16245" xr:uid="{00000000-0005-0000-0000-00005C6D0000}"/>
    <cellStyle name="40% - Accent4 15 4 2" xfId="42119" xr:uid="{00000000-0005-0000-0000-00005D6D0000}"/>
    <cellStyle name="40% - Accent4 15 5" xfId="29171" xr:uid="{00000000-0005-0000-0000-00005E6D0000}"/>
    <cellStyle name="40% - Accent4 16" xfId="4941" xr:uid="{00000000-0005-0000-0000-00005F6D0000}"/>
    <cellStyle name="40% - Accent4 16 2" xfId="11400" xr:uid="{00000000-0005-0000-0000-0000606D0000}"/>
    <cellStyle name="40% - Accent4 16 2 2" xfId="24317" xr:uid="{00000000-0005-0000-0000-0000616D0000}"/>
    <cellStyle name="40% - Accent4 16 2 2 2" xfId="50191" xr:uid="{00000000-0005-0000-0000-0000626D0000}"/>
    <cellStyle name="40% - Accent4 16 2 3" xfId="37275" xr:uid="{00000000-0005-0000-0000-0000636D0000}"/>
    <cellStyle name="40% - Accent4 16 3" xfId="17859" xr:uid="{00000000-0005-0000-0000-0000646D0000}"/>
    <cellStyle name="40% - Accent4 16 3 2" xfId="43733" xr:uid="{00000000-0005-0000-0000-0000656D0000}"/>
    <cellStyle name="40% - Accent4 16 4" xfId="30817" xr:uid="{00000000-0005-0000-0000-0000666D0000}"/>
    <cellStyle name="40% - Accent4 17" xfId="8169" xr:uid="{00000000-0005-0000-0000-0000676D0000}"/>
    <cellStyle name="40% - Accent4 17 2" xfId="21087" xr:uid="{00000000-0005-0000-0000-0000686D0000}"/>
    <cellStyle name="40% - Accent4 17 2 2" xfId="46961" xr:uid="{00000000-0005-0000-0000-0000696D0000}"/>
    <cellStyle name="40% - Accent4 17 3" xfId="34045" xr:uid="{00000000-0005-0000-0000-00006A6D0000}"/>
    <cellStyle name="40% - Accent4 18" xfId="14629" xr:uid="{00000000-0005-0000-0000-00006B6D0000}"/>
    <cellStyle name="40% - Accent4 18 2" xfId="40503" xr:uid="{00000000-0005-0000-0000-00006C6D0000}"/>
    <cellStyle name="40% - Accent4 19" xfId="27547" xr:uid="{00000000-0005-0000-0000-00006D6D0000}"/>
    <cellStyle name="40% - Accent4 2" xfId="29" xr:uid="{00000000-0005-0000-0000-00006E6D0000}"/>
    <cellStyle name="40% - Accent4 2 10" xfId="8183" xr:uid="{00000000-0005-0000-0000-00006F6D0000}"/>
    <cellStyle name="40% - Accent4 2 10 2" xfId="21101" xr:uid="{00000000-0005-0000-0000-0000706D0000}"/>
    <cellStyle name="40% - Accent4 2 10 2 2" xfId="46975" xr:uid="{00000000-0005-0000-0000-0000716D0000}"/>
    <cellStyle name="40% - Accent4 2 10 3" xfId="34059" xr:uid="{00000000-0005-0000-0000-0000726D0000}"/>
    <cellStyle name="40% - Accent4 2 11" xfId="14643" xr:uid="{00000000-0005-0000-0000-0000736D0000}"/>
    <cellStyle name="40% - Accent4 2 11 2" xfId="40517" xr:uid="{00000000-0005-0000-0000-0000746D0000}"/>
    <cellStyle name="40% - Accent4 2 12" xfId="27561" xr:uid="{00000000-0005-0000-0000-0000756D0000}"/>
    <cellStyle name="40% - Accent4 2 13" xfId="53433" xr:uid="{00000000-0005-0000-0000-0000766D0000}"/>
    <cellStyle name="40% - Accent4 2 14" xfId="1118" xr:uid="{00000000-0005-0000-0000-0000776D0000}"/>
    <cellStyle name="40% - Accent4 2 2" xfId="280" xr:uid="{00000000-0005-0000-0000-0000786D0000}"/>
    <cellStyle name="40% - Accent4 2 3" xfId="237" xr:uid="{00000000-0005-0000-0000-0000796D0000}"/>
    <cellStyle name="40% - Accent4 2 3 10" xfId="27595" xr:uid="{00000000-0005-0000-0000-00007A6D0000}"/>
    <cellStyle name="40% - Accent4 2 3 11" xfId="53461" xr:uid="{00000000-0005-0000-0000-00007B6D0000}"/>
    <cellStyle name="40% - Accent4 2 3 12" xfId="1119" xr:uid="{00000000-0005-0000-0000-00007C6D0000}"/>
    <cellStyle name="40% - Accent4 2 3 2" xfId="427" xr:uid="{00000000-0005-0000-0000-00007D6D0000}"/>
    <cellStyle name="40% - Accent4 2 3 2 10" xfId="53538" xr:uid="{00000000-0005-0000-0000-00007E6D0000}"/>
    <cellStyle name="40% - Accent4 2 3 2 11" xfId="1622" xr:uid="{00000000-0005-0000-0000-00007F6D0000}"/>
    <cellStyle name="40% - Accent4 2 3 2 2" xfId="731" xr:uid="{00000000-0005-0000-0000-0000806D0000}"/>
    <cellStyle name="40% - Accent4 2 3 2 2 10" xfId="1947" xr:uid="{00000000-0005-0000-0000-0000816D0000}"/>
    <cellStyle name="40% - Accent4 2 3 2 2 2" xfId="2378" xr:uid="{00000000-0005-0000-0000-0000826D0000}"/>
    <cellStyle name="40% - Accent4 2 3 2 2 2 2" xfId="3191" xr:uid="{00000000-0005-0000-0000-0000836D0000}"/>
    <cellStyle name="40% - Accent4 2 3 2 2 2 2 2" xfId="4848" xr:uid="{00000000-0005-0000-0000-0000846D0000}"/>
    <cellStyle name="40% - Accent4 2 3 2 2 2 2 2 2" xfId="8079" xr:uid="{00000000-0005-0000-0000-0000856D0000}"/>
    <cellStyle name="40% - Accent4 2 3 2 2 2 2 2 2 2" xfId="14538" xr:uid="{00000000-0005-0000-0000-0000866D0000}"/>
    <cellStyle name="40% - Accent4 2 3 2 2 2 2 2 2 2 2" xfId="27455" xr:uid="{00000000-0005-0000-0000-0000876D0000}"/>
    <cellStyle name="40% - Accent4 2 3 2 2 2 2 2 2 2 2 2" xfId="53329" xr:uid="{00000000-0005-0000-0000-0000886D0000}"/>
    <cellStyle name="40% - Accent4 2 3 2 2 2 2 2 2 2 3" xfId="40413" xr:uid="{00000000-0005-0000-0000-0000896D0000}"/>
    <cellStyle name="40% - Accent4 2 3 2 2 2 2 2 2 3" xfId="20997" xr:uid="{00000000-0005-0000-0000-00008A6D0000}"/>
    <cellStyle name="40% - Accent4 2 3 2 2 2 2 2 2 3 2" xfId="46871" xr:uid="{00000000-0005-0000-0000-00008B6D0000}"/>
    <cellStyle name="40% - Accent4 2 3 2 2 2 2 2 2 4" xfId="33955" xr:uid="{00000000-0005-0000-0000-00008C6D0000}"/>
    <cellStyle name="40% - Accent4 2 3 2 2 2 2 2 3" xfId="11310" xr:uid="{00000000-0005-0000-0000-00008D6D0000}"/>
    <cellStyle name="40% - Accent4 2 3 2 2 2 2 2 3 2" xfId="24227" xr:uid="{00000000-0005-0000-0000-00008E6D0000}"/>
    <cellStyle name="40% - Accent4 2 3 2 2 2 2 2 3 2 2" xfId="50101" xr:uid="{00000000-0005-0000-0000-00008F6D0000}"/>
    <cellStyle name="40% - Accent4 2 3 2 2 2 2 2 3 3" xfId="37185" xr:uid="{00000000-0005-0000-0000-0000906D0000}"/>
    <cellStyle name="40% - Accent4 2 3 2 2 2 2 2 4" xfId="17769" xr:uid="{00000000-0005-0000-0000-0000916D0000}"/>
    <cellStyle name="40% - Accent4 2 3 2 2 2 2 2 4 2" xfId="43643" xr:uid="{00000000-0005-0000-0000-0000926D0000}"/>
    <cellStyle name="40% - Accent4 2 3 2 2 2 2 2 5" xfId="30695" xr:uid="{00000000-0005-0000-0000-0000936D0000}"/>
    <cellStyle name="40% - Accent4 2 3 2 2 2 2 3" xfId="6465" xr:uid="{00000000-0005-0000-0000-0000946D0000}"/>
    <cellStyle name="40% - Accent4 2 3 2 2 2 2 3 2" xfId="12924" xr:uid="{00000000-0005-0000-0000-0000956D0000}"/>
    <cellStyle name="40% - Accent4 2 3 2 2 2 2 3 2 2" xfId="25841" xr:uid="{00000000-0005-0000-0000-0000966D0000}"/>
    <cellStyle name="40% - Accent4 2 3 2 2 2 2 3 2 2 2" xfId="51715" xr:uid="{00000000-0005-0000-0000-0000976D0000}"/>
    <cellStyle name="40% - Accent4 2 3 2 2 2 2 3 2 3" xfId="38799" xr:uid="{00000000-0005-0000-0000-0000986D0000}"/>
    <cellStyle name="40% - Accent4 2 3 2 2 2 2 3 3" xfId="19383" xr:uid="{00000000-0005-0000-0000-0000996D0000}"/>
    <cellStyle name="40% - Accent4 2 3 2 2 2 2 3 3 2" xfId="45257" xr:uid="{00000000-0005-0000-0000-00009A6D0000}"/>
    <cellStyle name="40% - Accent4 2 3 2 2 2 2 3 4" xfId="32341" xr:uid="{00000000-0005-0000-0000-00009B6D0000}"/>
    <cellStyle name="40% - Accent4 2 3 2 2 2 2 4" xfId="9696" xr:uid="{00000000-0005-0000-0000-00009C6D0000}"/>
    <cellStyle name="40% - Accent4 2 3 2 2 2 2 4 2" xfId="22613" xr:uid="{00000000-0005-0000-0000-00009D6D0000}"/>
    <cellStyle name="40% - Accent4 2 3 2 2 2 2 4 2 2" xfId="48487" xr:uid="{00000000-0005-0000-0000-00009E6D0000}"/>
    <cellStyle name="40% - Accent4 2 3 2 2 2 2 4 3" xfId="35571" xr:uid="{00000000-0005-0000-0000-00009F6D0000}"/>
    <cellStyle name="40% - Accent4 2 3 2 2 2 2 5" xfId="16155" xr:uid="{00000000-0005-0000-0000-0000A06D0000}"/>
    <cellStyle name="40% - Accent4 2 3 2 2 2 2 5 2" xfId="42029" xr:uid="{00000000-0005-0000-0000-0000A16D0000}"/>
    <cellStyle name="40% - Accent4 2 3 2 2 2 2 6" xfId="29081" xr:uid="{00000000-0005-0000-0000-0000A26D0000}"/>
    <cellStyle name="40% - Accent4 2 3 2 2 2 3" xfId="4018" xr:uid="{00000000-0005-0000-0000-0000A36D0000}"/>
    <cellStyle name="40% - Accent4 2 3 2 2 2 3 2" xfId="7272" xr:uid="{00000000-0005-0000-0000-0000A46D0000}"/>
    <cellStyle name="40% - Accent4 2 3 2 2 2 3 2 2" xfId="13731" xr:uid="{00000000-0005-0000-0000-0000A56D0000}"/>
    <cellStyle name="40% - Accent4 2 3 2 2 2 3 2 2 2" xfId="26648" xr:uid="{00000000-0005-0000-0000-0000A66D0000}"/>
    <cellStyle name="40% - Accent4 2 3 2 2 2 3 2 2 2 2" xfId="52522" xr:uid="{00000000-0005-0000-0000-0000A76D0000}"/>
    <cellStyle name="40% - Accent4 2 3 2 2 2 3 2 2 3" xfId="39606" xr:uid="{00000000-0005-0000-0000-0000A86D0000}"/>
    <cellStyle name="40% - Accent4 2 3 2 2 2 3 2 3" xfId="20190" xr:uid="{00000000-0005-0000-0000-0000A96D0000}"/>
    <cellStyle name="40% - Accent4 2 3 2 2 2 3 2 3 2" xfId="46064" xr:uid="{00000000-0005-0000-0000-0000AA6D0000}"/>
    <cellStyle name="40% - Accent4 2 3 2 2 2 3 2 4" xfId="33148" xr:uid="{00000000-0005-0000-0000-0000AB6D0000}"/>
    <cellStyle name="40% - Accent4 2 3 2 2 2 3 3" xfId="10503" xr:uid="{00000000-0005-0000-0000-0000AC6D0000}"/>
    <cellStyle name="40% - Accent4 2 3 2 2 2 3 3 2" xfId="23420" xr:uid="{00000000-0005-0000-0000-0000AD6D0000}"/>
    <cellStyle name="40% - Accent4 2 3 2 2 2 3 3 2 2" xfId="49294" xr:uid="{00000000-0005-0000-0000-0000AE6D0000}"/>
    <cellStyle name="40% - Accent4 2 3 2 2 2 3 3 3" xfId="36378" xr:uid="{00000000-0005-0000-0000-0000AF6D0000}"/>
    <cellStyle name="40% - Accent4 2 3 2 2 2 3 4" xfId="16962" xr:uid="{00000000-0005-0000-0000-0000B06D0000}"/>
    <cellStyle name="40% - Accent4 2 3 2 2 2 3 4 2" xfId="42836" xr:uid="{00000000-0005-0000-0000-0000B16D0000}"/>
    <cellStyle name="40% - Accent4 2 3 2 2 2 3 5" xfId="29888" xr:uid="{00000000-0005-0000-0000-0000B26D0000}"/>
    <cellStyle name="40% - Accent4 2 3 2 2 2 4" xfId="5658" xr:uid="{00000000-0005-0000-0000-0000B36D0000}"/>
    <cellStyle name="40% - Accent4 2 3 2 2 2 4 2" xfId="12117" xr:uid="{00000000-0005-0000-0000-0000B46D0000}"/>
    <cellStyle name="40% - Accent4 2 3 2 2 2 4 2 2" xfId="25034" xr:uid="{00000000-0005-0000-0000-0000B56D0000}"/>
    <cellStyle name="40% - Accent4 2 3 2 2 2 4 2 2 2" xfId="50908" xr:uid="{00000000-0005-0000-0000-0000B66D0000}"/>
    <cellStyle name="40% - Accent4 2 3 2 2 2 4 2 3" xfId="37992" xr:uid="{00000000-0005-0000-0000-0000B76D0000}"/>
    <cellStyle name="40% - Accent4 2 3 2 2 2 4 3" xfId="18576" xr:uid="{00000000-0005-0000-0000-0000B86D0000}"/>
    <cellStyle name="40% - Accent4 2 3 2 2 2 4 3 2" xfId="44450" xr:uid="{00000000-0005-0000-0000-0000B96D0000}"/>
    <cellStyle name="40% - Accent4 2 3 2 2 2 4 4" xfId="31534" xr:uid="{00000000-0005-0000-0000-0000BA6D0000}"/>
    <cellStyle name="40% - Accent4 2 3 2 2 2 5" xfId="8889" xr:uid="{00000000-0005-0000-0000-0000BB6D0000}"/>
    <cellStyle name="40% - Accent4 2 3 2 2 2 5 2" xfId="21806" xr:uid="{00000000-0005-0000-0000-0000BC6D0000}"/>
    <cellStyle name="40% - Accent4 2 3 2 2 2 5 2 2" xfId="47680" xr:uid="{00000000-0005-0000-0000-0000BD6D0000}"/>
    <cellStyle name="40% - Accent4 2 3 2 2 2 5 3" xfId="34764" xr:uid="{00000000-0005-0000-0000-0000BE6D0000}"/>
    <cellStyle name="40% - Accent4 2 3 2 2 2 6" xfId="15348" xr:uid="{00000000-0005-0000-0000-0000BF6D0000}"/>
    <cellStyle name="40% - Accent4 2 3 2 2 2 6 2" xfId="41222" xr:uid="{00000000-0005-0000-0000-0000C06D0000}"/>
    <cellStyle name="40% - Accent4 2 3 2 2 2 7" xfId="28274" xr:uid="{00000000-0005-0000-0000-0000C16D0000}"/>
    <cellStyle name="40% - Accent4 2 3 2 2 2 8" xfId="54136" xr:uid="{00000000-0005-0000-0000-0000C26D0000}"/>
    <cellStyle name="40% - Accent4 2 3 2 2 3" xfId="2787" xr:uid="{00000000-0005-0000-0000-0000C36D0000}"/>
    <cellStyle name="40% - Accent4 2 3 2 2 3 2" xfId="4444" xr:uid="{00000000-0005-0000-0000-0000C46D0000}"/>
    <cellStyle name="40% - Accent4 2 3 2 2 3 2 2" xfId="7675" xr:uid="{00000000-0005-0000-0000-0000C56D0000}"/>
    <cellStyle name="40% - Accent4 2 3 2 2 3 2 2 2" xfId="14134" xr:uid="{00000000-0005-0000-0000-0000C66D0000}"/>
    <cellStyle name="40% - Accent4 2 3 2 2 3 2 2 2 2" xfId="27051" xr:uid="{00000000-0005-0000-0000-0000C76D0000}"/>
    <cellStyle name="40% - Accent4 2 3 2 2 3 2 2 2 2 2" xfId="52925" xr:uid="{00000000-0005-0000-0000-0000C86D0000}"/>
    <cellStyle name="40% - Accent4 2 3 2 2 3 2 2 2 3" xfId="40009" xr:uid="{00000000-0005-0000-0000-0000C96D0000}"/>
    <cellStyle name="40% - Accent4 2 3 2 2 3 2 2 3" xfId="20593" xr:uid="{00000000-0005-0000-0000-0000CA6D0000}"/>
    <cellStyle name="40% - Accent4 2 3 2 2 3 2 2 3 2" xfId="46467" xr:uid="{00000000-0005-0000-0000-0000CB6D0000}"/>
    <cellStyle name="40% - Accent4 2 3 2 2 3 2 2 4" xfId="33551" xr:uid="{00000000-0005-0000-0000-0000CC6D0000}"/>
    <cellStyle name="40% - Accent4 2 3 2 2 3 2 3" xfId="10906" xr:uid="{00000000-0005-0000-0000-0000CD6D0000}"/>
    <cellStyle name="40% - Accent4 2 3 2 2 3 2 3 2" xfId="23823" xr:uid="{00000000-0005-0000-0000-0000CE6D0000}"/>
    <cellStyle name="40% - Accent4 2 3 2 2 3 2 3 2 2" xfId="49697" xr:uid="{00000000-0005-0000-0000-0000CF6D0000}"/>
    <cellStyle name="40% - Accent4 2 3 2 2 3 2 3 3" xfId="36781" xr:uid="{00000000-0005-0000-0000-0000D06D0000}"/>
    <cellStyle name="40% - Accent4 2 3 2 2 3 2 4" xfId="17365" xr:uid="{00000000-0005-0000-0000-0000D16D0000}"/>
    <cellStyle name="40% - Accent4 2 3 2 2 3 2 4 2" xfId="43239" xr:uid="{00000000-0005-0000-0000-0000D26D0000}"/>
    <cellStyle name="40% - Accent4 2 3 2 2 3 2 5" xfId="30291" xr:uid="{00000000-0005-0000-0000-0000D36D0000}"/>
    <cellStyle name="40% - Accent4 2 3 2 2 3 3" xfId="6061" xr:uid="{00000000-0005-0000-0000-0000D46D0000}"/>
    <cellStyle name="40% - Accent4 2 3 2 2 3 3 2" xfId="12520" xr:uid="{00000000-0005-0000-0000-0000D56D0000}"/>
    <cellStyle name="40% - Accent4 2 3 2 2 3 3 2 2" xfId="25437" xr:uid="{00000000-0005-0000-0000-0000D66D0000}"/>
    <cellStyle name="40% - Accent4 2 3 2 2 3 3 2 2 2" xfId="51311" xr:uid="{00000000-0005-0000-0000-0000D76D0000}"/>
    <cellStyle name="40% - Accent4 2 3 2 2 3 3 2 3" xfId="38395" xr:uid="{00000000-0005-0000-0000-0000D86D0000}"/>
    <cellStyle name="40% - Accent4 2 3 2 2 3 3 3" xfId="18979" xr:uid="{00000000-0005-0000-0000-0000D96D0000}"/>
    <cellStyle name="40% - Accent4 2 3 2 2 3 3 3 2" xfId="44853" xr:uid="{00000000-0005-0000-0000-0000DA6D0000}"/>
    <cellStyle name="40% - Accent4 2 3 2 2 3 3 4" xfId="31937" xr:uid="{00000000-0005-0000-0000-0000DB6D0000}"/>
    <cellStyle name="40% - Accent4 2 3 2 2 3 4" xfId="9292" xr:uid="{00000000-0005-0000-0000-0000DC6D0000}"/>
    <cellStyle name="40% - Accent4 2 3 2 2 3 4 2" xfId="22209" xr:uid="{00000000-0005-0000-0000-0000DD6D0000}"/>
    <cellStyle name="40% - Accent4 2 3 2 2 3 4 2 2" xfId="48083" xr:uid="{00000000-0005-0000-0000-0000DE6D0000}"/>
    <cellStyle name="40% - Accent4 2 3 2 2 3 4 3" xfId="35167" xr:uid="{00000000-0005-0000-0000-0000DF6D0000}"/>
    <cellStyle name="40% - Accent4 2 3 2 2 3 5" xfId="15751" xr:uid="{00000000-0005-0000-0000-0000E06D0000}"/>
    <cellStyle name="40% - Accent4 2 3 2 2 3 5 2" xfId="41625" xr:uid="{00000000-0005-0000-0000-0000E16D0000}"/>
    <cellStyle name="40% - Accent4 2 3 2 2 3 6" xfId="28677" xr:uid="{00000000-0005-0000-0000-0000E26D0000}"/>
    <cellStyle name="40% - Accent4 2 3 2 2 4" xfId="3614" xr:uid="{00000000-0005-0000-0000-0000E36D0000}"/>
    <cellStyle name="40% - Accent4 2 3 2 2 4 2" xfId="6868" xr:uid="{00000000-0005-0000-0000-0000E46D0000}"/>
    <cellStyle name="40% - Accent4 2 3 2 2 4 2 2" xfId="13327" xr:uid="{00000000-0005-0000-0000-0000E56D0000}"/>
    <cellStyle name="40% - Accent4 2 3 2 2 4 2 2 2" xfId="26244" xr:uid="{00000000-0005-0000-0000-0000E66D0000}"/>
    <cellStyle name="40% - Accent4 2 3 2 2 4 2 2 2 2" xfId="52118" xr:uid="{00000000-0005-0000-0000-0000E76D0000}"/>
    <cellStyle name="40% - Accent4 2 3 2 2 4 2 2 3" xfId="39202" xr:uid="{00000000-0005-0000-0000-0000E86D0000}"/>
    <cellStyle name="40% - Accent4 2 3 2 2 4 2 3" xfId="19786" xr:uid="{00000000-0005-0000-0000-0000E96D0000}"/>
    <cellStyle name="40% - Accent4 2 3 2 2 4 2 3 2" xfId="45660" xr:uid="{00000000-0005-0000-0000-0000EA6D0000}"/>
    <cellStyle name="40% - Accent4 2 3 2 2 4 2 4" xfId="32744" xr:uid="{00000000-0005-0000-0000-0000EB6D0000}"/>
    <cellStyle name="40% - Accent4 2 3 2 2 4 3" xfId="10099" xr:uid="{00000000-0005-0000-0000-0000EC6D0000}"/>
    <cellStyle name="40% - Accent4 2 3 2 2 4 3 2" xfId="23016" xr:uid="{00000000-0005-0000-0000-0000ED6D0000}"/>
    <cellStyle name="40% - Accent4 2 3 2 2 4 3 2 2" xfId="48890" xr:uid="{00000000-0005-0000-0000-0000EE6D0000}"/>
    <cellStyle name="40% - Accent4 2 3 2 2 4 3 3" xfId="35974" xr:uid="{00000000-0005-0000-0000-0000EF6D0000}"/>
    <cellStyle name="40% - Accent4 2 3 2 2 4 4" xfId="16558" xr:uid="{00000000-0005-0000-0000-0000F06D0000}"/>
    <cellStyle name="40% - Accent4 2 3 2 2 4 4 2" xfId="42432" xr:uid="{00000000-0005-0000-0000-0000F16D0000}"/>
    <cellStyle name="40% - Accent4 2 3 2 2 4 5" xfId="29484" xr:uid="{00000000-0005-0000-0000-0000F26D0000}"/>
    <cellStyle name="40% - Accent4 2 3 2 2 5" xfId="5254" xr:uid="{00000000-0005-0000-0000-0000F36D0000}"/>
    <cellStyle name="40% - Accent4 2 3 2 2 5 2" xfId="11713" xr:uid="{00000000-0005-0000-0000-0000F46D0000}"/>
    <cellStyle name="40% - Accent4 2 3 2 2 5 2 2" xfId="24630" xr:uid="{00000000-0005-0000-0000-0000F56D0000}"/>
    <cellStyle name="40% - Accent4 2 3 2 2 5 2 2 2" xfId="50504" xr:uid="{00000000-0005-0000-0000-0000F66D0000}"/>
    <cellStyle name="40% - Accent4 2 3 2 2 5 2 3" xfId="37588" xr:uid="{00000000-0005-0000-0000-0000F76D0000}"/>
    <cellStyle name="40% - Accent4 2 3 2 2 5 3" xfId="18172" xr:uid="{00000000-0005-0000-0000-0000F86D0000}"/>
    <cellStyle name="40% - Accent4 2 3 2 2 5 3 2" xfId="44046" xr:uid="{00000000-0005-0000-0000-0000F96D0000}"/>
    <cellStyle name="40% - Accent4 2 3 2 2 5 4" xfId="31130" xr:uid="{00000000-0005-0000-0000-0000FA6D0000}"/>
    <cellStyle name="40% - Accent4 2 3 2 2 6" xfId="8485" xr:uid="{00000000-0005-0000-0000-0000FB6D0000}"/>
    <cellStyle name="40% - Accent4 2 3 2 2 6 2" xfId="21402" xr:uid="{00000000-0005-0000-0000-0000FC6D0000}"/>
    <cellStyle name="40% - Accent4 2 3 2 2 6 2 2" xfId="47276" xr:uid="{00000000-0005-0000-0000-0000FD6D0000}"/>
    <cellStyle name="40% - Accent4 2 3 2 2 6 3" xfId="34360" xr:uid="{00000000-0005-0000-0000-0000FE6D0000}"/>
    <cellStyle name="40% - Accent4 2 3 2 2 7" xfId="14944" xr:uid="{00000000-0005-0000-0000-0000FF6D0000}"/>
    <cellStyle name="40% - Accent4 2 3 2 2 7 2" xfId="40818" xr:uid="{00000000-0005-0000-0000-0000006E0000}"/>
    <cellStyle name="40% - Accent4 2 3 2 2 8" xfId="27869" xr:uid="{00000000-0005-0000-0000-0000016E0000}"/>
    <cellStyle name="40% - Accent4 2 3 2 2 9" xfId="53732" xr:uid="{00000000-0005-0000-0000-0000026E0000}"/>
    <cellStyle name="40% - Accent4 2 3 2 3" xfId="730" xr:uid="{00000000-0005-0000-0000-0000036E0000}"/>
    <cellStyle name="40% - Accent4 2 3 2 3 2" xfId="2996" xr:uid="{00000000-0005-0000-0000-0000046E0000}"/>
    <cellStyle name="40% - Accent4 2 3 2 3 2 2" xfId="4653" xr:uid="{00000000-0005-0000-0000-0000056E0000}"/>
    <cellStyle name="40% - Accent4 2 3 2 3 2 2 2" xfId="7884" xr:uid="{00000000-0005-0000-0000-0000066E0000}"/>
    <cellStyle name="40% - Accent4 2 3 2 3 2 2 2 2" xfId="14343" xr:uid="{00000000-0005-0000-0000-0000076E0000}"/>
    <cellStyle name="40% - Accent4 2 3 2 3 2 2 2 2 2" xfId="27260" xr:uid="{00000000-0005-0000-0000-0000086E0000}"/>
    <cellStyle name="40% - Accent4 2 3 2 3 2 2 2 2 2 2" xfId="53134" xr:uid="{00000000-0005-0000-0000-0000096E0000}"/>
    <cellStyle name="40% - Accent4 2 3 2 3 2 2 2 2 3" xfId="40218" xr:uid="{00000000-0005-0000-0000-00000A6E0000}"/>
    <cellStyle name="40% - Accent4 2 3 2 3 2 2 2 3" xfId="20802" xr:uid="{00000000-0005-0000-0000-00000B6E0000}"/>
    <cellStyle name="40% - Accent4 2 3 2 3 2 2 2 3 2" xfId="46676" xr:uid="{00000000-0005-0000-0000-00000C6E0000}"/>
    <cellStyle name="40% - Accent4 2 3 2 3 2 2 2 4" xfId="33760" xr:uid="{00000000-0005-0000-0000-00000D6E0000}"/>
    <cellStyle name="40% - Accent4 2 3 2 3 2 2 3" xfId="11115" xr:uid="{00000000-0005-0000-0000-00000E6E0000}"/>
    <cellStyle name="40% - Accent4 2 3 2 3 2 2 3 2" xfId="24032" xr:uid="{00000000-0005-0000-0000-00000F6E0000}"/>
    <cellStyle name="40% - Accent4 2 3 2 3 2 2 3 2 2" xfId="49906" xr:uid="{00000000-0005-0000-0000-0000106E0000}"/>
    <cellStyle name="40% - Accent4 2 3 2 3 2 2 3 3" xfId="36990" xr:uid="{00000000-0005-0000-0000-0000116E0000}"/>
    <cellStyle name="40% - Accent4 2 3 2 3 2 2 4" xfId="17574" xr:uid="{00000000-0005-0000-0000-0000126E0000}"/>
    <cellStyle name="40% - Accent4 2 3 2 3 2 2 4 2" xfId="43448" xr:uid="{00000000-0005-0000-0000-0000136E0000}"/>
    <cellStyle name="40% - Accent4 2 3 2 3 2 2 5" xfId="30500" xr:uid="{00000000-0005-0000-0000-0000146E0000}"/>
    <cellStyle name="40% - Accent4 2 3 2 3 2 3" xfId="6270" xr:uid="{00000000-0005-0000-0000-0000156E0000}"/>
    <cellStyle name="40% - Accent4 2 3 2 3 2 3 2" xfId="12729" xr:uid="{00000000-0005-0000-0000-0000166E0000}"/>
    <cellStyle name="40% - Accent4 2 3 2 3 2 3 2 2" xfId="25646" xr:uid="{00000000-0005-0000-0000-0000176E0000}"/>
    <cellStyle name="40% - Accent4 2 3 2 3 2 3 2 2 2" xfId="51520" xr:uid="{00000000-0005-0000-0000-0000186E0000}"/>
    <cellStyle name="40% - Accent4 2 3 2 3 2 3 2 3" xfId="38604" xr:uid="{00000000-0005-0000-0000-0000196E0000}"/>
    <cellStyle name="40% - Accent4 2 3 2 3 2 3 3" xfId="19188" xr:uid="{00000000-0005-0000-0000-00001A6E0000}"/>
    <cellStyle name="40% - Accent4 2 3 2 3 2 3 3 2" xfId="45062" xr:uid="{00000000-0005-0000-0000-00001B6E0000}"/>
    <cellStyle name="40% - Accent4 2 3 2 3 2 3 4" xfId="32146" xr:uid="{00000000-0005-0000-0000-00001C6E0000}"/>
    <cellStyle name="40% - Accent4 2 3 2 3 2 4" xfId="9501" xr:uid="{00000000-0005-0000-0000-00001D6E0000}"/>
    <cellStyle name="40% - Accent4 2 3 2 3 2 4 2" xfId="22418" xr:uid="{00000000-0005-0000-0000-00001E6E0000}"/>
    <cellStyle name="40% - Accent4 2 3 2 3 2 4 2 2" xfId="48292" xr:uid="{00000000-0005-0000-0000-00001F6E0000}"/>
    <cellStyle name="40% - Accent4 2 3 2 3 2 4 3" xfId="35376" xr:uid="{00000000-0005-0000-0000-0000206E0000}"/>
    <cellStyle name="40% - Accent4 2 3 2 3 2 5" xfId="15960" xr:uid="{00000000-0005-0000-0000-0000216E0000}"/>
    <cellStyle name="40% - Accent4 2 3 2 3 2 5 2" xfId="41834" xr:uid="{00000000-0005-0000-0000-0000226E0000}"/>
    <cellStyle name="40% - Accent4 2 3 2 3 2 6" xfId="28886" xr:uid="{00000000-0005-0000-0000-0000236E0000}"/>
    <cellStyle name="40% - Accent4 2 3 2 3 3" xfId="3823" xr:uid="{00000000-0005-0000-0000-0000246E0000}"/>
    <cellStyle name="40% - Accent4 2 3 2 3 3 2" xfId="7077" xr:uid="{00000000-0005-0000-0000-0000256E0000}"/>
    <cellStyle name="40% - Accent4 2 3 2 3 3 2 2" xfId="13536" xr:uid="{00000000-0005-0000-0000-0000266E0000}"/>
    <cellStyle name="40% - Accent4 2 3 2 3 3 2 2 2" xfId="26453" xr:uid="{00000000-0005-0000-0000-0000276E0000}"/>
    <cellStyle name="40% - Accent4 2 3 2 3 3 2 2 2 2" xfId="52327" xr:uid="{00000000-0005-0000-0000-0000286E0000}"/>
    <cellStyle name="40% - Accent4 2 3 2 3 3 2 2 3" xfId="39411" xr:uid="{00000000-0005-0000-0000-0000296E0000}"/>
    <cellStyle name="40% - Accent4 2 3 2 3 3 2 3" xfId="19995" xr:uid="{00000000-0005-0000-0000-00002A6E0000}"/>
    <cellStyle name="40% - Accent4 2 3 2 3 3 2 3 2" xfId="45869" xr:uid="{00000000-0005-0000-0000-00002B6E0000}"/>
    <cellStyle name="40% - Accent4 2 3 2 3 3 2 4" xfId="32953" xr:uid="{00000000-0005-0000-0000-00002C6E0000}"/>
    <cellStyle name="40% - Accent4 2 3 2 3 3 3" xfId="10308" xr:uid="{00000000-0005-0000-0000-00002D6E0000}"/>
    <cellStyle name="40% - Accent4 2 3 2 3 3 3 2" xfId="23225" xr:uid="{00000000-0005-0000-0000-00002E6E0000}"/>
    <cellStyle name="40% - Accent4 2 3 2 3 3 3 2 2" xfId="49099" xr:uid="{00000000-0005-0000-0000-00002F6E0000}"/>
    <cellStyle name="40% - Accent4 2 3 2 3 3 3 3" xfId="36183" xr:uid="{00000000-0005-0000-0000-0000306E0000}"/>
    <cellStyle name="40% - Accent4 2 3 2 3 3 4" xfId="16767" xr:uid="{00000000-0005-0000-0000-0000316E0000}"/>
    <cellStyle name="40% - Accent4 2 3 2 3 3 4 2" xfId="42641" xr:uid="{00000000-0005-0000-0000-0000326E0000}"/>
    <cellStyle name="40% - Accent4 2 3 2 3 3 5" xfId="29693" xr:uid="{00000000-0005-0000-0000-0000336E0000}"/>
    <cellStyle name="40% - Accent4 2 3 2 3 4" xfId="5463" xr:uid="{00000000-0005-0000-0000-0000346E0000}"/>
    <cellStyle name="40% - Accent4 2 3 2 3 4 2" xfId="11922" xr:uid="{00000000-0005-0000-0000-0000356E0000}"/>
    <cellStyle name="40% - Accent4 2 3 2 3 4 2 2" xfId="24839" xr:uid="{00000000-0005-0000-0000-0000366E0000}"/>
    <cellStyle name="40% - Accent4 2 3 2 3 4 2 2 2" xfId="50713" xr:uid="{00000000-0005-0000-0000-0000376E0000}"/>
    <cellStyle name="40% - Accent4 2 3 2 3 4 2 3" xfId="37797" xr:uid="{00000000-0005-0000-0000-0000386E0000}"/>
    <cellStyle name="40% - Accent4 2 3 2 3 4 3" xfId="18381" xr:uid="{00000000-0005-0000-0000-0000396E0000}"/>
    <cellStyle name="40% - Accent4 2 3 2 3 4 3 2" xfId="44255" xr:uid="{00000000-0005-0000-0000-00003A6E0000}"/>
    <cellStyle name="40% - Accent4 2 3 2 3 4 4" xfId="31339" xr:uid="{00000000-0005-0000-0000-00003B6E0000}"/>
    <cellStyle name="40% - Accent4 2 3 2 3 5" xfId="8694" xr:uid="{00000000-0005-0000-0000-00003C6E0000}"/>
    <cellStyle name="40% - Accent4 2 3 2 3 5 2" xfId="21611" xr:uid="{00000000-0005-0000-0000-00003D6E0000}"/>
    <cellStyle name="40% - Accent4 2 3 2 3 5 2 2" xfId="47485" xr:uid="{00000000-0005-0000-0000-00003E6E0000}"/>
    <cellStyle name="40% - Accent4 2 3 2 3 5 3" xfId="34569" xr:uid="{00000000-0005-0000-0000-00003F6E0000}"/>
    <cellStyle name="40% - Accent4 2 3 2 3 6" xfId="15153" xr:uid="{00000000-0005-0000-0000-0000406E0000}"/>
    <cellStyle name="40% - Accent4 2 3 2 3 6 2" xfId="41027" xr:uid="{00000000-0005-0000-0000-0000416E0000}"/>
    <cellStyle name="40% - Accent4 2 3 2 3 7" xfId="28079" xr:uid="{00000000-0005-0000-0000-0000426E0000}"/>
    <cellStyle name="40% - Accent4 2 3 2 3 8" xfId="53941" xr:uid="{00000000-0005-0000-0000-0000436E0000}"/>
    <cellStyle name="40% - Accent4 2 3 2 3 9" xfId="2182" xr:uid="{00000000-0005-0000-0000-0000446E0000}"/>
    <cellStyle name="40% - Accent4 2 3 2 4" xfId="2593" xr:uid="{00000000-0005-0000-0000-0000456E0000}"/>
    <cellStyle name="40% - Accent4 2 3 2 4 2" xfId="4250" xr:uid="{00000000-0005-0000-0000-0000466E0000}"/>
    <cellStyle name="40% - Accent4 2 3 2 4 2 2" xfId="7481" xr:uid="{00000000-0005-0000-0000-0000476E0000}"/>
    <cellStyle name="40% - Accent4 2 3 2 4 2 2 2" xfId="13940" xr:uid="{00000000-0005-0000-0000-0000486E0000}"/>
    <cellStyle name="40% - Accent4 2 3 2 4 2 2 2 2" xfId="26857" xr:uid="{00000000-0005-0000-0000-0000496E0000}"/>
    <cellStyle name="40% - Accent4 2 3 2 4 2 2 2 2 2" xfId="52731" xr:uid="{00000000-0005-0000-0000-00004A6E0000}"/>
    <cellStyle name="40% - Accent4 2 3 2 4 2 2 2 3" xfId="39815" xr:uid="{00000000-0005-0000-0000-00004B6E0000}"/>
    <cellStyle name="40% - Accent4 2 3 2 4 2 2 3" xfId="20399" xr:uid="{00000000-0005-0000-0000-00004C6E0000}"/>
    <cellStyle name="40% - Accent4 2 3 2 4 2 2 3 2" xfId="46273" xr:uid="{00000000-0005-0000-0000-00004D6E0000}"/>
    <cellStyle name="40% - Accent4 2 3 2 4 2 2 4" xfId="33357" xr:uid="{00000000-0005-0000-0000-00004E6E0000}"/>
    <cellStyle name="40% - Accent4 2 3 2 4 2 3" xfId="10712" xr:uid="{00000000-0005-0000-0000-00004F6E0000}"/>
    <cellStyle name="40% - Accent4 2 3 2 4 2 3 2" xfId="23629" xr:uid="{00000000-0005-0000-0000-0000506E0000}"/>
    <cellStyle name="40% - Accent4 2 3 2 4 2 3 2 2" xfId="49503" xr:uid="{00000000-0005-0000-0000-0000516E0000}"/>
    <cellStyle name="40% - Accent4 2 3 2 4 2 3 3" xfId="36587" xr:uid="{00000000-0005-0000-0000-0000526E0000}"/>
    <cellStyle name="40% - Accent4 2 3 2 4 2 4" xfId="17171" xr:uid="{00000000-0005-0000-0000-0000536E0000}"/>
    <cellStyle name="40% - Accent4 2 3 2 4 2 4 2" xfId="43045" xr:uid="{00000000-0005-0000-0000-0000546E0000}"/>
    <cellStyle name="40% - Accent4 2 3 2 4 2 5" xfId="30097" xr:uid="{00000000-0005-0000-0000-0000556E0000}"/>
    <cellStyle name="40% - Accent4 2 3 2 4 3" xfId="5867" xr:uid="{00000000-0005-0000-0000-0000566E0000}"/>
    <cellStyle name="40% - Accent4 2 3 2 4 3 2" xfId="12326" xr:uid="{00000000-0005-0000-0000-0000576E0000}"/>
    <cellStyle name="40% - Accent4 2 3 2 4 3 2 2" xfId="25243" xr:uid="{00000000-0005-0000-0000-0000586E0000}"/>
    <cellStyle name="40% - Accent4 2 3 2 4 3 2 2 2" xfId="51117" xr:uid="{00000000-0005-0000-0000-0000596E0000}"/>
    <cellStyle name="40% - Accent4 2 3 2 4 3 2 3" xfId="38201" xr:uid="{00000000-0005-0000-0000-00005A6E0000}"/>
    <cellStyle name="40% - Accent4 2 3 2 4 3 3" xfId="18785" xr:uid="{00000000-0005-0000-0000-00005B6E0000}"/>
    <cellStyle name="40% - Accent4 2 3 2 4 3 3 2" xfId="44659" xr:uid="{00000000-0005-0000-0000-00005C6E0000}"/>
    <cellStyle name="40% - Accent4 2 3 2 4 3 4" xfId="31743" xr:uid="{00000000-0005-0000-0000-00005D6E0000}"/>
    <cellStyle name="40% - Accent4 2 3 2 4 4" xfId="9098" xr:uid="{00000000-0005-0000-0000-00005E6E0000}"/>
    <cellStyle name="40% - Accent4 2 3 2 4 4 2" xfId="22015" xr:uid="{00000000-0005-0000-0000-00005F6E0000}"/>
    <cellStyle name="40% - Accent4 2 3 2 4 4 2 2" xfId="47889" xr:uid="{00000000-0005-0000-0000-0000606E0000}"/>
    <cellStyle name="40% - Accent4 2 3 2 4 4 3" xfId="34973" xr:uid="{00000000-0005-0000-0000-0000616E0000}"/>
    <cellStyle name="40% - Accent4 2 3 2 4 5" xfId="15557" xr:uid="{00000000-0005-0000-0000-0000626E0000}"/>
    <cellStyle name="40% - Accent4 2 3 2 4 5 2" xfId="41431" xr:uid="{00000000-0005-0000-0000-0000636E0000}"/>
    <cellStyle name="40% - Accent4 2 3 2 4 6" xfId="28483" xr:uid="{00000000-0005-0000-0000-0000646E0000}"/>
    <cellStyle name="40% - Accent4 2 3 2 5" xfId="3420" xr:uid="{00000000-0005-0000-0000-0000656E0000}"/>
    <cellStyle name="40% - Accent4 2 3 2 5 2" xfId="6674" xr:uid="{00000000-0005-0000-0000-0000666E0000}"/>
    <cellStyle name="40% - Accent4 2 3 2 5 2 2" xfId="13133" xr:uid="{00000000-0005-0000-0000-0000676E0000}"/>
    <cellStyle name="40% - Accent4 2 3 2 5 2 2 2" xfId="26050" xr:uid="{00000000-0005-0000-0000-0000686E0000}"/>
    <cellStyle name="40% - Accent4 2 3 2 5 2 2 2 2" xfId="51924" xr:uid="{00000000-0005-0000-0000-0000696E0000}"/>
    <cellStyle name="40% - Accent4 2 3 2 5 2 2 3" xfId="39008" xr:uid="{00000000-0005-0000-0000-00006A6E0000}"/>
    <cellStyle name="40% - Accent4 2 3 2 5 2 3" xfId="19592" xr:uid="{00000000-0005-0000-0000-00006B6E0000}"/>
    <cellStyle name="40% - Accent4 2 3 2 5 2 3 2" xfId="45466" xr:uid="{00000000-0005-0000-0000-00006C6E0000}"/>
    <cellStyle name="40% - Accent4 2 3 2 5 2 4" xfId="32550" xr:uid="{00000000-0005-0000-0000-00006D6E0000}"/>
    <cellStyle name="40% - Accent4 2 3 2 5 3" xfId="9905" xr:uid="{00000000-0005-0000-0000-00006E6E0000}"/>
    <cellStyle name="40% - Accent4 2 3 2 5 3 2" xfId="22822" xr:uid="{00000000-0005-0000-0000-00006F6E0000}"/>
    <cellStyle name="40% - Accent4 2 3 2 5 3 2 2" xfId="48696" xr:uid="{00000000-0005-0000-0000-0000706E0000}"/>
    <cellStyle name="40% - Accent4 2 3 2 5 3 3" xfId="35780" xr:uid="{00000000-0005-0000-0000-0000716E0000}"/>
    <cellStyle name="40% - Accent4 2 3 2 5 4" xfId="16364" xr:uid="{00000000-0005-0000-0000-0000726E0000}"/>
    <cellStyle name="40% - Accent4 2 3 2 5 4 2" xfId="42238" xr:uid="{00000000-0005-0000-0000-0000736E0000}"/>
    <cellStyle name="40% - Accent4 2 3 2 5 5" xfId="29290" xr:uid="{00000000-0005-0000-0000-0000746E0000}"/>
    <cellStyle name="40% - Accent4 2 3 2 6" xfId="5060" xr:uid="{00000000-0005-0000-0000-0000756E0000}"/>
    <cellStyle name="40% - Accent4 2 3 2 6 2" xfId="11519" xr:uid="{00000000-0005-0000-0000-0000766E0000}"/>
    <cellStyle name="40% - Accent4 2 3 2 6 2 2" xfId="24436" xr:uid="{00000000-0005-0000-0000-0000776E0000}"/>
    <cellStyle name="40% - Accent4 2 3 2 6 2 2 2" xfId="50310" xr:uid="{00000000-0005-0000-0000-0000786E0000}"/>
    <cellStyle name="40% - Accent4 2 3 2 6 2 3" xfId="37394" xr:uid="{00000000-0005-0000-0000-0000796E0000}"/>
    <cellStyle name="40% - Accent4 2 3 2 6 3" xfId="17978" xr:uid="{00000000-0005-0000-0000-00007A6E0000}"/>
    <cellStyle name="40% - Accent4 2 3 2 6 3 2" xfId="43852" xr:uid="{00000000-0005-0000-0000-00007B6E0000}"/>
    <cellStyle name="40% - Accent4 2 3 2 6 4" xfId="30936" xr:uid="{00000000-0005-0000-0000-00007C6E0000}"/>
    <cellStyle name="40% - Accent4 2 3 2 7" xfId="8290" xr:uid="{00000000-0005-0000-0000-00007D6E0000}"/>
    <cellStyle name="40% - Accent4 2 3 2 7 2" xfId="21207" xr:uid="{00000000-0005-0000-0000-00007E6E0000}"/>
    <cellStyle name="40% - Accent4 2 3 2 7 2 2" xfId="47081" xr:uid="{00000000-0005-0000-0000-00007F6E0000}"/>
    <cellStyle name="40% - Accent4 2 3 2 7 3" xfId="34165" xr:uid="{00000000-0005-0000-0000-0000806E0000}"/>
    <cellStyle name="40% - Accent4 2 3 2 8" xfId="14749" xr:uid="{00000000-0005-0000-0000-0000816E0000}"/>
    <cellStyle name="40% - Accent4 2 3 2 8 2" xfId="40623" xr:uid="{00000000-0005-0000-0000-0000826E0000}"/>
    <cellStyle name="40% - Accent4 2 3 2 9" xfId="27673" xr:uid="{00000000-0005-0000-0000-0000836E0000}"/>
    <cellStyle name="40% - Accent4 2 3 3" xfId="732" xr:uid="{00000000-0005-0000-0000-0000846E0000}"/>
    <cellStyle name="40% - Accent4 2 3 3 10" xfId="1858" xr:uid="{00000000-0005-0000-0000-0000856E0000}"/>
    <cellStyle name="40% - Accent4 2 3 3 2" xfId="2300" xr:uid="{00000000-0005-0000-0000-0000866E0000}"/>
    <cellStyle name="40% - Accent4 2 3 3 2 2" xfId="3114" xr:uid="{00000000-0005-0000-0000-0000876E0000}"/>
    <cellStyle name="40% - Accent4 2 3 3 2 2 2" xfId="4771" xr:uid="{00000000-0005-0000-0000-0000886E0000}"/>
    <cellStyle name="40% - Accent4 2 3 3 2 2 2 2" xfId="8002" xr:uid="{00000000-0005-0000-0000-0000896E0000}"/>
    <cellStyle name="40% - Accent4 2 3 3 2 2 2 2 2" xfId="14461" xr:uid="{00000000-0005-0000-0000-00008A6E0000}"/>
    <cellStyle name="40% - Accent4 2 3 3 2 2 2 2 2 2" xfId="27378" xr:uid="{00000000-0005-0000-0000-00008B6E0000}"/>
    <cellStyle name="40% - Accent4 2 3 3 2 2 2 2 2 2 2" xfId="53252" xr:uid="{00000000-0005-0000-0000-00008C6E0000}"/>
    <cellStyle name="40% - Accent4 2 3 3 2 2 2 2 2 3" xfId="40336" xr:uid="{00000000-0005-0000-0000-00008D6E0000}"/>
    <cellStyle name="40% - Accent4 2 3 3 2 2 2 2 3" xfId="20920" xr:uid="{00000000-0005-0000-0000-00008E6E0000}"/>
    <cellStyle name="40% - Accent4 2 3 3 2 2 2 2 3 2" xfId="46794" xr:uid="{00000000-0005-0000-0000-00008F6E0000}"/>
    <cellStyle name="40% - Accent4 2 3 3 2 2 2 2 4" xfId="33878" xr:uid="{00000000-0005-0000-0000-0000906E0000}"/>
    <cellStyle name="40% - Accent4 2 3 3 2 2 2 3" xfId="11233" xr:uid="{00000000-0005-0000-0000-0000916E0000}"/>
    <cellStyle name="40% - Accent4 2 3 3 2 2 2 3 2" xfId="24150" xr:uid="{00000000-0005-0000-0000-0000926E0000}"/>
    <cellStyle name="40% - Accent4 2 3 3 2 2 2 3 2 2" xfId="50024" xr:uid="{00000000-0005-0000-0000-0000936E0000}"/>
    <cellStyle name="40% - Accent4 2 3 3 2 2 2 3 3" xfId="37108" xr:uid="{00000000-0005-0000-0000-0000946E0000}"/>
    <cellStyle name="40% - Accent4 2 3 3 2 2 2 4" xfId="17692" xr:uid="{00000000-0005-0000-0000-0000956E0000}"/>
    <cellStyle name="40% - Accent4 2 3 3 2 2 2 4 2" xfId="43566" xr:uid="{00000000-0005-0000-0000-0000966E0000}"/>
    <cellStyle name="40% - Accent4 2 3 3 2 2 2 5" xfId="30618" xr:uid="{00000000-0005-0000-0000-0000976E0000}"/>
    <cellStyle name="40% - Accent4 2 3 3 2 2 3" xfId="6388" xr:uid="{00000000-0005-0000-0000-0000986E0000}"/>
    <cellStyle name="40% - Accent4 2 3 3 2 2 3 2" xfId="12847" xr:uid="{00000000-0005-0000-0000-0000996E0000}"/>
    <cellStyle name="40% - Accent4 2 3 3 2 2 3 2 2" xfId="25764" xr:uid="{00000000-0005-0000-0000-00009A6E0000}"/>
    <cellStyle name="40% - Accent4 2 3 3 2 2 3 2 2 2" xfId="51638" xr:uid="{00000000-0005-0000-0000-00009B6E0000}"/>
    <cellStyle name="40% - Accent4 2 3 3 2 2 3 2 3" xfId="38722" xr:uid="{00000000-0005-0000-0000-00009C6E0000}"/>
    <cellStyle name="40% - Accent4 2 3 3 2 2 3 3" xfId="19306" xr:uid="{00000000-0005-0000-0000-00009D6E0000}"/>
    <cellStyle name="40% - Accent4 2 3 3 2 2 3 3 2" xfId="45180" xr:uid="{00000000-0005-0000-0000-00009E6E0000}"/>
    <cellStyle name="40% - Accent4 2 3 3 2 2 3 4" xfId="32264" xr:uid="{00000000-0005-0000-0000-00009F6E0000}"/>
    <cellStyle name="40% - Accent4 2 3 3 2 2 4" xfId="9619" xr:uid="{00000000-0005-0000-0000-0000A06E0000}"/>
    <cellStyle name="40% - Accent4 2 3 3 2 2 4 2" xfId="22536" xr:uid="{00000000-0005-0000-0000-0000A16E0000}"/>
    <cellStyle name="40% - Accent4 2 3 3 2 2 4 2 2" xfId="48410" xr:uid="{00000000-0005-0000-0000-0000A26E0000}"/>
    <cellStyle name="40% - Accent4 2 3 3 2 2 4 3" xfId="35494" xr:uid="{00000000-0005-0000-0000-0000A36E0000}"/>
    <cellStyle name="40% - Accent4 2 3 3 2 2 5" xfId="16078" xr:uid="{00000000-0005-0000-0000-0000A46E0000}"/>
    <cellStyle name="40% - Accent4 2 3 3 2 2 5 2" xfId="41952" xr:uid="{00000000-0005-0000-0000-0000A56E0000}"/>
    <cellStyle name="40% - Accent4 2 3 3 2 2 6" xfId="29004" xr:uid="{00000000-0005-0000-0000-0000A66E0000}"/>
    <cellStyle name="40% - Accent4 2 3 3 2 3" xfId="3941" xr:uid="{00000000-0005-0000-0000-0000A76E0000}"/>
    <cellStyle name="40% - Accent4 2 3 3 2 3 2" xfId="7195" xr:uid="{00000000-0005-0000-0000-0000A86E0000}"/>
    <cellStyle name="40% - Accent4 2 3 3 2 3 2 2" xfId="13654" xr:uid="{00000000-0005-0000-0000-0000A96E0000}"/>
    <cellStyle name="40% - Accent4 2 3 3 2 3 2 2 2" xfId="26571" xr:uid="{00000000-0005-0000-0000-0000AA6E0000}"/>
    <cellStyle name="40% - Accent4 2 3 3 2 3 2 2 2 2" xfId="52445" xr:uid="{00000000-0005-0000-0000-0000AB6E0000}"/>
    <cellStyle name="40% - Accent4 2 3 3 2 3 2 2 3" xfId="39529" xr:uid="{00000000-0005-0000-0000-0000AC6E0000}"/>
    <cellStyle name="40% - Accent4 2 3 3 2 3 2 3" xfId="20113" xr:uid="{00000000-0005-0000-0000-0000AD6E0000}"/>
    <cellStyle name="40% - Accent4 2 3 3 2 3 2 3 2" xfId="45987" xr:uid="{00000000-0005-0000-0000-0000AE6E0000}"/>
    <cellStyle name="40% - Accent4 2 3 3 2 3 2 4" xfId="33071" xr:uid="{00000000-0005-0000-0000-0000AF6E0000}"/>
    <cellStyle name="40% - Accent4 2 3 3 2 3 3" xfId="10426" xr:uid="{00000000-0005-0000-0000-0000B06E0000}"/>
    <cellStyle name="40% - Accent4 2 3 3 2 3 3 2" xfId="23343" xr:uid="{00000000-0005-0000-0000-0000B16E0000}"/>
    <cellStyle name="40% - Accent4 2 3 3 2 3 3 2 2" xfId="49217" xr:uid="{00000000-0005-0000-0000-0000B26E0000}"/>
    <cellStyle name="40% - Accent4 2 3 3 2 3 3 3" xfId="36301" xr:uid="{00000000-0005-0000-0000-0000B36E0000}"/>
    <cellStyle name="40% - Accent4 2 3 3 2 3 4" xfId="16885" xr:uid="{00000000-0005-0000-0000-0000B46E0000}"/>
    <cellStyle name="40% - Accent4 2 3 3 2 3 4 2" xfId="42759" xr:uid="{00000000-0005-0000-0000-0000B56E0000}"/>
    <cellStyle name="40% - Accent4 2 3 3 2 3 5" xfId="29811" xr:uid="{00000000-0005-0000-0000-0000B66E0000}"/>
    <cellStyle name="40% - Accent4 2 3 3 2 4" xfId="5581" xr:uid="{00000000-0005-0000-0000-0000B76E0000}"/>
    <cellStyle name="40% - Accent4 2 3 3 2 4 2" xfId="12040" xr:uid="{00000000-0005-0000-0000-0000B86E0000}"/>
    <cellStyle name="40% - Accent4 2 3 3 2 4 2 2" xfId="24957" xr:uid="{00000000-0005-0000-0000-0000B96E0000}"/>
    <cellStyle name="40% - Accent4 2 3 3 2 4 2 2 2" xfId="50831" xr:uid="{00000000-0005-0000-0000-0000BA6E0000}"/>
    <cellStyle name="40% - Accent4 2 3 3 2 4 2 3" xfId="37915" xr:uid="{00000000-0005-0000-0000-0000BB6E0000}"/>
    <cellStyle name="40% - Accent4 2 3 3 2 4 3" xfId="18499" xr:uid="{00000000-0005-0000-0000-0000BC6E0000}"/>
    <cellStyle name="40% - Accent4 2 3 3 2 4 3 2" xfId="44373" xr:uid="{00000000-0005-0000-0000-0000BD6E0000}"/>
    <cellStyle name="40% - Accent4 2 3 3 2 4 4" xfId="31457" xr:uid="{00000000-0005-0000-0000-0000BE6E0000}"/>
    <cellStyle name="40% - Accent4 2 3 3 2 5" xfId="8812" xr:uid="{00000000-0005-0000-0000-0000BF6E0000}"/>
    <cellStyle name="40% - Accent4 2 3 3 2 5 2" xfId="21729" xr:uid="{00000000-0005-0000-0000-0000C06E0000}"/>
    <cellStyle name="40% - Accent4 2 3 3 2 5 2 2" xfId="47603" xr:uid="{00000000-0005-0000-0000-0000C16E0000}"/>
    <cellStyle name="40% - Accent4 2 3 3 2 5 3" xfId="34687" xr:uid="{00000000-0005-0000-0000-0000C26E0000}"/>
    <cellStyle name="40% - Accent4 2 3 3 2 6" xfId="15271" xr:uid="{00000000-0005-0000-0000-0000C36E0000}"/>
    <cellStyle name="40% - Accent4 2 3 3 2 6 2" xfId="41145" xr:uid="{00000000-0005-0000-0000-0000C46E0000}"/>
    <cellStyle name="40% - Accent4 2 3 3 2 7" xfId="28197" xr:uid="{00000000-0005-0000-0000-0000C56E0000}"/>
    <cellStyle name="40% - Accent4 2 3 3 2 8" xfId="54059" xr:uid="{00000000-0005-0000-0000-0000C66E0000}"/>
    <cellStyle name="40% - Accent4 2 3 3 3" xfId="2711" xr:uid="{00000000-0005-0000-0000-0000C76E0000}"/>
    <cellStyle name="40% - Accent4 2 3 3 3 2" xfId="4368" xr:uid="{00000000-0005-0000-0000-0000C86E0000}"/>
    <cellStyle name="40% - Accent4 2 3 3 3 2 2" xfId="7599" xr:uid="{00000000-0005-0000-0000-0000C96E0000}"/>
    <cellStyle name="40% - Accent4 2 3 3 3 2 2 2" xfId="14058" xr:uid="{00000000-0005-0000-0000-0000CA6E0000}"/>
    <cellStyle name="40% - Accent4 2 3 3 3 2 2 2 2" xfId="26975" xr:uid="{00000000-0005-0000-0000-0000CB6E0000}"/>
    <cellStyle name="40% - Accent4 2 3 3 3 2 2 2 2 2" xfId="52849" xr:uid="{00000000-0005-0000-0000-0000CC6E0000}"/>
    <cellStyle name="40% - Accent4 2 3 3 3 2 2 2 3" xfId="39933" xr:uid="{00000000-0005-0000-0000-0000CD6E0000}"/>
    <cellStyle name="40% - Accent4 2 3 3 3 2 2 3" xfId="20517" xr:uid="{00000000-0005-0000-0000-0000CE6E0000}"/>
    <cellStyle name="40% - Accent4 2 3 3 3 2 2 3 2" xfId="46391" xr:uid="{00000000-0005-0000-0000-0000CF6E0000}"/>
    <cellStyle name="40% - Accent4 2 3 3 3 2 2 4" xfId="33475" xr:uid="{00000000-0005-0000-0000-0000D06E0000}"/>
    <cellStyle name="40% - Accent4 2 3 3 3 2 3" xfId="10830" xr:uid="{00000000-0005-0000-0000-0000D16E0000}"/>
    <cellStyle name="40% - Accent4 2 3 3 3 2 3 2" xfId="23747" xr:uid="{00000000-0005-0000-0000-0000D26E0000}"/>
    <cellStyle name="40% - Accent4 2 3 3 3 2 3 2 2" xfId="49621" xr:uid="{00000000-0005-0000-0000-0000D36E0000}"/>
    <cellStyle name="40% - Accent4 2 3 3 3 2 3 3" xfId="36705" xr:uid="{00000000-0005-0000-0000-0000D46E0000}"/>
    <cellStyle name="40% - Accent4 2 3 3 3 2 4" xfId="17289" xr:uid="{00000000-0005-0000-0000-0000D56E0000}"/>
    <cellStyle name="40% - Accent4 2 3 3 3 2 4 2" xfId="43163" xr:uid="{00000000-0005-0000-0000-0000D66E0000}"/>
    <cellStyle name="40% - Accent4 2 3 3 3 2 5" xfId="30215" xr:uid="{00000000-0005-0000-0000-0000D76E0000}"/>
    <cellStyle name="40% - Accent4 2 3 3 3 3" xfId="5985" xr:uid="{00000000-0005-0000-0000-0000D86E0000}"/>
    <cellStyle name="40% - Accent4 2 3 3 3 3 2" xfId="12444" xr:uid="{00000000-0005-0000-0000-0000D96E0000}"/>
    <cellStyle name="40% - Accent4 2 3 3 3 3 2 2" xfId="25361" xr:uid="{00000000-0005-0000-0000-0000DA6E0000}"/>
    <cellStyle name="40% - Accent4 2 3 3 3 3 2 2 2" xfId="51235" xr:uid="{00000000-0005-0000-0000-0000DB6E0000}"/>
    <cellStyle name="40% - Accent4 2 3 3 3 3 2 3" xfId="38319" xr:uid="{00000000-0005-0000-0000-0000DC6E0000}"/>
    <cellStyle name="40% - Accent4 2 3 3 3 3 3" xfId="18903" xr:uid="{00000000-0005-0000-0000-0000DD6E0000}"/>
    <cellStyle name="40% - Accent4 2 3 3 3 3 3 2" xfId="44777" xr:uid="{00000000-0005-0000-0000-0000DE6E0000}"/>
    <cellStyle name="40% - Accent4 2 3 3 3 3 4" xfId="31861" xr:uid="{00000000-0005-0000-0000-0000DF6E0000}"/>
    <cellStyle name="40% - Accent4 2 3 3 3 4" xfId="9216" xr:uid="{00000000-0005-0000-0000-0000E06E0000}"/>
    <cellStyle name="40% - Accent4 2 3 3 3 4 2" xfId="22133" xr:uid="{00000000-0005-0000-0000-0000E16E0000}"/>
    <cellStyle name="40% - Accent4 2 3 3 3 4 2 2" xfId="48007" xr:uid="{00000000-0005-0000-0000-0000E26E0000}"/>
    <cellStyle name="40% - Accent4 2 3 3 3 4 3" xfId="35091" xr:uid="{00000000-0005-0000-0000-0000E36E0000}"/>
    <cellStyle name="40% - Accent4 2 3 3 3 5" xfId="15675" xr:uid="{00000000-0005-0000-0000-0000E46E0000}"/>
    <cellStyle name="40% - Accent4 2 3 3 3 5 2" xfId="41549" xr:uid="{00000000-0005-0000-0000-0000E56E0000}"/>
    <cellStyle name="40% - Accent4 2 3 3 3 6" xfId="28601" xr:uid="{00000000-0005-0000-0000-0000E66E0000}"/>
    <cellStyle name="40% - Accent4 2 3 3 4" xfId="3538" xr:uid="{00000000-0005-0000-0000-0000E76E0000}"/>
    <cellStyle name="40% - Accent4 2 3 3 4 2" xfId="6792" xr:uid="{00000000-0005-0000-0000-0000E86E0000}"/>
    <cellStyle name="40% - Accent4 2 3 3 4 2 2" xfId="13251" xr:uid="{00000000-0005-0000-0000-0000E96E0000}"/>
    <cellStyle name="40% - Accent4 2 3 3 4 2 2 2" xfId="26168" xr:uid="{00000000-0005-0000-0000-0000EA6E0000}"/>
    <cellStyle name="40% - Accent4 2 3 3 4 2 2 2 2" xfId="52042" xr:uid="{00000000-0005-0000-0000-0000EB6E0000}"/>
    <cellStyle name="40% - Accent4 2 3 3 4 2 2 3" xfId="39126" xr:uid="{00000000-0005-0000-0000-0000EC6E0000}"/>
    <cellStyle name="40% - Accent4 2 3 3 4 2 3" xfId="19710" xr:uid="{00000000-0005-0000-0000-0000ED6E0000}"/>
    <cellStyle name="40% - Accent4 2 3 3 4 2 3 2" xfId="45584" xr:uid="{00000000-0005-0000-0000-0000EE6E0000}"/>
    <cellStyle name="40% - Accent4 2 3 3 4 2 4" xfId="32668" xr:uid="{00000000-0005-0000-0000-0000EF6E0000}"/>
    <cellStyle name="40% - Accent4 2 3 3 4 3" xfId="10023" xr:uid="{00000000-0005-0000-0000-0000F06E0000}"/>
    <cellStyle name="40% - Accent4 2 3 3 4 3 2" xfId="22940" xr:uid="{00000000-0005-0000-0000-0000F16E0000}"/>
    <cellStyle name="40% - Accent4 2 3 3 4 3 2 2" xfId="48814" xr:uid="{00000000-0005-0000-0000-0000F26E0000}"/>
    <cellStyle name="40% - Accent4 2 3 3 4 3 3" xfId="35898" xr:uid="{00000000-0005-0000-0000-0000F36E0000}"/>
    <cellStyle name="40% - Accent4 2 3 3 4 4" xfId="16482" xr:uid="{00000000-0005-0000-0000-0000F46E0000}"/>
    <cellStyle name="40% - Accent4 2 3 3 4 4 2" xfId="42356" xr:uid="{00000000-0005-0000-0000-0000F56E0000}"/>
    <cellStyle name="40% - Accent4 2 3 3 4 5" xfId="29408" xr:uid="{00000000-0005-0000-0000-0000F66E0000}"/>
    <cellStyle name="40% - Accent4 2 3 3 5" xfId="5178" xr:uid="{00000000-0005-0000-0000-0000F76E0000}"/>
    <cellStyle name="40% - Accent4 2 3 3 5 2" xfId="11637" xr:uid="{00000000-0005-0000-0000-0000F86E0000}"/>
    <cellStyle name="40% - Accent4 2 3 3 5 2 2" xfId="24554" xr:uid="{00000000-0005-0000-0000-0000F96E0000}"/>
    <cellStyle name="40% - Accent4 2 3 3 5 2 2 2" xfId="50428" xr:uid="{00000000-0005-0000-0000-0000FA6E0000}"/>
    <cellStyle name="40% - Accent4 2 3 3 5 2 3" xfId="37512" xr:uid="{00000000-0005-0000-0000-0000FB6E0000}"/>
    <cellStyle name="40% - Accent4 2 3 3 5 3" xfId="18096" xr:uid="{00000000-0005-0000-0000-0000FC6E0000}"/>
    <cellStyle name="40% - Accent4 2 3 3 5 3 2" xfId="43970" xr:uid="{00000000-0005-0000-0000-0000FD6E0000}"/>
    <cellStyle name="40% - Accent4 2 3 3 5 4" xfId="31054" xr:uid="{00000000-0005-0000-0000-0000FE6E0000}"/>
    <cellStyle name="40% - Accent4 2 3 3 6" xfId="8408" xr:uid="{00000000-0005-0000-0000-0000FF6E0000}"/>
    <cellStyle name="40% - Accent4 2 3 3 6 2" xfId="21325" xr:uid="{00000000-0005-0000-0000-0000006F0000}"/>
    <cellStyle name="40% - Accent4 2 3 3 6 2 2" xfId="47199" xr:uid="{00000000-0005-0000-0000-0000016F0000}"/>
    <cellStyle name="40% - Accent4 2 3 3 6 3" xfId="34283" xr:uid="{00000000-0005-0000-0000-0000026F0000}"/>
    <cellStyle name="40% - Accent4 2 3 3 7" xfId="14867" xr:uid="{00000000-0005-0000-0000-0000036F0000}"/>
    <cellStyle name="40% - Accent4 2 3 3 7 2" xfId="40741" xr:uid="{00000000-0005-0000-0000-0000046F0000}"/>
    <cellStyle name="40% - Accent4 2 3 3 8" xfId="27793" xr:uid="{00000000-0005-0000-0000-0000056F0000}"/>
    <cellStyle name="40% - Accent4 2 3 3 9" xfId="53656" xr:uid="{00000000-0005-0000-0000-0000066F0000}"/>
    <cellStyle name="40% - Accent4 2 3 4" xfId="729" xr:uid="{00000000-0005-0000-0000-0000076F0000}"/>
    <cellStyle name="40% - Accent4 2 3 4 2" xfId="2918" xr:uid="{00000000-0005-0000-0000-0000086F0000}"/>
    <cellStyle name="40% - Accent4 2 3 4 2 2" xfId="4575" xr:uid="{00000000-0005-0000-0000-0000096F0000}"/>
    <cellStyle name="40% - Accent4 2 3 4 2 2 2" xfId="7806" xr:uid="{00000000-0005-0000-0000-00000A6F0000}"/>
    <cellStyle name="40% - Accent4 2 3 4 2 2 2 2" xfId="14265" xr:uid="{00000000-0005-0000-0000-00000B6F0000}"/>
    <cellStyle name="40% - Accent4 2 3 4 2 2 2 2 2" xfId="27182" xr:uid="{00000000-0005-0000-0000-00000C6F0000}"/>
    <cellStyle name="40% - Accent4 2 3 4 2 2 2 2 2 2" xfId="53056" xr:uid="{00000000-0005-0000-0000-00000D6F0000}"/>
    <cellStyle name="40% - Accent4 2 3 4 2 2 2 2 3" xfId="40140" xr:uid="{00000000-0005-0000-0000-00000E6F0000}"/>
    <cellStyle name="40% - Accent4 2 3 4 2 2 2 3" xfId="20724" xr:uid="{00000000-0005-0000-0000-00000F6F0000}"/>
    <cellStyle name="40% - Accent4 2 3 4 2 2 2 3 2" xfId="46598" xr:uid="{00000000-0005-0000-0000-0000106F0000}"/>
    <cellStyle name="40% - Accent4 2 3 4 2 2 2 4" xfId="33682" xr:uid="{00000000-0005-0000-0000-0000116F0000}"/>
    <cellStyle name="40% - Accent4 2 3 4 2 2 3" xfId="11037" xr:uid="{00000000-0005-0000-0000-0000126F0000}"/>
    <cellStyle name="40% - Accent4 2 3 4 2 2 3 2" xfId="23954" xr:uid="{00000000-0005-0000-0000-0000136F0000}"/>
    <cellStyle name="40% - Accent4 2 3 4 2 2 3 2 2" xfId="49828" xr:uid="{00000000-0005-0000-0000-0000146F0000}"/>
    <cellStyle name="40% - Accent4 2 3 4 2 2 3 3" xfId="36912" xr:uid="{00000000-0005-0000-0000-0000156F0000}"/>
    <cellStyle name="40% - Accent4 2 3 4 2 2 4" xfId="17496" xr:uid="{00000000-0005-0000-0000-0000166F0000}"/>
    <cellStyle name="40% - Accent4 2 3 4 2 2 4 2" xfId="43370" xr:uid="{00000000-0005-0000-0000-0000176F0000}"/>
    <cellStyle name="40% - Accent4 2 3 4 2 2 5" xfId="30422" xr:uid="{00000000-0005-0000-0000-0000186F0000}"/>
    <cellStyle name="40% - Accent4 2 3 4 2 3" xfId="6192" xr:uid="{00000000-0005-0000-0000-0000196F0000}"/>
    <cellStyle name="40% - Accent4 2 3 4 2 3 2" xfId="12651" xr:uid="{00000000-0005-0000-0000-00001A6F0000}"/>
    <cellStyle name="40% - Accent4 2 3 4 2 3 2 2" xfId="25568" xr:uid="{00000000-0005-0000-0000-00001B6F0000}"/>
    <cellStyle name="40% - Accent4 2 3 4 2 3 2 2 2" xfId="51442" xr:uid="{00000000-0005-0000-0000-00001C6F0000}"/>
    <cellStyle name="40% - Accent4 2 3 4 2 3 2 3" xfId="38526" xr:uid="{00000000-0005-0000-0000-00001D6F0000}"/>
    <cellStyle name="40% - Accent4 2 3 4 2 3 3" xfId="19110" xr:uid="{00000000-0005-0000-0000-00001E6F0000}"/>
    <cellStyle name="40% - Accent4 2 3 4 2 3 3 2" xfId="44984" xr:uid="{00000000-0005-0000-0000-00001F6F0000}"/>
    <cellStyle name="40% - Accent4 2 3 4 2 3 4" xfId="32068" xr:uid="{00000000-0005-0000-0000-0000206F0000}"/>
    <cellStyle name="40% - Accent4 2 3 4 2 4" xfId="9423" xr:uid="{00000000-0005-0000-0000-0000216F0000}"/>
    <cellStyle name="40% - Accent4 2 3 4 2 4 2" xfId="22340" xr:uid="{00000000-0005-0000-0000-0000226F0000}"/>
    <cellStyle name="40% - Accent4 2 3 4 2 4 2 2" xfId="48214" xr:uid="{00000000-0005-0000-0000-0000236F0000}"/>
    <cellStyle name="40% - Accent4 2 3 4 2 4 3" xfId="35298" xr:uid="{00000000-0005-0000-0000-0000246F0000}"/>
    <cellStyle name="40% - Accent4 2 3 4 2 5" xfId="15882" xr:uid="{00000000-0005-0000-0000-0000256F0000}"/>
    <cellStyle name="40% - Accent4 2 3 4 2 5 2" xfId="41756" xr:uid="{00000000-0005-0000-0000-0000266F0000}"/>
    <cellStyle name="40% - Accent4 2 3 4 2 6" xfId="28808" xr:uid="{00000000-0005-0000-0000-0000276F0000}"/>
    <cellStyle name="40% - Accent4 2 3 4 3" xfId="3745" xr:uid="{00000000-0005-0000-0000-0000286F0000}"/>
    <cellStyle name="40% - Accent4 2 3 4 3 2" xfId="6999" xr:uid="{00000000-0005-0000-0000-0000296F0000}"/>
    <cellStyle name="40% - Accent4 2 3 4 3 2 2" xfId="13458" xr:uid="{00000000-0005-0000-0000-00002A6F0000}"/>
    <cellStyle name="40% - Accent4 2 3 4 3 2 2 2" xfId="26375" xr:uid="{00000000-0005-0000-0000-00002B6F0000}"/>
    <cellStyle name="40% - Accent4 2 3 4 3 2 2 2 2" xfId="52249" xr:uid="{00000000-0005-0000-0000-00002C6F0000}"/>
    <cellStyle name="40% - Accent4 2 3 4 3 2 2 3" xfId="39333" xr:uid="{00000000-0005-0000-0000-00002D6F0000}"/>
    <cellStyle name="40% - Accent4 2 3 4 3 2 3" xfId="19917" xr:uid="{00000000-0005-0000-0000-00002E6F0000}"/>
    <cellStyle name="40% - Accent4 2 3 4 3 2 3 2" xfId="45791" xr:uid="{00000000-0005-0000-0000-00002F6F0000}"/>
    <cellStyle name="40% - Accent4 2 3 4 3 2 4" xfId="32875" xr:uid="{00000000-0005-0000-0000-0000306F0000}"/>
    <cellStyle name="40% - Accent4 2 3 4 3 3" xfId="10230" xr:uid="{00000000-0005-0000-0000-0000316F0000}"/>
    <cellStyle name="40% - Accent4 2 3 4 3 3 2" xfId="23147" xr:uid="{00000000-0005-0000-0000-0000326F0000}"/>
    <cellStyle name="40% - Accent4 2 3 4 3 3 2 2" xfId="49021" xr:uid="{00000000-0005-0000-0000-0000336F0000}"/>
    <cellStyle name="40% - Accent4 2 3 4 3 3 3" xfId="36105" xr:uid="{00000000-0005-0000-0000-0000346F0000}"/>
    <cellStyle name="40% - Accent4 2 3 4 3 4" xfId="16689" xr:uid="{00000000-0005-0000-0000-0000356F0000}"/>
    <cellStyle name="40% - Accent4 2 3 4 3 4 2" xfId="42563" xr:uid="{00000000-0005-0000-0000-0000366F0000}"/>
    <cellStyle name="40% - Accent4 2 3 4 3 5" xfId="29615" xr:uid="{00000000-0005-0000-0000-0000376F0000}"/>
    <cellStyle name="40% - Accent4 2 3 4 4" xfId="5385" xr:uid="{00000000-0005-0000-0000-0000386F0000}"/>
    <cellStyle name="40% - Accent4 2 3 4 4 2" xfId="11844" xr:uid="{00000000-0005-0000-0000-0000396F0000}"/>
    <cellStyle name="40% - Accent4 2 3 4 4 2 2" xfId="24761" xr:uid="{00000000-0005-0000-0000-00003A6F0000}"/>
    <cellStyle name="40% - Accent4 2 3 4 4 2 2 2" xfId="50635" xr:uid="{00000000-0005-0000-0000-00003B6F0000}"/>
    <cellStyle name="40% - Accent4 2 3 4 4 2 3" xfId="37719" xr:uid="{00000000-0005-0000-0000-00003C6F0000}"/>
    <cellStyle name="40% - Accent4 2 3 4 4 3" xfId="18303" xr:uid="{00000000-0005-0000-0000-00003D6F0000}"/>
    <cellStyle name="40% - Accent4 2 3 4 4 3 2" xfId="44177" xr:uid="{00000000-0005-0000-0000-00003E6F0000}"/>
    <cellStyle name="40% - Accent4 2 3 4 4 4" xfId="31261" xr:uid="{00000000-0005-0000-0000-00003F6F0000}"/>
    <cellStyle name="40% - Accent4 2 3 4 5" xfId="8616" xr:uid="{00000000-0005-0000-0000-0000406F0000}"/>
    <cellStyle name="40% - Accent4 2 3 4 5 2" xfId="21533" xr:uid="{00000000-0005-0000-0000-0000416F0000}"/>
    <cellStyle name="40% - Accent4 2 3 4 5 2 2" xfId="47407" xr:uid="{00000000-0005-0000-0000-0000426F0000}"/>
    <cellStyle name="40% - Accent4 2 3 4 5 3" xfId="34491" xr:uid="{00000000-0005-0000-0000-0000436F0000}"/>
    <cellStyle name="40% - Accent4 2 3 4 6" xfId="15075" xr:uid="{00000000-0005-0000-0000-0000446F0000}"/>
    <cellStyle name="40% - Accent4 2 3 4 6 2" xfId="40949" xr:uid="{00000000-0005-0000-0000-0000456F0000}"/>
    <cellStyle name="40% - Accent4 2 3 4 7" xfId="28001" xr:uid="{00000000-0005-0000-0000-0000466F0000}"/>
    <cellStyle name="40% - Accent4 2 3 4 8" xfId="53863" xr:uid="{00000000-0005-0000-0000-0000476F0000}"/>
    <cellStyle name="40% - Accent4 2 3 4 9" xfId="2102" xr:uid="{00000000-0005-0000-0000-0000486F0000}"/>
    <cellStyle name="40% - Accent4 2 3 5" xfId="2516" xr:uid="{00000000-0005-0000-0000-0000496F0000}"/>
    <cellStyle name="40% - Accent4 2 3 5 2" xfId="4173" xr:uid="{00000000-0005-0000-0000-00004A6F0000}"/>
    <cellStyle name="40% - Accent4 2 3 5 2 2" xfId="7404" xr:uid="{00000000-0005-0000-0000-00004B6F0000}"/>
    <cellStyle name="40% - Accent4 2 3 5 2 2 2" xfId="13863" xr:uid="{00000000-0005-0000-0000-00004C6F0000}"/>
    <cellStyle name="40% - Accent4 2 3 5 2 2 2 2" xfId="26780" xr:uid="{00000000-0005-0000-0000-00004D6F0000}"/>
    <cellStyle name="40% - Accent4 2 3 5 2 2 2 2 2" xfId="52654" xr:uid="{00000000-0005-0000-0000-00004E6F0000}"/>
    <cellStyle name="40% - Accent4 2 3 5 2 2 2 3" xfId="39738" xr:uid="{00000000-0005-0000-0000-00004F6F0000}"/>
    <cellStyle name="40% - Accent4 2 3 5 2 2 3" xfId="20322" xr:uid="{00000000-0005-0000-0000-0000506F0000}"/>
    <cellStyle name="40% - Accent4 2 3 5 2 2 3 2" xfId="46196" xr:uid="{00000000-0005-0000-0000-0000516F0000}"/>
    <cellStyle name="40% - Accent4 2 3 5 2 2 4" xfId="33280" xr:uid="{00000000-0005-0000-0000-0000526F0000}"/>
    <cellStyle name="40% - Accent4 2 3 5 2 3" xfId="10635" xr:uid="{00000000-0005-0000-0000-0000536F0000}"/>
    <cellStyle name="40% - Accent4 2 3 5 2 3 2" xfId="23552" xr:uid="{00000000-0005-0000-0000-0000546F0000}"/>
    <cellStyle name="40% - Accent4 2 3 5 2 3 2 2" xfId="49426" xr:uid="{00000000-0005-0000-0000-0000556F0000}"/>
    <cellStyle name="40% - Accent4 2 3 5 2 3 3" xfId="36510" xr:uid="{00000000-0005-0000-0000-0000566F0000}"/>
    <cellStyle name="40% - Accent4 2 3 5 2 4" xfId="17094" xr:uid="{00000000-0005-0000-0000-0000576F0000}"/>
    <cellStyle name="40% - Accent4 2 3 5 2 4 2" xfId="42968" xr:uid="{00000000-0005-0000-0000-0000586F0000}"/>
    <cellStyle name="40% - Accent4 2 3 5 2 5" xfId="30020" xr:uid="{00000000-0005-0000-0000-0000596F0000}"/>
    <cellStyle name="40% - Accent4 2 3 5 3" xfId="5790" xr:uid="{00000000-0005-0000-0000-00005A6F0000}"/>
    <cellStyle name="40% - Accent4 2 3 5 3 2" xfId="12249" xr:uid="{00000000-0005-0000-0000-00005B6F0000}"/>
    <cellStyle name="40% - Accent4 2 3 5 3 2 2" xfId="25166" xr:uid="{00000000-0005-0000-0000-00005C6F0000}"/>
    <cellStyle name="40% - Accent4 2 3 5 3 2 2 2" xfId="51040" xr:uid="{00000000-0005-0000-0000-00005D6F0000}"/>
    <cellStyle name="40% - Accent4 2 3 5 3 2 3" xfId="38124" xr:uid="{00000000-0005-0000-0000-00005E6F0000}"/>
    <cellStyle name="40% - Accent4 2 3 5 3 3" xfId="18708" xr:uid="{00000000-0005-0000-0000-00005F6F0000}"/>
    <cellStyle name="40% - Accent4 2 3 5 3 3 2" xfId="44582" xr:uid="{00000000-0005-0000-0000-0000606F0000}"/>
    <cellStyle name="40% - Accent4 2 3 5 3 4" xfId="31666" xr:uid="{00000000-0005-0000-0000-0000616F0000}"/>
    <cellStyle name="40% - Accent4 2 3 5 4" xfId="9021" xr:uid="{00000000-0005-0000-0000-0000626F0000}"/>
    <cellStyle name="40% - Accent4 2 3 5 4 2" xfId="21938" xr:uid="{00000000-0005-0000-0000-0000636F0000}"/>
    <cellStyle name="40% - Accent4 2 3 5 4 2 2" xfId="47812" xr:uid="{00000000-0005-0000-0000-0000646F0000}"/>
    <cellStyle name="40% - Accent4 2 3 5 4 3" xfId="34896" xr:uid="{00000000-0005-0000-0000-0000656F0000}"/>
    <cellStyle name="40% - Accent4 2 3 5 5" xfId="15480" xr:uid="{00000000-0005-0000-0000-0000666F0000}"/>
    <cellStyle name="40% - Accent4 2 3 5 5 2" xfId="41354" xr:uid="{00000000-0005-0000-0000-0000676F0000}"/>
    <cellStyle name="40% - Accent4 2 3 5 6" xfId="28406" xr:uid="{00000000-0005-0000-0000-0000686F0000}"/>
    <cellStyle name="40% - Accent4 2 3 6" xfId="3336" xr:uid="{00000000-0005-0000-0000-0000696F0000}"/>
    <cellStyle name="40% - Accent4 2 3 6 2" xfId="6597" xr:uid="{00000000-0005-0000-0000-00006A6F0000}"/>
    <cellStyle name="40% - Accent4 2 3 6 2 2" xfId="13056" xr:uid="{00000000-0005-0000-0000-00006B6F0000}"/>
    <cellStyle name="40% - Accent4 2 3 6 2 2 2" xfId="25973" xr:uid="{00000000-0005-0000-0000-00006C6F0000}"/>
    <cellStyle name="40% - Accent4 2 3 6 2 2 2 2" xfId="51847" xr:uid="{00000000-0005-0000-0000-00006D6F0000}"/>
    <cellStyle name="40% - Accent4 2 3 6 2 2 3" xfId="38931" xr:uid="{00000000-0005-0000-0000-00006E6F0000}"/>
    <cellStyle name="40% - Accent4 2 3 6 2 3" xfId="19515" xr:uid="{00000000-0005-0000-0000-00006F6F0000}"/>
    <cellStyle name="40% - Accent4 2 3 6 2 3 2" xfId="45389" xr:uid="{00000000-0005-0000-0000-0000706F0000}"/>
    <cellStyle name="40% - Accent4 2 3 6 2 4" xfId="32473" xr:uid="{00000000-0005-0000-0000-0000716F0000}"/>
    <cellStyle name="40% - Accent4 2 3 6 3" xfId="9828" xr:uid="{00000000-0005-0000-0000-0000726F0000}"/>
    <cellStyle name="40% - Accent4 2 3 6 3 2" xfId="22745" xr:uid="{00000000-0005-0000-0000-0000736F0000}"/>
    <cellStyle name="40% - Accent4 2 3 6 3 2 2" xfId="48619" xr:uid="{00000000-0005-0000-0000-0000746F0000}"/>
    <cellStyle name="40% - Accent4 2 3 6 3 3" xfId="35703" xr:uid="{00000000-0005-0000-0000-0000756F0000}"/>
    <cellStyle name="40% - Accent4 2 3 6 4" xfId="16287" xr:uid="{00000000-0005-0000-0000-0000766F0000}"/>
    <cellStyle name="40% - Accent4 2 3 6 4 2" xfId="42161" xr:uid="{00000000-0005-0000-0000-0000776F0000}"/>
    <cellStyle name="40% - Accent4 2 3 6 5" xfId="29213" xr:uid="{00000000-0005-0000-0000-0000786F0000}"/>
    <cellStyle name="40% - Accent4 2 3 7" xfId="4983" xr:uid="{00000000-0005-0000-0000-0000796F0000}"/>
    <cellStyle name="40% - Accent4 2 3 7 2" xfId="11442" xr:uid="{00000000-0005-0000-0000-00007A6F0000}"/>
    <cellStyle name="40% - Accent4 2 3 7 2 2" xfId="24359" xr:uid="{00000000-0005-0000-0000-00007B6F0000}"/>
    <cellStyle name="40% - Accent4 2 3 7 2 2 2" xfId="50233" xr:uid="{00000000-0005-0000-0000-00007C6F0000}"/>
    <cellStyle name="40% - Accent4 2 3 7 2 3" xfId="37317" xr:uid="{00000000-0005-0000-0000-00007D6F0000}"/>
    <cellStyle name="40% - Accent4 2 3 7 3" xfId="17901" xr:uid="{00000000-0005-0000-0000-00007E6F0000}"/>
    <cellStyle name="40% - Accent4 2 3 7 3 2" xfId="43775" xr:uid="{00000000-0005-0000-0000-00007F6F0000}"/>
    <cellStyle name="40% - Accent4 2 3 7 4" xfId="30859" xr:uid="{00000000-0005-0000-0000-0000806F0000}"/>
    <cellStyle name="40% - Accent4 2 3 8" xfId="8214" xr:uid="{00000000-0005-0000-0000-0000816F0000}"/>
    <cellStyle name="40% - Accent4 2 3 8 2" xfId="21131" xr:uid="{00000000-0005-0000-0000-0000826F0000}"/>
    <cellStyle name="40% - Accent4 2 3 8 2 2" xfId="47005" xr:uid="{00000000-0005-0000-0000-0000836F0000}"/>
    <cellStyle name="40% - Accent4 2 3 8 3" xfId="34089" xr:uid="{00000000-0005-0000-0000-0000846F0000}"/>
    <cellStyle name="40% - Accent4 2 3 9" xfId="14673" xr:uid="{00000000-0005-0000-0000-0000856F0000}"/>
    <cellStyle name="40% - Accent4 2 3 9 2" xfId="40547" xr:uid="{00000000-0005-0000-0000-0000866F0000}"/>
    <cellStyle name="40% - Accent4 2 4" xfId="1539" xr:uid="{00000000-0005-0000-0000-0000876F0000}"/>
    <cellStyle name="40% - Accent4 2 4 10" xfId="53487" xr:uid="{00000000-0005-0000-0000-0000886F0000}"/>
    <cellStyle name="40% - Accent4 2 4 2" xfId="1896" xr:uid="{00000000-0005-0000-0000-0000896F0000}"/>
    <cellStyle name="40% - Accent4 2 4 2 2" xfId="2327" xr:uid="{00000000-0005-0000-0000-00008A6F0000}"/>
    <cellStyle name="40% - Accent4 2 4 2 2 2" xfId="3140" xr:uid="{00000000-0005-0000-0000-00008B6F0000}"/>
    <cellStyle name="40% - Accent4 2 4 2 2 2 2" xfId="4797" xr:uid="{00000000-0005-0000-0000-00008C6F0000}"/>
    <cellStyle name="40% - Accent4 2 4 2 2 2 2 2" xfId="8028" xr:uid="{00000000-0005-0000-0000-00008D6F0000}"/>
    <cellStyle name="40% - Accent4 2 4 2 2 2 2 2 2" xfId="14487" xr:uid="{00000000-0005-0000-0000-00008E6F0000}"/>
    <cellStyle name="40% - Accent4 2 4 2 2 2 2 2 2 2" xfId="27404" xr:uid="{00000000-0005-0000-0000-00008F6F0000}"/>
    <cellStyle name="40% - Accent4 2 4 2 2 2 2 2 2 2 2" xfId="53278" xr:uid="{00000000-0005-0000-0000-0000906F0000}"/>
    <cellStyle name="40% - Accent4 2 4 2 2 2 2 2 2 3" xfId="40362" xr:uid="{00000000-0005-0000-0000-0000916F0000}"/>
    <cellStyle name="40% - Accent4 2 4 2 2 2 2 2 3" xfId="20946" xr:uid="{00000000-0005-0000-0000-0000926F0000}"/>
    <cellStyle name="40% - Accent4 2 4 2 2 2 2 2 3 2" xfId="46820" xr:uid="{00000000-0005-0000-0000-0000936F0000}"/>
    <cellStyle name="40% - Accent4 2 4 2 2 2 2 2 4" xfId="33904" xr:uid="{00000000-0005-0000-0000-0000946F0000}"/>
    <cellStyle name="40% - Accent4 2 4 2 2 2 2 3" xfId="11259" xr:uid="{00000000-0005-0000-0000-0000956F0000}"/>
    <cellStyle name="40% - Accent4 2 4 2 2 2 2 3 2" xfId="24176" xr:uid="{00000000-0005-0000-0000-0000966F0000}"/>
    <cellStyle name="40% - Accent4 2 4 2 2 2 2 3 2 2" xfId="50050" xr:uid="{00000000-0005-0000-0000-0000976F0000}"/>
    <cellStyle name="40% - Accent4 2 4 2 2 2 2 3 3" xfId="37134" xr:uid="{00000000-0005-0000-0000-0000986F0000}"/>
    <cellStyle name="40% - Accent4 2 4 2 2 2 2 4" xfId="17718" xr:uid="{00000000-0005-0000-0000-0000996F0000}"/>
    <cellStyle name="40% - Accent4 2 4 2 2 2 2 4 2" xfId="43592" xr:uid="{00000000-0005-0000-0000-00009A6F0000}"/>
    <cellStyle name="40% - Accent4 2 4 2 2 2 2 5" xfId="30644" xr:uid="{00000000-0005-0000-0000-00009B6F0000}"/>
    <cellStyle name="40% - Accent4 2 4 2 2 2 3" xfId="6414" xr:uid="{00000000-0005-0000-0000-00009C6F0000}"/>
    <cellStyle name="40% - Accent4 2 4 2 2 2 3 2" xfId="12873" xr:uid="{00000000-0005-0000-0000-00009D6F0000}"/>
    <cellStyle name="40% - Accent4 2 4 2 2 2 3 2 2" xfId="25790" xr:uid="{00000000-0005-0000-0000-00009E6F0000}"/>
    <cellStyle name="40% - Accent4 2 4 2 2 2 3 2 2 2" xfId="51664" xr:uid="{00000000-0005-0000-0000-00009F6F0000}"/>
    <cellStyle name="40% - Accent4 2 4 2 2 2 3 2 3" xfId="38748" xr:uid="{00000000-0005-0000-0000-0000A06F0000}"/>
    <cellStyle name="40% - Accent4 2 4 2 2 2 3 3" xfId="19332" xr:uid="{00000000-0005-0000-0000-0000A16F0000}"/>
    <cellStyle name="40% - Accent4 2 4 2 2 2 3 3 2" xfId="45206" xr:uid="{00000000-0005-0000-0000-0000A26F0000}"/>
    <cellStyle name="40% - Accent4 2 4 2 2 2 3 4" xfId="32290" xr:uid="{00000000-0005-0000-0000-0000A36F0000}"/>
    <cellStyle name="40% - Accent4 2 4 2 2 2 4" xfId="9645" xr:uid="{00000000-0005-0000-0000-0000A46F0000}"/>
    <cellStyle name="40% - Accent4 2 4 2 2 2 4 2" xfId="22562" xr:uid="{00000000-0005-0000-0000-0000A56F0000}"/>
    <cellStyle name="40% - Accent4 2 4 2 2 2 4 2 2" xfId="48436" xr:uid="{00000000-0005-0000-0000-0000A66F0000}"/>
    <cellStyle name="40% - Accent4 2 4 2 2 2 4 3" xfId="35520" xr:uid="{00000000-0005-0000-0000-0000A76F0000}"/>
    <cellStyle name="40% - Accent4 2 4 2 2 2 5" xfId="16104" xr:uid="{00000000-0005-0000-0000-0000A86F0000}"/>
    <cellStyle name="40% - Accent4 2 4 2 2 2 5 2" xfId="41978" xr:uid="{00000000-0005-0000-0000-0000A96F0000}"/>
    <cellStyle name="40% - Accent4 2 4 2 2 2 6" xfId="29030" xr:uid="{00000000-0005-0000-0000-0000AA6F0000}"/>
    <cellStyle name="40% - Accent4 2 4 2 2 3" xfId="3967" xr:uid="{00000000-0005-0000-0000-0000AB6F0000}"/>
    <cellStyle name="40% - Accent4 2 4 2 2 3 2" xfId="7221" xr:uid="{00000000-0005-0000-0000-0000AC6F0000}"/>
    <cellStyle name="40% - Accent4 2 4 2 2 3 2 2" xfId="13680" xr:uid="{00000000-0005-0000-0000-0000AD6F0000}"/>
    <cellStyle name="40% - Accent4 2 4 2 2 3 2 2 2" xfId="26597" xr:uid="{00000000-0005-0000-0000-0000AE6F0000}"/>
    <cellStyle name="40% - Accent4 2 4 2 2 3 2 2 2 2" xfId="52471" xr:uid="{00000000-0005-0000-0000-0000AF6F0000}"/>
    <cellStyle name="40% - Accent4 2 4 2 2 3 2 2 3" xfId="39555" xr:uid="{00000000-0005-0000-0000-0000B06F0000}"/>
    <cellStyle name="40% - Accent4 2 4 2 2 3 2 3" xfId="20139" xr:uid="{00000000-0005-0000-0000-0000B16F0000}"/>
    <cellStyle name="40% - Accent4 2 4 2 2 3 2 3 2" xfId="46013" xr:uid="{00000000-0005-0000-0000-0000B26F0000}"/>
    <cellStyle name="40% - Accent4 2 4 2 2 3 2 4" xfId="33097" xr:uid="{00000000-0005-0000-0000-0000B36F0000}"/>
    <cellStyle name="40% - Accent4 2 4 2 2 3 3" xfId="10452" xr:uid="{00000000-0005-0000-0000-0000B46F0000}"/>
    <cellStyle name="40% - Accent4 2 4 2 2 3 3 2" xfId="23369" xr:uid="{00000000-0005-0000-0000-0000B56F0000}"/>
    <cellStyle name="40% - Accent4 2 4 2 2 3 3 2 2" xfId="49243" xr:uid="{00000000-0005-0000-0000-0000B66F0000}"/>
    <cellStyle name="40% - Accent4 2 4 2 2 3 3 3" xfId="36327" xr:uid="{00000000-0005-0000-0000-0000B76F0000}"/>
    <cellStyle name="40% - Accent4 2 4 2 2 3 4" xfId="16911" xr:uid="{00000000-0005-0000-0000-0000B86F0000}"/>
    <cellStyle name="40% - Accent4 2 4 2 2 3 4 2" xfId="42785" xr:uid="{00000000-0005-0000-0000-0000B96F0000}"/>
    <cellStyle name="40% - Accent4 2 4 2 2 3 5" xfId="29837" xr:uid="{00000000-0005-0000-0000-0000BA6F0000}"/>
    <cellStyle name="40% - Accent4 2 4 2 2 4" xfId="5607" xr:uid="{00000000-0005-0000-0000-0000BB6F0000}"/>
    <cellStyle name="40% - Accent4 2 4 2 2 4 2" xfId="12066" xr:uid="{00000000-0005-0000-0000-0000BC6F0000}"/>
    <cellStyle name="40% - Accent4 2 4 2 2 4 2 2" xfId="24983" xr:uid="{00000000-0005-0000-0000-0000BD6F0000}"/>
    <cellStyle name="40% - Accent4 2 4 2 2 4 2 2 2" xfId="50857" xr:uid="{00000000-0005-0000-0000-0000BE6F0000}"/>
    <cellStyle name="40% - Accent4 2 4 2 2 4 2 3" xfId="37941" xr:uid="{00000000-0005-0000-0000-0000BF6F0000}"/>
    <cellStyle name="40% - Accent4 2 4 2 2 4 3" xfId="18525" xr:uid="{00000000-0005-0000-0000-0000C06F0000}"/>
    <cellStyle name="40% - Accent4 2 4 2 2 4 3 2" xfId="44399" xr:uid="{00000000-0005-0000-0000-0000C16F0000}"/>
    <cellStyle name="40% - Accent4 2 4 2 2 4 4" xfId="31483" xr:uid="{00000000-0005-0000-0000-0000C26F0000}"/>
    <cellStyle name="40% - Accent4 2 4 2 2 5" xfId="8838" xr:uid="{00000000-0005-0000-0000-0000C36F0000}"/>
    <cellStyle name="40% - Accent4 2 4 2 2 5 2" xfId="21755" xr:uid="{00000000-0005-0000-0000-0000C46F0000}"/>
    <cellStyle name="40% - Accent4 2 4 2 2 5 2 2" xfId="47629" xr:uid="{00000000-0005-0000-0000-0000C56F0000}"/>
    <cellStyle name="40% - Accent4 2 4 2 2 5 3" xfId="34713" xr:uid="{00000000-0005-0000-0000-0000C66F0000}"/>
    <cellStyle name="40% - Accent4 2 4 2 2 6" xfId="15297" xr:uid="{00000000-0005-0000-0000-0000C76F0000}"/>
    <cellStyle name="40% - Accent4 2 4 2 2 6 2" xfId="41171" xr:uid="{00000000-0005-0000-0000-0000C86F0000}"/>
    <cellStyle name="40% - Accent4 2 4 2 2 7" xfId="28223" xr:uid="{00000000-0005-0000-0000-0000C96F0000}"/>
    <cellStyle name="40% - Accent4 2 4 2 2 8" xfId="54085" xr:uid="{00000000-0005-0000-0000-0000CA6F0000}"/>
    <cellStyle name="40% - Accent4 2 4 2 3" xfId="2736" xr:uid="{00000000-0005-0000-0000-0000CB6F0000}"/>
    <cellStyle name="40% - Accent4 2 4 2 3 2" xfId="4393" xr:uid="{00000000-0005-0000-0000-0000CC6F0000}"/>
    <cellStyle name="40% - Accent4 2 4 2 3 2 2" xfId="7624" xr:uid="{00000000-0005-0000-0000-0000CD6F0000}"/>
    <cellStyle name="40% - Accent4 2 4 2 3 2 2 2" xfId="14083" xr:uid="{00000000-0005-0000-0000-0000CE6F0000}"/>
    <cellStyle name="40% - Accent4 2 4 2 3 2 2 2 2" xfId="27000" xr:uid="{00000000-0005-0000-0000-0000CF6F0000}"/>
    <cellStyle name="40% - Accent4 2 4 2 3 2 2 2 2 2" xfId="52874" xr:uid="{00000000-0005-0000-0000-0000D06F0000}"/>
    <cellStyle name="40% - Accent4 2 4 2 3 2 2 2 3" xfId="39958" xr:uid="{00000000-0005-0000-0000-0000D16F0000}"/>
    <cellStyle name="40% - Accent4 2 4 2 3 2 2 3" xfId="20542" xr:uid="{00000000-0005-0000-0000-0000D26F0000}"/>
    <cellStyle name="40% - Accent4 2 4 2 3 2 2 3 2" xfId="46416" xr:uid="{00000000-0005-0000-0000-0000D36F0000}"/>
    <cellStyle name="40% - Accent4 2 4 2 3 2 2 4" xfId="33500" xr:uid="{00000000-0005-0000-0000-0000D46F0000}"/>
    <cellStyle name="40% - Accent4 2 4 2 3 2 3" xfId="10855" xr:uid="{00000000-0005-0000-0000-0000D56F0000}"/>
    <cellStyle name="40% - Accent4 2 4 2 3 2 3 2" xfId="23772" xr:uid="{00000000-0005-0000-0000-0000D66F0000}"/>
    <cellStyle name="40% - Accent4 2 4 2 3 2 3 2 2" xfId="49646" xr:uid="{00000000-0005-0000-0000-0000D76F0000}"/>
    <cellStyle name="40% - Accent4 2 4 2 3 2 3 3" xfId="36730" xr:uid="{00000000-0005-0000-0000-0000D86F0000}"/>
    <cellStyle name="40% - Accent4 2 4 2 3 2 4" xfId="17314" xr:uid="{00000000-0005-0000-0000-0000D96F0000}"/>
    <cellStyle name="40% - Accent4 2 4 2 3 2 4 2" xfId="43188" xr:uid="{00000000-0005-0000-0000-0000DA6F0000}"/>
    <cellStyle name="40% - Accent4 2 4 2 3 2 5" xfId="30240" xr:uid="{00000000-0005-0000-0000-0000DB6F0000}"/>
    <cellStyle name="40% - Accent4 2 4 2 3 3" xfId="6010" xr:uid="{00000000-0005-0000-0000-0000DC6F0000}"/>
    <cellStyle name="40% - Accent4 2 4 2 3 3 2" xfId="12469" xr:uid="{00000000-0005-0000-0000-0000DD6F0000}"/>
    <cellStyle name="40% - Accent4 2 4 2 3 3 2 2" xfId="25386" xr:uid="{00000000-0005-0000-0000-0000DE6F0000}"/>
    <cellStyle name="40% - Accent4 2 4 2 3 3 2 2 2" xfId="51260" xr:uid="{00000000-0005-0000-0000-0000DF6F0000}"/>
    <cellStyle name="40% - Accent4 2 4 2 3 3 2 3" xfId="38344" xr:uid="{00000000-0005-0000-0000-0000E06F0000}"/>
    <cellStyle name="40% - Accent4 2 4 2 3 3 3" xfId="18928" xr:uid="{00000000-0005-0000-0000-0000E16F0000}"/>
    <cellStyle name="40% - Accent4 2 4 2 3 3 3 2" xfId="44802" xr:uid="{00000000-0005-0000-0000-0000E26F0000}"/>
    <cellStyle name="40% - Accent4 2 4 2 3 3 4" xfId="31886" xr:uid="{00000000-0005-0000-0000-0000E36F0000}"/>
    <cellStyle name="40% - Accent4 2 4 2 3 4" xfId="9241" xr:uid="{00000000-0005-0000-0000-0000E46F0000}"/>
    <cellStyle name="40% - Accent4 2 4 2 3 4 2" xfId="22158" xr:uid="{00000000-0005-0000-0000-0000E56F0000}"/>
    <cellStyle name="40% - Accent4 2 4 2 3 4 2 2" xfId="48032" xr:uid="{00000000-0005-0000-0000-0000E66F0000}"/>
    <cellStyle name="40% - Accent4 2 4 2 3 4 3" xfId="35116" xr:uid="{00000000-0005-0000-0000-0000E76F0000}"/>
    <cellStyle name="40% - Accent4 2 4 2 3 5" xfId="15700" xr:uid="{00000000-0005-0000-0000-0000E86F0000}"/>
    <cellStyle name="40% - Accent4 2 4 2 3 5 2" xfId="41574" xr:uid="{00000000-0005-0000-0000-0000E96F0000}"/>
    <cellStyle name="40% - Accent4 2 4 2 3 6" xfId="28626" xr:uid="{00000000-0005-0000-0000-0000EA6F0000}"/>
    <cellStyle name="40% - Accent4 2 4 2 4" xfId="3563" xr:uid="{00000000-0005-0000-0000-0000EB6F0000}"/>
    <cellStyle name="40% - Accent4 2 4 2 4 2" xfId="6817" xr:uid="{00000000-0005-0000-0000-0000EC6F0000}"/>
    <cellStyle name="40% - Accent4 2 4 2 4 2 2" xfId="13276" xr:uid="{00000000-0005-0000-0000-0000ED6F0000}"/>
    <cellStyle name="40% - Accent4 2 4 2 4 2 2 2" xfId="26193" xr:uid="{00000000-0005-0000-0000-0000EE6F0000}"/>
    <cellStyle name="40% - Accent4 2 4 2 4 2 2 2 2" xfId="52067" xr:uid="{00000000-0005-0000-0000-0000EF6F0000}"/>
    <cellStyle name="40% - Accent4 2 4 2 4 2 2 3" xfId="39151" xr:uid="{00000000-0005-0000-0000-0000F06F0000}"/>
    <cellStyle name="40% - Accent4 2 4 2 4 2 3" xfId="19735" xr:uid="{00000000-0005-0000-0000-0000F16F0000}"/>
    <cellStyle name="40% - Accent4 2 4 2 4 2 3 2" xfId="45609" xr:uid="{00000000-0005-0000-0000-0000F26F0000}"/>
    <cellStyle name="40% - Accent4 2 4 2 4 2 4" xfId="32693" xr:uid="{00000000-0005-0000-0000-0000F36F0000}"/>
    <cellStyle name="40% - Accent4 2 4 2 4 3" xfId="10048" xr:uid="{00000000-0005-0000-0000-0000F46F0000}"/>
    <cellStyle name="40% - Accent4 2 4 2 4 3 2" xfId="22965" xr:uid="{00000000-0005-0000-0000-0000F56F0000}"/>
    <cellStyle name="40% - Accent4 2 4 2 4 3 2 2" xfId="48839" xr:uid="{00000000-0005-0000-0000-0000F66F0000}"/>
    <cellStyle name="40% - Accent4 2 4 2 4 3 3" xfId="35923" xr:uid="{00000000-0005-0000-0000-0000F76F0000}"/>
    <cellStyle name="40% - Accent4 2 4 2 4 4" xfId="16507" xr:uid="{00000000-0005-0000-0000-0000F86F0000}"/>
    <cellStyle name="40% - Accent4 2 4 2 4 4 2" xfId="42381" xr:uid="{00000000-0005-0000-0000-0000F96F0000}"/>
    <cellStyle name="40% - Accent4 2 4 2 4 5" xfId="29433" xr:uid="{00000000-0005-0000-0000-0000FA6F0000}"/>
    <cellStyle name="40% - Accent4 2 4 2 5" xfId="5203" xr:uid="{00000000-0005-0000-0000-0000FB6F0000}"/>
    <cellStyle name="40% - Accent4 2 4 2 5 2" xfId="11662" xr:uid="{00000000-0005-0000-0000-0000FC6F0000}"/>
    <cellStyle name="40% - Accent4 2 4 2 5 2 2" xfId="24579" xr:uid="{00000000-0005-0000-0000-0000FD6F0000}"/>
    <cellStyle name="40% - Accent4 2 4 2 5 2 2 2" xfId="50453" xr:uid="{00000000-0005-0000-0000-0000FE6F0000}"/>
    <cellStyle name="40% - Accent4 2 4 2 5 2 3" xfId="37537" xr:uid="{00000000-0005-0000-0000-0000FF6F0000}"/>
    <cellStyle name="40% - Accent4 2 4 2 5 3" xfId="18121" xr:uid="{00000000-0005-0000-0000-000000700000}"/>
    <cellStyle name="40% - Accent4 2 4 2 5 3 2" xfId="43995" xr:uid="{00000000-0005-0000-0000-000001700000}"/>
    <cellStyle name="40% - Accent4 2 4 2 5 4" xfId="31079" xr:uid="{00000000-0005-0000-0000-000002700000}"/>
    <cellStyle name="40% - Accent4 2 4 2 6" xfId="8434" xr:uid="{00000000-0005-0000-0000-000003700000}"/>
    <cellStyle name="40% - Accent4 2 4 2 6 2" xfId="21351" xr:uid="{00000000-0005-0000-0000-000004700000}"/>
    <cellStyle name="40% - Accent4 2 4 2 6 2 2" xfId="47225" xr:uid="{00000000-0005-0000-0000-000005700000}"/>
    <cellStyle name="40% - Accent4 2 4 2 6 3" xfId="34309" xr:uid="{00000000-0005-0000-0000-000006700000}"/>
    <cellStyle name="40% - Accent4 2 4 2 7" xfId="14893" xr:uid="{00000000-0005-0000-0000-000007700000}"/>
    <cellStyle name="40% - Accent4 2 4 2 7 2" xfId="40767" xr:uid="{00000000-0005-0000-0000-000008700000}"/>
    <cellStyle name="40% - Accent4 2 4 2 8" xfId="27818" xr:uid="{00000000-0005-0000-0000-000009700000}"/>
    <cellStyle name="40% - Accent4 2 4 2 9" xfId="53681" xr:uid="{00000000-0005-0000-0000-00000A700000}"/>
    <cellStyle name="40% - Accent4 2 4 3" xfId="2131" xr:uid="{00000000-0005-0000-0000-00000B700000}"/>
    <cellStyle name="40% - Accent4 2 4 3 2" xfId="2945" xr:uid="{00000000-0005-0000-0000-00000C700000}"/>
    <cellStyle name="40% - Accent4 2 4 3 2 2" xfId="4602" xr:uid="{00000000-0005-0000-0000-00000D700000}"/>
    <cellStyle name="40% - Accent4 2 4 3 2 2 2" xfId="7833" xr:uid="{00000000-0005-0000-0000-00000E700000}"/>
    <cellStyle name="40% - Accent4 2 4 3 2 2 2 2" xfId="14292" xr:uid="{00000000-0005-0000-0000-00000F700000}"/>
    <cellStyle name="40% - Accent4 2 4 3 2 2 2 2 2" xfId="27209" xr:uid="{00000000-0005-0000-0000-000010700000}"/>
    <cellStyle name="40% - Accent4 2 4 3 2 2 2 2 2 2" xfId="53083" xr:uid="{00000000-0005-0000-0000-000011700000}"/>
    <cellStyle name="40% - Accent4 2 4 3 2 2 2 2 3" xfId="40167" xr:uid="{00000000-0005-0000-0000-000012700000}"/>
    <cellStyle name="40% - Accent4 2 4 3 2 2 2 3" xfId="20751" xr:uid="{00000000-0005-0000-0000-000013700000}"/>
    <cellStyle name="40% - Accent4 2 4 3 2 2 2 3 2" xfId="46625" xr:uid="{00000000-0005-0000-0000-000014700000}"/>
    <cellStyle name="40% - Accent4 2 4 3 2 2 2 4" xfId="33709" xr:uid="{00000000-0005-0000-0000-000015700000}"/>
    <cellStyle name="40% - Accent4 2 4 3 2 2 3" xfId="11064" xr:uid="{00000000-0005-0000-0000-000016700000}"/>
    <cellStyle name="40% - Accent4 2 4 3 2 2 3 2" xfId="23981" xr:uid="{00000000-0005-0000-0000-000017700000}"/>
    <cellStyle name="40% - Accent4 2 4 3 2 2 3 2 2" xfId="49855" xr:uid="{00000000-0005-0000-0000-000018700000}"/>
    <cellStyle name="40% - Accent4 2 4 3 2 2 3 3" xfId="36939" xr:uid="{00000000-0005-0000-0000-000019700000}"/>
    <cellStyle name="40% - Accent4 2 4 3 2 2 4" xfId="17523" xr:uid="{00000000-0005-0000-0000-00001A700000}"/>
    <cellStyle name="40% - Accent4 2 4 3 2 2 4 2" xfId="43397" xr:uid="{00000000-0005-0000-0000-00001B700000}"/>
    <cellStyle name="40% - Accent4 2 4 3 2 2 5" xfId="30449" xr:uid="{00000000-0005-0000-0000-00001C700000}"/>
    <cellStyle name="40% - Accent4 2 4 3 2 3" xfId="6219" xr:uid="{00000000-0005-0000-0000-00001D700000}"/>
    <cellStyle name="40% - Accent4 2 4 3 2 3 2" xfId="12678" xr:uid="{00000000-0005-0000-0000-00001E700000}"/>
    <cellStyle name="40% - Accent4 2 4 3 2 3 2 2" xfId="25595" xr:uid="{00000000-0005-0000-0000-00001F700000}"/>
    <cellStyle name="40% - Accent4 2 4 3 2 3 2 2 2" xfId="51469" xr:uid="{00000000-0005-0000-0000-000020700000}"/>
    <cellStyle name="40% - Accent4 2 4 3 2 3 2 3" xfId="38553" xr:uid="{00000000-0005-0000-0000-000021700000}"/>
    <cellStyle name="40% - Accent4 2 4 3 2 3 3" xfId="19137" xr:uid="{00000000-0005-0000-0000-000022700000}"/>
    <cellStyle name="40% - Accent4 2 4 3 2 3 3 2" xfId="45011" xr:uid="{00000000-0005-0000-0000-000023700000}"/>
    <cellStyle name="40% - Accent4 2 4 3 2 3 4" xfId="32095" xr:uid="{00000000-0005-0000-0000-000024700000}"/>
    <cellStyle name="40% - Accent4 2 4 3 2 4" xfId="9450" xr:uid="{00000000-0005-0000-0000-000025700000}"/>
    <cellStyle name="40% - Accent4 2 4 3 2 4 2" xfId="22367" xr:uid="{00000000-0005-0000-0000-000026700000}"/>
    <cellStyle name="40% - Accent4 2 4 3 2 4 2 2" xfId="48241" xr:uid="{00000000-0005-0000-0000-000027700000}"/>
    <cellStyle name="40% - Accent4 2 4 3 2 4 3" xfId="35325" xr:uid="{00000000-0005-0000-0000-000028700000}"/>
    <cellStyle name="40% - Accent4 2 4 3 2 5" xfId="15909" xr:uid="{00000000-0005-0000-0000-000029700000}"/>
    <cellStyle name="40% - Accent4 2 4 3 2 5 2" xfId="41783" xr:uid="{00000000-0005-0000-0000-00002A700000}"/>
    <cellStyle name="40% - Accent4 2 4 3 2 6" xfId="28835" xr:uid="{00000000-0005-0000-0000-00002B700000}"/>
    <cellStyle name="40% - Accent4 2 4 3 3" xfId="3772" xr:uid="{00000000-0005-0000-0000-00002C700000}"/>
    <cellStyle name="40% - Accent4 2 4 3 3 2" xfId="7026" xr:uid="{00000000-0005-0000-0000-00002D700000}"/>
    <cellStyle name="40% - Accent4 2 4 3 3 2 2" xfId="13485" xr:uid="{00000000-0005-0000-0000-00002E700000}"/>
    <cellStyle name="40% - Accent4 2 4 3 3 2 2 2" xfId="26402" xr:uid="{00000000-0005-0000-0000-00002F700000}"/>
    <cellStyle name="40% - Accent4 2 4 3 3 2 2 2 2" xfId="52276" xr:uid="{00000000-0005-0000-0000-000030700000}"/>
    <cellStyle name="40% - Accent4 2 4 3 3 2 2 3" xfId="39360" xr:uid="{00000000-0005-0000-0000-000031700000}"/>
    <cellStyle name="40% - Accent4 2 4 3 3 2 3" xfId="19944" xr:uid="{00000000-0005-0000-0000-000032700000}"/>
    <cellStyle name="40% - Accent4 2 4 3 3 2 3 2" xfId="45818" xr:uid="{00000000-0005-0000-0000-000033700000}"/>
    <cellStyle name="40% - Accent4 2 4 3 3 2 4" xfId="32902" xr:uid="{00000000-0005-0000-0000-000034700000}"/>
    <cellStyle name="40% - Accent4 2 4 3 3 3" xfId="10257" xr:uid="{00000000-0005-0000-0000-000035700000}"/>
    <cellStyle name="40% - Accent4 2 4 3 3 3 2" xfId="23174" xr:uid="{00000000-0005-0000-0000-000036700000}"/>
    <cellStyle name="40% - Accent4 2 4 3 3 3 2 2" xfId="49048" xr:uid="{00000000-0005-0000-0000-000037700000}"/>
    <cellStyle name="40% - Accent4 2 4 3 3 3 3" xfId="36132" xr:uid="{00000000-0005-0000-0000-000038700000}"/>
    <cellStyle name="40% - Accent4 2 4 3 3 4" xfId="16716" xr:uid="{00000000-0005-0000-0000-000039700000}"/>
    <cellStyle name="40% - Accent4 2 4 3 3 4 2" xfId="42590" xr:uid="{00000000-0005-0000-0000-00003A700000}"/>
    <cellStyle name="40% - Accent4 2 4 3 3 5" xfId="29642" xr:uid="{00000000-0005-0000-0000-00003B700000}"/>
    <cellStyle name="40% - Accent4 2 4 3 4" xfId="5412" xr:uid="{00000000-0005-0000-0000-00003C700000}"/>
    <cellStyle name="40% - Accent4 2 4 3 4 2" xfId="11871" xr:uid="{00000000-0005-0000-0000-00003D700000}"/>
    <cellStyle name="40% - Accent4 2 4 3 4 2 2" xfId="24788" xr:uid="{00000000-0005-0000-0000-00003E700000}"/>
    <cellStyle name="40% - Accent4 2 4 3 4 2 2 2" xfId="50662" xr:uid="{00000000-0005-0000-0000-00003F700000}"/>
    <cellStyle name="40% - Accent4 2 4 3 4 2 3" xfId="37746" xr:uid="{00000000-0005-0000-0000-000040700000}"/>
    <cellStyle name="40% - Accent4 2 4 3 4 3" xfId="18330" xr:uid="{00000000-0005-0000-0000-000041700000}"/>
    <cellStyle name="40% - Accent4 2 4 3 4 3 2" xfId="44204" xr:uid="{00000000-0005-0000-0000-000042700000}"/>
    <cellStyle name="40% - Accent4 2 4 3 4 4" xfId="31288" xr:uid="{00000000-0005-0000-0000-000043700000}"/>
    <cellStyle name="40% - Accent4 2 4 3 5" xfId="8643" xr:uid="{00000000-0005-0000-0000-000044700000}"/>
    <cellStyle name="40% - Accent4 2 4 3 5 2" xfId="21560" xr:uid="{00000000-0005-0000-0000-000045700000}"/>
    <cellStyle name="40% - Accent4 2 4 3 5 2 2" xfId="47434" xr:uid="{00000000-0005-0000-0000-000046700000}"/>
    <cellStyle name="40% - Accent4 2 4 3 5 3" xfId="34518" xr:uid="{00000000-0005-0000-0000-000047700000}"/>
    <cellStyle name="40% - Accent4 2 4 3 6" xfId="15102" xr:uid="{00000000-0005-0000-0000-000048700000}"/>
    <cellStyle name="40% - Accent4 2 4 3 6 2" xfId="40976" xr:uid="{00000000-0005-0000-0000-000049700000}"/>
    <cellStyle name="40% - Accent4 2 4 3 7" xfId="28028" xr:uid="{00000000-0005-0000-0000-00004A700000}"/>
    <cellStyle name="40% - Accent4 2 4 3 8" xfId="53890" xr:uid="{00000000-0005-0000-0000-00004B700000}"/>
    <cellStyle name="40% - Accent4 2 4 4" xfId="2542" xr:uid="{00000000-0005-0000-0000-00004C700000}"/>
    <cellStyle name="40% - Accent4 2 4 4 2" xfId="4199" xr:uid="{00000000-0005-0000-0000-00004D700000}"/>
    <cellStyle name="40% - Accent4 2 4 4 2 2" xfId="7430" xr:uid="{00000000-0005-0000-0000-00004E700000}"/>
    <cellStyle name="40% - Accent4 2 4 4 2 2 2" xfId="13889" xr:uid="{00000000-0005-0000-0000-00004F700000}"/>
    <cellStyle name="40% - Accent4 2 4 4 2 2 2 2" xfId="26806" xr:uid="{00000000-0005-0000-0000-000050700000}"/>
    <cellStyle name="40% - Accent4 2 4 4 2 2 2 2 2" xfId="52680" xr:uid="{00000000-0005-0000-0000-000051700000}"/>
    <cellStyle name="40% - Accent4 2 4 4 2 2 2 3" xfId="39764" xr:uid="{00000000-0005-0000-0000-000052700000}"/>
    <cellStyle name="40% - Accent4 2 4 4 2 2 3" xfId="20348" xr:uid="{00000000-0005-0000-0000-000053700000}"/>
    <cellStyle name="40% - Accent4 2 4 4 2 2 3 2" xfId="46222" xr:uid="{00000000-0005-0000-0000-000054700000}"/>
    <cellStyle name="40% - Accent4 2 4 4 2 2 4" xfId="33306" xr:uid="{00000000-0005-0000-0000-000055700000}"/>
    <cellStyle name="40% - Accent4 2 4 4 2 3" xfId="10661" xr:uid="{00000000-0005-0000-0000-000056700000}"/>
    <cellStyle name="40% - Accent4 2 4 4 2 3 2" xfId="23578" xr:uid="{00000000-0005-0000-0000-000057700000}"/>
    <cellStyle name="40% - Accent4 2 4 4 2 3 2 2" xfId="49452" xr:uid="{00000000-0005-0000-0000-000058700000}"/>
    <cellStyle name="40% - Accent4 2 4 4 2 3 3" xfId="36536" xr:uid="{00000000-0005-0000-0000-000059700000}"/>
    <cellStyle name="40% - Accent4 2 4 4 2 4" xfId="17120" xr:uid="{00000000-0005-0000-0000-00005A700000}"/>
    <cellStyle name="40% - Accent4 2 4 4 2 4 2" xfId="42994" xr:uid="{00000000-0005-0000-0000-00005B700000}"/>
    <cellStyle name="40% - Accent4 2 4 4 2 5" xfId="30046" xr:uid="{00000000-0005-0000-0000-00005C700000}"/>
    <cellStyle name="40% - Accent4 2 4 4 3" xfId="5816" xr:uid="{00000000-0005-0000-0000-00005D700000}"/>
    <cellStyle name="40% - Accent4 2 4 4 3 2" xfId="12275" xr:uid="{00000000-0005-0000-0000-00005E700000}"/>
    <cellStyle name="40% - Accent4 2 4 4 3 2 2" xfId="25192" xr:uid="{00000000-0005-0000-0000-00005F700000}"/>
    <cellStyle name="40% - Accent4 2 4 4 3 2 2 2" xfId="51066" xr:uid="{00000000-0005-0000-0000-000060700000}"/>
    <cellStyle name="40% - Accent4 2 4 4 3 2 3" xfId="38150" xr:uid="{00000000-0005-0000-0000-000061700000}"/>
    <cellStyle name="40% - Accent4 2 4 4 3 3" xfId="18734" xr:uid="{00000000-0005-0000-0000-000062700000}"/>
    <cellStyle name="40% - Accent4 2 4 4 3 3 2" xfId="44608" xr:uid="{00000000-0005-0000-0000-000063700000}"/>
    <cellStyle name="40% - Accent4 2 4 4 3 4" xfId="31692" xr:uid="{00000000-0005-0000-0000-000064700000}"/>
    <cellStyle name="40% - Accent4 2 4 4 4" xfId="9047" xr:uid="{00000000-0005-0000-0000-000065700000}"/>
    <cellStyle name="40% - Accent4 2 4 4 4 2" xfId="21964" xr:uid="{00000000-0005-0000-0000-000066700000}"/>
    <cellStyle name="40% - Accent4 2 4 4 4 2 2" xfId="47838" xr:uid="{00000000-0005-0000-0000-000067700000}"/>
    <cellStyle name="40% - Accent4 2 4 4 4 3" xfId="34922" xr:uid="{00000000-0005-0000-0000-000068700000}"/>
    <cellStyle name="40% - Accent4 2 4 4 5" xfId="15506" xr:uid="{00000000-0005-0000-0000-000069700000}"/>
    <cellStyle name="40% - Accent4 2 4 4 5 2" xfId="41380" xr:uid="{00000000-0005-0000-0000-00006A700000}"/>
    <cellStyle name="40% - Accent4 2 4 4 6" xfId="28432" xr:uid="{00000000-0005-0000-0000-00006B700000}"/>
    <cellStyle name="40% - Accent4 2 4 5" xfId="3364" xr:uid="{00000000-0005-0000-0000-00006C700000}"/>
    <cellStyle name="40% - Accent4 2 4 5 2" xfId="6623" xr:uid="{00000000-0005-0000-0000-00006D700000}"/>
    <cellStyle name="40% - Accent4 2 4 5 2 2" xfId="13082" xr:uid="{00000000-0005-0000-0000-00006E700000}"/>
    <cellStyle name="40% - Accent4 2 4 5 2 2 2" xfId="25999" xr:uid="{00000000-0005-0000-0000-00006F700000}"/>
    <cellStyle name="40% - Accent4 2 4 5 2 2 2 2" xfId="51873" xr:uid="{00000000-0005-0000-0000-000070700000}"/>
    <cellStyle name="40% - Accent4 2 4 5 2 2 3" xfId="38957" xr:uid="{00000000-0005-0000-0000-000071700000}"/>
    <cellStyle name="40% - Accent4 2 4 5 2 3" xfId="19541" xr:uid="{00000000-0005-0000-0000-000072700000}"/>
    <cellStyle name="40% - Accent4 2 4 5 2 3 2" xfId="45415" xr:uid="{00000000-0005-0000-0000-000073700000}"/>
    <cellStyle name="40% - Accent4 2 4 5 2 4" xfId="32499" xr:uid="{00000000-0005-0000-0000-000074700000}"/>
    <cellStyle name="40% - Accent4 2 4 5 3" xfId="9854" xr:uid="{00000000-0005-0000-0000-000075700000}"/>
    <cellStyle name="40% - Accent4 2 4 5 3 2" xfId="22771" xr:uid="{00000000-0005-0000-0000-000076700000}"/>
    <cellStyle name="40% - Accent4 2 4 5 3 2 2" xfId="48645" xr:uid="{00000000-0005-0000-0000-000077700000}"/>
    <cellStyle name="40% - Accent4 2 4 5 3 3" xfId="35729" xr:uid="{00000000-0005-0000-0000-000078700000}"/>
    <cellStyle name="40% - Accent4 2 4 5 4" xfId="16313" xr:uid="{00000000-0005-0000-0000-000079700000}"/>
    <cellStyle name="40% - Accent4 2 4 5 4 2" xfId="42187" xr:uid="{00000000-0005-0000-0000-00007A700000}"/>
    <cellStyle name="40% - Accent4 2 4 5 5" xfId="29239" xr:uid="{00000000-0005-0000-0000-00007B700000}"/>
    <cellStyle name="40% - Accent4 2 4 6" xfId="5009" xr:uid="{00000000-0005-0000-0000-00007C700000}"/>
    <cellStyle name="40% - Accent4 2 4 6 2" xfId="11468" xr:uid="{00000000-0005-0000-0000-00007D700000}"/>
    <cellStyle name="40% - Accent4 2 4 6 2 2" xfId="24385" xr:uid="{00000000-0005-0000-0000-00007E700000}"/>
    <cellStyle name="40% - Accent4 2 4 6 2 2 2" xfId="50259" xr:uid="{00000000-0005-0000-0000-00007F700000}"/>
    <cellStyle name="40% - Accent4 2 4 6 2 3" xfId="37343" xr:uid="{00000000-0005-0000-0000-000080700000}"/>
    <cellStyle name="40% - Accent4 2 4 6 3" xfId="17927" xr:uid="{00000000-0005-0000-0000-000081700000}"/>
    <cellStyle name="40% - Accent4 2 4 6 3 2" xfId="43801" xr:uid="{00000000-0005-0000-0000-000082700000}"/>
    <cellStyle name="40% - Accent4 2 4 6 4" xfId="30885" xr:uid="{00000000-0005-0000-0000-000083700000}"/>
    <cellStyle name="40% - Accent4 2 4 7" xfId="8239" xr:uid="{00000000-0005-0000-0000-000084700000}"/>
    <cellStyle name="40% - Accent4 2 4 7 2" xfId="21156" xr:uid="{00000000-0005-0000-0000-000085700000}"/>
    <cellStyle name="40% - Accent4 2 4 7 2 2" xfId="47030" xr:uid="{00000000-0005-0000-0000-000086700000}"/>
    <cellStyle name="40% - Accent4 2 4 7 3" xfId="34114" xr:uid="{00000000-0005-0000-0000-000087700000}"/>
    <cellStyle name="40% - Accent4 2 4 8" xfId="14698" xr:uid="{00000000-0005-0000-0000-000088700000}"/>
    <cellStyle name="40% - Accent4 2 4 8 2" xfId="40572" xr:uid="{00000000-0005-0000-0000-000089700000}"/>
    <cellStyle name="40% - Accent4 2 4 9" xfId="27622" xr:uid="{00000000-0005-0000-0000-00008A700000}"/>
    <cellStyle name="40% - Accent4 2 5" xfId="1779" xr:uid="{00000000-0005-0000-0000-00008B700000}"/>
    <cellStyle name="40% - Accent4 2 5 2" xfId="2272" xr:uid="{00000000-0005-0000-0000-00008C700000}"/>
    <cellStyle name="40% - Accent4 2 5 2 2" xfId="3086" xr:uid="{00000000-0005-0000-0000-00008D700000}"/>
    <cellStyle name="40% - Accent4 2 5 2 2 2" xfId="4743" xr:uid="{00000000-0005-0000-0000-00008E700000}"/>
    <cellStyle name="40% - Accent4 2 5 2 2 2 2" xfId="7974" xr:uid="{00000000-0005-0000-0000-00008F700000}"/>
    <cellStyle name="40% - Accent4 2 5 2 2 2 2 2" xfId="14433" xr:uid="{00000000-0005-0000-0000-000090700000}"/>
    <cellStyle name="40% - Accent4 2 5 2 2 2 2 2 2" xfId="27350" xr:uid="{00000000-0005-0000-0000-000091700000}"/>
    <cellStyle name="40% - Accent4 2 5 2 2 2 2 2 2 2" xfId="53224" xr:uid="{00000000-0005-0000-0000-000092700000}"/>
    <cellStyle name="40% - Accent4 2 5 2 2 2 2 2 3" xfId="40308" xr:uid="{00000000-0005-0000-0000-000093700000}"/>
    <cellStyle name="40% - Accent4 2 5 2 2 2 2 3" xfId="20892" xr:uid="{00000000-0005-0000-0000-000094700000}"/>
    <cellStyle name="40% - Accent4 2 5 2 2 2 2 3 2" xfId="46766" xr:uid="{00000000-0005-0000-0000-000095700000}"/>
    <cellStyle name="40% - Accent4 2 5 2 2 2 2 4" xfId="33850" xr:uid="{00000000-0005-0000-0000-000096700000}"/>
    <cellStyle name="40% - Accent4 2 5 2 2 2 3" xfId="11205" xr:uid="{00000000-0005-0000-0000-000097700000}"/>
    <cellStyle name="40% - Accent4 2 5 2 2 2 3 2" xfId="24122" xr:uid="{00000000-0005-0000-0000-000098700000}"/>
    <cellStyle name="40% - Accent4 2 5 2 2 2 3 2 2" xfId="49996" xr:uid="{00000000-0005-0000-0000-000099700000}"/>
    <cellStyle name="40% - Accent4 2 5 2 2 2 3 3" xfId="37080" xr:uid="{00000000-0005-0000-0000-00009A700000}"/>
    <cellStyle name="40% - Accent4 2 5 2 2 2 4" xfId="17664" xr:uid="{00000000-0005-0000-0000-00009B700000}"/>
    <cellStyle name="40% - Accent4 2 5 2 2 2 4 2" xfId="43538" xr:uid="{00000000-0005-0000-0000-00009C700000}"/>
    <cellStyle name="40% - Accent4 2 5 2 2 2 5" xfId="30590" xr:uid="{00000000-0005-0000-0000-00009D700000}"/>
    <cellStyle name="40% - Accent4 2 5 2 2 3" xfId="6360" xr:uid="{00000000-0005-0000-0000-00009E700000}"/>
    <cellStyle name="40% - Accent4 2 5 2 2 3 2" xfId="12819" xr:uid="{00000000-0005-0000-0000-00009F700000}"/>
    <cellStyle name="40% - Accent4 2 5 2 2 3 2 2" xfId="25736" xr:uid="{00000000-0005-0000-0000-0000A0700000}"/>
    <cellStyle name="40% - Accent4 2 5 2 2 3 2 2 2" xfId="51610" xr:uid="{00000000-0005-0000-0000-0000A1700000}"/>
    <cellStyle name="40% - Accent4 2 5 2 2 3 2 3" xfId="38694" xr:uid="{00000000-0005-0000-0000-0000A2700000}"/>
    <cellStyle name="40% - Accent4 2 5 2 2 3 3" xfId="19278" xr:uid="{00000000-0005-0000-0000-0000A3700000}"/>
    <cellStyle name="40% - Accent4 2 5 2 2 3 3 2" xfId="45152" xr:uid="{00000000-0005-0000-0000-0000A4700000}"/>
    <cellStyle name="40% - Accent4 2 5 2 2 3 4" xfId="32236" xr:uid="{00000000-0005-0000-0000-0000A5700000}"/>
    <cellStyle name="40% - Accent4 2 5 2 2 4" xfId="9591" xr:uid="{00000000-0005-0000-0000-0000A6700000}"/>
    <cellStyle name="40% - Accent4 2 5 2 2 4 2" xfId="22508" xr:uid="{00000000-0005-0000-0000-0000A7700000}"/>
    <cellStyle name="40% - Accent4 2 5 2 2 4 2 2" xfId="48382" xr:uid="{00000000-0005-0000-0000-0000A8700000}"/>
    <cellStyle name="40% - Accent4 2 5 2 2 4 3" xfId="35466" xr:uid="{00000000-0005-0000-0000-0000A9700000}"/>
    <cellStyle name="40% - Accent4 2 5 2 2 5" xfId="16050" xr:uid="{00000000-0005-0000-0000-0000AA700000}"/>
    <cellStyle name="40% - Accent4 2 5 2 2 5 2" xfId="41924" xr:uid="{00000000-0005-0000-0000-0000AB700000}"/>
    <cellStyle name="40% - Accent4 2 5 2 2 6" xfId="28976" xr:uid="{00000000-0005-0000-0000-0000AC700000}"/>
    <cellStyle name="40% - Accent4 2 5 2 3" xfId="3913" xr:uid="{00000000-0005-0000-0000-0000AD700000}"/>
    <cellStyle name="40% - Accent4 2 5 2 3 2" xfId="7167" xr:uid="{00000000-0005-0000-0000-0000AE700000}"/>
    <cellStyle name="40% - Accent4 2 5 2 3 2 2" xfId="13626" xr:uid="{00000000-0005-0000-0000-0000AF700000}"/>
    <cellStyle name="40% - Accent4 2 5 2 3 2 2 2" xfId="26543" xr:uid="{00000000-0005-0000-0000-0000B0700000}"/>
    <cellStyle name="40% - Accent4 2 5 2 3 2 2 2 2" xfId="52417" xr:uid="{00000000-0005-0000-0000-0000B1700000}"/>
    <cellStyle name="40% - Accent4 2 5 2 3 2 2 3" xfId="39501" xr:uid="{00000000-0005-0000-0000-0000B2700000}"/>
    <cellStyle name="40% - Accent4 2 5 2 3 2 3" xfId="20085" xr:uid="{00000000-0005-0000-0000-0000B3700000}"/>
    <cellStyle name="40% - Accent4 2 5 2 3 2 3 2" xfId="45959" xr:uid="{00000000-0005-0000-0000-0000B4700000}"/>
    <cellStyle name="40% - Accent4 2 5 2 3 2 4" xfId="33043" xr:uid="{00000000-0005-0000-0000-0000B5700000}"/>
    <cellStyle name="40% - Accent4 2 5 2 3 3" xfId="10398" xr:uid="{00000000-0005-0000-0000-0000B6700000}"/>
    <cellStyle name="40% - Accent4 2 5 2 3 3 2" xfId="23315" xr:uid="{00000000-0005-0000-0000-0000B7700000}"/>
    <cellStyle name="40% - Accent4 2 5 2 3 3 2 2" xfId="49189" xr:uid="{00000000-0005-0000-0000-0000B8700000}"/>
    <cellStyle name="40% - Accent4 2 5 2 3 3 3" xfId="36273" xr:uid="{00000000-0005-0000-0000-0000B9700000}"/>
    <cellStyle name="40% - Accent4 2 5 2 3 4" xfId="16857" xr:uid="{00000000-0005-0000-0000-0000BA700000}"/>
    <cellStyle name="40% - Accent4 2 5 2 3 4 2" xfId="42731" xr:uid="{00000000-0005-0000-0000-0000BB700000}"/>
    <cellStyle name="40% - Accent4 2 5 2 3 5" xfId="29783" xr:uid="{00000000-0005-0000-0000-0000BC700000}"/>
    <cellStyle name="40% - Accent4 2 5 2 4" xfId="5553" xr:uid="{00000000-0005-0000-0000-0000BD700000}"/>
    <cellStyle name="40% - Accent4 2 5 2 4 2" xfId="12012" xr:uid="{00000000-0005-0000-0000-0000BE700000}"/>
    <cellStyle name="40% - Accent4 2 5 2 4 2 2" xfId="24929" xr:uid="{00000000-0005-0000-0000-0000BF700000}"/>
    <cellStyle name="40% - Accent4 2 5 2 4 2 2 2" xfId="50803" xr:uid="{00000000-0005-0000-0000-0000C0700000}"/>
    <cellStyle name="40% - Accent4 2 5 2 4 2 3" xfId="37887" xr:uid="{00000000-0005-0000-0000-0000C1700000}"/>
    <cellStyle name="40% - Accent4 2 5 2 4 3" xfId="18471" xr:uid="{00000000-0005-0000-0000-0000C2700000}"/>
    <cellStyle name="40% - Accent4 2 5 2 4 3 2" xfId="44345" xr:uid="{00000000-0005-0000-0000-0000C3700000}"/>
    <cellStyle name="40% - Accent4 2 5 2 4 4" xfId="31429" xr:uid="{00000000-0005-0000-0000-0000C4700000}"/>
    <cellStyle name="40% - Accent4 2 5 2 5" xfId="8784" xr:uid="{00000000-0005-0000-0000-0000C5700000}"/>
    <cellStyle name="40% - Accent4 2 5 2 5 2" xfId="21701" xr:uid="{00000000-0005-0000-0000-0000C6700000}"/>
    <cellStyle name="40% - Accent4 2 5 2 5 2 2" xfId="47575" xr:uid="{00000000-0005-0000-0000-0000C7700000}"/>
    <cellStyle name="40% - Accent4 2 5 2 5 3" xfId="34659" xr:uid="{00000000-0005-0000-0000-0000C8700000}"/>
    <cellStyle name="40% - Accent4 2 5 2 6" xfId="15243" xr:uid="{00000000-0005-0000-0000-0000C9700000}"/>
    <cellStyle name="40% - Accent4 2 5 2 6 2" xfId="41117" xr:uid="{00000000-0005-0000-0000-0000CA700000}"/>
    <cellStyle name="40% - Accent4 2 5 2 7" xfId="28169" xr:uid="{00000000-0005-0000-0000-0000CB700000}"/>
    <cellStyle name="40% - Accent4 2 5 2 8" xfId="54031" xr:uid="{00000000-0005-0000-0000-0000CC700000}"/>
    <cellStyle name="40% - Accent4 2 5 3" xfId="2683" xr:uid="{00000000-0005-0000-0000-0000CD700000}"/>
    <cellStyle name="40% - Accent4 2 5 3 2" xfId="4340" xr:uid="{00000000-0005-0000-0000-0000CE700000}"/>
    <cellStyle name="40% - Accent4 2 5 3 2 2" xfId="7571" xr:uid="{00000000-0005-0000-0000-0000CF700000}"/>
    <cellStyle name="40% - Accent4 2 5 3 2 2 2" xfId="14030" xr:uid="{00000000-0005-0000-0000-0000D0700000}"/>
    <cellStyle name="40% - Accent4 2 5 3 2 2 2 2" xfId="26947" xr:uid="{00000000-0005-0000-0000-0000D1700000}"/>
    <cellStyle name="40% - Accent4 2 5 3 2 2 2 2 2" xfId="52821" xr:uid="{00000000-0005-0000-0000-0000D2700000}"/>
    <cellStyle name="40% - Accent4 2 5 3 2 2 2 3" xfId="39905" xr:uid="{00000000-0005-0000-0000-0000D3700000}"/>
    <cellStyle name="40% - Accent4 2 5 3 2 2 3" xfId="20489" xr:uid="{00000000-0005-0000-0000-0000D4700000}"/>
    <cellStyle name="40% - Accent4 2 5 3 2 2 3 2" xfId="46363" xr:uid="{00000000-0005-0000-0000-0000D5700000}"/>
    <cellStyle name="40% - Accent4 2 5 3 2 2 4" xfId="33447" xr:uid="{00000000-0005-0000-0000-0000D6700000}"/>
    <cellStyle name="40% - Accent4 2 5 3 2 3" xfId="10802" xr:uid="{00000000-0005-0000-0000-0000D7700000}"/>
    <cellStyle name="40% - Accent4 2 5 3 2 3 2" xfId="23719" xr:uid="{00000000-0005-0000-0000-0000D8700000}"/>
    <cellStyle name="40% - Accent4 2 5 3 2 3 2 2" xfId="49593" xr:uid="{00000000-0005-0000-0000-0000D9700000}"/>
    <cellStyle name="40% - Accent4 2 5 3 2 3 3" xfId="36677" xr:uid="{00000000-0005-0000-0000-0000DA700000}"/>
    <cellStyle name="40% - Accent4 2 5 3 2 4" xfId="17261" xr:uid="{00000000-0005-0000-0000-0000DB700000}"/>
    <cellStyle name="40% - Accent4 2 5 3 2 4 2" xfId="43135" xr:uid="{00000000-0005-0000-0000-0000DC700000}"/>
    <cellStyle name="40% - Accent4 2 5 3 2 5" xfId="30187" xr:uid="{00000000-0005-0000-0000-0000DD700000}"/>
    <cellStyle name="40% - Accent4 2 5 3 3" xfId="5957" xr:uid="{00000000-0005-0000-0000-0000DE700000}"/>
    <cellStyle name="40% - Accent4 2 5 3 3 2" xfId="12416" xr:uid="{00000000-0005-0000-0000-0000DF700000}"/>
    <cellStyle name="40% - Accent4 2 5 3 3 2 2" xfId="25333" xr:uid="{00000000-0005-0000-0000-0000E0700000}"/>
    <cellStyle name="40% - Accent4 2 5 3 3 2 2 2" xfId="51207" xr:uid="{00000000-0005-0000-0000-0000E1700000}"/>
    <cellStyle name="40% - Accent4 2 5 3 3 2 3" xfId="38291" xr:uid="{00000000-0005-0000-0000-0000E2700000}"/>
    <cellStyle name="40% - Accent4 2 5 3 3 3" xfId="18875" xr:uid="{00000000-0005-0000-0000-0000E3700000}"/>
    <cellStyle name="40% - Accent4 2 5 3 3 3 2" xfId="44749" xr:uid="{00000000-0005-0000-0000-0000E4700000}"/>
    <cellStyle name="40% - Accent4 2 5 3 3 4" xfId="31833" xr:uid="{00000000-0005-0000-0000-0000E5700000}"/>
    <cellStyle name="40% - Accent4 2 5 3 4" xfId="9188" xr:uid="{00000000-0005-0000-0000-0000E6700000}"/>
    <cellStyle name="40% - Accent4 2 5 3 4 2" xfId="22105" xr:uid="{00000000-0005-0000-0000-0000E7700000}"/>
    <cellStyle name="40% - Accent4 2 5 3 4 2 2" xfId="47979" xr:uid="{00000000-0005-0000-0000-0000E8700000}"/>
    <cellStyle name="40% - Accent4 2 5 3 4 3" xfId="35063" xr:uid="{00000000-0005-0000-0000-0000E9700000}"/>
    <cellStyle name="40% - Accent4 2 5 3 5" xfId="15647" xr:uid="{00000000-0005-0000-0000-0000EA700000}"/>
    <cellStyle name="40% - Accent4 2 5 3 5 2" xfId="41521" xr:uid="{00000000-0005-0000-0000-0000EB700000}"/>
    <cellStyle name="40% - Accent4 2 5 3 6" xfId="28573" xr:uid="{00000000-0005-0000-0000-0000EC700000}"/>
    <cellStyle name="40% - Accent4 2 5 4" xfId="3510" xr:uid="{00000000-0005-0000-0000-0000ED700000}"/>
    <cellStyle name="40% - Accent4 2 5 4 2" xfId="6764" xr:uid="{00000000-0005-0000-0000-0000EE700000}"/>
    <cellStyle name="40% - Accent4 2 5 4 2 2" xfId="13223" xr:uid="{00000000-0005-0000-0000-0000EF700000}"/>
    <cellStyle name="40% - Accent4 2 5 4 2 2 2" xfId="26140" xr:uid="{00000000-0005-0000-0000-0000F0700000}"/>
    <cellStyle name="40% - Accent4 2 5 4 2 2 2 2" xfId="52014" xr:uid="{00000000-0005-0000-0000-0000F1700000}"/>
    <cellStyle name="40% - Accent4 2 5 4 2 2 3" xfId="39098" xr:uid="{00000000-0005-0000-0000-0000F2700000}"/>
    <cellStyle name="40% - Accent4 2 5 4 2 3" xfId="19682" xr:uid="{00000000-0005-0000-0000-0000F3700000}"/>
    <cellStyle name="40% - Accent4 2 5 4 2 3 2" xfId="45556" xr:uid="{00000000-0005-0000-0000-0000F4700000}"/>
    <cellStyle name="40% - Accent4 2 5 4 2 4" xfId="32640" xr:uid="{00000000-0005-0000-0000-0000F5700000}"/>
    <cellStyle name="40% - Accent4 2 5 4 3" xfId="9995" xr:uid="{00000000-0005-0000-0000-0000F6700000}"/>
    <cellStyle name="40% - Accent4 2 5 4 3 2" xfId="22912" xr:uid="{00000000-0005-0000-0000-0000F7700000}"/>
    <cellStyle name="40% - Accent4 2 5 4 3 2 2" xfId="48786" xr:uid="{00000000-0005-0000-0000-0000F8700000}"/>
    <cellStyle name="40% - Accent4 2 5 4 3 3" xfId="35870" xr:uid="{00000000-0005-0000-0000-0000F9700000}"/>
    <cellStyle name="40% - Accent4 2 5 4 4" xfId="16454" xr:uid="{00000000-0005-0000-0000-0000FA700000}"/>
    <cellStyle name="40% - Accent4 2 5 4 4 2" xfId="42328" xr:uid="{00000000-0005-0000-0000-0000FB700000}"/>
    <cellStyle name="40% - Accent4 2 5 4 5" xfId="29380" xr:uid="{00000000-0005-0000-0000-0000FC700000}"/>
    <cellStyle name="40% - Accent4 2 5 5" xfId="5150" xr:uid="{00000000-0005-0000-0000-0000FD700000}"/>
    <cellStyle name="40% - Accent4 2 5 5 2" xfId="11609" xr:uid="{00000000-0005-0000-0000-0000FE700000}"/>
    <cellStyle name="40% - Accent4 2 5 5 2 2" xfId="24526" xr:uid="{00000000-0005-0000-0000-0000FF700000}"/>
    <cellStyle name="40% - Accent4 2 5 5 2 2 2" xfId="50400" xr:uid="{00000000-0005-0000-0000-000000710000}"/>
    <cellStyle name="40% - Accent4 2 5 5 2 3" xfId="37484" xr:uid="{00000000-0005-0000-0000-000001710000}"/>
    <cellStyle name="40% - Accent4 2 5 5 3" xfId="18068" xr:uid="{00000000-0005-0000-0000-000002710000}"/>
    <cellStyle name="40% - Accent4 2 5 5 3 2" xfId="43942" xr:uid="{00000000-0005-0000-0000-000003710000}"/>
    <cellStyle name="40% - Accent4 2 5 5 4" xfId="31026" xr:uid="{00000000-0005-0000-0000-000004710000}"/>
    <cellStyle name="40% - Accent4 2 5 6" xfId="8380" xr:uid="{00000000-0005-0000-0000-000005710000}"/>
    <cellStyle name="40% - Accent4 2 5 6 2" xfId="21297" xr:uid="{00000000-0005-0000-0000-000006710000}"/>
    <cellStyle name="40% - Accent4 2 5 6 2 2" xfId="47171" xr:uid="{00000000-0005-0000-0000-000007710000}"/>
    <cellStyle name="40% - Accent4 2 5 6 3" xfId="34255" xr:uid="{00000000-0005-0000-0000-000008710000}"/>
    <cellStyle name="40% - Accent4 2 5 7" xfId="14839" xr:uid="{00000000-0005-0000-0000-000009710000}"/>
    <cellStyle name="40% - Accent4 2 5 7 2" xfId="40713" xr:uid="{00000000-0005-0000-0000-00000A710000}"/>
    <cellStyle name="40% - Accent4 2 5 8" xfId="27765" xr:uid="{00000000-0005-0000-0000-00000B710000}"/>
    <cellStyle name="40% - Accent4 2 5 9" xfId="53628" xr:uid="{00000000-0005-0000-0000-00000C710000}"/>
    <cellStyle name="40% - Accent4 2 6" xfId="2077" xr:uid="{00000000-0005-0000-0000-00000D710000}"/>
    <cellStyle name="40% - Accent4 2 6 2" xfId="2895" xr:uid="{00000000-0005-0000-0000-00000E710000}"/>
    <cellStyle name="40% - Accent4 2 6 2 2" xfId="4552" xr:uid="{00000000-0005-0000-0000-00000F710000}"/>
    <cellStyle name="40% - Accent4 2 6 2 2 2" xfId="7783" xr:uid="{00000000-0005-0000-0000-000010710000}"/>
    <cellStyle name="40% - Accent4 2 6 2 2 2 2" xfId="14242" xr:uid="{00000000-0005-0000-0000-000011710000}"/>
    <cellStyle name="40% - Accent4 2 6 2 2 2 2 2" xfId="27159" xr:uid="{00000000-0005-0000-0000-000012710000}"/>
    <cellStyle name="40% - Accent4 2 6 2 2 2 2 2 2" xfId="53033" xr:uid="{00000000-0005-0000-0000-000013710000}"/>
    <cellStyle name="40% - Accent4 2 6 2 2 2 2 3" xfId="40117" xr:uid="{00000000-0005-0000-0000-000014710000}"/>
    <cellStyle name="40% - Accent4 2 6 2 2 2 3" xfId="20701" xr:uid="{00000000-0005-0000-0000-000015710000}"/>
    <cellStyle name="40% - Accent4 2 6 2 2 2 3 2" xfId="46575" xr:uid="{00000000-0005-0000-0000-000016710000}"/>
    <cellStyle name="40% - Accent4 2 6 2 2 2 4" xfId="33659" xr:uid="{00000000-0005-0000-0000-000017710000}"/>
    <cellStyle name="40% - Accent4 2 6 2 2 3" xfId="11014" xr:uid="{00000000-0005-0000-0000-000018710000}"/>
    <cellStyle name="40% - Accent4 2 6 2 2 3 2" xfId="23931" xr:uid="{00000000-0005-0000-0000-000019710000}"/>
    <cellStyle name="40% - Accent4 2 6 2 2 3 2 2" xfId="49805" xr:uid="{00000000-0005-0000-0000-00001A710000}"/>
    <cellStyle name="40% - Accent4 2 6 2 2 3 3" xfId="36889" xr:uid="{00000000-0005-0000-0000-00001B710000}"/>
    <cellStyle name="40% - Accent4 2 6 2 2 4" xfId="17473" xr:uid="{00000000-0005-0000-0000-00001C710000}"/>
    <cellStyle name="40% - Accent4 2 6 2 2 4 2" xfId="43347" xr:uid="{00000000-0005-0000-0000-00001D710000}"/>
    <cellStyle name="40% - Accent4 2 6 2 2 5" xfId="30399" xr:uid="{00000000-0005-0000-0000-00001E710000}"/>
    <cellStyle name="40% - Accent4 2 6 2 3" xfId="6169" xr:uid="{00000000-0005-0000-0000-00001F710000}"/>
    <cellStyle name="40% - Accent4 2 6 2 3 2" xfId="12628" xr:uid="{00000000-0005-0000-0000-000020710000}"/>
    <cellStyle name="40% - Accent4 2 6 2 3 2 2" xfId="25545" xr:uid="{00000000-0005-0000-0000-000021710000}"/>
    <cellStyle name="40% - Accent4 2 6 2 3 2 2 2" xfId="51419" xr:uid="{00000000-0005-0000-0000-000022710000}"/>
    <cellStyle name="40% - Accent4 2 6 2 3 2 3" xfId="38503" xr:uid="{00000000-0005-0000-0000-000023710000}"/>
    <cellStyle name="40% - Accent4 2 6 2 3 3" xfId="19087" xr:uid="{00000000-0005-0000-0000-000024710000}"/>
    <cellStyle name="40% - Accent4 2 6 2 3 3 2" xfId="44961" xr:uid="{00000000-0005-0000-0000-000025710000}"/>
    <cellStyle name="40% - Accent4 2 6 2 3 4" xfId="32045" xr:uid="{00000000-0005-0000-0000-000026710000}"/>
    <cellStyle name="40% - Accent4 2 6 2 4" xfId="9400" xr:uid="{00000000-0005-0000-0000-000027710000}"/>
    <cellStyle name="40% - Accent4 2 6 2 4 2" xfId="22317" xr:uid="{00000000-0005-0000-0000-000028710000}"/>
    <cellStyle name="40% - Accent4 2 6 2 4 2 2" xfId="48191" xr:uid="{00000000-0005-0000-0000-000029710000}"/>
    <cellStyle name="40% - Accent4 2 6 2 4 3" xfId="35275" xr:uid="{00000000-0005-0000-0000-00002A710000}"/>
    <cellStyle name="40% - Accent4 2 6 2 5" xfId="15859" xr:uid="{00000000-0005-0000-0000-00002B710000}"/>
    <cellStyle name="40% - Accent4 2 6 2 5 2" xfId="41733" xr:uid="{00000000-0005-0000-0000-00002C710000}"/>
    <cellStyle name="40% - Accent4 2 6 2 6" xfId="28785" xr:uid="{00000000-0005-0000-0000-00002D710000}"/>
    <cellStyle name="40% - Accent4 2 6 3" xfId="3722" xr:uid="{00000000-0005-0000-0000-00002E710000}"/>
    <cellStyle name="40% - Accent4 2 6 3 2" xfId="6976" xr:uid="{00000000-0005-0000-0000-00002F710000}"/>
    <cellStyle name="40% - Accent4 2 6 3 2 2" xfId="13435" xr:uid="{00000000-0005-0000-0000-000030710000}"/>
    <cellStyle name="40% - Accent4 2 6 3 2 2 2" xfId="26352" xr:uid="{00000000-0005-0000-0000-000031710000}"/>
    <cellStyle name="40% - Accent4 2 6 3 2 2 2 2" xfId="52226" xr:uid="{00000000-0005-0000-0000-000032710000}"/>
    <cellStyle name="40% - Accent4 2 6 3 2 2 3" xfId="39310" xr:uid="{00000000-0005-0000-0000-000033710000}"/>
    <cellStyle name="40% - Accent4 2 6 3 2 3" xfId="19894" xr:uid="{00000000-0005-0000-0000-000034710000}"/>
    <cellStyle name="40% - Accent4 2 6 3 2 3 2" xfId="45768" xr:uid="{00000000-0005-0000-0000-000035710000}"/>
    <cellStyle name="40% - Accent4 2 6 3 2 4" xfId="32852" xr:uid="{00000000-0005-0000-0000-000036710000}"/>
    <cellStyle name="40% - Accent4 2 6 3 3" xfId="10207" xr:uid="{00000000-0005-0000-0000-000037710000}"/>
    <cellStyle name="40% - Accent4 2 6 3 3 2" xfId="23124" xr:uid="{00000000-0005-0000-0000-000038710000}"/>
    <cellStyle name="40% - Accent4 2 6 3 3 2 2" xfId="48998" xr:uid="{00000000-0005-0000-0000-000039710000}"/>
    <cellStyle name="40% - Accent4 2 6 3 3 3" xfId="36082" xr:uid="{00000000-0005-0000-0000-00003A710000}"/>
    <cellStyle name="40% - Accent4 2 6 3 4" xfId="16666" xr:uid="{00000000-0005-0000-0000-00003B710000}"/>
    <cellStyle name="40% - Accent4 2 6 3 4 2" xfId="42540" xr:uid="{00000000-0005-0000-0000-00003C710000}"/>
    <cellStyle name="40% - Accent4 2 6 3 5" xfId="29592" xr:uid="{00000000-0005-0000-0000-00003D710000}"/>
    <cellStyle name="40% - Accent4 2 6 4" xfId="5362" xr:uid="{00000000-0005-0000-0000-00003E710000}"/>
    <cellStyle name="40% - Accent4 2 6 4 2" xfId="11821" xr:uid="{00000000-0005-0000-0000-00003F710000}"/>
    <cellStyle name="40% - Accent4 2 6 4 2 2" xfId="24738" xr:uid="{00000000-0005-0000-0000-000040710000}"/>
    <cellStyle name="40% - Accent4 2 6 4 2 2 2" xfId="50612" xr:uid="{00000000-0005-0000-0000-000041710000}"/>
    <cellStyle name="40% - Accent4 2 6 4 2 3" xfId="37696" xr:uid="{00000000-0005-0000-0000-000042710000}"/>
    <cellStyle name="40% - Accent4 2 6 4 3" xfId="18280" xr:uid="{00000000-0005-0000-0000-000043710000}"/>
    <cellStyle name="40% - Accent4 2 6 4 3 2" xfId="44154" xr:uid="{00000000-0005-0000-0000-000044710000}"/>
    <cellStyle name="40% - Accent4 2 6 4 4" xfId="31238" xr:uid="{00000000-0005-0000-0000-000045710000}"/>
    <cellStyle name="40% - Accent4 2 6 5" xfId="8593" xr:uid="{00000000-0005-0000-0000-000046710000}"/>
    <cellStyle name="40% - Accent4 2 6 5 2" xfId="21510" xr:uid="{00000000-0005-0000-0000-000047710000}"/>
    <cellStyle name="40% - Accent4 2 6 5 2 2" xfId="47384" xr:uid="{00000000-0005-0000-0000-000048710000}"/>
    <cellStyle name="40% - Accent4 2 6 5 3" xfId="34468" xr:uid="{00000000-0005-0000-0000-000049710000}"/>
    <cellStyle name="40% - Accent4 2 6 6" xfId="15052" xr:uid="{00000000-0005-0000-0000-00004A710000}"/>
    <cellStyle name="40% - Accent4 2 6 6 2" xfId="40926" xr:uid="{00000000-0005-0000-0000-00004B710000}"/>
    <cellStyle name="40% - Accent4 2 6 7" xfId="27978" xr:uid="{00000000-0005-0000-0000-00004C710000}"/>
    <cellStyle name="40% - Accent4 2 6 8" xfId="53840" xr:uid="{00000000-0005-0000-0000-00004D710000}"/>
    <cellStyle name="40% - Accent4 2 7" xfId="2488" xr:uid="{00000000-0005-0000-0000-00004E710000}"/>
    <cellStyle name="40% - Accent4 2 7 2" xfId="4145" xr:uid="{00000000-0005-0000-0000-00004F710000}"/>
    <cellStyle name="40% - Accent4 2 7 2 2" xfId="7376" xr:uid="{00000000-0005-0000-0000-000050710000}"/>
    <cellStyle name="40% - Accent4 2 7 2 2 2" xfId="13835" xr:uid="{00000000-0005-0000-0000-000051710000}"/>
    <cellStyle name="40% - Accent4 2 7 2 2 2 2" xfId="26752" xr:uid="{00000000-0005-0000-0000-000052710000}"/>
    <cellStyle name="40% - Accent4 2 7 2 2 2 2 2" xfId="52626" xr:uid="{00000000-0005-0000-0000-000053710000}"/>
    <cellStyle name="40% - Accent4 2 7 2 2 2 3" xfId="39710" xr:uid="{00000000-0005-0000-0000-000054710000}"/>
    <cellStyle name="40% - Accent4 2 7 2 2 3" xfId="20294" xr:uid="{00000000-0005-0000-0000-000055710000}"/>
    <cellStyle name="40% - Accent4 2 7 2 2 3 2" xfId="46168" xr:uid="{00000000-0005-0000-0000-000056710000}"/>
    <cellStyle name="40% - Accent4 2 7 2 2 4" xfId="33252" xr:uid="{00000000-0005-0000-0000-000057710000}"/>
    <cellStyle name="40% - Accent4 2 7 2 3" xfId="10607" xr:uid="{00000000-0005-0000-0000-000058710000}"/>
    <cellStyle name="40% - Accent4 2 7 2 3 2" xfId="23524" xr:uid="{00000000-0005-0000-0000-000059710000}"/>
    <cellStyle name="40% - Accent4 2 7 2 3 2 2" xfId="49398" xr:uid="{00000000-0005-0000-0000-00005A710000}"/>
    <cellStyle name="40% - Accent4 2 7 2 3 3" xfId="36482" xr:uid="{00000000-0005-0000-0000-00005B710000}"/>
    <cellStyle name="40% - Accent4 2 7 2 4" xfId="17066" xr:uid="{00000000-0005-0000-0000-00005C710000}"/>
    <cellStyle name="40% - Accent4 2 7 2 4 2" xfId="42940" xr:uid="{00000000-0005-0000-0000-00005D710000}"/>
    <cellStyle name="40% - Accent4 2 7 2 5" xfId="29992" xr:uid="{00000000-0005-0000-0000-00005E710000}"/>
    <cellStyle name="40% - Accent4 2 7 3" xfId="5762" xr:uid="{00000000-0005-0000-0000-00005F710000}"/>
    <cellStyle name="40% - Accent4 2 7 3 2" xfId="12221" xr:uid="{00000000-0005-0000-0000-000060710000}"/>
    <cellStyle name="40% - Accent4 2 7 3 2 2" xfId="25138" xr:uid="{00000000-0005-0000-0000-000061710000}"/>
    <cellStyle name="40% - Accent4 2 7 3 2 2 2" xfId="51012" xr:uid="{00000000-0005-0000-0000-000062710000}"/>
    <cellStyle name="40% - Accent4 2 7 3 2 3" xfId="38096" xr:uid="{00000000-0005-0000-0000-000063710000}"/>
    <cellStyle name="40% - Accent4 2 7 3 3" xfId="18680" xr:uid="{00000000-0005-0000-0000-000064710000}"/>
    <cellStyle name="40% - Accent4 2 7 3 3 2" xfId="44554" xr:uid="{00000000-0005-0000-0000-000065710000}"/>
    <cellStyle name="40% - Accent4 2 7 3 4" xfId="31638" xr:uid="{00000000-0005-0000-0000-000066710000}"/>
    <cellStyle name="40% - Accent4 2 7 4" xfId="8993" xr:uid="{00000000-0005-0000-0000-000067710000}"/>
    <cellStyle name="40% - Accent4 2 7 4 2" xfId="21910" xr:uid="{00000000-0005-0000-0000-000068710000}"/>
    <cellStyle name="40% - Accent4 2 7 4 2 2" xfId="47784" xr:uid="{00000000-0005-0000-0000-000069710000}"/>
    <cellStyle name="40% - Accent4 2 7 4 3" xfId="34868" xr:uid="{00000000-0005-0000-0000-00006A710000}"/>
    <cellStyle name="40% - Accent4 2 7 5" xfId="15452" xr:uid="{00000000-0005-0000-0000-00006B710000}"/>
    <cellStyle name="40% - Accent4 2 7 5 2" xfId="41326" xr:uid="{00000000-0005-0000-0000-00006C710000}"/>
    <cellStyle name="40% - Accent4 2 7 6" xfId="28378" xr:uid="{00000000-0005-0000-0000-00006D710000}"/>
    <cellStyle name="40% - Accent4 2 8" xfId="3297" xr:uid="{00000000-0005-0000-0000-00006E710000}"/>
    <cellStyle name="40% - Accent4 2 8 2" xfId="6569" xr:uid="{00000000-0005-0000-0000-00006F710000}"/>
    <cellStyle name="40% - Accent4 2 8 2 2" xfId="13028" xr:uid="{00000000-0005-0000-0000-000070710000}"/>
    <cellStyle name="40% - Accent4 2 8 2 2 2" xfId="25945" xr:uid="{00000000-0005-0000-0000-000071710000}"/>
    <cellStyle name="40% - Accent4 2 8 2 2 2 2" xfId="51819" xr:uid="{00000000-0005-0000-0000-000072710000}"/>
    <cellStyle name="40% - Accent4 2 8 2 2 3" xfId="38903" xr:uid="{00000000-0005-0000-0000-000073710000}"/>
    <cellStyle name="40% - Accent4 2 8 2 3" xfId="19487" xr:uid="{00000000-0005-0000-0000-000074710000}"/>
    <cellStyle name="40% - Accent4 2 8 2 3 2" xfId="45361" xr:uid="{00000000-0005-0000-0000-000075710000}"/>
    <cellStyle name="40% - Accent4 2 8 2 4" xfId="32445" xr:uid="{00000000-0005-0000-0000-000076710000}"/>
    <cellStyle name="40% - Accent4 2 8 3" xfId="9800" xr:uid="{00000000-0005-0000-0000-000077710000}"/>
    <cellStyle name="40% - Accent4 2 8 3 2" xfId="22717" xr:uid="{00000000-0005-0000-0000-000078710000}"/>
    <cellStyle name="40% - Accent4 2 8 3 2 2" xfId="48591" xr:uid="{00000000-0005-0000-0000-000079710000}"/>
    <cellStyle name="40% - Accent4 2 8 3 3" xfId="35675" xr:uid="{00000000-0005-0000-0000-00007A710000}"/>
    <cellStyle name="40% - Accent4 2 8 4" xfId="16259" xr:uid="{00000000-0005-0000-0000-00007B710000}"/>
    <cellStyle name="40% - Accent4 2 8 4 2" xfId="42133" xr:uid="{00000000-0005-0000-0000-00007C710000}"/>
    <cellStyle name="40% - Accent4 2 8 5" xfId="29185" xr:uid="{00000000-0005-0000-0000-00007D710000}"/>
    <cellStyle name="40% - Accent4 2 9" xfId="4955" xr:uid="{00000000-0005-0000-0000-00007E710000}"/>
    <cellStyle name="40% - Accent4 2 9 2" xfId="11414" xr:uid="{00000000-0005-0000-0000-00007F710000}"/>
    <cellStyle name="40% - Accent4 2 9 2 2" xfId="24331" xr:uid="{00000000-0005-0000-0000-000080710000}"/>
    <cellStyle name="40% - Accent4 2 9 2 2 2" xfId="50205" xr:uid="{00000000-0005-0000-0000-000081710000}"/>
    <cellStyle name="40% - Accent4 2 9 2 3" xfId="37289" xr:uid="{00000000-0005-0000-0000-000082710000}"/>
    <cellStyle name="40% - Accent4 2 9 3" xfId="17873" xr:uid="{00000000-0005-0000-0000-000083710000}"/>
    <cellStyle name="40% - Accent4 2 9 3 2" xfId="43747" xr:uid="{00000000-0005-0000-0000-000084710000}"/>
    <cellStyle name="40% - Accent4 2 9 4" xfId="30831" xr:uid="{00000000-0005-0000-0000-000085710000}"/>
    <cellStyle name="40% - Accent4 20" xfId="30800" xr:uid="{00000000-0005-0000-0000-000086710000}"/>
    <cellStyle name="40% - Accent4 21" xfId="53419" xr:uid="{00000000-0005-0000-0000-000087710000}"/>
    <cellStyle name="40% - Accent4 22" xfId="198" xr:uid="{00000000-0005-0000-0000-000088710000}"/>
    <cellStyle name="40% - Accent4 3" xfId="83" xr:uid="{00000000-0005-0000-0000-000089710000}"/>
    <cellStyle name="40% - Accent4 3 2" xfId="272" xr:uid="{00000000-0005-0000-0000-00008A710000}"/>
    <cellStyle name="40% - Accent4 3 2 10" xfId="53557" xr:uid="{00000000-0005-0000-0000-00008B710000}"/>
    <cellStyle name="40% - Accent4 3 2 11" xfId="1641" xr:uid="{00000000-0005-0000-0000-00008C710000}"/>
    <cellStyle name="40% - Accent4 3 2 2" xfId="446" xr:uid="{00000000-0005-0000-0000-00008D710000}"/>
    <cellStyle name="40% - Accent4 3 2 2 10" xfId="1966" xr:uid="{00000000-0005-0000-0000-00008E710000}"/>
    <cellStyle name="40% - Accent4 3 2 2 2" xfId="736" xr:uid="{00000000-0005-0000-0000-00008F710000}"/>
    <cellStyle name="40% - Accent4 3 2 2 2 2" xfId="3210" xr:uid="{00000000-0005-0000-0000-000090710000}"/>
    <cellStyle name="40% - Accent4 3 2 2 2 2 2" xfId="4867" xr:uid="{00000000-0005-0000-0000-000091710000}"/>
    <cellStyle name="40% - Accent4 3 2 2 2 2 2 2" xfId="8098" xr:uid="{00000000-0005-0000-0000-000092710000}"/>
    <cellStyle name="40% - Accent4 3 2 2 2 2 2 2 2" xfId="14557" xr:uid="{00000000-0005-0000-0000-000093710000}"/>
    <cellStyle name="40% - Accent4 3 2 2 2 2 2 2 2 2" xfId="27474" xr:uid="{00000000-0005-0000-0000-000094710000}"/>
    <cellStyle name="40% - Accent4 3 2 2 2 2 2 2 2 2 2" xfId="53348" xr:uid="{00000000-0005-0000-0000-000095710000}"/>
    <cellStyle name="40% - Accent4 3 2 2 2 2 2 2 2 3" xfId="40432" xr:uid="{00000000-0005-0000-0000-000096710000}"/>
    <cellStyle name="40% - Accent4 3 2 2 2 2 2 2 3" xfId="21016" xr:uid="{00000000-0005-0000-0000-000097710000}"/>
    <cellStyle name="40% - Accent4 3 2 2 2 2 2 2 3 2" xfId="46890" xr:uid="{00000000-0005-0000-0000-000098710000}"/>
    <cellStyle name="40% - Accent4 3 2 2 2 2 2 2 4" xfId="33974" xr:uid="{00000000-0005-0000-0000-000099710000}"/>
    <cellStyle name="40% - Accent4 3 2 2 2 2 2 3" xfId="11329" xr:uid="{00000000-0005-0000-0000-00009A710000}"/>
    <cellStyle name="40% - Accent4 3 2 2 2 2 2 3 2" xfId="24246" xr:uid="{00000000-0005-0000-0000-00009B710000}"/>
    <cellStyle name="40% - Accent4 3 2 2 2 2 2 3 2 2" xfId="50120" xr:uid="{00000000-0005-0000-0000-00009C710000}"/>
    <cellStyle name="40% - Accent4 3 2 2 2 2 2 3 3" xfId="37204" xr:uid="{00000000-0005-0000-0000-00009D710000}"/>
    <cellStyle name="40% - Accent4 3 2 2 2 2 2 4" xfId="17788" xr:uid="{00000000-0005-0000-0000-00009E710000}"/>
    <cellStyle name="40% - Accent4 3 2 2 2 2 2 4 2" xfId="43662" xr:uid="{00000000-0005-0000-0000-00009F710000}"/>
    <cellStyle name="40% - Accent4 3 2 2 2 2 2 5" xfId="30714" xr:uid="{00000000-0005-0000-0000-0000A0710000}"/>
    <cellStyle name="40% - Accent4 3 2 2 2 2 3" xfId="6484" xr:uid="{00000000-0005-0000-0000-0000A1710000}"/>
    <cellStyle name="40% - Accent4 3 2 2 2 2 3 2" xfId="12943" xr:uid="{00000000-0005-0000-0000-0000A2710000}"/>
    <cellStyle name="40% - Accent4 3 2 2 2 2 3 2 2" xfId="25860" xr:uid="{00000000-0005-0000-0000-0000A3710000}"/>
    <cellStyle name="40% - Accent4 3 2 2 2 2 3 2 2 2" xfId="51734" xr:uid="{00000000-0005-0000-0000-0000A4710000}"/>
    <cellStyle name="40% - Accent4 3 2 2 2 2 3 2 3" xfId="38818" xr:uid="{00000000-0005-0000-0000-0000A5710000}"/>
    <cellStyle name="40% - Accent4 3 2 2 2 2 3 3" xfId="19402" xr:uid="{00000000-0005-0000-0000-0000A6710000}"/>
    <cellStyle name="40% - Accent4 3 2 2 2 2 3 3 2" xfId="45276" xr:uid="{00000000-0005-0000-0000-0000A7710000}"/>
    <cellStyle name="40% - Accent4 3 2 2 2 2 3 4" xfId="32360" xr:uid="{00000000-0005-0000-0000-0000A8710000}"/>
    <cellStyle name="40% - Accent4 3 2 2 2 2 4" xfId="9715" xr:uid="{00000000-0005-0000-0000-0000A9710000}"/>
    <cellStyle name="40% - Accent4 3 2 2 2 2 4 2" xfId="22632" xr:uid="{00000000-0005-0000-0000-0000AA710000}"/>
    <cellStyle name="40% - Accent4 3 2 2 2 2 4 2 2" xfId="48506" xr:uid="{00000000-0005-0000-0000-0000AB710000}"/>
    <cellStyle name="40% - Accent4 3 2 2 2 2 4 3" xfId="35590" xr:uid="{00000000-0005-0000-0000-0000AC710000}"/>
    <cellStyle name="40% - Accent4 3 2 2 2 2 5" xfId="16174" xr:uid="{00000000-0005-0000-0000-0000AD710000}"/>
    <cellStyle name="40% - Accent4 3 2 2 2 2 5 2" xfId="42048" xr:uid="{00000000-0005-0000-0000-0000AE710000}"/>
    <cellStyle name="40% - Accent4 3 2 2 2 2 6" xfId="29100" xr:uid="{00000000-0005-0000-0000-0000AF710000}"/>
    <cellStyle name="40% - Accent4 3 2 2 2 3" xfId="4037" xr:uid="{00000000-0005-0000-0000-0000B0710000}"/>
    <cellStyle name="40% - Accent4 3 2 2 2 3 2" xfId="7291" xr:uid="{00000000-0005-0000-0000-0000B1710000}"/>
    <cellStyle name="40% - Accent4 3 2 2 2 3 2 2" xfId="13750" xr:uid="{00000000-0005-0000-0000-0000B2710000}"/>
    <cellStyle name="40% - Accent4 3 2 2 2 3 2 2 2" xfId="26667" xr:uid="{00000000-0005-0000-0000-0000B3710000}"/>
    <cellStyle name="40% - Accent4 3 2 2 2 3 2 2 2 2" xfId="52541" xr:uid="{00000000-0005-0000-0000-0000B4710000}"/>
    <cellStyle name="40% - Accent4 3 2 2 2 3 2 2 3" xfId="39625" xr:uid="{00000000-0005-0000-0000-0000B5710000}"/>
    <cellStyle name="40% - Accent4 3 2 2 2 3 2 3" xfId="20209" xr:uid="{00000000-0005-0000-0000-0000B6710000}"/>
    <cellStyle name="40% - Accent4 3 2 2 2 3 2 3 2" xfId="46083" xr:uid="{00000000-0005-0000-0000-0000B7710000}"/>
    <cellStyle name="40% - Accent4 3 2 2 2 3 2 4" xfId="33167" xr:uid="{00000000-0005-0000-0000-0000B8710000}"/>
    <cellStyle name="40% - Accent4 3 2 2 2 3 3" xfId="10522" xr:uid="{00000000-0005-0000-0000-0000B9710000}"/>
    <cellStyle name="40% - Accent4 3 2 2 2 3 3 2" xfId="23439" xr:uid="{00000000-0005-0000-0000-0000BA710000}"/>
    <cellStyle name="40% - Accent4 3 2 2 2 3 3 2 2" xfId="49313" xr:uid="{00000000-0005-0000-0000-0000BB710000}"/>
    <cellStyle name="40% - Accent4 3 2 2 2 3 3 3" xfId="36397" xr:uid="{00000000-0005-0000-0000-0000BC710000}"/>
    <cellStyle name="40% - Accent4 3 2 2 2 3 4" xfId="16981" xr:uid="{00000000-0005-0000-0000-0000BD710000}"/>
    <cellStyle name="40% - Accent4 3 2 2 2 3 4 2" xfId="42855" xr:uid="{00000000-0005-0000-0000-0000BE710000}"/>
    <cellStyle name="40% - Accent4 3 2 2 2 3 5" xfId="29907" xr:uid="{00000000-0005-0000-0000-0000BF710000}"/>
    <cellStyle name="40% - Accent4 3 2 2 2 4" xfId="5677" xr:uid="{00000000-0005-0000-0000-0000C0710000}"/>
    <cellStyle name="40% - Accent4 3 2 2 2 4 2" xfId="12136" xr:uid="{00000000-0005-0000-0000-0000C1710000}"/>
    <cellStyle name="40% - Accent4 3 2 2 2 4 2 2" xfId="25053" xr:uid="{00000000-0005-0000-0000-0000C2710000}"/>
    <cellStyle name="40% - Accent4 3 2 2 2 4 2 2 2" xfId="50927" xr:uid="{00000000-0005-0000-0000-0000C3710000}"/>
    <cellStyle name="40% - Accent4 3 2 2 2 4 2 3" xfId="38011" xr:uid="{00000000-0005-0000-0000-0000C4710000}"/>
    <cellStyle name="40% - Accent4 3 2 2 2 4 3" xfId="18595" xr:uid="{00000000-0005-0000-0000-0000C5710000}"/>
    <cellStyle name="40% - Accent4 3 2 2 2 4 3 2" xfId="44469" xr:uid="{00000000-0005-0000-0000-0000C6710000}"/>
    <cellStyle name="40% - Accent4 3 2 2 2 4 4" xfId="31553" xr:uid="{00000000-0005-0000-0000-0000C7710000}"/>
    <cellStyle name="40% - Accent4 3 2 2 2 5" xfId="8908" xr:uid="{00000000-0005-0000-0000-0000C8710000}"/>
    <cellStyle name="40% - Accent4 3 2 2 2 5 2" xfId="21825" xr:uid="{00000000-0005-0000-0000-0000C9710000}"/>
    <cellStyle name="40% - Accent4 3 2 2 2 5 2 2" xfId="47699" xr:uid="{00000000-0005-0000-0000-0000CA710000}"/>
    <cellStyle name="40% - Accent4 3 2 2 2 5 3" xfId="34783" xr:uid="{00000000-0005-0000-0000-0000CB710000}"/>
    <cellStyle name="40% - Accent4 3 2 2 2 6" xfId="15367" xr:uid="{00000000-0005-0000-0000-0000CC710000}"/>
    <cellStyle name="40% - Accent4 3 2 2 2 6 2" xfId="41241" xr:uid="{00000000-0005-0000-0000-0000CD710000}"/>
    <cellStyle name="40% - Accent4 3 2 2 2 7" xfId="28293" xr:uid="{00000000-0005-0000-0000-0000CE710000}"/>
    <cellStyle name="40% - Accent4 3 2 2 2 8" xfId="54155" xr:uid="{00000000-0005-0000-0000-0000CF710000}"/>
    <cellStyle name="40% - Accent4 3 2 2 2 9" xfId="2397" xr:uid="{00000000-0005-0000-0000-0000D0710000}"/>
    <cellStyle name="40% - Accent4 3 2 2 3" xfId="735" xr:uid="{00000000-0005-0000-0000-0000D1710000}"/>
    <cellStyle name="40% - Accent4 3 2 2 3 2" xfId="4463" xr:uid="{00000000-0005-0000-0000-0000D2710000}"/>
    <cellStyle name="40% - Accent4 3 2 2 3 2 2" xfId="7694" xr:uid="{00000000-0005-0000-0000-0000D3710000}"/>
    <cellStyle name="40% - Accent4 3 2 2 3 2 2 2" xfId="14153" xr:uid="{00000000-0005-0000-0000-0000D4710000}"/>
    <cellStyle name="40% - Accent4 3 2 2 3 2 2 2 2" xfId="27070" xr:uid="{00000000-0005-0000-0000-0000D5710000}"/>
    <cellStyle name="40% - Accent4 3 2 2 3 2 2 2 2 2" xfId="52944" xr:uid="{00000000-0005-0000-0000-0000D6710000}"/>
    <cellStyle name="40% - Accent4 3 2 2 3 2 2 2 3" xfId="40028" xr:uid="{00000000-0005-0000-0000-0000D7710000}"/>
    <cellStyle name="40% - Accent4 3 2 2 3 2 2 3" xfId="20612" xr:uid="{00000000-0005-0000-0000-0000D8710000}"/>
    <cellStyle name="40% - Accent4 3 2 2 3 2 2 3 2" xfId="46486" xr:uid="{00000000-0005-0000-0000-0000D9710000}"/>
    <cellStyle name="40% - Accent4 3 2 2 3 2 2 4" xfId="33570" xr:uid="{00000000-0005-0000-0000-0000DA710000}"/>
    <cellStyle name="40% - Accent4 3 2 2 3 2 3" xfId="10925" xr:uid="{00000000-0005-0000-0000-0000DB710000}"/>
    <cellStyle name="40% - Accent4 3 2 2 3 2 3 2" xfId="23842" xr:uid="{00000000-0005-0000-0000-0000DC710000}"/>
    <cellStyle name="40% - Accent4 3 2 2 3 2 3 2 2" xfId="49716" xr:uid="{00000000-0005-0000-0000-0000DD710000}"/>
    <cellStyle name="40% - Accent4 3 2 2 3 2 3 3" xfId="36800" xr:uid="{00000000-0005-0000-0000-0000DE710000}"/>
    <cellStyle name="40% - Accent4 3 2 2 3 2 4" xfId="17384" xr:uid="{00000000-0005-0000-0000-0000DF710000}"/>
    <cellStyle name="40% - Accent4 3 2 2 3 2 4 2" xfId="43258" xr:uid="{00000000-0005-0000-0000-0000E0710000}"/>
    <cellStyle name="40% - Accent4 3 2 2 3 2 5" xfId="30310" xr:uid="{00000000-0005-0000-0000-0000E1710000}"/>
    <cellStyle name="40% - Accent4 3 2 2 3 3" xfId="6080" xr:uid="{00000000-0005-0000-0000-0000E2710000}"/>
    <cellStyle name="40% - Accent4 3 2 2 3 3 2" xfId="12539" xr:uid="{00000000-0005-0000-0000-0000E3710000}"/>
    <cellStyle name="40% - Accent4 3 2 2 3 3 2 2" xfId="25456" xr:uid="{00000000-0005-0000-0000-0000E4710000}"/>
    <cellStyle name="40% - Accent4 3 2 2 3 3 2 2 2" xfId="51330" xr:uid="{00000000-0005-0000-0000-0000E5710000}"/>
    <cellStyle name="40% - Accent4 3 2 2 3 3 2 3" xfId="38414" xr:uid="{00000000-0005-0000-0000-0000E6710000}"/>
    <cellStyle name="40% - Accent4 3 2 2 3 3 3" xfId="18998" xr:uid="{00000000-0005-0000-0000-0000E7710000}"/>
    <cellStyle name="40% - Accent4 3 2 2 3 3 3 2" xfId="44872" xr:uid="{00000000-0005-0000-0000-0000E8710000}"/>
    <cellStyle name="40% - Accent4 3 2 2 3 3 4" xfId="31956" xr:uid="{00000000-0005-0000-0000-0000E9710000}"/>
    <cellStyle name="40% - Accent4 3 2 2 3 4" xfId="9311" xr:uid="{00000000-0005-0000-0000-0000EA710000}"/>
    <cellStyle name="40% - Accent4 3 2 2 3 4 2" xfId="22228" xr:uid="{00000000-0005-0000-0000-0000EB710000}"/>
    <cellStyle name="40% - Accent4 3 2 2 3 4 2 2" xfId="48102" xr:uid="{00000000-0005-0000-0000-0000EC710000}"/>
    <cellStyle name="40% - Accent4 3 2 2 3 4 3" xfId="35186" xr:uid="{00000000-0005-0000-0000-0000ED710000}"/>
    <cellStyle name="40% - Accent4 3 2 2 3 5" xfId="15770" xr:uid="{00000000-0005-0000-0000-0000EE710000}"/>
    <cellStyle name="40% - Accent4 3 2 2 3 5 2" xfId="41644" xr:uid="{00000000-0005-0000-0000-0000EF710000}"/>
    <cellStyle name="40% - Accent4 3 2 2 3 6" xfId="28696" xr:uid="{00000000-0005-0000-0000-0000F0710000}"/>
    <cellStyle name="40% - Accent4 3 2 2 3 7" xfId="2806" xr:uid="{00000000-0005-0000-0000-0000F1710000}"/>
    <cellStyle name="40% - Accent4 3 2 2 4" xfId="3633" xr:uid="{00000000-0005-0000-0000-0000F2710000}"/>
    <cellStyle name="40% - Accent4 3 2 2 4 2" xfId="6887" xr:uid="{00000000-0005-0000-0000-0000F3710000}"/>
    <cellStyle name="40% - Accent4 3 2 2 4 2 2" xfId="13346" xr:uid="{00000000-0005-0000-0000-0000F4710000}"/>
    <cellStyle name="40% - Accent4 3 2 2 4 2 2 2" xfId="26263" xr:uid="{00000000-0005-0000-0000-0000F5710000}"/>
    <cellStyle name="40% - Accent4 3 2 2 4 2 2 2 2" xfId="52137" xr:uid="{00000000-0005-0000-0000-0000F6710000}"/>
    <cellStyle name="40% - Accent4 3 2 2 4 2 2 3" xfId="39221" xr:uid="{00000000-0005-0000-0000-0000F7710000}"/>
    <cellStyle name="40% - Accent4 3 2 2 4 2 3" xfId="19805" xr:uid="{00000000-0005-0000-0000-0000F8710000}"/>
    <cellStyle name="40% - Accent4 3 2 2 4 2 3 2" xfId="45679" xr:uid="{00000000-0005-0000-0000-0000F9710000}"/>
    <cellStyle name="40% - Accent4 3 2 2 4 2 4" xfId="32763" xr:uid="{00000000-0005-0000-0000-0000FA710000}"/>
    <cellStyle name="40% - Accent4 3 2 2 4 3" xfId="10118" xr:uid="{00000000-0005-0000-0000-0000FB710000}"/>
    <cellStyle name="40% - Accent4 3 2 2 4 3 2" xfId="23035" xr:uid="{00000000-0005-0000-0000-0000FC710000}"/>
    <cellStyle name="40% - Accent4 3 2 2 4 3 2 2" xfId="48909" xr:uid="{00000000-0005-0000-0000-0000FD710000}"/>
    <cellStyle name="40% - Accent4 3 2 2 4 3 3" xfId="35993" xr:uid="{00000000-0005-0000-0000-0000FE710000}"/>
    <cellStyle name="40% - Accent4 3 2 2 4 4" xfId="16577" xr:uid="{00000000-0005-0000-0000-0000FF710000}"/>
    <cellStyle name="40% - Accent4 3 2 2 4 4 2" xfId="42451" xr:uid="{00000000-0005-0000-0000-000000720000}"/>
    <cellStyle name="40% - Accent4 3 2 2 4 5" xfId="29503" xr:uid="{00000000-0005-0000-0000-000001720000}"/>
    <cellStyle name="40% - Accent4 3 2 2 5" xfId="5273" xr:uid="{00000000-0005-0000-0000-000002720000}"/>
    <cellStyle name="40% - Accent4 3 2 2 5 2" xfId="11732" xr:uid="{00000000-0005-0000-0000-000003720000}"/>
    <cellStyle name="40% - Accent4 3 2 2 5 2 2" xfId="24649" xr:uid="{00000000-0005-0000-0000-000004720000}"/>
    <cellStyle name="40% - Accent4 3 2 2 5 2 2 2" xfId="50523" xr:uid="{00000000-0005-0000-0000-000005720000}"/>
    <cellStyle name="40% - Accent4 3 2 2 5 2 3" xfId="37607" xr:uid="{00000000-0005-0000-0000-000006720000}"/>
    <cellStyle name="40% - Accent4 3 2 2 5 3" xfId="18191" xr:uid="{00000000-0005-0000-0000-000007720000}"/>
    <cellStyle name="40% - Accent4 3 2 2 5 3 2" xfId="44065" xr:uid="{00000000-0005-0000-0000-000008720000}"/>
    <cellStyle name="40% - Accent4 3 2 2 5 4" xfId="31149" xr:uid="{00000000-0005-0000-0000-000009720000}"/>
    <cellStyle name="40% - Accent4 3 2 2 6" xfId="8504" xr:uid="{00000000-0005-0000-0000-00000A720000}"/>
    <cellStyle name="40% - Accent4 3 2 2 6 2" xfId="21421" xr:uid="{00000000-0005-0000-0000-00000B720000}"/>
    <cellStyle name="40% - Accent4 3 2 2 6 2 2" xfId="47295" xr:uid="{00000000-0005-0000-0000-00000C720000}"/>
    <cellStyle name="40% - Accent4 3 2 2 6 3" xfId="34379" xr:uid="{00000000-0005-0000-0000-00000D720000}"/>
    <cellStyle name="40% - Accent4 3 2 2 7" xfId="14963" xr:uid="{00000000-0005-0000-0000-00000E720000}"/>
    <cellStyle name="40% - Accent4 3 2 2 7 2" xfId="40837" xr:uid="{00000000-0005-0000-0000-00000F720000}"/>
    <cellStyle name="40% - Accent4 3 2 2 8" xfId="27888" xr:uid="{00000000-0005-0000-0000-000010720000}"/>
    <cellStyle name="40% - Accent4 3 2 2 9" xfId="53751" xr:uid="{00000000-0005-0000-0000-000011720000}"/>
    <cellStyle name="40% - Accent4 3 2 3" xfId="737" xr:uid="{00000000-0005-0000-0000-000012720000}"/>
    <cellStyle name="40% - Accent4 3 2 3 2" xfId="3015" xr:uid="{00000000-0005-0000-0000-000013720000}"/>
    <cellStyle name="40% - Accent4 3 2 3 2 2" xfId="4672" xr:uid="{00000000-0005-0000-0000-000014720000}"/>
    <cellStyle name="40% - Accent4 3 2 3 2 2 2" xfId="7903" xr:uid="{00000000-0005-0000-0000-000015720000}"/>
    <cellStyle name="40% - Accent4 3 2 3 2 2 2 2" xfId="14362" xr:uid="{00000000-0005-0000-0000-000016720000}"/>
    <cellStyle name="40% - Accent4 3 2 3 2 2 2 2 2" xfId="27279" xr:uid="{00000000-0005-0000-0000-000017720000}"/>
    <cellStyle name="40% - Accent4 3 2 3 2 2 2 2 2 2" xfId="53153" xr:uid="{00000000-0005-0000-0000-000018720000}"/>
    <cellStyle name="40% - Accent4 3 2 3 2 2 2 2 3" xfId="40237" xr:uid="{00000000-0005-0000-0000-000019720000}"/>
    <cellStyle name="40% - Accent4 3 2 3 2 2 2 3" xfId="20821" xr:uid="{00000000-0005-0000-0000-00001A720000}"/>
    <cellStyle name="40% - Accent4 3 2 3 2 2 2 3 2" xfId="46695" xr:uid="{00000000-0005-0000-0000-00001B720000}"/>
    <cellStyle name="40% - Accent4 3 2 3 2 2 2 4" xfId="33779" xr:uid="{00000000-0005-0000-0000-00001C720000}"/>
    <cellStyle name="40% - Accent4 3 2 3 2 2 3" xfId="11134" xr:uid="{00000000-0005-0000-0000-00001D720000}"/>
    <cellStyle name="40% - Accent4 3 2 3 2 2 3 2" xfId="24051" xr:uid="{00000000-0005-0000-0000-00001E720000}"/>
    <cellStyle name="40% - Accent4 3 2 3 2 2 3 2 2" xfId="49925" xr:uid="{00000000-0005-0000-0000-00001F720000}"/>
    <cellStyle name="40% - Accent4 3 2 3 2 2 3 3" xfId="37009" xr:uid="{00000000-0005-0000-0000-000020720000}"/>
    <cellStyle name="40% - Accent4 3 2 3 2 2 4" xfId="17593" xr:uid="{00000000-0005-0000-0000-000021720000}"/>
    <cellStyle name="40% - Accent4 3 2 3 2 2 4 2" xfId="43467" xr:uid="{00000000-0005-0000-0000-000022720000}"/>
    <cellStyle name="40% - Accent4 3 2 3 2 2 5" xfId="30519" xr:uid="{00000000-0005-0000-0000-000023720000}"/>
    <cellStyle name="40% - Accent4 3 2 3 2 3" xfId="6289" xr:uid="{00000000-0005-0000-0000-000024720000}"/>
    <cellStyle name="40% - Accent4 3 2 3 2 3 2" xfId="12748" xr:uid="{00000000-0005-0000-0000-000025720000}"/>
    <cellStyle name="40% - Accent4 3 2 3 2 3 2 2" xfId="25665" xr:uid="{00000000-0005-0000-0000-000026720000}"/>
    <cellStyle name="40% - Accent4 3 2 3 2 3 2 2 2" xfId="51539" xr:uid="{00000000-0005-0000-0000-000027720000}"/>
    <cellStyle name="40% - Accent4 3 2 3 2 3 2 3" xfId="38623" xr:uid="{00000000-0005-0000-0000-000028720000}"/>
    <cellStyle name="40% - Accent4 3 2 3 2 3 3" xfId="19207" xr:uid="{00000000-0005-0000-0000-000029720000}"/>
    <cellStyle name="40% - Accent4 3 2 3 2 3 3 2" xfId="45081" xr:uid="{00000000-0005-0000-0000-00002A720000}"/>
    <cellStyle name="40% - Accent4 3 2 3 2 3 4" xfId="32165" xr:uid="{00000000-0005-0000-0000-00002B720000}"/>
    <cellStyle name="40% - Accent4 3 2 3 2 4" xfId="9520" xr:uid="{00000000-0005-0000-0000-00002C720000}"/>
    <cellStyle name="40% - Accent4 3 2 3 2 4 2" xfId="22437" xr:uid="{00000000-0005-0000-0000-00002D720000}"/>
    <cellStyle name="40% - Accent4 3 2 3 2 4 2 2" xfId="48311" xr:uid="{00000000-0005-0000-0000-00002E720000}"/>
    <cellStyle name="40% - Accent4 3 2 3 2 4 3" xfId="35395" xr:uid="{00000000-0005-0000-0000-00002F720000}"/>
    <cellStyle name="40% - Accent4 3 2 3 2 5" xfId="15979" xr:uid="{00000000-0005-0000-0000-000030720000}"/>
    <cellStyle name="40% - Accent4 3 2 3 2 5 2" xfId="41853" xr:uid="{00000000-0005-0000-0000-000031720000}"/>
    <cellStyle name="40% - Accent4 3 2 3 2 6" xfId="28905" xr:uid="{00000000-0005-0000-0000-000032720000}"/>
    <cellStyle name="40% - Accent4 3 2 3 3" xfId="3842" xr:uid="{00000000-0005-0000-0000-000033720000}"/>
    <cellStyle name="40% - Accent4 3 2 3 3 2" xfId="7096" xr:uid="{00000000-0005-0000-0000-000034720000}"/>
    <cellStyle name="40% - Accent4 3 2 3 3 2 2" xfId="13555" xr:uid="{00000000-0005-0000-0000-000035720000}"/>
    <cellStyle name="40% - Accent4 3 2 3 3 2 2 2" xfId="26472" xr:uid="{00000000-0005-0000-0000-000036720000}"/>
    <cellStyle name="40% - Accent4 3 2 3 3 2 2 2 2" xfId="52346" xr:uid="{00000000-0005-0000-0000-000037720000}"/>
    <cellStyle name="40% - Accent4 3 2 3 3 2 2 3" xfId="39430" xr:uid="{00000000-0005-0000-0000-000038720000}"/>
    <cellStyle name="40% - Accent4 3 2 3 3 2 3" xfId="20014" xr:uid="{00000000-0005-0000-0000-000039720000}"/>
    <cellStyle name="40% - Accent4 3 2 3 3 2 3 2" xfId="45888" xr:uid="{00000000-0005-0000-0000-00003A720000}"/>
    <cellStyle name="40% - Accent4 3 2 3 3 2 4" xfId="32972" xr:uid="{00000000-0005-0000-0000-00003B720000}"/>
    <cellStyle name="40% - Accent4 3 2 3 3 3" xfId="10327" xr:uid="{00000000-0005-0000-0000-00003C720000}"/>
    <cellStyle name="40% - Accent4 3 2 3 3 3 2" xfId="23244" xr:uid="{00000000-0005-0000-0000-00003D720000}"/>
    <cellStyle name="40% - Accent4 3 2 3 3 3 2 2" xfId="49118" xr:uid="{00000000-0005-0000-0000-00003E720000}"/>
    <cellStyle name="40% - Accent4 3 2 3 3 3 3" xfId="36202" xr:uid="{00000000-0005-0000-0000-00003F720000}"/>
    <cellStyle name="40% - Accent4 3 2 3 3 4" xfId="16786" xr:uid="{00000000-0005-0000-0000-000040720000}"/>
    <cellStyle name="40% - Accent4 3 2 3 3 4 2" xfId="42660" xr:uid="{00000000-0005-0000-0000-000041720000}"/>
    <cellStyle name="40% - Accent4 3 2 3 3 5" xfId="29712" xr:uid="{00000000-0005-0000-0000-000042720000}"/>
    <cellStyle name="40% - Accent4 3 2 3 4" xfId="5482" xr:uid="{00000000-0005-0000-0000-000043720000}"/>
    <cellStyle name="40% - Accent4 3 2 3 4 2" xfId="11941" xr:uid="{00000000-0005-0000-0000-000044720000}"/>
    <cellStyle name="40% - Accent4 3 2 3 4 2 2" xfId="24858" xr:uid="{00000000-0005-0000-0000-000045720000}"/>
    <cellStyle name="40% - Accent4 3 2 3 4 2 2 2" xfId="50732" xr:uid="{00000000-0005-0000-0000-000046720000}"/>
    <cellStyle name="40% - Accent4 3 2 3 4 2 3" xfId="37816" xr:uid="{00000000-0005-0000-0000-000047720000}"/>
    <cellStyle name="40% - Accent4 3 2 3 4 3" xfId="18400" xr:uid="{00000000-0005-0000-0000-000048720000}"/>
    <cellStyle name="40% - Accent4 3 2 3 4 3 2" xfId="44274" xr:uid="{00000000-0005-0000-0000-000049720000}"/>
    <cellStyle name="40% - Accent4 3 2 3 4 4" xfId="31358" xr:uid="{00000000-0005-0000-0000-00004A720000}"/>
    <cellStyle name="40% - Accent4 3 2 3 5" xfId="8713" xr:uid="{00000000-0005-0000-0000-00004B720000}"/>
    <cellStyle name="40% - Accent4 3 2 3 5 2" xfId="21630" xr:uid="{00000000-0005-0000-0000-00004C720000}"/>
    <cellStyle name="40% - Accent4 3 2 3 5 2 2" xfId="47504" xr:uid="{00000000-0005-0000-0000-00004D720000}"/>
    <cellStyle name="40% - Accent4 3 2 3 5 3" xfId="34588" xr:uid="{00000000-0005-0000-0000-00004E720000}"/>
    <cellStyle name="40% - Accent4 3 2 3 6" xfId="15172" xr:uid="{00000000-0005-0000-0000-00004F720000}"/>
    <cellStyle name="40% - Accent4 3 2 3 6 2" xfId="41046" xr:uid="{00000000-0005-0000-0000-000050720000}"/>
    <cellStyle name="40% - Accent4 3 2 3 7" xfId="28098" xr:uid="{00000000-0005-0000-0000-000051720000}"/>
    <cellStyle name="40% - Accent4 3 2 3 8" xfId="53960" xr:uid="{00000000-0005-0000-0000-000052720000}"/>
    <cellStyle name="40% - Accent4 3 2 3 9" xfId="2201" xr:uid="{00000000-0005-0000-0000-000053720000}"/>
    <cellStyle name="40% - Accent4 3 2 4" xfId="734" xr:uid="{00000000-0005-0000-0000-000054720000}"/>
    <cellStyle name="40% - Accent4 3 2 4 2" xfId="4269" xr:uid="{00000000-0005-0000-0000-000055720000}"/>
    <cellStyle name="40% - Accent4 3 2 4 2 2" xfId="7500" xr:uid="{00000000-0005-0000-0000-000056720000}"/>
    <cellStyle name="40% - Accent4 3 2 4 2 2 2" xfId="13959" xr:uid="{00000000-0005-0000-0000-000057720000}"/>
    <cellStyle name="40% - Accent4 3 2 4 2 2 2 2" xfId="26876" xr:uid="{00000000-0005-0000-0000-000058720000}"/>
    <cellStyle name="40% - Accent4 3 2 4 2 2 2 2 2" xfId="52750" xr:uid="{00000000-0005-0000-0000-000059720000}"/>
    <cellStyle name="40% - Accent4 3 2 4 2 2 2 3" xfId="39834" xr:uid="{00000000-0005-0000-0000-00005A720000}"/>
    <cellStyle name="40% - Accent4 3 2 4 2 2 3" xfId="20418" xr:uid="{00000000-0005-0000-0000-00005B720000}"/>
    <cellStyle name="40% - Accent4 3 2 4 2 2 3 2" xfId="46292" xr:uid="{00000000-0005-0000-0000-00005C720000}"/>
    <cellStyle name="40% - Accent4 3 2 4 2 2 4" xfId="33376" xr:uid="{00000000-0005-0000-0000-00005D720000}"/>
    <cellStyle name="40% - Accent4 3 2 4 2 3" xfId="10731" xr:uid="{00000000-0005-0000-0000-00005E720000}"/>
    <cellStyle name="40% - Accent4 3 2 4 2 3 2" xfId="23648" xr:uid="{00000000-0005-0000-0000-00005F720000}"/>
    <cellStyle name="40% - Accent4 3 2 4 2 3 2 2" xfId="49522" xr:uid="{00000000-0005-0000-0000-000060720000}"/>
    <cellStyle name="40% - Accent4 3 2 4 2 3 3" xfId="36606" xr:uid="{00000000-0005-0000-0000-000061720000}"/>
    <cellStyle name="40% - Accent4 3 2 4 2 4" xfId="17190" xr:uid="{00000000-0005-0000-0000-000062720000}"/>
    <cellStyle name="40% - Accent4 3 2 4 2 4 2" xfId="43064" xr:uid="{00000000-0005-0000-0000-000063720000}"/>
    <cellStyle name="40% - Accent4 3 2 4 2 5" xfId="30116" xr:uid="{00000000-0005-0000-0000-000064720000}"/>
    <cellStyle name="40% - Accent4 3 2 4 3" xfId="5886" xr:uid="{00000000-0005-0000-0000-000065720000}"/>
    <cellStyle name="40% - Accent4 3 2 4 3 2" xfId="12345" xr:uid="{00000000-0005-0000-0000-000066720000}"/>
    <cellStyle name="40% - Accent4 3 2 4 3 2 2" xfId="25262" xr:uid="{00000000-0005-0000-0000-000067720000}"/>
    <cellStyle name="40% - Accent4 3 2 4 3 2 2 2" xfId="51136" xr:uid="{00000000-0005-0000-0000-000068720000}"/>
    <cellStyle name="40% - Accent4 3 2 4 3 2 3" xfId="38220" xr:uid="{00000000-0005-0000-0000-000069720000}"/>
    <cellStyle name="40% - Accent4 3 2 4 3 3" xfId="18804" xr:uid="{00000000-0005-0000-0000-00006A720000}"/>
    <cellStyle name="40% - Accent4 3 2 4 3 3 2" xfId="44678" xr:uid="{00000000-0005-0000-0000-00006B720000}"/>
    <cellStyle name="40% - Accent4 3 2 4 3 4" xfId="31762" xr:uid="{00000000-0005-0000-0000-00006C720000}"/>
    <cellStyle name="40% - Accent4 3 2 4 4" xfId="9117" xr:uid="{00000000-0005-0000-0000-00006D720000}"/>
    <cellStyle name="40% - Accent4 3 2 4 4 2" xfId="22034" xr:uid="{00000000-0005-0000-0000-00006E720000}"/>
    <cellStyle name="40% - Accent4 3 2 4 4 2 2" xfId="47908" xr:uid="{00000000-0005-0000-0000-00006F720000}"/>
    <cellStyle name="40% - Accent4 3 2 4 4 3" xfId="34992" xr:uid="{00000000-0005-0000-0000-000070720000}"/>
    <cellStyle name="40% - Accent4 3 2 4 5" xfId="15576" xr:uid="{00000000-0005-0000-0000-000071720000}"/>
    <cellStyle name="40% - Accent4 3 2 4 5 2" xfId="41450" xr:uid="{00000000-0005-0000-0000-000072720000}"/>
    <cellStyle name="40% - Accent4 3 2 4 6" xfId="28502" xr:uid="{00000000-0005-0000-0000-000073720000}"/>
    <cellStyle name="40% - Accent4 3 2 4 7" xfId="2612" xr:uid="{00000000-0005-0000-0000-000074720000}"/>
    <cellStyle name="40% - Accent4 3 2 5" xfId="3439" xr:uid="{00000000-0005-0000-0000-000075720000}"/>
    <cellStyle name="40% - Accent4 3 2 5 2" xfId="6693" xr:uid="{00000000-0005-0000-0000-000076720000}"/>
    <cellStyle name="40% - Accent4 3 2 5 2 2" xfId="13152" xr:uid="{00000000-0005-0000-0000-000077720000}"/>
    <cellStyle name="40% - Accent4 3 2 5 2 2 2" xfId="26069" xr:uid="{00000000-0005-0000-0000-000078720000}"/>
    <cellStyle name="40% - Accent4 3 2 5 2 2 2 2" xfId="51943" xr:uid="{00000000-0005-0000-0000-000079720000}"/>
    <cellStyle name="40% - Accent4 3 2 5 2 2 3" xfId="39027" xr:uid="{00000000-0005-0000-0000-00007A720000}"/>
    <cellStyle name="40% - Accent4 3 2 5 2 3" xfId="19611" xr:uid="{00000000-0005-0000-0000-00007B720000}"/>
    <cellStyle name="40% - Accent4 3 2 5 2 3 2" xfId="45485" xr:uid="{00000000-0005-0000-0000-00007C720000}"/>
    <cellStyle name="40% - Accent4 3 2 5 2 4" xfId="32569" xr:uid="{00000000-0005-0000-0000-00007D720000}"/>
    <cellStyle name="40% - Accent4 3 2 5 3" xfId="9924" xr:uid="{00000000-0005-0000-0000-00007E720000}"/>
    <cellStyle name="40% - Accent4 3 2 5 3 2" xfId="22841" xr:uid="{00000000-0005-0000-0000-00007F720000}"/>
    <cellStyle name="40% - Accent4 3 2 5 3 2 2" xfId="48715" xr:uid="{00000000-0005-0000-0000-000080720000}"/>
    <cellStyle name="40% - Accent4 3 2 5 3 3" xfId="35799" xr:uid="{00000000-0005-0000-0000-000081720000}"/>
    <cellStyle name="40% - Accent4 3 2 5 4" xfId="16383" xr:uid="{00000000-0005-0000-0000-000082720000}"/>
    <cellStyle name="40% - Accent4 3 2 5 4 2" xfId="42257" xr:uid="{00000000-0005-0000-0000-000083720000}"/>
    <cellStyle name="40% - Accent4 3 2 5 5" xfId="29309" xr:uid="{00000000-0005-0000-0000-000084720000}"/>
    <cellStyle name="40% - Accent4 3 2 6" xfId="5079" xr:uid="{00000000-0005-0000-0000-000085720000}"/>
    <cellStyle name="40% - Accent4 3 2 6 2" xfId="11538" xr:uid="{00000000-0005-0000-0000-000086720000}"/>
    <cellStyle name="40% - Accent4 3 2 6 2 2" xfId="24455" xr:uid="{00000000-0005-0000-0000-000087720000}"/>
    <cellStyle name="40% - Accent4 3 2 6 2 2 2" xfId="50329" xr:uid="{00000000-0005-0000-0000-000088720000}"/>
    <cellStyle name="40% - Accent4 3 2 6 2 3" xfId="37413" xr:uid="{00000000-0005-0000-0000-000089720000}"/>
    <cellStyle name="40% - Accent4 3 2 6 3" xfId="17997" xr:uid="{00000000-0005-0000-0000-00008A720000}"/>
    <cellStyle name="40% - Accent4 3 2 6 3 2" xfId="43871" xr:uid="{00000000-0005-0000-0000-00008B720000}"/>
    <cellStyle name="40% - Accent4 3 2 6 4" xfId="30955" xr:uid="{00000000-0005-0000-0000-00008C720000}"/>
    <cellStyle name="40% - Accent4 3 2 7" xfId="8309" xr:uid="{00000000-0005-0000-0000-00008D720000}"/>
    <cellStyle name="40% - Accent4 3 2 7 2" xfId="21226" xr:uid="{00000000-0005-0000-0000-00008E720000}"/>
    <cellStyle name="40% - Accent4 3 2 7 2 2" xfId="47100" xr:uid="{00000000-0005-0000-0000-00008F720000}"/>
    <cellStyle name="40% - Accent4 3 2 7 3" xfId="34184" xr:uid="{00000000-0005-0000-0000-000090720000}"/>
    <cellStyle name="40% - Accent4 3 2 8" xfId="14768" xr:uid="{00000000-0005-0000-0000-000091720000}"/>
    <cellStyle name="40% - Accent4 3 2 8 2" xfId="40642" xr:uid="{00000000-0005-0000-0000-000092720000}"/>
    <cellStyle name="40% - Accent4 3 2 9" xfId="27692" xr:uid="{00000000-0005-0000-0000-000093720000}"/>
    <cellStyle name="40% - Accent4 3 3" xfId="327" xr:uid="{00000000-0005-0000-0000-000094720000}"/>
    <cellStyle name="40% - Accent4 3 3 10" xfId="53523" xr:uid="{00000000-0005-0000-0000-000095720000}"/>
    <cellStyle name="40% - Accent4 3 3 11" xfId="1606" xr:uid="{00000000-0005-0000-0000-000096720000}"/>
    <cellStyle name="40% - Accent4 3 3 2" xfId="464" xr:uid="{00000000-0005-0000-0000-000097720000}"/>
    <cellStyle name="40% - Accent4 3 3 2 10" xfId="1932" xr:uid="{00000000-0005-0000-0000-000098720000}"/>
    <cellStyle name="40% - Accent4 3 3 2 2" xfId="740" xr:uid="{00000000-0005-0000-0000-000099720000}"/>
    <cellStyle name="40% - Accent4 3 3 2 2 2" xfId="3176" xr:uid="{00000000-0005-0000-0000-00009A720000}"/>
    <cellStyle name="40% - Accent4 3 3 2 2 2 2" xfId="4833" xr:uid="{00000000-0005-0000-0000-00009B720000}"/>
    <cellStyle name="40% - Accent4 3 3 2 2 2 2 2" xfId="8064" xr:uid="{00000000-0005-0000-0000-00009C720000}"/>
    <cellStyle name="40% - Accent4 3 3 2 2 2 2 2 2" xfId="14523" xr:uid="{00000000-0005-0000-0000-00009D720000}"/>
    <cellStyle name="40% - Accent4 3 3 2 2 2 2 2 2 2" xfId="27440" xr:uid="{00000000-0005-0000-0000-00009E720000}"/>
    <cellStyle name="40% - Accent4 3 3 2 2 2 2 2 2 2 2" xfId="53314" xr:uid="{00000000-0005-0000-0000-00009F720000}"/>
    <cellStyle name="40% - Accent4 3 3 2 2 2 2 2 2 3" xfId="40398" xr:uid="{00000000-0005-0000-0000-0000A0720000}"/>
    <cellStyle name="40% - Accent4 3 3 2 2 2 2 2 3" xfId="20982" xr:uid="{00000000-0005-0000-0000-0000A1720000}"/>
    <cellStyle name="40% - Accent4 3 3 2 2 2 2 2 3 2" xfId="46856" xr:uid="{00000000-0005-0000-0000-0000A2720000}"/>
    <cellStyle name="40% - Accent4 3 3 2 2 2 2 2 4" xfId="33940" xr:uid="{00000000-0005-0000-0000-0000A3720000}"/>
    <cellStyle name="40% - Accent4 3 3 2 2 2 2 3" xfId="11295" xr:uid="{00000000-0005-0000-0000-0000A4720000}"/>
    <cellStyle name="40% - Accent4 3 3 2 2 2 2 3 2" xfId="24212" xr:uid="{00000000-0005-0000-0000-0000A5720000}"/>
    <cellStyle name="40% - Accent4 3 3 2 2 2 2 3 2 2" xfId="50086" xr:uid="{00000000-0005-0000-0000-0000A6720000}"/>
    <cellStyle name="40% - Accent4 3 3 2 2 2 2 3 3" xfId="37170" xr:uid="{00000000-0005-0000-0000-0000A7720000}"/>
    <cellStyle name="40% - Accent4 3 3 2 2 2 2 4" xfId="17754" xr:uid="{00000000-0005-0000-0000-0000A8720000}"/>
    <cellStyle name="40% - Accent4 3 3 2 2 2 2 4 2" xfId="43628" xr:uid="{00000000-0005-0000-0000-0000A9720000}"/>
    <cellStyle name="40% - Accent4 3 3 2 2 2 2 5" xfId="30680" xr:uid="{00000000-0005-0000-0000-0000AA720000}"/>
    <cellStyle name="40% - Accent4 3 3 2 2 2 3" xfId="6450" xr:uid="{00000000-0005-0000-0000-0000AB720000}"/>
    <cellStyle name="40% - Accent4 3 3 2 2 2 3 2" xfId="12909" xr:uid="{00000000-0005-0000-0000-0000AC720000}"/>
    <cellStyle name="40% - Accent4 3 3 2 2 2 3 2 2" xfId="25826" xr:uid="{00000000-0005-0000-0000-0000AD720000}"/>
    <cellStyle name="40% - Accent4 3 3 2 2 2 3 2 2 2" xfId="51700" xr:uid="{00000000-0005-0000-0000-0000AE720000}"/>
    <cellStyle name="40% - Accent4 3 3 2 2 2 3 2 3" xfId="38784" xr:uid="{00000000-0005-0000-0000-0000AF720000}"/>
    <cellStyle name="40% - Accent4 3 3 2 2 2 3 3" xfId="19368" xr:uid="{00000000-0005-0000-0000-0000B0720000}"/>
    <cellStyle name="40% - Accent4 3 3 2 2 2 3 3 2" xfId="45242" xr:uid="{00000000-0005-0000-0000-0000B1720000}"/>
    <cellStyle name="40% - Accent4 3 3 2 2 2 3 4" xfId="32326" xr:uid="{00000000-0005-0000-0000-0000B2720000}"/>
    <cellStyle name="40% - Accent4 3 3 2 2 2 4" xfId="9681" xr:uid="{00000000-0005-0000-0000-0000B3720000}"/>
    <cellStyle name="40% - Accent4 3 3 2 2 2 4 2" xfId="22598" xr:uid="{00000000-0005-0000-0000-0000B4720000}"/>
    <cellStyle name="40% - Accent4 3 3 2 2 2 4 2 2" xfId="48472" xr:uid="{00000000-0005-0000-0000-0000B5720000}"/>
    <cellStyle name="40% - Accent4 3 3 2 2 2 4 3" xfId="35556" xr:uid="{00000000-0005-0000-0000-0000B6720000}"/>
    <cellStyle name="40% - Accent4 3 3 2 2 2 5" xfId="16140" xr:uid="{00000000-0005-0000-0000-0000B7720000}"/>
    <cellStyle name="40% - Accent4 3 3 2 2 2 5 2" xfId="42014" xr:uid="{00000000-0005-0000-0000-0000B8720000}"/>
    <cellStyle name="40% - Accent4 3 3 2 2 2 6" xfId="29066" xr:uid="{00000000-0005-0000-0000-0000B9720000}"/>
    <cellStyle name="40% - Accent4 3 3 2 2 3" xfId="4003" xr:uid="{00000000-0005-0000-0000-0000BA720000}"/>
    <cellStyle name="40% - Accent4 3 3 2 2 3 2" xfId="7257" xr:uid="{00000000-0005-0000-0000-0000BB720000}"/>
    <cellStyle name="40% - Accent4 3 3 2 2 3 2 2" xfId="13716" xr:uid="{00000000-0005-0000-0000-0000BC720000}"/>
    <cellStyle name="40% - Accent4 3 3 2 2 3 2 2 2" xfId="26633" xr:uid="{00000000-0005-0000-0000-0000BD720000}"/>
    <cellStyle name="40% - Accent4 3 3 2 2 3 2 2 2 2" xfId="52507" xr:uid="{00000000-0005-0000-0000-0000BE720000}"/>
    <cellStyle name="40% - Accent4 3 3 2 2 3 2 2 3" xfId="39591" xr:uid="{00000000-0005-0000-0000-0000BF720000}"/>
    <cellStyle name="40% - Accent4 3 3 2 2 3 2 3" xfId="20175" xr:uid="{00000000-0005-0000-0000-0000C0720000}"/>
    <cellStyle name="40% - Accent4 3 3 2 2 3 2 3 2" xfId="46049" xr:uid="{00000000-0005-0000-0000-0000C1720000}"/>
    <cellStyle name="40% - Accent4 3 3 2 2 3 2 4" xfId="33133" xr:uid="{00000000-0005-0000-0000-0000C2720000}"/>
    <cellStyle name="40% - Accent4 3 3 2 2 3 3" xfId="10488" xr:uid="{00000000-0005-0000-0000-0000C3720000}"/>
    <cellStyle name="40% - Accent4 3 3 2 2 3 3 2" xfId="23405" xr:uid="{00000000-0005-0000-0000-0000C4720000}"/>
    <cellStyle name="40% - Accent4 3 3 2 2 3 3 2 2" xfId="49279" xr:uid="{00000000-0005-0000-0000-0000C5720000}"/>
    <cellStyle name="40% - Accent4 3 3 2 2 3 3 3" xfId="36363" xr:uid="{00000000-0005-0000-0000-0000C6720000}"/>
    <cellStyle name="40% - Accent4 3 3 2 2 3 4" xfId="16947" xr:uid="{00000000-0005-0000-0000-0000C7720000}"/>
    <cellStyle name="40% - Accent4 3 3 2 2 3 4 2" xfId="42821" xr:uid="{00000000-0005-0000-0000-0000C8720000}"/>
    <cellStyle name="40% - Accent4 3 3 2 2 3 5" xfId="29873" xr:uid="{00000000-0005-0000-0000-0000C9720000}"/>
    <cellStyle name="40% - Accent4 3 3 2 2 4" xfId="5643" xr:uid="{00000000-0005-0000-0000-0000CA720000}"/>
    <cellStyle name="40% - Accent4 3 3 2 2 4 2" xfId="12102" xr:uid="{00000000-0005-0000-0000-0000CB720000}"/>
    <cellStyle name="40% - Accent4 3 3 2 2 4 2 2" xfId="25019" xr:uid="{00000000-0005-0000-0000-0000CC720000}"/>
    <cellStyle name="40% - Accent4 3 3 2 2 4 2 2 2" xfId="50893" xr:uid="{00000000-0005-0000-0000-0000CD720000}"/>
    <cellStyle name="40% - Accent4 3 3 2 2 4 2 3" xfId="37977" xr:uid="{00000000-0005-0000-0000-0000CE720000}"/>
    <cellStyle name="40% - Accent4 3 3 2 2 4 3" xfId="18561" xr:uid="{00000000-0005-0000-0000-0000CF720000}"/>
    <cellStyle name="40% - Accent4 3 3 2 2 4 3 2" xfId="44435" xr:uid="{00000000-0005-0000-0000-0000D0720000}"/>
    <cellStyle name="40% - Accent4 3 3 2 2 4 4" xfId="31519" xr:uid="{00000000-0005-0000-0000-0000D1720000}"/>
    <cellStyle name="40% - Accent4 3 3 2 2 5" xfId="8874" xr:uid="{00000000-0005-0000-0000-0000D2720000}"/>
    <cellStyle name="40% - Accent4 3 3 2 2 5 2" xfId="21791" xr:uid="{00000000-0005-0000-0000-0000D3720000}"/>
    <cellStyle name="40% - Accent4 3 3 2 2 5 2 2" xfId="47665" xr:uid="{00000000-0005-0000-0000-0000D4720000}"/>
    <cellStyle name="40% - Accent4 3 3 2 2 5 3" xfId="34749" xr:uid="{00000000-0005-0000-0000-0000D5720000}"/>
    <cellStyle name="40% - Accent4 3 3 2 2 6" xfId="15333" xr:uid="{00000000-0005-0000-0000-0000D6720000}"/>
    <cellStyle name="40% - Accent4 3 3 2 2 6 2" xfId="41207" xr:uid="{00000000-0005-0000-0000-0000D7720000}"/>
    <cellStyle name="40% - Accent4 3 3 2 2 7" xfId="28259" xr:uid="{00000000-0005-0000-0000-0000D8720000}"/>
    <cellStyle name="40% - Accent4 3 3 2 2 8" xfId="54121" xr:uid="{00000000-0005-0000-0000-0000D9720000}"/>
    <cellStyle name="40% - Accent4 3 3 2 2 9" xfId="2363" xr:uid="{00000000-0005-0000-0000-0000DA720000}"/>
    <cellStyle name="40% - Accent4 3 3 2 3" xfId="739" xr:uid="{00000000-0005-0000-0000-0000DB720000}"/>
    <cellStyle name="40% - Accent4 3 3 2 3 2" xfId="4429" xr:uid="{00000000-0005-0000-0000-0000DC720000}"/>
    <cellStyle name="40% - Accent4 3 3 2 3 2 2" xfId="7660" xr:uid="{00000000-0005-0000-0000-0000DD720000}"/>
    <cellStyle name="40% - Accent4 3 3 2 3 2 2 2" xfId="14119" xr:uid="{00000000-0005-0000-0000-0000DE720000}"/>
    <cellStyle name="40% - Accent4 3 3 2 3 2 2 2 2" xfId="27036" xr:uid="{00000000-0005-0000-0000-0000DF720000}"/>
    <cellStyle name="40% - Accent4 3 3 2 3 2 2 2 2 2" xfId="52910" xr:uid="{00000000-0005-0000-0000-0000E0720000}"/>
    <cellStyle name="40% - Accent4 3 3 2 3 2 2 2 3" xfId="39994" xr:uid="{00000000-0005-0000-0000-0000E1720000}"/>
    <cellStyle name="40% - Accent4 3 3 2 3 2 2 3" xfId="20578" xr:uid="{00000000-0005-0000-0000-0000E2720000}"/>
    <cellStyle name="40% - Accent4 3 3 2 3 2 2 3 2" xfId="46452" xr:uid="{00000000-0005-0000-0000-0000E3720000}"/>
    <cellStyle name="40% - Accent4 3 3 2 3 2 2 4" xfId="33536" xr:uid="{00000000-0005-0000-0000-0000E4720000}"/>
    <cellStyle name="40% - Accent4 3 3 2 3 2 3" xfId="10891" xr:uid="{00000000-0005-0000-0000-0000E5720000}"/>
    <cellStyle name="40% - Accent4 3 3 2 3 2 3 2" xfId="23808" xr:uid="{00000000-0005-0000-0000-0000E6720000}"/>
    <cellStyle name="40% - Accent4 3 3 2 3 2 3 2 2" xfId="49682" xr:uid="{00000000-0005-0000-0000-0000E7720000}"/>
    <cellStyle name="40% - Accent4 3 3 2 3 2 3 3" xfId="36766" xr:uid="{00000000-0005-0000-0000-0000E8720000}"/>
    <cellStyle name="40% - Accent4 3 3 2 3 2 4" xfId="17350" xr:uid="{00000000-0005-0000-0000-0000E9720000}"/>
    <cellStyle name="40% - Accent4 3 3 2 3 2 4 2" xfId="43224" xr:uid="{00000000-0005-0000-0000-0000EA720000}"/>
    <cellStyle name="40% - Accent4 3 3 2 3 2 5" xfId="30276" xr:uid="{00000000-0005-0000-0000-0000EB720000}"/>
    <cellStyle name="40% - Accent4 3 3 2 3 3" xfId="6046" xr:uid="{00000000-0005-0000-0000-0000EC720000}"/>
    <cellStyle name="40% - Accent4 3 3 2 3 3 2" xfId="12505" xr:uid="{00000000-0005-0000-0000-0000ED720000}"/>
    <cellStyle name="40% - Accent4 3 3 2 3 3 2 2" xfId="25422" xr:uid="{00000000-0005-0000-0000-0000EE720000}"/>
    <cellStyle name="40% - Accent4 3 3 2 3 3 2 2 2" xfId="51296" xr:uid="{00000000-0005-0000-0000-0000EF720000}"/>
    <cellStyle name="40% - Accent4 3 3 2 3 3 2 3" xfId="38380" xr:uid="{00000000-0005-0000-0000-0000F0720000}"/>
    <cellStyle name="40% - Accent4 3 3 2 3 3 3" xfId="18964" xr:uid="{00000000-0005-0000-0000-0000F1720000}"/>
    <cellStyle name="40% - Accent4 3 3 2 3 3 3 2" xfId="44838" xr:uid="{00000000-0005-0000-0000-0000F2720000}"/>
    <cellStyle name="40% - Accent4 3 3 2 3 3 4" xfId="31922" xr:uid="{00000000-0005-0000-0000-0000F3720000}"/>
    <cellStyle name="40% - Accent4 3 3 2 3 4" xfId="9277" xr:uid="{00000000-0005-0000-0000-0000F4720000}"/>
    <cellStyle name="40% - Accent4 3 3 2 3 4 2" xfId="22194" xr:uid="{00000000-0005-0000-0000-0000F5720000}"/>
    <cellStyle name="40% - Accent4 3 3 2 3 4 2 2" xfId="48068" xr:uid="{00000000-0005-0000-0000-0000F6720000}"/>
    <cellStyle name="40% - Accent4 3 3 2 3 4 3" xfId="35152" xr:uid="{00000000-0005-0000-0000-0000F7720000}"/>
    <cellStyle name="40% - Accent4 3 3 2 3 5" xfId="15736" xr:uid="{00000000-0005-0000-0000-0000F8720000}"/>
    <cellStyle name="40% - Accent4 3 3 2 3 5 2" xfId="41610" xr:uid="{00000000-0005-0000-0000-0000F9720000}"/>
    <cellStyle name="40% - Accent4 3 3 2 3 6" xfId="28662" xr:uid="{00000000-0005-0000-0000-0000FA720000}"/>
    <cellStyle name="40% - Accent4 3 3 2 3 7" xfId="2772" xr:uid="{00000000-0005-0000-0000-0000FB720000}"/>
    <cellStyle name="40% - Accent4 3 3 2 4" xfId="3599" xr:uid="{00000000-0005-0000-0000-0000FC720000}"/>
    <cellStyle name="40% - Accent4 3 3 2 4 2" xfId="6853" xr:uid="{00000000-0005-0000-0000-0000FD720000}"/>
    <cellStyle name="40% - Accent4 3 3 2 4 2 2" xfId="13312" xr:uid="{00000000-0005-0000-0000-0000FE720000}"/>
    <cellStyle name="40% - Accent4 3 3 2 4 2 2 2" xfId="26229" xr:uid="{00000000-0005-0000-0000-0000FF720000}"/>
    <cellStyle name="40% - Accent4 3 3 2 4 2 2 2 2" xfId="52103" xr:uid="{00000000-0005-0000-0000-000000730000}"/>
    <cellStyle name="40% - Accent4 3 3 2 4 2 2 3" xfId="39187" xr:uid="{00000000-0005-0000-0000-000001730000}"/>
    <cellStyle name="40% - Accent4 3 3 2 4 2 3" xfId="19771" xr:uid="{00000000-0005-0000-0000-000002730000}"/>
    <cellStyle name="40% - Accent4 3 3 2 4 2 3 2" xfId="45645" xr:uid="{00000000-0005-0000-0000-000003730000}"/>
    <cellStyle name="40% - Accent4 3 3 2 4 2 4" xfId="32729" xr:uid="{00000000-0005-0000-0000-000004730000}"/>
    <cellStyle name="40% - Accent4 3 3 2 4 3" xfId="10084" xr:uid="{00000000-0005-0000-0000-000005730000}"/>
    <cellStyle name="40% - Accent4 3 3 2 4 3 2" xfId="23001" xr:uid="{00000000-0005-0000-0000-000006730000}"/>
    <cellStyle name="40% - Accent4 3 3 2 4 3 2 2" xfId="48875" xr:uid="{00000000-0005-0000-0000-000007730000}"/>
    <cellStyle name="40% - Accent4 3 3 2 4 3 3" xfId="35959" xr:uid="{00000000-0005-0000-0000-000008730000}"/>
    <cellStyle name="40% - Accent4 3 3 2 4 4" xfId="16543" xr:uid="{00000000-0005-0000-0000-000009730000}"/>
    <cellStyle name="40% - Accent4 3 3 2 4 4 2" xfId="42417" xr:uid="{00000000-0005-0000-0000-00000A730000}"/>
    <cellStyle name="40% - Accent4 3 3 2 4 5" xfId="29469" xr:uid="{00000000-0005-0000-0000-00000B730000}"/>
    <cellStyle name="40% - Accent4 3 3 2 5" xfId="5239" xr:uid="{00000000-0005-0000-0000-00000C730000}"/>
    <cellStyle name="40% - Accent4 3 3 2 5 2" xfId="11698" xr:uid="{00000000-0005-0000-0000-00000D730000}"/>
    <cellStyle name="40% - Accent4 3 3 2 5 2 2" xfId="24615" xr:uid="{00000000-0005-0000-0000-00000E730000}"/>
    <cellStyle name="40% - Accent4 3 3 2 5 2 2 2" xfId="50489" xr:uid="{00000000-0005-0000-0000-00000F730000}"/>
    <cellStyle name="40% - Accent4 3 3 2 5 2 3" xfId="37573" xr:uid="{00000000-0005-0000-0000-000010730000}"/>
    <cellStyle name="40% - Accent4 3 3 2 5 3" xfId="18157" xr:uid="{00000000-0005-0000-0000-000011730000}"/>
    <cellStyle name="40% - Accent4 3 3 2 5 3 2" xfId="44031" xr:uid="{00000000-0005-0000-0000-000012730000}"/>
    <cellStyle name="40% - Accent4 3 3 2 5 4" xfId="31115" xr:uid="{00000000-0005-0000-0000-000013730000}"/>
    <cellStyle name="40% - Accent4 3 3 2 6" xfId="8470" xr:uid="{00000000-0005-0000-0000-000014730000}"/>
    <cellStyle name="40% - Accent4 3 3 2 6 2" xfId="21387" xr:uid="{00000000-0005-0000-0000-000015730000}"/>
    <cellStyle name="40% - Accent4 3 3 2 6 2 2" xfId="47261" xr:uid="{00000000-0005-0000-0000-000016730000}"/>
    <cellStyle name="40% - Accent4 3 3 2 6 3" xfId="34345" xr:uid="{00000000-0005-0000-0000-000017730000}"/>
    <cellStyle name="40% - Accent4 3 3 2 7" xfId="14929" xr:uid="{00000000-0005-0000-0000-000018730000}"/>
    <cellStyle name="40% - Accent4 3 3 2 7 2" xfId="40803" xr:uid="{00000000-0005-0000-0000-000019730000}"/>
    <cellStyle name="40% - Accent4 3 3 2 8" xfId="27854" xr:uid="{00000000-0005-0000-0000-00001A730000}"/>
    <cellStyle name="40% - Accent4 3 3 2 9" xfId="53717" xr:uid="{00000000-0005-0000-0000-00001B730000}"/>
    <cellStyle name="40% - Accent4 3 3 3" xfId="741" xr:uid="{00000000-0005-0000-0000-00001C730000}"/>
    <cellStyle name="40% - Accent4 3 3 3 2" xfId="2981" xr:uid="{00000000-0005-0000-0000-00001D730000}"/>
    <cellStyle name="40% - Accent4 3 3 3 2 2" xfId="4638" xr:uid="{00000000-0005-0000-0000-00001E730000}"/>
    <cellStyle name="40% - Accent4 3 3 3 2 2 2" xfId="7869" xr:uid="{00000000-0005-0000-0000-00001F730000}"/>
    <cellStyle name="40% - Accent4 3 3 3 2 2 2 2" xfId="14328" xr:uid="{00000000-0005-0000-0000-000020730000}"/>
    <cellStyle name="40% - Accent4 3 3 3 2 2 2 2 2" xfId="27245" xr:uid="{00000000-0005-0000-0000-000021730000}"/>
    <cellStyle name="40% - Accent4 3 3 3 2 2 2 2 2 2" xfId="53119" xr:uid="{00000000-0005-0000-0000-000022730000}"/>
    <cellStyle name="40% - Accent4 3 3 3 2 2 2 2 3" xfId="40203" xr:uid="{00000000-0005-0000-0000-000023730000}"/>
    <cellStyle name="40% - Accent4 3 3 3 2 2 2 3" xfId="20787" xr:uid="{00000000-0005-0000-0000-000024730000}"/>
    <cellStyle name="40% - Accent4 3 3 3 2 2 2 3 2" xfId="46661" xr:uid="{00000000-0005-0000-0000-000025730000}"/>
    <cellStyle name="40% - Accent4 3 3 3 2 2 2 4" xfId="33745" xr:uid="{00000000-0005-0000-0000-000026730000}"/>
    <cellStyle name="40% - Accent4 3 3 3 2 2 3" xfId="11100" xr:uid="{00000000-0005-0000-0000-000027730000}"/>
    <cellStyle name="40% - Accent4 3 3 3 2 2 3 2" xfId="24017" xr:uid="{00000000-0005-0000-0000-000028730000}"/>
    <cellStyle name="40% - Accent4 3 3 3 2 2 3 2 2" xfId="49891" xr:uid="{00000000-0005-0000-0000-000029730000}"/>
    <cellStyle name="40% - Accent4 3 3 3 2 2 3 3" xfId="36975" xr:uid="{00000000-0005-0000-0000-00002A730000}"/>
    <cellStyle name="40% - Accent4 3 3 3 2 2 4" xfId="17559" xr:uid="{00000000-0005-0000-0000-00002B730000}"/>
    <cellStyle name="40% - Accent4 3 3 3 2 2 4 2" xfId="43433" xr:uid="{00000000-0005-0000-0000-00002C730000}"/>
    <cellStyle name="40% - Accent4 3 3 3 2 2 5" xfId="30485" xr:uid="{00000000-0005-0000-0000-00002D730000}"/>
    <cellStyle name="40% - Accent4 3 3 3 2 3" xfId="6255" xr:uid="{00000000-0005-0000-0000-00002E730000}"/>
    <cellStyle name="40% - Accent4 3 3 3 2 3 2" xfId="12714" xr:uid="{00000000-0005-0000-0000-00002F730000}"/>
    <cellStyle name="40% - Accent4 3 3 3 2 3 2 2" xfId="25631" xr:uid="{00000000-0005-0000-0000-000030730000}"/>
    <cellStyle name="40% - Accent4 3 3 3 2 3 2 2 2" xfId="51505" xr:uid="{00000000-0005-0000-0000-000031730000}"/>
    <cellStyle name="40% - Accent4 3 3 3 2 3 2 3" xfId="38589" xr:uid="{00000000-0005-0000-0000-000032730000}"/>
    <cellStyle name="40% - Accent4 3 3 3 2 3 3" xfId="19173" xr:uid="{00000000-0005-0000-0000-000033730000}"/>
    <cellStyle name="40% - Accent4 3 3 3 2 3 3 2" xfId="45047" xr:uid="{00000000-0005-0000-0000-000034730000}"/>
    <cellStyle name="40% - Accent4 3 3 3 2 3 4" xfId="32131" xr:uid="{00000000-0005-0000-0000-000035730000}"/>
    <cellStyle name="40% - Accent4 3 3 3 2 4" xfId="9486" xr:uid="{00000000-0005-0000-0000-000036730000}"/>
    <cellStyle name="40% - Accent4 3 3 3 2 4 2" xfId="22403" xr:uid="{00000000-0005-0000-0000-000037730000}"/>
    <cellStyle name="40% - Accent4 3 3 3 2 4 2 2" xfId="48277" xr:uid="{00000000-0005-0000-0000-000038730000}"/>
    <cellStyle name="40% - Accent4 3 3 3 2 4 3" xfId="35361" xr:uid="{00000000-0005-0000-0000-000039730000}"/>
    <cellStyle name="40% - Accent4 3 3 3 2 5" xfId="15945" xr:uid="{00000000-0005-0000-0000-00003A730000}"/>
    <cellStyle name="40% - Accent4 3 3 3 2 5 2" xfId="41819" xr:uid="{00000000-0005-0000-0000-00003B730000}"/>
    <cellStyle name="40% - Accent4 3 3 3 2 6" xfId="28871" xr:uid="{00000000-0005-0000-0000-00003C730000}"/>
    <cellStyle name="40% - Accent4 3 3 3 3" xfId="3808" xr:uid="{00000000-0005-0000-0000-00003D730000}"/>
    <cellStyle name="40% - Accent4 3 3 3 3 2" xfId="7062" xr:uid="{00000000-0005-0000-0000-00003E730000}"/>
    <cellStyle name="40% - Accent4 3 3 3 3 2 2" xfId="13521" xr:uid="{00000000-0005-0000-0000-00003F730000}"/>
    <cellStyle name="40% - Accent4 3 3 3 3 2 2 2" xfId="26438" xr:uid="{00000000-0005-0000-0000-000040730000}"/>
    <cellStyle name="40% - Accent4 3 3 3 3 2 2 2 2" xfId="52312" xr:uid="{00000000-0005-0000-0000-000041730000}"/>
    <cellStyle name="40% - Accent4 3 3 3 3 2 2 3" xfId="39396" xr:uid="{00000000-0005-0000-0000-000042730000}"/>
    <cellStyle name="40% - Accent4 3 3 3 3 2 3" xfId="19980" xr:uid="{00000000-0005-0000-0000-000043730000}"/>
    <cellStyle name="40% - Accent4 3 3 3 3 2 3 2" xfId="45854" xr:uid="{00000000-0005-0000-0000-000044730000}"/>
    <cellStyle name="40% - Accent4 3 3 3 3 2 4" xfId="32938" xr:uid="{00000000-0005-0000-0000-000045730000}"/>
    <cellStyle name="40% - Accent4 3 3 3 3 3" xfId="10293" xr:uid="{00000000-0005-0000-0000-000046730000}"/>
    <cellStyle name="40% - Accent4 3 3 3 3 3 2" xfId="23210" xr:uid="{00000000-0005-0000-0000-000047730000}"/>
    <cellStyle name="40% - Accent4 3 3 3 3 3 2 2" xfId="49084" xr:uid="{00000000-0005-0000-0000-000048730000}"/>
    <cellStyle name="40% - Accent4 3 3 3 3 3 3" xfId="36168" xr:uid="{00000000-0005-0000-0000-000049730000}"/>
    <cellStyle name="40% - Accent4 3 3 3 3 4" xfId="16752" xr:uid="{00000000-0005-0000-0000-00004A730000}"/>
    <cellStyle name="40% - Accent4 3 3 3 3 4 2" xfId="42626" xr:uid="{00000000-0005-0000-0000-00004B730000}"/>
    <cellStyle name="40% - Accent4 3 3 3 3 5" xfId="29678" xr:uid="{00000000-0005-0000-0000-00004C730000}"/>
    <cellStyle name="40% - Accent4 3 3 3 4" xfId="5448" xr:uid="{00000000-0005-0000-0000-00004D730000}"/>
    <cellStyle name="40% - Accent4 3 3 3 4 2" xfId="11907" xr:uid="{00000000-0005-0000-0000-00004E730000}"/>
    <cellStyle name="40% - Accent4 3 3 3 4 2 2" xfId="24824" xr:uid="{00000000-0005-0000-0000-00004F730000}"/>
    <cellStyle name="40% - Accent4 3 3 3 4 2 2 2" xfId="50698" xr:uid="{00000000-0005-0000-0000-000050730000}"/>
    <cellStyle name="40% - Accent4 3 3 3 4 2 3" xfId="37782" xr:uid="{00000000-0005-0000-0000-000051730000}"/>
    <cellStyle name="40% - Accent4 3 3 3 4 3" xfId="18366" xr:uid="{00000000-0005-0000-0000-000052730000}"/>
    <cellStyle name="40% - Accent4 3 3 3 4 3 2" xfId="44240" xr:uid="{00000000-0005-0000-0000-000053730000}"/>
    <cellStyle name="40% - Accent4 3 3 3 4 4" xfId="31324" xr:uid="{00000000-0005-0000-0000-000054730000}"/>
    <cellStyle name="40% - Accent4 3 3 3 5" xfId="8679" xr:uid="{00000000-0005-0000-0000-000055730000}"/>
    <cellStyle name="40% - Accent4 3 3 3 5 2" xfId="21596" xr:uid="{00000000-0005-0000-0000-000056730000}"/>
    <cellStyle name="40% - Accent4 3 3 3 5 2 2" xfId="47470" xr:uid="{00000000-0005-0000-0000-000057730000}"/>
    <cellStyle name="40% - Accent4 3 3 3 5 3" xfId="34554" xr:uid="{00000000-0005-0000-0000-000058730000}"/>
    <cellStyle name="40% - Accent4 3 3 3 6" xfId="15138" xr:uid="{00000000-0005-0000-0000-000059730000}"/>
    <cellStyle name="40% - Accent4 3 3 3 6 2" xfId="41012" xr:uid="{00000000-0005-0000-0000-00005A730000}"/>
    <cellStyle name="40% - Accent4 3 3 3 7" xfId="28064" xr:uid="{00000000-0005-0000-0000-00005B730000}"/>
    <cellStyle name="40% - Accent4 3 3 3 8" xfId="53926" xr:uid="{00000000-0005-0000-0000-00005C730000}"/>
    <cellStyle name="40% - Accent4 3 3 3 9" xfId="2167" xr:uid="{00000000-0005-0000-0000-00005D730000}"/>
    <cellStyle name="40% - Accent4 3 3 4" xfId="738" xr:uid="{00000000-0005-0000-0000-00005E730000}"/>
    <cellStyle name="40% - Accent4 3 3 4 2" xfId="4235" xr:uid="{00000000-0005-0000-0000-00005F730000}"/>
    <cellStyle name="40% - Accent4 3 3 4 2 2" xfId="7466" xr:uid="{00000000-0005-0000-0000-000060730000}"/>
    <cellStyle name="40% - Accent4 3 3 4 2 2 2" xfId="13925" xr:uid="{00000000-0005-0000-0000-000061730000}"/>
    <cellStyle name="40% - Accent4 3 3 4 2 2 2 2" xfId="26842" xr:uid="{00000000-0005-0000-0000-000062730000}"/>
    <cellStyle name="40% - Accent4 3 3 4 2 2 2 2 2" xfId="52716" xr:uid="{00000000-0005-0000-0000-000063730000}"/>
    <cellStyle name="40% - Accent4 3 3 4 2 2 2 3" xfId="39800" xr:uid="{00000000-0005-0000-0000-000064730000}"/>
    <cellStyle name="40% - Accent4 3 3 4 2 2 3" xfId="20384" xr:uid="{00000000-0005-0000-0000-000065730000}"/>
    <cellStyle name="40% - Accent4 3 3 4 2 2 3 2" xfId="46258" xr:uid="{00000000-0005-0000-0000-000066730000}"/>
    <cellStyle name="40% - Accent4 3 3 4 2 2 4" xfId="33342" xr:uid="{00000000-0005-0000-0000-000067730000}"/>
    <cellStyle name="40% - Accent4 3 3 4 2 3" xfId="10697" xr:uid="{00000000-0005-0000-0000-000068730000}"/>
    <cellStyle name="40% - Accent4 3 3 4 2 3 2" xfId="23614" xr:uid="{00000000-0005-0000-0000-000069730000}"/>
    <cellStyle name="40% - Accent4 3 3 4 2 3 2 2" xfId="49488" xr:uid="{00000000-0005-0000-0000-00006A730000}"/>
    <cellStyle name="40% - Accent4 3 3 4 2 3 3" xfId="36572" xr:uid="{00000000-0005-0000-0000-00006B730000}"/>
    <cellStyle name="40% - Accent4 3 3 4 2 4" xfId="17156" xr:uid="{00000000-0005-0000-0000-00006C730000}"/>
    <cellStyle name="40% - Accent4 3 3 4 2 4 2" xfId="43030" xr:uid="{00000000-0005-0000-0000-00006D730000}"/>
    <cellStyle name="40% - Accent4 3 3 4 2 5" xfId="30082" xr:uid="{00000000-0005-0000-0000-00006E730000}"/>
    <cellStyle name="40% - Accent4 3 3 4 3" xfId="5852" xr:uid="{00000000-0005-0000-0000-00006F730000}"/>
    <cellStyle name="40% - Accent4 3 3 4 3 2" xfId="12311" xr:uid="{00000000-0005-0000-0000-000070730000}"/>
    <cellStyle name="40% - Accent4 3 3 4 3 2 2" xfId="25228" xr:uid="{00000000-0005-0000-0000-000071730000}"/>
    <cellStyle name="40% - Accent4 3 3 4 3 2 2 2" xfId="51102" xr:uid="{00000000-0005-0000-0000-000072730000}"/>
    <cellStyle name="40% - Accent4 3 3 4 3 2 3" xfId="38186" xr:uid="{00000000-0005-0000-0000-000073730000}"/>
    <cellStyle name="40% - Accent4 3 3 4 3 3" xfId="18770" xr:uid="{00000000-0005-0000-0000-000074730000}"/>
    <cellStyle name="40% - Accent4 3 3 4 3 3 2" xfId="44644" xr:uid="{00000000-0005-0000-0000-000075730000}"/>
    <cellStyle name="40% - Accent4 3 3 4 3 4" xfId="31728" xr:uid="{00000000-0005-0000-0000-000076730000}"/>
    <cellStyle name="40% - Accent4 3 3 4 4" xfId="9083" xr:uid="{00000000-0005-0000-0000-000077730000}"/>
    <cellStyle name="40% - Accent4 3 3 4 4 2" xfId="22000" xr:uid="{00000000-0005-0000-0000-000078730000}"/>
    <cellStyle name="40% - Accent4 3 3 4 4 2 2" xfId="47874" xr:uid="{00000000-0005-0000-0000-000079730000}"/>
    <cellStyle name="40% - Accent4 3 3 4 4 3" xfId="34958" xr:uid="{00000000-0005-0000-0000-00007A730000}"/>
    <cellStyle name="40% - Accent4 3 3 4 5" xfId="15542" xr:uid="{00000000-0005-0000-0000-00007B730000}"/>
    <cellStyle name="40% - Accent4 3 3 4 5 2" xfId="41416" xr:uid="{00000000-0005-0000-0000-00007C730000}"/>
    <cellStyle name="40% - Accent4 3 3 4 6" xfId="28468" xr:uid="{00000000-0005-0000-0000-00007D730000}"/>
    <cellStyle name="40% - Accent4 3 3 4 7" xfId="2578" xr:uid="{00000000-0005-0000-0000-00007E730000}"/>
    <cellStyle name="40% - Accent4 3 3 5" xfId="3404" xr:uid="{00000000-0005-0000-0000-00007F730000}"/>
    <cellStyle name="40% - Accent4 3 3 5 2" xfId="6659" xr:uid="{00000000-0005-0000-0000-000080730000}"/>
    <cellStyle name="40% - Accent4 3 3 5 2 2" xfId="13118" xr:uid="{00000000-0005-0000-0000-000081730000}"/>
    <cellStyle name="40% - Accent4 3 3 5 2 2 2" xfId="26035" xr:uid="{00000000-0005-0000-0000-000082730000}"/>
    <cellStyle name="40% - Accent4 3 3 5 2 2 2 2" xfId="51909" xr:uid="{00000000-0005-0000-0000-000083730000}"/>
    <cellStyle name="40% - Accent4 3 3 5 2 2 3" xfId="38993" xr:uid="{00000000-0005-0000-0000-000084730000}"/>
    <cellStyle name="40% - Accent4 3 3 5 2 3" xfId="19577" xr:uid="{00000000-0005-0000-0000-000085730000}"/>
    <cellStyle name="40% - Accent4 3 3 5 2 3 2" xfId="45451" xr:uid="{00000000-0005-0000-0000-000086730000}"/>
    <cellStyle name="40% - Accent4 3 3 5 2 4" xfId="32535" xr:uid="{00000000-0005-0000-0000-000087730000}"/>
    <cellStyle name="40% - Accent4 3 3 5 3" xfId="9890" xr:uid="{00000000-0005-0000-0000-000088730000}"/>
    <cellStyle name="40% - Accent4 3 3 5 3 2" xfId="22807" xr:uid="{00000000-0005-0000-0000-000089730000}"/>
    <cellStyle name="40% - Accent4 3 3 5 3 2 2" xfId="48681" xr:uid="{00000000-0005-0000-0000-00008A730000}"/>
    <cellStyle name="40% - Accent4 3 3 5 3 3" xfId="35765" xr:uid="{00000000-0005-0000-0000-00008B730000}"/>
    <cellStyle name="40% - Accent4 3 3 5 4" xfId="16349" xr:uid="{00000000-0005-0000-0000-00008C730000}"/>
    <cellStyle name="40% - Accent4 3 3 5 4 2" xfId="42223" xr:uid="{00000000-0005-0000-0000-00008D730000}"/>
    <cellStyle name="40% - Accent4 3 3 5 5" xfId="29275" xr:uid="{00000000-0005-0000-0000-00008E730000}"/>
    <cellStyle name="40% - Accent4 3 3 6" xfId="5045" xr:uid="{00000000-0005-0000-0000-00008F730000}"/>
    <cellStyle name="40% - Accent4 3 3 6 2" xfId="11504" xr:uid="{00000000-0005-0000-0000-000090730000}"/>
    <cellStyle name="40% - Accent4 3 3 6 2 2" xfId="24421" xr:uid="{00000000-0005-0000-0000-000091730000}"/>
    <cellStyle name="40% - Accent4 3 3 6 2 2 2" xfId="50295" xr:uid="{00000000-0005-0000-0000-000092730000}"/>
    <cellStyle name="40% - Accent4 3 3 6 2 3" xfId="37379" xr:uid="{00000000-0005-0000-0000-000093730000}"/>
    <cellStyle name="40% - Accent4 3 3 6 3" xfId="17963" xr:uid="{00000000-0005-0000-0000-000094730000}"/>
    <cellStyle name="40% - Accent4 3 3 6 3 2" xfId="43837" xr:uid="{00000000-0005-0000-0000-000095730000}"/>
    <cellStyle name="40% - Accent4 3 3 6 4" xfId="30921" xr:uid="{00000000-0005-0000-0000-000096730000}"/>
    <cellStyle name="40% - Accent4 3 3 7" xfId="8275" xr:uid="{00000000-0005-0000-0000-000097730000}"/>
    <cellStyle name="40% - Accent4 3 3 7 2" xfId="21192" xr:uid="{00000000-0005-0000-0000-000098730000}"/>
    <cellStyle name="40% - Accent4 3 3 7 2 2" xfId="47066" xr:uid="{00000000-0005-0000-0000-000099730000}"/>
    <cellStyle name="40% - Accent4 3 3 7 3" xfId="34150" xr:uid="{00000000-0005-0000-0000-00009A730000}"/>
    <cellStyle name="40% - Accent4 3 3 8" xfId="14734" xr:uid="{00000000-0005-0000-0000-00009B730000}"/>
    <cellStyle name="40% - Accent4 3 3 8 2" xfId="40608" xr:uid="{00000000-0005-0000-0000-00009C730000}"/>
    <cellStyle name="40% - Accent4 3 3 9" xfId="27658" xr:uid="{00000000-0005-0000-0000-00009D730000}"/>
    <cellStyle name="40% - Accent4 3 4" xfId="224" xr:uid="{00000000-0005-0000-0000-00009E730000}"/>
    <cellStyle name="40% - Accent4 3 4 2" xfId="415" xr:uid="{00000000-0005-0000-0000-00009F730000}"/>
    <cellStyle name="40% - Accent4 3 4 2 2" xfId="744" xr:uid="{00000000-0005-0000-0000-0000A0730000}"/>
    <cellStyle name="40% - Accent4 3 4 2 3" xfId="743" xr:uid="{00000000-0005-0000-0000-0000A1730000}"/>
    <cellStyle name="40% - Accent4 3 4 3" xfId="745" xr:uid="{00000000-0005-0000-0000-0000A2730000}"/>
    <cellStyle name="40% - Accent4 3 4 4" xfId="742" xr:uid="{00000000-0005-0000-0000-0000A3730000}"/>
    <cellStyle name="40% - Accent4 3 4 5" xfId="1681" xr:uid="{00000000-0005-0000-0000-0000A4730000}"/>
    <cellStyle name="40% - Accent4 3 5" xfId="382" xr:uid="{00000000-0005-0000-0000-0000A5730000}"/>
    <cellStyle name="40% - Accent4 3 5 10" xfId="53505" xr:uid="{00000000-0005-0000-0000-0000A6730000}"/>
    <cellStyle name="40% - Accent4 3 5 11" xfId="1580" xr:uid="{00000000-0005-0000-0000-0000A7730000}"/>
    <cellStyle name="40% - Accent4 3 5 2" xfId="747" xr:uid="{00000000-0005-0000-0000-0000A8730000}"/>
    <cellStyle name="40% - Accent4 3 5 2 10" xfId="1914" xr:uid="{00000000-0005-0000-0000-0000A9730000}"/>
    <cellStyle name="40% - Accent4 3 5 2 2" xfId="2345" xr:uid="{00000000-0005-0000-0000-0000AA730000}"/>
    <cellStyle name="40% - Accent4 3 5 2 2 2" xfId="3158" xr:uid="{00000000-0005-0000-0000-0000AB730000}"/>
    <cellStyle name="40% - Accent4 3 5 2 2 2 2" xfId="4815" xr:uid="{00000000-0005-0000-0000-0000AC730000}"/>
    <cellStyle name="40% - Accent4 3 5 2 2 2 2 2" xfId="8046" xr:uid="{00000000-0005-0000-0000-0000AD730000}"/>
    <cellStyle name="40% - Accent4 3 5 2 2 2 2 2 2" xfId="14505" xr:uid="{00000000-0005-0000-0000-0000AE730000}"/>
    <cellStyle name="40% - Accent4 3 5 2 2 2 2 2 2 2" xfId="27422" xr:uid="{00000000-0005-0000-0000-0000AF730000}"/>
    <cellStyle name="40% - Accent4 3 5 2 2 2 2 2 2 2 2" xfId="53296" xr:uid="{00000000-0005-0000-0000-0000B0730000}"/>
    <cellStyle name="40% - Accent4 3 5 2 2 2 2 2 2 3" xfId="40380" xr:uid="{00000000-0005-0000-0000-0000B1730000}"/>
    <cellStyle name="40% - Accent4 3 5 2 2 2 2 2 3" xfId="20964" xr:uid="{00000000-0005-0000-0000-0000B2730000}"/>
    <cellStyle name="40% - Accent4 3 5 2 2 2 2 2 3 2" xfId="46838" xr:uid="{00000000-0005-0000-0000-0000B3730000}"/>
    <cellStyle name="40% - Accent4 3 5 2 2 2 2 2 4" xfId="33922" xr:uid="{00000000-0005-0000-0000-0000B4730000}"/>
    <cellStyle name="40% - Accent4 3 5 2 2 2 2 3" xfId="11277" xr:uid="{00000000-0005-0000-0000-0000B5730000}"/>
    <cellStyle name="40% - Accent4 3 5 2 2 2 2 3 2" xfId="24194" xr:uid="{00000000-0005-0000-0000-0000B6730000}"/>
    <cellStyle name="40% - Accent4 3 5 2 2 2 2 3 2 2" xfId="50068" xr:uid="{00000000-0005-0000-0000-0000B7730000}"/>
    <cellStyle name="40% - Accent4 3 5 2 2 2 2 3 3" xfId="37152" xr:uid="{00000000-0005-0000-0000-0000B8730000}"/>
    <cellStyle name="40% - Accent4 3 5 2 2 2 2 4" xfId="17736" xr:uid="{00000000-0005-0000-0000-0000B9730000}"/>
    <cellStyle name="40% - Accent4 3 5 2 2 2 2 4 2" xfId="43610" xr:uid="{00000000-0005-0000-0000-0000BA730000}"/>
    <cellStyle name="40% - Accent4 3 5 2 2 2 2 5" xfId="30662" xr:uid="{00000000-0005-0000-0000-0000BB730000}"/>
    <cellStyle name="40% - Accent4 3 5 2 2 2 3" xfId="6432" xr:uid="{00000000-0005-0000-0000-0000BC730000}"/>
    <cellStyle name="40% - Accent4 3 5 2 2 2 3 2" xfId="12891" xr:uid="{00000000-0005-0000-0000-0000BD730000}"/>
    <cellStyle name="40% - Accent4 3 5 2 2 2 3 2 2" xfId="25808" xr:uid="{00000000-0005-0000-0000-0000BE730000}"/>
    <cellStyle name="40% - Accent4 3 5 2 2 2 3 2 2 2" xfId="51682" xr:uid="{00000000-0005-0000-0000-0000BF730000}"/>
    <cellStyle name="40% - Accent4 3 5 2 2 2 3 2 3" xfId="38766" xr:uid="{00000000-0005-0000-0000-0000C0730000}"/>
    <cellStyle name="40% - Accent4 3 5 2 2 2 3 3" xfId="19350" xr:uid="{00000000-0005-0000-0000-0000C1730000}"/>
    <cellStyle name="40% - Accent4 3 5 2 2 2 3 3 2" xfId="45224" xr:uid="{00000000-0005-0000-0000-0000C2730000}"/>
    <cellStyle name="40% - Accent4 3 5 2 2 2 3 4" xfId="32308" xr:uid="{00000000-0005-0000-0000-0000C3730000}"/>
    <cellStyle name="40% - Accent4 3 5 2 2 2 4" xfId="9663" xr:uid="{00000000-0005-0000-0000-0000C4730000}"/>
    <cellStyle name="40% - Accent4 3 5 2 2 2 4 2" xfId="22580" xr:uid="{00000000-0005-0000-0000-0000C5730000}"/>
    <cellStyle name="40% - Accent4 3 5 2 2 2 4 2 2" xfId="48454" xr:uid="{00000000-0005-0000-0000-0000C6730000}"/>
    <cellStyle name="40% - Accent4 3 5 2 2 2 4 3" xfId="35538" xr:uid="{00000000-0005-0000-0000-0000C7730000}"/>
    <cellStyle name="40% - Accent4 3 5 2 2 2 5" xfId="16122" xr:uid="{00000000-0005-0000-0000-0000C8730000}"/>
    <cellStyle name="40% - Accent4 3 5 2 2 2 5 2" xfId="41996" xr:uid="{00000000-0005-0000-0000-0000C9730000}"/>
    <cellStyle name="40% - Accent4 3 5 2 2 2 6" xfId="29048" xr:uid="{00000000-0005-0000-0000-0000CA730000}"/>
    <cellStyle name="40% - Accent4 3 5 2 2 3" xfId="3985" xr:uid="{00000000-0005-0000-0000-0000CB730000}"/>
    <cellStyle name="40% - Accent4 3 5 2 2 3 2" xfId="7239" xr:uid="{00000000-0005-0000-0000-0000CC730000}"/>
    <cellStyle name="40% - Accent4 3 5 2 2 3 2 2" xfId="13698" xr:uid="{00000000-0005-0000-0000-0000CD730000}"/>
    <cellStyle name="40% - Accent4 3 5 2 2 3 2 2 2" xfId="26615" xr:uid="{00000000-0005-0000-0000-0000CE730000}"/>
    <cellStyle name="40% - Accent4 3 5 2 2 3 2 2 2 2" xfId="52489" xr:uid="{00000000-0005-0000-0000-0000CF730000}"/>
    <cellStyle name="40% - Accent4 3 5 2 2 3 2 2 3" xfId="39573" xr:uid="{00000000-0005-0000-0000-0000D0730000}"/>
    <cellStyle name="40% - Accent4 3 5 2 2 3 2 3" xfId="20157" xr:uid="{00000000-0005-0000-0000-0000D1730000}"/>
    <cellStyle name="40% - Accent4 3 5 2 2 3 2 3 2" xfId="46031" xr:uid="{00000000-0005-0000-0000-0000D2730000}"/>
    <cellStyle name="40% - Accent4 3 5 2 2 3 2 4" xfId="33115" xr:uid="{00000000-0005-0000-0000-0000D3730000}"/>
    <cellStyle name="40% - Accent4 3 5 2 2 3 3" xfId="10470" xr:uid="{00000000-0005-0000-0000-0000D4730000}"/>
    <cellStyle name="40% - Accent4 3 5 2 2 3 3 2" xfId="23387" xr:uid="{00000000-0005-0000-0000-0000D5730000}"/>
    <cellStyle name="40% - Accent4 3 5 2 2 3 3 2 2" xfId="49261" xr:uid="{00000000-0005-0000-0000-0000D6730000}"/>
    <cellStyle name="40% - Accent4 3 5 2 2 3 3 3" xfId="36345" xr:uid="{00000000-0005-0000-0000-0000D7730000}"/>
    <cellStyle name="40% - Accent4 3 5 2 2 3 4" xfId="16929" xr:uid="{00000000-0005-0000-0000-0000D8730000}"/>
    <cellStyle name="40% - Accent4 3 5 2 2 3 4 2" xfId="42803" xr:uid="{00000000-0005-0000-0000-0000D9730000}"/>
    <cellStyle name="40% - Accent4 3 5 2 2 3 5" xfId="29855" xr:uid="{00000000-0005-0000-0000-0000DA730000}"/>
    <cellStyle name="40% - Accent4 3 5 2 2 4" xfId="5625" xr:uid="{00000000-0005-0000-0000-0000DB730000}"/>
    <cellStyle name="40% - Accent4 3 5 2 2 4 2" xfId="12084" xr:uid="{00000000-0005-0000-0000-0000DC730000}"/>
    <cellStyle name="40% - Accent4 3 5 2 2 4 2 2" xfId="25001" xr:uid="{00000000-0005-0000-0000-0000DD730000}"/>
    <cellStyle name="40% - Accent4 3 5 2 2 4 2 2 2" xfId="50875" xr:uid="{00000000-0005-0000-0000-0000DE730000}"/>
    <cellStyle name="40% - Accent4 3 5 2 2 4 2 3" xfId="37959" xr:uid="{00000000-0005-0000-0000-0000DF730000}"/>
    <cellStyle name="40% - Accent4 3 5 2 2 4 3" xfId="18543" xr:uid="{00000000-0005-0000-0000-0000E0730000}"/>
    <cellStyle name="40% - Accent4 3 5 2 2 4 3 2" xfId="44417" xr:uid="{00000000-0005-0000-0000-0000E1730000}"/>
    <cellStyle name="40% - Accent4 3 5 2 2 4 4" xfId="31501" xr:uid="{00000000-0005-0000-0000-0000E2730000}"/>
    <cellStyle name="40% - Accent4 3 5 2 2 5" xfId="8856" xr:uid="{00000000-0005-0000-0000-0000E3730000}"/>
    <cellStyle name="40% - Accent4 3 5 2 2 5 2" xfId="21773" xr:uid="{00000000-0005-0000-0000-0000E4730000}"/>
    <cellStyle name="40% - Accent4 3 5 2 2 5 2 2" xfId="47647" xr:uid="{00000000-0005-0000-0000-0000E5730000}"/>
    <cellStyle name="40% - Accent4 3 5 2 2 5 3" xfId="34731" xr:uid="{00000000-0005-0000-0000-0000E6730000}"/>
    <cellStyle name="40% - Accent4 3 5 2 2 6" xfId="15315" xr:uid="{00000000-0005-0000-0000-0000E7730000}"/>
    <cellStyle name="40% - Accent4 3 5 2 2 6 2" xfId="41189" xr:uid="{00000000-0005-0000-0000-0000E8730000}"/>
    <cellStyle name="40% - Accent4 3 5 2 2 7" xfId="28241" xr:uid="{00000000-0005-0000-0000-0000E9730000}"/>
    <cellStyle name="40% - Accent4 3 5 2 2 8" xfId="54103" xr:uid="{00000000-0005-0000-0000-0000EA730000}"/>
    <cellStyle name="40% - Accent4 3 5 2 3" xfId="2754" xr:uid="{00000000-0005-0000-0000-0000EB730000}"/>
    <cellStyle name="40% - Accent4 3 5 2 3 2" xfId="4411" xr:uid="{00000000-0005-0000-0000-0000EC730000}"/>
    <cellStyle name="40% - Accent4 3 5 2 3 2 2" xfId="7642" xr:uid="{00000000-0005-0000-0000-0000ED730000}"/>
    <cellStyle name="40% - Accent4 3 5 2 3 2 2 2" xfId="14101" xr:uid="{00000000-0005-0000-0000-0000EE730000}"/>
    <cellStyle name="40% - Accent4 3 5 2 3 2 2 2 2" xfId="27018" xr:uid="{00000000-0005-0000-0000-0000EF730000}"/>
    <cellStyle name="40% - Accent4 3 5 2 3 2 2 2 2 2" xfId="52892" xr:uid="{00000000-0005-0000-0000-0000F0730000}"/>
    <cellStyle name="40% - Accent4 3 5 2 3 2 2 2 3" xfId="39976" xr:uid="{00000000-0005-0000-0000-0000F1730000}"/>
    <cellStyle name="40% - Accent4 3 5 2 3 2 2 3" xfId="20560" xr:uid="{00000000-0005-0000-0000-0000F2730000}"/>
    <cellStyle name="40% - Accent4 3 5 2 3 2 2 3 2" xfId="46434" xr:uid="{00000000-0005-0000-0000-0000F3730000}"/>
    <cellStyle name="40% - Accent4 3 5 2 3 2 2 4" xfId="33518" xr:uid="{00000000-0005-0000-0000-0000F4730000}"/>
    <cellStyle name="40% - Accent4 3 5 2 3 2 3" xfId="10873" xr:uid="{00000000-0005-0000-0000-0000F5730000}"/>
    <cellStyle name="40% - Accent4 3 5 2 3 2 3 2" xfId="23790" xr:uid="{00000000-0005-0000-0000-0000F6730000}"/>
    <cellStyle name="40% - Accent4 3 5 2 3 2 3 2 2" xfId="49664" xr:uid="{00000000-0005-0000-0000-0000F7730000}"/>
    <cellStyle name="40% - Accent4 3 5 2 3 2 3 3" xfId="36748" xr:uid="{00000000-0005-0000-0000-0000F8730000}"/>
    <cellStyle name="40% - Accent4 3 5 2 3 2 4" xfId="17332" xr:uid="{00000000-0005-0000-0000-0000F9730000}"/>
    <cellStyle name="40% - Accent4 3 5 2 3 2 4 2" xfId="43206" xr:uid="{00000000-0005-0000-0000-0000FA730000}"/>
    <cellStyle name="40% - Accent4 3 5 2 3 2 5" xfId="30258" xr:uid="{00000000-0005-0000-0000-0000FB730000}"/>
    <cellStyle name="40% - Accent4 3 5 2 3 3" xfId="6028" xr:uid="{00000000-0005-0000-0000-0000FC730000}"/>
    <cellStyle name="40% - Accent4 3 5 2 3 3 2" xfId="12487" xr:uid="{00000000-0005-0000-0000-0000FD730000}"/>
    <cellStyle name="40% - Accent4 3 5 2 3 3 2 2" xfId="25404" xr:uid="{00000000-0005-0000-0000-0000FE730000}"/>
    <cellStyle name="40% - Accent4 3 5 2 3 3 2 2 2" xfId="51278" xr:uid="{00000000-0005-0000-0000-0000FF730000}"/>
    <cellStyle name="40% - Accent4 3 5 2 3 3 2 3" xfId="38362" xr:uid="{00000000-0005-0000-0000-000000740000}"/>
    <cellStyle name="40% - Accent4 3 5 2 3 3 3" xfId="18946" xr:uid="{00000000-0005-0000-0000-000001740000}"/>
    <cellStyle name="40% - Accent4 3 5 2 3 3 3 2" xfId="44820" xr:uid="{00000000-0005-0000-0000-000002740000}"/>
    <cellStyle name="40% - Accent4 3 5 2 3 3 4" xfId="31904" xr:uid="{00000000-0005-0000-0000-000003740000}"/>
    <cellStyle name="40% - Accent4 3 5 2 3 4" xfId="9259" xr:uid="{00000000-0005-0000-0000-000004740000}"/>
    <cellStyle name="40% - Accent4 3 5 2 3 4 2" xfId="22176" xr:uid="{00000000-0005-0000-0000-000005740000}"/>
    <cellStyle name="40% - Accent4 3 5 2 3 4 2 2" xfId="48050" xr:uid="{00000000-0005-0000-0000-000006740000}"/>
    <cellStyle name="40% - Accent4 3 5 2 3 4 3" xfId="35134" xr:uid="{00000000-0005-0000-0000-000007740000}"/>
    <cellStyle name="40% - Accent4 3 5 2 3 5" xfId="15718" xr:uid="{00000000-0005-0000-0000-000008740000}"/>
    <cellStyle name="40% - Accent4 3 5 2 3 5 2" xfId="41592" xr:uid="{00000000-0005-0000-0000-000009740000}"/>
    <cellStyle name="40% - Accent4 3 5 2 3 6" xfId="28644" xr:uid="{00000000-0005-0000-0000-00000A740000}"/>
    <cellStyle name="40% - Accent4 3 5 2 4" xfId="3581" xr:uid="{00000000-0005-0000-0000-00000B740000}"/>
    <cellStyle name="40% - Accent4 3 5 2 4 2" xfId="6835" xr:uid="{00000000-0005-0000-0000-00000C740000}"/>
    <cellStyle name="40% - Accent4 3 5 2 4 2 2" xfId="13294" xr:uid="{00000000-0005-0000-0000-00000D740000}"/>
    <cellStyle name="40% - Accent4 3 5 2 4 2 2 2" xfId="26211" xr:uid="{00000000-0005-0000-0000-00000E740000}"/>
    <cellStyle name="40% - Accent4 3 5 2 4 2 2 2 2" xfId="52085" xr:uid="{00000000-0005-0000-0000-00000F740000}"/>
    <cellStyle name="40% - Accent4 3 5 2 4 2 2 3" xfId="39169" xr:uid="{00000000-0005-0000-0000-000010740000}"/>
    <cellStyle name="40% - Accent4 3 5 2 4 2 3" xfId="19753" xr:uid="{00000000-0005-0000-0000-000011740000}"/>
    <cellStyle name="40% - Accent4 3 5 2 4 2 3 2" xfId="45627" xr:uid="{00000000-0005-0000-0000-000012740000}"/>
    <cellStyle name="40% - Accent4 3 5 2 4 2 4" xfId="32711" xr:uid="{00000000-0005-0000-0000-000013740000}"/>
    <cellStyle name="40% - Accent4 3 5 2 4 3" xfId="10066" xr:uid="{00000000-0005-0000-0000-000014740000}"/>
    <cellStyle name="40% - Accent4 3 5 2 4 3 2" xfId="22983" xr:uid="{00000000-0005-0000-0000-000015740000}"/>
    <cellStyle name="40% - Accent4 3 5 2 4 3 2 2" xfId="48857" xr:uid="{00000000-0005-0000-0000-000016740000}"/>
    <cellStyle name="40% - Accent4 3 5 2 4 3 3" xfId="35941" xr:uid="{00000000-0005-0000-0000-000017740000}"/>
    <cellStyle name="40% - Accent4 3 5 2 4 4" xfId="16525" xr:uid="{00000000-0005-0000-0000-000018740000}"/>
    <cellStyle name="40% - Accent4 3 5 2 4 4 2" xfId="42399" xr:uid="{00000000-0005-0000-0000-000019740000}"/>
    <cellStyle name="40% - Accent4 3 5 2 4 5" xfId="29451" xr:uid="{00000000-0005-0000-0000-00001A740000}"/>
    <cellStyle name="40% - Accent4 3 5 2 5" xfId="5221" xr:uid="{00000000-0005-0000-0000-00001B740000}"/>
    <cellStyle name="40% - Accent4 3 5 2 5 2" xfId="11680" xr:uid="{00000000-0005-0000-0000-00001C740000}"/>
    <cellStyle name="40% - Accent4 3 5 2 5 2 2" xfId="24597" xr:uid="{00000000-0005-0000-0000-00001D740000}"/>
    <cellStyle name="40% - Accent4 3 5 2 5 2 2 2" xfId="50471" xr:uid="{00000000-0005-0000-0000-00001E740000}"/>
    <cellStyle name="40% - Accent4 3 5 2 5 2 3" xfId="37555" xr:uid="{00000000-0005-0000-0000-00001F740000}"/>
    <cellStyle name="40% - Accent4 3 5 2 5 3" xfId="18139" xr:uid="{00000000-0005-0000-0000-000020740000}"/>
    <cellStyle name="40% - Accent4 3 5 2 5 3 2" xfId="44013" xr:uid="{00000000-0005-0000-0000-000021740000}"/>
    <cellStyle name="40% - Accent4 3 5 2 5 4" xfId="31097" xr:uid="{00000000-0005-0000-0000-000022740000}"/>
    <cellStyle name="40% - Accent4 3 5 2 6" xfId="8452" xr:uid="{00000000-0005-0000-0000-000023740000}"/>
    <cellStyle name="40% - Accent4 3 5 2 6 2" xfId="21369" xr:uid="{00000000-0005-0000-0000-000024740000}"/>
    <cellStyle name="40% - Accent4 3 5 2 6 2 2" xfId="47243" xr:uid="{00000000-0005-0000-0000-000025740000}"/>
    <cellStyle name="40% - Accent4 3 5 2 6 3" xfId="34327" xr:uid="{00000000-0005-0000-0000-000026740000}"/>
    <cellStyle name="40% - Accent4 3 5 2 7" xfId="14911" xr:uid="{00000000-0005-0000-0000-000027740000}"/>
    <cellStyle name="40% - Accent4 3 5 2 7 2" xfId="40785" xr:uid="{00000000-0005-0000-0000-000028740000}"/>
    <cellStyle name="40% - Accent4 3 5 2 8" xfId="27836" xr:uid="{00000000-0005-0000-0000-000029740000}"/>
    <cellStyle name="40% - Accent4 3 5 2 9" xfId="53699" xr:uid="{00000000-0005-0000-0000-00002A740000}"/>
    <cellStyle name="40% - Accent4 3 5 3" xfId="746" xr:uid="{00000000-0005-0000-0000-00002B740000}"/>
    <cellStyle name="40% - Accent4 3 5 3 2" xfId="2963" xr:uid="{00000000-0005-0000-0000-00002C740000}"/>
    <cellStyle name="40% - Accent4 3 5 3 2 2" xfId="4620" xr:uid="{00000000-0005-0000-0000-00002D740000}"/>
    <cellStyle name="40% - Accent4 3 5 3 2 2 2" xfId="7851" xr:uid="{00000000-0005-0000-0000-00002E740000}"/>
    <cellStyle name="40% - Accent4 3 5 3 2 2 2 2" xfId="14310" xr:uid="{00000000-0005-0000-0000-00002F740000}"/>
    <cellStyle name="40% - Accent4 3 5 3 2 2 2 2 2" xfId="27227" xr:uid="{00000000-0005-0000-0000-000030740000}"/>
    <cellStyle name="40% - Accent4 3 5 3 2 2 2 2 2 2" xfId="53101" xr:uid="{00000000-0005-0000-0000-000031740000}"/>
    <cellStyle name="40% - Accent4 3 5 3 2 2 2 2 3" xfId="40185" xr:uid="{00000000-0005-0000-0000-000032740000}"/>
    <cellStyle name="40% - Accent4 3 5 3 2 2 2 3" xfId="20769" xr:uid="{00000000-0005-0000-0000-000033740000}"/>
    <cellStyle name="40% - Accent4 3 5 3 2 2 2 3 2" xfId="46643" xr:uid="{00000000-0005-0000-0000-000034740000}"/>
    <cellStyle name="40% - Accent4 3 5 3 2 2 2 4" xfId="33727" xr:uid="{00000000-0005-0000-0000-000035740000}"/>
    <cellStyle name="40% - Accent4 3 5 3 2 2 3" xfId="11082" xr:uid="{00000000-0005-0000-0000-000036740000}"/>
    <cellStyle name="40% - Accent4 3 5 3 2 2 3 2" xfId="23999" xr:uid="{00000000-0005-0000-0000-000037740000}"/>
    <cellStyle name="40% - Accent4 3 5 3 2 2 3 2 2" xfId="49873" xr:uid="{00000000-0005-0000-0000-000038740000}"/>
    <cellStyle name="40% - Accent4 3 5 3 2 2 3 3" xfId="36957" xr:uid="{00000000-0005-0000-0000-000039740000}"/>
    <cellStyle name="40% - Accent4 3 5 3 2 2 4" xfId="17541" xr:uid="{00000000-0005-0000-0000-00003A740000}"/>
    <cellStyle name="40% - Accent4 3 5 3 2 2 4 2" xfId="43415" xr:uid="{00000000-0005-0000-0000-00003B740000}"/>
    <cellStyle name="40% - Accent4 3 5 3 2 2 5" xfId="30467" xr:uid="{00000000-0005-0000-0000-00003C740000}"/>
    <cellStyle name="40% - Accent4 3 5 3 2 3" xfId="6237" xr:uid="{00000000-0005-0000-0000-00003D740000}"/>
    <cellStyle name="40% - Accent4 3 5 3 2 3 2" xfId="12696" xr:uid="{00000000-0005-0000-0000-00003E740000}"/>
    <cellStyle name="40% - Accent4 3 5 3 2 3 2 2" xfId="25613" xr:uid="{00000000-0005-0000-0000-00003F740000}"/>
    <cellStyle name="40% - Accent4 3 5 3 2 3 2 2 2" xfId="51487" xr:uid="{00000000-0005-0000-0000-000040740000}"/>
    <cellStyle name="40% - Accent4 3 5 3 2 3 2 3" xfId="38571" xr:uid="{00000000-0005-0000-0000-000041740000}"/>
    <cellStyle name="40% - Accent4 3 5 3 2 3 3" xfId="19155" xr:uid="{00000000-0005-0000-0000-000042740000}"/>
    <cellStyle name="40% - Accent4 3 5 3 2 3 3 2" xfId="45029" xr:uid="{00000000-0005-0000-0000-000043740000}"/>
    <cellStyle name="40% - Accent4 3 5 3 2 3 4" xfId="32113" xr:uid="{00000000-0005-0000-0000-000044740000}"/>
    <cellStyle name="40% - Accent4 3 5 3 2 4" xfId="9468" xr:uid="{00000000-0005-0000-0000-000045740000}"/>
    <cellStyle name="40% - Accent4 3 5 3 2 4 2" xfId="22385" xr:uid="{00000000-0005-0000-0000-000046740000}"/>
    <cellStyle name="40% - Accent4 3 5 3 2 4 2 2" xfId="48259" xr:uid="{00000000-0005-0000-0000-000047740000}"/>
    <cellStyle name="40% - Accent4 3 5 3 2 4 3" xfId="35343" xr:uid="{00000000-0005-0000-0000-000048740000}"/>
    <cellStyle name="40% - Accent4 3 5 3 2 5" xfId="15927" xr:uid="{00000000-0005-0000-0000-000049740000}"/>
    <cellStyle name="40% - Accent4 3 5 3 2 5 2" xfId="41801" xr:uid="{00000000-0005-0000-0000-00004A740000}"/>
    <cellStyle name="40% - Accent4 3 5 3 2 6" xfId="28853" xr:uid="{00000000-0005-0000-0000-00004B740000}"/>
    <cellStyle name="40% - Accent4 3 5 3 3" xfId="3790" xr:uid="{00000000-0005-0000-0000-00004C740000}"/>
    <cellStyle name="40% - Accent4 3 5 3 3 2" xfId="7044" xr:uid="{00000000-0005-0000-0000-00004D740000}"/>
    <cellStyle name="40% - Accent4 3 5 3 3 2 2" xfId="13503" xr:uid="{00000000-0005-0000-0000-00004E740000}"/>
    <cellStyle name="40% - Accent4 3 5 3 3 2 2 2" xfId="26420" xr:uid="{00000000-0005-0000-0000-00004F740000}"/>
    <cellStyle name="40% - Accent4 3 5 3 3 2 2 2 2" xfId="52294" xr:uid="{00000000-0005-0000-0000-000050740000}"/>
    <cellStyle name="40% - Accent4 3 5 3 3 2 2 3" xfId="39378" xr:uid="{00000000-0005-0000-0000-000051740000}"/>
    <cellStyle name="40% - Accent4 3 5 3 3 2 3" xfId="19962" xr:uid="{00000000-0005-0000-0000-000052740000}"/>
    <cellStyle name="40% - Accent4 3 5 3 3 2 3 2" xfId="45836" xr:uid="{00000000-0005-0000-0000-000053740000}"/>
    <cellStyle name="40% - Accent4 3 5 3 3 2 4" xfId="32920" xr:uid="{00000000-0005-0000-0000-000054740000}"/>
    <cellStyle name="40% - Accent4 3 5 3 3 3" xfId="10275" xr:uid="{00000000-0005-0000-0000-000055740000}"/>
    <cellStyle name="40% - Accent4 3 5 3 3 3 2" xfId="23192" xr:uid="{00000000-0005-0000-0000-000056740000}"/>
    <cellStyle name="40% - Accent4 3 5 3 3 3 2 2" xfId="49066" xr:uid="{00000000-0005-0000-0000-000057740000}"/>
    <cellStyle name="40% - Accent4 3 5 3 3 3 3" xfId="36150" xr:uid="{00000000-0005-0000-0000-000058740000}"/>
    <cellStyle name="40% - Accent4 3 5 3 3 4" xfId="16734" xr:uid="{00000000-0005-0000-0000-000059740000}"/>
    <cellStyle name="40% - Accent4 3 5 3 3 4 2" xfId="42608" xr:uid="{00000000-0005-0000-0000-00005A740000}"/>
    <cellStyle name="40% - Accent4 3 5 3 3 5" xfId="29660" xr:uid="{00000000-0005-0000-0000-00005B740000}"/>
    <cellStyle name="40% - Accent4 3 5 3 4" xfId="5430" xr:uid="{00000000-0005-0000-0000-00005C740000}"/>
    <cellStyle name="40% - Accent4 3 5 3 4 2" xfId="11889" xr:uid="{00000000-0005-0000-0000-00005D740000}"/>
    <cellStyle name="40% - Accent4 3 5 3 4 2 2" xfId="24806" xr:uid="{00000000-0005-0000-0000-00005E740000}"/>
    <cellStyle name="40% - Accent4 3 5 3 4 2 2 2" xfId="50680" xr:uid="{00000000-0005-0000-0000-00005F740000}"/>
    <cellStyle name="40% - Accent4 3 5 3 4 2 3" xfId="37764" xr:uid="{00000000-0005-0000-0000-000060740000}"/>
    <cellStyle name="40% - Accent4 3 5 3 4 3" xfId="18348" xr:uid="{00000000-0005-0000-0000-000061740000}"/>
    <cellStyle name="40% - Accent4 3 5 3 4 3 2" xfId="44222" xr:uid="{00000000-0005-0000-0000-000062740000}"/>
    <cellStyle name="40% - Accent4 3 5 3 4 4" xfId="31306" xr:uid="{00000000-0005-0000-0000-000063740000}"/>
    <cellStyle name="40% - Accent4 3 5 3 5" xfId="8661" xr:uid="{00000000-0005-0000-0000-000064740000}"/>
    <cellStyle name="40% - Accent4 3 5 3 5 2" xfId="21578" xr:uid="{00000000-0005-0000-0000-000065740000}"/>
    <cellStyle name="40% - Accent4 3 5 3 5 2 2" xfId="47452" xr:uid="{00000000-0005-0000-0000-000066740000}"/>
    <cellStyle name="40% - Accent4 3 5 3 5 3" xfId="34536" xr:uid="{00000000-0005-0000-0000-000067740000}"/>
    <cellStyle name="40% - Accent4 3 5 3 6" xfId="15120" xr:uid="{00000000-0005-0000-0000-000068740000}"/>
    <cellStyle name="40% - Accent4 3 5 3 6 2" xfId="40994" xr:uid="{00000000-0005-0000-0000-000069740000}"/>
    <cellStyle name="40% - Accent4 3 5 3 7" xfId="28046" xr:uid="{00000000-0005-0000-0000-00006A740000}"/>
    <cellStyle name="40% - Accent4 3 5 3 8" xfId="53908" xr:uid="{00000000-0005-0000-0000-00006B740000}"/>
    <cellStyle name="40% - Accent4 3 5 3 9" xfId="2149" xr:uid="{00000000-0005-0000-0000-00006C740000}"/>
    <cellStyle name="40% - Accent4 3 5 4" xfId="2560" xr:uid="{00000000-0005-0000-0000-00006D740000}"/>
    <cellStyle name="40% - Accent4 3 5 4 2" xfId="4217" xr:uid="{00000000-0005-0000-0000-00006E740000}"/>
    <cellStyle name="40% - Accent4 3 5 4 2 2" xfId="7448" xr:uid="{00000000-0005-0000-0000-00006F740000}"/>
    <cellStyle name="40% - Accent4 3 5 4 2 2 2" xfId="13907" xr:uid="{00000000-0005-0000-0000-000070740000}"/>
    <cellStyle name="40% - Accent4 3 5 4 2 2 2 2" xfId="26824" xr:uid="{00000000-0005-0000-0000-000071740000}"/>
    <cellStyle name="40% - Accent4 3 5 4 2 2 2 2 2" xfId="52698" xr:uid="{00000000-0005-0000-0000-000072740000}"/>
    <cellStyle name="40% - Accent4 3 5 4 2 2 2 3" xfId="39782" xr:uid="{00000000-0005-0000-0000-000073740000}"/>
    <cellStyle name="40% - Accent4 3 5 4 2 2 3" xfId="20366" xr:uid="{00000000-0005-0000-0000-000074740000}"/>
    <cellStyle name="40% - Accent4 3 5 4 2 2 3 2" xfId="46240" xr:uid="{00000000-0005-0000-0000-000075740000}"/>
    <cellStyle name="40% - Accent4 3 5 4 2 2 4" xfId="33324" xr:uid="{00000000-0005-0000-0000-000076740000}"/>
    <cellStyle name="40% - Accent4 3 5 4 2 3" xfId="10679" xr:uid="{00000000-0005-0000-0000-000077740000}"/>
    <cellStyle name="40% - Accent4 3 5 4 2 3 2" xfId="23596" xr:uid="{00000000-0005-0000-0000-000078740000}"/>
    <cellStyle name="40% - Accent4 3 5 4 2 3 2 2" xfId="49470" xr:uid="{00000000-0005-0000-0000-000079740000}"/>
    <cellStyle name="40% - Accent4 3 5 4 2 3 3" xfId="36554" xr:uid="{00000000-0005-0000-0000-00007A740000}"/>
    <cellStyle name="40% - Accent4 3 5 4 2 4" xfId="17138" xr:uid="{00000000-0005-0000-0000-00007B740000}"/>
    <cellStyle name="40% - Accent4 3 5 4 2 4 2" xfId="43012" xr:uid="{00000000-0005-0000-0000-00007C740000}"/>
    <cellStyle name="40% - Accent4 3 5 4 2 5" xfId="30064" xr:uid="{00000000-0005-0000-0000-00007D740000}"/>
    <cellStyle name="40% - Accent4 3 5 4 3" xfId="5834" xr:uid="{00000000-0005-0000-0000-00007E740000}"/>
    <cellStyle name="40% - Accent4 3 5 4 3 2" xfId="12293" xr:uid="{00000000-0005-0000-0000-00007F740000}"/>
    <cellStyle name="40% - Accent4 3 5 4 3 2 2" xfId="25210" xr:uid="{00000000-0005-0000-0000-000080740000}"/>
    <cellStyle name="40% - Accent4 3 5 4 3 2 2 2" xfId="51084" xr:uid="{00000000-0005-0000-0000-000081740000}"/>
    <cellStyle name="40% - Accent4 3 5 4 3 2 3" xfId="38168" xr:uid="{00000000-0005-0000-0000-000082740000}"/>
    <cellStyle name="40% - Accent4 3 5 4 3 3" xfId="18752" xr:uid="{00000000-0005-0000-0000-000083740000}"/>
    <cellStyle name="40% - Accent4 3 5 4 3 3 2" xfId="44626" xr:uid="{00000000-0005-0000-0000-000084740000}"/>
    <cellStyle name="40% - Accent4 3 5 4 3 4" xfId="31710" xr:uid="{00000000-0005-0000-0000-000085740000}"/>
    <cellStyle name="40% - Accent4 3 5 4 4" xfId="9065" xr:uid="{00000000-0005-0000-0000-000086740000}"/>
    <cellStyle name="40% - Accent4 3 5 4 4 2" xfId="21982" xr:uid="{00000000-0005-0000-0000-000087740000}"/>
    <cellStyle name="40% - Accent4 3 5 4 4 2 2" xfId="47856" xr:uid="{00000000-0005-0000-0000-000088740000}"/>
    <cellStyle name="40% - Accent4 3 5 4 4 3" xfId="34940" xr:uid="{00000000-0005-0000-0000-000089740000}"/>
    <cellStyle name="40% - Accent4 3 5 4 5" xfId="15524" xr:uid="{00000000-0005-0000-0000-00008A740000}"/>
    <cellStyle name="40% - Accent4 3 5 4 5 2" xfId="41398" xr:uid="{00000000-0005-0000-0000-00008B740000}"/>
    <cellStyle name="40% - Accent4 3 5 4 6" xfId="28450" xr:uid="{00000000-0005-0000-0000-00008C740000}"/>
    <cellStyle name="40% - Accent4 3 5 5" xfId="3385" xr:uid="{00000000-0005-0000-0000-00008D740000}"/>
    <cellStyle name="40% - Accent4 3 5 5 2" xfId="6641" xr:uid="{00000000-0005-0000-0000-00008E740000}"/>
    <cellStyle name="40% - Accent4 3 5 5 2 2" xfId="13100" xr:uid="{00000000-0005-0000-0000-00008F740000}"/>
    <cellStyle name="40% - Accent4 3 5 5 2 2 2" xfId="26017" xr:uid="{00000000-0005-0000-0000-000090740000}"/>
    <cellStyle name="40% - Accent4 3 5 5 2 2 2 2" xfId="51891" xr:uid="{00000000-0005-0000-0000-000091740000}"/>
    <cellStyle name="40% - Accent4 3 5 5 2 2 3" xfId="38975" xr:uid="{00000000-0005-0000-0000-000092740000}"/>
    <cellStyle name="40% - Accent4 3 5 5 2 3" xfId="19559" xr:uid="{00000000-0005-0000-0000-000093740000}"/>
    <cellStyle name="40% - Accent4 3 5 5 2 3 2" xfId="45433" xr:uid="{00000000-0005-0000-0000-000094740000}"/>
    <cellStyle name="40% - Accent4 3 5 5 2 4" xfId="32517" xr:uid="{00000000-0005-0000-0000-000095740000}"/>
    <cellStyle name="40% - Accent4 3 5 5 3" xfId="9872" xr:uid="{00000000-0005-0000-0000-000096740000}"/>
    <cellStyle name="40% - Accent4 3 5 5 3 2" xfId="22789" xr:uid="{00000000-0005-0000-0000-000097740000}"/>
    <cellStyle name="40% - Accent4 3 5 5 3 2 2" xfId="48663" xr:uid="{00000000-0005-0000-0000-000098740000}"/>
    <cellStyle name="40% - Accent4 3 5 5 3 3" xfId="35747" xr:uid="{00000000-0005-0000-0000-000099740000}"/>
    <cellStyle name="40% - Accent4 3 5 5 4" xfId="16331" xr:uid="{00000000-0005-0000-0000-00009A740000}"/>
    <cellStyle name="40% - Accent4 3 5 5 4 2" xfId="42205" xr:uid="{00000000-0005-0000-0000-00009B740000}"/>
    <cellStyle name="40% - Accent4 3 5 5 5" xfId="29257" xr:uid="{00000000-0005-0000-0000-00009C740000}"/>
    <cellStyle name="40% - Accent4 3 5 6" xfId="5027" xr:uid="{00000000-0005-0000-0000-00009D740000}"/>
    <cellStyle name="40% - Accent4 3 5 6 2" xfId="11486" xr:uid="{00000000-0005-0000-0000-00009E740000}"/>
    <cellStyle name="40% - Accent4 3 5 6 2 2" xfId="24403" xr:uid="{00000000-0005-0000-0000-00009F740000}"/>
    <cellStyle name="40% - Accent4 3 5 6 2 2 2" xfId="50277" xr:uid="{00000000-0005-0000-0000-0000A0740000}"/>
    <cellStyle name="40% - Accent4 3 5 6 2 3" xfId="37361" xr:uid="{00000000-0005-0000-0000-0000A1740000}"/>
    <cellStyle name="40% - Accent4 3 5 6 3" xfId="17945" xr:uid="{00000000-0005-0000-0000-0000A2740000}"/>
    <cellStyle name="40% - Accent4 3 5 6 3 2" xfId="43819" xr:uid="{00000000-0005-0000-0000-0000A3740000}"/>
    <cellStyle name="40% - Accent4 3 5 6 4" xfId="30903" xr:uid="{00000000-0005-0000-0000-0000A4740000}"/>
    <cellStyle name="40% - Accent4 3 5 7" xfId="8257" xr:uid="{00000000-0005-0000-0000-0000A5740000}"/>
    <cellStyle name="40% - Accent4 3 5 7 2" xfId="21174" xr:uid="{00000000-0005-0000-0000-0000A6740000}"/>
    <cellStyle name="40% - Accent4 3 5 7 2 2" xfId="47048" xr:uid="{00000000-0005-0000-0000-0000A7740000}"/>
    <cellStyle name="40% - Accent4 3 5 7 3" xfId="34132" xr:uid="{00000000-0005-0000-0000-0000A8740000}"/>
    <cellStyle name="40% - Accent4 3 5 8" xfId="14716" xr:uid="{00000000-0005-0000-0000-0000A9740000}"/>
    <cellStyle name="40% - Accent4 3 5 8 2" xfId="40590" xr:uid="{00000000-0005-0000-0000-0000AA740000}"/>
    <cellStyle name="40% - Accent4 3 5 9" xfId="27640" xr:uid="{00000000-0005-0000-0000-0000AB740000}"/>
    <cellStyle name="40% - Accent4 3 6" xfId="748" xr:uid="{00000000-0005-0000-0000-0000AC740000}"/>
    <cellStyle name="40% - Accent4 3 7" xfId="733" xr:uid="{00000000-0005-0000-0000-0000AD740000}"/>
    <cellStyle name="40% - Accent4 3 8" xfId="1120" xr:uid="{00000000-0005-0000-0000-0000AE740000}"/>
    <cellStyle name="40% - Accent4 4" xfId="487" xr:uid="{00000000-0005-0000-0000-0000AF740000}"/>
    <cellStyle name="40% - Accent4 4 2" xfId="750" xr:uid="{00000000-0005-0000-0000-0000B0740000}"/>
    <cellStyle name="40% - Accent4 4 3" xfId="749" xr:uid="{00000000-0005-0000-0000-0000B1740000}"/>
    <cellStyle name="40% - Accent4 4 4" xfId="1121" xr:uid="{00000000-0005-0000-0000-0000B2740000}"/>
    <cellStyle name="40% - Accent4 5" xfId="397" xr:uid="{00000000-0005-0000-0000-0000B3740000}"/>
    <cellStyle name="40% - Accent4 5 2" xfId="752" xr:uid="{00000000-0005-0000-0000-0000B4740000}"/>
    <cellStyle name="40% - Accent4 5 3" xfId="751" xr:uid="{00000000-0005-0000-0000-0000B5740000}"/>
    <cellStyle name="40% - Accent4 5 4" xfId="1122" xr:uid="{00000000-0005-0000-0000-0000B6740000}"/>
    <cellStyle name="40% - Accent4 6" xfId="753" xr:uid="{00000000-0005-0000-0000-0000B7740000}"/>
    <cellStyle name="40% - Accent4 6 2" xfId="1123" xr:uid="{00000000-0005-0000-0000-0000B8740000}"/>
    <cellStyle name="40% - Accent4 7" xfId="728" xr:uid="{00000000-0005-0000-0000-0000B9740000}"/>
    <cellStyle name="40% - Accent4 7 2" xfId="1125" xr:uid="{00000000-0005-0000-0000-0000BA740000}"/>
    <cellStyle name="40% - Accent4 7 3" xfId="1126" xr:uid="{00000000-0005-0000-0000-0000BB740000}"/>
    <cellStyle name="40% - Accent4 7 3 10" xfId="27596" xr:uid="{00000000-0005-0000-0000-0000BC740000}"/>
    <cellStyle name="40% - Accent4 7 3 11" xfId="53462" xr:uid="{00000000-0005-0000-0000-0000BD740000}"/>
    <cellStyle name="40% - Accent4 7 3 2" xfId="1735" xr:uid="{00000000-0005-0000-0000-0000BE740000}"/>
    <cellStyle name="40% - Accent4 7 3 2 10" xfId="53592" xr:uid="{00000000-0005-0000-0000-0000BF740000}"/>
    <cellStyle name="40% - Accent4 7 3 2 2" xfId="2001" xr:uid="{00000000-0005-0000-0000-0000C0740000}"/>
    <cellStyle name="40% - Accent4 7 3 2 2 2" xfId="2432" xr:uid="{00000000-0005-0000-0000-0000C1740000}"/>
    <cellStyle name="40% - Accent4 7 3 2 2 2 2" xfId="3245" xr:uid="{00000000-0005-0000-0000-0000C2740000}"/>
    <cellStyle name="40% - Accent4 7 3 2 2 2 2 2" xfId="4902" xr:uid="{00000000-0005-0000-0000-0000C3740000}"/>
    <cellStyle name="40% - Accent4 7 3 2 2 2 2 2 2" xfId="8133" xr:uid="{00000000-0005-0000-0000-0000C4740000}"/>
    <cellStyle name="40% - Accent4 7 3 2 2 2 2 2 2 2" xfId="14592" xr:uid="{00000000-0005-0000-0000-0000C5740000}"/>
    <cellStyle name="40% - Accent4 7 3 2 2 2 2 2 2 2 2" xfId="27509" xr:uid="{00000000-0005-0000-0000-0000C6740000}"/>
    <cellStyle name="40% - Accent4 7 3 2 2 2 2 2 2 2 2 2" xfId="53383" xr:uid="{00000000-0005-0000-0000-0000C7740000}"/>
    <cellStyle name="40% - Accent4 7 3 2 2 2 2 2 2 2 3" xfId="40467" xr:uid="{00000000-0005-0000-0000-0000C8740000}"/>
    <cellStyle name="40% - Accent4 7 3 2 2 2 2 2 2 3" xfId="21051" xr:uid="{00000000-0005-0000-0000-0000C9740000}"/>
    <cellStyle name="40% - Accent4 7 3 2 2 2 2 2 2 3 2" xfId="46925" xr:uid="{00000000-0005-0000-0000-0000CA740000}"/>
    <cellStyle name="40% - Accent4 7 3 2 2 2 2 2 2 4" xfId="34009" xr:uid="{00000000-0005-0000-0000-0000CB740000}"/>
    <cellStyle name="40% - Accent4 7 3 2 2 2 2 2 3" xfId="11364" xr:uid="{00000000-0005-0000-0000-0000CC740000}"/>
    <cellStyle name="40% - Accent4 7 3 2 2 2 2 2 3 2" xfId="24281" xr:uid="{00000000-0005-0000-0000-0000CD740000}"/>
    <cellStyle name="40% - Accent4 7 3 2 2 2 2 2 3 2 2" xfId="50155" xr:uid="{00000000-0005-0000-0000-0000CE740000}"/>
    <cellStyle name="40% - Accent4 7 3 2 2 2 2 2 3 3" xfId="37239" xr:uid="{00000000-0005-0000-0000-0000CF740000}"/>
    <cellStyle name="40% - Accent4 7 3 2 2 2 2 2 4" xfId="17823" xr:uid="{00000000-0005-0000-0000-0000D0740000}"/>
    <cellStyle name="40% - Accent4 7 3 2 2 2 2 2 4 2" xfId="43697" xr:uid="{00000000-0005-0000-0000-0000D1740000}"/>
    <cellStyle name="40% - Accent4 7 3 2 2 2 2 2 5" xfId="30749" xr:uid="{00000000-0005-0000-0000-0000D2740000}"/>
    <cellStyle name="40% - Accent4 7 3 2 2 2 2 3" xfId="6519" xr:uid="{00000000-0005-0000-0000-0000D3740000}"/>
    <cellStyle name="40% - Accent4 7 3 2 2 2 2 3 2" xfId="12978" xr:uid="{00000000-0005-0000-0000-0000D4740000}"/>
    <cellStyle name="40% - Accent4 7 3 2 2 2 2 3 2 2" xfId="25895" xr:uid="{00000000-0005-0000-0000-0000D5740000}"/>
    <cellStyle name="40% - Accent4 7 3 2 2 2 2 3 2 2 2" xfId="51769" xr:uid="{00000000-0005-0000-0000-0000D6740000}"/>
    <cellStyle name="40% - Accent4 7 3 2 2 2 2 3 2 3" xfId="38853" xr:uid="{00000000-0005-0000-0000-0000D7740000}"/>
    <cellStyle name="40% - Accent4 7 3 2 2 2 2 3 3" xfId="19437" xr:uid="{00000000-0005-0000-0000-0000D8740000}"/>
    <cellStyle name="40% - Accent4 7 3 2 2 2 2 3 3 2" xfId="45311" xr:uid="{00000000-0005-0000-0000-0000D9740000}"/>
    <cellStyle name="40% - Accent4 7 3 2 2 2 2 3 4" xfId="32395" xr:uid="{00000000-0005-0000-0000-0000DA740000}"/>
    <cellStyle name="40% - Accent4 7 3 2 2 2 2 4" xfId="9750" xr:uid="{00000000-0005-0000-0000-0000DB740000}"/>
    <cellStyle name="40% - Accent4 7 3 2 2 2 2 4 2" xfId="22667" xr:uid="{00000000-0005-0000-0000-0000DC740000}"/>
    <cellStyle name="40% - Accent4 7 3 2 2 2 2 4 2 2" xfId="48541" xr:uid="{00000000-0005-0000-0000-0000DD740000}"/>
    <cellStyle name="40% - Accent4 7 3 2 2 2 2 4 3" xfId="35625" xr:uid="{00000000-0005-0000-0000-0000DE740000}"/>
    <cellStyle name="40% - Accent4 7 3 2 2 2 2 5" xfId="16209" xr:uid="{00000000-0005-0000-0000-0000DF740000}"/>
    <cellStyle name="40% - Accent4 7 3 2 2 2 2 5 2" xfId="42083" xr:uid="{00000000-0005-0000-0000-0000E0740000}"/>
    <cellStyle name="40% - Accent4 7 3 2 2 2 2 6" xfId="29135" xr:uid="{00000000-0005-0000-0000-0000E1740000}"/>
    <cellStyle name="40% - Accent4 7 3 2 2 2 3" xfId="4072" xr:uid="{00000000-0005-0000-0000-0000E2740000}"/>
    <cellStyle name="40% - Accent4 7 3 2 2 2 3 2" xfId="7326" xr:uid="{00000000-0005-0000-0000-0000E3740000}"/>
    <cellStyle name="40% - Accent4 7 3 2 2 2 3 2 2" xfId="13785" xr:uid="{00000000-0005-0000-0000-0000E4740000}"/>
    <cellStyle name="40% - Accent4 7 3 2 2 2 3 2 2 2" xfId="26702" xr:uid="{00000000-0005-0000-0000-0000E5740000}"/>
    <cellStyle name="40% - Accent4 7 3 2 2 2 3 2 2 2 2" xfId="52576" xr:uid="{00000000-0005-0000-0000-0000E6740000}"/>
    <cellStyle name="40% - Accent4 7 3 2 2 2 3 2 2 3" xfId="39660" xr:uid="{00000000-0005-0000-0000-0000E7740000}"/>
    <cellStyle name="40% - Accent4 7 3 2 2 2 3 2 3" xfId="20244" xr:uid="{00000000-0005-0000-0000-0000E8740000}"/>
    <cellStyle name="40% - Accent4 7 3 2 2 2 3 2 3 2" xfId="46118" xr:uid="{00000000-0005-0000-0000-0000E9740000}"/>
    <cellStyle name="40% - Accent4 7 3 2 2 2 3 2 4" xfId="33202" xr:uid="{00000000-0005-0000-0000-0000EA740000}"/>
    <cellStyle name="40% - Accent4 7 3 2 2 2 3 3" xfId="10557" xr:uid="{00000000-0005-0000-0000-0000EB740000}"/>
    <cellStyle name="40% - Accent4 7 3 2 2 2 3 3 2" xfId="23474" xr:uid="{00000000-0005-0000-0000-0000EC740000}"/>
    <cellStyle name="40% - Accent4 7 3 2 2 2 3 3 2 2" xfId="49348" xr:uid="{00000000-0005-0000-0000-0000ED740000}"/>
    <cellStyle name="40% - Accent4 7 3 2 2 2 3 3 3" xfId="36432" xr:uid="{00000000-0005-0000-0000-0000EE740000}"/>
    <cellStyle name="40% - Accent4 7 3 2 2 2 3 4" xfId="17016" xr:uid="{00000000-0005-0000-0000-0000EF740000}"/>
    <cellStyle name="40% - Accent4 7 3 2 2 2 3 4 2" xfId="42890" xr:uid="{00000000-0005-0000-0000-0000F0740000}"/>
    <cellStyle name="40% - Accent4 7 3 2 2 2 3 5" xfId="29942" xr:uid="{00000000-0005-0000-0000-0000F1740000}"/>
    <cellStyle name="40% - Accent4 7 3 2 2 2 4" xfId="5712" xr:uid="{00000000-0005-0000-0000-0000F2740000}"/>
    <cellStyle name="40% - Accent4 7 3 2 2 2 4 2" xfId="12171" xr:uid="{00000000-0005-0000-0000-0000F3740000}"/>
    <cellStyle name="40% - Accent4 7 3 2 2 2 4 2 2" xfId="25088" xr:uid="{00000000-0005-0000-0000-0000F4740000}"/>
    <cellStyle name="40% - Accent4 7 3 2 2 2 4 2 2 2" xfId="50962" xr:uid="{00000000-0005-0000-0000-0000F5740000}"/>
    <cellStyle name="40% - Accent4 7 3 2 2 2 4 2 3" xfId="38046" xr:uid="{00000000-0005-0000-0000-0000F6740000}"/>
    <cellStyle name="40% - Accent4 7 3 2 2 2 4 3" xfId="18630" xr:uid="{00000000-0005-0000-0000-0000F7740000}"/>
    <cellStyle name="40% - Accent4 7 3 2 2 2 4 3 2" xfId="44504" xr:uid="{00000000-0005-0000-0000-0000F8740000}"/>
    <cellStyle name="40% - Accent4 7 3 2 2 2 4 4" xfId="31588" xr:uid="{00000000-0005-0000-0000-0000F9740000}"/>
    <cellStyle name="40% - Accent4 7 3 2 2 2 5" xfId="8943" xr:uid="{00000000-0005-0000-0000-0000FA740000}"/>
    <cellStyle name="40% - Accent4 7 3 2 2 2 5 2" xfId="21860" xr:uid="{00000000-0005-0000-0000-0000FB740000}"/>
    <cellStyle name="40% - Accent4 7 3 2 2 2 5 2 2" xfId="47734" xr:uid="{00000000-0005-0000-0000-0000FC740000}"/>
    <cellStyle name="40% - Accent4 7 3 2 2 2 5 3" xfId="34818" xr:uid="{00000000-0005-0000-0000-0000FD740000}"/>
    <cellStyle name="40% - Accent4 7 3 2 2 2 6" xfId="15402" xr:uid="{00000000-0005-0000-0000-0000FE740000}"/>
    <cellStyle name="40% - Accent4 7 3 2 2 2 6 2" xfId="41276" xr:uid="{00000000-0005-0000-0000-0000FF740000}"/>
    <cellStyle name="40% - Accent4 7 3 2 2 2 7" xfId="28328" xr:uid="{00000000-0005-0000-0000-000000750000}"/>
    <cellStyle name="40% - Accent4 7 3 2 2 2 8" xfId="54190" xr:uid="{00000000-0005-0000-0000-000001750000}"/>
    <cellStyle name="40% - Accent4 7 3 2 2 3" xfId="2841" xr:uid="{00000000-0005-0000-0000-000002750000}"/>
    <cellStyle name="40% - Accent4 7 3 2 2 3 2" xfId="4498" xr:uid="{00000000-0005-0000-0000-000003750000}"/>
    <cellStyle name="40% - Accent4 7 3 2 2 3 2 2" xfId="7729" xr:uid="{00000000-0005-0000-0000-000004750000}"/>
    <cellStyle name="40% - Accent4 7 3 2 2 3 2 2 2" xfId="14188" xr:uid="{00000000-0005-0000-0000-000005750000}"/>
    <cellStyle name="40% - Accent4 7 3 2 2 3 2 2 2 2" xfId="27105" xr:uid="{00000000-0005-0000-0000-000006750000}"/>
    <cellStyle name="40% - Accent4 7 3 2 2 3 2 2 2 2 2" xfId="52979" xr:uid="{00000000-0005-0000-0000-000007750000}"/>
    <cellStyle name="40% - Accent4 7 3 2 2 3 2 2 2 3" xfId="40063" xr:uid="{00000000-0005-0000-0000-000008750000}"/>
    <cellStyle name="40% - Accent4 7 3 2 2 3 2 2 3" xfId="20647" xr:uid="{00000000-0005-0000-0000-000009750000}"/>
    <cellStyle name="40% - Accent4 7 3 2 2 3 2 2 3 2" xfId="46521" xr:uid="{00000000-0005-0000-0000-00000A750000}"/>
    <cellStyle name="40% - Accent4 7 3 2 2 3 2 2 4" xfId="33605" xr:uid="{00000000-0005-0000-0000-00000B750000}"/>
    <cellStyle name="40% - Accent4 7 3 2 2 3 2 3" xfId="10960" xr:uid="{00000000-0005-0000-0000-00000C750000}"/>
    <cellStyle name="40% - Accent4 7 3 2 2 3 2 3 2" xfId="23877" xr:uid="{00000000-0005-0000-0000-00000D750000}"/>
    <cellStyle name="40% - Accent4 7 3 2 2 3 2 3 2 2" xfId="49751" xr:uid="{00000000-0005-0000-0000-00000E750000}"/>
    <cellStyle name="40% - Accent4 7 3 2 2 3 2 3 3" xfId="36835" xr:uid="{00000000-0005-0000-0000-00000F750000}"/>
    <cellStyle name="40% - Accent4 7 3 2 2 3 2 4" xfId="17419" xr:uid="{00000000-0005-0000-0000-000010750000}"/>
    <cellStyle name="40% - Accent4 7 3 2 2 3 2 4 2" xfId="43293" xr:uid="{00000000-0005-0000-0000-000011750000}"/>
    <cellStyle name="40% - Accent4 7 3 2 2 3 2 5" xfId="30345" xr:uid="{00000000-0005-0000-0000-000012750000}"/>
    <cellStyle name="40% - Accent4 7 3 2 2 3 3" xfId="6115" xr:uid="{00000000-0005-0000-0000-000013750000}"/>
    <cellStyle name="40% - Accent4 7 3 2 2 3 3 2" xfId="12574" xr:uid="{00000000-0005-0000-0000-000014750000}"/>
    <cellStyle name="40% - Accent4 7 3 2 2 3 3 2 2" xfId="25491" xr:uid="{00000000-0005-0000-0000-000015750000}"/>
    <cellStyle name="40% - Accent4 7 3 2 2 3 3 2 2 2" xfId="51365" xr:uid="{00000000-0005-0000-0000-000016750000}"/>
    <cellStyle name="40% - Accent4 7 3 2 2 3 3 2 3" xfId="38449" xr:uid="{00000000-0005-0000-0000-000017750000}"/>
    <cellStyle name="40% - Accent4 7 3 2 2 3 3 3" xfId="19033" xr:uid="{00000000-0005-0000-0000-000018750000}"/>
    <cellStyle name="40% - Accent4 7 3 2 2 3 3 3 2" xfId="44907" xr:uid="{00000000-0005-0000-0000-000019750000}"/>
    <cellStyle name="40% - Accent4 7 3 2 2 3 3 4" xfId="31991" xr:uid="{00000000-0005-0000-0000-00001A750000}"/>
    <cellStyle name="40% - Accent4 7 3 2 2 3 4" xfId="9346" xr:uid="{00000000-0005-0000-0000-00001B750000}"/>
    <cellStyle name="40% - Accent4 7 3 2 2 3 4 2" xfId="22263" xr:uid="{00000000-0005-0000-0000-00001C750000}"/>
    <cellStyle name="40% - Accent4 7 3 2 2 3 4 2 2" xfId="48137" xr:uid="{00000000-0005-0000-0000-00001D750000}"/>
    <cellStyle name="40% - Accent4 7 3 2 2 3 4 3" xfId="35221" xr:uid="{00000000-0005-0000-0000-00001E750000}"/>
    <cellStyle name="40% - Accent4 7 3 2 2 3 5" xfId="15805" xr:uid="{00000000-0005-0000-0000-00001F750000}"/>
    <cellStyle name="40% - Accent4 7 3 2 2 3 5 2" xfId="41679" xr:uid="{00000000-0005-0000-0000-000020750000}"/>
    <cellStyle name="40% - Accent4 7 3 2 2 3 6" xfId="28731" xr:uid="{00000000-0005-0000-0000-000021750000}"/>
    <cellStyle name="40% - Accent4 7 3 2 2 4" xfId="3668" xr:uid="{00000000-0005-0000-0000-000022750000}"/>
    <cellStyle name="40% - Accent4 7 3 2 2 4 2" xfId="6922" xr:uid="{00000000-0005-0000-0000-000023750000}"/>
    <cellStyle name="40% - Accent4 7 3 2 2 4 2 2" xfId="13381" xr:uid="{00000000-0005-0000-0000-000024750000}"/>
    <cellStyle name="40% - Accent4 7 3 2 2 4 2 2 2" xfId="26298" xr:uid="{00000000-0005-0000-0000-000025750000}"/>
    <cellStyle name="40% - Accent4 7 3 2 2 4 2 2 2 2" xfId="52172" xr:uid="{00000000-0005-0000-0000-000026750000}"/>
    <cellStyle name="40% - Accent4 7 3 2 2 4 2 2 3" xfId="39256" xr:uid="{00000000-0005-0000-0000-000027750000}"/>
    <cellStyle name="40% - Accent4 7 3 2 2 4 2 3" xfId="19840" xr:uid="{00000000-0005-0000-0000-000028750000}"/>
    <cellStyle name="40% - Accent4 7 3 2 2 4 2 3 2" xfId="45714" xr:uid="{00000000-0005-0000-0000-000029750000}"/>
    <cellStyle name="40% - Accent4 7 3 2 2 4 2 4" xfId="32798" xr:uid="{00000000-0005-0000-0000-00002A750000}"/>
    <cellStyle name="40% - Accent4 7 3 2 2 4 3" xfId="10153" xr:uid="{00000000-0005-0000-0000-00002B750000}"/>
    <cellStyle name="40% - Accent4 7 3 2 2 4 3 2" xfId="23070" xr:uid="{00000000-0005-0000-0000-00002C750000}"/>
    <cellStyle name="40% - Accent4 7 3 2 2 4 3 2 2" xfId="48944" xr:uid="{00000000-0005-0000-0000-00002D750000}"/>
    <cellStyle name="40% - Accent4 7 3 2 2 4 3 3" xfId="36028" xr:uid="{00000000-0005-0000-0000-00002E750000}"/>
    <cellStyle name="40% - Accent4 7 3 2 2 4 4" xfId="16612" xr:uid="{00000000-0005-0000-0000-00002F750000}"/>
    <cellStyle name="40% - Accent4 7 3 2 2 4 4 2" xfId="42486" xr:uid="{00000000-0005-0000-0000-000030750000}"/>
    <cellStyle name="40% - Accent4 7 3 2 2 4 5" xfId="29538" xr:uid="{00000000-0005-0000-0000-000031750000}"/>
    <cellStyle name="40% - Accent4 7 3 2 2 5" xfId="5308" xr:uid="{00000000-0005-0000-0000-000032750000}"/>
    <cellStyle name="40% - Accent4 7 3 2 2 5 2" xfId="11767" xr:uid="{00000000-0005-0000-0000-000033750000}"/>
    <cellStyle name="40% - Accent4 7 3 2 2 5 2 2" xfId="24684" xr:uid="{00000000-0005-0000-0000-000034750000}"/>
    <cellStyle name="40% - Accent4 7 3 2 2 5 2 2 2" xfId="50558" xr:uid="{00000000-0005-0000-0000-000035750000}"/>
    <cellStyle name="40% - Accent4 7 3 2 2 5 2 3" xfId="37642" xr:uid="{00000000-0005-0000-0000-000036750000}"/>
    <cellStyle name="40% - Accent4 7 3 2 2 5 3" xfId="18226" xr:uid="{00000000-0005-0000-0000-000037750000}"/>
    <cellStyle name="40% - Accent4 7 3 2 2 5 3 2" xfId="44100" xr:uid="{00000000-0005-0000-0000-000038750000}"/>
    <cellStyle name="40% - Accent4 7 3 2 2 5 4" xfId="31184" xr:uid="{00000000-0005-0000-0000-000039750000}"/>
    <cellStyle name="40% - Accent4 7 3 2 2 6" xfId="8539" xr:uid="{00000000-0005-0000-0000-00003A750000}"/>
    <cellStyle name="40% - Accent4 7 3 2 2 6 2" xfId="21456" xr:uid="{00000000-0005-0000-0000-00003B750000}"/>
    <cellStyle name="40% - Accent4 7 3 2 2 6 2 2" xfId="47330" xr:uid="{00000000-0005-0000-0000-00003C750000}"/>
    <cellStyle name="40% - Accent4 7 3 2 2 6 3" xfId="34414" xr:uid="{00000000-0005-0000-0000-00003D750000}"/>
    <cellStyle name="40% - Accent4 7 3 2 2 7" xfId="14998" xr:uid="{00000000-0005-0000-0000-00003E750000}"/>
    <cellStyle name="40% - Accent4 7 3 2 2 7 2" xfId="40872" xr:uid="{00000000-0005-0000-0000-00003F750000}"/>
    <cellStyle name="40% - Accent4 7 3 2 2 8" xfId="27923" xr:uid="{00000000-0005-0000-0000-000040750000}"/>
    <cellStyle name="40% - Accent4 7 3 2 2 9" xfId="53786" xr:uid="{00000000-0005-0000-0000-000041750000}"/>
    <cellStyle name="40% - Accent4 7 3 2 3" xfId="2236" xr:uid="{00000000-0005-0000-0000-000042750000}"/>
    <cellStyle name="40% - Accent4 7 3 2 3 2" xfId="3050" xr:uid="{00000000-0005-0000-0000-000043750000}"/>
    <cellStyle name="40% - Accent4 7 3 2 3 2 2" xfId="4707" xr:uid="{00000000-0005-0000-0000-000044750000}"/>
    <cellStyle name="40% - Accent4 7 3 2 3 2 2 2" xfId="7938" xr:uid="{00000000-0005-0000-0000-000045750000}"/>
    <cellStyle name="40% - Accent4 7 3 2 3 2 2 2 2" xfId="14397" xr:uid="{00000000-0005-0000-0000-000046750000}"/>
    <cellStyle name="40% - Accent4 7 3 2 3 2 2 2 2 2" xfId="27314" xr:uid="{00000000-0005-0000-0000-000047750000}"/>
    <cellStyle name="40% - Accent4 7 3 2 3 2 2 2 2 2 2" xfId="53188" xr:uid="{00000000-0005-0000-0000-000048750000}"/>
    <cellStyle name="40% - Accent4 7 3 2 3 2 2 2 2 3" xfId="40272" xr:uid="{00000000-0005-0000-0000-000049750000}"/>
    <cellStyle name="40% - Accent4 7 3 2 3 2 2 2 3" xfId="20856" xr:uid="{00000000-0005-0000-0000-00004A750000}"/>
    <cellStyle name="40% - Accent4 7 3 2 3 2 2 2 3 2" xfId="46730" xr:uid="{00000000-0005-0000-0000-00004B750000}"/>
    <cellStyle name="40% - Accent4 7 3 2 3 2 2 2 4" xfId="33814" xr:uid="{00000000-0005-0000-0000-00004C750000}"/>
    <cellStyle name="40% - Accent4 7 3 2 3 2 2 3" xfId="11169" xr:uid="{00000000-0005-0000-0000-00004D750000}"/>
    <cellStyle name="40% - Accent4 7 3 2 3 2 2 3 2" xfId="24086" xr:uid="{00000000-0005-0000-0000-00004E750000}"/>
    <cellStyle name="40% - Accent4 7 3 2 3 2 2 3 2 2" xfId="49960" xr:uid="{00000000-0005-0000-0000-00004F750000}"/>
    <cellStyle name="40% - Accent4 7 3 2 3 2 2 3 3" xfId="37044" xr:uid="{00000000-0005-0000-0000-000050750000}"/>
    <cellStyle name="40% - Accent4 7 3 2 3 2 2 4" xfId="17628" xr:uid="{00000000-0005-0000-0000-000051750000}"/>
    <cellStyle name="40% - Accent4 7 3 2 3 2 2 4 2" xfId="43502" xr:uid="{00000000-0005-0000-0000-000052750000}"/>
    <cellStyle name="40% - Accent4 7 3 2 3 2 2 5" xfId="30554" xr:uid="{00000000-0005-0000-0000-000053750000}"/>
    <cellStyle name="40% - Accent4 7 3 2 3 2 3" xfId="6324" xr:uid="{00000000-0005-0000-0000-000054750000}"/>
    <cellStyle name="40% - Accent4 7 3 2 3 2 3 2" xfId="12783" xr:uid="{00000000-0005-0000-0000-000055750000}"/>
    <cellStyle name="40% - Accent4 7 3 2 3 2 3 2 2" xfId="25700" xr:uid="{00000000-0005-0000-0000-000056750000}"/>
    <cellStyle name="40% - Accent4 7 3 2 3 2 3 2 2 2" xfId="51574" xr:uid="{00000000-0005-0000-0000-000057750000}"/>
    <cellStyle name="40% - Accent4 7 3 2 3 2 3 2 3" xfId="38658" xr:uid="{00000000-0005-0000-0000-000058750000}"/>
    <cellStyle name="40% - Accent4 7 3 2 3 2 3 3" xfId="19242" xr:uid="{00000000-0005-0000-0000-000059750000}"/>
    <cellStyle name="40% - Accent4 7 3 2 3 2 3 3 2" xfId="45116" xr:uid="{00000000-0005-0000-0000-00005A750000}"/>
    <cellStyle name="40% - Accent4 7 3 2 3 2 3 4" xfId="32200" xr:uid="{00000000-0005-0000-0000-00005B750000}"/>
    <cellStyle name="40% - Accent4 7 3 2 3 2 4" xfId="9555" xr:uid="{00000000-0005-0000-0000-00005C750000}"/>
    <cellStyle name="40% - Accent4 7 3 2 3 2 4 2" xfId="22472" xr:uid="{00000000-0005-0000-0000-00005D750000}"/>
    <cellStyle name="40% - Accent4 7 3 2 3 2 4 2 2" xfId="48346" xr:uid="{00000000-0005-0000-0000-00005E750000}"/>
    <cellStyle name="40% - Accent4 7 3 2 3 2 4 3" xfId="35430" xr:uid="{00000000-0005-0000-0000-00005F750000}"/>
    <cellStyle name="40% - Accent4 7 3 2 3 2 5" xfId="16014" xr:uid="{00000000-0005-0000-0000-000060750000}"/>
    <cellStyle name="40% - Accent4 7 3 2 3 2 5 2" xfId="41888" xr:uid="{00000000-0005-0000-0000-000061750000}"/>
    <cellStyle name="40% - Accent4 7 3 2 3 2 6" xfId="28940" xr:uid="{00000000-0005-0000-0000-000062750000}"/>
    <cellStyle name="40% - Accent4 7 3 2 3 3" xfId="3877" xr:uid="{00000000-0005-0000-0000-000063750000}"/>
    <cellStyle name="40% - Accent4 7 3 2 3 3 2" xfId="7131" xr:uid="{00000000-0005-0000-0000-000064750000}"/>
    <cellStyle name="40% - Accent4 7 3 2 3 3 2 2" xfId="13590" xr:uid="{00000000-0005-0000-0000-000065750000}"/>
    <cellStyle name="40% - Accent4 7 3 2 3 3 2 2 2" xfId="26507" xr:uid="{00000000-0005-0000-0000-000066750000}"/>
    <cellStyle name="40% - Accent4 7 3 2 3 3 2 2 2 2" xfId="52381" xr:uid="{00000000-0005-0000-0000-000067750000}"/>
    <cellStyle name="40% - Accent4 7 3 2 3 3 2 2 3" xfId="39465" xr:uid="{00000000-0005-0000-0000-000068750000}"/>
    <cellStyle name="40% - Accent4 7 3 2 3 3 2 3" xfId="20049" xr:uid="{00000000-0005-0000-0000-000069750000}"/>
    <cellStyle name="40% - Accent4 7 3 2 3 3 2 3 2" xfId="45923" xr:uid="{00000000-0005-0000-0000-00006A750000}"/>
    <cellStyle name="40% - Accent4 7 3 2 3 3 2 4" xfId="33007" xr:uid="{00000000-0005-0000-0000-00006B750000}"/>
    <cellStyle name="40% - Accent4 7 3 2 3 3 3" xfId="10362" xr:uid="{00000000-0005-0000-0000-00006C750000}"/>
    <cellStyle name="40% - Accent4 7 3 2 3 3 3 2" xfId="23279" xr:uid="{00000000-0005-0000-0000-00006D750000}"/>
    <cellStyle name="40% - Accent4 7 3 2 3 3 3 2 2" xfId="49153" xr:uid="{00000000-0005-0000-0000-00006E750000}"/>
    <cellStyle name="40% - Accent4 7 3 2 3 3 3 3" xfId="36237" xr:uid="{00000000-0005-0000-0000-00006F750000}"/>
    <cellStyle name="40% - Accent4 7 3 2 3 3 4" xfId="16821" xr:uid="{00000000-0005-0000-0000-000070750000}"/>
    <cellStyle name="40% - Accent4 7 3 2 3 3 4 2" xfId="42695" xr:uid="{00000000-0005-0000-0000-000071750000}"/>
    <cellStyle name="40% - Accent4 7 3 2 3 3 5" xfId="29747" xr:uid="{00000000-0005-0000-0000-000072750000}"/>
    <cellStyle name="40% - Accent4 7 3 2 3 4" xfId="5517" xr:uid="{00000000-0005-0000-0000-000073750000}"/>
    <cellStyle name="40% - Accent4 7 3 2 3 4 2" xfId="11976" xr:uid="{00000000-0005-0000-0000-000074750000}"/>
    <cellStyle name="40% - Accent4 7 3 2 3 4 2 2" xfId="24893" xr:uid="{00000000-0005-0000-0000-000075750000}"/>
    <cellStyle name="40% - Accent4 7 3 2 3 4 2 2 2" xfId="50767" xr:uid="{00000000-0005-0000-0000-000076750000}"/>
    <cellStyle name="40% - Accent4 7 3 2 3 4 2 3" xfId="37851" xr:uid="{00000000-0005-0000-0000-000077750000}"/>
    <cellStyle name="40% - Accent4 7 3 2 3 4 3" xfId="18435" xr:uid="{00000000-0005-0000-0000-000078750000}"/>
    <cellStyle name="40% - Accent4 7 3 2 3 4 3 2" xfId="44309" xr:uid="{00000000-0005-0000-0000-000079750000}"/>
    <cellStyle name="40% - Accent4 7 3 2 3 4 4" xfId="31393" xr:uid="{00000000-0005-0000-0000-00007A750000}"/>
    <cellStyle name="40% - Accent4 7 3 2 3 5" xfId="8748" xr:uid="{00000000-0005-0000-0000-00007B750000}"/>
    <cellStyle name="40% - Accent4 7 3 2 3 5 2" xfId="21665" xr:uid="{00000000-0005-0000-0000-00007C750000}"/>
    <cellStyle name="40% - Accent4 7 3 2 3 5 2 2" xfId="47539" xr:uid="{00000000-0005-0000-0000-00007D750000}"/>
    <cellStyle name="40% - Accent4 7 3 2 3 5 3" xfId="34623" xr:uid="{00000000-0005-0000-0000-00007E750000}"/>
    <cellStyle name="40% - Accent4 7 3 2 3 6" xfId="15207" xr:uid="{00000000-0005-0000-0000-00007F750000}"/>
    <cellStyle name="40% - Accent4 7 3 2 3 6 2" xfId="41081" xr:uid="{00000000-0005-0000-0000-000080750000}"/>
    <cellStyle name="40% - Accent4 7 3 2 3 7" xfId="28133" xr:uid="{00000000-0005-0000-0000-000081750000}"/>
    <cellStyle name="40% - Accent4 7 3 2 3 8" xfId="53995" xr:uid="{00000000-0005-0000-0000-000082750000}"/>
    <cellStyle name="40% - Accent4 7 3 2 4" xfId="2647" xr:uid="{00000000-0005-0000-0000-000083750000}"/>
    <cellStyle name="40% - Accent4 7 3 2 4 2" xfId="4304" xr:uid="{00000000-0005-0000-0000-000084750000}"/>
    <cellStyle name="40% - Accent4 7 3 2 4 2 2" xfId="7535" xr:uid="{00000000-0005-0000-0000-000085750000}"/>
    <cellStyle name="40% - Accent4 7 3 2 4 2 2 2" xfId="13994" xr:uid="{00000000-0005-0000-0000-000086750000}"/>
    <cellStyle name="40% - Accent4 7 3 2 4 2 2 2 2" xfId="26911" xr:uid="{00000000-0005-0000-0000-000087750000}"/>
    <cellStyle name="40% - Accent4 7 3 2 4 2 2 2 2 2" xfId="52785" xr:uid="{00000000-0005-0000-0000-000088750000}"/>
    <cellStyle name="40% - Accent4 7 3 2 4 2 2 2 3" xfId="39869" xr:uid="{00000000-0005-0000-0000-000089750000}"/>
    <cellStyle name="40% - Accent4 7 3 2 4 2 2 3" xfId="20453" xr:uid="{00000000-0005-0000-0000-00008A750000}"/>
    <cellStyle name="40% - Accent4 7 3 2 4 2 2 3 2" xfId="46327" xr:uid="{00000000-0005-0000-0000-00008B750000}"/>
    <cellStyle name="40% - Accent4 7 3 2 4 2 2 4" xfId="33411" xr:uid="{00000000-0005-0000-0000-00008C750000}"/>
    <cellStyle name="40% - Accent4 7 3 2 4 2 3" xfId="10766" xr:uid="{00000000-0005-0000-0000-00008D750000}"/>
    <cellStyle name="40% - Accent4 7 3 2 4 2 3 2" xfId="23683" xr:uid="{00000000-0005-0000-0000-00008E750000}"/>
    <cellStyle name="40% - Accent4 7 3 2 4 2 3 2 2" xfId="49557" xr:uid="{00000000-0005-0000-0000-00008F750000}"/>
    <cellStyle name="40% - Accent4 7 3 2 4 2 3 3" xfId="36641" xr:uid="{00000000-0005-0000-0000-000090750000}"/>
    <cellStyle name="40% - Accent4 7 3 2 4 2 4" xfId="17225" xr:uid="{00000000-0005-0000-0000-000091750000}"/>
    <cellStyle name="40% - Accent4 7 3 2 4 2 4 2" xfId="43099" xr:uid="{00000000-0005-0000-0000-000092750000}"/>
    <cellStyle name="40% - Accent4 7 3 2 4 2 5" xfId="30151" xr:uid="{00000000-0005-0000-0000-000093750000}"/>
    <cellStyle name="40% - Accent4 7 3 2 4 3" xfId="5921" xr:uid="{00000000-0005-0000-0000-000094750000}"/>
    <cellStyle name="40% - Accent4 7 3 2 4 3 2" xfId="12380" xr:uid="{00000000-0005-0000-0000-000095750000}"/>
    <cellStyle name="40% - Accent4 7 3 2 4 3 2 2" xfId="25297" xr:uid="{00000000-0005-0000-0000-000096750000}"/>
    <cellStyle name="40% - Accent4 7 3 2 4 3 2 2 2" xfId="51171" xr:uid="{00000000-0005-0000-0000-000097750000}"/>
    <cellStyle name="40% - Accent4 7 3 2 4 3 2 3" xfId="38255" xr:uid="{00000000-0005-0000-0000-000098750000}"/>
    <cellStyle name="40% - Accent4 7 3 2 4 3 3" xfId="18839" xr:uid="{00000000-0005-0000-0000-000099750000}"/>
    <cellStyle name="40% - Accent4 7 3 2 4 3 3 2" xfId="44713" xr:uid="{00000000-0005-0000-0000-00009A750000}"/>
    <cellStyle name="40% - Accent4 7 3 2 4 3 4" xfId="31797" xr:uid="{00000000-0005-0000-0000-00009B750000}"/>
    <cellStyle name="40% - Accent4 7 3 2 4 4" xfId="9152" xr:uid="{00000000-0005-0000-0000-00009C750000}"/>
    <cellStyle name="40% - Accent4 7 3 2 4 4 2" xfId="22069" xr:uid="{00000000-0005-0000-0000-00009D750000}"/>
    <cellStyle name="40% - Accent4 7 3 2 4 4 2 2" xfId="47943" xr:uid="{00000000-0005-0000-0000-00009E750000}"/>
    <cellStyle name="40% - Accent4 7 3 2 4 4 3" xfId="35027" xr:uid="{00000000-0005-0000-0000-00009F750000}"/>
    <cellStyle name="40% - Accent4 7 3 2 4 5" xfId="15611" xr:uid="{00000000-0005-0000-0000-0000A0750000}"/>
    <cellStyle name="40% - Accent4 7 3 2 4 5 2" xfId="41485" xr:uid="{00000000-0005-0000-0000-0000A1750000}"/>
    <cellStyle name="40% - Accent4 7 3 2 4 6" xfId="28537" xr:uid="{00000000-0005-0000-0000-0000A2750000}"/>
    <cellStyle name="40% - Accent4 7 3 2 5" xfId="3474" xr:uid="{00000000-0005-0000-0000-0000A3750000}"/>
    <cellStyle name="40% - Accent4 7 3 2 5 2" xfId="6728" xr:uid="{00000000-0005-0000-0000-0000A4750000}"/>
    <cellStyle name="40% - Accent4 7 3 2 5 2 2" xfId="13187" xr:uid="{00000000-0005-0000-0000-0000A5750000}"/>
    <cellStyle name="40% - Accent4 7 3 2 5 2 2 2" xfId="26104" xr:uid="{00000000-0005-0000-0000-0000A6750000}"/>
    <cellStyle name="40% - Accent4 7 3 2 5 2 2 2 2" xfId="51978" xr:uid="{00000000-0005-0000-0000-0000A7750000}"/>
    <cellStyle name="40% - Accent4 7 3 2 5 2 2 3" xfId="39062" xr:uid="{00000000-0005-0000-0000-0000A8750000}"/>
    <cellStyle name="40% - Accent4 7 3 2 5 2 3" xfId="19646" xr:uid="{00000000-0005-0000-0000-0000A9750000}"/>
    <cellStyle name="40% - Accent4 7 3 2 5 2 3 2" xfId="45520" xr:uid="{00000000-0005-0000-0000-0000AA750000}"/>
    <cellStyle name="40% - Accent4 7 3 2 5 2 4" xfId="32604" xr:uid="{00000000-0005-0000-0000-0000AB750000}"/>
    <cellStyle name="40% - Accent4 7 3 2 5 3" xfId="9959" xr:uid="{00000000-0005-0000-0000-0000AC750000}"/>
    <cellStyle name="40% - Accent4 7 3 2 5 3 2" xfId="22876" xr:uid="{00000000-0005-0000-0000-0000AD750000}"/>
    <cellStyle name="40% - Accent4 7 3 2 5 3 2 2" xfId="48750" xr:uid="{00000000-0005-0000-0000-0000AE750000}"/>
    <cellStyle name="40% - Accent4 7 3 2 5 3 3" xfId="35834" xr:uid="{00000000-0005-0000-0000-0000AF750000}"/>
    <cellStyle name="40% - Accent4 7 3 2 5 4" xfId="16418" xr:uid="{00000000-0005-0000-0000-0000B0750000}"/>
    <cellStyle name="40% - Accent4 7 3 2 5 4 2" xfId="42292" xr:uid="{00000000-0005-0000-0000-0000B1750000}"/>
    <cellStyle name="40% - Accent4 7 3 2 5 5" xfId="29344" xr:uid="{00000000-0005-0000-0000-0000B2750000}"/>
    <cellStyle name="40% - Accent4 7 3 2 6" xfId="5114" xr:uid="{00000000-0005-0000-0000-0000B3750000}"/>
    <cellStyle name="40% - Accent4 7 3 2 6 2" xfId="11573" xr:uid="{00000000-0005-0000-0000-0000B4750000}"/>
    <cellStyle name="40% - Accent4 7 3 2 6 2 2" xfId="24490" xr:uid="{00000000-0005-0000-0000-0000B5750000}"/>
    <cellStyle name="40% - Accent4 7 3 2 6 2 2 2" xfId="50364" xr:uid="{00000000-0005-0000-0000-0000B6750000}"/>
    <cellStyle name="40% - Accent4 7 3 2 6 2 3" xfId="37448" xr:uid="{00000000-0005-0000-0000-0000B7750000}"/>
    <cellStyle name="40% - Accent4 7 3 2 6 3" xfId="18032" xr:uid="{00000000-0005-0000-0000-0000B8750000}"/>
    <cellStyle name="40% - Accent4 7 3 2 6 3 2" xfId="43906" xr:uid="{00000000-0005-0000-0000-0000B9750000}"/>
    <cellStyle name="40% - Accent4 7 3 2 6 4" xfId="30990" xr:uid="{00000000-0005-0000-0000-0000BA750000}"/>
    <cellStyle name="40% - Accent4 7 3 2 7" xfId="8344" xr:uid="{00000000-0005-0000-0000-0000BB750000}"/>
    <cellStyle name="40% - Accent4 7 3 2 7 2" xfId="21261" xr:uid="{00000000-0005-0000-0000-0000BC750000}"/>
    <cellStyle name="40% - Accent4 7 3 2 7 2 2" xfId="47135" xr:uid="{00000000-0005-0000-0000-0000BD750000}"/>
    <cellStyle name="40% - Accent4 7 3 2 7 3" xfId="34219" xr:uid="{00000000-0005-0000-0000-0000BE750000}"/>
    <cellStyle name="40% - Accent4 7 3 2 8" xfId="14803" xr:uid="{00000000-0005-0000-0000-0000BF750000}"/>
    <cellStyle name="40% - Accent4 7 3 2 8 2" xfId="40677" xr:uid="{00000000-0005-0000-0000-0000C0750000}"/>
    <cellStyle name="40% - Accent4 7 3 2 9" xfId="27729" xr:uid="{00000000-0005-0000-0000-0000C1750000}"/>
    <cellStyle name="40% - Accent4 7 3 3" xfId="1859" xr:uid="{00000000-0005-0000-0000-0000C2750000}"/>
    <cellStyle name="40% - Accent4 7 3 3 2" xfId="2301" xr:uid="{00000000-0005-0000-0000-0000C3750000}"/>
    <cellStyle name="40% - Accent4 7 3 3 2 2" xfId="3115" xr:uid="{00000000-0005-0000-0000-0000C4750000}"/>
    <cellStyle name="40% - Accent4 7 3 3 2 2 2" xfId="4772" xr:uid="{00000000-0005-0000-0000-0000C5750000}"/>
    <cellStyle name="40% - Accent4 7 3 3 2 2 2 2" xfId="8003" xr:uid="{00000000-0005-0000-0000-0000C6750000}"/>
    <cellStyle name="40% - Accent4 7 3 3 2 2 2 2 2" xfId="14462" xr:uid="{00000000-0005-0000-0000-0000C7750000}"/>
    <cellStyle name="40% - Accent4 7 3 3 2 2 2 2 2 2" xfId="27379" xr:uid="{00000000-0005-0000-0000-0000C8750000}"/>
    <cellStyle name="40% - Accent4 7 3 3 2 2 2 2 2 2 2" xfId="53253" xr:uid="{00000000-0005-0000-0000-0000C9750000}"/>
    <cellStyle name="40% - Accent4 7 3 3 2 2 2 2 2 3" xfId="40337" xr:uid="{00000000-0005-0000-0000-0000CA750000}"/>
    <cellStyle name="40% - Accent4 7 3 3 2 2 2 2 3" xfId="20921" xr:uid="{00000000-0005-0000-0000-0000CB750000}"/>
    <cellStyle name="40% - Accent4 7 3 3 2 2 2 2 3 2" xfId="46795" xr:uid="{00000000-0005-0000-0000-0000CC750000}"/>
    <cellStyle name="40% - Accent4 7 3 3 2 2 2 2 4" xfId="33879" xr:uid="{00000000-0005-0000-0000-0000CD750000}"/>
    <cellStyle name="40% - Accent4 7 3 3 2 2 2 3" xfId="11234" xr:uid="{00000000-0005-0000-0000-0000CE750000}"/>
    <cellStyle name="40% - Accent4 7 3 3 2 2 2 3 2" xfId="24151" xr:uid="{00000000-0005-0000-0000-0000CF750000}"/>
    <cellStyle name="40% - Accent4 7 3 3 2 2 2 3 2 2" xfId="50025" xr:uid="{00000000-0005-0000-0000-0000D0750000}"/>
    <cellStyle name="40% - Accent4 7 3 3 2 2 2 3 3" xfId="37109" xr:uid="{00000000-0005-0000-0000-0000D1750000}"/>
    <cellStyle name="40% - Accent4 7 3 3 2 2 2 4" xfId="17693" xr:uid="{00000000-0005-0000-0000-0000D2750000}"/>
    <cellStyle name="40% - Accent4 7 3 3 2 2 2 4 2" xfId="43567" xr:uid="{00000000-0005-0000-0000-0000D3750000}"/>
    <cellStyle name="40% - Accent4 7 3 3 2 2 2 5" xfId="30619" xr:uid="{00000000-0005-0000-0000-0000D4750000}"/>
    <cellStyle name="40% - Accent4 7 3 3 2 2 3" xfId="6389" xr:uid="{00000000-0005-0000-0000-0000D5750000}"/>
    <cellStyle name="40% - Accent4 7 3 3 2 2 3 2" xfId="12848" xr:uid="{00000000-0005-0000-0000-0000D6750000}"/>
    <cellStyle name="40% - Accent4 7 3 3 2 2 3 2 2" xfId="25765" xr:uid="{00000000-0005-0000-0000-0000D7750000}"/>
    <cellStyle name="40% - Accent4 7 3 3 2 2 3 2 2 2" xfId="51639" xr:uid="{00000000-0005-0000-0000-0000D8750000}"/>
    <cellStyle name="40% - Accent4 7 3 3 2 2 3 2 3" xfId="38723" xr:uid="{00000000-0005-0000-0000-0000D9750000}"/>
    <cellStyle name="40% - Accent4 7 3 3 2 2 3 3" xfId="19307" xr:uid="{00000000-0005-0000-0000-0000DA750000}"/>
    <cellStyle name="40% - Accent4 7 3 3 2 2 3 3 2" xfId="45181" xr:uid="{00000000-0005-0000-0000-0000DB750000}"/>
    <cellStyle name="40% - Accent4 7 3 3 2 2 3 4" xfId="32265" xr:uid="{00000000-0005-0000-0000-0000DC750000}"/>
    <cellStyle name="40% - Accent4 7 3 3 2 2 4" xfId="9620" xr:uid="{00000000-0005-0000-0000-0000DD750000}"/>
    <cellStyle name="40% - Accent4 7 3 3 2 2 4 2" xfId="22537" xr:uid="{00000000-0005-0000-0000-0000DE750000}"/>
    <cellStyle name="40% - Accent4 7 3 3 2 2 4 2 2" xfId="48411" xr:uid="{00000000-0005-0000-0000-0000DF750000}"/>
    <cellStyle name="40% - Accent4 7 3 3 2 2 4 3" xfId="35495" xr:uid="{00000000-0005-0000-0000-0000E0750000}"/>
    <cellStyle name="40% - Accent4 7 3 3 2 2 5" xfId="16079" xr:uid="{00000000-0005-0000-0000-0000E1750000}"/>
    <cellStyle name="40% - Accent4 7 3 3 2 2 5 2" xfId="41953" xr:uid="{00000000-0005-0000-0000-0000E2750000}"/>
    <cellStyle name="40% - Accent4 7 3 3 2 2 6" xfId="29005" xr:uid="{00000000-0005-0000-0000-0000E3750000}"/>
    <cellStyle name="40% - Accent4 7 3 3 2 3" xfId="3942" xr:uid="{00000000-0005-0000-0000-0000E4750000}"/>
    <cellStyle name="40% - Accent4 7 3 3 2 3 2" xfId="7196" xr:uid="{00000000-0005-0000-0000-0000E5750000}"/>
    <cellStyle name="40% - Accent4 7 3 3 2 3 2 2" xfId="13655" xr:uid="{00000000-0005-0000-0000-0000E6750000}"/>
    <cellStyle name="40% - Accent4 7 3 3 2 3 2 2 2" xfId="26572" xr:uid="{00000000-0005-0000-0000-0000E7750000}"/>
    <cellStyle name="40% - Accent4 7 3 3 2 3 2 2 2 2" xfId="52446" xr:uid="{00000000-0005-0000-0000-0000E8750000}"/>
    <cellStyle name="40% - Accent4 7 3 3 2 3 2 2 3" xfId="39530" xr:uid="{00000000-0005-0000-0000-0000E9750000}"/>
    <cellStyle name="40% - Accent4 7 3 3 2 3 2 3" xfId="20114" xr:uid="{00000000-0005-0000-0000-0000EA750000}"/>
    <cellStyle name="40% - Accent4 7 3 3 2 3 2 3 2" xfId="45988" xr:uid="{00000000-0005-0000-0000-0000EB750000}"/>
    <cellStyle name="40% - Accent4 7 3 3 2 3 2 4" xfId="33072" xr:uid="{00000000-0005-0000-0000-0000EC750000}"/>
    <cellStyle name="40% - Accent4 7 3 3 2 3 3" xfId="10427" xr:uid="{00000000-0005-0000-0000-0000ED750000}"/>
    <cellStyle name="40% - Accent4 7 3 3 2 3 3 2" xfId="23344" xr:uid="{00000000-0005-0000-0000-0000EE750000}"/>
    <cellStyle name="40% - Accent4 7 3 3 2 3 3 2 2" xfId="49218" xr:uid="{00000000-0005-0000-0000-0000EF750000}"/>
    <cellStyle name="40% - Accent4 7 3 3 2 3 3 3" xfId="36302" xr:uid="{00000000-0005-0000-0000-0000F0750000}"/>
    <cellStyle name="40% - Accent4 7 3 3 2 3 4" xfId="16886" xr:uid="{00000000-0005-0000-0000-0000F1750000}"/>
    <cellStyle name="40% - Accent4 7 3 3 2 3 4 2" xfId="42760" xr:uid="{00000000-0005-0000-0000-0000F2750000}"/>
    <cellStyle name="40% - Accent4 7 3 3 2 3 5" xfId="29812" xr:uid="{00000000-0005-0000-0000-0000F3750000}"/>
    <cellStyle name="40% - Accent4 7 3 3 2 4" xfId="5582" xr:uid="{00000000-0005-0000-0000-0000F4750000}"/>
    <cellStyle name="40% - Accent4 7 3 3 2 4 2" xfId="12041" xr:uid="{00000000-0005-0000-0000-0000F5750000}"/>
    <cellStyle name="40% - Accent4 7 3 3 2 4 2 2" xfId="24958" xr:uid="{00000000-0005-0000-0000-0000F6750000}"/>
    <cellStyle name="40% - Accent4 7 3 3 2 4 2 2 2" xfId="50832" xr:uid="{00000000-0005-0000-0000-0000F7750000}"/>
    <cellStyle name="40% - Accent4 7 3 3 2 4 2 3" xfId="37916" xr:uid="{00000000-0005-0000-0000-0000F8750000}"/>
    <cellStyle name="40% - Accent4 7 3 3 2 4 3" xfId="18500" xr:uid="{00000000-0005-0000-0000-0000F9750000}"/>
    <cellStyle name="40% - Accent4 7 3 3 2 4 3 2" xfId="44374" xr:uid="{00000000-0005-0000-0000-0000FA750000}"/>
    <cellStyle name="40% - Accent4 7 3 3 2 4 4" xfId="31458" xr:uid="{00000000-0005-0000-0000-0000FB750000}"/>
    <cellStyle name="40% - Accent4 7 3 3 2 5" xfId="8813" xr:uid="{00000000-0005-0000-0000-0000FC750000}"/>
    <cellStyle name="40% - Accent4 7 3 3 2 5 2" xfId="21730" xr:uid="{00000000-0005-0000-0000-0000FD750000}"/>
    <cellStyle name="40% - Accent4 7 3 3 2 5 2 2" xfId="47604" xr:uid="{00000000-0005-0000-0000-0000FE750000}"/>
    <cellStyle name="40% - Accent4 7 3 3 2 5 3" xfId="34688" xr:uid="{00000000-0005-0000-0000-0000FF750000}"/>
    <cellStyle name="40% - Accent4 7 3 3 2 6" xfId="15272" xr:uid="{00000000-0005-0000-0000-000000760000}"/>
    <cellStyle name="40% - Accent4 7 3 3 2 6 2" xfId="41146" xr:uid="{00000000-0005-0000-0000-000001760000}"/>
    <cellStyle name="40% - Accent4 7 3 3 2 7" xfId="28198" xr:uid="{00000000-0005-0000-0000-000002760000}"/>
    <cellStyle name="40% - Accent4 7 3 3 2 8" xfId="54060" xr:uid="{00000000-0005-0000-0000-000003760000}"/>
    <cellStyle name="40% - Accent4 7 3 3 3" xfId="2712" xr:uid="{00000000-0005-0000-0000-000004760000}"/>
    <cellStyle name="40% - Accent4 7 3 3 3 2" xfId="4369" xr:uid="{00000000-0005-0000-0000-000005760000}"/>
    <cellStyle name="40% - Accent4 7 3 3 3 2 2" xfId="7600" xr:uid="{00000000-0005-0000-0000-000006760000}"/>
    <cellStyle name="40% - Accent4 7 3 3 3 2 2 2" xfId="14059" xr:uid="{00000000-0005-0000-0000-000007760000}"/>
    <cellStyle name="40% - Accent4 7 3 3 3 2 2 2 2" xfId="26976" xr:uid="{00000000-0005-0000-0000-000008760000}"/>
    <cellStyle name="40% - Accent4 7 3 3 3 2 2 2 2 2" xfId="52850" xr:uid="{00000000-0005-0000-0000-000009760000}"/>
    <cellStyle name="40% - Accent4 7 3 3 3 2 2 2 3" xfId="39934" xr:uid="{00000000-0005-0000-0000-00000A760000}"/>
    <cellStyle name="40% - Accent4 7 3 3 3 2 2 3" xfId="20518" xr:uid="{00000000-0005-0000-0000-00000B760000}"/>
    <cellStyle name="40% - Accent4 7 3 3 3 2 2 3 2" xfId="46392" xr:uid="{00000000-0005-0000-0000-00000C760000}"/>
    <cellStyle name="40% - Accent4 7 3 3 3 2 2 4" xfId="33476" xr:uid="{00000000-0005-0000-0000-00000D760000}"/>
    <cellStyle name="40% - Accent4 7 3 3 3 2 3" xfId="10831" xr:uid="{00000000-0005-0000-0000-00000E760000}"/>
    <cellStyle name="40% - Accent4 7 3 3 3 2 3 2" xfId="23748" xr:uid="{00000000-0005-0000-0000-00000F760000}"/>
    <cellStyle name="40% - Accent4 7 3 3 3 2 3 2 2" xfId="49622" xr:uid="{00000000-0005-0000-0000-000010760000}"/>
    <cellStyle name="40% - Accent4 7 3 3 3 2 3 3" xfId="36706" xr:uid="{00000000-0005-0000-0000-000011760000}"/>
    <cellStyle name="40% - Accent4 7 3 3 3 2 4" xfId="17290" xr:uid="{00000000-0005-0000-0000-000012760000}"/>
    <cellStyle name="40% - Accent4 7 3 3 3 2 4 2" xfId="43164" xr:uid="{00000000-0005-0000-0000-000013760000}"/>
    <cellStyle name="40% - Accent4 7 3 3 3 2 5" xfId="30216" xr:uid="{00000000-0005-0000-0000-000014760000}"/>
    <cellStyle name="40% - Accent4 7 3 3 3 3" xfId="5986" xr:uid="{00000000-0005-0000-0000-000015760000}"/>
    <cellStyle name="40% - Accent4 7 3 3 3 3 2" xfId="12445" xr:uid="{00000000-0005-0000-0000-000016760000}"/>
    <cellStyle name="40% - Accent4 7 3 3 3 3 2 2" xfId="25362" xr:uid="{00000000-0005-0000-0000-000017760000}"/>
    <cellStyle name="40% - Accent4 7 3 3 3 3 2 2 2" xfId="51236" xr:uid="{00000000-0005-0000-0000-000018760000}"/>
    <cellStyle name="40% - Accent4 7 3 3 3 3 2 3" xfId="38320" xr:uid="{00000000-0005-0000-0000-000019760000}"/>
    <cellStyle name="40% - Accent4 7 3 3 3 3 3" xfId="18904" xr:uid="{00000000-0005-0000-0000-00001A760000}"/>
    <cellStyle name="40% - Accent4 7 3 3 3 3 3 2" xfId="44778" xr:uid="{00000000-0005-0000-0000-00001B760000}"/>
    <cellStyle name="40% - Accent4 7 3 3 3 3 4" xfId="31862" xr:uid="{00000000-0005-0000-0000-00001C760000}"/>
    <cellStyle name="40% - Accent4 7 3 3 3 4" xfId="9217" xr:uid="{00000000-0005-0000-0000-00001D760000}"/>
    <cellStyle name="40% - Accent4 7 3 3 3 4 2" xfId="22134" xr:uid="{00000000-0005-0000-0000-00001E760000}"/>
    <cellStyle name="40% - Accent4 7 3 3 3 4 2 2" xfId="48008" xr:uid="{00000000-0005-0000-0000-00001F760000}"/>
    <cellStyle name="40% - Accent4 7 3 3 3 4 3" xfId="35092" xr:uid="{00000000-0005-0000-0000-000020760000}"/>
    <cellStyle name="40% - Accent4 7 3 3 3 5" xfId="15676" xr:uid="{00000000-0005-0000-0000-000021760000}"/>
    <cellStyle name="40% - Accent4 7 3 3 3 5 2" xfId="41550" xr:uid="{00000000-0005-0000-0000-000022760000}"/>
    <cellStyle name="40% - Accent4 7 3 3 3 6" xfId="28602" xr:uid="{00000000-0005-0000-0000-000023760000}"/>
    <cellStyle name="40% - Accent4 7 3 3 4" xfId="3539" xr:uid="{00000000-0005-0000-0000-000024760000}"/>
    <cellStyle name="40% - Accent4 7 3 3 4 2" xfId="6793" xr:uid="{00000000-0005-0000-0000-000025760000}"/>
    <cellStyle name="40% - Accent4 7 3 3 4 2 2" xfId="13252" xr:uid="{00000000-0005-0000-0000-000026760000}"/>
    <cellStyle name="40% - Accent4 7 3 3 4 2 2 2" xfId="26169" xr:uid="{00000000-0005-0000-0000-000027760000}"/>
    <cellStyle name="40% - Accent4 7 3 3 4 2 2 2 2" xfId="52043" xr:uid="{00000000-0005-0000-0000-000028760000}"/>
    <cellStyle name="40% - Accent4 7 3 3 4 2 2 3" xfId="39127" xr:uid="{00000000-0005-0000-0000-000029760000}"/>
    <cellStyle name="40% - Accent4 7 3 3 4 2 3" xfId="19711" xr:uid="{00000000-0005-0000-0000-00002A760000}"/>
    <cellStyle name="40% - Accent4 7 3 3 4 2 3 2" xfId="45585" xr:uid="{00000000-0005-0000-0000-00002B760000}"/>
    <cellStyle name="40% - Accent4 7 3 3 4 2 4" xfId="32669" xr:uid="{00000000-0005-0000-0000-00002C760000}"/>
    <cellStyle name="40% - Accent4 7 3 3 4 3" xfId="10024" xr:uid="{00000000-0005-0000-0000-00002D760000}"/>
    <cellStyle name="40% - Accent4 7 3 3 4 3 2" xfId="22941" xr:uid="{00000000-0005-0000-0000-00002E760000}"/>
    <cellStyle name="40% - Accent4 7 3 3 4 3 2 2" xfId="48815" xr:uid="{00000000-0005-0000-0000-00002F760000}"/>
    <cellStyle name="40% - Accent4 7 3 3 4 3 3" xfId="35899" xr:uid="{00000000-0005-0000-0000-000030760000}"/>
    <cellStyle name="40% - Accent4 7 3 3 4 4" xfId="16483" xr:uid="{00000000-0005-0000-0000-000031760000}"/>
    <cellStyle name="40% - Accent4 7 3 3 4 4 2" xfId="42357" xr:uid="{00000000-0005-0000-0000-000032760000}"/>
    <cellStyle name="40% - Accent4 7 3 3 4 5" xfId="29409" xr:uid="{00000000-0005-0000-0000-000033760000}"/>
    <cellStyle name="40% - Accent4 7 3 3 5" xfId="5179" xr:uid="{00000000-0005-0000-0000-000034760000}"/>
    <cellStyle name="40% - Accent4 7 3 3 5 2" xfId="11638" xr:uid="{00000000-0005-0000-0000-000035760000}"/>
    <cellStyle name="40% - Accent4 7 3 3 5 2 2" xfId="24555" xr:uid="{00000000-0005-0000-0000-000036760000}"/>
    <cellStyle name="40% - Accent4 7 3 3 5 2 2 2" xfId="50429" xr:uid="{00000000-0005-0000-0000-000037760000}"/>
    <cellStyle name="40% - Accent4 7 3 3 5 2 3" xfId="37513" xr:uid="{00000000-0005-0000-0000-000038760000}"/>
    <cellStyle name="40% - Accent4 7 3 3 5 3" xfId="18097" xr:uid="{00000000-0005-0000-0000-000039760000}"/>
    <cellStyle name="40% - Accent4 7 3 3 5 3 2" xfId="43971" xr:uid="{00000000-0005-0000-0000-00003A760000}"/>
    <cellStyle name="40% - Accent4 7 3 3 5 4" xfId="31055" xr:uid="{00000000-0005-0000-0000-00003B760000}"/>
    <cellStyle name="40% - Accent4 7 3 3 6" xfId="8409" xr:uid="{00000000-0005-0000-0000-00003C760000}"/>
    <cellStyle name="40% - Accent4 7 3 3 6 2" xfId="21326" xr:uid="{00000000-0005-0000-0000-00003D760000}"/>
    <cellStyle name="40% - Accent4 7 3 3 6 2 2" xfId="47200" xr:uid="{00000000-0005-0000-0000-00003E760000}"/>
    <cellStyle name="40% - Accent4 7 3 3 6 3" xfId="34284" xr:uid="{00000000-0005-0000-0000-00003F760000}"/>
    <cellStyle name="40% - Accent4 7 3 3 7" xfId="14868" xr:uid="{00000000-0005-0000-0000-000040760000}"/>
    <cellStyle name="40% - Accent4 7 3 3 7 2" xfId="40742" xr:uid="{00000000-0005-0000-0000-000041760000}"/>
    <cellStyle name="40% - Accent4 7 3 3 8" xfId="27794" xr:uid="{00000000-0005-0000-0000-000042760000}"/>
    <cellStyle name="40% - Accent4 7 3 3 9" xfId="53657" xr:uid="{00000000-0005-0000-0000-000043760000}"/>
    <cellStyle name="40% - Accent4 7 3 4" xfId="2103" xr:uid="{00000000-0005-0000-0000-000044760000}"/>
    <cellStyle name="40% - Accent4 7 3 4 2" xfId="2919" xr:uid="{00000000-0005-0000-0000-000045760000}"/>
    <cellStyle name="40% - Accent4 7 3 4 2 2" xfId="4576" xr:uid="{00000000-0005-0000-0000-000046760000}"/>
    <cellStyle name="40% - Accent4 7 3 4 2 2 2" xfId="7807" xr:uid="{00000000-0005-0000-0000-000047760000}"/>
    <cellStyle name="40% - Accent4 7 3 4 2 2 2 2" xfId="14266" xr:uid="{00000000-0005-0000-0000-000048760000}"/>
    <cellStyle name="40% - Accent4 7 3 4 2 2 2 2 2" xfId="27183" xr:uid="{00000000-0005-0000-0000-000049760000}"/>
    <cellStyle name="40% - Accent4 7 3 4 2 2 2 2 2 2" xfId="53057" xr:uid="{00000000-0005-0000-0000-00004A760000}"/>
    <cellStyle name="40% - Accent4 7 3 4 2 2 2 2 3" xfId="40141" xr:uid="{00000000-0005-0000-0000-00004B760000}"/>
    <cellStyle name="40% - Accent4 7 3 4 2 2 2 3" xfId="20725" xr:uid="{00000000-0005-0000-0000-00004C760000}"/>
    <cellStyle name="40% - Accent4 7 3 4 2 2 2 3 2" xfId="46599" xr:uid="{00000000-0005-0000-0000-00004D760000}"/>
    <cellStyle name="40% - Accent4 7 3 4 2 2 2 4" xfId="33683" xr:uid="{00000000-0005-0000-0000-00004E760000}"/>
    <cellStyle name="40% - Accent4 7 3 4 2 2 3" xfId="11038" xr:uid="{00000000-0005-0000-0000-00004F760000}"/>
    <cellStyle name="40% - Accent4 7 3 4 2 2 3 2" xfId="23955" xr:uid="{00000000-0005-0000-0000-000050760000}"/>
    <cellStyle name="40% - Accent4 7 3 4 2 2 3 2 2" xfId="49829" xr:uid="{00000000-0005-0000-0000-000051760000}"/>
    <cellStyle name="40% - Accent4 7 3 4 2 2 3 3" xfId="36913" xr:uid="{00000000-0005-0000-0000-000052760000}"/>
    <cellStyle name="40% - Accent4 7 3 4 2 2 4" xfId="17497" xr:uid="{00000000-0005-0000-0000-000053760000}"/>
    <cellStyle name="40% - Accent4 7 3 4 2 2 4 2" xfId="43371" xr:uid="{00000000-0005-0000-0000-000054760000}"/>
    <cellStyle name="40% - Accent4 7 3 4 2 2 5" xfId="30423" xr:uid="{00000000-0005-0000-0000-000055760000}"/>
    <cellStyle name="40% - Accent4 7 3 4 2 3" xfId="6193" xr:uid="{00000000-0005-0000-0000-000056760000}"/>
    <cellStyle name="40% - Accent4 7 3 4 2 3 2" xfId="12652" xr:uid="{00000000-0005-0000-0000-000057760000}"/>
    <cellStyle name="40% - Accent4 7 3 4 2 3 2 2" xfId="25569" xr:uid="{00000000-0005-0000-0000-000058760000}"/>
    <cellStyle name="40% - Accent4 7 3 4 2 3 2 2 2" xfId="51443" xr:uid="{00000000-0005-0000-0000-000059760000}"/>
    <cellStyle name="40% - Accent4 7 3 4 2 3 2 3" xfId="38527" xr:uid="{00000000-0005-0000-0000-00005A760000}"/>
    <cellStyle name="40% - Accent4 7 3 4 2 3 3" xfId="19111" xr:uid="{00000000-0005-0000-0000-00005B760000}"/>
    <cellStyle name="40% - Accent4 7 3 4 2 3 3 2" xfId="44985" xr:uid="{00000000-0005-0000-0000-00005C760000}"/>
    <cellStyle name="40% - Accent4 7 3 4 2 3 4" xfId="32069" xr:uid="{00000000-0005-0000-0000-00005D760000}"/>
    <cellStyle name="40% - Accent4 7 3 4 2 4" xfId="9424" xr:uid="{00000000-0005-0000-0000-00005E760000}"/>
    <cellStyle name="40% - Accent4 7 3 4 2 4 2" xfId="22341" xr:uid="{00000000-0005-0000-0000-00005F760000}"/>
    <cellStyle name="40% - Accent4 7 3 4 2 4 2 2" xfId="48215" xr:uid="{00000000-0005-0000-0000-000060760000}"/>
    <cellStyle name="40% - Accent4 7 3 4 2 4 3" xfId="35299" xr:uid="{00000000-0005-0000-0000-000061760000}"/>
    <cellStyle name="40% - Accent4 7 3 4 2 5" xfId="15883" xr:uid="{00000000-0005-0000-0000-000062760000}"/>
    <cellStyle name="40% - Accent4 7 3 4 2 5 2" xfId="41757" xr:uid="{00000000-0005-0000-0000-000063760000}"/>
    <cellStyle name="40% - Accent4 7 3 4 2 6" xfId="28809" xr:uid="{00000000-0005-0000-0000-000064760000}"/>
    <cellStyle name="40% - Accent4 7 3 4 3" xfId="3746" xr:uid="{00000000-0005-0000-0000-000065760000}"/>
    <cellStyle name="40% - Accent4 7 3 4 3 2" xfId="7000" xr:uid="{00000000-0005-0000-0000-000066760000}"/>
    <cellStyle name="40% - Accent4 7 3 4 3 2 2" xfId="13459" xr:uid="{00000000-0005-0000-0000-000067760000}"/>
    <cellStyle name="40% - Accent4 7 3 4 3 2 2 2" xfId="26376" xr:uid="{00000000-0005-0000-0000-000068760000}"/>
    <cellStyle name="40% - Accent4 7 3 4 3 2 2 2 2" xfId="52250" xr:uid="{00000000-0005-0000-0000-000069760000}"/>
    <cellStyle name="40% - Accent4 7 3 4 3 2 2 3" xfId="39334" xr:uid="{00000000-0005-0000-0000-00006A760000}"/>
    <cellStyle name="40% - Accent4 7 3 4 3 2 3" xfId="19918" xr:uid="{00000000-0005-0000-0000-00006B760000}"/>
    <cellStyle name="40% - Accent4 7 3 4 3 2 3 2" xfId="45792" xr:uid="{00000000-0005-0000-0000-00006C760000}"/>
    <cellStyle name="40% - Accent4 7 3 4 3 2 4" xfId="32876" xr:uid="{00000000-0005-0000-0000-00006D760000}"/>
    <cellStyle name="40% - Accent4 7 3 4 3 3" xfId="10231" xr:uid="{00000000-0005-0000-0000-00006E760000}"/>
    <cellStyle name="40% - Accent4 7 3 4 3 3 2" xfId="23148" xr:uid="{00000000-0005-0000-0000-00006F760000}"/>
    <cellStyle name="40% - Accent4 7 3 4 3 3 2 2" xfId="49022" xr:uid="{00000000-0005-0000-0000-000070760000}"/>
    <cellStyle name="40% - Accent4 7 3 4 3 3 3" xfId="36106" xr:uid="{00000000-0005-0000-0000-000071760000}"/>
    <cellStyle name="40% - Accent4 7 3 4 3 4" xfId="16690" xr:uid="{00000000-0005-0000-0000-000072760000}"/>
    <cellStyle name="40% - Accent4 7 3 4 3 4 2" xfId="42564" xr:uid="{00000000-0005-0000-0000-000073760000}"/>
    <cellStyle name="40% - Accent4 7 3 4 3 5" xfId="29616" xr:uid="{00000000-0005-0000-0000-000074760000}"/>
    <cellStyle name="40% - Accent4 7 3 4 4" xfId="5386" xr:uid="{00000000-0005-0000-0000-000075760000}"/>
    <cellStyle name="40% - Accent4 7 3 4 4 2" xfId="11845" xr:uid="{00000000-0005-0000-0000-000076760000}"/>
    <cellStyle name="40% - Accent4 7 3 4 4 2 2" xfId="24762" xr:uid="{00000000-0005-0000-0000-000077760000}"/>
    <cellStyle name="40% - Accent4 7 3 4 4 2 2 2" xfId="50636" xr:uid="{00000000-0005-0000-0000-000078760000}"/>
    <cellStyle name="40% - Accent4 7 3 4 4 2 3" xfId="37720" xr:uid="{00000000-0005-0000-0000-000079760000}"/>
    <cellStyle name="40% - Accent4 7 3 4 4 3" xfId="18304" xr:uid="{00000000-0005-0000-0000-00007A760000}"/>
    <cellStyle name="40% - Accent4 7 3 4 4 3 2" xfId="44178" xr:uid="{00000000-0005-0000-0000-00007B760000}"/>
    <cellStyle name="40% - Accent4 7 3 4 4 4" xfId="31262" xr:uid="{00000000-0005-0000-0000-00007C760000}"/>
    <cellStyle name="40% - Accent4 7 3 4 5" xfId="8617" xr:uid="{00000000-0005-0000-0000-00007D760000}"/>
    <cellStyle name="40% - Accent4 7 3 4 5 2" xfId="21534" xr:uid="{00000000-0005-0000-0000-00007E760000}"/>
    <cellStyle name="40% - Accent4 7 3 4 5 2 2" xfId="47408" xr:uid="{00000000-0005-0000-0000-00007F760000}"/>
    <cellStyle name="40% - Accent4 7 3 4 5 3" xfId="34492" xr:uid="{00000000-0005-0000-0000-000080760000}"/>
    <cellStyle name="40% - Accent4 7 3 4 6" xfId="15076" xr:uid="{00000000-0005-0000-0000-000081760000}"/>
    <cellStyle name="40% - Accent4 7 3 4 6 2" xfId="40950" xr:uid="{00000000-0005-0000-0000-000082760000}"/>
    <cellStyle name="40% - Accent4 7 3 4 7" xfId="28002" xr:uid="{00000000-0005-0000-0000-000083760000}"/>
    <cellStyle name="40% - Accent4 7 3 4 8" xfId="53864" xr:uid="{00000000-0005-0000-0000-000084760000}"/>
    <cellStyle name="40% - Accent4 7 3 5" xfId="2517" xr:uid="{00000000-0005-0000-0000-000085760000}"/>
    <cellStyle name="40% - Accent4 7 3 5 2" xfId="4174" xr:uid="{00000000-0005-0000-0000-000086760000}"/>
    <cellStyle name="40% - Accent4 7 3 5 2 2" xfId="7405" xr:uid="{00000000-0005-0000-0000-000087760000}"/>
    <cellStyle name="40% - Accent4 7 3 5 2 2 2" xfId="13864" xr:uid="{00000000-0005-0000-0000-000088760000}"/>
    <cellStyle name="40% - Accent4 7 3 5 2 2 2 2" xfId="26781" xr:uid="{00000000-0005-0000-0000-000089760000}"/>
    <cellStyle name="40% - Accent4 7 3 5 2 2 2 2 2" xfId="52655" xr:uid="{00000000-0005-0000-0000-00008A760000}"/>
    <cellStyle name="40% - Accent4 7 3 5 2 2 2 3" xfId="39739" xr:uid="{00000000-0005-0000-0000-00008B760000}"/>
    <cellStyle name="40% - Accent4 7 3 5 2 2 3" xfId="20323" xr:uid="{00000000-0005-0000-0000-00008C760000}"/>
    <cellStyle name="40% - Accent4 7 3 5 2 2 3 2" xfId="46197" xr:uid="{00000000-0005-0000-0000-00008D760000}"/>
    <cellStyle name="40% - Accent4 7 3 5 2 2 4" xfId="33281" xr:uid="{00000000-0005-0000-0000-00008E760000}"/>
    <cellStyle name="40% - Accent4 7 3 5 2 3" xfId="10636" xr:uid="{00000000-0005-0000-0000-00008F760000}"/>
    <cellStyle name="40% - Accent4 7 3 5 2 3 2" xfId="23553" xr:uid="{00000000-0005-0000-0000-000090760000}"/>
    <cellStyle name="40% - Accent4 7 3 5 2 3 2 2" xfId="49427" xr:uid="{00000000-0005-0000-0000-000091760000}"/>
    <cellStyle name="40% - Accent4 7 3 5 2 3 3" xfId="36511" xr:uid="{00000000-0005-0000-0000-000092760000}"/>
    <cellStyle name="40% - Accent4 7 3 5 2 4" xfId="17095" xr:uid="{00000000-0005-0000-0000-000093760000}"/>
    <cellStyle name="40% - Accent4 7 3 5 2 4 2" xfId="42969" xr:uid="{00000000-0005-0000-0000-000094760000}"/>
    <cellStyle name="40% - Accent4 7 3 5 2 5" xfId="30021" xr:uid="{00000000-0005-0000-0000-000095760000}"/>
    <cellStyle name="40% - Accent4 7 3 5 3" xfId="5791" xr:uid="{00000000-0005-0000-0000-000096760000}"/>
    <cellStyle name="40% - Accent4 7 3 5 3 2" xfId="12250" xr:uid="{00000000-0005-0000-0000-000097760000}"/>
    <cellStyle name="40% - Accent4 7 3 5 3 2 2" xfId="25167" xr:uid="{00000000-0005-0000-0000-000098760000}"/>
    <cellStyle name="40% - Accent4 7 3 5 3 2 2 2" xfId="51041" xr:uid="{00000000-0005-0000-0000-000099760000}"/>
    <cellStyle name="40% - Accent4 7 3 5 3 2 3" xfId="38125" xr:uid="{00000000-0005-0000-0000-00009A760000}"/>
    <cellStyle name="40% - Accent4 7 3 5 3 3" xfId="18709" xr:uid="{00000000-0005-0000-0000-00009B760000}"/>
    <cellStyle name="40% - Accent4 7 3 5 3 3 2" xfId="44583" xr:uid="{00000000-0005-0000-0000-00009C760000}"/>
    <cellStyle name="40% - Accent4 7 3 5 3 4" xfId="31667" xr:uid="{00000000-0005-0000-0000-00009D760000}"/>
    <cellStyle name="40% - Accent4 7 3 5 4" xfId="9022" xr:uid="{00000000-0005-0000-0000-00009E760000}"/>
    <cellStyle name="40% - Accent4 7 3 5 4 2" xfId="21939" xr:uid="{00000000-0005-0000-0000-00009F760000}"/>
    <cellStyle name="40% - Accent4 7 3 5 4 2 2" xfId="47813" xr:uid="{00000000-0005-0000-0000-0000A0760000}"/>
    <cellStyle name="40% - Accent4 7 3 5 4 3" xfId="34897" xr:uid="{00000000-0005-0000-0000-0000A1760000}"/>
    <cellStyle name="40% - Accent4 7 3 5 5" xfId="15481" xr:uid="{00000000-0005-0000-0000-0000A2760000}"/>
    <cellStyle name="40% - Accent4 7 3 5 5 2" xfId="41355" xr:uid="{00000000-0005-0000-0000-0000A3760000}"/>
    <cellStyle name="40% - Accent4 7 3 5 6" xfId="28407" xr:uid="{00000000-0005-0000-0000-0000A4760000}"/>
    <cellStyle name="40% - Accent4 7 3 6" xfId="3337" xr:uid="{00000000-0005-0000-0000-0000A5760000}"/>
    <cellStyle name="40% - Accent4 7 3 6 2" xfId="6598" xr:uid="{00000000-0005-0000-0000-0000A6760000}"/>
    <cellStyle name="40% - Accent4 7 3 6 2 2" xfId="13057" xr:uid="{00000000-0005-0000-0000-0000A7760000}"/>
    <cellStyle name="40% - Accent4 7 3 6 2 2 2" xfId="25974" xr:uid="{00000000-0005-0000-0000-0000A8760000}"/>
    <cellStyle name="40% - Accent4 7 3 6 2 2 2 2" xfId="51848" xr:uid="{00000000-0005-0000-0000-0000A9760000}"/>
    <cellStyle name="40% - Accent4 7 3 6 2 2 3" xfId="38932" xr:uid="{00000000-0005-0000-0000-0000AA760000}"/>
    <cellStyle name="40% - Accent4 7 3 6 2 3" xfId="19516" xr:uid="{00000000-0005-0000-0000-0000AB760000}"/>
    <cellStyle name="40% - Accent4 7 3 6 2 3 2" xfId="45390" xr:uid="{00000000-0005-0000-0000-0000AC760000}"/>
    <cellStyle name="40% - Accent4 7 3 6 2 4" xfId="32474" xr:uid="{00000000-0005-0000-0000-0000AD760000}"/>
    <cellStyle name="40% - Accent4 7 3 6 3" xfId="9829" xr:uid="{00000000-0005-0000-0000-0000AE760000}"/>
    <cellStyle name="40% - Accent4 7 3 6 3 2" xfId="22746" xr:uid="{00000000-0005-0000-0000-0000AF760000}"/>
    <cellStyle name="40% - Accent4 7 3 6 3 2 2" xfId="48620" xr:uid="{00000000-0005-0000-0000-0000B0760000}"/>
    <cellStyle name="40% - Accent4 7 3 6 3 3" xfId="35704" xr:uid="{00000000-0005-0000-0000-0000B1760000}"/>
    <cellStyle name="40% - Accent4 7 3 6 4" xfId="16288" xr:uid="{00000000-0005-0000-0000-0000B2760000}"/>
    <cellStyle name="40% - Accent4 7 3 6 4 2" xfId="42162" xr:uid="{00000000-0005-0000-0000-0000B3760000}"/>
    <cellStyle name="40% - Accent4 7 3 6 5" xfId="29214" xr:uid="{00000000-0005-0000-0000-0000B4760000}"/>
    <cellStyle name="40% - Accent4 7 3 7" xfId="4984" xr:uid="{00000000-0005-0000-0000-0000B5760000}"/>
    <cellStyle name="40% - Accent4 7 3 7 2" xfId="11443" xr:uid="{00000000-0005-0000-0000-0000B6760000}"/>
    <cellStyle name="40% - Accent4 7 3 7 2 2" xfId="24360" xr:uid="{00000000-0005-0000-0000-0000B7760000}"/>
    <cellStyle name="40% - Accent4 7 3 7 2 2 2" xfId="50234" xr:uid="{00000000-0005-0000-0000-0000B8760000}"/>
    <cellStyle name="40% - Accent4 7 3 7 2 3" xfId="37318" xr:uid="{00000000-0005-0000-0000-0000B9760000}"/>
    <cellStyle name="40% - Accent4 7 3 7 3" xfId="17902" xr:uid="{00000000-0005-0000-0000-0000BA760000}"/>
    <cellStyle name="40% - Accent4 7 3 7 3 2" xfId="43776" xr:uid="{00000000-0005-0000-0000-0000BB760000}"/>
    <cellStyle name="40% - Accent4 7 3 7 4" xfId="30860" xr:uid="{00000000-0005-0000-0000-0000BC760000}"/>
    <cellStyle name="40% - Accent4 7 3 8" xfId="8215" xr:uid="{00000000-0005-0000-0000-0000BD760000}"/>
    <cellStyle name="40% - Accent4 7 3 8 2" xfId="21132" xr:uid="{00000000-0005-0000-0000-0000BE760000}"/>
    <cellStyle name="40% - Accent4 7 3 8 2 2" xfId="47006" xr:uid="{00000000-0005-0000-0000-0000BF760000}"/>
    <cellStyle name="40% - Accent4 7 3 8 3" xfId="34090" xr:uid="{00000000-0005-0000-0000-0000C0760000}"/>
    <cellStyle name="40% - Accent4 7 3 9" xfId="14674" xr:uid="{00000000-0005-0000-0000-0000C1760000}"/>
    <cellStyle name="40% - Accent4 7 3 9 2" xfId="40548" xr:uid="{00000000-0005-0000-0000-0000C2760000}"/>
    <cellStyle name="40% - Accent4 7 4" xfId="1124" xr:uid="{00000000-0005-0000-0000-0000C3760000}"/>
    <cellStyle name="40% - Accent4 8" xfId="1456" xr:uid="{00000000-0005-0000-0000-0000C4760000}"/>
    <cellStyle name="40% - Accent4 9" xfId="1524" xr:uid="{00000000-0005-0000-0000-0000C5760000}"/>
    <cellStyle name="40% - Accent5 10" xfId="754" xr:uid="{00000000-0005-0000-0000-0000C6760000}"/>
    <cellStyle name="40% - Accent5 10 10" xfId="53479" xr:uid="{00000000-0005-0000-0000-0000C7760000}"/>
    <cellStyle name="40% - Accent5 10 11" xfId="1531" xr:uid="{00000000-0005-0000-0000-0000C8760000}"/>
    <cellStyle name="40% - Accent5 10 2" xfId="1888" xr:uid="{00000000-0005-0000-0000-0000C9760000}"/>
    <cellStyle name="40% - Accent5 10 2 2" xfId="2319" xr:uid="{00000000-0005-0000-0000-0000CA760000}"/>
    <cellStyle name="40% - Accent5 10 2 2 2" xfId="3132" xr:uid="{00000000-0005-0000-0000-0000CB760000}"/>
    <cellStyle name="40% - Accent5 10 2 2 2 2" xfId="4789" xr:uid="{00000000-0005-0000-0000-0000CC760000}"/>
    <cellStyle name="40% - Accent5 10 2 2 2 2 2" xfId="8020" xr:uid="{00000000-0005-0000-0000-0000CD760000}"/>
    <cellStyle name="40% - Accent5 10 2 2 2 2 2 2" xfId="14479" xr:uid="{00000000-0005-0000-0000-0000CE760000}"/>
    <cellStyle name="40% - Accent5 10 2 2 2 2 2 2 2" xfId="27396" xr:uid="{00000000-0005-0000-0000-0000CF760000}"/>
    <cellStyle name="40% - Accent5 10 2 2 2 2 2 2 2 2" xfId="53270" xr:uid="{00000000-0005-0000-0000-0000D0760000}"/>
    <cellStyle name="40% - Accent5 10 2 2 2 2 2 2 3" xfId="40354" xr:uid="{00000000-0005-0000-0000-0000D1760000}"/>
    <cellStyle name="40% - Accent5 10 2 2 2 2 2 3" xfId="20938" xr:uid="{00000000-0005-0000-0000-0000D2760000}"/>
    <cellStyle name="40% - Accent5 10 2 2 2 2 2 3 2" xfId="46812" xr:uid="{00000000-0005-0000-0000-0000D3760000}"/>
    <cellStyle name="40% - Accent5 10 2 2 2 2 2 4" xfId="33896" xr:uid="{00000000-0005-0000-0000-0000D4760000}"/>
    <cellStyle name="40% - Accent5 10 2 2 2 2 3" xfId="11251" xr:uid="{00000000-0005-0000-0000-0000D5760000}"/>
    <cellStyle name="40% - Accent5 10 2 2 2 2 3 2" xfId="24168" xr:uid="{00000000-0005-0000-0000-0000D6760000}"/>
    <cellStyle name="40% - Accent5 10 2 2 2 2 3 2 2" xfId="50042" xr:uid="{00000000-0005-0000-0000-0000D7760000}"/>
    <cellStyle name="40% - Accent5 10 2 2 2 2 3 3" xfId="37126" xr:uid="{00000000-0005-0000-0000-0000D8760000}"/>
    <cellStyle name="40% - Accent5 10 2 2 2 2 4" xfId="17710" xr:uid="{00000000-0005-0000-0000-0000D9760000}"/>
    <cellStyle name="40% - Accent5 10 2 2 2 2 4 2" xfId="43584" xr:uid="{00000000-0005-0000-0000-0000DA760000}"/>
    <cellStyle name="40% - Accent5 10 2 2 2 2 5" xfId="30636" xr:uid="{00000000-0005-0000-0000-0000DB760000}"/>
    <cellStyle name="40% - Accent5 10 2 2 2 3" xfId="6406" xr:uid="{00000000-0005-0000-0000-0000DC760000}"/>
    <cellStyle name="40% - Accent5 10 2 2 2 3 2" xfId="12865" xr:uid="{00000000-0005-0000-0000-0000DD760000}"/>
    <cellStyle name="40% - Accent5 10 2 2 2 3 2 2" xfId="25782" xr:uid="{00000000-0005-0000-0000-0000DE760000}"/>
    <cellStyle name="40% - Accent5 10 2 2 2 3 2 2 2" xfId="51656" xr:uid="{00000000-0005-0000-0000-0000DF760000}"/>
    <cellStyle name="40% - Accent5 10 2 2 2 3 2 3" xfId="38740" xr:uid="{00000000-0005-0000-0000-0000E0760000}"/>
    <cellStyle name="40% - Accent5 10 2 2 2 3 3" xfId="19324" xr:uid="{00000000-0005-0000-0000-0000E1760000}"/>
    <cellStyle name="40% - Accent5 10 2 2 2 3 3 2" xfId="45198" xr:uid="{00000000-0005-0000-0000-0000E2760000}"/>
    <cellStyle name="40% - Accent5 10 2 2 2 3 4" xfId="32282" xr:uid="{00000000-0005-0000-0000-0000E3760000}"/>
    <cellStyle name="40% - Accent5 10 2 2 2 4" xfId="9637" xr:uid="{00000000-0005-0000-0000-0000E4760000}"/>
    <cellStyle name="40% - Accent5 10 2 2 2 4 2" xfId="22554" xr:uid="{00000000-0005-0000-0000-0000E5760000}"/>
    <cellStyle name="40% - Accent5 10 2 2 2 4 2 2" xfId="48428" xr:uid="{00000000-0005-0000-0000-0000E6760000}"/>
    <cellStyle name="40% - Accent5 10 2 2 2 4 3" xfId="35512" xr:uid="{00000000-0005-0000-0000-0000E7760000}"/>
    <cellStyle name="40% - Accent5 10 2 2 2 5" xfId="16096" xr:uid="{00000000-0005-0000-0000-0000E8760000}"/>
    <cellStyle name="40% - Accent5 10 2 2 2 5 2" xfId="41970" xr:uid="{00000000-0005-0000-0000-0000E9760000}"/>
    <cellStyle name="40% - Accent5 10 2 2 2 6" xfId="29022" xr:uid="{00000000-0005-0000-0000-0000EA760000}"/>
    <cellStyle name="40% - Accent5 10 2 2 3" xfId="3959" xr:uid="{00000000-0005-0000-0000-0000EB760000}"/>
    <cellStyle name="40% - Accent5 10 2 2 3 2" xfId="7213" xr:uid="{00000000-0005-0000-0000-0000EC760000}"/>
    <cellStyle name="40% - Accent5 10 2 2 3 2 2" xfId="13672" xr:uid="{00000000-0005-0000-0000-0000ED760000}"/>
    <cellStyle name="40% - Accent5 10 2 2 3 2 2 2" xfId="26589" xr:uid="{00000000-0005-0000-0000-0000EE760000}"/>
    <cellStyle name="40% - Accent5 10 2 2 3 2 2 2 2" xfId="52463" xr:uid="{00000000-0005-0000-0000-0000EF760000}"/>
    <cellStyle name="40% - Accent5 10 2 2 3 2 2 3" xfId="39547" xr:uid="{00000000-0005-0000-0000-0000F0760000}"/>
    <cellStyle name="40% - Accent5 10 2 2 3 2 3" xfId="20131" xr:uid="{00000000-0005-0000-0000-0000F1760000}"/>
    <cellStyle name="40% - Accent5 10 2 2 3 2 3 2" xfId="46005" xr:uid="{00000000-0005-0000-0000-0000F2760000}"/>
    <cellStyle name="40% - Accent5 10 2 2 3 2 4" xfId="33089" xr:uid="{00000000-0005-0000-0000-0000F3760000}"/>
    <cellStyle name="40% - Accent5 10 2 2 3 3" xfId="10444" xr:uid="{00000000-0005-0000-0000-0000F4760000}"/>
    <cellStyle name="40% - Accent5 10 2 2 3 3 2" xfId="23361" xr:uid="{00000000-0005-0000-0000-0000F5760000}"/>
    <cellStyle name="40% - Accent5 10 2 2 3 3 2 2" xfId="49235" xr:uid="{00000000-0005-0000-0000-0000F6760000}"/>
    <cellStyle name="40% - Accent5 10 2 2 3 3 3" xfId="36319" xr:uid="{00000000-0005-0000-0000-0000F7760000}"/>
    <cellStyle name="40% - Accent5 10 2 2 3 4" xfId="16903" xr:uid="{00000000-0005-0000-0000-0000F8760000}"/>
    <cellStyle name="40% - Accent5 10 2 2 3 4 2" xfId="42777" xr:uid="{00000000-0005-0000-0000-0000F9760000}"/>
    <cellStyle name="40% - Accent5 10 2 2 3 5" xfId="29829" xr:uid="{00000000-0005-0000-0000-0000FA760000}"/>
    <cellStyle name="40% - Accent5 10 2 2 4" xfId="5599" xr:uid="{00000000-0005-0000-0000-0000FB760000}"/>
    <cellStyle name="40% - Accent5 10 2 2 4 2" xfId="12058" xr:uid="{00000000-0005-0000-0000-0000FC760000}"/>
    <cellStyle name="40% - Accent5 10 2 2 4 2 2" xfId="24975" xr:uid="{00000000-0005-0000-0000-0000FD760000}"/>
    <cellStyle name="40% - Accent5 10 2 2 4 2 2 2" xfId="50849" xr:uid="{00000000-0005-0000-0000-0000FE760000}"/>
    <cellStyle name="40% - Accent5 10 2 2 4 2 3" xfId="37933" xr:uid="{00000000-0005-0000-0000-0000FF760000}"/>
    <cellStyle name="40% - Accent5 10 2 2 4 3" xfId="18517" xr:uid="{00000000-0005-0000-0000-000000770000}"/>
    <cellStyle name="40% - Accent5 10 2 2 4 3 2" xfId="44391" xr:uid="{00000000-0005-0000-0000-000001770000}"/>
    <cellStyle name="40% - Accent5 10 2 2 4 4" xfId="31475" xr:uid="{00000000-0005-0000-0000-000002770000}"/>
    <cellStyle name="40% - Accent5 10 2 2 5" xfId="8830" xr:uid="{00000000-0005-0000-0000-000003770000}"/>
    <cellStyle name="40% - Accent5 10 2 2 5 2" xfId="21747" xr:uid="{00000000-0005-0000-0000-000004770000}"/>
    <cellStyle name="40% - Accent5 10 2 2 5 2 2" xfId="47621" xr:uid="{00000000-0005-0000-0000-000005770000}"/>
    <cellStyle name="40% - Accent5 10 2 2 5 3" xfId="34705" xr:uid="{00000000-0005-0000-0000-000006770000}"/>
    <cellStyle name="40% - Accent5 10 2 2 6" xfId="15289" xr:uid="{00000000-0005-0000-0000-000007770000}"/>
    <cellStyle name="40% - Accent5 10 2 2 6 2" xfId="41163" xr:uid="{00000000-0005-0000-0000-000008770000}"/>
    <cellStyle name="40% - Accent5 10 2 2 7" xfId="28215" xr:uid="{00000000-0005-0000-0000-000009770000}"/>
    <cellStyle name="40% - Accent5 10 2 2 8" xfId="54077" xr:uid="{00000000-0005-0000-0000-00000A770000}"/>
    <cellStyle name="40% - Accent5 10 2 3" xfId="2728" xr:uid="{00000000-0005-0000-0000-00000B770000}"/>
    <cellStyle name="40% - Accent5 10 2 3 2" xfId="4385" xr:uid="{00000000-0005-0000-0000-00000C770000}"/>
    <cellStyle name="40% - Accent5 10 2 3 2 2" xfId="7616" xr:uid="{00000000-0005-0000-0000-00000D770000}"/>
    <cellStyle name="40% - Accent5 10 2 3 2 2 2" xfId="14075" xr:uid="{00000000-0005-0000-0000-00000E770000}"/>
    <cellStyle name="40% - Accent5 10 2 3 2 2 2 2" xfId="26992" xr:uid="{00000000-0005-0000-0000-00000F770000}"/>
    <cellStyle name="40% - Accent5 10 2 3 2 2 2 2 2" xfId="52866" xr:uid="{00000000-0005-0000-0000-000010770000}"/>
    <cellStyle name="40% - Accent5 10 2 3 2 2 2 3" xfId="39950" xr:uid="{00000000-0005-0000-0000-000011770000}"/>
    <cellStyle name="40% - Accent5 10 2 3 2 2 3" xfId="20534" xr:uid="{00000000-0005-0000-0000-000012770000}"/>
    <cellStyle name="40% - Accent5 10 2 3 2 2 3 2" xfId="46408" xr:uid="{00000000-0005-0000-0000-000013770000}"/>
    <cellStyle name="40% - Accent5 10 2 3 2 2 4" xfId="33492" xr:uid="{00000000-0005-0000-0000-000014770000}"/>
    <cellStyle name="40% - Accent5 10 2 3 2 3" xfId="10847" xr:uid="{00000000-0005-0000-0000-000015770000}"/>
    <cellStyle name="40% - Accent5 10 2 3 2 3 2" xfId="23764" xr:uid="{00000000-0005-0000-0000-000016770000}"/>
    <cellStyle name="40% - Accent5 10 2 3 2 3 2 2" xfId="49638" xr:uid="{00000000-0005-0000-0000-000017770000}"/>
    <cellStyle name="40% - Accent5 10 2 3 2 3 3" xfId="36722" xr:uid="{00000000-0005-0000-0000-000018770000}"/>
    <cellStyle name="40% - Accent5 10 2 3 2 4" xfId="17306" xr:uid="{00000000-0005-0000-0000-000019770000}"/>
    <cellStyle name="40% - Accent5 10 2 3 2 4 2" xfId="43180" xr:uid="{00000000-0005-0000-0000-00001A770000}"/>
    <cellStyle name="40% - Accent5 10 2 3 2 5" xfId="30232" xr:uid="{00000000-0005-0000-0000-00001B770000}"/>
    <cellStyle name="40% - Accent5 10 2 3 3" xfId="6002" xr:uid="{00000000-0005-0000-0000-00001C770000}"/>
    <cellStyle name="40% - Accent5 10 2 3 3 2" xfId="12461" xr:uid="{00000000-0005-0000-0000-00001D770000}"/>
    <cellStyle name="40% - Accent5 10 2 3 3 2 2" xfId="25378" xr:uid="{00000000-0005-0000-0000-00001E770000}"/>
    <cellStyle name="40% - Accent5 10 2 3 3 2 2 2" xfId="51252" xr:uid="{00000000-0005-0000-0000-00001F770000}"/>
    <cellStyle name="40% - Accent5 10 2 3 3 2 3" xfId="38336" xr:uid="{00000000-0005-0000-0000-000020770000}"/>
    <cellStyle name="40% - Accent5 10 2 3 3 3" xfId="18920" xr:uid="{00000000-0005-0000-0000-000021770000}"/>
    <cellStyle name="40% - Accent5 10 2 3 3 3 2" xfId="44794" xr:uid="{00000000-0005-0000-0000-000022770000}"/>
    <cellStyle name="40% - Accent5 10 2 3 3 4" xfId="31878" xr:uid="{00000000-0005-0000-0000-000023770000}"/>
    <cellStyle name="40% - Accent5 10 2 3 4" xfId="9233" xr:uid="{00000000-0005-0000-0000-000024770000}"/>
    <cellStyle name="40% - Accent5 10 2 3 4 2" xfId="22150" xr:uid="{00000000-0005-0000-0000-000025770000}"/>
    <cellStyle name="40% - Accent5 10 2 3 4 2 2" xfId="48024" xr:uid="{00000000-0005-0000-0000-000026770000}"/>
    <cellStyle name="40% - Accent5 10 2 3 4 3" xfId="35108" xr:uid="{00000000-0005-0000-0000-000027770000}"/>
    <cellStyle name="40% - Accent5 10 2 3 5" xfId="15692" xr:uid="{00000000-0005-0000-0000-000028770000}"/>
    <cellStyle name="40% - Accent5 10 2 3 5 2" xfId="41566" xr:uid="{00000000-0005-0000-0000-000029770000}"/>
    <cellStyle name="40% - Accent5 10 2 3 6" xfId="28618" xr:uid="{00000000-0005-0000-0000-00002A770000}"/>
    <cellStyle name="40% - Accent5 10 2 4" xfId="3555" xr:uid="{00000000-0005-0000-0000-00002B770000}"/>
    <cellStyle name="40% - Accent5 10 2 4 2" xfId="6809" xr:uid="{00000000-0005-0000-0000-00002C770000}"/>
    <cellStyle name="40% - Accent5 10 2 4 2 2" xfId="13268" xr:uid="{00000000-0005-0000-0000-00002D770000}"/>
    <cellStyle name="40% - Accent5 10 2 4 2 2 2" xfId="26185" xr:uid="{00000000-0005-0000-0000-00002E770000}"/>
    <cellStyle name="40% - Accent5 10 2 4 2 2 2 2" xfId="52059" xr:uid="{00000000-0005-0000-0000-00002F770000}"/>
    <cellStyle name="40% - Accent5 10 2 4 2 2 3" xfId="39143" xr:uid="{00000000-0005-0000-0000-000030770000}"/>
    <cellStyle name="40% - Accent5 10 2 4 2 3" xfId="19727" xr:uid="{00000000-0005-0000-0000-000031770000}"/>
    <cellStyle name="40% - Accent5 10 2 4 2 3 2" xfId="45601" xr:uid="{00000000-0005-0000-0000-000032770000}"/>
    <cellStyle name="40% - Accent5 10 2 4 2 4" xfId="32685" xr:uid="{00000000-0005-0000-0000-000033770000}"/>
    <cellStyle name="40% - Accent5 10 2 4 3" xfId="10040" xr:uid="{00000000-0005-0000-0000-000034770000}"/>
    <cellStyle name="40% - Accent5 10 2 4 3 2" xfId="22957" xr:uid="{00000000-0005-0000-0000-000035770000}"/>
    <cellStyle name="40% - Accent5 10 2 4 3 2 2" xfId="48831" xr:uid="{00000000-0005-0000-0000-000036770000}"/>
    <cellStyle name="40% - Accent5 10 2 4 3 3" xfId="35915" xr:uid="{00000000-0005-0000-0000-000037770000}"/>
    <cellStyle name="40% - Accent5 10 2 4 4" xfId="16499" xr:uid="{00000000-0005-0000-0000-000038770000}"/>
    <cellStyle name="40% - Accent5 10 2 4 4 2" xfId="42373" xr:uid="{00000000-0005-0000-0000-000039770000}"/>
    <cellStyle name="40% - Accent5 10 2 4 5" xfId="29425" xr:uid="{00000000-0005-0000-0000-00003A770000}"/>
    <cellStyle name="40% - Accent5 10 2 5" xfId="5195" xr:uid="{00000000-0005-0000-0000-00003B770000}"/>
    <cellStyle name="40% - Accent5 10 2 5 2" xfId="11654" xr:uid="{00000000-0005-0000-0000-00003C770000}"/>
    <cellStyle name="40% - Accent5 10 2 5 2 2" xfId="24571" xr:uid="{00000000-0005-0000-0000-00003D770000}"/>
    <cellStyle name="40% - Accent5 10 2 5 2 2 2" xfId="50445" xr:uid="{00000000-0005-0000-0000-00003E770000}"/>
    <cellStyle name="40% - Accent5 10 2 5 2 3" xfId="37529" xr:uid="{00000000-0005-0000-0000-00003F770000}"/>
    <cellStyle name="40% - Accent5 10 2 5 3" xfId="18113" xr:uid="{00000000-0005-0000-0000-000040770000}"/>
    <cellStyle name="40% - Accent5 10 2 5 3 2" xfId="43987" xr:uid="{00000000-0005-0000-0000-000041770000}"/>
    <cellStyle name="40% - Accent5 10 2 5 4" xfId="31071" xr:uid="{00000000-0005-0000-0000-000042770000}"/>
    <cellStyle name="40% - Accent5 10 2 6" xfId="8426" xr:uid="{00000000-0005-0000-0000-000043770000}"/>
    <cellStyle name="40% - Accent5 10 2 6 2" xfId="21343" xr:uid="{00000000-0005-0000-0000-000044770000}"/>
    <cellStyle name="40% - Accent5 10 2 6 2 2" xfId="47217" xr:uid="{00000000-0005-0000-0000-000045770000}"/>
    <cellStyle name="40% - Accent5 10 2 6 3" xfId="34301" xr:uid="{00000000-0005-0000-0000-000046770000}"/>
    <cellStyle name="40% - Accent5 10 2 7" xfId="14885" xr:uid="{00000000-0005-0000-0000-000047770000}"/>
    <cellStyle name="40% - Accent5 10 2 7 2" xfId="40759" xr:uid="{00000000-0005-0000-0000-000048770000}"/>
    <cellStyle name="40% - Accent5 10 2 8" xfId="27810" xr:uid="{00000000-0005-0000-0000-000049770000}"/>
    <cellStyle name="40% - Accent5 10 2 9" xfId="53673" xr:uid="{00000000-0005-0000-0000-00004A770000}"/>
    <cellStyle name="40% - Accent5 10 3" xfId="2123" xr:uid="{00000000-0005-0000-0000-00004B770000}"/>
    <cellStyle name="40% - Accent5 10 3 2" xfId="2937" xr:uid="{00000000-0005-0000-0000-00004C770000}"/>
    <cellStyle name="40% - Accent5 10 3 2 2" xfId="4594" xr:uid="{00000000-0005-0000-0000-00004D770000}"/>
    <cellStyle name="40% - Accent5 10 3 2 2 2" xfId="7825" xr:uid="{00000000-0005-0000-0000-00004E770000}"/>
    <cellStyle name="40% - Accent5 10 3 2 2 2 2" xfId="14284" xr:uid="{00000000-0005-0000-0000-00004F770000}"/>
    <cellStyle name="40% - Accent5 10 3 2 2 2 2 2" xfId="27201" xr:uid="{00000000-0005-0000-0000-000050770000}"/>
    <cellStyle name="40% - Accent5 10 3 2 2 2 2 2 2" xfId="53075" xr:uid="{00000000-0005-0000-0000-000051770000}"/>
    <cellStyle name="40% - Accent5 10 3 2 2 2 2 3" xfId="40159" xr:uid="{00000000-0005-0000-0000-000052770000}"/>
    <cellStyle name="40% - Accent5 10 3 2 2 2 3" xfId="20743" xr:uid="{00000000-0005-0000-0000-000053770000}"/>
    <cellStyle name="40% - Accent5 10 3 2 2 2 3 2" xfId="46617" xr:uid="{00000000-0005-0000-0000-000054770000}"/>
    <cellStyle name="40% - Accent5 10 3 2 2 2 4" xfId="33701" xr:uid="{00000000-0005-0000-0000-000055770000}"/>
    <cellStyle name="40% - Accent5 10 3 2 2 3" xfId="11056" xr:uid="{00000000-0005-0000-0000-000056770000}"/>
    <cellStyle name="40% - Accent5 10 3 2 2 3 2" xfId="23973" xr:uid="{00000000-0005-0000-0000-000057770000}"/>
    <cellStyle name="40% - Accent5 10 3 2 2 3 2 2" xfId="49847" xr:uid="{00000000-0005-0000-0000-000058770000}"/>
    <cellStyle name="40% - Accent5 10 3 2 2 3 3" xfId="36931" xr:uid="{00000000-0005-0000-0000-000059770000}"/>
    <cellStyle name="40% - Accent5 10 3 2 2 4" xfId="17515" xr:uid="{00000000-0005-0000-0000-00005A770000}"/>
    <cellStyle name="40% - Accent5 10 3 2 2 4 2" xfId="43389" xr:uid="{00000000-0005-0000-0000-00005B770000}"/>
    <cellStyle name="40% - Accent5 10 3 2 2 5" xfId="30441" xr:uid="{00000000-0005-0000-0000-00005C770000}"/>
    <cellStyle name="40% - Accent5 10 3 2 3" xfId="6211" xr:uid="{00000000-0005-0000-0000-00005D770000}"/>
    <cellStyle name="40% - Accent5 10 3 2 3 2" xfId="12670" xr:uid="{00000000-0005-0000-0000-00005E770000}"/>
    <cellStyle name="40% - Accent5 10 3 2 3 2 2" xfId="25587" xr:uid="{00000000-0005-0000-0000-00005F770000}"/>
    <cellStyle name="40% - Accent5 10 3 2 3 2 2 2" xfId="51461" xr:uid="{00000000-0005-0000-0000-000060770000}"/>
    <cellStyle name="40% - Accent5 10 3 2 3 2 3" xfId="38545" xr:uid="{00000000-0005-0000-0000-000061770000}"/>
    <cellStyle name="40% - Accent5 10 3 2 3 3" xfId="19129" xr:uid="{00000000-0005-0000-0000-000062770000}"/>
    <cellStyle name="40% - Accent5 10 3 2 3 3 2" xfId="45003" xr:uid="{00000000-0005-0000-0000-000063770000}"/>
    <cellStyle name="40% - Accent5 10 3 2 3 4" xfId="32087" xr:uid="{00000000-0005-0000-0000-000064770000}"/>
    <cellStyle name="40% - Accent5 10 3 2 4" xfId="9442" xr:uid="{00000000-0005-0000-0000-000065770000}"/>
    <cellStyle name="40% - Accent5 10 3 2 4 2" xfId="22359" xr:uid="{00000000-0005-0000-0000-000066770000}"/>
    <cellStyle name="40% - Accent5 10 3 2 4 2 2" xfId="48233" xr:uid="{00000000-0005-0000-0000-000067770000}"/>
    <cellStyle name="40% - Accent5 10 3 2 4 3" xfId="35317" xr:uid="{00000000-0005-0000-0000-000068770000}"/>
    <cellStyle name="40% - Accent5 10 3 2 5" xfId="15901" xr:uid="{00000000-0005-0000-0000-000069770000}"/>
    <cellStyle name="40% - Accent5 10 3 2 5 2" xfId="41775" xr:uid="{00000000-0005-0000-0000-00006A770000}"/>
    <cellStyle name="40% - Accent5 10 3 2 6" xfId="28827" xr:uid="{00000000-0005-0000-0000-00006B770000}"/>
    <cellStyle name="40% - Accent5 10 3 3" xfId="3764" xr:uid="{00000000-0005-0000-0000-00006C770000}"/>
    <cellStyle name="40% - Accent5 10 3 3 2" xfId="7018" xr:uid="{00000000-0005-0000-0000-00006D770000}"/>
    <cellStyle name="40% - Accent5 10 3 3 2 2" xfId="13477" xr:uid="{00000000-0005-0000-0000-00006E770000}"/>
    <cellStyle name="40% - Accent5 10 3 3 2 2 2" xfId="26394" xr:uid="{00000000-0005-0000-0000-00006F770000}"/>
    <cellStyle name="40% - Accent5 10 3 3 2 2 2 2" xfId="52268" xr:uid="{00000000-0005-0000-0000-000070770000}"/>
    <cellStyle name="40% - Accent5 10 3 3 2 2 3" xfId="39352" xr:uid="{00000000-0005-0000-0000-000071770000}"/>
    <cellStyle name="40% - Accent5 10 3 3 2 3" xfId="19936" xr:uid="{00000000-0005-0000-0000-000072770000}"/>
    <cellStyle name="40% - Accent5 10 3 3 2 3 2" xfId="45810" xr:uid="{00000000-0005-0000-0000-000073770000}"/>
    <cellStyle name="40% - Accent5 10 3 3 2 4" xfId="32894" xr:uid="{00000000-0005-0000-0000-000074770000}"/>
    <cellStyle name="40% - Accent5 10 3 3 3" xfId="10249" xr:uid="{00000000-0005-0000-0000-000075770000}"/>
    <cellStyle name="40% - Accent5 10 3 3 3 2" xfId="23166" xr:uid="{00000000-0005-0000-0000-000076770000}"/>
    <cellStyle name="40% - Accent5 10 3 3 3 2 2" xfId="49040" xr:uid="{00000000-0005-0000-0000-000077770000}"/>
    <cellStyle name="40% - Accent5 10 3 3 3 3" xfId="36124" xr:uid="{00000000-0005-0000-0000-000078770000}"/>
    <cellStyle name="40% - Accent5 10 3 3 4" xfId="16708" xr:uid="{00000000-0005-0000-0000-000079770000}"/>
    <cellStyle name="40% - Accent5 10 3 3 4 2" xfId="42582" xr:uid="{00000000-0005-0000-0000-00007A770000}"/>
    <cellStyle name="40% - Accent5 10 3 3 5" xfId="29634" xr:uid="{00000000-0005-0000-0000-00007B770000}"/>
    <cellStyle name="40% - Accent5 10 3 4" xfId="5404" xr:uid="{00000000-0005-0000-0000-00007C770000}"/>
    <cellStyle name="40% - Accent5 10 3 4 2" xfId="11863" xr:uid="{00000000-0005-0000-0000-00007D770000}"/>
    <cellStyle name="40% - Accent5 10 3 4 2 2" xfId="24780" xr:uid="{00000000-0005-0000-0000-00007E770000}"/>
    <cellStyle name="40% - Accent5 10 3 4 2 2 2" xfId="50654" xr:uid="{00000000-0005-0000-0000-00007F770000}"/>
    <cellStyle name="40% - Accent5 10 3 4 2 3" xfId="37738" xr:uid="{00000000-0005-0000-0000-000080770000}"/>
    <cellStyle name="40% - Accent5 10 3 4 3" xfId="18322" xr:uid="{00000000-0005-0000-0000-000081770000}"/>
    <cellStyle name="40% - Accent5 10 3 4 3 2" xfId="44196" xr:uid="{00000000-0005-0000-0000-000082770000}"/>
    <cellStyle name="40% - Accent5 10 3 4 4" xfId="31280" xr:uid="{00000000-0005-0000-0000-000083770000}"/>
    <cellStyle name="40% - Accent5 10 3 5" xfId="8635" xr:uid="{00000000-0005-0000-0000-000084770000}"/>
    <cellStyle name="40% - Accent5 10 3 5 2" xfId="21552" xr:uid="{00000000-0005-0000-0000-000085770000}"/>
    <cellStyle name="40% - Accent5 10 3 5 2 2" xfId="47426" xr:uid="{00000000-0005-0000-0000-000086770000}"/>
    <cellStyle name="40% - Accent5 10 3 5 3" xfId="34510" xr:uid="{00000000-0005-0000-0000-000087770000}"/>
    <cellStyle name="40% - Accent5 10 3 6" xfId="15094" xr:uid="{00000000-0005-0000-0000-000088770000}"/>
    <cellStyle name="40% - Accent5 10 3 6 2" xfId="40968" xr:uid="{00000000-0005-0000-0000-000089770000}"/>
    <cellStyle name="40% - Accent5 10 3 7" xfId="28020" xr:uid="{00000000-0005-0000-0000-00008A770000}"/>
    <cellStyle name="40% - Accent5 10 3 8" xfId="53882" xr:uid="{00000000-0005-0000-0000-00008B770000}"/>
    <cellStyle name="40% - Accent5 10 4" xfId="2534" xr:uid="{00000000-0005-0000-0000-00008C770000}"/>
    <cellStyle name="40% - Accent5 10 4 2" xfId="4191" xr:uid="{00000000-0005-0000-0000-00008D770000}"/>
    <cellStyle name="40% - Accent5 10 4 2 2" xfId="7422" xr:uid="{00000000-0005-0000-0000-00008E770000}"/>
    <cellStyle name="40% - Accent5 10 4 2 2 2" xfId="13881" xr:uid="{00000000-0005-0000-0000-00008F770000}"/>
    <cellStyle name="40% - Accent5 10 4 2 2 2 2" xfId="26798" xr:uid="{00000000-0005-0000-0000-000090770000}"/>
    <cellStyle name="40% - Accent5 10 4 2 2 2 2 2" xfId="52672" xr:uid="{00000000-0005-0000-0000-000091770000}"/>
    <cellStyle name="40% - Accent5 10 4 2 2 2 3" xfId="39756" xr:uid="{00000000-0005-0000-0000-000092770000}"/>
    <cellStyle name="40% - Accent5 10 4 2 2 3" xfId="20340" xr:uid="{00000000-0005-0000-0000-000093770000}"/>
    <cellStyle name="40% - Accent5 10 4 2 2 3 2" xfId="46214" xr:uid="{00000000-0005-0000-0000-000094770000}"/>
    <cellStyle name="40% - Accent5 10 4 2 2 4" xfId="33298" xr:uid="{00000000-0005-0000-0000-000095770000}"/>
    <cellStyle name="40% - Accent5 10 4 2 3" xfId="10653" xr:uid="{00000000-0005-0000-0000-000096770000}"/>
    <cellStyle name="40% - Accent5 10 4 2 3 2" xfId="23570" xr:uid="{00000000-0005-0000-0000-000097770000}"/>
    <cellStyle name="40% - Accent5 10 4 2 3 2 2" xfId="49444" xr:uid="{00000000-0005-0000-0000-000098770000}"/>
    <cellStyle name="40% - Accent5 10 4 2 3 3" xfId="36528" xr:uid="{00000000-0005-0000-0000-000099770000}"/>
    <cellStyle name="40% - Accent5 10 4 2 4" xfId="17112" xr:uid="{00000000-0005-0000-0000-00009A770000}"/>
    <cellStyle name="40% - Accent5 10 4 2 4 2" xfId="42986" xr:uid="{00000000-0005-0000-0000-00009B770000}"/>
    <cellStyle name="40% - Accent5 10 4 2 5" xfId="30038" xr:uid="{00000000-0005-0000-0000-00009C770000}"/>
    <cellStyle name="40% - Accent5 10 4 3" xfId="5808" xr:uid="{00000000-0005-0000-0000-00009D770000}"/>
    <cellStyle name="40% - Accent5 10 4 3 2" xfId="12267" xr:uid="{00000000-0005-0000-0000-00009E770000}"/>
    <cellStyle name="40% - Accent5 10 4 3 2 2" xfId="25184" xr:uid="{00000000-0005-0000-0000-00009F770000}"/>
    <cellStyle name="40% - Accent5 10 4 3 2 2 2" xfId="51058" xr:uid="{00000000-0005-0000-0000-0000A0770000}"/>
    <cellStyle name="40% - Accent5 10 4 3 2 3" xfId="38142" xr:uid="{00000000-0005-0000-0000-0000A1770000}"/>
    <cellStyle name="40% - Accent5 10 4 3 3" xfId="18726" xr:uid="{00000000-0005-0000-0000-0000A2770000}"/>
    <cellStyle name="40% - Accent5 10 4 3 3 2" xfId="44600" xr:uid="{00000000-0005-0000-0000-0000A3770000}"/>
    <cellStyle name="40% - Accent5 10 4 3 4" xfId="31684" xr:uid="{00000000-0005-0000-0000-0000A4770000}"/>
    <cellStyle name="40% - Accent5 10 4 4" xfId="9039" xr:uid="{00000000-0005-0000-0000-0000A5770000}"/>
    <cellStyle name="40% - Accent5 10 4 4 2" xfId="21956" xr:uid="{00000000-0005-0000-0000-0000A6770000}"/>
    <cellStyle name="40% - Accent5 10 4 4 2 2" xfId="47830" xr:uid="{00000000-0005-0000-0000-0000A7770000}"/>
    <cellStyle name="40% - Accent5 10 4 4 3" xfId="34914" xr:uid="{00000000-0005-0000-0000-0000A8770000}"/>
    <cellStyle name="40% - Accent5 10 4 5" xfId="15498" xr:uid="{00000000-0005-0000-0000-0000A9770000}"/>
    <cellStyle name="40% - Accent5 10 4 5 2" xfId="41372" xr:uid="{00000000-0005-0000-0000-0000AA770000}"/>
    <cellStyle name="40% - Accent5 10 4 6" xfId="28424" xr:uid="{00000000-0005-0000-0000-0000AB770000}"/>
    <cellStyle name="40% - Accent5 10 5" xfId="3356" xr:uid="{00000000-0005-0000-0000-0000AC770000}"/>
    <cellStyle name="40% - Accent5 10 5 2" xfId="6615" xr:uid="{00000000-0005-0000-0000-0000AD770000}"/>
    <cellStyle name="40% - Accent5 10 5 2 2" xfId="13074" xr:uid="{00000000-0005-0000-0000-0000AE770000}"/>
    <cellStyle name="40% - Accent5 10 5 2 2 2" xfId="25991" xr:uid="{00000000-0005-0000-0000-0000AF770000}"/>
    <cellStyle name="40% - Accent5 10 5 2 2 2 2" xfId="51865" xr:uid="{00000000-0005-0000-0000-0000B0770000}"/>
    <cellStyle name="40% - Accent5 10 5 2 2 3" xfId="38949" xr:uid="{00000000-0005-0000-0000-0000B1770000}"/>
    <cellStyle name="40% - Accent5 10 5 2 3" xfId="19533" xr:uid="{00000000-0005-0000-0000-0000B2770000}"/>
    <cellStyle name="40% - Accent5 10 5 2 3 2" xfId="45407" xr:uid="{00000000-0005-0000-0000-0000B3770000}"/>
    <cellStyle name="40% - Accent5 10 5 2 4" xfId="32491" xr:uid="{00000000-0005-0000-0000-0000B4770000}"/>
    <cellStyle name="40% - Accent5 10 5 3" xfId="9846" xr:uid="{00000000-0005-0000-0000-0000B5770000}"/>
    <cellStyle name="40% - Accent5 10 5 3 2" xfId="22763" xr:uid="{00000000-0005-0000-0000-0000B6770000}"/>
    <cellStyle name="40% - Accent5 10 5 3 2 2" xfId="48637" xr:uid="{00000000-0005-0000-0000-0000B7770000}"/>
    <cellStyle name="40% - Accent5 10 5 3 3" xfId="35721" xr:uid="{00000000-0005-0000-0000-0000B8770000}"/>
    <cellStyle name="40% - Accent5 10 5 4" xfId="16305" xr:uid="{00000000-0005-0000-0000-0000B9770000}"/>
    <cellStyle name="40% - Accent5 10 5 4 2" xfId="42179" xr:uid="{00000000-0005-0000-0000-0000BA770000}"/>
    <cellStyle name="40% - Accent5 10 5 5" xfId="29231" xr:uid="{00000000-0005-0000-0000-0000BB770000}"/>
    <cellStyle name="40% - Accent5 10 6" xfId="5001" xr:uid="{00000000-0005-0000-0000-0000BC770000}"/>
    <cellStyle name="40% - Accent5 10 6 2" xfId="11460" xr:uid="{00000000-0005-0000-0000-0000BD770000}"/>
    <cellStyle name="40% - Accent5 10 6 2 2" xfId="24377" xr:uid="{00000000-0005-0000-0000-0000BE770000}"/>
    <cellStyle name="40% - Accent5 10 6 2 2 2" xfId="50251" xr:uid="{00000000-0005-0000-0000-0000BF770000}"/>
    <cellStyle name="40% - Accent5 10 6 2 3" xfId="37335" xr:uid="{00000000-0005-0000-0000-0000C0770000}"/>
    <cellStyle name="40% - Accent5 10 6 3" xfId="17919" xr:uid="{00000000-0005-0000-0000-0000C1770000}"/>
    <cellStyle name="40% - Accent5 10 6 3 2" xfId="43793" xr:uid="{00000000-0005-0000-0000-0000C2770000}"/>
    <cellStyle name="40% - Accent5 10 6 4" xfId="30877" xr:uid="{00000000-0005-0000-0000-0000C3770000}"/>
    <cellStyle name="40% - Accent5 10 7" xfId="8231" xr:uid="{00000000-0005-0000-0000-0000C4770000}"/>
    <cellStyle name="40% - Accent5 10 7 2" xfId="21148" xr:uid="{00000000-0005-0000-0000-0000C5770000}"/>
    <cellStyle name="40% - Accent5 10 7 2 2" xfId="47022" xr:uid="{00000000-0005-0000-0000-0000C6770000}"/>
    <cellStyle name="40% - Accent5 10 7 3" xfId="34106" xr:uid="{00000000-0005-0000-0000-0000C7770000}"/>
    <cellStyle name="40% - Accent5 10 8" xfId="14690" xr:uid="{00000000-0005-0000-0000-0000C8770000}"/>
    <cellStyle name="40% - Accent5 10 8 2" xfId="40564" xr:uid="{00000000-0005-0000-0000-0000C9770000}"/>
    <cellStyle name="40% - Accent5 10 9" xfId="27614" xr:uid="{00000000-0005-0000-0000-0000CA770000}"/>
    <cellStyle name="40% - Accent5 11" xfId="1766" xr:uid="{00000000-0005-0000-0000-0000CB770000}"/>
    <cellStyle name="40% - Accent5 11 2" xfId="2260" xr:uid="{00000000-0005-0000-0000-0000CC770000}"/>
    <cellStyle name="40% - Accent5 11 2 2" xfId="3074" xr:uid="{00000000-0005-0000-0000-0000CD770000}"/>
    <cellStyle name="40% - Accent5 11 2 2 2" xfId="4731" xr:uid="{00000000-0005-0000-0000-0000CE770000}"/>
    <cellStyle name="40% - Accent5 11 2 2 2 2" xfId="7962" xr:uid="{00000000-0005-0000-0000-0000CF770000}"/>
    <cellStyle name="40% - Accent5 11 2 2 2 2 2" xfId="14421" xr:uid="{00000000-0005-0000-0000-0000D0770000}"/>
    <cellStyle name="40% - Accent5 11 2 2 2 2 2 2" xfId="27338" xr:uid="{00000000-0005-0000-0000-0000D1770000}"/>
    <cellStyle name="40% - Accent5 11 2 2 2 2 2 2 2" xfId="53212" xr:uid="{00000000-0005-0000-0000-0000D2770000}"/>
    <cellStyle name="40% - Accent5 11 2 2 2 2 2 3" xfId="40296" xr:uid="{00000000-0005-0000-0000-0000D3770000}"/>
    <cellStyle name="40% - Accent5 11 2 2 2 2 3" xfId="20880" xr:uid="{00000000-0005-0000-0000-0000D4770000}"/>
    <cellStyle name="40% - Accent5 11 2 2 2 2 3 2" xfId="46754" xr:uid="{00000000-0005-0000-0000-0000D5770000}"/>
    <cellStyle name="40% - Accent5 11 2 2 2 2 4" xfId="33838" xr:uid="{00000000-0005-0000-0000-0000D6770000}"/>
    <cellStyle name="40% - Accent5 11 2 2 2 3" xfId="11193" xr:uid="{00000000-0005-0000-0000-0000D7770000}"/>
    <cellStyle name="40% - Accent5 11 2 2 2 3 2" xfId="24110" xr:uid="{00000000-0005-0000-0000-0000D8770000}"/>
    <cellStyle name="40% - Accent5 11 2 2 2 3 2 2" xfId="49984" xr:uid="{00000000-0005-0000-0000-0000D9770000}"/>
    <cellStyle name="40% - Accent5 11 2 2 2 3 3" xfId="37068" xr:uid="{00000000-0005-0000-0000-0000DA770000}"/>
    <cellStyle name="40% - Accent5 11 2 2 2 4" xfId="17652" xr:uid="{00000000-0005-0000-0000-0000DB770000}"/>
    <cellStyle name="40% - Accent5 11 2 2 2 4 2" xfId="43526" xr:uid="{00000000-0005-0000-0000-0000DC770000}"/>
    <cellStyle name="40% - Accent5 11 2 2 2 5" xfId="30578" xr:uid="{00000000-0005-0000-0000-0000DD770000}"/>
    <cellStyle name="40% - Accent5 11 2 2 3" xfId="6348" xr:uid="{00000000-0005-0000-0000-0000DE770000}"/>
    <cellStyle name="40% - Accent5 11 2 2 3 2" xfId="12807" xr:uid="{00000000-0005-0000-0000-0000DF770000}"/>
    <cellStyle name="40% - Accent5 11 2 2 3 2 2" xfId="25724" xr:uid="{00000000-0005-0000-0000-0000E0770000}"/>
    <cellStyle name="40% - Accent5 11 2 2 3 2 2 2" xfId="51598" xr:uid="{00000000-0005-0000-0000-0000E1770000}"/>
    <cellStyle name="40% - Accent5 11 2 2 3 2 3" xfId="38682" xr:uid="{00000000-0005-0000-0000-0000E2770000}"/>
    <cellStyle name="40% - Accent5 11 2 2 3 3" xfId="19266" xr:uid="{00000000-0005-0000-0000-0000E3770000}"/>
    <cellStyle name="40% - Accent5 11 2 2 3 3 2" xfId="45140" xr:uid="{00000000-0005-0000-0000-0000E4770000}"/>
    <cellStyle name="40% - Accent5 11 2 2 3 4" xfId="32224" xr:uid="{00000000-0005-0000-0000-0000E5770000}"/>
    <cellStyle name="40% - Accent5 11 2 2 4" xfId="9579" xr:uid="{00000000-0005-0000-0000-0000E6770000}"/>
    <cellStyle name="40% - Accent5 11 2 2 4 2" xfId="22496" xr:uid="{00000000-0005-0000-0000-0000E7770000}"/>
    <cellStyle name="40% - Accent5 11 2 2 4 2 2" xfId="48370" xr:uid="{00000000-0005-0000-0000-0000E8770000}"/>
    <cellStyle name="40% - Accent5 11 2 2 4 3" xfId="35454" xr:uid="{00000000-0005-0000-0000-0000E9770000}"/>
    <cellStyle name="40% - Accent5 11 2 2 5" xfId="16038" xr:uid="{00000000-0005-0000-0000-0000EA770000}"/>
    <cellStyle name="40% - Accent5 11 2 2 5 2" xfId="41912" xr:uid="{00000000-0005-0000-0000-0000EB770000}"/>
    <cellStyle name="40% - Accent5 11 2 2 6" xfId="28964" xr:uid="{00000000-0005-0000-0000-0000EC770000}"/>
    <cellStyle name="40% - Accent5 11 2 3" xfId="3901" xr:uid="{00000000-0005-0000-0000-0000ED770000}"/>
    <cellStyle name="40% - Accent5 11 2 3 2" xfId="7155" xr:uid="{00000000-0005-0000-0000-0000EE770000}"/>
    <cellStyle name="40% - Accent5 11 2 3 2 2" xfId="13614" xr:uid="{00000000-0005-0000-0000-0000EF770000}"/>
    <cellStyle name="40% - Accent5 11 2 3 2 2 2" xfId="26531" xr:uid="{00000000-0005-0000-0000-0000F0770000}"/>
    <cellStyle name="40% - Accent5 11 2 3 2 2 2 2" xfId="52405" xr:uid="{00000000-0005-0000-0000-0000F1770000}"/>
    <cellStyle name="40% - Accent5 11 2 3 2 2 3" xfId="39489" xr:uid="{00000000-0005-0000-0000-0000F2770000}"/>
    <cellStyle name="40% - Accent5 11 2 3 2 3" xfId="20073" xr:uid="{00000000-0005-0000-0000-0000F3770000}"/>
    <cellStyle name="40% - Accent5 11 2 3 2 3 2" xfId="45947" xr:uid="{00000000-0005-0000-0000-0000F4770000}"/>
    <cellStyle name="40% - Accent5 11 2 3 2 4" xfId="33031" xr:uid="{00000000-0005-0000-0000-0000F5770000}"/>
    <cellStyle name="40% - Accent5 11 2 3 3" xfId="10386" xr:uid="{00000000-0005-0000-0000-0000F6770000}"/>
    <cellStyle name="40% - Accent5 11 2 3 3 2" xfId="23303" xr:uid="{00000000-0005-0000-0000-0000F7770000}"/>
    <cellStyle name="40% - Accent5 11 2 3 3 2 2" xfId="49177" xr:uid="{00000000-0005-0000-0000-0000F8770000}"/>
    <cellStyle name="40% - Accent5 11 2 3 3 3" xfId="36261" xr:uid="{00000000-0005-0000-0000-0000F9770000}"/>
    <cellStyle name="40% - Accent5 11 2 3 4" xfId="16845" xr:uid="{00000000-0005-0000-0000-0000FA770000}"/>
    <cellStyle name="40% - Accent5 11 2 3 4 2" xfId="42719" xr:uid="{00000000-0005-0000-0000-0000FB770000}"/>
    <cellStyle name="40% - Accent5 11 2 3 5" xfId="29771" xr:uid="{00000000-0005-0000-0000-0000FC770000}"/>
    <cellStyle name="40% - Accent5 11 2 4" xfId="5541" xr:uid="{00000000-0005-0000-0000-0000FD770000}"/>
    <cellStyle name="40% - Accent5 11 2 4 2" xfId="12000" xr:uid="{00000000-0005-0000-0000-0000FE770000}"/>
    <cellStyle name="40% - Accent5 11 2 4 2 2" xfId="24917" xr:uid="{00000000-0005-0000-0000-0000FF770000}"/>
    <cellStyle name="40% - Accent5 11 2 4 2 2 2" xfId="50791" xr:uid="{00000000-0005-0000-0000-000000780000}"/>
    <cellStyle name="40% - Accent5 11 2 4 2 3" xfId="37875" xr:uid="{00000000-0005-0000-0000-000001780000}"/>
    <cellStyle name="40% - Accent5 11 2 4 3" xfId="18459" xr:uid="{00000000-0005-0000-0000-000002780000}"/>
    <cellStyle name="40% - Accent5 11 2 4 3 2" xfId="44333" xr:uid="{00000000-0005-0000-0000-000003780000}"/>
    <cellStyle name="40% - Accent5 11 2 4 4" xfId="31417" xr:uid="{00000000-0005-0000-0000-000004780000}"/>
    <cellStyle name="40% - Accent5 11 2 5" xfId="8772" xr:uid="{00000000-0005-0000-0000-000005780000}"/>
    <cellStyle name="40% - Accent5 11 2 5 2" xfId="21689" xr:uid="{00000000-0005-0000-0000-000006780000}"/>
    <cellStyle name="40% - Accent5 11 2 5 2 2" xfId="47563" xr:uid="{00000000-0005-0000-0000-000007780000}"/>
    <cellStyle name="40% - Accent5 11 2 5 3" xfId="34647" xr:uid="{00000000-0005-0000-0000-000008780000}"/>
    <cellStyle name="40% - Accent5 11 2 6" xfId="15231" xr:uid="{00000000-0005-0000-0000-000009780000}"/>
    <cellStyle name="40% - Accent5 11 2 6 2" xfId="41105" xr:uid="{00000000-0005-0000-0000-00000A780000}"/>
    <cellStyle name="40% - Accent5 11 2 7" xfId="28157" xr:uid="{00000000-0005-0000-0000-00000B780000}"/>
    <cellStyle name="40% - Accent5 11 2 8" xfId="54019" xr:uid="{00000000-0005-0000-0000-00000C780000}"/>
    <cellStyle name="40% - Accent5 11 3" xfId="2671" xr:uid="{00000000-0005-0000-0000-00000D780000}"/>
    <cellStyle name="40% - Accent5 11 3 2" xfId="4328" xr:uid="{00000000-0005-0000-0000-00000E780000}"/>
    <cellStyle name="40% - Accent5 11 3 2 2" xfId="7559" xr:uid="{00000000-0005-0000-0000-00000F780000}"/>
    <cellStyle name="40% - Accent5 11 3 2 2 2" xfId="14018" xr:uid="{00000000-0005-0000-0000-000010780000}"/>
    <cellStyle name="40% - Accent5 11 3 2 2 2 2" xfId="26935" xr:uid="{00000000-0005-0000-0000-000011780000}"/>
    <cellStyle name="40% - Accent5 11 3 2 2 2 2 2" xfId="52809" xr:uid="{00000000-0005-0000-0000-000012780000}"/>
    <cellStyle name="40% - Accent5 11 3 2 2 2 3" xfId="39893" xr:uid="{00000000-0005-0000-0000-000013780000}"/>
    <cellStyle name="40% - Accent5 11 3 2 2 3" xfId="20477" xr:uid="{00000000-0005-0000-0000-000014780000}"/>
    <cellStyle name="40% - Accent5 11 3 2 2 3 2" xfId="46351" xr:uid="{00000000-0005-0000-0000-000015780000}"/>
    <cellStyle name="40% - Accent5 11 3 2 2 4" xfId="33435" xr:uid="{00000000-0005-0000-0000-000016780000}"/>
    <cellStyle name="40% - Accent5 11 3 2 3" xfId="10790" xr:uid="{00000000-0005-0000-0000-000017780000}"/>
    <cellStyle name="40% - Accent5 11 3 2 3 2" xfId="23707" xr:uid="{00000000-0005-0000-0000-000018780000}"/>
    <cellStyle name="40% - Accent5 11 3 2 3 2 2" xfId="49581" xr:uid="{00000000-0005-0000-0000-000019780000}"/>
    <cellStyle name="40% - Accent5 11 3 2 3 3" xfId="36665" xr:uid="{00000000-0005-0000-0000-00001A780000}"/>
    <cellStyle name="40% - Accent5 11 3 2 4" xfId="17249" xr:uid="{00000000-0005-0000-0000-00001B780000}"/>
    <cellStyle name="40% - Accent5 11 3 2 4 2" xfId="43123" xr:uid="{00000000-0005-0000-0000-00001C780000}"/>
    <cellStyle name="40% - Accent5 11 3 2 5" xfId="30175" xr:uid="{00000000-0005-0000-0000-00001D780000}"/>
    <cellStyle name="40% - Accent5 11 3 3" xfId="5945" xr:uid="{00000000-0005-0000-0000-00001E780000}"/>
    <cellStyle name="40% - Accent5 11 3 3 2" xfId="12404" xr:uid="{00000000-0005-0000-0000-00001F780000}"/>
    <cellStyle name="40% - Accent5 11 3 3 2 2" xfId="25321" xr:uid="{00000000-0005-0000-0000-000020780000}"/>
    <cellStyle name="40% - Accent5 11 3 3 2 2 2" xfId="51195" xr:uid="{00000000-0005-0000-0000-000021780000}"/>
    <cellStyle name="40% - Accent5 11 3 3 2 3" xfId="38279" xr:uid="{00000000-0005-0000-0000-000022780000}"/>
    <cellStyle name="40% - Accent5 11 3 3 3" xfId="18863" xr:uid="{00000000-0005-0000-0000-000023780000}"/>
    <cellStyle name="40% - Accent5 11 3 3 3 2" xfId="44737" xr:uid="{00000000-0005-0000-0000-000024780000}"/>
    <cellStyle name="40% - Accent5 11 3 3 4" xfId="31821" xr:uid="{00000000-0005-0000-0000-000025780000}"/>
    <cellStyle name="40% - Accent5 11 3 4" xfId="9176" xr:uid="{00000000-0005-0000-0000-000026780000}"/>
    <cellStyle name="40% - Accent5 11 3 4 2" xfId="22093" xr:uid="{00000000-0005-0000-0000-000027780000}"/>
    <cellStyle name="40% - Accent5 11 3 4 2 2" xfId="47967" xr:uid="{00000000-0005-0000-0000-000028780000}"/>
    <cellStyle name="40% - Accent5 11 3 4 3" xfId="35051" xr:uid="{00000000-0005-0000-0000-000029780000}"/>
    <cellStyle name="40% - Accent5 11 3 5" xfId="15635" xr:uid="{00000000-0005-0000-0000-00002A780000}"/>
    <cellStyle name="40% - Accent5 11 3 5 2" xfId="41509" xr:uid="{00000000-0005-0000-0000-00002B780000}"/>
    <cellStyle name="40% - Accent5 11 3 6" xfId="28561" xr:uid="{00000000-0005-0000-0000-00002C780000}"/>
    <cellStyle name="40% - Accent5 11 4" xfId="3498" xr:uid="{00000000-0005-0000-0000-00002D780000}"/>
    <cellStyle name="40% - Accent5 11 4 2" xfId="6752" xr:uid="{00000000-0005-0000-0000-00002E780000}"/>
    <cellStyle name="40% - Accent5 11 4 2 2" xfId="13211" xr:uid="{00000000-0005-0000-0000-00002F780000}"/>
    <cellStyle name="40% - Accent5 11 4 2 2 2" xfId="26128" xr:uid="{00000000-0005-0000-0000-000030780000}"/>
    <cellStyle name="40% - Accent5 11 4 2 2 2 2" xfId="52002" xr:uid="{00000000-0005-0000-0000-000031780000}"/>
    <cellStyle name="40% - Accent5 11 4 2 2 3" xfId="39086" xr:uid="{00000000-0005-0000-0000-000032780000}"/>
    <cellStyle name="40% - Accent5 11 4 2 3" xfId="19670" xr:uid="{00000000-0005-0000-0000-000033780000}"/>
    <cellStyle name="40% - Accent5 11 4 2 3 2" xfId="45544" xr:uid="{00000000-0005-0000-0000-000034780000}"/>
    <cellStyle name="40% - Accent5 11 4 2 4" xfId="32628" xr:uid="{00000000-0005-0000-0000-000035780000}"/>
    <cellStyle name="40% - Accent5 11 4 3" xfId="9983" xr:uid="{00000000-0005-0000-0000-000036780000}"/>
    <cellStyle name="40% - Accent5 11 4 3 2" xfId="22900" xr:uid="{00000000-0005-0000-0000-000037780000}"/>
    <cellStyle name="40% - Accent5 11 4 3 2 2" xfId="48774" xr:uid="{00000000-0005-0000-0000-000038780000}"/>
    <cellStyle name="40% - Accent5 11 4 3 3" xfId="35858" xr:uid="{00000000-0005-0000-0000-000039780000}"/>
    <cellStyle name="40% - Accent5 11 4 4" xfId="16442" xr:uid="{00000000-0005-0000-0000-00003A780000}"/>
    <cellStyle name="40% - Accent5 11 4 4 2" xfId="42316" xr:uid="{00000000-0005-0000-0000-00003B780000}"/>
    <cellStyle name="40% - Accent5 11 4 5" xfId="29368" xr:uid="{00000000-0005-0000-0000-00003C780000}"/>
    <cellStyle name="40% - Accent5 11 5" xfId="5138" xr:uid="{00000000-0005-0000-0000-00003D780000}"/>
    <cellStyle name="40% - Accent5 11 5 2" xfId="11597" xr:uid="{00000000-0005-0000-0000-00003E780000}"/>
    <cellStyle name="40% - Accent5 11 5 2 2" xfId="24514" xr:uid="{00000000-0005-0000-0000-00003F780000}"/>
    <cellStyle name="40% - Accent5 11 5 2 2 2" xfId="50388" xr:uid="{00000000-0005-0000-0000-000040780000}"/>
    <cellStyle name="40% - Accent5 11 5 2 3" xfId="37472" xr:uid="{00000000-0005-0000-0000-000041780000}"/>
    <cellStyle name="40% - Accent5 11 5 3" xfId="18056" xr:uid="{00000000-0005-0000-0000-000042780000}"/>
    <cellStyle name="40% - Accent5 11 5 3 2" xfId="43930" xr:uid="{00000000-0005-0000-0000-000043780000}"/>
    <cellStyle name="40% - Accent5 11 5 4" xfId="31014" xr:uid="{00000000-0005-0000-0000-000044780000}"/>
    <cellStyle name="40% - Accent5 11 6" xfId="8368" xr:uid="{00000000-0005-0000-0000-000045780000}"/>
    <cellStyle name="40% - Accent5 11 6 2" xfId="21285" xr:uid="{00000000-0005-0000-0000-000046780000}"/>
    <cellStyle name="40% - Accent5 11 6 2 2" xfId="47159" xr:uid="{00000000-0005-0000-0000-000047780000}"/>
    <cellStyle name="40% - Accent5 11 6 3" xfId="34243" xr:uid="{00000000-0005-0000-0000-000048780000}"/>
    <cellStyle name="40% - Accent5 11 7" xfId="14827" xr:uid="{00000000-0005-0000-0000-000049780000}"/>
    <cellStyle name="40% - Accent5 11 7 2" xfId="40701" xr:uid="{00000000-0005-0000-0000-00004A780000}"/>
    <cellStyle name="40% - Accent5 11 8" xfId="27753" xr:uid="{00000000-0005-0000-0000-00004B780000}"/>
    <cellStyle name="40% - Accent5 11 9" xfId="53616" xr:uid="{00000000-0005-0000-0000-00004C780000}"/>
    <cellStyle name="40% - Accent5 12" xfId="2047" xr:uid="{00000000-0005-0000-0000-00004D780000}"/>
    <cellStyle name="40% - Accent5 12 2" xfId="2456" xr:uid="{00000000-0005-0000-0000-00004E780000}"/>
    <cellStyle name="40% - Accent5 12 2 2" xfId="3269" xr:uid="{00000000-0005-0000-0000-00004F780000}"/>
    <cellStyle name="40% - Accent5 12 2 2 2" xfId="4926" xr:uid="{00000000-0005-0000-0000-000050780000}"/>
    <cellStyle name="40% - Accent5 12 2 2 2 2" xfId="8157" xr:uid="{00000000-0005-0000-0000-000051780000}"/>
    <cellStyle name="40% - Accent5 12 2 2 2 2 2" xfId="14616" xr:uid="{00000000-0005-0000-0000-000052780000}"/>
    <cellStyle name="40% - Accent5 12 2 2 2 2 2 2" xfId="27533" xr:uid="{00000000-0005-0000-0000-000053780000}"/>
    <cellStyle name="40% - Accent5 12 2 2 2 2 2 2 2" xfId="53407" xr:uid="{00000000-0005-0000-0000-000054780000}"/>
    <cellStyle name="40% - Accent5 12 2 2 2 2 2 3" xfId="40491" xr:uid="{00000000-0005-0000-0000-000055780000}"/>
    <cellStyle name="40% - Accent5 12 2 2 2 2 3" xfId="21075" xr:uid="{00000000-0005-0000-0000-000056780000}"/>
    <cellStyle name="40% - Accent5 12 2 2 2 2 3 2" xfId="46949" xr:uid="{00000000-0005-0000-0000-000057780000}"/>
    <cellStyle name="40% - Accent5 12 2 2 2 2 4" xfId="34033" xr:uid="{00000000-0005-0000-0000-000058780000}"/>
    <cellStyle name="40% - Accent5 12 2 2 2 3" xfId="11388" xr:uid="{00000000-0005-0000-0000-000059780000}"/>
    <cellStyle name="40% - Accent5 12 2 2 2 3 2" xfId="24305" xr:uid="{00000000-0005-0000-0000-00005A780000}"/>
    <cellStyle name="40% - Accent5 12 2 2 2 3 2 2" xfId="50179" xr:uid="{00000000-0005-0000-0000-00005B780000}"/>
    <cellStyle name="40% - Accent5 12 2 2 2 3 3" xfId="37263" xr:uid="{00000000-0005-0000-0000-00005C780000}"/>
    <cellStyle name="40% - Accent5 12 2 2 2 4" xfId="17847" xr:uid="{00000000-0005-0000-0000-00005D780000}"/>
    <cellStyle name="40% - Accent5 12 2 2 2 4 2" xfId="43721" xr:uid="{00000000-0005-0000-0000-00005E780000}"/>
    <cellStyle name="40% - Accent5 12 2 2 2 5" xfId="30773" xr:uid="{00000000-0005-0000-0000-00005F780000}"/>
    <cellStyle name="40% - Accent5 12 2 2 3" xfId="6543" xr:uid="{00000000-0005-0000-0000-000060780000}"/>
    <cellStyle name="40% - Accent5 12 2 2 3 2" xfId="13002" xr:uid="{00000000-0005-0000-0000-000061780000}"/>
    <cellStyle name="40% - Accent5 12 2 2 3 2 2" xfId="25919" xr:uid="{00000000-0005-0000-0000-000062780000}"/>
    <cellStyle name="40% - Accent5 12 2 2 3 2 2 2" xfId="51793" xr:uid="{00000000-0005-0000-0000-000063780000}"/>
    <cellStyle name="40% - Accent5 12 2 2 3 2 3" xfId="38877" xr:uid="{00000000-0005-0000-0000-000064780000}"/>
    <cellStyle name="40% - Accent5 12 2 2 3 3" xfId="19461" xr:uid="{00000000-0005-0000-0000-000065780000}"/>
    <cellStyle name="40% - Accent5 12 2 2 3 3 2" xfId="45335" xr:uid="{00000000-0005-0000-0000-000066780000}"/>
    <cellStyle name="40% - Accent5 12 2 2 3 4" xfId="32419" xr:uid="{00000000-0005-0000-0000-000067780000}"/>
    <cellStyle name="40% - Accent5 12 2 2 4" xfId="9774" xr:uid="{00000000-0005-0000-0000-000068780000}"/>
    <cellStyle name="40% - Accent5 12 2 2 4 2" xfId="22691" xr:uid="{00000000-0005-0000-0000-000069780000}"/>
    <cellStyle name="40% - Accent5 12 2 2 4 2 2" xfId="48565" xr:uid="{00000000-0005-0000-0000-00006A780000}"/>
    <cellStyle name="40% - Accent5 12 2 2 4 3" xfId="35649" xr:uid="{00000000-0005-0000-0000-00006B780000}"/>
    <cellStyle name="40% - Accent5 12 2 2 5" xfId="16233" xr:uid="{00000000-0005-0000-0000-00006C780000}"/>
    <cellStyle name="40% - Accent5 12 2 2 5 2" xfId="42107" xr:uid="{00000000-0005-0000-0000-00006D780000}"/>
    <cellStyle name="40% - Accent5 12 2 2 6" xfId="29159" xr:uid="{00000000-0005-0000-0000-00006E780000}"/>
    <cellStyle name="40% - Accent5 12 2 3" xfId="4096" xr:uid="{00000000-0005-0000-0000-00006F780000}"/>
    <cellStyle name="40% - Accent5 12 2 3 2" xfId="7350" xr:uid="{00000000-0005-0000-0000-000070780000}"/>
    <cellStyle name="40% - Accent5 12 2 3 2 2" xfId="13809" xr:uid="{00000000-0005-0000-0000-000071780000}"/>
    <cellStyle name="40% - Accent5 12 2 3 2 2 2" xfId="26726" xr:uid="{00000000-0005-0000-0000-000072780000}"/>
    <cellStyle name="40% - Accent5 12 2 3 2 2 2 2" xfId="52600" xr:uid="{00000000-0005-0000-0000-000073780000}"/>
    <cellStyle name="40% - Accent5 12 2 3 2 2 3" xfId="39684" xr:uid="{00000000-0005-0000-0000-000074780000}"/>
    <cellStyle name="40% - Accent5 12 2 3 2 3" xfId="20268" xr:uid="{00000000-0005-0000-0000-000075780000}"/>
    <cellStyle name="40% - Accent5 12 2 3 2 3 2" xfId="46142" xr:uid="{00000000-0005-0000-0000-000076780000}"/>
    <cellStyle name="40% - Accent5 12 2 3 2 4" xfId="33226" xr:uid="{00000000-0005-0000-0000-000077780000}"/>
    <cellStyle name="40% - Accent5 12 2 3 3" xfId="10581" xr:uid="{00000000-0005-0000-0000-000078780000}"/>
    <cellStyle name="40% - Accent5 12 2 3 3 2" xfId="23498" xr:uid="{00000000-0005-0000-0000-000079780000}"/>
    <cellStyle name="40% - Accent5 12 2 3 3 2 2" xfId="49372" xr:uid="{00000000-0005-0000-0000-00007A780000}"/>
    <cellStyle name="40% - Accent5 12 2 3 3 3" xfId="36456" xr:uid="{00000000-0005-0000-0000-00007B780000}"/>
    <cellStyle name="40% - Accent5 12 2 3 4" xfId="17040" xr:uid="{00000000-0005-0000-0000-00007C780000}"/>
    <cellStyle name="40% - Accent5 12 2 3 4 2" xfId="42914" xr:uid="{00000000-0005-0000-0000-00007D780000}"/>
    <cellStyle name="40% - Accent5 12 2 3 5" xfId="29966" xr:uid="{00000000-0005-0000-0000-00007E780000}"/>
    <cellStyle name="40% - Accent5 12 2 4" xfId="5736" xr:uid="{00000000-0005-0000-0000-00007F780000}"/>
    <cellStyle name="40% - Accent5 12 2 4 2" xfId="12195" xr:uid="{00000000-0005-0000-0000-000080780000}"/>
    <cellStyle name="40% - Accent5 12 2 4 2 2" xfId="25112" xr:uid="{00000000-0005-0000-0000-000081780000}"/>
    <cellStyle name="40% - Accent5 12 2 4 2 2 2" xfId="50986" xr:uid="{00000000-0005-0000-0000-000082780000}"/>
    <cellStyle name="40% - Accent5 12 2 4 2 3" xfId="38070" xr:uid="{00000000-0005-0000-0000-000083780000}"/>
    <cellStyle name="40% - Accent5 12 2 4 3" xfId="18654" xr:uid="{00000000-0005-0000-0000-000084780000}"/>
    <cellStyle name="40% - Accent5 12 2 4 3 2" xfId="44528" xr:uid="{00000000-0005-0000-0000-000085780000}"/>
    <cellStyle name="40% - Accent5 12 2 4 4" xfId="31612" xr:uid="{00000000-0005-0000-0000-000086780000}"/>
    <cellStyle name="40% - Accent5 12 2 5" xfId="8967" xr:uid="{00000000-0005-0000-0000-000087780000}"/>
    <cellStyle name="40% - Accent5 12 2 5 2" xfId="21884" xr:uid="{00000000-0005-0000-0000-000088780000}"/>
    <cellStyle name="40% - Accent5 12 2 5 2 2" xfId="47758" xr:uid="{00000000-0005-0000-0000-000089780000}"/>
    <cellStyle name="40% - Accent5 12 2 5 3" xfId="34842" xr:uid="{00000000-0005-0000-0000-00008A780000}"/>
    <cellStyle name="40% - Accent5 12 2 6" xfId="15426" xr:uid="{00000000-0005-0000-0000-00008B780000}"/>
    <cellStyle name="40% - Accent5 12 2 6 2" xfId="41300" xr:uid="{00000000-0005-0000-0000-00008C780000}"/>
    <cellStyle name="40% - Accent5 12 2 7" xfId="28352" xr:uid="{00000000-0005-0000-0000-00008D780000}"/>
    <cellStyle name="40% - Accent5 12 2 8" xfId="54214" xr:uid="{00000000-0005-0000-0000-00008E780000}"/>
    <cellStyle name="40% - Accent5 12 3" xfId="2865" xr:uid="{00000000-0005-0000-0000-00008F780000}"/>
    <cellStyle name="40% - Accent5 12 3 2" xfId="4522" xr:uid="{00000000-0005-0000-0000-000090780000}"/>
    <cellStyle name="40% - Accent5 12 3 2 2" xfId="7753" xr:uid="{00000000-0005-0000-0000-000091780000}"/>
    <cellStyle name="40% - Accent5 12 3 2 2 2" xfId="14212" xr:uid="{00000000-0005-0000-0000-000092780000}"/>
    <cellStyle name="40% - Accent5 12 3 2 2 2 2" xfId="27129" xr:uid="{00000000-0005-0000-0000-000093780000}"/>
    <cellStyle name="40% - Accent5 12 3 2 2 2 2 2" xfId="53003" xr:uid="{00000000-0005-0000-0000-000094780000}"/>
    <cellStyle name="40% - Accent5 12 3 2 2 2 3" xfId="40087" xr:uid="{00000000-0005-0000-0000-000095780000}"/>
    <cellStyle name="40% - Accent5 12 3 2 2 3" xfId="20671" xr:uid="{00000000-0005-0000-0000-000096780000}"/>
    <cellStyle name="40% - Accent5 12 3 2 2 3 2" xfId="46545" xr:uid="{00000000-0005-0000-0000-000097780000}"/>
    <cellStyle name="40% - Accent5 12 3 2 2 4" xfId="33629" xr:uid="{00000000-0005-0000-0000-000098780000}"/>
    <cellStyle name="40% - Accent5 12 3 2 3" xfId="10984" xr:uid="{00000000-0005-0000-0000-000099780000}"/>
    <cellStyle name="40% - Accent5 12 3 2 3 2" xfId="23901" xr:uid="{00000000-0005-0000-0000-00009A780000}"/>
    <cellStyle name="40% - Accent5 12 3 2 3 2 2" xfId="49775" xr:uid="{00000000-0005-0000-0000-00009B780000}"/>
    <cellStyle name="40% - Accent5 12 3 2 3 3" xfId="36859" xr:uid="{00000000-0005-0000-0000-00009C780000}"/>
    <cellStyle name="40% - Accent5 12 3 2 4" xfId="17443" xr:uid="{00000000-0005-0000-0000-00009D780000}"/>
    <cellStyle name="40% - Accent5 12 3 2 4 2" xfId="43317" xr:uid="{00000000-0005-0000-0000-00009E780000}"/>
    <cellStyle name="40% - Accent5 12 3 2 5" xfId="30369" xr:uid="{00000000-0005-0000-0000-00009F780000}"/>
    <cellStyle name="40% - Accent5 12 3 3" xfId="6139" xr:uid="{00000000-0005-0000-0000-0000A0780000}"/>
    <cellStyle name="40% - Accent5 12 3 3 2" xfId="12598" xr:uid="{00000000-0005-0000-0000-0000A1780000}"/>
    <cellStyle name="40% - Accent5 12 3 3 2 2" xfId="25515" xr:uid="{00000000-0005-0000-0000-0000A2780000}"/>
    <cellStyle name="40% - Accent5 12 3 3 2 2 2" xfId="51389" xr:uid="{00000000-0005-0000-0000-0000A3780000}"/>
    <cellStyle name="40% - Accent5 12 3 3 2 3" xfId="38473" xr:uid="{00000000-0005-0000-0000-0000A4780000}"/>
    <cellStyle name="40% - Accent5 12 3 3 3" xfId="19057" xr:uid="{00000000-0005-0000-0000-0000A5780000}"/>
    <cellStyle name="40% - Accent5 12 3 3 3 2" xfId="44931" xr:uid="{00000000-0005-0000-0000-0000A6780000}"/>
    <cellStyle name="40% - Accent5 12 3 3 4" xfId="32015" xr:uid="{00000000-0005-0000-0000-0000A7780000}"/>
    <cellStyle name="40% - Accent5 12 3 4" xfId="9370" xr:uid="{00000000-0005-0000-0000-0000A8780000}"/>
    <cellStyle name="40% - Accent5 12 3 4 2" xfId="22287" xr:uid="{00000000-0005-0000-0000-0000A9780000}"/>
    <cellStyle name="40% - Accent5 12 3 4 2 2" xfId="48161" xr:uid="{00000000-0005-0000-0000-0000AA780000}"/>
    <cellStyle name="40% - Accent5 12 3 4 3" xfId="35245" xr:uid="{00000000-0005-0000-0000-0000AB780000}"/>
    <cellStyle name="40% - Accent5 12 3 5" xfId="15829" xr:uid="{00000000-0005-0000-0000-0000AC780000}"/>
    <cellStyle name="40% - Accent5 12 3 5 2" xfId="41703" xr:uid="{00000000-0005-0000-0000-0000AD780000}"/>
    <cellStyle name="40% - Accent5 12 3 6" xfId="28755" xr:uid="{00000000-0005-0000-0000-0000AE780000}"/>
    <cellStyle name="40% - Accent5 12 4" xfId="3692" xr:uid="{00000000-0005-0000-0000-0000AF780000}"/>
    <cellStyle name="40% - Accent5 12 4 2" xfId="6946" xr:uid="{00000000-0005-0000-0000-0000B0780000}"/>
    <cellStyle name="40% - Accent5 12 4 2 2" xfId="13405" xr:uid="{00000000-0005-0000-0000-0000B1780000}"/>
    <cellStyle name="40% - Accent5 12 4 2 2 2" xfId="26322" xr:uid="{00000000-0005-0000-0000-0000B2780000}"/>
    <cellStyle name="40% - Accent5 12 4 2 2 2 2" xfId="52196" xr:uid="{00000000-0005-0000-0000-0000B3780000}"/>
    <cellStyle name="40% - Accent5 12 4 2 2 3" xfId="39280" xr:uid="{00000000-0005-0000-0000-0000B4780000}"/>
    <cellStyle name="40% - Accent5 12 4 2 3" xfId="19864" xr:uid="{00000000-0005-0000-0000-0000B5780000}"/>
    <cellStyle name="40% - Accent5 12 4 2 3 2" xfId="45738" xr:uid="{00000000-0005-0000-0000-0000B6780000}"/>
    <cellStyle name="40% - Accent5 12 4 2 4" xfId="32822" xr:uid="{00000000-0005-0000-0000-0000B7780000}"/>
    <cellStyle name="40% - Accent5 12 4 3" xfId="10177" xr:uid="{00000000-0005-0000-0000-0000B8780000}"/>
    <cellStyle name="40% - Accent5 12 4 3 2" xfId="23094" xr:uid="{00000000-0005-0000-0000-0000B9780000}"/>
    <cellStyle name="40% - Accent5 12 4 3 2 2" xfId="48968" xr:uid="{00000000-0005-0000-0000-0000BA780000}"/>
    <cellStyle name="40% - Accent5 12 4 3 3" xfId="36052" xr:uid="{00000000-0005-0000-0000-0000BB780000}"/>
    <cellStyle name="40% - Accent5 12 4 4" xfId="16636" xr:uid="{00000000-0005-0000-0000-0000BC780000}"/>
    <cellStyle name="40% - Accent5 12 4 4 2" xfId="42510" xr:uid="{00000000-0005-0000-0000-0000BD780000}"/>
    <cellStyle name="40% - Accent5 12 4 5" xfId="29562" xr:uid="{00000000-0005-0000-0000-0000BE780000}"/>
    <cellStyle name="40% - Accent5 12 5" xfId="5332" xr:uid="{00000000-0005-0000-0000-0000BF780000}"/>
    <cellStyle name="40% - Accent5 12 5 2" xfId="11791" xr:uid="{00000000-0005-0000-0000-0000C0780000}"/>
    <cellStyle name="40% - Accent5 12 5 2 2" xfId="24708" xr:uid="{00000000-0005-0000-0000-0000C1780000}"/>
    <cellStyle name="40% - Accent5 12 5 2 2 2" xfId="50582" xr:uid="{00000000-0005-0000-0000-0000C2780000}"/>
    <cellStyle name="40% - Accent5 12 5 2 3" xfId="37666" xr:uid="{00000000-0005-0000-0000-0000C3780000}"/>
    <cellStyle name="40% - Accent5 12 5 3" xfId="18250" xr:uid="{00000000-0005-0000-0000-0000C4780000}"/>
    <cellStyle name="40% - Accent5 12 5 3 2" xfId="44124" xr:uid="{00000000-0005-0000-0000-0000C5780000}"/>
    <cellStyle name="40% - Accent5 12 5 4" xfId="31208" xr:uid="{00000000-0005-0000-0000-0000C6780000}"/>
    <cellStyle name="40% - Accent5 12 6" xfId="8563" xr:uid="{00000000-0005-0000-0000-0000C7780000}"/>
    <cellStyle name="40% - Accent5 12 6 2" xfId="21480" xr:uid="{00000000-0005-0000-0000-0000C8780000}"/>
    <cellStyle name="40% - Accent5 12 6 2 2" xfId="47354" xr:uid="{00000000-0005-0000-0000-0000C9780000}"/>
    <cellStyle name="40% - Accent5 12 6 3" xfId="34438" xr:uid="{00000000-0005-0000-0000-0000CA780000}"/>
    <cellStyle name="40% - Accent5 12 7" xfId="15022" xr:uid="{00000000-0005-0000-0000-0000CB780000}"/>
    <cellStyle name="40% - Accent5 12 7 2" xfId="40896" xr:uid="{00000000-0005-0000-0000-0000CC780000}"/>
    <cellStyle name="40% - Accent5 12 8" xfId="27948" xr:uid="{00000000-0005-0000-0000-0000CD780000}"/>
    <cellStyle name="40% - Accent5 12 9" xfId="53810" xr:uid="{00000000-0005-0000-0000-0000CE780000}"/>
    <cellStyle name="40% - Accent5 13" xfId="2061" xr:uid="{00000000-0005-0000-0000-0000CF780000}"/>
    <cellStyle name="40% - Accent5 13 2" xfId="2879" xr:uid="{00000000-0005-0000-0000-0000D0780000}"/>
    <cellStyle name="40% - Accent5 13 2 2" xfId="4536" xr:uid="{00000000-0005-0000-0000-0000D1780000}"/>
    <cellStyle name="40% - Accent5 13 2 2 2" xfId="7767" xr:uid="{00000000-0005-0000-0000-0000D2780000}"/>
    <cellStyle name="40% - Accent5 13 2 2 2 2" xfId="14226" xr:uid="{00000000-0005-0000-0000-0000D3780000}"/>
    <cellStyle name="40% - Accent5 13 2 2 2 2 2" xfId="27143" xr:uid="{00000000-0005-0000-0000-0000D4780000}"/>
    <cellStyle name="40% - Accent5 13 2 2 2 2 2 2" xfId="53017" xr:uid="{00000000-0005-0000-0000-0000D5780000}"/>
    <cellStyle name="40% - Accent5 13 2 2 2 2 3" xfId="40101" xr:uid="{00000000-0005-0000-0000-0000D6780000}"/>
    <cellStyle name="40% - Accent5 13 2 2 2 3" xfId="20685" xr:uid="{00000000-0005-0000-0000-0000D7780000}"/>
    <cellStyle name="40% - Accent5 13 2 2 2 3 2" xfId="46559" xr:uid="{00000000-0005-0000-0000-0000D8780000}"/>
    <cellStyle name="40% - Accent5 13 2 2 2 4" xfId="33643" xr:uid="{00000000-0005-0000-0000-0000D9780000}"/>
    <cellStyle name="40% - Accent5 13 2 2 3" xfId="10998" xr:uid="{00000000-0005-0000-0000-0000DA780000}"/>
    <cellStyle name="40% - Accent5 13 2 2 3 2" xfId="23915" xr:uid="{00000000-0005-0000-0000-0000DB780000}"/>
    <cellStyle name="40% - Accent5 13 2 2 3 2 2" xfId="49789" xr:uid="{00000000-0005-0000-0000-0000DC780000}"/>
    <cellStyle name="40% - Accent5 13 2 2 3 3" xfId="36873" xr:uid="{00000000-0005-0000-0000-0000DD780000}"/>
    <cellStyle name="40% - Accent5 13 2 2 4" xfId="17457" xr:uid="{00000000-0005-0000-0000-0000DE780000}"/>
    <cellStyle name="40% - Accent5 13 2 2 4 2" xfId="43331" xr:uid="{00000000-0005-0000-0000-0000DF780000}"/>
    <cellStyle name="40% - Accent5 13 2 2 5" xfId="30383" xr:uid="{00000000-0005-0000-0000-0000E0780000}"/>
    <cellStyle name="40% - Accent5 13 2 3" xfId="6153" xr:uid="{00000000-0005-0000-0000-0000E1780000}"/>
    <cellStyle name="40% - Accent5 13 2 3 2" xfId="12612" xr:uid="{00000000-0005-0000-0000-0000E2780000}"/>
    <cellStyle name="40% - Accent5 13 2 3 2 2" xfId="25529" xr:uid="{00000000-0005-0000-0000-0000E3780000}"/>
    <cellStyle name="40% - Accent5 13 2 3 2 2 2" xfId="51403" xr:uid="{00000000-0005-0000-0000-0000E4780000}"/>
    <cellStyle name="40% - Accent5 13 2 3 2 3" xfId="38487" xr:uid="{00000000-0005-0000-0000-0000E5780000}"/>
    <cellStyle name="40% - Accent5 13 2 3 3" xfId="19071" xr:uid="{00000000-0005-0000-0000-0000E6780000}"/>
    <cellStyle name="40% - Accent5 13 2 3 3 2" xfId="44945" xr:uid="{00000000-0005-0000-0000-0000E7780000}"/>
    <cellStyle name="40% - Accent5 13 2 3 4" xfId="32029" xr:uid="{00000000-0005-0000-0000-0000E8780000}"/>
    <cellStyle name="40% - Accent5 13 2 4" xfId="9384" xr:uid="{00000000-0005-0000-0000-0000E9780000}"/>
    <cellStyle name="40% - Accent5 13 2 4 2" xfId="22301" xr:uid="{00000000-0005-0000-0000-0000EA780000}"/>
    <cellStyle name="40% - Accent5 13 2 4 2 2" xfId="48175" xr:uid="{00000000-0005-0000-0000-0000EB780000}"/>
    <cellStyle name="40% - Accent5 13 2 4 3" xfId="35259" xr:uid="{00000000-0005-0000-0000-0000EC780000}"/>
    <cellStyle name="40% - Accent5 13 2 5" xfId="15843" xr:uid="{00000000-0005-0000-0000-0000ED780000}"/>
    <cellStyle name="40% - Accent5 13 2 5 2" xfId="41717" xr:uid="{00000000-0005-0000-0000-0000EE780000}"/>
    <cellStyle name="40% - Accent5 13 2 6" xfId="28769" xr:uid="{00000000-0005-0000-0000-0000EF780000}"/>
    <cellStyle name="40% - Accent5 13 3" xfId="3706" xr:uid="{00000000-0005-0000-0000-0000F0780000}"/>
    <cellStyle name="40% - Accent5 13 3 2" xfId="6960" xr:uid="{00000000-0005-0000-0000-0000F1780000}"/>
    <cellStyle name="40% - Accent5 13 3 2 2" xfId="13419" xr:uid="{00000000-0005-0000-0000-0000F2780000}"/>
    <cellStyle name="40% - Accent5 13 3 2 2 2" xfId="26336" xr:uid="{00000000-0005-0000-0000-0000F3780000}"/>
    <cellStyle name="40% - Accent5 13 3 2 2 2 2" xfId="52210" xr:uid="{00000000-0005-0000-0000-0000F4780000}"/>
    <cellStyle name="40% - Accent5 13 3 2 2 3" xfId="39294" xr:uid="{00000000-0005-0000-0000-0000F5780000}"/>
    <cellStyle name="40% - Accent5 13 3 2 3" xfId="19878" xr:uid="{00000000-0005-0000-0000-0000F6780000}"/>
    <cellStyle name="40% - Accent5 13 3 2 3 2" xfId="45752" xr:uid="{00000000-0005-0000-0000-0000F7780000}"/>
    <cellStyle name="40% - Accent5 13 3 2 4" xfId="32836" xr:uid="{00000000-0005-0000-0000-0000F8780000}"/>
    <cellStyle name="40% - Accent5 13 3 3" xfId="10191" xr:uid="{00000000-0005-0000-0000-0000F9780000}"/>
    <cellStyle name="40% - Accent5 13 3 3 2" xfId="23108" xr:uid="{00000000-0005-0000-0000-0000FA780000}"/>
    <cellStyle name="40% - Accent5 13 3 3 2 2" xfId="48982" xr:uid="{00000000-0005-0000-0000-0000FB780000}"/>
    <cellStyle name="40% - Accent5 13 3 3 3" xfId="36066" xr:uid="{00000000-0005-0000-0000-0000FC780000}"/>
    <cellStyle name="40% - Accent5 13 3 4" xfId="16650" xr:uid="{00000000-0005-0000-0000-0000FD780000}"/>
    <cellStyle name="40% - Accent5 13 3 4 2" xfId="42524" xr:uid="{00000000-0005-0000-0000-0000FE780000}"/>
    <cellStyle name="40% - Accent5 13 3 5" xfId="29576" xr:uid="{00000000-0005-0000-0000-0000FF780000}"/>
    <cellStyle name="40% - Accent5 13 4" xfId="5346" xr:uid="{00000000-0005-0000-0000-000000790000}"/>
    <cellStyle name="40% - Accent5 13 4 2" xfId="11805" xr:uid="{00000000-0005-0000-0000-000001790000}"/>
    <cellStyle name="40% - Accent5 13 4 2 2" xfId="24722" xr:uid="{00000000-0005-0000-0000-000002790000}"/>
    <cellStyle name="40% - Accent5 13 4 2 2 2" xfId="50596" xr:uid="{00000000-0005-0000-0000-000003790000}"/>
    <cellStyle name="40% - Accent5 13 4 2 3" xfId="37680" xr:uid="{00000000-0005-0000-0000-000004790000}"/>
    <cellStyle name="40% - Accent5 13 4 3" xfId="18264" xr:uid="{00000000-0005-0000-0000-000005790000}"/>
    <cellStyle name="40% - Accent5 13 4 3 2" xfId="44138" xr:uid="{00000000-0005-0000-0000-000006790000}"/>
    <cellStyle name="40% - Accent5 13 4 4" xfId="31222" xr:uid="{00000000-0005-0000-0000-000007790000}"/>
    <cellStyle name="40% - Accent5 13 5" xfId="8577" xr:uid="{00000000-0005-0000-0000-000008790000}"/>
    <cellStyle name="40% - Accent5 13 5 2" xfId="21494" xr:uid="{00000000-0005-0000-0000-000009790000}"/>
    <cellStyle name="40% - Accent5 13 5 2 2" xfId="47368" xr:uid="{00000000-0005-0000-0000-00000A790000}"/>
    <cellStyle name="40% - Accent5 13 5 3" xfId="34452" xr:uid="{00000000-0005-0000-0000-00000B790000}"/>
    <cellStyle name="40% - Accent5 13 6" xfId="15036" xr:uid="{00000000-0005-0000-0000-00000C790000}"/>
    <cellStyle name="40% - Accent5 13 6 2" xfId="40910" xr:uid="{00000000-0005-0000-0000-00000D790000}"/>
    <cellStyle name="40% - Accent5 13 7" xfId="27962" xr:uid="{00000000-0005-0000-0000-00000E790000}"/>
    <cellStyle name="40% - Accent5 13 8" xfId="53824" xr:uid="{00000000-0005-0000-0000-00000F790000}"/>
    <cellStyle name="40% - Accent5 14" xfId="2476" xr:uid="{00000000-0005-0000-0000-000010790000}"/>
    <cellStyle name="40% - Accent5 14 2" xfId="4133" xr:uid="{00000000-0005-0000-0000-000011790000}"/>
    <cellStyle name="40% - Accent5 14 2 2" xfId="7364" xr:uid="{00000000-0005-0000-0000-000012790000}"/>
    <cellStyle name="40% - Accent5 14 2 2 2" xfId="13823" xr:uid="{00000000-0005-0000-0000-000013790000}"/>
    <cellStyle name="40% - Accent5 14 2 2 2 2" xfId="26740" xr:uid="{00000000-0005-0000-0000-000014790000}"/>
    <cellStyle name="40% - Accent5 14 2 2 2 2 2" xfId="52614" xr:uid="{00000000-0005-0000-0000-000015790000}"/>
    <cellStyle name="40% - Accent5 14 2 2 2 3" xfId="39698" xr:uid="{00000000-0005-0000-0000-000016790000}"/>
    <cellStyle name="40% - Accent5 14 2 2 3" xfId="20282" xr:uid="{00000000-0005-0000-0000-000017790000}"/>
    <cellStyle name="40% - Accent5 14 2 2 3 2" xfId="46156" xr:uid="{00000000-0005-0000-0000-000018790000}"/>
    <cellStyle name="40% - Accent5 14 2 2 4" xfId="33240" xr:uid="{00000000-0005-0000-0000-000019790000}"/>
    <cellStyle name="40% - Accent5 14 2 3" xfId="10595" xr:uid="{00000000-0005-0000-0000-00001A790000}"/>
    <cellStyle name="40% - Accent5 14 2 3 2" xfId="23512" xr:uid="{00000000-0005-0000-0000-00001B790000}"/>
    <cellStyle name="40% - Accent5 14 2 3 2 2" xfId="49386" xr:uid="{00000000-0005-0000-0000-00001C790000}"/>
    <cellStyle name="40% - Accent5 14 2 3 3" xfId="36470" xr:uid="{00000000-0005-0000-0000-00001D790000}"/>
    <cellStyle name="40% - Accent5 14 2 4" xfId="17054" xr:uid="{00000000-0005-0000-0000-00001E790000}"/>
    <cellStyle name="40% - Accent5 14 2 4 2" xfId="42928" xr:uid="{00000000-0005-0000-0000-00001F790000}"/>
    <cellStyle name="40% - Accent5 14 2 5" xfId="29980" xr:uid="{00000000-0005-0000-0000-000020790000}"/>
    <cellStyle name="40% - Accent5 14 3" xfId="5750" xr:uid="{00000000-0005-0000-0000-000021790000}"/>
    <cellStyle name="40% - Accent5 14 3 2" xfId="12209" xr:uid="{00000000-0005-0000-0000-000022790000}"/>
    <cellStyle name="40% - Accent5 14 3 2 2" xfId="25126" xr:uid="{00000000-0005-0000-0000-000023790000}"/>
    <cellStyle name="40% - Accent5 14 3 2 2 2" xfId="51000" xr:uid="{00000000-0005-0000-0000-000024790000}"/>
    <cellStyle name="40% - Accent5 14 3 2 3" xfId="38084" xr:uid="{00000000-0005-0000-0000-000025790000}"/>
    <cellStyle name="40% - Accent5 14 3 3" xfId="18668" xr:uid="{00000000-0005-0000-0000-000026790000}"/>
    <cellStyle name="40% - Accent5 14 3 3 2" xfId="44542" xr:uid="{00000000-0005-0000-0000-000027790000}"/>
    <cellStyle name="40% - Accent5 14 3 4" xfId="31626" xr:uid="{00000000-0005-0000-0000-000028790000}"/>
    <cellStyle name="40% - Accent5 14 4" xfId="8981" xr:uid="{00000000-0005-0000-0000-000029790000}"/>
    <cellStyle name="40% - Accent5 14 4 2" xfId="21898" xr:uid="{00000000-0005-0000-0000-00002A790000}"/>
    <cellStyle name="40% - Accent5 14 4 2 2" xfId="47772" xr:uid="{00000000-0005-0000-0000-00002B790000}"/>
    <cellStyle name="40% - Accent5 14 4 3" xfId="34856" xr:uid="{00000000-0005-0000-0000-00002C790000}"/>
    <cellStyle name="40% - Accent5 14 5" xfId="15440" xr:uid="{00000000-0005-0000-0000-00002D790000}"/>
    <cellStyle name="40% - Accent5 14 5 2" xfId="41314" xr:uid="{00000000-0005-0000-0000-00002E790000}"/>
    <cellStyle name="40% - Accent5 14 6" xfId="28366" xr:uid="{00000000-0005-0000-0000-00002F790000}"/>
    <cellStyle name="40% - Accent5 15" xfId="3285" xr:uid="{00000000-0005-0000-0000-000030790000}"/>
    <cellStyle name="40% - Accent5 15 2" xfId="6557" xr:uid="{00000000-0005-0000-0000-000031790000}"/>
    <cellStyle name="40% - Accent5 15 2 2" xfId="13016" xr:uid="{00000000-0005-0000-0000-000032790000}"/>
    <cellStyle name="40% - Accent5 15 2 2 2" xfId="25933" xr:uid="{00000000-0005-0000-0000-000033790000}"/>
    <cellStyle name="40% - Accent5 15 2 2 2 2" xfId="51807" xr:uid="{00000000-0005-0000-0000-000034790000}"/>
    <cellStyle name="40% - Accent5 15 2 2 3" xfId="38891" xr:uid="{00000000-0005-0000-0000-000035790000}"/>
    <cellStyle name="40% - Accent5 15 2 3" xfId="19475" xr:uid="{00000000-0005-0000-0000-000036790000}"/>
    <cellStyle name="40% - Accent5 15 2 3 2" xfId="45349" xr:uid="{00000000-0005-0000-0000-000037790000}"/>
    <cellStyle name="40% - Accent5 15 2 4" xfId="32433" xr:uid="{00000000-0005-0000-0000-000038790000}"/>
    <cellStyle name="40% - Accent5 15 3" xfId="9788" xr:uid="{00000000-0005-0000-0000-000039790000}"/>
    <cellStyle name="40% - Accent5 15 3 2" xfId="22705" xr:uid="{00000000-0005-0000-0000-00003A790000}"/>
    <cellStyle name="40% - Accent5 15 3 2 2" xfId="48579" xr:uid="{00000000-0005-0000-0000-00003B790000}"/>
    <cellStyle name="40% - Accent5 15 3 3" xfId="35663" xr:uid="{00000000-0005-0000-0000-00003C790000}"/>
    <cellStyle name="40% - Accent5 15 4" xfId="16247" xr:uid="{00000000-0005-0000-0000-00003D790000}"/>
    <cellStyle name="40% - Accent5 15 4 2" xfId="42121" xr:uid="{00000000-0005-0000-0000-00003E790000}"/>
    <cellStyle name="40% - Accent5 15 5" xfId="29173" xr:uid="{00000000-0005-0000-0000-00003F790000}"/>
    <cellStyle name="40% - Accent5 16" xfId="4943" xr:uid="{00000000-0005-0000-0000-000040790000}"/>
    <cellStyle name="40% - Accent5 16 2" xfId="11402" xr:uid="{00000000-0005-0000-0000-000041790000}"/>
    <cellStyle name="40% - Accent5 16 2 2" xfId="24319" xr:uid="{00000000-0005-0000-0000-000042790000}"/>
    <cellStyle name="40% - Accent5 16 2 2 2" xfId="50193" xr:uid="{00000000-0005-0000-0000-000043790000}"/>
    <cellStyle name="40% - Accent5 16 2 3" xfId="37277" xr:uid="{00000000-0005-0000-0000-000044790000}"/>
    <cellStyle name="40% - Accent5 16 3" xfId="17861" xr:uid="{00000000-0005-0000-0000-000045790000}"/>
    <cellStyle name="40% - Accent5 16 3 2" xfId="43735" xr:uid="{00000000-0005-0000-0000-000046790000}"/>
    <cellStyle name="40% - Accent5 16 4" xfId="30819" xr:uid="{00000000-0005-0000-0000-000047790000}"/>
    <cellStyle name="40% - Accent5 17" xfId="8171" xr:uid="{00000000-0005-0000-0000-000048790000}"/>
    <cellStyle name="40% - Accent5 17 2" xfId="21089" xr:uid="{00000000-0005-0000-0000-000049790000}"/>
    <cellStyle name="40% - Accent5 17 2 2" xfId="46963" xr:uid="{00000000-0005-0000-0000-00004A790000}"/>
    <cellStyle name="40% - Accent5 17 3" xfId="34047" xr:uid="{00000000-0005-0000-0000-00004B790000}"/>
    <cellStyle name="40% - Accent5 18" xfId="14631" xr:uid="{00000000-0005-0000-0000-00004C790000}"/>
    <cellStyle name="40% - Accent5 18 2" xfId="40505" xr:uid="{00000000-0005-0000-0000-00004D790000}"/>
    <cellStyle name="40% - Accent5 19" xfId="27549" xr:uid="{00000000-0005-0000-0000-00004E790000}"/>
    <cellStyle name="40% - Accent5 2" xfId="30" xr:uid="{00000000-0005-0000-0000-00004F790000}"/>
    <cellStyle name="40% - Accent5 2 10" xfId="14644" xr:uid="{00000000-0005-0000-0000-000050790000}"/>
    <cellStyle name="40% - Accent5 2 10 2" xfId="40518" xr:uid="{00000000-0005-0000-0000-000051790000}"/>
    <cellStyle name="40% - Accent5 2 11" xfId="27562" xr:uid="{00000000-0005-0000-0000-000052790000}"/>
    <cellStyle name="40% - Accent5 2 12" xfId="53434" xr:uid="{00000000-0005-0000-0000-000053790000}"/>
    <cellStyle name="40% - Accent5 2 13" xfId="1127" xr:uid="{00000000-0005-0000-0000-000054790000}"/>
    <cellStyle name="40% - Accent5 2 2" xfId="1128" xr:uid="{00000000-0005-0000-0000-000055790000}"/>
    <cellStyle name="40% - Accent5 2 3" xfId="1129" xr:uid="{00000000-0005-0000-0000-000056790000}"/>
    <cellStyle name="40% - Accent5 2 3 10" xfId="27597" xr:uid="{00000000-0005-0000-0000-000057790000}"/>
    <cellStyle name="40% - Accent5 2 3 11" xfId="53463" xr:uid="{00000000-0005-0000-0000-000058790000}"/>
    <cellStyle name="40% - Accent5 2 3 2" xfId="1682" xr:uid="{00000000-0005-0000-0000-000059790000}"/>
    <cellStyle name="40% - Accent5 2 3 2 10" xfId="53582" xr:uid="{00000000-0005-0000-0000-00005A790000}"/>
    <cellStyle name="40% - Accent5 2 3 2 2" xfId="1991" xr:uid="{00000000-0005-0000-0000-00005B790000}"/>
    <cellStyle name="40% - Accent5 2 3 2 2 2" xfId="2422" xr:uid="{00000000-0005-0000-0000-00005C790000}"/>
    <cellStyle name="40% - Accent5 2 3 2 2 2 2" xfId="3235" xr:uid="{00000000-0005-0000-0000-00005D790000}"/>
    <cellStyle name="40% - Accent5 2 3 2 2 2 2 2" xfId="4892" xr:uid="{00000000-0005-0000-0000-00005E790000}"/>
    <cellStyle name="40% - Accent5 2 3 2 2 2 2 2 2" xfId="8123" xr:uid="{00000000-0005-0000-0000-00005F790000}"/>
    <cellStyle name="40% - Accent5 2 3 2 2 2 2 2 2 2" xfId="14582" xr:uid="{00000000-0005-0000-0000-000060790000}"/>
    <cellStyle name="40% - Accent5 2 3 2 2 2 2 2 2 2 2" xfId="27499" xr:uid="{00000000-0005-0000-0000-000061790000}"/>
    <cellStyle name="40% - Accent5 2 3 2 2 2 2 2 2 2 2 2" xfId="53373" xr:uid="{00000000-0005-0000-0000-000062790000}"/>
    <cellStyle name="40% - Accent5 2 3 2 2 2 2 2 2 2 3" xfId="40457" xr:uid="{00000000-0005-0000-0000-000063790000}"/>
    <cellStyle name="40% - Accent5 2 3 2 2 2 2 2 2 3" xfId="21041" xr:uid="{00000000-0005-0000-0000-000064790000}"/>
    <cellStyle name="40% - Accent5 2 3 2 2 2 2 2 2 3 2" xfId="46915" xr:uid="{00000000-0005-0000-0000-000065790000}"/>
    <cellStyle name="40% - Accent5 2 3 2 2 2 2 2 2 4" xfId="33999" xr:uid="{00000000-0005-0000-0000-000066790000}"/>
    <cellStyle name="40% - Accent5 2 3 2 2 2 2 2 3" xfId="11354" xr:uid="{00000000-0005-0000-0000-000067790000}"/>
    <cellStyle name="40% - Accent5 2 3 2 2 2 2 2 3 2" xfId="24271" xr:uid="{00000000-0005-0000-0000-000068790000}"/>
    <cellStyle name="40% - Accent5 2 3 2 2 2 2 2 3 2 2" xfId="50145" xr:uid="{00000000-0005-0000-0000-000069790000}"/>
    <cellStyle name="40% - Accent5 2 3 2 2 2 2 2 3 3" xfId="37229" xr:uid="{00000000-0005-0000-0000-00006A790000}"/>
    <cellStyle name="40% - Accent5 2 3 2 2 2 2 2 4" xfId="17813" xr:uid="{00000000-0005-0000-0000-00006B790000}"/>
    <cellStyle name="40% - Accent5 2 3 2 2 2 2 2 4 2" xfId="43687" xr:uid="{00000000-0005-0000-0000-00006C790000}"/>
    <cellStyle name="40% - Accent5 2 3 2 2 2 2 2 5" xfId="30739" xr:uid="{00000000-0005-0000-0000-00006D790000}"/>
    <cellStyle name="40% - Accent5 2 3 2 2 2 2 3" xfId="6509" xr:uid="{00000000-0005-0000-0000-00006E790000}"/>
    <cellStyle name="40% - Accent5 2 3 2 2 2 2 3 2" xfId="12968" xr:uid="{00000000-0005-0000-0000-00006F790000}"/>
    <cellStyle name="40% - Accent5 2 3 2 2 2 2 3 2 2" xfId="25885" xr:uid="{00000000-0005-0000-0000-000070790000}"/>
    <cellStyle name="40% - Accent5 2 3 2 2 2 2 3 2 2 2" xfId="51759" xr:uid="{00000000-0005-0000-0000-000071790000}"/>
    <cellStyle name="40% - Accent5 2 3 2 2 2 2 3 2 3" xfId="38843" xr:uid="{00000000-0005-0000-0000-000072790000}"/>
    <cellStyle name="40% - Accent5 2 3 2 2 2 2 3 3" xfId="19427" xr:uid="{00000000-0005-0000-0000-000073790000}"/>
    <cellStyle name="40% - Accent5 2 3 2 2 2 2 3 3 2" xfId="45301" xr:uid="{00000000-0005-0000-0000-000074790000}"/>
    <cellStyle name="40% - Accent5 2 3 2 2 2 2 3 4" xfId="32385" xr:uid="{00000000-0005-0000-0000-000075790000}"/>
    <cellStyle name="40% - Accent5 2 3 2 2 2 2 4" xfId="9740" xr:uid="{00000000-0005-0000-0000-000076790000}"/>
    <cellStyle name="40% - Accent5 2 3 2 2 2 2 4 2" xfId="22657" xr:uid="{00000000-0005-0000-0000-000077790000}"/>
    <cellStyle name="40% - Accent5 2 3 2 2 2 2 4 2 2" xfId="48531" xr:uid="{00000000-0005-0000-0000-000078790000}"/>
    <cellStyle name="40% - Accent5 2 3 2 2 2 2 4 3" xfId="35615" xr:uid="{00000000-0005-0000-0000-000079790000}"/>
    <cellStyle name="40% - Accent5 2 3 2 2 2 2 5" xfId="16199" xr:uid="{00000000-0005-0000-0000-00007A790000}"/>
    <cellStyle name="40% - Accent5 2 3 2 2 2 2 5 2" xfId="42073" xr:uid="{00000000-0005-0000-0000-00007B790000}"/>
    <cellStyle name="40% - Accent5 2 3 2 2 2 2 6" xfId="29125" xr:uid="{00000000-0005-0000-0000-00007C790000}"/>
    <cellStyle name="40% - Accent5 2 3 2 2 2 3" xfId="4062" xr:uid="{00000000-0005-0000-0000-00007D790000}"/>
    <cellStyle name="40% - Accent5 2 3 2 2 2 3 2" xfId="7316" xr:uid="{00000000-0005-0000-0000-00007E790000}"/>
    <cellStyle name="40% - Accent5 2 3 2 2 2 3 2 2" xfId="13775" xr:uid="{00000000-0005-0000-0000-00007F790000}"/>
    <cellStyle name="40% - Accent5 2 3 2 2 2 3 2 2 2" xfId="26692" xr:uid="{00000000-0005-0000-0000-000080790000}"/>
    <cellStyle name="40% - Accent5 2 3 2 2 2 3 2 2 2 2" xfId="52566" xr:uid="{00000000-0005-0000-0000-000081790000}"/>
    <cellStyle name="40% - Accent5 2 3 2 2 2 3 2 2 3" xfId="39650" xr:uid="{00000000-0005-0000-0000-000082790000}"/>
    <cellStyle name="40% - Accent5 2 3 2 2 2 3 2 3" xfId="20234" xr:uid="{00000000-0005-0000-0000-000083790000}"/>
    <cellStyle name="40% - Accent5 2 3 2 2 2 3 2 3 2" xfId="46108" xr:uid="{00000000-0005-0000-0000-000084790000}"/>
    <cellStyle name="40% - Accent5 2 3 2 2 2 3 2 4" xfId="33192" xr:uid="{00000000-0005-0000-0000-000085790000}"/>
    <cellStyle name="40% - Accent5 2 3 2 2 2 3 3" xfId="10547" xr:uid="{00000000-0005-0000-0000-000086790000}"/>
    <cellStyle name="40% - Accent5 2 3 2 2 2 3 3 2" xfId="23464" xr:uid="{00000000-0005-0000-0000-000087790000}"/>
    <cellStyle name="40% - Accent5 2 3 2 2 2 3 3 2 2" xfId="49338" xr:uid="{00000000-0005-0000-0000-000088790000}"/>
    <cellStyle name="40% - Accent5 2 3 2 2 2 3 3 3" xfId="36422" xr:uid="{00000000-0005-0000-0000-000089790000}"/>
    <cellStyle name="40% - Accent5 2 3 2 2 2 3 4" xfId="17006" xr:uid="{00000000-0005-0000-0000-00008A790000}"/>
    <cellStyle name="40% - Accent5 2 3 2 2 2 3 4 2" xfId="42880" xr:uid="{00000000-0005-0000-0000-00008B790000}"/>
    <cellStyle name="40% - Accent5 2 3 2 2 2 3 5" xfId="29932" xr:uid="{00000000-0005-0000-0000-00008C790000}"/>
    <cellStyle name="40% - Accent5 2 3 2 2 2 4" xfId="5702" xr:uid="{00000000-0005-0000-0000-00008D790000}"/>
    <cellStyle name="40% - Accent5 2 3 2 2 2 4 2" xfId="12161" xr:uid="{00000000-0005-0000-0000-00008E790000}"/>
    <cellStyle name="40% - Accent5 2 3 2 2 2 4 2 2" xfId="25078" xr:uid="{00000000-0005-0000-0000-00008F790000}"/>
    <cellStyle name="40% - Accent5 2 3 2 2 2 4 2 2 2" xfId="50952" xr:uid="{00000000-0005-0000-0000-000090790000}"/>
    <cellStyle name="40% - Accent5 2 3 2 2 2 4 2 3" xfId="38036" xr:uid="{00000000-0005-0000-0000-000091790000}"/>
    <cellStyle name="40% - Accent5 2 3 2 2 2 4 3" xfId="18620" xr:uid="{00000000-0005-0000-0000-000092790000}"/>
    <cellStyle name="40% - Accent5 2 3 2 2 2 4 3 2" xfId="44494" xr:uid="{00000000-0005-0000-0000-000093790000}"/>
    <cellStyle name="40% - Accent5 2 3 2 2 2 4 4" xfId="31578" xr:uid="{00000000-0005-0000-0000-000094790000}"/>
    <cellStyle name="40% - Accent5 2 3 2 2 2 5" xfId="8933" xr:uid="{00000000-0005-0000-0000-000095790000}"/>
    <cellStyle name="40% - Accent5 2 3 2 2 2 5 2" xfId="21850" xr:uid="{00000000-0005-0000-0000-000096790000}"/>
    <cellStyle name="40% - Accent5 2 3 2 2 2 5 2 2" xfId="47724" xr:uid="{00000000-0005-0000-0000-000097790000}"/>
    <cellStyle name="40% - Accent5 2 3 2 2 2 5 3" xfId="34808" xr:uid="{00000000-0005-0000-0000-000098790000}"/>
    <cellStyle name="40% - Accent5 2 3 2 2 2 6" xfId="15392" xr:uid="{00000000-0005-0000-0000-000099790000}"/>
    <cellStyle name="40% - Accent5 2 3 2 2 2 6 2" xfId="41266" xr:uid="{00000000-0005-0000-0000-00009A790000}"/>
    <cellStyle name="40% - Accent5 2 3 2 2 2 7" xfId="28318" xr:uid="{00000000-0005-0000-0000-00009B790000}"/>
    <cellStyle name="40% - Accent5 2 3 2 2 2 8" xfId="54180" xr:uid="{00000000-0005-0000-0000-00009C790000}"/>
    <cellStyle name="40% - Accent5 2 3 2 2 3" xfId="2831" xr:uid="{00000000-0005-0000-0000-00009D790000}"/>
    <cellStyle name="40% - Accent5 2 3 2 2 3 2" xfId="4488" xr:uid="{00000000-0005-0000-0000-00009E790000}"/>
    <cellStyle name="40% - Accent5 2 3 2 2 3 2 2" xfId="7719" xr:uid="{00000000-0005-0000-0000-00009F790000}"/>
    <cellStyle name="40% - Accent5 2 3 2 2 3 2 2 2" xfId="14178" xr:uid="{00000000-0005-0000-0000-0000A0790000}"/>
    <cellStyle name="40% - Accent5 2 3 2 2 3 2 2 2 2" xfId="27095" xr:uid="{00000000-0005-0000-0000-0000A1790000}"/>
    <cellStyle name="40% - Accent5 2 3 2 2 3 2 2 2 2 2" xfId="52969" xr:uid="{00000000-0005-0000-0000-0000A2790000}"/>
    <cellStyle name="40% - Accent5 2 3 2 2 3 2 2 2 3" xfId="40053" xr:uid="{00000000-0005-0000-0000-0000A3790000}"/>
    <cellStyle name="40% - Accent5 2 3 2 2 3 2 2 3" xfId="20637" xr:uid="{00000000-0005-0000-0000-0000A4790000}"/>
    <cellStyle name="40% - Accent5 2 3 2 2 3 2 2 3 2" xfId="46511" xr:uid="{00000000-0005-0000-0000-0000A5790000}"/>
    <cellStyle name="40% - Accent5 2 3 2 2 3 2 2 4" xfId="33595" xr:uid="{00000000-0005-0000-0000-0000A6790000}"/>
    <cellStyle name="40% - Accent5 2 3 2 2 3 2 3" xfId="10950" xr:uid="{00000000-0005-0000-0000-0000A7790000}"/>
    <cellStyle name="40% - Accent5 2 3 2 2 3 2 3 2" xfId="23867" xr:uid="{00000000-0005-0000-0000-0000A8790000}"/>
    <cellStyle name="40% - Accent5 2 3 2 2 3 2 3 2 2" xfId="49741" xr:uid="{00000000-0005-0000-0000-0000A9790000}"/>
    <cellStyle name="40% - Accent5 2 3 2 2 3 2 3 3" xfId="36825" xr:uid="{00000000-0005-0000-0000-0000AA790000}"/>
    <cellStyle name="40% - Accent5 2 3 2 2 3 2 4" xfId="17409" xr:uid="{00000000-0005-0000-0000-0000AB790000}"/>
    <cellStyle name="40% - Accent5 2 3 2 2 3 2 4 2" xfId="43283" xr:uid="{00000000-0005-0000-0000-0000AC790000}"/>
    <cellStyle name="40% - Accent5 2 3 2 2 3 2 5" xfId="30335" xr:uid="{00000000-0005-0000-0000-0000AD790000}"/>
    <cellStyle name="40% - Accent5 2 3 2 2 3 3" xfId="6105" xr:uid="{00000000-0005-0000-0000-0000AE790000}"/>
    <cellStyle name="40% - Accent5 2 3 2 2 3 3 2" xfId="12564" xr:uid="{00000000-0005-0000-0000-0000AF790000}"/>
    <cellStyle name="40% - Accent5 2 3 2 2 3 3 2 2" xfId="25481" xr:uid="{00000000-0005-0000-0000-0000B0790000}"/>
    <cellStyle name="40% - Accent5 2 3 2 2 3 3 2 2 2" xfId="51355" xr:uid="{00000000-0005-0000-0000-0000B1790000}"/>
    <cellStyle name="40% - Accent5 2 3 2 2 3 3 2 3" xfId="38439" xr:uid="{00000000-0005-0000-0000-0000B2790000}"/>
    <cellStyle name="40% - Accent5 2 3 2 2 3 3 3" xfId="19023" xr:uid="{00000000-0005-0000-0000-0000B3790000}"/>
    <cellStyle name="40% - Accent5 2 3 2 2 3 3 3 2" xfId="44897" xr:uid="{00000000-0005-0000-0000-0000B4790000}"/>
    <cellStyle name="40% - Accent5 2 3 2 2 3 3 4" xfId="31981" xr:uid="{00000000-0005-0000-0000-0000B5790000}"/>
    <cellStyle name="40% - Accent5 2 3 2 2 3 4" xfId="9336" xr:uid="{00000000-0005-0000-0000-0000B6790000}"/>
    <cellStyle name="40% - Accent5 2 3 2 2 3 4 2" xfId="22253" xr:uid="{00000000-0005-0000-0000-0000B7790000}"/>
    <cellStyle name="40% - Accent5 2 3 2 2 3 4 2 2" xfId="48127" xr:uid="{00000000-0005-0000-0000-0000B8790000}"/>
    <cellStyle name="40% - Accent5 2 3 2 2 3 4 3" xfId="35211" xr:uid="{00000000-0005-0000-0000-0000B9790000}"/>
    <cellStyle name="40% - Accent5 2 3 2 2 3 5" xfId="15795" xr:uid="{00000000-0005-0000-0000-0000BA790000}"/>
    <cellStyle name="40% - Accent5 2 3 2 2 3 5 2" xfId="41669" xr:uid="{00000000-0005-0000-0000-0000BB790000}"/>
    <cellStyle name="40% - Accent5 2 3 2 2 3 6" xfId="28721" xr:uid="{00000000-0005-0000-0000-0000BC790000}"/>
    <cellStyle name="40% - Accent5 2 3 2 2 4" xfId="3658" xr:uid="{00000000-0005-0000-0000-0000BD790000}"/>
    <cellStyle name="40% - Accent5 2 3 2 2 4 2" xfId="6912" xr:uid="{00000000-0005-0000-0000-0000BE790000}"/>
    <cellStyle name="40% - Accent5 2 3 2 2 4 2 2" xfId="13371" xr:uid="{00000000-0005-0000-0000-0000BF790000}"/>
    <cellStyle name="40% - Accent5 2 3 2 2 4 2 2 2" xfId="26288" xr:uid="{00000000-0005-0000-0000-0000C0790000}"/>
    <cellStyle name="40% - Accent5 2 3 2 2 4 2 2 2 2" xfId="52162" xr:uid="{00000000-0005-0000-0000-0000C1790000}"/>
    <cellStyle name="40% - Accent5 2 3 2 2 4 2 2 3" xfId="39246" xr:uid="{00000000-0005-0000-0000-0000C2790000}"/>
    <cellStyle name="40% - Accent5 2 3 2 2 4 2 3" xfId="19830" xr:uid="{00000000-0005-0000-0000-0000C3790000}"/>
    <cellStyle name="40% - Accent5 2 3 2 2 4 2 3 2" xfId="45704" xr:uid="{00000000-0005-0000-0000-0000C4790000}"/>
    <cellStyle name="40% - Accent5 2 3 2 2 4 2 4" xfId="32788" xr:uid="{00000000-0005-0000-0000-0000C5790000}"/>
    <cellStyle name="40% - Accent5 2 3 2 2 4 3" xfId="10143" xr:uid="{00000000-0005-0000-0000-0000C6790000}"/>
    <cellStyle name="40% - Accent5 2 3 2 2 4 3 2" xfId="23060" xr:uid="{00000000-0005-0000-0000-0000C7790000}"/>
    <cellStyle name="40% - Accent5 2 3 2 2 4 3 2 2" xfId="48934" xr:uid="{00000000-0005-0000-0000-0000C8790000}"/>
    <cellStyle name="40% - Accent5 2 3 2 2 4 3 3" xfId="36018" xr:uid="{00000000-0005-0000-0000-0000C9790000}"/>
    <cellStyle name="40% - Accent5 2 3 2 2 4 4" xfId="16602" xr:uid="{00000000-0005-0000-0000-0000CA790000}"/>
    <cellStyle name="40% - Accent5 2 3 2 2 4 4 2" xfId="42476" xr:uid="{00000000-0005-0000-0000-0000CB790000}"/>
    <cellStyle name="40% - Accent5 2 3 2 2 4 5" xfId="29528" xr:uid="{00000000-0005-0000-0000-0000CC790000}"/>
    <cellStyle name="40% - Accent5 2 3 2 2 5" xfId="5298" xr:uid="{00000000-0005-0000-0000-0000CD790000}"/>
    <cellStyle name="40% - Accent5 2 3 2 2 5 2" xfId="11757" xr:uid="{00000000-0005-0000-0000-0000CE790000}"/>
    <cellStyle name="40% - Accent5 2 3 2 2 5 2 2" xfId="24674" xr:uid="{00000000-0005-0000-0000-0000CF790000}"/>
    <cellStyle name="40% - Accent5 2 3 2 2 5 2 2 2" xfId="50548" xr:uid="{00000000-0005-0000-0000-0000D0790000}"/>
    <cellStyle name="40% - Accent5 2 3 2 2 5 2 3" xfId="37632" xr:uid="{00000000-0005-0000-0000-0000D1790000}"/>
    <cellStyle name="40% - Accent5 2 3 2 2 5 3" xfId="18216" xr:uid="{00000000-0005-0000-0000-0000D2790000}"/>
    <cellStyle name="40% - Accent5 2 3 2 2 5 3 2" xfId="44090" xr:uid="{00000000-0005-0000-0000-0000D3790000}"/>
    <cellStyle name="40% - Accent5 2 3 2 2 5 4" xfId="31174" xr:uid="{00000000-0005-0000-0000-0000D4790000}"/>
    <cellStyle name="40% - Accent5 2 3 2 2 6" xfId="8529" xr:uid="{00000000-0005-0000-0000-0000D5790000}"/>
    <cellStyle name="40% - Accent5 2 3 2 2 6 2" xfId="21446" xr:uid="{00000000-0005-0000-0000-0000D6790000}"/>
    <cellStyle name="40% - Accent5 2 3 2 2 6 2 2" xfId="47320" xr:uid="{00000000-0005-0000-0000-0000D7790000}"/>
    <cellStyle name="40% - Accent5 2 3 2 2 6 3" xfId="34404" xr:uid="{00000000-0005-0000-0000-0000D8790000}"/>
    <cellStyle name="40% - Accent5 2 3 2 2 7" xfId="14988" xr:uid="{00000000-0005-0000-0000-0000D9790000}"/>
    <cellStyle name="40% - Accent5 2 3 2 2 7 2" xfId="40862" xr:uid="{00000000-0005-0000-0000-0000DA790000}"/>
    <cellStyle name="40% - Accent5 2 3 2 2 8" xfId="27913" xr:uid="{00000000-0005-0000-0000-0000DB790000}"/>
    <cellStyle name="40% - Accent5 2 3 2 2 9" xfId="53776" xr:uid="{00000000-0005-0000-0000-0000DC790000}"/>
    <cellStyle name="40% - Accent5 2 3 2 3" xfId="2226" xr:uid="{00000000-0005-0000-0000-0000DD790000}"/>
    <cellStyle name="40% - Accent5 2 3 2 3 2" xfId="3040" xr:uid="{00000000-0005-0000-0000-0000DE790000}"/>
    <cellStyle name="40% - Accent5 2 3 2 3 2 2" xfId="4697" xr:uid="{00000000-0005-0000-0000-0000DF790000}"/>
    <cellStyle name="40% - Accent5 2 3 2 3 2 2 2" xfId="7928" xr:uid="{00000000-0005-0000-0000-0000E0790000}"/>
    <cellStyle name="40% - Accent5 2 3 2 3 2 2 2 2" xfId="14387" xr:uid="{00000000-0005-0000-0000-0000E1790000}"/>
    <cellStyle name="40% - Accent5 2 3 2 3 2 2 2 2 2" xfId="27304" xr:uid="{00000000-0005-0000-0000-0000E2790000}"/>
    <cellStyle name="40% - Accent5 2 3 2 3 2 2 2 2 2 2" xfId="53178" xr:uid="{00000000-0005-0000-0000-0000E3790000}"/>
    <cellStyle name="40% - Accent5 2 3 2 3 2 2 2 2 3" xfId="40262" xr:uid="{00000000-0005-0000-0000-0000E4790000}"/>
    <cellStyle name="40% - Accent5 2 3 2 3 2 2 2 3" xfId="20846" xr:uid="{00000000-0005-0000-0000-0000E5790000}"/>
    <cellStyle name="40% - Accent5 2 3 2 3 2 2 2 3 2" xfId="46720" xr:uid="{00000000-0005-0000-0000-0000E6790000}"/>
    <cellStyle name="40% - Accent5 2 3 2 3 2 2 2 4" xfId="33804" xr:uid="{00000000-0005-0000-0000-0000E7790000}"/>
    <cellStyle name="40% - Accent5 2 3 2 3 2 2 3" xfId="11159" xr:uid="{00000000-0005-0000-0000-0000E8790000}"/>
    <cellStyle name="40% - Accent5 2 3 2 3 2 2 3 2" xfId="24076" xr:uid="{00000000-0005-0000-0000-0000E9790000}"/>
    <cellStyle name="40% - Accent5 2 3 2 3 2 2 3 2 2" xfId="49950" xr:uid="{00000000-0005-0000-0000-0000EA790000}"/>
    <cellStyle name="40% - Accent5 2 3 2 3 2 2 3 3" xfId="37034" xr:uid="{00000000-0005-0000-0000-0000EB790000}"/>
    <cellStyle name="40% - Accent5 2 3 2 3 2 2 4" xfId="17618" xr:uid="{00000000-0005-0000-0000-0000EC790000}"/>
    <cellStyle name="40% - Accent5 2 3 2 3 2 2 4 2" xfId="43492" xr:uid="{00000000-0005-0000-0000-0000ED790000}"/>
    <cellStyle name="40% - Accent5 2 3 2 3 2 2 5" xfId="30544" xr:uid="{00000000-0005-0000-0000-0000EE790000}"/>
    <cellStyle name="40% - Accent5 2 3 2 3 2 3" xfId="6314" xr:uid="{00000000-0005-0000-0000-0000EF790000}"/>
    <cellStyle name="40% - Accent5 2 3 2 3 2 3 2" xfId="12773" xr:uid="{00000000-0005-0000-0000-0000F0790000}"/>
    <cellStyle name="40% - Accent5 2 3 2 3 2 3 2 2" xfId="25690" xr:uid="{00000000-0005-0000-0000-0000F1790000}"/>
    <cellStyle name="40% - Accent5 2 3 2 3 2 3 2 2 2" xfId="51564" xr:uid="{00000000-0005-0000-0000-0000F2790000}"/>
    <cellStyle name="40% - Accent5 2 3 2 3 2 3 2 3" xfId="38648" xr:uid="{00000000-0005-0000-0000-0000F3790000}"/>
    <cellStyle name="40% - Accent5 2 3 2 3 2 3 3" xfId="19232" xr:uid="{00000000-0005-0000-0000-0000F4790000}"/>
    <cellStyle name="40% - Accent5 2 3 2 3 2 3 3 2" xfId="45106" xr:uid="{00000000-0005-0000-0000-0000F5790000}"/>
    <cellStyle name="40% - Accent5 2 3 2 3 2 3 4" xfId="32190" xr:uid="{00000000-0005-0000-0000-0000F6790000}"/>
    <cellStyle name="40% - Accent5 2 3 2 3 2 4" xfId="9545" xr:uid="{00000000-0005-0000-0000-0000F7790000}"/>
    <cellStyle name="40% - Accent5 2 3 2 3 2 4 2" xfId="22462" xr:uid="{00000000-0005-0000-0000-0000F8790000}"/>
    <cellStyle name="40% - Accent5 2 3 2 3 2 4 2 2" xfId="48336" xr:uid="{00000000-0005-0000-0000-0000F9790000}"/>
    <cellStyle name="40% - Accent5 2 3 2 3 2 4 3" xfId="35420" xr:uid="{00000000-0005-0000-0000-0000FA790000}"/>
    <cellStyle name="40% - Accent5 2 3 2 3 2 5" xfId="16004" xr:uid="{00000000-0005-0000-0000-0000FB790000}"/>
    <cellStyle name="40% - Accent5 2 3 2 3 2 5 2" xfId="41878" xr:uid="{00000000-0005-0000-0000-0000FC790000}"/>
    <cellStyle name="40% - Accent5 2 3 2 3 2 6" xfId="28930" xr:uid="{00000000-0005-0000-0000-0000FD790000}"/>
    <cellStyle name="40% - Accent5 2 3 2 3 3" xfId="3867" xr:uid="{00000000-0005-0000-0000-0000FE790000}"/>
    <cellStyle name="40% - Accent5 2 3 2 3 3 2" xfId="7121" xr:uid="{00000000-0005-0000-0000-0000FF790000}"/>
    <cellStyle name="40% - Accent5 2 3 2 3 3 2 2" xfId="13580" xr:uid="{00000000-0005-0000-0000-0000007A0000}"/>
    <cellStyle name="40% - Accent5 2 3 2 3 3 2 2 2" xfId="26497" xr:uid="{00000000-0005-0000-0000-0000017A0000}"/>
    <cellStyle name="40% - Accent5 2 3 2 3 3 2 2 2 2" xfId="52371" xr:uid="{00000000-0005-0000-0000-0000027A0000}"/>
    <cellStyle name="40% - Accent5 2 3 2 3 3 2 2 3" xfId="39455" xr:uid="{00000000-0005-0000-0000-0000037A0000}"/>
    <cellStyle name="40% - Accent5 2 3 2 3 3 2 3" xfId="20039" xr:uid="{00000000-0005-0000-0000-0000047A0000}"/>
    <cellStyle name="40% - Accent5 2 3 2 3 3 2 3 2" xfId="45913" xr:uid="{00000000-0005-0000-0000-0000057A0000}"/>
    <cellStyle name="40% - Accent5 2 3 2 3 3 2 4" xfId="32997" xr:uid="{00000000-0005-0000-0000-0000067A0000}"/>
    <cellStyle name="40% - Accent5 2 3 2 3 3 3" xfId="10352" xr:uid="{00000000-0005-0000-0000-0000077A0000}"/>
    <cellStyle name="40% - Accent5 2 3 2 3 3 3 2" xfId="23269" xr:uid="{00000000-0005-0000-0000-0000087A0000}"/>
    <cellStyle name="40% - Accent5 2 3 2 3 3 3 2 2" xfId="49143" xr:uid="{00000000-0005-0000-0000-0000097A0000}"/>
    <cellStyle name="40% - Accent5 2 3 2 3 3 3 3" xfId="36227" xr:uid="{00000000-0005-0000-0000-00000A7A0000}"/>
    <cellStyle name="40% - Accent5 2 3 2 3 3 4" xfId="16811" xr:uid="{00000000-0005-0000-0000-00000B7A0000}"/>
    <cellStyle name="40% - Accent5 2 3 2 3 3 4 2" xfId="42685" xr:uid="{00000000-0005-0000-0000-00000C7A0000}"/>
    <cellStyle name="40% - Accent5 2 3 2 3 3 5" xfId="29737" xr:uid="{00000000-0005-0000-0000-00000D7A0000}"/>
    <cellStyle name="40% - Accent5 2 3 2 3 4" xfId="5507" xr:uid="{00000000-0005-0000-0000-00000E7A0000}"/>
    <cellStyle name="40% - Accent5 2 3 2 3 4 2" xfId="11966" xr:uid="{00000000-0005-0000-0000-00000F7A0000}"/>
    <cellStyle name="40% - Accent5 2 3 2 3 4 2 2" xfId="24883" xr:uid="{00000000-0005-0000-0000-0000107A0000}"/>
    <cellStyle name="40% - Accent5 2 3 2 3 4 2 2 2" xfId="50757" xr:uid="{00000000-0005-0000-0000-0000117A0000}"/>
    <cellStyle name="40% - Accent5 2 3 2 3 4 2 3" xfId="37841" xr:uid="{00000000-0005-0000-0000-0000127A0000}"/>
    <cellStyle name="40% - Accent5 2 3 2 3 4 3" xfId="18425" xr:uid="{00000000-0005-0000-0000-0000137A0000}"/>
    <cellStyle name="40% - Accent5 2 3 2 3 4 3 2" xfId="44299" xr:uid="{00000000-0005-0000-0000-0000147A0000}"/>
    <cellStyle name="40% - Accent5 2 3 2 3 4 4" xfId="31383" xr:uid="{00000000-0005-0000-0000-0000157A0000}"/>
    <cellStyle name="40% - Accent5 2 3 2 3 5" xfId="8738" xr:uid="{00000000-0005-0000-0000-0000167A0000}"/>
    <cellStyle name="40% - Accent5 2 3 2 3 5 2" xfId="21655" xr:uid="{00000000-0005-0000-0000-0000177A0000}"/>
    <cellStyle name="40% - Accent5 2 3 2 3 5 2 2" xfId="47529" xr:uid="{00000000-0005-0000-0000-0000187A0000}"/>
    <cellStyle name="40% - Accent5 2 3 2 3 5 3" xfId="34613" xr:uid="{00000000-0005-0000-0000-0000197A0000}"/>
    <cellStyle name="40% - Accent5 2 3 2 3 6" xfId="15197" xr:uid="{00000000-0005-0000-0000-00001A7A0000}"/>
    <cellStyle name="40% - Accent5 2 3 2 3 6 2" xfId="41071" xr:uid="{00000000-0005-0000-0000-00001B7A0000}"/>
    <cellStyle name="40% - Accent5 2 3 2 3 7" xfId="28123" xr:uid="{00000000-0005-0000-0000-00001C7A0000}"/>
    <cellStyle name="40% - Accent5 2 3 2 3 8" xfId="53985" xr:uid="{00000000-0005-0000-0000-00001D7A0000}"/>
    <cellStyle name="40% - Accent5 2 3 2 4" xfId="2637" xr:uid="{00000000-0005-0000-0000-00001E7A0000}"/>
    <cellStyle name="40% - Accent5 2 3 2 4 2" xfId="4294" xr:uid="{00000000-0005-0000-0000-00001F7A0000}"/>
    <cellStyle name="40% - Accent5 2 3 2 4 2 2" xfId="7525" xr:uid="{00000000-0005-0000-0000-0000207A0000}"/>
    <cellStyle name="40% - Accent5 2 3 2 4 2 2 2" xfId="13984" xr:uid="{00000000-0005-0000-0000-0000217A0000}"/>
    <cellStyle name="40% - Accent5 2 3 2 4 2 2 2 2" xfId="26901" xr:uid="{00000000-0005-0000-0000-0000227A0000}"/>
    <cellStyle name="40% - Accent5 2 3 2 4 2 2 2 2 2" xfId="52775" xr:uid="{00000000-0005-0000-0000-0000237A0000}"/>
    <cellStyle name="40% - Accent5 2 3 2 4 2 2 2 3" xfId="39859" xr:uid="{00000000-0005-0000-0000-0000247A0000}"/>
    <cellStyle name="40% - Accent5 2 3 2 4 2 2 3" xfId="20443" xr:uid="{00000000-0005-0000-0000-0000257A0000}"/>
    <cellStyle name="40% - Accent5 2 3 2 4 2 2 3 2" xfId="46317" xr:uid="{00000000-0005-0000-0000-0000267A0000}"/>
    <cellStyle name="40% - Accent5 2 3 2 4 2 2 4" xfId="33401" xr:uid="{00000000-0005-0000-0000-0000277A0000}"/>
    <cellStyle name="40% - Accent5 2 3 2 4 2 3" xfId="10756" xr:uid="{00000000-0005-0000-0000-0000287A0000}"/>
    <cellStyle name="40% - Accent5 2 3 2 4 2 3 2" xfId="23673" xr:uid="{00000000-0005-0000-0000-0000297A0000}"/>
    <cellStyle name="40% - Accent5 2 3 2 4 2 3 2 2" xfId="49547" xr:uid="{00000000-0005-0000-0000-00002A7A0000}"/>
    <cellStyle name="40% - Accent5 2 3 2 4 2 3 3" xfId="36631" xr:uid="{00000000-0005-0000-0000-00002B7A0000}"/>
    <cellStyle name="40% - Accent5 2 3 2 4 2 4" xfId="17215" xr:uid="{00000000-0005-0000-0000-00002C7A0000}"/>
    <cellStyle name="40% - Accent5 2 3 2 4 2 4 2" xfId="43089" xr:uid="{00000000-0005-0000-0000-00002D7A0000}"/>
    <cellStyle name="40% - Accent5 2 3 2 4 2 5" xfId="30141" xr:uid="{00000000-0005-0000-0000-00002E7A0000}"/>
    <cellStyle name="40% - Accent5 2 3 2 4 3" xfId="5911" xr:uid="{00000000-0005-0000-0000-00002F7A0000}"/>
    <cellStyle name="40% - Accent5 2 3 2 4 3 2" xfId="12370" xr:uid="{00000000-0005-0000-0000-0000307A0000}"/>
    <cellStyle name="40% - Accent5 2 3 2 4 3 2 2" xfId="25287" xr:uid="{00000000-0005-0000-0000-0000317A0000}"/>
    <cellStyle name="40% - Accent5 2 3 2 4 3 2 2 2" xfId="51161" xr:uid="{00000000-0005-0000-0000-0000327A0000}"/>
    <cellStyle name="40% - Accent5 2 3 2 4 3 2 3" xfId="38245" xr:uid="{00000000-0005-0000-0000-0000337A0000}"/>
    <cellStyle name="40% - Accent5 2 3 2 4 3 3" xfId="18829" xr:uid="{00000000-0005-0000-0000-0000347A0000}"/>
    <cellStyle name="40% - Accent5 2 3 2 4 3 3 2" xfId="44703" xr:uid="{00000000-0005-0000-0000-0000357A0000}"/>
    <cellStyle name="40% - Accent5 2 3 2 4 3 4" xfId="31787" xr:uid="{00000000-0005-0000-0000-0000367A0000}"/>
    <cellStyle name="40% - Accent5 2 3 2 4 4" xfId="9142" xr:uid="{00000000-0005-0000-0000-0000377A0000}"/>
    <cellStyle name="40% - Accent5 2 3 2 4 4 2" xfId="22059" xr:uid="{00000000-0005-0000-0000-0000387A0000}"/>
    <cellStyle name="40% - Accent5 2 3 2 4 4 2 2" xfId="47933" xr:uid="{00000000-0005-0000-0000-0000397A0000}"/>
    <cellStyle name="40% - Accent5 2 3 2 4 4 3" xfId="35017" xr:uid="{00000000-0005-0000-0000-00003A7A0000}"/>
    <cellStyle name="40% - Accent5 2 3 2 4 5" xfId="15601" xr:uid="{00000000-0005-0000-0000-00003B7A0000}"/>
    <cellStyle name="40% - Accent5 2 3 2 4 5 2" xfId="41475" xr:uid="{00000000-0005-0000-0000-00003C7A0000}"/>
    <cellStyle name="40% - Accent5 2 3 2 4 6" xfId="28527" xr:uid="{00000000-0005-0000-0000-00003D7A0000}"/>
    <cellStyle name="40% - Accent5 2 3 2 5" xfId="3464" xr:uid="{00000000-0005-0000-0000-00003E7A0000}"/>
    <cellStyle name="40% - Accent5 2 3 2 5 2" xfId="6718" xr:uid="{00000000-0005-0000-0000-00003F7A0000}"/>
    <cellStyle name="40% - Accent5 2 3 2 5 2 2" xfId="13177" xr:uid="{00000000-0005-0000-0000-0000407A0000}"/>
    <cellStyle name="40% - Accent5 2 3 2 5 2 2 2" xfId="26094" xr:uid="{00000000-0005-0000-0000-0000417A0000}"/>
    <cellStyle name="40% - Accent5 2 3 2 5 2 2 2 2" xfId="51968" xr:uid="{00000000-0005-0000-0000-0000427A0000}"/>
    <cellStyle name="40% - Accent5 2 3 2 5 2 2 3" xfId="39052" xr:uid="{00000000-0005-0000-0000-0000437A0000}"/>
    <cellStyle name="40% - Accent5 2 3 2 5 2 3" xfId="19636" xr:uid="{00000000-0005-0000-0000-0000447A0000}"/>
    <cellStyle name="40% - Accent5 2 3 2 5 2 3 2" xfId="45510" xr:uid="{00000000-0005-0000-0000-0000457A0000}"/>
    <cellStyle name="40% - Accent5 2 3 2 5 2 4" xfId="32594" xr:uid="{00000000-0005-0000-0000-0000467A0000}"/>
    <cellStyle name="40% - Accent5 2 3 2 5 3" xfId="9949" xr:uid="{00000000-0005-0000-0000-0000477A0000}"/>
    <cellStyle name="40% - Accent5 2 3 2 5 3 2" xfId="22866" xr:uid="{00000000-0005-0000-0000-0000487A0000}"/>
    <cellStyle name="40% - Accent5 2 3 2 5 3 2 2" xfId="48740" xr:uid="{00000000-0005-0000-0000-0000497A0000}"/>
    <cellStyle name="40% - Accent5 2 3 2 5 3 3" xfId="35824" xr:uid="{00000000-0005-0000-0000-00004A7A0000}"/>
    <cellStyle name="40% - Accent5 2 3 2 5 4" xfId="16408" xr:uid="{00000000-0005-0000-0000-00004B7A0000}"/>
    <cellStyle name="40% - Accent5 2 3 2 5 4 2" xfId="42282" xr:uid="{00000000-0005-0000-0000-00004C7A0000}"/>
    <cellStyle name="40% - Accent5 2 3 2 5 5" xfId="29334" xr:uid="{00000000-0005-0000-0000-00004D7A0000}"/>
    <cellStyle name="40% - Accent5 2 3 2 6" xfId="5104" xr:uid="{00000000-0005-0000-0000-00004E7A0000}"/>
    <cellStyle name="40% - Accent5 2 3 2 6 2" xfId="11563" xr:uid="{00000000-0005-0000-0000-00004F7A0000}"/>
    <cellStyle name="40% - Accent5 2 3 2 6 2 2" xfId="24480" xr:uid="{00000000-0005-0000-0000-0000507A0000}"/>
    <cellStyle name="40% - Accent5 2 3 2 6 2 2 2" xfId="50354" xr:uid="{00000000-0005-0000-0000-0000517A0000}"/>
    <cellStyle name="40% - Accent5 2 3 2 6 2 3" xfId="37438" xr:uid="{00000000-0005-0000-0000-0000527A0000}"/>
    <cellStyle name="40% - Accent5 2 3 2 6 3" xfId="18022" xr:uid="{00000000-0005-0000-0000-0000537A0000}"/>
    <cellStyle name="40% - Accent5 2 3 2 6 3 2" xfId="43896" xr:uid="{00000000-0005-0000-0000-0000547A0000}"/>
    <cellStyle name="40% - Accent5 2 3 2 6 4" xfId="30980" xr:uid="{00000000-0005-0000-0000-0000557A0000}"/>
    <cellStyle name="40% - Accent5 2 3 2 7" xfId="8334" xr:uid="{00000000-0005-0000-0000-0000567A0000}"/>
    <cellStyle name="40% - Accent5 2 3 2 7 2" xfId="21251" xr:uid="{00000000-0005-0000-0000-0000577A0000}"/>
    <cellStyle name="40% - Accent5 2 3 2 7 2 2" xfId="47125" xr:uid="{00000000-0005-0000-0000-0000587A0000}"/>
    <cellStyle name="40% - Accent5 2 3 2 7 3" xfId="34209" xr:uid="{00000000-0005-0000-0000-0000597A0000}"/>
    <cellStyle name="40% - Accent5 2 3 2 8" xfId="14793" xr:uid="{00000000-0005-0000-0000-00005A7A0000}"/>
    <cellStyle name="40% - Accent5 2 3 2 8 2" xfId="40667" xr:uid="{00000000-0005-0000-0000-00005B7A0000}"/>
    <cellStyle name="40% - Accent5 2 3 2 9" xfId="27719" xr:uid="{00000000-0005-0000-0000-00005C7A0000}"/>
    <cellStyle name="40% - Accent5 2 3 3" xfId="1860" xr:uid="{00000000-0005-0000-0000-00005D7A0000}"/>
    <cellStyle name="40% - Accent5 2 3 3 2" xfId="2302" xr:uid="{00000000-0005-0000-0000-00005E7A0000}"/>
    <cellStyle name="40% - Accent5 2 3 3 2 2" xfId="3116" xr:uid="{00000000-0005-0000-0000-00005F7A0000}"/>
    <cellStyle name="40% - Accent5 2 3 3 2 2 2" xfId="4773" xr:uid="{00000000-0005-0000-0000-0000607A0000}"/>
    <cellStyle name="40% - Accent5 2 3 3 2 2 2 2" xfId="8004" xr:uid="{00000000-0005-0000-0000-0000617A0000}"/>
    <cellStyle name="40% - Accent5 2 3 3 2 2 2 2 2" xfId="14463" xr:uid="{00000000-0005-0000-0000-0000627A0000}"/>
    <cellStyle name="40% - Accent5 2 3 3 2 2 2 2 2 2" xfId="27380" xr:uid="{00000000-0005-0000-0000-0000637A0000}"/>
    <cellStyle name="40% - Accent5 2 3 3 2 2 2 2 2 2 2" xfId="53254" xr:uid="{00000000-0005-0000-0000-0000647A0000}"/>
    <cellStyle name="40% - Accent5 2 3 3 2 2 2 2 2 3" xfId="40338" xr:uid="{00000000-0005-0000-0000-0000657A0000}"/>
    <cellStyle name="40% - Accent5 2 3 3 2 2 2 2 3" xfId="20922" xr:uid="{00000000-0005-0000-0000-0000667A0000}"/>
    <cellStyle name="40% - Accent5 2 3 3 2 2 2 2 3 2" xfId="46796" xr:uid="{00000000-0005-0000-0000-0000677A0000}"/>
    <cellStyle name="40% - Accent5 2 3 3 2 2 2 2 4" xfId="33880" xr:uid="{00000000-0005-0000-0000-0000687A0000}"/>
    <cellStyle name="40% - Accent5 2 3 3 2 2 2 3" xfId="11235" xr:uid="{00000000-0005-0000-0000-0000697A0000}"/>
    <cellStyle name="40% - Accent5 2 3 3 2 2 2 3 2" xfId="24152" xr:uid="{00000000-0005-0000-0000-00006A7A0000}"/>
    <cellStyle name="40% - Accent5 2 3 3 2 2 2 3 2 2" xfId="50026" xr:uid="{00000000-0005-0000-0000-00006B7A0000}"/>
    <cellStyle name="40% - Accent5 2 3 3 2 2 2 3 3" xfId="37110" xr:uid="{00000000-0005-0000-0000-00006C7A0000}"/>
    <cellStyle name="40% - Accent5 2 3 3 2 2 2 4" xfId="17694" xr:uid="{00000000-0005-0000-0000-00006D7A0000}"/>
    <cellStyle name="40% - Accent5 2 3 3 2 2 2 4 2" xfId="43568" xr:uid="{00000000-0005-0000-0000-00006E7A0000}"/>
    <cellStyle name="40% - Accent5 2 3 3 2 2 2 5" xfId="30620" xr:uid="{00000000-0005-0000-0000-00006F7A0000}"/>
    <cellStyle name="40% - Accent5 2 3 3 2 2 3" xfId="6390" xr:uid="{00000000-0005-0000-0000-0000707A0000}"/>
    <cellStyle name="40% - Accent5 2 3 3 2 2 3 2" xfId="12849" xr:uid="{00000000-0005-0000-0000-0000717A0000}"/>
    <cellStyle name="40% - Accent5 2 3 3 2 2 3 2 2" xfId="25766" xr:uid="{00000000-0005-0000-0000-0000727A0000}"/>
    <cellStyle name="40% - Accent5 2 3 3 2 2 3 2 2 2" xfId="51640" xr:uid="{00000000-0005-0000-0000-0000737A0000}"/>
    <cellStyle name="40% - Accent5 2 3 3 2 2 3 2 3" xfId="38724" xr:uid="{00000000-0005-0000-0000-0000747A0000}"/>
    <cellStyle name="40% - Accent5 2 3 3 2 2 3 3" xfId="19308" xr:uid="{00000000-0005-0000-0000-0000757A0000}"/>
    <cellStyle name="40% - Accent5 2 3 3 2 2 3 3 2" xfId="45182" xr:uid="{00000000-0005-0000-0000-0000767A0000}"/>
    <cellStyle name="40% - Accent5 2 3 3 2 2 3 4" xfId="32266" xr:uid="{00000000-0005-0000-0000-0000777A0000}"/>
    <cellStyle name="40% - Accent5 2 3 3 2 2 4" xfId="9621" xr:uid="{00000000-0005-0000-0000-0000787A0000}"/>
    <cellStyle name="40% - Accent5 2 3 3 2 2 4 2" xfId="22538" xr:uid="{00000000-0005-0000-0000-0000797A0000}"/>
    <cellStyle name="40% - Accent5 2 3 3 2 2 4 2 2" xfId="48412" xr:uid="{00000000-0005-0000-0000-00007A7A0000}"/>
    <cellStyle name="40% - Accent5 2 3 3 2 2 4 3" xfId="35496" xr:uid="{00000000-0005-0000-0000-00007B7A0000}"/>
    <cellStyle name="40% - Accent5 2 3 3 2 2 5" xfId="16080" xr:uid="{00000000-0005-0000-0000-00007C7A0000}"/>
    <cellStyle name="40% - Accent5 2 3 3 2 2 5 2" xfId="41954" xr:uid="{00000000-0005-0000-0000-00007D7A0000}"/>
    <cellStyle name="40% - Accent5 2 3 3 2 2 6" xfId="29006" xr:uid="{00000000-0005-0000-0000-00007E7A0000}"/>
    <cellStyle name="40% - Accent5 2 3 3 2 3" xfId="3943" xr:uid="{00000000-0005-0000-0000-00007F7A0000}"/>
    <cellStyle name="40% - Accent5 2 3 3 2 3 2" xfId="7197" xr:uid="{00000000-0005-0000-0000-0000807A0000}"/>
    <cellStyle name="40% - Accent5 2 3 3 2 3 2 2" xfId="13656" xr:uid="{00000000-0005-0000-0000-0000817A0000}"/>
    <cellStyle name="40% - Accent5 2 3 3 2 3 2 2 2" xfId="26573" xr:uid="{00000000-0005-0000-0000-0000827A0000}"/>
    <cellStyle name="40% - Accent5 2 3 3 2 3 2 2 2 2" xfId="52447" xr:uid="{00000000-0005-0000-0000-0000837A0000}"/>
    <cellStyle name="40% - Accent5 2 3 3 2 3 2 2 3" xfId="39531" xr:uid="{00000000-0005-0000-0000-0000847A0000}"/>
    <cellStyle name="40% - Accent5 2 3 3 2 3 2 3" xfId="20115" xr:uid="{00000000-0005-0000-0000-0000857A0000}"/>
    <cellStyle name="40% - Accent5 2 3 3 2 3 2 3 2" xfId="45989" xr:uid="{00000000-0005-0000-0000-0000867A0000}"/>
    <cellStyle name="40% - Accent5 2 3 3 2 3 2 4" xfId="33073" xr:uid="{00000000-0005-0000-0000-0000877A0000}"/>
    <cellStyle name="40% - Accent5 2 3 3 2 3 3" xfId="10428" xr:uid="{00000000-0005-0000-0000-0000887A0000}"/>
    <cellStyle name="40% - Accent5 2 3 3 2 3 3 2" xfId="23345" xr:uid="{00000000-0005-0000-0000-0000897A0000}"/>
    <cellStyle name="40% - Accent5 2 3 3 2 3 3 2 2" xfId="49219" xr:uid="{00000000-0005-0000-0000-00008A7A0000}"/>
    <cellStyle name="40% - Accent5 2 3 3 2 3 3 3" xfId="36303" xr:uid="{00000000-0005-0000-0000-00008B7A0000}"/>
    <cellStyle name="40% - Accent5 2 3 3 2 3 4" xfId="16887" xr:uid="{00000000-0005-0000-0000-00008C7A0000}"/>
    <cellStyle name="40% - Accent5 2 3 3 2 3 4 2" xfId="42761" xr:uid="{00000000-0005-0000-0000-00008D7A0000}"/>
    <cellStyle name="40% - Accent5 2 3 3 2 3 5" xfId="29813" xr:uid="{00000000-0005-0000-0000-00008E7A0000}"/>
    <cellStyle name="40% - Accent5 2 3 3 2 4" xfId="5583" xr:uid="{00000000-0005-0000-0000-00008F7A0000}"/>
    <cellStyle name="40% - Accent5 2 3 3 2 4 2" xfId="12042" xr:uid="{00000000-0005-0000-0000-0000907A0000}"/>
    <cellStyle name="40% - Accent5 2 3 3 2 4 2 2" xfId="24959" xr:uid="{00000000-0005-0000-0000-0000917A0000}"/>
    <cellStyle name="40% - Accent5 2 3 3 2 4 2 2 2" xfId="50833" xr:uid="{00000000-0005-0000-0000-0000927A0000}"/>
    <cellStyle name="40% - Accent5 2 3 3 2 4 2 3" xfId="37917" xr:uid="{00000000-0005-0000-0000-0000937A0000}"/>
    <cellStyle name="40% - Accent5 2 3 3 2 4 3" xfId="18501" xr:uid="{00000000-0005-0000-0000-0000947A0000}"/>
    <cellStyle name="40% - Accent5 2 3 3 2 4 3 2" xfId="44375" xr:uid="{00000000-0005-0000-0000-0000957A0000}"/>
    <cellStyle name="40% - Accent5 2 3 3 2 4 4" xfId="31459" xr:uid="{00000000-0005-0000-0000-0000967A0000}"/>
    <cellStyle name="40% - Accent5 2 3 3 2 5" xfId="8814" xr:uid="{00000000-0005-0000-0000-0000977A0000}"/>
    <cellStyle name="40% - Accent5 2 3 3 2 5 2" xfId="21731" xr:uid="{00000000-0005-0000-0000-0000987A0000}"/>
    <cellStyle name="40% - Accent5 2 3 3 2 5 2 2" xfId="47605" xr:uid="{00000000-0005-0000-0000-0000997A0000}"/>
    <cellStyle name="40% - Accent5 2 3 3 2 5 3" xfId="34689" xr:uid="{00000000-0005-0000-0000-00009A7A0000}"/>
    <cellStyle name="40% - Accent5 2 3 3 2 6" xfId="15273" xr:uid="{00000000-0005-0000-0000-00009B7A0000}"/>
    <cellStyle name="40% - Accent5 2 3 3 2 6 2" xfId="41147" xr:uid="{00000000-0005-0000-0000-00009C7A0000}"/>
    <cellStyle name="40% - Accent5 2 3 3 2 7" xfId="28199" xr:uid="{00000000-0005-0000-0000-00009D7A0000}"/>
    <cellStyle name="40% - Accent5 2 3 3 2 8" xfId="54061" xr:uid="{00000000-0005-0000-0000-00009E7A0000}"/>
    <cellStyle name="40% - Accent5 2 3 3 3" xfId="2713" xr:uid="{00000000-0005-0000-0000-00009F7A0000}"/>
    <cellStyle name="40% - Accent5 2 3 3 3 2" xfId="4370" xr:uid="{00000000-0005-0000-0000-0000A07A0000}"/>
    <cellStyle name="40% - Accent5 2 3 3 3 2 2" xfId="7601" xr:uid="{00000000-0005-0000-0000-0000A17A0000}"/>
    <cellStyle name="40% - Accent5 2 3 3 3 2 2 2" xfId="14060" xr:uid="{00000000-0005-0000-0000-0000A27A0000}"/>
    <cellStyle name="40% - Accent5 2 3 3 3 2 2 2 2" xfId="26977" xr:uid="{00000000-0005-0000-0000-0000A37A0000}"/>
    <cellStyle name="40% - Accent5 2 3 3 3 2 2 2 2 2" xfId="52851" xr:uid="{00000000-0005-0000-0000-0000A47A0000}"/>
    <cellStyle name="40% - Accent5 2 3 3 3 2 2 2 3" xfId="39935" xr:uid="{00000000-0005-0000-0000-0000A57A0000}"/>
    <cellStyle name="40% - Accent5 2 3 3 3 2 2 3" xfId="20519" xr:uid="{00000000-0005-0000-0000-0000A67A0000}"/>
    <cellStyle name="40% - Accent5 2 3 3 3 2 2 3 2" xfId="46393" xr:uid="{00000000-0005-0000-0000-0000A77A0000}"/>
    <cellStyle name="40% - Accent5 2 3 3 3 2 2 4" xfId="33477" xr:uid="{00000000-0005-0000-0000-0000A87A0000}"/>
    <cellStyle name="40% - Accent5 2 3 3 3 2 3" xfId="10832" xr:uid="{00000000-0005-0000-0000-0000A97A0000}"/>
    <cellStyle name="40% - Accent5 2 3 3 3 2 3 2" xfId="23749" xr:uid="{00000000-0005-0000-0000-0000AA7A0000}"/>
    <cellStyle name="40% - Accent5 2 3 3 3 2 3 2 2" xfId="49623" xr:uid="{00000000-0005-0000-0000-0000AB7A0000}"/>
    <cellStyle name="40% - Accent5 2 3 3 3 2 3 3" xfId="36707" xr:uid="{00000000-0005-0000-0000-0000AC7A0000}"/>
    <cellStyle name="40% - Accent5 2 3 3 3 2 4" xfId="17291" xr:uid="{00000000-0005-0000-0000-0000AD7A0000}"/>
    <cellStyle name="40% - Accent5 2 3 3 3 2 4 2" xfId="43165" xr:uid="{00000000-0005-0000-0000-0000AE7A0000}"/>
    <cellStyle name="40% - Accent5 2 3 3 3 2 5" xfId="30217" xr:uid="{00000000-0005-0000-0000-0000AF7A0000}"/>
    <cellStyle name="40% - Accent5 2 3 3 3 3" xfId="5987" xr:uid="{00000000-0005-0000-0000-0000B07A0000}"/>
    <cellStyle name="40% - Accent5 2 3 3 3 3 2" xfId="12446" xr:uid="{00000000-0005-0000-0000-0000B17A0000}"/>
    <cellStyle name="40% - Accent5 2 3 3 3 3 2 2" xfId="25363" xr:uid="{00000000-0005-0000-0000-0000B27A0000}"/>
    <cellStyle name="40% - Accent5 2 3 3 3 3 2 2 2" xfId="51237" xr:uid="{00000000-0005-0000-0000-0000B37A0000}"/>
    <cellStyle name="40% - Accent5 2 3 3 3 3 2 3" xfId="38321" xr:uid="{00000000-0005-0000-0000-0000B47A0000}"/>
    <cellStyle name="40% - Accent5 2 3 3 3 3 3" xfId="18905" xr:uid="{00000000-0005-0000-0000-0000B57A0000}"/>
    <cellStyle name="40% - Accent5 2 3 3 3 3 3 2" xfId="44779" xr:uid="{00000000-0005-0000-0000-0000B67A0000}"/>
    <cellStyle name="40% - Accent5 2 3 3 3 3 4" xfId="31863" xr:uid="{00000000-0005-0000-0000-0000B77A0000}"/>
    <cellStyle name="40% - Accent5 2 3 3 3 4" xfId="9218" xr:uid="{00000000-0005-0000-0000-0000B87A0000}"/>
    <cellStyle name="40% - Accent5 2 3 3 3 4 2" xfId="22135" xr:uid="{00000000-0005-0000-0000-0000B97A0000}"/>
    <cellStyle name="40% - Accent5 2 3 3 3 4 2 2" xfId="48009" xr:uid="{00000000-0005-0000-0000-0000BA7A0000}"/>
    <cellStyle name="40% - Accent5 2 3 3 3 4 3" xfId="35093" xr:uid="{00000000-0005-0000-0000-0000BB7A0000}"/>
    <cellStyle name="40% - Accent5 2 3 3 3 5" xfId="15677" xr:uid="{00000000-0005-0000-0000-0000BC7A0000}"/>
    <cellStyle name="40% - Accent5 2 3 3 3 5 2" xfId="41551" xr:uid="{00000000-0005-0000-0000-0000BD7A0000}"/>
    <cellStyle name="40% - Accent5 2 3 3 3 6" xfId="28603" xr:uid="{00000000-0005-0000-0000-0000BE7A0000}"/>
    <cellStyle name="40% - Accent5 2 3 3 4" xfId="3540" xr:uid="{00000000-0005-0000-0000-0000BF7A0000}"/>
    <cellStyle name="40% - Accent5 2 3 3 4 2" xfId="6794" xr:uid="{00000000-0005-0000-0000-0000C07A0000}"/>
    <cellStyle name="40% - Accent5 2 3 3 4 2 2" xfId="13253" xr:uid="{00000000-0005-0000-0000-0000C17A0000}"/>
    <cellStyle name="40% - Accent5 2 3 3 4 2 2 2" xfId="26170" xr:uid="{00000000-0005-0000-0000-0000C27A0000}"/>
    <cellStyle name="40% - Accent5 2 3 3 4 2 2 2 2" xfId="52044" xr:uid="{00000000-0005-0000-0000-0000C37A0000}"/>
    <cellStyle name="40% - Accent5 2 3 3 4 2 2 3" xfId="39128" xr:uid="{00000000-0005-0000-0000-0000C47A0000}"/>
    <cellStyle name="40% - Accent5 2 3 3 4 2 3" xfId="19712" xr:uid="{00000000-0005-0000-0000-0000C57A0000}"/>
    <cellStyle name="40% - Accent5 2 3 3 4 2 3 2" xfId="45586" xr:uid="{00000000-0005-0000-0000-0000C67A0000}"/>
    <cellStyle name="40% - Accent5 2 3 3 4 2 4" xfId="32670" xr:uid="{00000000-0005-0000-0000-0000C77A0000}"/>
    <cellStyle name="40% - Accent5 2 3 3 4 3" xfId="10025" xr:uid="{00000000-0005-0000-0000-0000C87A0000}"/>
    <cellStyle name="40% - Accent5 2 3 3 4 3 2" xfId="22942" xr:uid="{00000000-0005-0000-0000-0000C97A0000}"/>
    <cellStyle name="40% - Accent5 2 3 3 4 3 2 2" xfId="48816" xr:uid="{00000000-0005-0000-0000-0000CA7A0000}"/>
    <cellStyle name="40% - Accent5 2 3 3 4 3 3" xfId="35900" xr:uid="{00000000-0005-0000-0000-0000CB7A0000}"/>
    <cellStyle name="40% - Accent5 2 3 3 4 4" xfId="16484" xr:uid="{00000000-0005-0000-0000-0000CC7A0000}"/>
    <cellStyle name="40% - Accent5 2 3 3 4 4 2" xfId="42358" xr:uid="{00000000-0005-0000-0000-0000CD7A0000}"/>
    <cellStyle name="40% - Accent5 2 3 3 4 5" xfId="29410" xr:uid="{00000000-0005-0000-0000-0000CE7A0000}"/>
    <cellStyle name="40% - Accent5 2 3 3 5" xfId="5180" xr:uid="{00000000-0005-0000-0000-0000CF7A0000}"/>
    <cellStyle name="40% - Accent5 2 3 3 5 2" xfId="11639" xr:uid="{00000000-0005-0000-0000-0000D07A0000}"/>
    <cellStyle name="40% - Accent5 2 3 3 5 2 2" xfId="24556" xr:uid="{00000000-0005-0000-0000-0000D17A0000}"/>
    <cellStyle name="40% - Accent5 2 3 3 5 2 2 2" xfId="50430" xr:uid="{00000000-0005-0000-0000-0000D27A0000}"/>
    <cellStyle name="40% - Accent5 2 3 3 5 2 3" xfId="37514" xr:uid="{00000000-0005-0000-0000-0000D37A0000}"/>
    <cellStyle name="40% - Accent5 2 3 3 5 3" xfId="18098" xr:uid="{00000000-0005-0000-0000-0000D47A0000}"/>
    <cellStyle name="40% - Accent5 2 3 3 5 3 2" xfId="43972" xr:uid="{00000000-0005-0000-0000-0000D57A0000}"/>
    <cellStyle name="40% - Accent5 2 3 3 5 4" xfId="31056" xr:uid="{00000000-0005-0000-0000-0000D67A0000}"/>
    <cellStyle name="40% - Accent5 2 3 3 6" xfId="8410" xr:uid="{00000000-0005-0000-0000-0000D77A0000}"/>
    <cellStyle name="40% - Accent5 2 3 3 6 2" xfId="21327" xr:uid="{00000000-0005-0000-0000-0000D87A0000}"/>
    <cellStyle name="40% - Accent5 2 3 3 6 2 2" xfId="47201" xr:uid="{00000000-0005-0000-0000-0000D97A0000}"/>
    <cellStyle name="40% - Accent5 2 3 3 6 3" xfId="34285" xr:uid="{00000000-0005-0000-0000-0000DA7A0000}"/>
    <cellStyle name="40% - Accent5 2 3 3 7" xfId="14869" xr:uid="{00000000-0005-0000-0000-0000DB7A0000}"/>
    <cellStyle name="40% - Accent5 2 3 3 7 2" xfId="40743" xr:uid="{00000000-0005-0000-0000-0000DC7A0000}"/>
    <cellStyle name="40% - Accent5 2 3 3 8" xfId="27795" xr:uid="{00000000-0005-0000-0000-0000DD7A0000}"/>
    <cellStyle name="40% - Accent5 2 3 3 9" xfId="53658" xr:uid="{00000000-0005-0000-0000-0000DE7A0000}"/>
    <cellStyle name="40% - Accent5 2 3 4" xfId="2104" xr:uid="{00000000-0005-0000-0000-0000DF7A0000}"/>
    <cellStyle name="40% - Accent5 2 3 4 2" xfId="2920" xr:uid="{00000000-0005-0000-0000-0000E07A0000}"/>
    <cellStyle name="40% - Accent5 2 3 4 2 2" xfId="4577" xr:uid="{00000000-0005-0000-0000-0000E17A0000}"/>
    <cellStyle name="40% - Accent5 2 3 4 2 2 2" xfId="7808" xr:uid="{00000000-0005-0000-0000-0000E27A0000}"/>
    <cellStyle name="40% - Accent5 2 3 4 2 2 2 2" xfId="14267" xr:uid="{00000000-0005-0000-0000-0000E37A0000}"/>
    <cellStyle name="40% - Accent5 2 3 4 2 2 2 2 2" xfId="27184" xr:uid="{00000000-0005-0000-0000-0000E47A0000}"/>
    <cellStyle name="40% - Accent5 2 3 4 2 2 2 2 2 2" xfId="53058" xr:uid="{00000000-0005-0000-0000-0000E57A0000}"/>
    <cellStyle name="40% - Accent5 2 3 4 2 2 2 2 3" xfId="40142" xr:uid="{00000000-0005-0000-0000-0000E67A0000}"/>
    <cellStyle name="40% - Accent5 2 3 4 2 2 2 3" xfId="20726" xr:uid="{00000000-0005-0000-0000-0000E77A0000}"/>
    <cellStyle name="40% - Accent5 2 3 4 2 2 2 3 2" xfId="46600" xr:uid="{00000000-0005-0000-0000-0000E87A0000}"/>
    <cellStyle name="40% - Accent5 2 3 4 2 2 2 4" xfId="33684" xr:uid="{00000000-0005-0000-0000-0000E97A0000}"/>
    <cellStyle name="40% - Accent5 2 3 4 2 2 3" xfId="11039" xr:uid="{00000000-0005-0000-0000-0000EA7A0000}"/>
    <cellStyle name="40% - Accent5 2 3 4 2 2 3 2" xfId="23956" xr:uid="{00000000-0005-0000-0000-0000EB7A0000}"/>
    <cellStyle name="40% - Accent5 2 3 4 2 2 3 2 2" xfId="49830" xr:uid="{00000000-0005-0000-0000-0000EC7A0000}"/>
    <cellStyle name="40% - Accent5 2 3 4 2 2 3 3" xfId="36914" xr:uid="{00000000-0005-0000-0000-0000ED7A0000}"/>
    <cellStyle name="40% - Accent5 2 3 4 2 2 4" xfId="17498" xr:uid="{00000000-0005-0000-0000-0000EE7A0000}"/>
    <cellStyle name="40% - Accent5 2 3 4 2 2 4 2" xfId="43372" xr:uid="{00000000-0005-0000-0000-0000EF7A0000}"/>
    <cellStyle name="40% - Accent5 2 3 4 2 2 5" xfId="30424" xr:uid="{00000000-0005-0000-0000-0000F07A0000}"/>
    <cellStyle name="40% - Accent5 2 3 4 2 3" xfId="6194" xr:uid="{00000000-0005-0000-0000-0000F17A0000}"/>
    <cellStyle name="40% - Accent5 2 3 4 2 3 2" xfId="12653" xr:uid="{00000000-0005-0000-0000-0000F27A0000}"/>
    <cellStyle name="40% - Accent5 2 3 4 2 3 2 2" xfId="25570" xr:uid="{00000000-0005-0000-0000-0000F37A0000}"/>
    <cellStyle name="40% - Accent5 2 3 4 2 3 2 2 2" xfId="51444" xr:uid="{00000000-0005-0000-0000-0000F47A0000}"/>
    <cellStyle name="40% - Accent5 2 3 4 2 3 2 3" xfId="38528" xr:uid="{00000000-0005-0000-0000-0000F57A0000}"/>
    <cellStyle name="40% - Accent5 2 3 4 2 3 3" xfId="19112" xr:uid="{00000000-0005-0000-0000-0000F67A0000}"/>
    <cellStyle name="40% - Accent5 2 3 4 2 3 3 2" xfId="44986" xr:uid="{00000000-0005-0000-0000-0000F77A0000}"/>
    <cellStyle name="40% - Accent5 2 3 4 2 3 4" xfId="32070" xr:uid="{00000000-0005-0000-0000-0000F87A0000}"/>
    <cellStyle name="40% - Accent5 2 3 4 2 4" xfId="9425" xr:uid="{00000000-0005-0000-0000-0000F97A0000}"/>
    <cellStyle name="40% - Accent5 2 3 4 2 4 2" xfId="22342" xr:uid="{00000000-0005-0000-0000-0000FA7A0000}"/>
    <cellStyle name="40% - Accent5 2 3 4 2 4 2 2" xfId="48216" xr:uid="{00000000-0005-0000-0000-0000FB7A0000}"/>
    <cellStyle name="40% - Accent5 2 3 4 2 4 3" xfId="35300" xr:uid="{00000000-0005-0000-0000-0000FC7A0000}"/>
    <cellStyle name="40% - Accent5 2 3 4 2 5" xfId="15884" xr:uid="{00000000-0005-0000-0000-0000FD7A0000}"/>
    <cellStyle name="40% - Accent5 2 3 4 2 5 2" xfId="41758" xr:uid="{00000000-0005-0000-0000-0000FE7A0000}"/>
    <cellStyle name="40% - Accent5 2 3 4 2 6" xfId="28810" xr:uid="{00000000-0005-0000-0000-0000FF7A0000}"/>
    <cellStyle name="40% - Accent5 2 3 4 3" xfId="3747" xr:uid="{00000000-0005-0000-0000-0000007B0000}"/>
    <cellStyle name="40% - Accent5 2 3 4 3 2" xfId="7001" xr:uid="{00000000-0005-0000-0000-0000017B0000}"/>
    <cellStyle name="40% - Accent5 2 3 4 3 2 2" xfId="13460" xr:uid="{00000000-0005-0000-0000-0000027B0000}"/>
    <cellStyle name="40% - Accent5 2 3 4 3 2 2 2" xfId="26377" xr:uid="{00000000-0005-0000-0000-0000037B0000}"/>
    <cellStyle name="40% - Accent5 2 3 4 3 2 2 2 2" xfId="52251" xr:uid="{00000000-0005-0000-0000-0000047B0000}"/>
    <cellStyle name="40% - Accent5 2 3 4 3 2 2 3" xfId="39335" xr:uid="{00000000-0005-0000-0000-0000057B0000}"/>
    <cellStyle name="40% - Accent5 2 3 4 3 2 3" xfId="19919" xr:uid="{00000000-0005-0000-0000-0000067B0000}"/>
    <cellStyle name="40% - Accent5 2 3 4 3 2 3 2" xfId="45793" xr:uid="{00000000-0005-0000-0000-0000077B0000}"/>
    <cellStyle name="40% - Accent5 2 3 4 3 2 4" xfId="32877" xr:uid="{00000000-0005-0000-0000-0000087B0000}"/>
    <cellStyle name="40% - Accent5 2 3 4 3 3" xfId="10232" xr:uid="{00000000-0005-0000-0000-0000097B0000}"/>
    <cellStyle name="40% - Accent5 2 3 4 3 3 2" xfId="23149" xr:uid="{00000000-0005-0000-0000-00000A7B0000}"/>
    <cellStyle name="40% - Accent5 2 3 4 3 3 2 2" xfId="49023" xr:uid="{00000000-0005-0000-0000-00000B7B0000}"/>
    <cellStyle name="40% - Accent5 2 3 4 3 3 3" xfId="36107" xr:uid="{00000000-0005-0000-0000-00000C7B0000}"/>
    <cellStyle name="40% - Accent5 2 3 4 3 4" xfId="16691" xr:uid="{00000000-0005-0000-0000-00000D7B0000}"/>
    <cellStyle name="40% - Accent5 2 3 4 3 4 2" xfId="42565" xr:uid="{00000000-0005-0000-0000-00000E7B0000}"/>
    <cellStyle name="40% - Accent5 2 3 4 3 5" xfId="29617" xr:uid="{00000000-0005-0000-0000-00000F7B0000}"/>
    <cellStyle name="40% - Accent5 2 3 4 4" xfId="5387" xr:uid="{00000000-0005-0000-0000-0000107B0000}"/>
    <cellStyle name="40% - Accent5 2 3 4 4 2" xfId="11846" xr:uid="{00000000-0005-0000-0000-0000117B0000}"/>
    <cellStyle name="40% - Accent5 2 3 4 4 2 2" xfId="24763" xr:uid="{00000000-0005-0000-0000-0000127B0000}"/>
    <cellStyle name="40% - Accent5 2 3 4 4 2 2 2" xfId="50637" xr:uid="{00000000-0005-0000-0000-0000137B0000}"/>
    <cellStyle name="40% - Accent5 2 3 4 4 2 3" xfId="37721" xr:uid="{00000000-0005-0000-0000-0000147B0000}"/>
    <cellStyle name="40% - Accent5 2 3 4 4 3" xfId="18305" xr:uid="{00000000-0005-0000-0000-0000157B0000}"/>
    <cellStyle name="40% - Accent5 2 3 4 4 3 2" xfId="44179" xr:uid="{00000000-0005-0000-0000-0000167B0000}"/>
    <cellStyle name="40% - Accent5 2 3 4 4 4" xfId="31263" xr:uid="{00000000-0005-0000-0000-0000177B0000}"/>
    <cellStyle name="40% - Accent5 2 3 4 5" xfId="8618" xr:uid="{00000000-0005-0000-0000-0000187B0000}"/>
    <cellStyle name="40% - Accent5 2 3 4 5 2" xfId="21535" xr:uid="{00000000-0005-0000-0000-0000197B0000}"/>
    <cellStyle name="40% - Accent5 2 3 4 5 2 2" xfId="47409" xr:uid="{00000000-0005-0000-0000-00001A7B0000}"/>
    <cellStyle name="40% - Accent5 2 3 4 5 3" xfId="34493" xr:uid="{00000000-0005-0000-0000-00001B7B0000}"/>
    <cellStyle name="40% - Accent5 2 3 4 6" xfId="15077" xr:uid="{00000000-0005-0000-0000-00001C7B0000}"/>
    <cellStyle name="40% - Accent5 2 3 4 6 2" xfId="40951" xr:uid="{00000000-0005-0000-0000-00001D7B0000}"/>
    <cellStyle name="40% - Accent5 2 3 4 7" xfId="28003" xr:uid="{00000000-0005-0000-0000-00001E7B0000}"/>
    <cellStyle name="40% - Accent5 2 3 4 8" xfId="53865" xr:uid="{00000000-0005-0000-0000-00001F7B0000}"/>
    <cellStyle name="40% - Accent5 2 3 5" xfId="2518" xr:uid="{00000000-0005-0000-0000-0000207B0000}"/>
    <cellStyle name="40% - Accent5 2 3 5 2" xfId="4175" xr:uid="{00000000-0005-0000-0000-0000217B0000}"/>
    <cellStyle name="40% - Accent5 2 3 5 2 2" xfId="7406" xr:uid="{00000000-0005-0000-0000-0000227B0000}"/>
    <cellStyle name="40% - Accent5 2 3 5 2 2 2" xfId="13865" xr:uid="{00000000-0005-0000-0000-0000237B0000}"/>
    <cellStyle name="40% - Accent5 2 3 5 2 2 2 2" xfId="26782" xr:uid="{00000000-0005-0000-0000-0000247B0000}"/>
    <cellStyle name="40% - Accent5 2 3 5 2 2 2 2 2" xfId="52656" xr:uid="{00000000-0005-0000-0000-0000257B0000}"/>
    <cellStyle name="40% - Accent5 2 3 5 2 2 2 3" xfId="39740" xr:uid="{00000000-0005-0000-0000-0000267B0000}"/>
    <cellStyle name="40% - Accent5 2 3 5 2 2 3" xfId="20324" xr:uid="{00000000-0005-0000-0000-0000277B0000}"/>
    <cellStyle name="40% - Accent5 2 3 5 2 2 3 2" xfId="46198" xr:uid="{00000000-0005-0000-0000-0000287B0000}"/>
    <cellStyle name="40% - Accent5 2 3 5 2 2 4" xfId="33282" xr:uid="{00000000-0005-0000-0000-0000297B0000}"/>
    <cellStyle name="40% - Accent5 2 3 5 2 3" xfId="10637" xr:uid="{00000000-0005-0000-0000-00002A7B0000}"/>
    <cellStyle name="40% - Accent5 2 3 5 2 3 2" xfId="23554" xr:uid="{00000000-0005-0000-0000-00002B7B0000}"/>
    <cellStyle name="40% - Accent5 2 3 5 2 3 2 2" xfId="49428" xr:uid="{00000000-0005-0000-0000-00002C7B0000}"/>
    <cellStyle name="40% - Accent5 2 3 5 2 3 3" xfId="36512" xr:uid="{00000000-0005-0000-0000-00002D7B0000}"/>
    <cellStyle name="40% - Accent5 2 3 5 2 4" xfId="17096" xr:uid="{00000000-0005-0000-0000-00002E7B0000}"/>
    <cellStyle name="40% - Accent5 2 3 5 2 4 2" xfId="42970" xr:uid="{00000000-0005-0000-0000-00002F7B0000}"/>
    <cellStyle name="40% - Accent5 2 3 5 2 5" xfId="30022" xr:uid="{00000000-0005-0000-0000-0000307B0000}"/>
    <cellStyle name="40% - Accent5 2 3 5 3" xfId="5792" xr:uid="{00000000-0005-0000-0000-0000317B0000}"/>
    <cellStyle name="40% - Accent5 2 3 5 3 2" xfId="12251" xr:uid="{00000000-0005-0000-0000-0000327B0000}"/>
    <cellStyle name="40% - Accent5 2 3 5 3 2 2" xfId="25168" xr:uid="{00000000-0005-0000-0000-0000337B0000}"/>
    <cellStyle name="40% - Accent5 2 3 5 3 2 2 2" xfId="51042" xr:uid="{00000000-0005-0000-0000-0000347B0000}"/>
    <cellStyle name="40% - Accent5 2 3 5 3 2 3" xfId="38126" xr:uid="{00000000-0005-0000-0000-0000357B0000}"/>
    <cellStyle name="40% - Accent5 2 3 5 3 3" xfId="18710" xr:uid="{00000000-0005-0000-0000-0000367B0000}"/>
    <cellStyle name="40% - Accent5 2 3 5 3 3 2" xfId="44584" xr:uid="{00000000-0005-0000-0000-0000377B0000}"/>
    <cellStyle name="40% - Accent5 2 3 5 3 4" xfId="31668" xr:uid="{00000000-0005-0000-0000-0000387B0000}"/>
    <cellStyle name="40% - Accent5 2 3 5 4" xfId="9023" xr:uid="{00000000-0005-0000-0000-0000397B0000}"/>
    <cellStyle name="40% - Accent5 2 3 5 4 2" xfId="21940" xr:uid="{00000000-0005-0000-0000-00003A7B0000}"/>
    <cellStyle name="40% - Accent5 2 3 5 4 2 2" xfId="47814" xr:uid="{00000000-0005-0000-0000-00003B7B0000}"/>
    <cellStyle name="40% - Accent5 2 3 5 4 3" xfId="34898" xr:uid="{00000000-0005-0000-0000-00003C7B0000}"/>
    <cellStyle name="40% - Accent5 2 3 5 5" xfId="15482" xr:uid="{00000000-0005-0000-0000-00003D7B0000}"/>
    <cellStyle name="40% - Accent5 2 3 5 5 2" xfId="41356" xr:uid="{00000000-0005-0000-0000-00003E7B0000}"/>
    <cellStyle name="40% - Accent5 2 3 5 6" xfId="28408" xr:uid="{00000000-0005-0000-0000-00003F7B0000}"/>
    <cellStyle name="40% - Accent5 2 3 6" xfId="3338" xr:uid="{00000000-0005-0000-0000-0000407B0000}"/>
    <cellStyle name="40% - Accent5 2 3 6 2" xfId="6599" xr:uid="{00000000-0005-0000-0000-0000417B0000}"/>
    <cellStyle name="40% - Accent5 2 3 6 2 2" xfId="13058" xr:uid="{00000000-0005-0000-0000-0000427B0000}"/>
    <cellStyle name="40% - Accent5 2 3 6 2 2 2" xfId="25975" xr:uid="{00000000-0005-0000-0000-0000437B0000}"/>
    <cellStyle name="40% - Accent5 2 3 6 2 2 2 2" xfId="51849" xr:uid="{00000000-0005-0000-0000-0000447B0000}"/>
    <cellStyle name="40% - Accent5 2 3 6 2 2 3" xfId="38933" xr:uid="{00000000-0005-0000-0000-0000457B0000}"/>
    <cellStyle name="40% - Accent5 2 3 6 2 3" xfId="19517" xr:uid="{00000000-0005-0000-0000-0000467B0000}"/>
    <cellStyle name="40% - Accent5 2 3 6 2 3 2" xfId="45391" xr:uid="{00000000-0005-0000-0000-0000477B0000}"/>
    <cellStyle name="40% - Accent5 2 3 6 2 4" xfId="32475" xr:uid="{00000000-0005-0000-0000-0000487B0000}"/>
    <cellStyle name="40% - Accent5 2 3 6 3" xfId="9830" xr:uid="{00000000-0005-0000-0000-0000497B0000}"/>
    <cellStyle name="40% - Accent5 2 3 6 3 2" xfId="22747" xr:uid="{00000000-0005-0000-0000-00004A7B0000}"/>
    <cellStyle name="40% - Accent5 2 3 6 3 2 2" xfId="48621" xr:uid="{00000000-0005-0000-0000-00004B7B0000}"/>
    <cellStyle name="40% - Accent5 2 3 6 3 3" xfId="35705" xr:uid="{00000000-0005-0000-0000-00004C7B0000}"/>
    <cellStyle name="40% - Accent5 2 3 6 4" xfId="16289" xr:uid="{00000000-0005-0000-0000-00004D7B0000}"/>
    <cellStyle name="40% - Accent5 2 3 6 4 2" xfId="42163" xr:uid="{00000000-0005-0000-0000-00004E7B0000}"/>
    <cellStyle name="40% - Accent5 2 3 6 5" xfId="29215" xr:uid="{00000000-0005-0000-0000-00004F7B0000}"/>
    <cellStyle name="40% - Accent5 2 3 7" xfId="4985" xr:uid="{00000000-0005-0000-0000-0000507B0000}"/>
    <cellStyle name="40% - Accent5 2 3 7 2" xfId="11444" xr:uid="{00000000-0005-0000-0000-0000517B0000}"/>
    <cellStyle name="40% - Accent5 2 3 7 2 2" xfId="24361" xr:uid="{00000000-0005-0000-0000-0000527B0000}"/>
    <cellStyle name="40% - Accent5 2 3 7 2 2 2" xfId="50235" xr:uid="{00000000-0005-0000-0000-0000537B0000}"/>
    <cellStyle name="40% - Accent5 2 3 7 2 3" xfId="37319" xr:uid="{00000000-0005-0000-0000-0000547B0000}"/>
    <cellStyle name="40% - Accent5 2 3 7 3" xfId="17903" xr:uid="{00000000-0005-0000-0000-0000557B0000}"/>
    <cellStyle name="40% - Accent5 2 3 7 3 2" xfId="43777" xr:uid="{00000000-0005-0000-0000-0000567B0000}"/>
    <cellStyle name="40% - Accent5 2 3 7 4" xfId="30861" xr:uid="{00000000-0005-0000-0000-0000577B0000}"/>
    <cellStyle name="40% - Accent5 2 3 8" xfId="8216" xr:uid="{00000000-0005-0000-0000-0000587B0000}"/>
    <cellStyle name="40% - Accent5 2 3 8 2" xfId="21133" xr:uid="{00000000-0005-0000-0000-0000597B0000}"/>
    <cellStyle name="40% - Accent5 2 3 8 2 2" xfId="47007" xr:uid="{00000000-0005-0000-0000-00005A7B0000}"/>
    <cellStyle name="40% - Accent5 2 3 8 3" xfId="34091" xr:uid="{00000000-0005-0000-0000-00005B7B0000}"/>
    <cellStyle name="40% - Accent5 2 3 9" xfId="14675" xr:uid="{00000000-0005-0000-0000-00005C7B0000}"/>
    <cellStyle name="40% - Accent5 2 3 9 2" xfId="40549" xr:uid="{00000000-0005-0000-0000-00005D7B0000}"/>
    <cellStyle name="40% - Accent5 2 4" xfId="1780" xr:uid="{00000000-0005-0000-0000-00005E7B0000}"/>
    <cellStyle name="40% - Accent5 2 4 2" xfId="2273" xr:uid="{00000000-0005-0000-0000-00005F7B0000}"/>
    <cellStyle name="40% - Accent5 2 4 2 2" xfId="3087" xr:uid="{00000000-0005-0000-0000-0000607B0000}"/>
    <cellStyle name="40% - Accent5 2 4 2 2 2" xfId="4744" xr:uid="{00000000-0005-0000-0000-0000617B0000}"/>
    <cellStyle name="40% - Accent5 2 4 2 2 2 2" xfId="7975" xr:uid="{00000000-0005-0000-0000-0000627B0000}"/>
    <cellStyle name="40% - Accent5 2 4 2 2 2 2 2" xfId="14434" xr:uid="{00000000-0005-0000-0000-0000637B0000}"/>
    <cellStyle name="40% - Accent5 2 4 2 2 2 2 2 2" xfId="27351" xr:uid="{00000000-0005-0000-0000-0000647B0000}"/>
    <cellStyle name="40% - Accent5 2 4 2 2 2 2 2 2 2" xfId="53225" xr:uid="{00000000-0005-0000-0000-0000657B0000}"/>
    <cellStyle name="40% - Accent5 2 4 2 2 2 2 2 3" xfId="40309" xr:uid="{00000000-0005-0000-0000-0000667B0000}"/>
    <cellStyle name="40% - Accent5 2 4 2 2 2 2 3" xfId="20893" xr:uid="{00000000-0005-0000-0000-0000677B0000}"/>
    <cellStyle name="40% - Accent5 2 4 2 2 2 2 3 2" xfId="46767" xr:uid="{00000000-0005-0000-0000-0000687B0000}"/>
    <cellStyle name="40% - Accent5 2 4 2 2 2 2 4" xfId="33851" xr:uid="{00000000-0005-0000-0000-0000697B0000}"/>
    <cellStyle name="40% - Accent5 2 4 2 2 2 3" xfId="11206" xr:uid="{00000000-0005-0000-0000-00006A7B0000}"/>
    <cellStyle name="40% - Accent5 2 4 2 2 2 3 2" xfId="24123" xr:uid="{00000000-0005-0000-0000-00006B7B0000}"/>
    <cellStyle name="40% - Accent5 2 4 2 2 2 3 2 2" xfId="49997" xr:uid="{00000000-0005-0000-0000-00006C7B0000}"/>
    <cellStyle name="40% - Accent5 2 4 2 2 2 3 3" xfId="37081" xr:uid="{00000000-0005-0000-0000-00006D7B0000}"/>
    <cellStyle name="40% - Accent5 2 4 2 2 2 4" xfId="17665" xr:uid="{00000000-0005-0000-0000-00006E7B0000}"/>
    <cellStyle name="40% - Accent5 2 4 2 2 2 4 2" xfId="43539" xr:uid="{00000000-0005-0000-0000-00006F7B0000}"/>
    <cellStyle name="40% - Accent5 2 4 2 2 2 5" xfId="30591" xr:uid="{00000000-0005-0000-0000-0000707B0000}"/>
    <cellStyle name="40% - Accent5 2 4 2 2 3" xfId="6361" xr:uid="{00000000-0005-0000-0000-0000717B0000}"/>
    <cellStyle name="40% - Accent5 2 4 2 2 3 2" xfId="12820" xr:uid="{00000000-0005-0000-0000-0000727B0000}"/>
    <cellStyle name="40% - Accent5 2 4 2 2 3 2 2" xfId="25737" xr:uid="{00000000-0005-0000-0000-0000737B0000}"/>
    <cellStyle name="40% - Accent5 2 4 2 2 3 2 2 2" xfId="51611" xr:uid="{00000000-0005-0000-0000-0000747B0000}"/>
    <cellStyle name="40% - Accent5 2 4 2 2 3 2 3" xfId="38695" xr:uid="{00000000-0005-0000-0000-0000757B0000}"/>
    <cellStyle name="40% - Accent5 2 4 2 2 3 3" xfId="19279" xr:uid="{00000000-0005-0000-0000-0000767B0000}"/>
    <cellStyle name="40% - Accent5 2 4 2 2 3 3 2" xfId="45153" xr:uid="{00000000-0005-0000-0000-0000777B0000}"/>
    <cellStyle name="40% - Accent5 2 4 2 2 3 4" xfId="32237" xr:uid="{00000000-0005-0000-0000-0000787B0000}"/>
    <cellStyle name="40% - Accent5 2 4 2 2 4" xfId="9592" xr:uid="{00000000-0005-0000-0000-0000797B0000}"/>
    <cellStyle name="40% - Accent5 2 4 2 2 4 2" xfId="22509" xr:uid="{00000000-0005-0000-0000-00007A7B0000}"/>
    <cellStyle name="40% - Accent5 2 4 2 2 4 2 2" xfId="48383" xr:uid="{00000000-0005-0000-0000-00007B7B0000}"/>
    <cellStyle name="40% - Accent5 2 4 2 2 4 3" xfId="35467" xr:uid="{00000000-0005-0000-0000-00007C7B0000}"/>
    <cellStyle name="40% - Accent5 2 4 2 2 5" xfId="16051" xr:uid="{00000000-0005-0000-0000-00007D7B0000}"/>
    <cellStyle name="40% - Accent5 2 4 2 2 5 2" xfId="41925" xr:uid="{00000000-0005-0000-0000-00007E7B0000}"/>
    <cellStyle name="40% - Accent5 2 4 2 2 6" xfId="28977" xr:uid="{00000000-0005-0000-0000-00007F7B0000}"/>
    <cellStyle name="40% - Accent5 2 4 2 3" xfId="3914" xr:uid="{00000000-0005-0000-0000-0000807B0000}"/>
    <cellStyle name="40% - Accent5 2 4 2 3 2" xfId="7168" xr:uid="{00000000-0005-0000-0000-0000817B0000}"/>
    <cellStyle name="40% - Accent5 2 4 2 3 2 2" xfId="13627" xr:uid="{00000000-0005-0000-0000-0000827B0000}"/>
    <cellStyle name="40% - Accent5 2 4 2 3 2 2 2" xfId="26544" xr:uid="{00000000-0005-0000-0000-0000837B0000}"/>
    <cellStyle name="40% - Accent5 2 4 2 3 2 2 2 2" xfId="52418" xr:uid="{00000000-0005-0000-0000-0000847B0000}"/>
    <cellStyle name="40% - Accent5 2 4 2 3 2 2 3" xfId="39502" xr:uid="{00000000-0005-0000-0000-0000857B0000}"/>
    <cellStyle name="40% - Accent5 2 4 2 3 2 3" xfId="20086" xr:uid="{00000000-0005-0000-0000-0000867B0000}"/>
    <cellStyle name="40% - Accent5 2 4 2 3 2 3 2" xfId="45960" xr:uid="{00000000-0005-0000-0000-0000877B0000}"/>
    <cellStyle name="40% - Accent5 2 4 2 3 2 4" xfId="33044" xr:uid="{00000000-0005-0000-0000-0000887B0000}"/>
    <cellStyle name="40% - Accent5 2 4 2 3 3" xfId="10399" xr:uid="{00000000-0005-0000-0000-0000897B0000}"/>
    <cellStyle name="40% - Accent5 2 4 2 3 3 2" xfId="23316" xr:uid="{00000000-0005-0000-0000-00008A7B0000}"/>
    <cellStyle name="40% - Accent5 2 4 2 3 3 2 2" xfId="49190" xr:uid="{00000000-0005-0000-0000-00008B7B0000}"/>
    <cellStyle name="40% - Accent5 2 4 2 3 3 3" xfId="36274" xr:uid="{00000000-0005-0000-0000-00008C7B0000}"/>
    <cellStyle name="40% - Accent5 2 4 2 3 4" xfId="16858" xr:uid="{00000000-0005-0000-0000-00008D7B0000}"/>
    <cellStyle name="40% - Accent5 2 4 2 3 4 2" xfId="42732" xr:uid="{00000000-0005-0000-0000-00008E7B0000}"/>
    <cellStyle name="40% - Accent5 2 4 2 3 5" xfId="29784" xr:uid="{00000000-0005-0000-0000-00008F7B0000}"/>
    <cellStyle name="40% - Accent5 2 4 2 4" xfId="5554" xr:uid="{00000000-0005-0000-0000-0000907B0000}"/>
    <cellStyle name="40% - Accent5 2 4 2 4 2" xfId="12013" xr:uid="{00000000-0005-0000-0000-0000917B0000}"/>
    <cellStyle name="40% - Accent5 2 4 2 4 2 2" xfId="24930" xr:uid="{00000000-0005-0000-0000-0000927B0000}"/>
    <cellStyle name="40% - Accent5 2 4 2 4 2 2 2" xfId="50804" xr:uid="{00000000-0005-0000-0000-0000937B0000}"/>
    <cellStyle name="40% - Accent5 2 4 2 4 2 3" xfId="37888" xr:uid="{00000000-0005-0000-0000-0000947B0000}"/>
    <cellStyle name="40% - Accent5 2 4 2 4 3" xfId="18472" xr:uid="{00000000-0005-0000-0000-0000957B0000}"/>
    <cellStyle name="40% - Accent5 2 4 2 4 3 2" xfId="44346" xr:uid="{00000000-0005-0000-0000-0000967B0000}"/>
    <cellStyle name="40% - Accent5 2 4 2 4 4" xfId="31430" xr:uid="{00000000-0005-0000-0000-0000977B0000}"/>
    <cellStyle name="40% - Accent5 2 4 2 5" xfId="8785" xr:uid="{00000000-0005-0000-0000-0000987B0000}"/>
    <cellStyle name="40% - Accent5 2 4 2 5 2" xfId="21702" xr:uid="{00000000-0005-0000-0000-0000997B0000}"/>
    <cellStyle name="40% - Accent5 2 4 2 5 2 2" xfId="47576" xr:uid="{00000000-0005-0000-0000-00009A7B0000}"/>
    <cellStyle name="40% - Accent5 2 4 2 5 3" xfId="34660" xr:uid="{00000000-0005-0000-0000-00009B7B0000}"/>
    <cellStyle name="40% - Accent5 2 4 2 6" xfId="15244" xr:uid="{00000000-0005-0000-0000-00009C7B0000}"/>
    <cellStyle name="40% - Accent5 2 4 2 6 2" xfId="41118" xr:uid="{00000000-0005-0000-0000-00009D7B0000}"/>
    <cellStyle name="40% - Accent5 2 4 2 7" xfId="28170" xr:uid="{00000000-0005-0000-0000-00009E7B0000}"/>
    <cellStyle name="40% - Accent5 2 4 2 8" xfId="54032" xr:uid="{00000000-0005-0000-0000-00009F7B0000}"/>
    <cellStyle name="40% - Accent5 2 4 3" xfId="2684" xr:uid="{00000000-0005-0000-0000-0000A07B0000}"/>
    <cellStyle name="40% - Accent5 2 4 3 2" xfId="4341" xr:uid="{00000000-0005-0000-0000-0000A17B0000}"/>
    <cellStyle name="40% - Accent5 2 4 3 2 2" xfId="7572" xr:uid="{00000000-0005-0000-0000-0000A27B0000}"/>
    <cellStyle name="40% - Accent5 2 4 3 2 2 2" xfId="14031" xr:uid="{00000000-0005-0000-0000-0000A37B0000}"/>
    <cellStyle name="40% - Accent5 2 4 3 2 2 2 2" xfId="26948" xr:uid="{00000000-0005-0000-0000-0000A47B0000}"/>
    <cellStyle name="40% - Accent5 2 4 3 2 2 2 2 2" xfId="52822" xr:uid="{00000000-0005-0000-0000-0000A57B0000}"/>
    <cellStyle name="40% - Accent5 2 4 3 2 2 2 3" xfId="39906" xr:uid="{00000000-0005-0000-0000-0000A67B0000}"/>
    <cellStyle name="40% - Accent5 2 4 3 2 2 3" xfId="20490" xr:uid="{00000000-0005-0000-0000-0000A77B0000}"/>
    <cellStyle name="40% - Accent5 2 4 3 2 2 3 2" xfId="46364" xr:uid="{00000000-0005-0000-0000-0000A87B0000}"/>
    <cellStyle name="40% - Accent5 2 4 3 2 2 4" xfId="33448" xr:uid="{00000000-0005-0000-0000-0000A97B0000}"/>
    <cellStyle name="40% - Accent5 2 4 3 2 3" xfId="10803" xr:uid="{00000000-0005-0000-0000-0000AA7B0000}"/>
    <cellStyle name="40% - Accent5 2 4 3 2 3 2" xfId="23720" xr:uid="{00000000-0005-0000-0000-0000AB7B0000}"/>
    <cellStyle name="40% - Accent5 2 4 3 2 3 2 2" xfId="49594" xr:uid="{00000000-0005-0000-0000-0000AC7B0000}"/>
    <cellStyle name="40% - Accent5 2 4 3 2 3 3" xfId="36678" xr:uid="{00000000-0005-0000-0000-0000AD7B0000}"/>
    <cellStyle name="40% - Accent5 2 4 3 2 4" xfId="17262" xr:uid="{00000000-0005-0000-0000-0000AE7B0000}"/>
    <cellStyle name="40% - Accent5 2 4 3 2 4 2" xfId="43136" xr:uid="{00000000-0005-0000-0000-0000AF7B0000}"/>
    <cellStyle name="40% - Accent5 2 4 3 2 5" xfId="30188" xr:uid="{00000000-0005-0000-0000-0000B07B0000}"/>
    <cellStyle name="40% - Accent5 2 4 3 3" xfId="5958" xr:uid="{00000000-0005-0000-0000-0000B17B0000}"/>
    <cellStyle name="40% - Accent5 2 4 3 3 2" xfId="12417" xr:uid="{00000000-0005-0000-0000-0000B27B0000}"/>
    <cellStyle name="40% - Accent5 2 4 3 3 2 2" xfId="25334" xr:uid="{00000000-0005-0000-0000-0000B37B0000}"/>
    <cellStyle name="40% - Accent5 2 4 3 3 2 2 2" xfId="51208" xr:uid="{00000000-0005-0000-0000-0000B47B0000}"/>
    <cellStyle name="40% - Accent5 2 4 3 3 2 3" xfId="38292" xr:uid="{00000000-0005-0000-0000-0000B57B0000}"/>
    <cellStyle name="40% - Accent5 2 4 3 3 3" xfId="18876" xr:uid="{00000000-0005-0000-0000-0000B67B0000}"/>
    <cellStyle name="40% - Accent5 2 4 3 3 3 2" xfId="44750" xr:uid="{00000000-0005-0000-0000-0000B77B0000}"/>
    <cellStyle name="40% - Accent5 2 4 3 3 4" xfId="31834" xr:uid="{00000000-0005-0000-0000-0000B87B0000}"/>
    <cellStyle name="40% - Accent5 2 4 3 4" xfId="9189" xr:uid="{00000000-0005-0000-0000-0000B97B0000}"/>
    <cellStyle name="40% - Accent5 2 4 3 4 2" xfId="22106" xr:uid="{00000000-0005-0000-0000-0000BA7B0000}"/>
    <cellStyle name="40% - Accent5 2 4 3 4 2 2" xfId="47980" xr:uid="{00000000-0005-0000-0000-0000BB7B0000}"/>
    <cellStyle name="40% - Accent5 2 4 3 4 3" xfId="35064" xr:uid="{00000000-0005-0000-0000-0000BC7B0000}"/>
    <cellStyle name="40% - Accent5 2 4 3 5" xfId="15648" xr:uid="{00000000-0005-0000-0000-0000BD7B0000}"/>
    <cellStyle name="40% - Accent5 2 4 3 5 2" xfId="41522" xr:uid="{00000000-0005-0000-0000-0000BE7B0000}"/>
    <cellStyle name="40% - Accent5 2 4 3 6" xfId="28574" xr:uid="{00000000-0005-0000-0000-0000BF7B0000}"/>
    <cellStyle name="40% - Accent5 2 4 4" xfId="3511" xr:uid="{00000000-0005-0000-0000-0000C07B0000}"/>
    <cellStyle name="40% - Accent5 2 4 4 2" xfId="6765" xr:uid="{00000000-0005-0000-0000-0000C17B0000}"/>
    <cellStyle name="40% - Accent5 2 4 4 2 2" xfId="13224" xr:uid="{00000000-0005-0000-0000-0000C27B0000}"/>
    <cellStyle name="40% - Accent5 2 4 4 2 2 2" xfId="26141" xr:uid="{00000000-0005-0000-0000-0000C37B0000}"/>
    <cellStyle name="40% - Accent5 2 4 4 2 2 2 2" xfId="52015" xr:uid="{00000000-0005-0000-0000-0000C47B0000}"/>
    <cellStyle name="40% - Accent5 2 4 4 2 2 3" xfId="39099" xr:uid="{00000000-0005-0000-0000-0000C57B0000}"/>
    <cellStyle name="40% - Accent5 2 4 4 2 3" xfId="19683" xr:uid="{00000000-0005-0000-0000-0000C67B0000}"/>
    <cellStyle name="40% - Accent5 2 4 4 2 3 2" xfId="45557" xr:uid="{00000000-0005-0000-0000-0000C77B0000}"/>
    <cellStyle name="40% - Accent5 2 4 4 2 4" xfId="32641" xr:uid="{00000000-0005-0000-0000-0000C87B0000}"/>
    <cellStyle name="40% - Accent5 2 4 4 3" xfId="9996" xr:uid="{00000000-0005-0000-0000-0000C97B0000}"/>
    <cellStyle name="40% - Accent5 2 4 4 3 2" xfId="22913" xr:uid="{00000000-0005-0000-0000-0000CA7B0000}"/>
    <cellStyle name="40% - Accent5 2 4 4 3 2 2" xfId="48787" xr:uid="{00000000-0005-0000-0000-0000CB7B0000}"/>
    <cellStyle name="40% - Accent5 2 4 4 3 3" xfId="35871" xr:uid="{00000000-0005-0000-0000-0000CC7B0000}"/>
    <cellStyle name="40% - Accent5 2 4 4 4" xfId="16455" xr:uid="{00000000-0005-0000-0000-0000CD7B0000}"/>
    <cellStyle name="40% - Accent5 2 4 4 4 2" xfId="42329" xr:uid="{00000000-0005-0000-0000-0000CE7B0000}"/>
    <cellStyle name="40% - Accent5 2 4 4 5" xfId="29381" xr:uid="{00000000-0005-0000-0000-0000CF7B0000}"/>
    <cellStyle name="40% - Accent5 2 4 5" xfId="5151" xr:uid="{00000000-0005-0000-0000-0000D07B0000}"/>
    <cellStyle name="40% - Accent5 2 4 5 2" xfId="11610" xr:uid="{00000000-0005-0000-0000-0000D17B0000}"/>
    <cellStyle name="40% - Accent5 2 4 5 2 2" xfId="24527" xr:uid="{00000000-0005-0000-0000-0000D27B0000}"/>
    <cellStyle name="40% - Accent5 2 4 5 2 2 2" xfId="50401" xr:uid="{00000000-0005-0000-0000-0000D37B0000}"/>
    <cellStyle name="40% - Accent5 2 4 5 2 3" xfId="37485" xr:uid="{00000000-0005-0000-0000-0000D47B0000}"/>
    <cellStyle name="40% - Accent5 2 4 5 3" xfId="18069" xr:uid="{00000000-0005-0000-0000-0000D57B0000}"/>
    <cellStyle name="40% - Accent5 2 4 5 3 2" xfId="43943" xr:uid="{00000000-0005-0000-0000-0000D67B0000}"/>
    <cellStyle name="40% - Accent5 2 4 5 4" xfId="31027" xr:uid="{00000000-0005-0000-0000-0000D77B0000}"/>
    <cellStyle name="40% - Accent5 2 4 6" xfId="8381" xr:uid="{00000000-0005-0000-0000-0000D87B0000}"/>
    <cellStyle name="40% - Accent5 2 4 6 2" xfId="21298" xr:uid="{00000000-0005-0000-0000-0000D97B0000}"/>
    <cellStyle name="40% - Accent5 2 4 6 2 2" xfId="47172" xr:uid="{00000000-0005-0000-0000-0000DA7B0000}"/>
    <cellStyle name="40% - Accent5 2 4 6 3" xfId="34256" xr:uid="{00000000-0005-0000-0000-0000DB7B0000}"/>
    <cellStyle name="40% - Accent5 2 4 7" xfId="14840" xr:uid="{00000000-0005-0000-0000-0000DC7B0000}"/>
    <cellStyle name="40% - Accent5 2 4 7 2" xfId="40714" xr:uid="{00000000-0005-0000-0000-0000DD7B0000}"/>
    <cellStyle name="40% - Accent5 2 4 8" xfId="27766" xr:uid="{00000000-0005-0000-0000-0000DE7B0000}"/>
    <cellStyle name="40% - Accent5 2 4 9" xfId="53629" xr:uid="{00000000-0005-0000-0000-0000DF7B0000}"/>
    <cellStyle name="40% - Accent5 2 5" xfId="2078" xr:uid="{00000000-0005-0000-0000-0000E07B0000}"/>
    <cellStyle name="40% - Accent5 2 5 2" xfId="2896" xr:uid="{00000000-0005-0000-0000-0000E17B0000}"/>
    <cellStyle name="40% - Accent5 2 5 2 2" xfId="4553" xr:uid="{00000000-0005-0000-0000-0000E27B0000}"/>
    <cellStyle name="40% - Accent5 2 5 2 2 2" xfId="7784" xr:uid="{00000000-0005-0000-0000-0000E37B0000}"/>
    <cellStyle name="40% - Accent5 2 5 2 2 2 2" xfId="14243" xr:uid="{00000000-0005-0000-0000-0000E47B0000}"/>
    <cellStyle name="40% - Accent5 2 5 2 2 2 2 2" xfId="27160" xr:uid="{00000000-0005-0000-0000-0000E57B0000}"/>
    <cellStyle name="40% - Accent5 2 5 2 2 2 2 2 2" xfId="53034" xr:uid="{00000000-0005-0000-0000-0000E67B0000}"/>
    <cellStyle name="40% - Accent5 2 5 2 2 2 2 3" xfId="40118" xr:uid="{00000000-0005-0000-0000-0000E77B0000}"/>
    <cellStyle name="40% - Accent5 2 5 2 2 2 3" xfId="20702" xr:uid="{00000000-0005-0000-0000-0000E87B0000}"/>
    <cellStyle name="40% - Accent5 2 5 2 2 2 3 2" xfId="46576" xr:uid="{00000000-0005-0000-0000-0000E97B0000}"/>
    <cellStyle name="40% - Accent5 2 5 2 2 2 4" xfId="33660" xr:uid="{00000000-0005-0000-0000-0000EA7B0000}"/>
    <cellStyle name="40% - Accent5 2 5 2 2 3" xfId="11015" xr:uid="{00000000-0005-0000-0000-0000EB7B0000}"/>
    <cellStyle name="40% - Accent5 2 5 2 2 3 2" xfId="23932" xr:uid="{00000000-0005-0000-0000-0000EC7B0000}"/>
    <cellStyle name="40% - Accent5 2 5 2 2 3 2 2" xfId="49806" xr:uid="{00000000-0005-0000-0000-0000ED7B0000}"/>
    <cellStyle name="40% - Accent5 2 5 2 2 3 3" xfId="36890" xr:uid="{00000000-0005-0000-0000-0000EE7B0000}"/>
    <cellStyle name="40% - Accent5 2 5 2 2 4" xfId="17474" xr:uid="{00000000-0005-0000-0000-0000EF7B0000}"/>
    <cellStyle name="40% - Accent5 2 5 2 2 4 2" xfId="43348" xr:uid="{00000000-0005-0000-0000-0000F07B0000}"/>
    <cellStyle name="40% - Accent5 2 5 2 2 5" xfId="30400" xr:uid="{00000000-0005-0000-0000-0000F17B0000}"/>
    <cellStyle name="40% - Accent5 2 5 2 3" xfId="6170" xr:uid="{00000000-0005-0000-0000-0000F27B0000}"/>
    <cellStyle name="40% - Accent5 2 5 2 3 2" xfId="12629" xr:uid="{00000000-0005-0000-0000-0000F37B0000}"/>
    <cellStyle name="40% - Accent5 2 5 2 3 2 2" xfId="25546" xr:uid="{00000000-0005-0000-0000-0000F47B0000}"/>
    <cellStyle name="40% - Accent5 2 5 2 3 2 2 2" xfId="51420" xr:uid="{00000000-0005-0000-0000-0000F57B0000}"/>
    <cellStyle name="40% - Accent5 2 5 2 3 2 3" xfId="38504" xr:uid="{00000000-0005-0000-0000-0000F67B0000}"/>
    <cellStyle name="40% - Accent5 2 5 2 3 3" xfId="19088" xr:uid="{00000000-0005-0000-0000-0000F77B0000}"/>
    <cellStyle name="40% - Accent5 2 5 2 3 3 2" xfId="44962" xr:uid="{00000000-0005-0000-0000-0000F87B0000}"/>
    <cellStyle name="40% - Accent5 2 5 2 3 4" xfId="32046" xr:uid="{00000000-0005-0000-0000-0000F97B0000}"/>
    <cellStyle name="40% - Accent5 2 5 2 4" xfId="9401" xr:uid="{00000000-0005-0000-0000-0000FA7B0000}"/>
    <cellStyle name="40% - Accent5 2 5 2 4 2" xfId="22318" xr:uid="{00000000-0005-0000-0000-0000FB7B0000}"/>
    <cellStyle name="40% - Accent5 2 5 2 4 2 2" xfId="48192" xr:uid="{00000000-0005-0000-0000-0000FC7B0000}"/>
    <cellStyle name="40% - Accent5 2 5 2 4 3" xfId="35276" xr:uid="{00000000-0005-0000-0000-0000FD7B0000}"/>
    <cellStyle name="40% - Accent5 2 5 2 5" xfId="15860" xr:uid="{00000000-0005-0000-0000-0000FE7B0000}"/>
    <cellStyle name="40% - Accent5 2 5 2 5 2" xfId="41734" xr:uid="{00000000-0005-0000-0000-0000FF7B0000}"/>
    <cellStyle name="40% - Accent5 2 5 2 6" xfId="28786" xr:uid="{00000000-0005-0000-0000-0000007C0000}"/>
    <cellStyle name="40% - Accent5 2 5 3" xfId="3723" xr:uid="{00000000-0005-0000-0000-0000017C0000}"/>
    <cellStyle name="40% - Accent5 2 5 3 2" xfId="6977" xr:uid="{00000000-0005-0000-0000-0000027C0000}"/>
    <cellStyle name="40% - Accent5 2 5 3 2 2" xfId="13436" xr:uid="{00000000-0005-0000-0000-0000037C0000}"/>
    <cellStyle name="40% - Accent5 2 5 3 2 2 2" xfId="26353" xr:uid="{00000000-0005-0000-0000-0000047C0000}"/>
    <cellStyle name="40% - Accent5 2 5 3 2 2 2 2" xfId="52227" xr:uid="{00000000-0005-0000-0000-0000057C0000}"/>
    <cellStyle name="40% - Accent5 2 5 3 2 2 3" xfId="39311" xr:uid="{00000000-0005-0000-0000-0000067C0000}"/>
    <cellStyle name="40% - Accent5 2 5 3 2 3" xfId="19895" xr:uid="{00000000-0005-0000-0000-0000077C0000}"/>
    <cellStyle name="40% - Accent5 2 5 3 2 3 2" xfId="45769" xr:uid="{00000000-0005-0000-0000-0000087C0000}"/>
    <cellStyle name="40% - Accent5 2 5 3 2 4" xfId="32853" xr:uid="{00000000-0005-0000-0000-0000097C0000}"/>
    <cellStyle name="40% - Accent5 2 5 3 3" xfId="10208" xr:uid="{00000000-0005-0000-0000-00000A7C0000}"/>
    <cellStyle name="40% - Accent5 2 5 3 3 2" xfId="23125" xr:uid="{00000000-0005-0000-0000-00000B7C0000}"/>
    <cellStyle name="40% - Accent5 2 5 3 3 2 2" xfId="48999" xr:uid="{00000000-0005-0000-0000-00000C7C0000}"/>
    <cellStyle name="40% - Accent5 2 5 3 3 3" xfId="36083" xr:uid="{00000000-0005-0000-0000-00000D7C0000}"/>
    <cellStyle name="40% - Accent5 2 5 3 4" xfId="16667" xr:uid="{00000000-0005-0000-0000-00000E7C0000}"/>
    <cellStyle name="40% - Accent5 2 5 3 4 2" xfId="42541" xr:uid="{00000000-0005-0000-0000-00000F7C0000}"/>
    <cellStyle name="40% - Accent5 2 5 3 5" xfId="29593" xr:uid="{00000000-0005-0000-0000-0000107C0000}"/>
    <cellStyle name="40% - Accent5 2 5 4" xfId="5363" xr:uid="{00000000-0005-0000-0000-0000117C0000}"/>
    <cellStyle name="40% - Accent5 2 5 4 2" xfId="11822" xr:uid="{00000000-0005-0000-0000-0000127C0000}"/>
    <cellStyle name="40% - Accent5 2 5 4 2 2" xfId="24739" xr:uid="{00000000-0005-0000-0000-0000137C0000}"/>
    <cellStyle name="40% - Accent5 2 5 4 2 2 2" xfId="50613" xr:uid="{00000000-0005-0000-0000-0000147C0000}"/>
    <cellStyle name="40% - Accent5 2 5 4 2 3" xfId="37697" xr:uid="{00000000-0005-0000-0000-0000157C0000}"/>
    <cellStyle name="40% - Accent5 2 5 4 3" xfId="18281" xr:uid="{00000000-0005-0000-0000-0000167C0000}"/>
    <cellStyle name="40% - Accent5 2 5 4 3 2" xfId="44155" xr:uid="{00000000-0005-0000-0000-0000177C0000}"/>
    <cellStyle name="40% - Accent5 2 5 4 4" xfId="31239" xr:uid="{00000000-0005-0000-0000-0000187C0000}"/>
    <cellStyle name="40% - Accent5 2 5 5" xfId="8594" xr:uid="{00000000-0005-0000-0000-0000197C0000}"/>
    <cellStyle name="40% - Accent5 2 5 5 2" xfId="21511" xr:uid="{00000000-0005-0000-0000-00001A7C0000}"/>
    <cellStyle name="40% - Accent5 2 5 5 2 2" xfId="47385" xr:uid="{00000000-0005-0000-0000-00001B7C0000}"/>
    <cellStyle name="40% - Accent5 2 5 5 3" xfId="34469" xr:uid="{00000000-0005-0000-0000-00001C7C0000}"/>
    <cellStyle name="40% - Accent5 2 5 6" xfId="15053" xr:uid="{00000000-0005-0000-0000-00001D7C0000}"/>
    <cellStyle name="40% - Accent5 2 5 6 2" xfId="40927" xr:uid="{00000000-0005-0000-0000-00001E7C0000}"/>
    <cellStyle name="40% - Accent5 2 5 7" xfId="27979" xr:uid="{00000000-0005-0000-0000-00001F7C0000}"/>
    <cellStyle name="40% - Accent5 2 5 8" xfId="53841" xr:uid="{00000000-0005-0000-0000-0000207C0000}"/>
    <cellStyle name="40% - Accent5 2 6" xfId="2489" xr:uid="{00000000-0005-0000-0000-0000217C0000}"/>
    <cellStyle name="40% - Accent5 2 6 2" xfId="4146" xr:uid="{00000000-0005-0000-0000-0000227C0000}"/>
    <cellStyle name="40% - Accent5 2 6 2 2" xfId="7377" xr:uid="{00000000-0005-0000-0000-0000237C0000}"/>
    <cellStyle name="40% - Accent5 2 6 2 2 2" xfId="13836" xr:uid="{00000000-0005-0000-0000-0000247C0000}"/>
    <cellStyle name="40% - Accent5 2 6 2 2 2 2" xfId="26753" xr:uid="{00000000-0005-0000-0000-0000257C0000}"/>
    <cellStyle name="40% - Accent5 2 6 2 2 2 2 2" xfId="52627" xr:uid="{00000000-0005-0000-0000-0000267C0000}"/>
    <cellStyle name="40% - Accent5 2 6 2 2 2 3" xfId="39711" xr:uid="{00000000-0005-0000-0000-0000277C0000}"/>
    <cellStyle name="40% - Accent5 2 6 2 2 3" xfId="20295" xr:uid="{00000000-0005-0000-0000-0000287C0000}"/>
    <cellStyle name="40% - Accent5 2 6 2 2 3 2" xfId="46169" xr:uid="{00000000-0005-0000-0000-0000297C0000}"/>
    <cellStyle name="40% - Accent5 2 6 2 2 4" xfId="33253" xr:uid="{00000000-0005-0000-0000-00002A7C0000}"/>
    <cellStyle name="40% - Accent5 2 6 2 3" xfId="10608" xr:uid="{00000000-0005-0000-0000-00002B7C0000}"/>
    <cellStyle name="40% - Accent5 2 6 2 3 2" xfId="23525" xr:uid="{00000000-0005-0000-0000-00002C7C0000}"/>
    <cellStyle name="40% - Accent5 2 6 2 3 2 2" xfId="49399" xr:uid="{00000000-0005-0000-0000-00002D7C0000}"/>
    <cellStyle name="40% - Accent5 2 6 2 3 3" xfId="36483" xr:uid="{00000000-0005-0000-0000-00002E7C0000}"/>
    <cellStyle name="40% - Accent5 2 6 2 4" xfId="17067" xr:uid="{00000000-0005-0000-0000-00002F7C0000}"/>
    <cellStyle name="40% - Accent5 2 6 2 4 2" xfId="42941" xr:uid="{00000000-0005-0000-0000-0000307C0000}"/>
    <cellStyle name="40% - Accent5 2 6 2 5" xfId="29993" xr:uid="{00000000-0005-0000-0000-0000317C0000}"/>
    <cellStyle name="40% - Accent5 2 6 3" xfId="5763" xr:uid="{00000000-0005-0000-0000-0000327C0000}"/>
    <cellStyle name="40% - Accent5 2 6 3 2" xfId="12222" xr:uid="{00000000-0005-0000-0000-0000337C0000}"/>
    <cellStyle name="40% - Accent5 2 6 3 2 2" xfId="25139" xr:uid="{00000000-0005-0000-0000-0000347C0000}"/>
    <cellStyle name="40% - Accent5 2 6 3 2 2 2" xfId="51013" xr:uid="{00000000-0005-0000-0000-0000357C0000}"/>
    <cellStyle name="40% - Accent5 2 6 3 2 3" xfId="38097" xr:uid="{00000000-0005-0000-0000-0000367C0000}"/>
    <cellStyle name="40% - Accent5 2 6 3 3" xfId="18681" xr:uid="{00000000-0005-0000-0000-0000377C0000}"/>
    <cellStyle name="40% - Accent5 2 6 3 3 2" xfId="44555" xr:uid="{00000000-0005-0000-0000-0000387C0000}"/>
    <cellStyle name="40% - Accent5 2 6 3 4" xfId="31639" xr:uid="{00000000-0005-0000-0000-0000397C0000}"/>
    <cellStyle name="40% - Accent5 2 6 4" xfId="8994" xr:uid="{00000000-0005-0000-0000-00003A7C0000}"/>
    <cellStyle name="40% - Accent5 2 6 4 2" xfId="21911" xr:uid="{00000000-0005-0000-0000-00003B7C0000}"/>
    <cellStyle name="40% - Accent5 2 6 4 2 2" xfId="47785" xr:uid="{00000000-0005-0000-0000-00003C7C0000}"/>
    <cellStyle name="40% - Accent5 2 6 4 3" xfId="34869" xr:uid="{00000000-0005-0000-0000-00003D7C0000}"/>
    <cellStyle name="40% - Accent5 2 6 5" xfId="15453" xr:uid="{00000000-0005-0000-0000-00003E7C0000}"/>
    <cellStyle name="40% - Accent5 2 6 5 2" xfId="41327" xr:uid="{00000000-0005-0000-0000-00003F7C0000}"/>
    <cellStyle name="40% - Accent5 2 6 6" xfId="28379" xr:uid="{00000000-0005-0000-0000-0000407C0000}"/>
    <cellStyle name="40% - Accent5 2 7" xfId="3298" xr:uid="{00000000-0005-0000-0000-0000417C0000}"/>
    <cellStyle name="40% - Accent5 2 7 2" xfId="6570" xr:uid="{00000000-0005-0000-0000-0000427C0000}"/>
    <cellStyle name="40% - Accent5 2 7 2 2" xfId="13029" xr:uid="{00000000-0005-0000-0000-0000437C0000}"/>
    <cellStyle name="40% - Accent5 2 7 2 2 2" xfId="25946" xr:uid="{00000000-0005-0000-0000-0000447C0000}"/>
    <cellStyle name="40% - Accent5 2 7 2 2 2 2" xfId="51820" xr:uid="{00000000-0005-0000-0000-0000457C0000}"/>
    <cellStyle name="40% - Accent5 2 7 2 2 3" xfId="38904" xr:uid="{00000000-0005-0000-0000-0000467C0000}"/>
    <cellStyle name="40% - Accent5 2 7 2 3" xfId="19488" xr:uid="{00000000-0005-0000-0000-0000477C0000}"/>
    <cellStyle name="40% - Accent5 2 7 2 3 2" xfId="45362" xr:uid="{00000000-0005-0000-0000-0000487C0000}"/>
    <cellStyle name="40% - Accent5 2 7 2 4" xfId="32446" xr:uid="{00000000-0005-0000-0000-0000497C0000}"/>
    <cellStyle name="40% - Accent5 2 7 3" xfId="9801" xr:uid="{00000000-0005-0000-0000-00004A7C0000}"/>
    <cellStyle name="40% - Accent5 2 7 3 2" xfId="22718" xr:uid="{00000000-0005-0000-0000-00004B7C0000}"/>
    <cellStyle name="40% - Accent5 2 7 3 2 2" xfId="48592" xr:uid="{00000000-0005-0000-0000-00004C7C0000}"/>
    <cellStyle name="40% - Accent5 2 7 3 3" xfId="35676" xr:uid="{00000000-0005-0000-0000-00004D7C0000}"/>
    <cellStyle name="40% - Accent5 2 7 4" xfId="16260" xr:uid="{00000000-0005-0000-0000-00004E7C0000}"/>
    <cellStyle name="40% - Accent5 2 7 4 2" xfId="42134" xr:uid="{00000000-0005-0000-0000-00004F7C0000}"/>
    <cellStyle name="40% - Accent5 2 7 5" xfId="29186" xr:uid="{00000000-0005-0000-0000-0000507C0000}"/>
    <cellStyle name="40% - Accent5 2 8" xfId="4956" xr:uid="{00000000-0005-0000-0000-0000517C0000}"/>
    <cellStyle name="40% - Accent5 2 8 2" xfId="11415" xr:uid="{00000000-0005-0000-0000-0000527C0000}"/>
    <cellStyle name="40% - Accent5 2 8 2 2" xfId="24332" xr:uid="{00000000-0005-0000-0000-0000537C0000}"/>
    <cellStyle name="40% - Accent5 2 8 2 2 2" xfId="50206" xr:uid="{00000000-0005-0000-0000-0000547C0000}"/>
    <cellStyle name="40% - Accent5 2 8 2 3" xfId="37290" xr:uid="{00000000-0005-0000-0000-0000557C0000}"/>
    <cellStyle name="40% - Accent5 2 8 3" xfId="17874" xr:uid="{00000000-0005-0000-0000-0000567C0000}"/>
    <cellStyle name="40% - Accent5 2 8 3 2" xfId="43748" xr:uid="{00000000-0005-0000-0000-0000577C0000}"/>
    <cellStyle name="40% - Accent5 2 8 4" xfId="30832" xr:uid="{00000000-0005-0000-0000-0000587C0000}"/>
    <cellStyle name="40% - Accent5 2 9" xfId="8184" xr:uid="{00000000-0005-0000-0000-0000597C0000}"/>
    <cellStyle name="40% - Accent5 2 9 2" xfId="21102" xr:uid="{00000000-0005-0000-0000-00005A7C0000}"/>
    <cellStyle name="40% - Accent5 2 9 2 2" xfId="46976" xr:uid="{00000000-0005-0000-0000-00005B7C0000}"/>
    <cellStyle name="40% - Accent5 2 9 3" xfId="34060" xr:uid="{00000000-0005-0000-0000-00005C7C0000}"/>
    <cellStyle name="40% - Accent5 20" xfId="30789" xr:uid="{00000000-0005-0000-0000-00005D7C0000}"/>
    <cellStyle name="40% - Accent5 21" xfId="53421" xr:uid="{00000000-0005-0000-0000-00005E7C0000}"/>
    <cellStyle name="40% - Accent5 22" xfId="84" xr:uid="{00000000-0005-0000-0000-00005F7C0000}"/>
    <cellStyle name="40% - Accent5 3" xfId="261" xr:uid="{00000000-0005-0000-0000-0000607C0000}"/>
    <cellStyle name="40% - Accent5 3 2" xfId="360" xr:uid="{00000000-0005-0000-0000-0000617C0000}"/>
    <cellStyle name="40% - Accent5 3 2 10" xfId="53546" xr:uid="{00000000-0005-0000-0000-0000627C0000}"/>
    <cellStyle name="40% - Accent5 3 2 11" xfId="1630" xr:uid="{00000000-0005-0000-0000-0000637C0000}"/>
    <cellStyle name="40% - Accent5 3 2 2" xfId="471" xr:uid="{00000000-0005-0000-0000-0000647C0000}"/>
    <cellStyle name="40% - Accent5 3 2 2 10" xfId="1955" xr:uid="{00000000-0005-0000-0000-0000657C0000}"/>
    <cellStyle name="40% - Accent5 3 2 2 2" xfId="758" xr:uid="{00000000-0005-0000-0000-0000667C0000}"/>
    <cellStyle name="40% - Accent5 3 2 2 2 2" xfId="3199" xr:uid="{00000000-0005-0000-0000-0000677C0000}"/>
    <cellStyle name="40% - Accent5 3 2 2 2 2 2" xfId="4856" xr:uid="{00000000-0005-0000-0000-0000687C0000}"/>
    <cellStyle name="40% - Accent5 3 2 2 2 2 2 2" xfId="8087" xr:uid="{00000000-0005-0000-0000-0000697C0000}"/>
    <cellStyle name="40% - Accent5 3 2 2 2 2 2 2 2" xfId="14546" xr:uid="{00000000-0005-0000-0000-00006A7C0000}"/>
    <cellStyle name="40% - Accent5 3 2 2 2 2 2 2 2 2" xfId="27463" xr:uid="{00000000-0005-0000-0000-00006B7C0000}"/>
    <cellStyle name="40% - Accent5 3 2 2 2 2 2 2 2 2 2" xfId="53337" xr:uid="{00000000-0005-0000-0000-00006C7C0000}"/>
    <cellStyle name="40% - Accent5 3 2 2 2 2 2 2 2 3" xfId="40421" xr:uid="{00000000-0005-0000-0000-00006D7C0000}"/>
    <cellStyle name="40% - Accent5 3 2 2 2 2 2 2 3" xfId="21005" xr:uid="{00000000-0005-0000-0000-00006E7C0000}"/>
    <cellStyle name="40% - Accent5 3 2 2 2 2 2 2 3 2" xfId="46879" xr:uid="{00000000-0005-0000-0000-00006F7C0000}"/>
    <cellStyle name="40% - Accent5 3 2 2 2 2 2 2 4" xfId="33963" xr:uid="{00000000-0005-0000-0000-0000707C0000}"/>
    <cellStyle name="40% - Accent5 3 2 2 2 2 2 3" xfId="11318" xr:uid="{00000000-0005-0000-0000-0000717C0000}"/>
    <cellStyle name="40% - Accent5 3 2 2 2 2 2 3 2" xfId="24235" xr:uid="{00000000-0005-0000-0000-0000727C0000}"/>
    <cellStyle name="40% - Accent5 3 2 2 2 2 2 3 2 2" xfId="50109" xr:uid="{00000000-0005-0000-0000-0000737C0000}"/>
    <cellStyle name="40% - Accent5 3 2 2 2 2 2 3 3" xfId="37193" xr:uid="{00000000-0005-0000-0000-0000747C0000}"/>
    <cellStyle name="40% - Accent5 3 2 2 2 2 2 4" xfId="17777" xr:uid="{00000000-0005-0000-0000-0000757C0000}"/>
    <cellStyle name="40% - Accent5 3 2 2 2 2 2 4 2" xfId="43651" xr:uid="{00000000-0005-0000-0000-0000767C0000}"/>
    <cellStyle name="40% - Accent5 3 2 2 2 2 2 5" xfId="30703" xr:uid="{00000000-0005-0000-0000-0000777C0000}"/>
    <cellStyle name="40% - Accent5 3 2 2 2 2 3" xfId="6473" xr:uid="{00000000-0005-0000-0000-0000787C0000}"/>
    <cellStyle name="40% - Accent5 3 2 2 2 2 3 2" xfId="12932" xr:uid="{00000000-0005-0000-0000-0000797C0000}"/>
    <cellStyle name="40% - Accent5 3 2 2 2 2 3 2 2" xfId="25849" xr:uid="{00000000-0005-0000-0000-00007A7C0000}"/>
    <cellStyle name="40% - Accent5 3 2 2 2 2 3 2 2 2" xfId="51723" xr:uid="{00000000-0005-0000-0000-00007B7C0000}"/>
    <cellStyle name="40% - Accent5 3 2 2 2 2 3 2 3" xfId="38807" xr:uid="{00000000-0005-0000-0000-00007C7C0000}"/>
    <cellStyle name="40% - Accent5 3 2 2 2 2 3 3" xfId="19391" xr:uid="{00000000-0005-0000-0000-00007D7C0000}"/>
    <cellStyle name="40% - Accent5 3 2 2 2 2 3 3 2" xfId="45265" xr:uid="{00000000-0005-0000-0000-00007E7C0000}"/>
    <cellStyle name="40% - Accent5 3 2 2 2 2 3 4" xfId="32349" xr:uid="{00000000-0005-0000-0000-00007F7C0000}"/>
    <cellStyle name="40% - Accent5 3 2 2 2 2 4" xfId="9704" xr:uid="{00000000-0005-0000-0000-0000807C0000}"/>
    <cellStyle name="40% - Accent5 3 2 2 2 2 4 2" xfId="22621" xr:uid="{00000000-0005-0000-0000-0000817C0000}"/>
    <cellStyle name="40% - Accent5 3 2 2 2 2 4 2 2" xfId="48495" xr:uid="{00000000-0005-0000-0000-0000827C0000}"/>
    <cellStyle name="40% - Accent5 3 2 2 2 2 4 3" xfId="35579" xr:uid="{00000000-0005-0000-0000-0000837C0000}"/>
    <cellStyle name="40% - Accent5 3 2 2 2 2 5" xfId="16163" xr:uid="{00000000-0005-0000-0000-0000847C0000}"/>
    <cellStyle name="40% - Accent5 3 2 2 2 2 5 2" xfId="42037" xr:uid="{00000000-0005-0000-0000-0000857C0000}"/>
    <cellStyle name="40% - Accent5 3 2 2 2 2 6" xfId="29089" xr:uid="{00000000-0005-0000-0000-0000867C0000}"/>
    <cellStyle name="40% - Accent5 3 2 2 2 3" xfId="4026" xr:uid="{00000000-0005-0000-0000-0000877C0000}"/>
    <cellStyle name="40% - Accent5 3 2 2 2 3 2" xfId="7280" xr:uid="{00000000-0005-0000-0000-0000887C0000}"/>
    <cellStyle name="40% - Accent5 3 2 2 2 3 2 2" xfId="13739" xr:uid="{00000000-0005-0000-0000-0000897C0000}"/>
    <cellStyle name="40% - Accent5 3 2 2 2 3 2 2 2" xfId="26656" xr:uid="{00000000-0005-0000-0000-00008A7C0000}"/>
    <cellStyle name="40% - Accent5 3 2 2 2 3 2 2 2 2" xfId="52530" xr:uid="{00000000-0005-0000-0000-00008B7C0000}"/>
    <cellStyle name="40% - Accent5 3 2 2 2 3 2 2 3" xfId="39614" xr:uid="{00000000-0005-0000-0000-00008C7C0000}"/>
    <cellStyle name="40% - Accent5 3 2 2 2 3 2 3" xfId="20198" xr:uid="{00000000-0005-0000-0000-00008D7C0000}"/>
    <cellStyle name="40% - Accent5 3 2 2 2 3 2 3 2" xfId="46072" xr:uid="{00000000-0005-0000-0000-00008E7C0000}"/>
    <cellStyle name="40% - Accent5 3 2 2 2 3 2 4" xfId="33156" xr:uid="{00000000-0005-0000-0000-00008F7C0000}"/>
    <cellStyle name="40% - Accent5 3 2 2 2 3 3" xfId="10511" xr:uid="{00000000-0005-0000-0000-0000907C0000}"/>
    <cellStyle name="40% - Accent5 3 2 2 2 3 3 2" xfId="23428" xr:uid="{00000000-0005-0000-0000-0000917C0000}"/>
    <cellStyle name="40% - Accent5 3 2 2 2 3 3 2 2" xfId="49302" xr:uid="{00000000-0005-0000-0000-0000927C0000}"/>
    <cellStyle name="40% - Accent5 3 2 2 2 3 3 3" xfId="36386" xr:uid="{00000000-0005-0000-0000-0000937C0000}"/>
    <cellStyle name="40% - Accent5 3 2 2 2 3 4" xfId="16970" xr:uid="{00000000-0005-0000-0000-0000947C0000}"/>
    <cellStyle name="40% - Accent5 3 2 2 2 3 4 2" xfId="42844" xr:uid="{00000000-0005-0000-0000-0000957C0000}"/>
    <cellStyle name="40% - Accent5 3 2 2 2 3 5" xfId="29896" xr:uid="{00000000-0005-0000-0000-0000967C0000}"/>
    <cellStyle name="40% - Accent5 3 2 2 2 4" xfId="5666" xr:uid="{00000000-0005-0000-0000-0000977C0000}"/>
    <cellStyle name="40% - Accent5 3 2 2 2 4 2" xfId="12125" xr:uid="{00000000-0005-0000-0000-0000987C0000}"/>
    <cellStyle name="40% - Accent5 3 2 2 2 4 2 2" xfId="25042" xr:uid="{00000000-0005-0000-0000-0000997C0000}"/>
    <cellStyle name="40% - Accent5 3 2 2 2 4 2 2 2" xfId="50916" xr:uid="{00000000-0005-0000-0000-00009A7C0000}"/>
    <cellStyle name="40% - Accent5 3 2 2 2 4 2 3" xfId="38000" xr:uid="{00000000-0005-0000-0000-00009B7C0000}"/>
    <cellStyle name="40% - Accent5 3 2 2 2 4 3" xfId="18584" xr:uid="{00000000-0005-0000-0000-00009C7C0000}"/>
    <cellStyle name="40% - Accent5 3 2 2 2 4 3 2" xfId="44458" xr:uid="{00000000-0005-0000-0000-00009D7C0000}"/>
    <cellStyle name="40% - Accent5 3 2 2 2 4 4" xfId="31542" xr:uid="{00000000-0005-0000-0000-00009E7C0000}"/>
    <cellStyle name="40% - Accent5 3 2 2 2 5" xfId="8897" xr:uid="{00000000-0005-0000-0000-00009F7C0000}"/>
    <cellStyle name="40% - Accent5 3 2 2 2 5 2" xfId="21814" xr:uid="{00000000-0005-0000-0000-0000A07C0000}"/>
    <cellStyle name="40% - Accent5 3 2 2 2 5 2 2" xfId="47688" xr:uid="{00000000-0005-0000-0000-0000A17C0000}"/>
    <cellStyle name="40% - Accent5 3 2 2 2 5 3" xfId="34772" xr:uid="{00000000-0005-0000-0000-0000A27C0000}"/>
    <cellStyle name="40% - Accent5 3 2 2 2 6" xfId="15356" xr:uid="{00000000-0005-0000-0000-0000A37C0000}"/>
    <cellStyle name="40% - Accent5 3 2 2 2 6 2" xfId="41230" xr:uid="{00000000-0005-0000-0000-0000A47C0000}"/>
    <cellStyle name="40% - Accent5 3 2 2 2 7" xfId="28282" xr:uid="{00000000-0005-0000-0000-0000A57C0000}"/>
    <cellStyle name="40% - Accent5 3 2 2 2 8" xfId="54144" xr:uid="{00000000-0005-0000-0000-0000A67C0000}"/>
    <cellStyle name="40% - Accent5 3 2 2 2 9" xfId="2386" xr:uid="{00000000-0005-0000-0000-0000A77C0000}"/>
    <cellStyle name="40% - Accent5 3 2 2 3" xfId="757" xr:uid="{00000000-0005-0000-0000-0000A87C0000}"/>
    <cellStyle name="40% - Accent5 3 2 2 3 2" xfId="4452" xr:uid="{00000000-0005-0000-0000-0000A97C0000}"/>
    <cellStyle name="40% - Accent5 3 2 2 3 2 2" xfId="7683" xr:uid="{00000000-0005-0000-0000-0000AA7C0000}"/>
    <cellStyle name="40% - Accent5 3 2 2 3 2 2 2" xfId="14142" xr:uid="{00000000-0005-0000-0000-0000AB7C0000}"/>
    <cellStyle name="40% - Accent5 3 2 2 3 2 2 2 2" xfId="27059" xr:uid="{00000000-0005-0000-0000-0000AC7C0000}"/>
    <cellStyle name="40% - Accent5 3 2 2 3 2 2 2 2 2" xfId="52933" xr:uid="{00000000-0005-0000-0000-0000AD7C0000}"/>
    <cellStyle name="40% - Accent5 3 2 2 3 2 2 2 3" xfId="40017" xr:uid="{00000000-0005-0000-0000-0000AE7C0000}"/>
    <cellStyle name="40% - Accent5 3 2 2 3 2 2 3" xfId="20601" xr:uid="{00000000-0005-0000-0000-0000AF7C0000}"/>
    <cellStyle name="40% - Accent5 3 2 2 3 2 2 3 2" xfId="46475" xr:uid="{00000000-0005-0000-0000-0000B07C0000}"/>
    <cellStyle name="40% - Accent5 3 2 2 3 2 2 4" xfId="33559" xr:uid="{00000000-0005-0000-0000-0000B17C0000}"/>
    <cellStyle name="40% - Accent5 3 2 2 3 2 3" xfId="10914" xr:uid="{00000000-0005-0000-0000-0000B27C0000}"/>
    <cellStyle name="40% - Accent5 3 2 2 3 2 3 2" xfId="23831" xr:uid="{00000000-0005-0000-0000-0000B37C0000}"/>
    <cellStyle name="40% - Accent5 3 2 2 3 2 3 2 2" xfId="49705" xr:uid="{00000000-0005-0000-0000-0000B47C0000}"/>
    <cellStyle name="40% - Accent5 3 2 2 3 2 3 3" xfId="36789" xr:uid="{00000000-0005-0000-0000-0000B57C0000}"/>
    <cellStyle name="40% - Accent5 3 2 2 3 2 4" xfId="17373" xr:uid="{00000000-0005-0000-0000-0000B67C0000}"/>
    <cellStyle name="40% - Accent5 3 2 2 3 2 4 2" xfId="43247" xr:uid="{00000000-0005-0000-0000-0000B77C0000}"/>
    <cellStyle name="40% - Accent5 3 2 2 3 2 5" xfId="30299" xr:uid="{00000000-0005-0000-0000-0000B87C0000}"/>
    <cellStyle name="40% - Accent5 3 2 2 3 3" xfId="6069" xr:uid="{00000000-0005-0000-0000-0000B97C0000}"/>
    <cellStyle name="40% - Accent5 3 2 2 3 3 2" xfId="12528" xr:uid="{00000000-0005-0000-0000-0000BA7C0000}"/>
    <cellStyle name="40% - Accent5 3 2 2 3 3 2 2" xfId="25445" xr:uid="{00000000-0005-0000-0000-0000BB7C0000}"/>
    <cellStyle name="40% - Accent5 3 2 2 3 3 2 2 2" xfId="51319" xr:uid="{00000000-0005-0000-0000-0000BC7C0000}"/>
    <cellStyle name="40% - Accent5 3 2 2 3 3 2 3" xfId="38403" xr:uid="{00000000-0005-0000-0000-0000BD7C0000}"/>
    <cellStyle name="40% - Accent5 3 2 2 3 3 3" xfId="18987" xr:uid="{00000000-0005-0000-0000-0000BE7C0000}"/>
    <cellStyle name="40% - Accent5 3 2 2 3 3 3 2" xfId="44861" xr:uid="{00000000-0005-0000-0000-0000BF7C0000}"/>
    <cellStyle name="40% - Accent5 3 2 2 3 3 4" xfId="31945" xr:uid="{00000000-0005-0000-0000-0000C07C0000}"/>
    <cellStyle name="40% - Accent5 3 2 2 3 4" xfId="9300" xr:uid="{00000000-0005-0000-0000-0000C17C0000}"/>
    <cellStyle name="40% - Accent5 3 2 2 3 4 2" xfId="22217" xr:uid="{00000000-0005-0000-0000-0000C27C0000}"/>
    <cellStyle name="40% - Accent5 3 2 2 3 4 2 2" xfId="48091" xr:uid="{00000000-0005-0000-0000-0000C37C0000}"/>
    <cellStyle name="40% - Accent5 3 2 2 3 4 3" xfId="35175" xr:uid="{00000000-0005-0000-0000-0000C47C0000}"/>
    <cellStyle name="40% - Accent5 3 2 2 3 5" xfId="15759" xr:uid="{00000000-0005-0000-0000-0000C57C0000}"/>
    <cellStyle name="40% - Accent5 3 2 2 3 5 2" xfId="41633" xr:uid="{00000000-0005-0000-0000-0000C67C0000}"/>
    <cellStyle name="40% - Accent5 3 2 2 3 6" xfId="28685" xr:uid="{00000000-0005-0000-0000-0000C77C0000}"/>
    <cellStyle name="40% - Accent5 3 2 2 3 7" xfId="2795" xr:uid="{00000000-0005-0000-0000-0000C87C0000}"/>
    <cellStyle name="40% - Accent5 3 2 2 4" xfId="3622" xr:uid="{00000000-0005-0000-0000-0000C97C0000}"/>
    <cellStyle name="40% - Accent5 3 2 2 4 2" xfId="6876" xr:uid="{00000000-0005-0000-0000-0000CA7C0000}"/>
    <cellStyle name="40% - Accent5 3 2 2 4 2 2" xfId="13335" xr:uid="{00000000-0005-0000-0000-0000CB7C0000}"/>
    <cellStyle name="40% - Accent5 3 2 2 4 2 2 2" xfId="26252" xr:uid="{00000000-0005-0000-0000-0000CC7C0000}"/>
    <cellStyle name="40% - Accent5 3 2 2 4 2 2 2 2" xfId="52126" xr:uid="{00000000-0005-0000-0000-0000CD7C0000}"/>
    <cellStyle name="40% - Accent5 3 2 2 4 2 2 3" xfId="39210" xr:uid="{00000000-0005-0000-0000-0000CE7C0000}"/>
    <cellStyle name="40% - Accent5 3 2 2 4 2 3" xfId="19794" xr:uid="{00000000-0005-0000-0000-0000CF7C0000}"/>
    <cellStyle name="40% - Accent5 3 2 2 4 2 3 2" xfId="45668" xr:uid="{00000000-0005-0000-0000-0000D07C0000}"/>
    <cellStyle name="40% - Accent5 3 2 2 4 2 4" xfId="32752" xr:uid="{00000000-0005-0000-0000-0000D17C0000}"/>
    <cellStyle name="40% - Accent5 3 2 2 4 3" xfId="10107" xr:uid="{00000000-0005-0000-0000-0000D27C0000}"/>
    <cellStyle name="40% - Accent5 3 2 2 4 3 2" xfId="23024" xr:uid="{00000000-0005-0000-0000-0000D37C0000}"/>
    <cellStyle name="40% - Accent5 3 2 2 4 3 2 2" xfId="48898" xr:uid="{00000000-0005-0000-0000-0000D47C0000}"/>
    <cellStyle name="40% - Accent5 3 2 2 4 3 3" xfId="35982" xr:uid="{00000000-0005-0000-0000-0000D57C0000}"/>
    <cellStyle name="40% - Accent5 3 2 2 4 4" xfId="16566" xr:uid="{00000000-0005-0000-0000-0000D67C0000}"/>
    <cellStyle name="40% - Accent5 3 2 2 4 4 2" xfId="42440" xr:uid="{00000000-0005-0000-0000-0000D77C0000}"/>
    <cellStyle name="40% - Accent5 3 2 2 4 5" xfId="29492" xr:uid="{00000000-0005-0000-0000-0000D87C0000}"/>
    <cellStyle name="40% - Accent5 3 2 2 5" xfId="5262" xr:uid="{00000000-0005-0000-0000-0000D97C0000}"/>
    <cellStyle name="40% - Accent5 3 2 2 5 2" xfId="11721" xr:uid="{00000000-0005-0000-0000-0000DA7C0000}"/>
    <cellStyle name="40% - Accent5 3 2 2 5 2 2" xfId="24638" xr:uid="{00000000-0005-0000-0000-0000DB7C0000}"/>
    <cellStyle name="40% - Accent5 3 2 2 5 2 2 2" xfId="50512" xr:uid="{00000000-0005-0000-0000-0000DC7C0000}"/>
    <cellStyle name="40% - Accent5 3 2 2 5 2 3" xfId="37596" xr:uid="{00000000-0005-0000-0000-0000DD7C0000}"/>
    <cellStyle name="40% - Accent5 3 2 2 5 3" xfId="18180" xr:uid="{00000000-0005-0000-0000-0000DE7C0000}"/>
    <cellStyle name="40% - Accent5 3 2 2 5 3 2" xfId="44054" xr:uid="{00000000-0005-0000-0000-0000DF7C0000}"/>
    <cellStyle name="40% - Accent5 3 2 2 5 4" xfId="31138" xr:uid="{00000000-0005-0000-0000-0000E07C0000}"/>
    <cellStyle name="40% - Accent5 3 2 2 6" xfId="8493" xr:uid="{00000000-0005-0000-0000-0000E17C0000}"/>
    <cellStyle name="40% - Accent5 3 2 2 6 2" xfId="21410" xr:uid="{00000000-0005-0000-0000-0000E27C0000}"/>
    <cellStyle name="40% - Accent5 3 2 2 6 2 2" xfId="47284" xr:uid="{00000000-0005-0000-0000-0000E37C0000}"/>
    <cellStyle name="40% - Accent5 3 2 2 6 3" xfId="34368" xr:uid="{00000000-0005-0000-0000-0000E47C0000}"/>
    <cellStyle name="40% - Accent5 3 2 2 7" xfId="14952" xr:uid="{00000000-0005-0000-0000-0000E57C0000}"/>
    <cellStyle name="40% - Accent5 3 2 2 7 2" xfId="40826" xr:uid="{00000000-0005-0000-0000-0000E67C0000}"/>
    <cellStyle name="40% - Accent5 3 2 2 8" xfId="27877" xr:uid="{00000000-0005-0000-0000-0000E77C0000}"/>
    <cellStyle name="40% - Accent5 3 2 2 9" xfId="53740" xr:uid="{00000000-0005-0000-0000-0000E87C0000}"/>
    <cellStyle name="40% - Accent5 3 2 3" xfId="759" xr:uid="{00000000-0005-0000-0000-0000E97C0000}"/>
    <cellStyle name="40% - Accent5 3 2 3 2" xfId="3004" xr:uid="{00000000-0005-0000-0000-0000EA7C0000}"/>
    <cellStyle name="40% - Accent5 3 2 3 2 2" xfId="4661" xr:uid="{00000000-0005-0000-0000-0000EB7C0000}"/>
    <cellStyle name="40% - Accent5 3 2 3 2 2 2" xfId="7892" xr:uid="{00000000-0005-0000-0000-0000EC7C0000}"/>
    <cellStyle name="40% - Accent5 3 2 3 2 2 2 2" xfId="14351" xr:uid="{00000000-0005-0000-0000-0000ED7C0000}"/>
    <cellStyle name="40% - Accent5 3 2 3 2 2 2 2 2" xfId="27268" xr:uid="{00000000-0005-0000-0000-0000EE7C0000}"/>
    <cellStyle name="40% - Accent5 3 2 3 2 2 2 2 2 2" xfId="53142" xr:uid="{00000000-0005-0000-0000-0000EF7C0000}"/>
    <cellStyle name="40% - Accent5 3 2 3 2 2 2 2 3" xfId="40226" xr:uid="{00000000-0005-0000-0000-0000F07C0000}"/>
    <cellStyle name="40% - Accent5 3 2 3 2 2 2 3" xfId="20810" xr:uid="{00000000-0005-0000-0000-0000F17C0000}"/>
    <cellStyle name="40% - Accent5 3 2 3 2 2 2 3 2" xfId="46684" xr:uid="{00000000-0005-0000-0000-0000F27C0000}"/>
    <cellStyle name="40% - Accent5 3 2 3 2 2 2 4" xfId="33768" xr:uid="{00000000-0005-0000-0000-0000F37C0000}"/>
    <cellStyle name="40% - Accent5 3 2 3 2 2 3" xfId="11123" xr:uid="{00000000-0005-0000-0000-0000F47C0000}"/>
    <cellStyle name="40% - Accent5 3 2 3 2 2 3 2" xfId="24040" xr:uid="{00000000-0005-0000-0000-0000F57C0000}"/>
    <cellStyle name="40% - Accent5 3 2 3 2 2 3 2 2" xfId="49914" xr:uid="{00000000-0005-0000-0000-0000F67C0000}"/>
    <cellStyle name="40% - Accent5 3 2 3 2 2 3 3" xfId="36998" xr:uid="{00000000-0005-0000-0000-0000F77C0000}"/>
    <cellStyle name="40% - Accent5 3 2 3 2 2 4" xfId="17582" xr:uid="{00000000-0005-0000-0000-0000F87C0000}"/>
    <cellStyle name="40% - Accent5 3 2 3 2 2 4 2" xfId="43456" xr:uid="{00000000-0005-0000-0000-0000F97C0000}"/>
    <cellStyle name="40% - Accent5 3 2 3 2 2 5" xfId="30508" xr:uid="{00000000-0005-0000-0000-0000FA7C0000}"/>
    <cellStyle name="40% - Accent5 3 2 3 2 3" xfId="6278" xr:uid="{00000000-0005-0000-0000-0000FB7C0000}"/>
    <cellStyle name="40% - Accent5 3 2 3 2 3 2" xfId="12737" xr:uid="{00000000-0005-0000-0000-0000FC7C0000}"/>
    <cellStyle name="40% - Accent5 3 2 3 2 3 2 2" xfId="25654" xr:uid="{00000000-0005-0000-0000-0000FD7C0000}"/>
    <cellStyle name="40% - Accent5 3 2 3 2 3 2 2 2" xfId="51528" xr:uid="{00000000-0005-0000-0000-0000FE7C0000}"/>
    <cellStyle name="40% - Accent5 3 2 3 2 3 2 3" xfId="38612" xr:uid="{00000000-0005-0000-0000-0000FF7C0000}"/>
    <cellStyle name="40% - Accent5 3 2 3 2 3 3" xfId="19196" xr:uid="{00000000-0005-0000-0000-0000007D0000}"/>
    <cellStyle name="40% - Accent5 3 2 3 2 3 3 2" xfId="45070" xr:uid="{00000000-0005-0000-0000-0000017D0000}"/>
    <cellStyle name="40% - Accent5 3 2 3 2 3 4" xfId="32154" xr:uid="{00000000-0005-0000-0000-0000027D0000}"/>
    <cellStyle name="40% - Accent5 3 2 3 2 4" xfId="9509" xr:uid="{00000000-0005-0000-0000-0000037D0000}"/>
    <cellStyle name="40% - Accent5 3 2 3 2 4 2" xfId="22426" xr:uid="{00000000-0005-0000-0000-0000047D0000}"/>
    <cellStyle name="40% - Accent5 3 2 3 2 4 2 2" xfId="48300" xr:uid="{00000000-0005-0000-0000-0000057D0000}"/>
    <cellStyle name="40% - Accent5 3 2 3 2 4 3" xfId="35384" xr:uid="{00000000-0005-0000-0000-0000067D0000}"/>
    <cellStyle name="40% - Accent5 3 2 3 2 5" xfId="15968" xr:uid="{00000000-0005-0000-0000-0000077D0000}"/>
    <cellStyle name="40% - Accent5 3 2 3 2 5 2" xfId="41842" xr:uid="{00000000-0005-0000-0000-0000087D0000}"/>
    <cellStyle name="40% - Accent5 3 2 3 2 6" xfId="28894" xr:uid="{00000000-0005-0000-0000-0000097D0000}"/>
    <cellStyle name="40% - Accent5 3 2 3 3" xfId="3831" xr:uid="{00000000-0005-0000-0000-00000A7D0000}"/>
    <cellStyle name="40% - Accent5 3 2 3 3 2" xfId="7085" xr:uid="{00000000-0005-0000-0000-00000B7D0000}"/>
    <cellStyle name="40% - Accent5 3 2 3 3 2 2" xfId="13544" xr:uid="{00000000-0005-0000-0000-00000C7D0000}"/>
    <cellStyle name="40% - Accent5 3 2 3 3 2 2 2" xfId="26461" xr:uid="{00000000-0005-0000-0000-00000D7D0000}"/>
    <cellStyle name="40% - Accent5 3 2 3 3 2 2 2 2" xfId="52335" xr:uid="{00000000-0005-0000-0000-00000E7D0000}"/>
    <cellStyle name="40% - Accent5 3 2 3 3 2 2 3" xfId="39419" xr:uid="{00000000-0005-0000-0000-00000F7D0000}"/>
    <cellStyle name="40% - Accent5 3 2 3 3 2 3" xfId="20003" xr:uid="{00000000-0005-0000-0000-0000107D0000}"/>
    <cellStyle name="40% - Accent5 3 2 3 3 2 3 2" xfId="45877" xr:uid="{00000000-0005-0000-0000-0000117D0000}"/>
    <cellStyle name="40% - Accent5 3 2 3 3 2 4" xfId="32961" xr:uid="{00000000-0005-0000-0000-0000127D0000}"/>
    <cellStyle name="40% - Accent5 3 2 3 3 3" xfId="10316" xr:uid="{00000000-0005-0000-0000-0000137D0000}"/>
    <cellStyle name="40% - Accent5 3 2 3 3 3 2" xfId="23233" xr:uid="{00000000-0005-0000-0000-0000147D0000}"/>
    <cellStyle name="40% - Accent5 3 2 3 3 3 2 2" xfId="49107" xr:uid="{00000000-0005-0000-0000-0000157D0000}"/>
    <cellStyle name="40% - Accent5 3 2 3 3 3 3" xfId="36191" xr:uid="{00000000-0005-0000-0000-0000167D0000}"/>
    <cellStyle name="40% - Accent5 3 2 3 3 4" xfId="16775" xr:uid="{00000000-0005-0000-0000-0000177D0000}"/>
    <cellStyle name="40% - Accent5 3 2 3 3 4 2" xfId="42649" xr:uid="{00000000-0005-0000-0000-0000187D0000}"/>
    <cellStyle name="40% - Accent5 3 2 3 3 5" xfId="29701" xr:uid="{00000000-0005-0000-0000-0000197D0000}"/>
    <cellStyle name="40% - Accent5 3 2 3 4" xfId="5471" xr:uid="{00000000-0005-0000-0000-00001A7D0000}"/>
    <cellStyle name="40% - Accent5 3 2 3 4 2" xfId="11930" xr:uid="{00000000-0005-0000-0000-00001B7D0000}"/>
    <cellStyle name="40% - Accent5 3 2 3 4 2 2" xfId="24847" xr:uid="{00000000-0005-0000-0000-00001C7D0000}"/>
    <cellStyle name="40% - Accent5 3 2 3 4 2 2 2" xfId="50721" xr:uid="{00000000-0005-0000-0000-00001D7D0000}"/>
    <cellStyle name="40% - Accent5 3 2 3 4 2 3" xfId="37805" xr:uid="{00000000-0005-0000-0000-00001E7D0000}"/>
    <cellStyle name="40% - Accent5 3 2 3 4 3" xfId="18389" xr:uid="{00000000-0005-0000-0000-00001F7D0000}"/>
    <cellStyle name="40% - Accent5 3 2 3 4 3 2" xfId="44263" xr:uid="{00000000-0005-0000-0000-0000207D0000}"/>
    <cellStyle name="40% - Accent5 3 2 3 4 4" xfId="31347" xr:uid="{00000000-0005-0000-0000-0000217D0000}"/>
    <cellStyle name="40% - Accent5 3 2 3 5" xfId="8702" xr:uid="{00000000-0005-0000-0000-0000227D0000}"/>
    <cellStyle name="40% - Accent5 3 2 3 5 2" xfId="21619" xr:uid="{00000000-0005-0000-0000-0000237D0000}"/>
    <cellStyle name="40% - Accent5 3 2 3 5 2 2" xfId="47493" xr:uid="{00000000-0005-0000-0000-0000247D0000}"/>
    <cellStyle name="40% - Accent5 3 2 3 5 3" xfId="34577" xr:uid="{00000000-0005-0000-0000-0000257D0000}"/>
    <cellStyle name="40% - Accent5 3 2 3 6" xfId="15161" xr:uid="{00000000-0005-0000-0000-0000267D0000}"/>
    <cellStyle name="40% - Accent5 3 2 3 6 2" xfId="41035" xr:uid="{00000000-0005-0000-0000-0000277D0000}"/>
    <cellStyle name="40% - Accent5 3 2 3 7" xfId="28087" xr:uid="{00000000-0005-0000-0000-0000287D0000}"/>
    <cellStyle name="40% - Accent5 3 2 3 8" xfId="53949" xr:uid="{00000000-0005-0000-0000-0000297D0000}"/>
    <cellStyle name="40% - Accent5 3 2 3 9" xfId="2190" xr:uid="{00000000-0005-0000-0000-00002A7D0000}"/>
    <cellStyle name="40% - Accent5 3 2 4" xfId="756" xr:uid="{00000000-0005-0000-0000-00002B7D0000}"/>
    <cellStyle name="40% - Accent5 3 2 4 2" xfId="4258" xr:uid="{00000000-0005-0000-0000-00002C7D0000}"/>
    <cellStyle name="40% - Accent5 3 2 4 2 2" xfId="7489" xr:uid="{00000000-0005-0000-0000-00002D7D0000}"/>
    <cellStyle name="40% - Accent5 3 2 4 2 2 2" xfId="13948" xr:uid="{00000000-0005-0000-0000-00002E7D0000}"/>
    <cellStyle name="40% - Accent5 3 2 4 2 2 2 2" xfId="26865" xr:uid="{00000000-0005-0000-0000-00002F7D0000}"/>
    <cellStyle name="40% - Accent5 3 2 4 2 2 2 2 2" xfId="52739" xr:uid="{00000000-0005-0000-0000-0000307D0000}"/>
    <cellStyle name="40% - Accent5 3 2 4 2 2 2 3" xfId="39823" xr:uid="{00000000-0005-0000-0000-0000317D0000}"/>
    <cellStyle name="40% - Accent5 3 2 4 2 2 3" xfId="20407" xr:uid="{00000000-0005-0000-0000-0000327D0000}"/>
    <cellStyle name="40% - Accent5 3 2 4 2 2 3 2" xfId="46281" xr:uid="{00000000-0005-0000-0000-0000337D0000}"/>
    <cellStyle name="40% - Accent5 3 2 4 2 2 4" xfId="33365" xr:uid="{00000000-0005-0000-0000-0000347D0000}"/>
    <cellStyle name="40% - Accent5 3 2 4 2 3" xfId="10720" xr:uid="{00000000-0005-0000-0000-0000357D0000}"/>
    <cellStyle name="40% - Accent5 3 2 4 2 3 2" xfId="23637" xr:uid="{00000000-0005-0000-0000-0000367D0000}"/>
    <cellStyle name="40% - Accent5 3 2 4 2 3 2 2" xfId="49511" xr:uid="{00000000-0005-0000-0000-0000377D0000}"/>
    <cellStyle name="40% - Accent5 3 2 4 2 3 3" xfId="36595" xr:uid="{00000000-0005-0000-0000-0000387D0000}"/>
    <cellStyle name="40% - Accent5 3 2 4 2 4" xfId="17179" xr:uid="{00000000-0005-0000-0000-0000397D0000}"/>
    <cellStyle name="40% - Accent5 3 2 4 2 4 2" xfId="43053" xr:uid="{00000000-0005-0000-0000-00003A7D0000}"/>
    <cellStyle name="40% - Accent5 3 2 4 2 5" xfId="30105" xr:uid="{00000000-0005-0000-0000-00003B7D0000}"/>
    <cellStyle name="40% - Accent5 3 2 4 3" xfId="5875" xr:uid="{00000000-0005-0000-0000-00003C7D0000}"/>
    <cellStyle name="40% - Accent5 3 2 4 3 2" xfId="12334" xr:uid="{00000000-0005-0000-0000-00003D7D0000}"/>
    <cellStyle name="40% - Accent5 3 2 4 3 2 2" xfId="25251" xr:uid="{00000000-0005-0000-0000-00003E7D0000}"/>
    <cellStyle name="40% - Accent5 3 2 4 3 2 2 2" xfId="51125" xr:uid="{00000000-0005-0000-0000-00003F7D0000}"/>
    <cellStyle name="40% - Accent5 3 2 4 3 2 3" xfId="38209" xr:uid="{00000000-0005-0000-0000-0000407D0000}"/>
    <cellStyle name="40% - Accent5 3 2 4 3 3" xfId="18793" xr:uid="{00000000-0005-0000-0000-0000417D0000}"/>
    <cellStyle name="40% - Accent5 3 2 4 3 3 2" xfId="44667" xr:uid="{00000000-0005-0000-0000-0000427D0000}"/>
    <cellStyle name="40% - Accent5 3 2 4 3 4" xfId="31751" xr:uid="{00000000-0005-0000-0000-0000437D0000}"/>
    <cellStyle name="40% - Accent5 3 2 4 4" xfId="9106" xr:uid="{00000000-0005-0000-0000-0000447D0000}"/>
    <cellStyle name="40% - Accent5 3 2 4 4 2" xfId="22023" xr:uid="{00000000-0005-0000-0000-0000457D0000}"/>
    <cellStyle name="40% - Accent5 3 2 4 4 2 2" xfId="47897" xr:uid="{00000000-0005-0000-0000-0000467D0000}"/>
    <cellStyle name="40% - Accent5 3 2 4 4 3" xfId="34981" xr:uid="{00000000-0005-0000-0000-0000477D0000}"/>
    <cellStyle name="40% - Accent5 3 2 4 5" xfId="15565" xr:uid="{00000000-0005-0000-0000-0000487D0000}"/>
    <cellStyle name="40% - Accent5 3 2 4 5 2" xfId="41439" xr:uid="{00000000-0005-0000-0000-0000497D0000}"/>
    <cellStyle name="40% - Accent5 3 2 4 6" xfId="28491" xr:uid="{00000000-0005-0000-0000-00004A7D0000}"/>
    <cellStyle name="40% - Accent5 3 2 4 7" xfId="2601" xr:uid="{00000000-0005-0000-0000-00004B7D0000}"/>
    <cellStyle name="40% - Accent5 3 2 5" xfId="3428" xr:uid="{00000000-0005-0000-0000-00004C7D0000}"/>
    <cellStyle name="40% - Accent5 3 2 5 2" xfId="6682" xr:uid="{00000000-0005-0000-0000-00004D7D0000}"/>
    <cellStyle name="40% - Accent5 3 2 5 2 2" xfId="13141" xr:uid="{00000000-0005-0000-0000-00004E7D0000}"/>
    <cellStyle name="40% - Accent5 3 2 5 2 2 2" xfId="26058" xr:uid="{00000000-0005-0000-0000-00004F7D0000}"/>
    <cellStyle name="40% - Accent5 3 2 5 2 2 2 2" xfId="51932" xr:uid="{00000000-0005-0000-0000-0000507D0000}"/>
    <cellStyle name="40% - Accent5 3 2 5 2 2 3" xfId="39016" xr:uid="{00000000-0005-0000-0000-0000517D0000}"/>
    <cellStyle name="40% - Accent5 3 2 5 2 3" xfId="19600" xr:uid="{00000000-0005-0000-0000-0000527D0000}"/>
    <cellStyle name="40% - Accent5 3 2 5 2 3 2" xfId="45474" xr:uid="{00000000-0005-0000-0000-0000537D0000}"/>
    <cellStyle name="40% - Accent5 3 2 5 2 4" xfId="32558" xr:uid="{00000000-0005-0000-0000-0000547D0000}"/>
    <cellStyle name="40% - Accent5 3 2 5 3" xfId="9913" xr:uid="{00000000-0005-0000-0000-0000557D0000}"/>
    <cellStyle name="40% - Accent5 3 2 5 3 2" xfId="22830" xr:uid="{00000000-0005-0000-0000-0000567D0000}"/>
    <cellStyle name="40% - Accent5 3 2 5 3 2 2" xfId="48704" xr:uid="{00000000-0005-0000-0000-0000577D0000}"/>
    <cellStyle name="40% - Accent5 3 2 5 3 3" xfId="35788" xr:uid="{00000000-0005-0000-0000-0000587D0000}"/>
    <cellStyle name="40% - Accent5 3 2 5 4" xfId="16372" xr:uid="{00000000-0005-0000-0000-0000597D0000}"/>
    <cellStyle name="40% - Accent5 3 2 5 4 2" xfId="42246" xr:uid="{00000000-0005-0000-0000-00005A7D0000}"/>
    <cellStyle name="40% - Accent5 3 2 5 5" xfId="29298" xr:uid="{00000000-0005-0000-0000-00005B7D0000}"/>
    <cellStyle name="40% - Accent5 3 2 6" xfId="5068" xr:uid="{00000000-0005-0000-0000-00005C7D0000}"/>
    <cellStyle name="40% - Accent5 3 2 6 2" xfId="11527" xr:uid="{00000000-0005-0000-0000-00005D7D0000}"/>
    <cellStyle name="40% - Accent5 3 2 6 2 2" xfId="24444" xr:uid="{00000000-0005-0000-0000-00005E7D0000}"/>
    <cellStyle name="40% - Accent5 3 2 6 2 2 2" xfId="50318" xr:uid="{00000000-0005-0000-0000-00005F7D0000}"/>
    <cellStyle name="40% - Accent5 3 2 6 2 3" xfId="37402" xr:uid="{00000000-0005-0000-0000-0000607D0000}"/>
    <cellStyle name="40% - Accent5 3 2 6 3" xfId="17986" xr:uid="{00000000-0005-0000-0000-0000617D0000}"/>
    <cellStyle name="40% - Accent5 3 2 6 3 2" xfId="43860" xr:uid="{00000000-0005-0000-0000-0000627D0000}"/>
    <cellStyle name="40% - Accent5 3 2 6 4" xfId="30944" xr:uid="{00000000-0005-0000-0000-0000637D0000}"/>
    <cellStyle name="40% - Accent5 3 2 7" xfId="8298" xr:uid="{00000000-0005-0000-0000-0000647D0000}"/>
    <cellStyle name="40% - Accent5 3 2 7 2" xfId="21215" xr:uid="{00000000-0005-0000-0000-0000657D0000}"/>
    <cellStyle name="40% - Accent5 3 2 7 2 2" xfId="47089" xr:uid="{00000000-0005-0000-0000-0000667D0000}"/>
    <cellStyle name="40% - Accent5 3 2 7 3" xfId="34173" xr:uid="{00000000-0005-0000-0000-0000677D0000}"/>
    <cellStyle name="40% - Accent5 3 2 8" xfId="14757" xr:uid="{00000000-0005-0000-0000-0000687D0000}"/>
    <cellStyle name="40% - Accent5 3 2 8 2" xfId="40631" xr:uid="{00000000-0005-0000-0000-0000697D0000}"/>
    <cellStyle name="40% - Accent5 3 2 9" xfId="27681" xr:uid="{00000000-0005-0000-0000-00006A7D0000}"/>
    <cellStyle name="40% - Accent5 3 3" xfId="435" xr:uid="{00000000-0005-0000-0000-00006B7D0000}"/>
    <cellStyle name="40% - Accent5 3 3 2" xfId="761" xr:uid="{00000000-0005-0000-0000-00006C7D0000}"/>
    <cellStyle name="40% - Accent5 3 3 3" xfId="760" xr:uid="{00000000-0005-0000-0000-00006D7D0000}"/>
    <cellStyle name="40% - Accent5 3 3 4" xfId="1683" xr:uid="{00000000-0005-0000-0000-00006E7D0000}"/>
    <cellStyle name="40% - Accent5 3 4" xfId="762" xr:uid="{00000000-0005-0000-0000-00006F7D0000}"/>
    <cellStyle name="40% - Accent5 3 4 10" xfId="53494" xr:uid="{00000000-0005-0000-0000-0000707D0000}"/>
    <cellStyle name="40% - Accent5 3 4 11" xfId="1554" xr:uid="{00000000-0005-0000-0000-0000717D0000}"/>
    <cellStyle name="40% - Accent5 3 4 2" xfId="1903" xr:uid="{00000000-0005-0000-0000-0000727D0000}"/>
    <cellStyle name="40% - Accent5 3 4 2 2" xfId="2334" xr:uid="{00000000-0005-0000-0000-0000737D0000}"/>
    <cellStyle name="40% - Accent5 3 4 2 2 2" xfId="3147" xr:uid="{00000000-0005-0000-0000-0000747D0000}"/>
    <cellStyle name="40% - Accent5 3 4 2 2 2 2" xfId="4804" xr:uid="{00000000-0005-0000-0000-0000757D0000}"/>
    <cellStyle name="40% - Accent5 3 4 2 2 2 2 2" xfId="8035" xr:uid="{00000000-0005-0000-0000-0000767D0000}"/>
    <cellStyle name="40% - Accent5 3 4 2 2 2 2 2 2" xfId="14494" xr:uid="{00000000-0005-0000-0000-0000777D0000}"/>
    <cellStyle name="40% - Accent5 3 4 2 2 2 2 2 2 2" xfId="27411" xr:uid="{00000000-0005-0000-0000-0000787D0000}"/>
    <cellStyle name="40% - Accent5 3 4 2 2 2 2 2 2 2 2" xfId="53285" xr:uid="{00000000-0005-0000-0000-0000797D0000}"/>
    <cellStyle name="40% - Accent5 3 4 2 2 2 2 2 2 3" xfId="40369" xr:uid="{00000000-0005-0000-0000-00007A7D0000}"/>
    <cellStyle name="40% - Accent5 3 4 2 2 2 2 2 3" xfId="20953" xr:uid="{00000000-0005-0000-0000-00007B7D0000}"/>
    <cellStyle name="40% - Accent5 3 4 2 2 2 2 2 3 2" xfId="46827" xr:uid="{00000000-0005-0000-0000-00007C7D0000}"/>
    <cellStyle name="40% - Accent5 3 4 2 2 2 2 2 4" xfId="33911" xr:uid="{00000000-0005-0000-0000-00007D7D0000}"/>
    <cellStyle name="40% - Accent5 3 4 2 2 2 2 3" xfId="11266" xr:uid="{00000000-0005-0000-0000-00007E7D0000}"/>
    <cellStyle name="40% - Accent5 3 4 2 2 2 2 3 2" xfId="24183" xr:uid="{00000000-0005-0000-0000-00007F7D0000}"/>
    <cellStyle name="40% - Accent5 3 4 2 2 2 2 3 2 2" xfId="50057" xr:uid="{00000000-0005-0000-0000-0000807D0000}"/>
    <cellStyle name="40% - Accent5 3 4 2 2 2 2 3 3" xfId="37141" xr:uid="{00000000-0005-0000-0000-0000817D0000}"/>
    <cellStyle name="40% - Accent5 3 4 2 2 2 2 4" xfId="17725" xr:uid="{00000000-0005-0000-0000-0000827D0000}"/>
    <cellStyle name="40% - Accent5 3 4 2 2 2 2 4 2" xfId="43599" xr:uid="{00000000-0005-0000-0000-0000837D0000}"/>
    <cellStyle name="40% - Accent5 3 4 2 2 2 2 5" xfId="30651" xr:uid="{00000000-0005-0000-0000-0000847D0000}"/>
    <cellStyle name="40% - Accent5 3 4 2 2 2 3" xfId="6421" xr:uid="{00000000-0005-0000-0000-0000857D0000}"/>
    <cellStyle name="40% - Accent5 3 4 2 2 2 3 2" xfId="12880" xr:uid="{00000000-0005-0000-0000-0000867D0000}"/>
    <cellStyle name="40% - Accent5 3 4 2 2 2 3 2 2" xfId="25797" xr:uid="{00000000-0005-0000-0000-0000877D0000}"/>
    <cellStyle name="40% - Accent5 3 4 2 2 2 3 2 2 2" xfId="51671" xr:uid="{00000000-0005-0000-0000-0000887D0000}"/>
    <cellStyle name="40% - Accent5 3 4 2 2 2 3 2 3" xfId="38755" xr:uid="{00000000-0005-0000-0000-0000897D0000}"/>
    <cellStyle name="40% - Accent5 3 4 2 2 2 3 3" xfId="19339" xr:uid="{00000000-0005-0000-0000-00008A7D0000}"/>
    <cellStyle name="40% - Accent5 3 4 2 2 2 3 3 2" xfId="45213" xr:uid="{00000000-0005-0000-0000-00008B7D0000}"/>
    <cellStyle name="40% - Accent5 3 4 2 2 2 3 4" xfId="32297" xr:uid="{00000000-0005-0000-0000-00008C7D0000}"/>
    <cellStyle name="40% - Accent5 3 4 2 2 2 4" xfId="9652" xr:uid="{00000000-0005-0000-0000-00008D7D0000}"/>
    <cellStyle name="40% - Accent5 3 4 2 2 2 4 2" xfId="22569" xr:uid="{00000000-0005-0000-0000-00008E7D0000}"/>
    <cellStyle name="40% - Accent5 3 4 2 2 2 4 2 2" xfId="48443" xr:uid="{00000000-0005-0000-0000-00008F7D0000}"/>
    <cellStyle name="40% - Accent5 3 4 2 2 2 4 3" xfId="35527" xr:uid="{00000000-0005-0000-0000-0000907D0000}"/>
    <cellStyle name="40% - Accent5 3 4 2 2 2 5" xfId="16111" xr:uid="{00000000-0005-0000-0000-0000917D0000}"/>
    <cellStyle name="40% - Accent5 3 4 2 2 2 5 2" xfId="41985" xr:uid="{00000000-0005-0000-0000-0000927D0000}"/>
    <cellStyle name="40% - Accent5 3 4 2 2 2 6" xfId="29037" xr:uid="{00000000-0005-0000-0000-0000937D0000}"/>
    <cellStyle name="40% - Accent5 3 4 2 2 3" xfId="3974" xr:uid="{00000000-0005-0000-0000-0000947D0000}"/>
    <cellStyle name="40% - Accent5 3 4 2 2 3 2" xfId="7228" xr:uid="{00000000-0005-0000-0000-0000957D0000}"/>
    <cellStyle name="40% - Accent5 3 4 2 2 3 2 2" xfId="13687" xr:uid="{00000000-0005-0000-0000-0000967D0000}"/>
    <cellStyle name="40% - Accent5 3 4 2 2 3 2 2 2" xfId="26604" xr:uid="{00000000-0005-0000-0000-0000977D0000}"/>
    <cellStyle name="40% - Accent5 3 4 2 2 3 2 2 2 2" xfId="52478" xr:uid="{00000000-0005-0000-0000-0000987D0000}"/>
    <cellStyle name="40% - Accent5 3 4 2 2 3 2 2 3" xfId="39562" xr:uid="{00000000-0005-0000-0000-0000997D0000}"/>
    <cellStyle name="40% - Accent5 3 4 2 2 3 2 3" xfId="20146" xr:uid="{00000000-0005-0000-0000-00009A7D0000}"/>
    <cellStyle name="40% - Accent5 3 4 2 2 3 2 3 2" xfId="46020" xr:uid="{00000000-0005-0000-0000-00009B7D0000}"/>
    <cellStyle name="40% - Accent5 3 4 2 2 3 2 4" xfId="33104" xr:uid="{00000000-0005-0000-0000-00009C7D0000}"/>
    <cellStyle name="40% - Accent5 3 4 2 2 3 3" xfId="10459" xr:uid="{00000000-0005-0000-0000-00009D7D0000}"/>
    <cellStyle name="40% - Accent5 3 4 2 2 3 3 2" xfId="23376" xr:uid="{00000000-0005-0000-0000-00009E7D0000}"/>
    <cellStyle name="40% - Accent5 3 4 2 2 3 3 2 2" xfId="49250" xr:uid="{00000000-0005-0000-0000-00009F7D0000}"/>
    <cellStyle name="40% - Accent5 3 4 2 2 3 3 3" xfId="36334" xr:uid="{00000000-0005-0000-0000-0000A07D0000}"/>
    <cellStyle name="40% - Accent5 3 4 2 2 3 4" xfId="16918" xr:uid="{00000000-0005-0000-0000-0000A17D0000}"/>
    <cellStyle name="40% - Accent5 3 4 2 2 3 4 2" xfId="42792" xr:uid="{00000000-0005-0000-0000-0000A27D0000}"/>
    <cellStyle name="40% - Accent5 3 4 2 2 3 5" xfId="29844" xr:uid="{00000000-0005-0000-0000-0000A37D0000}"/>
    <cellStyle name="40% - Accent5 3 4 2 2 4" xfId="5614" xr:uid="{00000000-0005-0000-0000-0000A47D0000}"/>
    <cellStyle name="40% - Accent5 3 4 2 2 4 2" xfId="12073" xr:uid="{00000000-0005-0000-0000-0000A57D0000}"/>
    <cellStyle name="40% - Accent5 3 4 2 2 4 2 2" xfId="24990" xr:uid="{00000000-0005-0000-0000-0000A67D0000}"/>
    <cellStyle name="40% - Accent5 3 4 2 2 4 2 2 2" xfId="50864" xr:uid="{00000000-0005-0000-0000-0000A77D0000}"/>
    <cellStyle name="40% - Accent5 3 4 2 2 4 2 3" xfId="37948" xr:uid="{00000000-0005-0000-0000-0000A87D0000}"/>
    <cellStyle name="40% - Accent5 3 4 2 2 4 3" xfId="18532" xr:uid="{00000000-0005-0000-0000-0000A97D0000}"/>
    <cellStyle name="40% - Accent5 3 4 2 2 4 3 2" xfId="44406" xr:uid="{00000000-0005-0000-0000-0000AA7D0000}"/>
    <cellStyle name="40% - Accent5 3 4 2 2 4 4" xfId="31490" xr:uid="{00000000-0005-0000-0000-0000AB7D0000}"/>
    <cellStyle name="40% - Accent5 3 4 2 2 5" xfId="8845" xr:uid="{00000000-0005-0000-0000-0000AC7D0000}"/>
    <cellStyle name="40% - Accent5 3 4 2 2 5 2" xfId="21762" xr:uid="{00000000-0005-0000-0000-0000AD7D0000}"/>
    <cellStyle name="40% - Accent5 3 4 2 2 5 2 2" xfId="47636" xr:uid="{00000000-0005-0000-0000-0000AE7D0000}"/>
    <cellStyle name="40% - Accent5 3 4 2 2 5 3" xfId="34720" xr:uid="{00000000-0005-0000-0000-0000AF7D0000}"/>
    <cellStyle name="40% - Accent5 3 4 2 2 6" xfId="15304" xr:uid="{00000000-0005-0000-0000-0000B07D0000}"/>
    <cellStyle name="40% - Accent5 3 4 2 2 6 2" xfId="41178" xr:uid="{00000000-0005-0000-0000-0000B17D0000}"/>
    <cellStyle name="40% - Accent5 3 4 2 2 7" xfId="28230" xr:uid="{00000000-0005-0000-0000-0000B27D0000}"/>
    <cellStyle name="40% - Accent5 3 4 2 2 8" xfId="54092" xr:uid="{00000000-0005-0000-0000-0000B37D0000}"/>
    <cellStyle name="40% - Accent5 3 4 2 3" xfId="2743" xr:uid="{00000000-0005-0000-0000-0000B47D0000}"/>
    <cellStyle name="40% - Accent5 3 4 2 3 2" xfId="4400" xr:uid="{00000000-0005-0000-0000-0000B57D0000}"/>
    <cellStyle name="40% - Accent5 3 4 2 3 2 2" xfId="7631" xr:uid="{00000000-0005-0000-0000-0000B67D0000}"/>
    <cellStyle name="40% - Accent5 3 4 2 3 2 2 2" xfId="14090" xr:uid="{00000000-0005-0000-0000-0000B77D0000}"/>
    <cellStyle name="40% - Accent5 3 4 2 3 2 2 2 2" xfId="27007" xr:uid="{00000000-0005-0000-0000-0000B87D0000}"/>
    <cellStyle name="40% - Accent5 3 4 2 3 2 2 2 2 2" xfId="52881" xr:uid="{00000000-0005-0000-0000-0000B97D0000}"/>
    <cellStyle name="40% - Accent5 3 4 2 3 2 2 2 3" xfId="39965" xr:uid="{00000000-0005-0000-0000-0000BA7D0000}"/>
    <cellStyle name="40% - Accent5 3 4 2 3 2 2 3" xfId="20549" xr:uid="{00000000-0005-0000-0000-0000BB7D0000}"/>
    <cellStyle name="40% - Accent5 3 4 2 3 2 2 3 2" xfId="46423" xr:uid="{00000000-0005-0000-0000-0000BC7D0000}"/>
    <cellStyle name="40% - Accent5 3 4 2 3 2 2 4" xfId="33507" xr:uid="{00000000-0005-0000-0000-0000BD7D0000}"/>
    <cellStyle name="40% - Accent5 3 4 2 3 2 3" xfId="10862" xr:uid="{00000000-0005-0000-0000-0000BE7D0000}"/>
    <cellStyle name="40% - Accent5 3 4 2 3 2 3 2" xfId="23779" xr:uid="{00000000-0005-0000-0000-0000BF7D0000}"/>
    <cellStyle name="40% - Accent5 3 4 2 3 2 3 2 2" xfId="49653" xr:uid="{00000000-0005-0000-0000-0000C07D0000}"/>
    <cellStyle name="40% - Accent5 3 4 2 3 2 3 3" xfId="36737" xr:uid="{00000000-0005-0000-0000-0000C17D0000}"/>
    <cellStyle name="40% - Accent5 3 4 2 3 2 4" xfId="17321" xr:uid="{00000000-0005-0000-0000-0000C27D0000}"/>
    <cellStyle name="40% - Accent5 3 4 2 3 2 4 2" xfId="43195" xr:uid="{00000000-0005-0000-0000-0000C37D0000}"/>
    <cellStyle name="40% - Accent5 3 4 2 3 2 5" xfId="30247" xr:uid="{00000000-0005-0000-0000-0000C47D0000}"/>
    <cellStyle name="40% - Accent5 3 4 2 3 3" xfId="6017" xr:uid="{00000000-0005-0000-0000-0000C57D0000}"/>
    <cellStyle name="40% - Accent5 3 4 2 3 3 2" xfId="12476" xr:uid="{00000000-0005-0000-0000-0000C67D0000}"/>
    <cellStyle name="40% - Accent5 3 4 2 3 3 2 2" xfId="25393" xr:uid="{00000000-0005-0000-0000-0000C77D0000}"/>
    <cellStyle name="40% - Accent5 3 4 2 3 3 2 2 2" xfId="51267" xr:uid="{00000000-0005-0000-0000-0000C87D0000}"/>
    <cellStyle name="40% - Accent5 3 4 2 3 3 2 3" xfId="38351" xr:uid="{00000000-0005-0000-0000-0000C97D0000}"/>
    <cellStyle name="40% - Accent5 3 4 2 3 3 3" xfId="18935" xr:uid="{00000000-0005-0000-0000-0000CA7D0000}"/>
    <cellStyle name="40% - Accent5 3 4 2 3 3 3 2" xfId="44809" xr:uid="{00000000-0005-0000-0000-0000CB7D0000}"/>
    <cellStyle name="40% - Accent5 3 4 2 3 3 4" xfId="31893" xr:uid="{00000000-0005-0000-0000-0000CC7D0000}"/>
    <cellStyle name="40% - Accent5 3 4 2 3 4" xfId="9248" xr:uid="{00000000-0005-0000-0000-0000CD7D0000}"/>
    <cellStyle name="40% - Accent5 3 4 2 3 4 2" xfId="22165" xr:uid="{00000000-0005-0000-0000-0000CE7D0000}"/>
    <cellStyle name="40% - Accent5 3 4 2 3 4 2 2" xfId="48039" xr:uid="{00000000-0005-0000-0000-0000CF7D0000}"/>
    <cellStyle name="40% - Accent5 3 4 2 3 4 3" xfId="35123" xr:uid="{00000000-0005-0000-0000-0000D07D0000}"/>
    <cellStyle name="40% - Accent5 3 4 2 3 5" xfId="15707" xr:uid="{00000000-0005-0000-0000-0000D17D0000}"/>
    <cellStyle name="40% - Accent5 3 4 2 3 5 2" xfId="41581" xr:uid="{00000000-0005-0000-0000-0000D27D0000}"/>
    <cellStyle name="40% - Accent5 3 4 2 3 6" xfId="28633" xr:uid="{00000000-0005-0000-0000-0000D37D0000}"/>
    <cellStyle name="40% - Accent5 3 4 2 4" xfId="3570" xr:uid="{00000000-0005-0000-0000-0000D47D0000}"/>
    <cellStyle name="40% - Accent5 3 4 2 4 2" xfId="6824" xr:uid="{00000000-0005-0000-0000-0000D57D0000}"/>
    <cellStyle name="40% - Accent5 3 4 2 4 2 2" xfId="13283" xr:uid="{00000000-0005-0000-0000-0000D67D0000}"/>
    <cellStyle name="40% - Accent5 3 4 2 4 2 2 2" xfId="26200" xr:uid="{00000000-0005-0000-0000-0000D77D0000}"/>
    <cellStyle name="40% - Accent5 3 4 2 4 2 2 2 2" xfId="52074" xr:uid="{00000000-0005-0000-0000-0000D87D0000}"/>
    <cellStyle name="40% - Accent5 3 4 2 4 2 2 3" xfId="39158" xr:uid="{00000000-0005-0000-0000-0000D97D0000}"/>
    <cellStyle name="40% - Accent5 3 4 2 4 2 3" xfId="19742" xr:uid="{00000000-0005-0000-0000-0000DA7D0000}"/>
    <cellStyle name="40% - Accent5 3 4 2 4 2 3 2" xfId="45616" xr:uid="{00000000-0005-0000-0000-0000DB7D0000}"/>
    <cellStyle name="40% - Accent5 3 4 2 4 2 4" xfId="32700" xr:uid="{00000000-0005-0000-0000-0000DC7D0000}"/>
    <cellStyle name="40% - Accent5 3 4 2 4 3" xfId="10055" xr:uid="{00000000-0005-0000-0000-0000DD7D0000}"/>
    <cellStyle name="40% - Accent5 3 4 2 4 3 2" xfId="22972" xr:uid="{00000000-0005-0000-0000-0000DE7D0000}"/>
    <cellStyle name="40% - Accent5 3 4 2 4 3 2 2" xfId="48846" xr:uid="{00000000-0005-0000-0000-0000DF7D0000}"/>
    <cellStyle name="40% - Accent5 3 4 2 4 3 3" xfId="35930" xr:uid="{00000000-0005-0000-0000-0000E07D0000}"/>
    <cellStyle name="40% - Accent5 3 4 2 4 4" xfId="16514" xr:uid="{00000000-0005-0000-0000-0000E17D0000}"/>
    <cellStyle name="40% - Accent5 3 4 2 4 4 2" xfId="42388" xr:uid="{00000000-0005-0000-0000-0000E27D0000}"/>
    <cellStyle name="40% - Accent5 3 4 2 4 5" xfId="29440" xr:uid="{00000000-0005-0000-0000-0000E37D0000}"/>
    <cellStyle name="40% - Accent5 3 4 2 5" xfId="5210" xr:uid="{00000000-0005-0000-0000-0000E47D0000}"/>
    <cellStyle name="40% - Accent5 3 4 2 5 2" xfId="11669" xr:uid="{00000000-0005-0000-0000-0000E57D0000}"/>
    <cellStyle name="40% - Accent5 3 4 2 5 2 2" xfId="24586" xr:uid="{00000000-0005-0000-0000-0000E67D0000}"/>
    <cellStyle name="40% - Accent5 3 4 2 5 2 2 2" xfId="50460" xr:uid="{00000000-0005-0000-0000-0000E77D0000}"/>
    <cellStyle name="40% - Accent5 3 4 2 5 2 3" xfId="37544" xr:uid="{00000000-0005-0000-0000-0000E87D0000}"/>
    <cellStyle name="40% - Accent5 3 4 2 5 3" xfId="18128" xr:uid="{00000000-0005-0000-0000-0000E97D0000}"/>
    <cellStyle name="40% - Accent5 3 4 2 5 3 2" xfId="44002" xr:uid="{00000000-0005-0000-0000-0000EA7D0000}"/>
    <cellStyle name="40% - Accent5 3 4 2 5 4" xfId="31086" xr:uid="{00000000-0005-0000-0000-0000EB7D0000}"/>
    <cellStyle name="40% - Accent5 3 4 2 6" xfId="8441" xr:uid="{00000000-0005-0000-0000-0000EC7D0000}"/>
    <cellStyle name="40% - Accent5 3 4 2 6 2" xfId="21358" xr:uid="{00000000-0005-0000-0000-0000ED7D0000}"/>
    <cellStyle name="40% - Accent5 3 4 2 6 2 2" xfId="47232" xr:uid="{00000000-0005-0000-0000-0000EE7D0000}"/>
    <cellStyle name="40% - Accent5 3 4 2 6 3" xfId="34316" xr:uid="{00000000-0005-0000-0000-0000EF7D0000}"/>
    <cellStyle name="40% - Accent5 3 4 2 7" xfId="14900" xr:uid="{00000000-0005-0000-0000-0000F07D0000}"/>
    <cellStyle name="40% - Accent5 3 4 2 7 2" xfId="40774" xr:uid="{00000000-0005-0000-0000-0000F17D0000}"/>
    <cellStyle name="40% - Accent5 3 4 2 8" xfId="27825" xr:uid="{00000000-0005-0000-0000-0000F27D0000}"/>
    <cellStyle name="40% - Accent5 3 4 2 9" xfId="53688" xr:uid="{00000000-0005-0000-0000-0000F37D0000}"/>
    <cellStyle name="40% - Accent5 3 4 3" xfId="2138" xr:uid="{00000000-0005-0000-0000-0000F47D0000}"/>
    <cellStyle name="40% - Accent5 3 4 3 2" xfId="2952" xr:uid="{00000000-0005-0000-0000-0000F57D0000}"/>
    <cellStyle name="40% - Accent5 3 4 3 2 2" xfId="4609" xr:uid="{00000000-0005-0000-0000-0000F67D0000}"/>
    <cellStyle name="40% - Accent5 3 4 3 2 2 2" xfId="7840" xr:uid="{00000000-0005-0000-0000-0000F77D0000}"/>
    <cellStyle name="40% - Accent5 3 4 3 2 2 2 2" xfId="14299" xr:uid="{00000000-0005-0000-0000-0000F87D0000}"/>
    <cellStyle name="40% - Accent5 3 4 3 2 2 2 2 2" xfId="27216" xr:uid="{00000000-0005-0000-0000-0000F97D0000}"/>
    <cellStyle name="40% - Accent5 3 4 3 2 2 2 2 2 2" xfId="53090" xr:uid="{00000000-0005-0000-0000-0000FA7D0000}"/>
    <cellStyle name="40% - Accent5 3 4 3 2 2 2 2 3" xfId="40174" xr:uid="{00000000-0005-0000-0000-0000FB7D0000}"/>
    <cellStyle name="40% - Accent5 3 4 3 2 2 2 3" xfId="20758" xr:uid="{00000000-0005-0000-0000-0000FC7D0000}"/>
    <cellStyle name="40% - Accent5 3 4 3 2 2 2 3 2" xfId="46632" xr:uid="{00000000-0005-0000-0000-0000FD7D0000}"/>
    <cellStyle name="40% - Accent5 3 4 3 2 2 2 4" xfId="33716" xr:uid="{00000000-0005-0000-0000-0000FE7D0000}"/>
    <cellStyle name="40% - Accent5 3 4 3 2 2 3" xfId="11071" xr:uid="{00000000-0005-0000-0000-0000FF7D0000}"/>
    <cellStyle name="40% - Accent5 3 4 3 2 2 3 2" xfId="23988" xr:uid="{00000000-0005-0000-0000-0000007E0000}"/>
    <cellStyle name="40% - Accent5 3 4 3 2 2 3 2 2" xfId="49862" xr:uid="{00000000-0005-0000-0000-0000017E0000}"/>
    <cellStyle name="40% - Accent5 3 4 3 2 2 3 3" xfId="36946" xr:uid="{00000000-0005-0000-0000-0000027E0000}"/>
    <cellStyle name="40% - Accent5 3 4 3 2 2 4" xfId="17530" xr:uid="{00000000-0005-0000-0000-0000037E0000}"/>
    <cellStyle name="40% - Accent5 3 4 3 2 2 4 2" xfId="43404" xr:uid="{00000000-0005-0000-0000-0000047E0000}"/>
    <cellStyle name="40% - Accent5 3 4 3 2 2 5" xfId="30456" xr:uid="{00000000-0005-0000-0000-0000057E0000}"/>
    <cellStyle name="40% - Accent5 3 4 3 2 3" xfId="6226" xr:uid="{00000000-0005-0000-0000-0000067E0000}"/>
    <cellStyle name="40% - Accent5 3 4 3 2 3 2" xfId="12685" xr:uid="{00000000-0005-0000-0000-0000077E0000}"/>
    <cellStyle name="40% - Accent5 3 4 3 2 3 2 2" xfId="25602" xr:uid="{00000000-0005-0000-0000-0000087E0000}"/>
    <cellStyle name="40% - Accent5 3 4 3 2 3 2 2 2" xfId="51476" xr:uid="{00000000-0005-0000-0000-0000097E0000}"/>
    <cellStyle name="40% - Accent5 3 4 3 2 3 2 3" xfId="38560" xr:uid="{00000000-0005-0000-0000-00000A7E0000}"/>
    <cellStyle name="40% - Accent5 3 4 3 2 3 3" xfId="19144" xr:uid="{00000000-0005-0000-0000-00000B7E0000}"/>
    <cellStyle name="40% - Accent5 3 4 3 2 3 3 2" xfId="45018" xr:uid="{00000000-0005-0000-0000-00000C7E0000}"/>
    <cellStyle name="40% - Accent5 3 4 3 2 3 4" xfId="32102" xr:uid="{00000000-0005-0000-0000-00000D7E0000}"/>
    <cellStyle name="40% - Accent5 3 4 3 2 4" xfId="9457" xr:uid="{00000000-0005-0000-0000-00000E7E0000}"/>
    <cellStyle name="40% - Accent5 3 4 3 2 4 2" xfId="22374" xr:uid="{00000000-0005-0000-0000-00000F7E0000}"/>
    <cellStyle name="40% - Accent5 3 4 3 2 4 2 2" xfId="48248" xr:uid="{00000000-0005-0000-0000-0000107E0000}"/>
    <cellStyle name="40% - Accent5 3 4 3 2 4 3" xfId="35332" xr:uid="{00000000-0005-0000-0000-0000117E0000}"/>
    <cellStyle name="40% - Accent5 3 4 3 2 5" xfId="15916" xr:uid="{00000000-0005-0000-0000-0000127E0000}"/>
    <cellStyle name="40% - Accent5 3 4 3 2 5 2" xfId="41790" xr:uid="{00000000-0005-0000-0000-0000137E0000}"/>
    <cellStyle name="40% - Accent5 3 4 3 2 6" xfId="28842" xr:uid="{00000000-0005-0000-0000-0000147E0000}"/>
    <cellStyle name="40% - Accent5 3 4 3 3" xfId="3779" xr:uid="{00000000-0005-0000-0000-0000157E0000}"/>
    <cellStyle name="40% - Accent5 3 4 3 3 2" xfId="7033" xr:uid="{00000000-0005-0000-0000-0000167E0000}"/>
    <cellStyle name="40% - Accent5 3 4 3 3 2 2" xfId="13492" xr:uid="{00000000-0005-0000-0000-0000177E0000}"/>
    <cellStyle name="40% - Accent5 3 4 3 3 2 2 2" xfId="26409" xr:uid="{00000000-0005-0000-0000-0000187E0000}"/>
    <cellStyle name="40% - Accent5 3 4 3 3 2 2 2 2" xfId="52283" xr:uid="{00000000-0005-0000-0000-0000197E0000}"/>
    <cellStyle name="40% - Accent5 3 4 3 3 2 2 3" xfId="39367" xr:uid="{00000000-0005-0000-0000-00001A7E0000}"/>
    <cellStyle name="40% - Accent5 3 4 3 3 2 3" xfId="19951" xr:uid="{00000000-0005-0000-0000-00001B7E0000}"/>
    <cellStyle name="40% - Accent5 3 4 3 3 2 3 2" xfId="45825" xr:uid="{00000000-0005-0000-0000-00001C7E0000}"/>
    <cellStyle name="40% - Accent5 3 4 3 3 2 4" xfId="32909" xr:uid="{00000000-0005-0000-0000-00001D7E0000}"/>
    <cellStyle name="40% - Accent5 3 4 3 3 3" xfId="10264" xr:uid="{00000000-0005-0000-0000-00001E7E0000}"/>
    <cellStyle name="40% - Accent5 3 4 3 3 3 2" xfId="23181" xr:uid="{00000000-0005-0000-0000-00001F7E0000}"/>
    <cellStyle name="40% - Accent5 3 4 3 3 3 2 2" xfId="49055" xr:uid="{00000000-0005-0000-0000-0000207E0000}"/>
    <cellStyle name="40% - Accent5 3 4 3 3 3 3" xfId="36139" xr:uid="{00000000-0005-0000-0000-0000217E0000}"/>
    <cellStyle name="40% - Accent5 3 4 3 3 4" xfId="16723" xr:uid="{00000000-0005-0000-0000-0000227E0000}"/>
    <cellStyle name="40% - Accent5 3 4 3 3 4 2" xfId="42597" xr:uid="{00000000-0005-0000-0000-0000237E0000}"/>
    <cellStyle name="40% - Accent5 3 4 3 3 5" xfId="29649" xr:uid="{00000000-0005-0000-0000-0000247E0000}"/>
    <cellStyle name="40% - Accent5 3 4 3 4" xfId="5419" xr:uid="{00000000-0005-0000-0000-0000257E0000}"/>
    <cellStyle name="40% - Accent5 3 4 3 4 2" xfId="11878" xr:uid="{00000000-0005-0000-0000-0000267E0000}"/>
    <cellStyle name="40% - Accent5 3 4 3 4 2 2" xfId="24795" xr:uid="{00000000-0005-0000-0000-0000277E0000}"/>
    <cellStyle name="40% - Accent5 3 4 3 4 2 2 2" xfId="50669" xr:uid="{00000000-0005-0000-0000-0000287E0000}"/>
    <cellStyle name="40% - Accent5 3 4 3 4 2 3" xfId="37753" xr:uid="{00000000-0005-0000-0000-0000297E0000}"/>
    <cellStyle name="40% - Accent5 3 4 3 4 3" xfId="18337" xr:uid="{00000000-0005-0000-0000-00002A7E0000}"/>
    <cellStyle name="40% - Accent5 3 4 3 4 3 2" xfId="44211" xr:uid="{00000000-0005-0000-0000-00002B7E0000}"/>
    <cellStyle name="40% - Accent5 3 4 3 4 4" xfId="31295" xr:uid="{00000000-0005-0000-0000-00002C7E0000}"/>
    <cellStyle name="40% - Accent5 3 4 3 5" xfId="8650" xr:uid="{00000000-0005-0000-0000-00002D7E0000}"/>
    <cellStyle name="40% - Accent5 3 4 3 5 2" xfId="21567" xr:uid="{00000000-0005-0000-0000-00002E7E0000}"/>
    <cellStyle name="40% - Accent5 3 4 3 5 2 2" xfId="47441" xr:uid="{00000000-0005-0000-0000-00002F7E0000}"/>
    <cellStyle name="40% - Accent5 3 4 3 5 3" xfId="34525" xr:uid="{00000000-0005-0000-0000-0000307E0000}"/>
    <cellStyle name="40% - Accent5 3 4 3 6" xfId="15109" xr:uid="{00000000-0005-0000-0000-0000317E0000}"/>
    <cellStyle name="40% - Accent5 3 4 3 6 2" xfId="40983" xr:uid="{00000000-0005-0000-0000-0000327E0000}"/>
    <cellStyle name="40% - Accent5 3 4 3 7" xfId="28035" xr:uid="{00000000-0005-0000-0000-0000337E0000}"/>
    <cellStyle name="40% - Accent5 3 4 3 8" xfId="53897" xr:uid="{00000000-0005-0000-0000-0000347E0000}"/>
    <cellStyle name="40% - Accent5 3 4 4" xfId="2549" xr:uid="{00000000-0005-0000-0000-0000357E0000}"/>
    <cellStyle name="40% - Accent5 3 4 4 2" xfId="4206" xr:uid="{00000000-0005-0000-0000-0000367E0000}"/>
    <cellStyle name="40% - Accent5 3 4 4 2 2" xfId="7437" xr:uid="{00000000-0005-0000-0000-0000377E0000}"/>
    <cellStyle name="40% - Accent5 3 4 4 2 2 2" xfId="13896" xr:uid="{00000000-0005-0000-0000-0000387E0000}"/>
    <cellStyle name="40% - Accent5 3 4 4 2 2 2 2" xfId="26813" xr:uid="{00000000-0005-0000-0000-0000397E0000}"/>
    <cellStyle name="40% - Accent5 3 4 4 2 2 2 2 2" xfId="52687" xr:uid="{00000000-0005-0000-0000-00003A7E0000}"/>
    <cellStyle name="40% - Accent5 3 4 4 2 2 2 3" xfId="39771" xr:uid="{00000000-0005-0000-0000-00003B7E0000}"/>
    <cellStyle name="40% - Accent5 3 4 4 2 2 3" xfId="20355" xr:uid="{00000000-0005-0000-0000-00003C7E0000}"/>
    <cellStyle name="40% - Accent5 3 4 4 2 2 3 2" xfId="46229" xr:uid="{00000000-0005-0000-0000-00003D7E0000}"/>
    <cellStyle name="40% - Accent5 3 4 4 2 2 4" xfId="33313" xr:uid="{00000000-0005-0000-0000-00003E7E0000}"/>
    <cellStyle name="40% - Accent5 3 4 4 2 3" xfId="10668" xr:uid="{00000000-0005-0000-0000-00003F7E0000}"/>
    <cellStyle name="40% - Accent5 3 4 4 2 3 2" xfId="23585" xr:uid="{00000000-0005-0000-0000-0000407E0000}"/>
    <cellStyle name="40% - Accent5 3 4 4 2 3 2 2" xfId="49459" xr:uid="{00000000-0005-0000-0000-0000417E0000}"/>
    <cellStyle name="40% - Accent5 3 4 4 2 3 3" xfId="36543" xr:uid="{00000000-0005-0000-0000-0000427E0000}"/>
    <cellStyle name="40% - Accent5 3 4 4 2 4" xfId="17127" xr:uid="{00000000-0005-0000-0000-0000437E0000}"/>
    <cellStyle name="40% - Accent5 3 4 4 2 4 2" xfId="43001" xr:uid="{00000000-0005-0000-0000-0000447E0000}"/>
    <cellStyle name="40% - Accent5 3 4 4 2 5" xfId="30053" xr:uid="{00000000-0005-0000-0000-0000457E0000}"/>
    <cellStyle name="40% - Accent5 3 4 4 3" xfId="5823" xr:uid="{00000000-0005-0000-0000-0000467E0000}"/>
    <cellStyle name="40% - Accent5 3 4 4 3 2" xfId="12282" xr:uid="{00000000-0005-0000-0000-0000477E0000}"/>
    <cellStyle name="40% - Accent5 3 4 4 3 2 2" xfId="25199" xr:uid="{00000000-0005-0000-0000-0000487E0000}"/>
    <cellStyle name="40% - Accent5 3 4 4 3 2 2 2" xfId="51073" xr:uid="{00000000-0005-0000-0000-0000497E0000}"/>
    <cellStyle name="40% - Accent5 3 4 4 3 2 3" xfId="38157" xr:uid="{00000000-0005-0000-0000-00004A7E0000}"/>
    <cellStyle name="40% - Accent5 3 4 4 3 3" xfId="18741" xr:uid="{00000000-0005-0000-0000-00004B7E0000}"/>
    <cellStyle name="40% - Accent5 3 4 4 3 3 2" xfId="44615" xr:uid="{00000000-0005-0000-0000-00004C7E0000}"/>
    <cellStyle name="40% - Accent5 3 4 4 3 4" xfId="31699" xr:uid="{00000000-0005-0000-0000-00004D7E0000}"/>
    <cellStyle name="40% - Accent5 3 4 4 4" xfId="9054" xr:uid="{00000000-0005-0000-0000-00004E7E0000}"/>
    <cellStyle name="40% - Accent5 3 4 4 4 2" xfId="21971" xr:uid="{00000000-0005-0000-0000-00004F7E0000}"/>
    <cellStyle name="40% - Accent5 3 4 4 4 2 2" xfId="47845" xr:uid="{00000000-0005-0000-0000-0000507E0000}"/>
    <cellStyle name="40% - Accent5 3 4 4 4 3" xfId="34929" xr:uid="{00000000-0005-0000-0000-0000517E0000}"/>
    <cellStyle name="40% - Accent5 3 4 4 5" xfId="15513" xr:uid="{00000000-0005-0000-0000-0000527E0000}"/>
    <cellStyle name="40% - Accent5 3 4 4 5 2" xfId="41387" xr:uid="{00000000-0005-0000-0000-0000537E0000}"/>
    <cellStyle name="40% - Accent5 3 4 4 6" xfId="28439" xr:uid="{00000000-0005-0000-0000-0000547E0000}"/>
    <cellStyle name="40% - Accent5 3 4 5" xfId="3374" xr:uid="{00000000-0005-0000-0000-0000557E0000}"/>
    <cellStyle name="40% - Accent5 3 4 5 2" xfId="6630" xr:uid="{00000000-0005-0000-0000-0000567E0000}"/>
    <cellStyle name="40% - Accent5 3 4 5 2 2" xfId="13089" xr:uid="{00000000-0005-0000-0000-0000577E0000}"/>
    <cellStyle name="40% - Accent5 3 4 5 2 2 2" xfId="26006" xr:uid="{00000000-0005-0000-0000-0000587E0000}"/>
    <cellStyle name="40% - Accent5 3 4 5 2 2 2 2" xfId="51880" xr:uid="{00000000-0005-0000-0000-0000597E0000}"/>
    <cellStyle name="40% - Accent5 3 4 5 2 2 3" xfId="38964" xr:uid="{00000000-0005-0000-0000-00005A7E0000}"/>
    <cellStyle name="40% - Accent5 3 4 5 2 3" xfId="19548" xr:uid="{00000000-0005-0000-0000-00005B7E0000}"/>
    <cellStyle name="40% - Accent5 3 4 5 2 3 2" xfId="45422" xr:uid="{00000000-0005-0000-0000-00005C7E0000}"/>
    <cellStyle name="40% - Accent5 3 4 5 2 4" xfId="32506" xr:uid="{00000000-0005-0000-0000-00005D7E0000}"/>
    <cellStyle name="40% - Accent5 3 4 5 3" xfId="9861" xr:uid="{00000000-0005-0000-0000-00005E7E0000}"/>
    <cellStyle name="40% - Accent5 3 4 5 3 2" xfId="22778" xr:uid="{00000000-0005-0000-0000-00005F7E0000}"/>
    <cellStyle name="40% - Accent5 3 4 5 3 2 2" xfId="48652" xr:uid="{00000000-0005-0000-0000-0000607E0000}"/>
    <cellStyle name="40% - Accent5 3 4 5 3 3" xfId="35736" xr:uid="{00000000-0005-0000-0000-0000617E0000}"/>
    <cellStyle name="40% - Accent5 3 4 5 4" xfId="16320" xr:uid="{00000000-0005-0000-0000-0000627E0000}"/>
    <cellStyle name="40% - Accent5 3 4 5 4 2" xfId="42194" xr:uid="{00000000-0005-0000-0000-0000637E0000}"/>
    <cellStyle name="40% - Accent5 3 4 5 5" xfId="29246" xr:uid="{00000000-0005-0000-0000-0000647E0000}"/>
    <cellStyle name="40% - Accent5 3 4 6" xfId="5016" xr:uid="{00000000-0005-0000-0000-0000657E0000}"/>
    <cellStyle name="40% - Accent5 3 4 6 2" xfId="11475" xr:uid="{00000000-0005-0000-0000-0000667E0000}"/>
    <cellStyle name="40% - Accent5 3 4 6 2 2" xfId="24392" xr:uid="{00000000-0005-0000-0000-0000677E0000}"/>
    <cellStyle name="40% - Accent5 3 4 6 2 2 2" xfId="50266" xr:uid="{00000000-0005-0000-0000-0000687E0000}"/>
    <cellStyle name="40% - Accent5 3 4 6 2 3" xfId="37350" xr:uid="{00000000-0005-0000-0000-0000697E0000}"/>
    <cellStyle name="40% - Accent5 3 4 6 3" xfId="17934" xr:uid="{00000000-0005-0000-0000-00006A7E0000}"/>
    <cellStyle name="40% - Accent5 3 4 6 3 2" xfId="43808" xr:uid="{00000000-0005-0000-0000-00006B7E0000}"/>
    <cellStyle name="40% - Accent5 3 4 6 4" xfId="30892" xr:uid="{00000000-0005-0000-0000-00006C7E0000}"/>
    <cellStyle name="40% - Accent5 3 4 7" xfId="8246" xr:uid="{00000000-0005-0000-0000-00006D7E0000}"/>
    <cellStyle name="40% - Accent5 3 4 7 2" xfId="21163" xr:uid="{00000000-0005-0000-0000-00006E7E0000}"/>
    <cellStyle name="40% - Accent5 3 4 7 2 2" xfId="47037" xr:uid="{00000000-0005-0000-0000-00006F7E0000}"/>
    <cellStyle name="40% - Accent5 3 4 7 3" xfId="34121" xr:uid="{00000000-0005-0000-0000-0000707E0000}"/>
    <cellStyle name="40% - Accent5 3 4 8" xfId="14705" xr:uid="{00000000-0005-0000-0000-0000717E0000}"/>
    <cellStyle name="40% - Accent5 3 4 8 2" xfId="40579" xr:uid="{00000000-0005-0000-0000-0000727E0000}"/>
    <cellStyle name="40% - Accent5 3 4 9" xfId="27629" xr:uid="{00000000-0005-0000-0000-0000737E0000}"/>
    <cellStyle name="40% - Accent5 3 5" xfId="755" xr:uid="{00000000-0005-0000-0000-0000747E0000}"/>
    <cellStyle name="40% - Accent5 3 6" xfId="1130" xr:uid="{00000000-0005-0000-0000-0000757E0000}"/>
    <cellStyle name="40% - Accent5 4" xfId="238" xr:uid="{00000000-0005-0000-0000-0000767E0000}"/>
    <cellStyle name="40% - Accent5 4 2" xfId="428" xr:uid="{00000000-0005-0000-0000-0000777E0000}"/>
    <cellStyle name="40% - Accent5 4 2 2" xfId="765" xr:uid="{00000000-0005-0000-0000-0000787E0000}"/>
    <cellStyle name="40% - Accent5 4 2 3" xfId="764" xr:uid="{00000000-0005-0000-0000-0000797E0000}"/>
    <cellStyle name="40% - Accent5 4 2 4" xfId="1684" xr:uid="{00000000-0005-0000-0000-00007A7E0000}"/>
    <cellStyle name="40% - Accent5 4 3" xfId="766" xr:uid="{00000000-0005-0000-0000-00007B7E0000}"/>
    <cellStyle name="40% - Accent5 4 3 10" xfId="53539" xr:uid="{00000000-0005-0000-0000-00007C7E0000}"/>
    <cellStyle name="40% - Accent5 4 3 11" xfId="1623" xr:uid="{00000000-0005-0000-0000-00007D7E0000}"/>
    <cellStyle name="40% - Accent5 4 3 2" xfId="1948" xr:uid="{00000000-0005-0000-0000-00007E7E0000}"/>
    <cellStyle name="40% - Accent5 4 3 2 2" xfId="2379" xr:uid="{00000000-0005-0000-0000-00007F7E0000}"/>
    <cellStyle name="40% - Accent5 4 3 2 2 2" xfId="3192" xr:uid="{00000000-0005-0000-0000-0000807E0000}"/>
    <cellStyle name="40% - Accent5 4 3 2 2 2 2" xfId="4849" xr:uid="{00000000-0005-0000-0000-0000817E0000}"/>
    <cellStyle name="40% - Accent5 4 3 2 2 2 2 2" xfId="8080" xr:uid="{00000000-0005-0000-0000-0000827E0000}"/>
    <cellStyle name="40% - Accent5 4 3 2 2 2 2 2 2" xfId="14539" xr:uid="{00000000-0005-0000-0000-0000837E0000}"/>
    <cellStyle name="40% - Accent5 4 3 2 2 2 2 2 2 2" xfId="27456" xr:uid="{00000000-0005-0000-0000-0000847E0000}"/>
    <cellStyle name="40% - Accent5 4 3 2 2 2 2 2 2 2 2" xfId="53330" xr:uid="{00000000-0005-0000-0000-0000857E0000}"/>
    <cellStyle name="40% - Accent5 4 3 2 2 2 2 2 2 3" xfId="40414" xr:uid="{00000000-0005-0000-0000-0000867E0000}"/>
    <cellStyle name="40% - Accent5 4 3 2 2 2 2 2 3" xfId="20998" xr:uid="{00000000-0005-0000-0000-0000877E0000}"/>
    <cellStyle name="40% - Accent5 4 3 2 2 2 2 2 3 2" xfId="46872" xr:uid="{00000000-0005-0000-0000-0000887E0000}"/>
    <cellStyle name="40% - Accent5 4 3 2 2 2 2 2 4" xfId="33956" xr:uid="{00000000-0005-0000-0000-0000897E0000}"/>
    <cellStyle name="40% - Accent5 4 3 2 2 2 2 3" xfId="11311" xr:uid="{00000000-0005-0000-0000-00008A7E0000}"/>
    <cellStyle name="40% - Accent5 4 3 2 2 2 2 3 2" xfId="24228" xr:uid="{00000000-0005-0000-0000-00008B7E0000}"/>
    <cellStyle name="40% - Accent5 4 3 2 2 2 2 3 2 2" xfId="50102" xr:uid="{00000000-0005-0000-0000-00008C7E0000}"/>
    <cellStyle name="40% - Accent5 4 3 2 2 2 2 3 3" xfId="37186" xr:uid="{00000000-0005-0000-0000-00008D7E0000}"/>
    <cellStyle name="40% - Accent5 4 3 2 2 2 2 4" xfId="17770" xr:uid="{00000000-0005-0000-0000-00008E7E0000}"/>
    <cellStyle name="40% - Accent5 4 3 2 2 2 2 4 2" xfId="43644" xr:uid="{00000000-0005-0000-0000-00008F7E0000}"/>
    <cellStyle name="40% - Accent5 4 3 2 2 2 2 5" xfId="30696" xr:uid="{00000000-0005-0000-0000-0000907E0000}"/>
    <cellStyle name="40% - Accent5 4 3 2 2 2 3" xfId="6466" xr:uid="{00000000-0005-0000-0000-0000917E0000}"/>
    <cellStyle name="40% - Accent5 4 3 2 2 2 3 2" xfId="12925" xr:uid="{00000000-0005-0000-0000-0000927E0000}"/>
    <cellStyle name="40% - Accent5 4 3 2 2 2 3 2 2" xfId="25842" xr:uid="{00000000-0005-0000-0000-0000937E0000}"/>
    <cellStyle name="40% - Accent5 4 3 2 2 2 3 2 2 2" xfId="51716" xr:uid="{00000000-0005-0000-0000-0000947E0000}"/>
    <cellStyle name="40% - Accent5 4 3 2 2 2 3 2 3" xfId="38800" xr:uid="{00000000-0005-0000-0000-0000957E0000}"/>
    <cellStyle name="40% - Accent5 4 3 2 2 2 3 3" xfId="19384" xr:uid="{00000000-0005-0000-0000-0000967E0000}"/>
    <cellStyle name="40% - Accent5 4 3 2 2 2 3 3 2" xfId="45258" xr:uid="{00000000-0005-0000-0000-0000977E0000}"/>
    <cellStyle name="40% - Accent5 4 3 2 2 2 3 4" xfId="32342" xr:uid="{00000000-0005-0000-0000-0000987E0000}"/>
    <cellStyle name="40% - Accent5 4 3 2 2 2 4" xfId="9697" xr:uid="{00000000-0005-0000-0000-0000997E0000}"/>
    <cellStyle name="40% - Accent5 4 3 2 2 2 4 2" xfId="22614" xr:uid="{00000000-0005-0000-0000-00009A7E0000}"/>
    <cellStyle name="40% - Accent5 4 3 2 2 2 4 2 2" xfId="48488" xr:uid="{00000000-0005-0000-0000-00009B7E0000}"/>
    <cellStyle name="40% - Accent5 4 3 2 2 2 4 3" xfId="35572" xr:uid="{00000000-0005-0000-0000-00009C7E0000}"/>
    <cellStyle name="40% - Accent5 4 3 2 2 2 5" xfId="16156" xr:uid="{00000000-0005-0000-0000-00009D7E0000}"/>
    <cellStyle name="40% - Accent5 4 3 2 2 2 5 2" xfId="42030" xr:uid="{00000000-0005-0000-0000-00009E7E0000}"/>
    <cellStyle name="40% - Accent5 4 3 2 2 2 6" xfId="29082" xr:uid="{00000000-0005-0000-0000-00009F7E0000}"/>
    <cellStyle name="40% - Accent5 4 3 2 2 3" xfId="4019" xr:uid="{00000000-0005-0000-0000-0000A07E0000}"/>
    <cellStyle name="40% - Accent5 4 3 2 2 3 2" xfId="7273" xr:uid="{00000000-0005-0000-0000-0000A17E0000}"/>
    <cellStyle name="40% - Accent5 4 3 2 2 3 2 2" xfId="13732" xr:uid="{00000000-0005-0000-0000-0000A27E0000}"/>
    <cellStyle name="40% - Accent5 4 3 2 2 3 2 2 2" xfId="26649" xr:uid="{00000000-0005-0000-0000-0000A37E0000}"/>
    <cellStyle name="40% - Accent5 4 3 2 2 3 2 2 2 2" xfId="52523" xr:uid="{00000000-0005-0000-0000-0000A47E0000}"/>
    <cellStyle name="40% - Accent5 4 3 2 2 3 2 2 3" xfId="39607" xr:uid="{00000000-0005-0000-0000-0000A57E0000}"/>
    <cellStyle name="40% - Accent5 4 3 2 2 3 2 3" xfId="20191" xr:uid="{00000000-0005-0000-0000-0000A67E0000}"/>
    <cellStyle name="40% - Accent5 4 3 2 2 3 2 3 2" xfId="46065" xr:uid="{00000000-0005-0000-0000-0000A77E0000}"/>
    <cellStyle name="40% - Accent5 4 3 2 2 3 2 4" xfId="33149" xr:uid="{00000000-0005-0000-0000-0000A87E0000}"/>
    <cellStyle name="40% - Accent5 4 3 2 2 3 3" xfId="10504" xr:uid="{00000000-0005-0000-0000-0000A97E0000}"/>
    <cellStyle name="40% - Accent5 4 3 2 2 3 3 2" xfId="23421" xr:uid="{00000000-0005-0000-0000-0000AA7E0000}"/>
    <cellStyle name="40% - Accent5 4 3 2 2 3 3 2 2" xfId="49295" xr:uid="{00000000-0005-0000-0000-0000AB7E0000}"/>
    <cellStyle name="40% - Accent5 4 3 2 2 3 3 3" xfId="36379" xr:uid="{00000000-0005-0000-0000-0000AC7E0000}"/>
    <cellStyle name="40% - Accent5 4 3 2 2 3 4" xfId="16963" xr:uid="{00000000-0005-0000-0000-0000AD7E0000}"/>
    <cellStyle name="40% - Accent5 4 3 2 2 3 4 2" xfId="42837" xr:uid="{00000000-0005-0000-0000-0000AE7E0000}"/>
    <cellStyle name="40% - Accent5 4 3 2 2 3 5" xfId="29889" xr:uid="{00000000-0005-0000-0000-0000AF7E0000}"/>
    <cellStyle name="40% - Accent5 4 3 2 2 4" xfId="5659" xr:uid="{00000000-0005-0000-0000-0000B07E0000}"/>
    <cellStyle name="40% - Accent5 4 3 2 2 4 2" xfId="12118" xr:uid="{00000000-0005-0000-0000-0000B17E0000}"/>
    <cellStyle name="40% - Accent5 4 3 2 2 4 2 2" xfId="25035" xr:uid="{00000000-0005-0000-0000-0000B27E0000}"/>
    <cellStyle name="40% - Accent5 4 3 2 2 4 2 2 2" xfId="50909" xr:uid="{00000000-0005-0000-0000-0000B37E0000}"/>
    <cellStyle name="40% - Accent5 4 3 2 2 4 2 3" xfId="37993" xr:uid="{00000000-0005-0000-0000-0000B47E0000}"/>
    <cellStyle name="40% - Accent5 4 3 2 2 4 3" xfId="18577" xr:uid="{00000000-0005-0000-0000-0000B57E0000}"/>
    <cellStyle name="40% - Accent5 4 3 2 2 4 3 2" xfId="44451" xr:uid="{00000000-0005-0000-0000-0000B67E0000}"/>
    <cellStyle name="40% - Accent5 4 3 2 2 4 4" xfId="31535" xr:uid="{00000000-0005-0000-0000-0000B77E0000}"/>
    <cellStyle name="40% - Accent5 4 3 2 2 5" xfId="8890" xr:uid="{00000000-0005-0000-0000-0000B87E0000}"/>
    <cellStyle name="40% - Accent5 4 3 2 2 5 2" xfId="21807" xr:uid="{00000000-0005-0000-0000-0000B97E0000}"/>
    <cellStyle name="40% - Accent5 4 3 2 2 5 2 2" xfId="47681" xr:uid="{00000000-0005-0000-0000-0000BA7E0000}"/>
    <cellStyle name="40% - Accent5 4 3 2 2 5 3" xfId="34765" xr:uid="{00000000-0005-0000-0000-0000BB7E0000}"/>
    <cellStyle name="40% - Accent5 4 3 2 2 6" xfId="15349" xr:uid="{00000000-0005-0000-0000-0000BC7E0000}"/>
    <cellStyle name="40% - Accent5 4 3 2 2 6 2" xfId="41223" xr:uid="{00000000-0005-0000-0000-0000BD7E0000}"/>
    <cellStyle name="40% - Accent5 4 3 2 2 7" xfId="28275" xr:uid="{00000000-0005-0000-0000-0000BE7E0000}"/>
    <cellStyle name="40% - Accent5 4 3 2 2 8" xfId="54137" xr:uid="{00000000-0005-0000-0000-0000BF7E0000}"/>
    <cellStyle name="40% - Accent5 4 3 2 3" xfId="2788" xr:uid="{00000000-0005-0000-0000-0000C07E0000}"/>
    <cellStyle name="40% - Accent5 4 3 2 3 2" xfId="4445" xr:uid="{00000000-0005-0000-0000-0000C17E0000}"/>
    <cellStyle name="40% - Accent5 4 3 2 3 2 2" xfId="7676" xr:uid="{00000000-0005-0000-0000-0000C27E0000}"/>
    <cellStyle name="40% - Accent5 4 3 2 3 2 2 2" xfId="14135" xr:uid="{00000000-0005-0000-0000-0000C37E0000}"/>
    <cellStyle name="40% - Accent5 4 3 2 3 2 2 2 2" xfId="27052" xr:uid="{00000000-0005-0000-0000-0000C47E0000}"/>
    <cellStyle name="40% - Accent5 4 3 2 3 2 2 2 2 2" xfId="52926" xr:uid="{00000000-0005-0000-0000-0000C57E0000}"/>
    <cellStyle name="40% - Accent5 4 3 2 3 2 2 2 3" xfId="40010" xr:uid="{00000000-0005-0000-0000-0000C67E0000}"/>
    <cellStyle name="40% - Accent5 4 3 2 3 2 2 3" xfId="20594" xr:uid="{00000000-0005-0000-0000-0000C77E0000}"/>
    <cellStyle name="40% - Accent5 4 3 2 3 2 2 3 2" xfId="46468" xr:uid="{00000000-0005-0000-0000-0000C87E0000}"/>
    <cellStyle name="40% - Accent5 4 3 2 3 2 2 4" xfId="33552" xr:uid="{00000000-0005-0000-0000-0000C97E0000}"/>
    <cellStyle name="40% - Accent5 4 3 2 3 2 3" xfId="10907" xr:uid="{00000000-0005-0000-0000-0000CA7E0000}"/>
    <cellStyle name="40% - Accent5 4 3 2 3 2 3 2" xfId="23824" xr:uid="{00000000-0005-0000-0000-0000CB7E0000}"/>
    <cellStyle name="40% - Accent5 4 3 2 3 2 3 2 2" xfId="49698" xr:uid="{00000000-0005-0000-0000-0000CC7E0000}"/>
    <cellStyle name="40% - Accent5 4 3 2 3 2 3 3" xfId="36782" xr:uid="{00000000-0005-0000-0000-0000CD7E0000}"/>
    <cellStyle name="40% - Accent5 4 3 2 3 2 4" xfId="17366" xr:uid="{00000000-0005-0000-0000-0000CE7E0000}"/>
    <cellStyle name="40% - Accent5 4 3 2 3 2 4 2" xfId="43240" xr:uid="{00000000-0005-0000-0000-0000CF7E0000}"/>
    <cellStyle name="40% - Accent5 4 3 2 3 2 5" xfId="30292" xr:uid="{00000000-0005-0000-0000-0000D07E0000}"/>
    <cellStyle name="40% - Accent5 4 3 2 3 3" xfId="6062" xr:uid="{00000000-0005-0000-0000-0000D17E0000}"/>
    <cellStyle name="40% - Accent5 4 3 2 3 3 2" xfId="12521" xr:uid="{00000000-0005-0000-0000-0000D27E0000}"/>
    <cellStyle name="40% - Accent5 4 3 2 3 3 2 2" xfId="25438" xr:uid="{00000000-0005-0000-0000-0000D37E0000}"/>
    <cellStyle name="40% - Accent5 4 3 2 3 3 2 2 2" xfId="51312" xr:uid="{00000000-0005-0000-0000-0000D47E0000}"/>
    <cellStyle name="40% - Accent5 4 3 2 3 3 2 3" xfId="38396" xr:uid="{00000000-0005-0000-0000-0000D57E0000}"/>
    <cellStyle name="40% - Accent5 4 3 2 3 3 3" xfId="18980" xr:uid="{00000000-0005-0000-0000-0000D67E0000}"/>
    <cellStyle name="40% - Accent5 4 3 2 3 3 3 2" xfId="44854" xr:uid="{00000000-0005-0000-0000-0000D77E0000}"/>
    <cellStyle name="40% - Accent5 4 3 2 3 3 4" xfId="31938" xr:uid="{00000000-0005-0000-0000-0000D87E0000}"/>
    <cellStyle name="40% - Accent5 4 3 2 3 4" xfId="9293" xr:uid="{00000000-0005-0000-0000-0000D97E0000}"/>
    <cellStyle name="40% - Accent5 4 3 2 3 4 2" xfId="22210" xr:uid="{00000000-0005-0000-0000-0000DA7E0000}"/>
    <cellStyle name="40% - Accent5 4 3 2 3 4 2 2" xfId="48084" xr:uid="{00000000-0005-0000-0000-0000DB7E0000}"/>
    <cellStyle name="40% - Accent5 4 3 2 3 4 3" xfId="35168" xr:uid="{00000000-0005-0000-0000-0000DC7E0000}"/>
    <cellStyle name="40% - Accent5 4 3 2 3 5" xfId="15752" xr:uid="{00000000-0005-0000-0000-0000DD7E0000}"/>
    <cellStyle name="40% - Accent5 4 3 2 3 5 2" xfId="41626" xr:uid="{00000000-0005-0000-0000-0000DE7E0000}"/>
    <cellStyle name="40% - Accent5 4 3 2 3 6" xfId="28678" xr:uid="{00000000-0005-0000-0000-0000DF7E0000}"/>
    <cellStyle name="40% - Accent5 4 3 2 4" xfId="3615" xr:uid="{00000000-0005-0000-0000-0000E07E0000}"/>
    <cellStyle name="40% - Accent5 4 3 2 4 2" xfId="6869" xr:uid="{00000000-0005-0000-0000-0000E17E0000}"/>
    <cellStyle name="40% - Accent5 4 3 2 4 2 2" xfId="13328" xr:uid="{00000000-0005-0000-0000-0000E27E0000}"/>
    <cellStyle name="40% - Accent5 4 3 2 4 2 2 2" xfId="26245" xr:uid="{00000000-0005-0000-0000-0000E37E0000}"/>
    <cellStyle name="40% - Accent5 4 3 2 4 2 2 2 2" xfId="52119" xr:uid="{00000000-0005-0000-0000-0000E47E0000}"/>
    <cellStyle name="40% - Accent5 4 3 2 4 2 2 3" xfId="39203" xr:uid="{00000000-0005-0000-0000-0000E57E0000}"/>
    <cellStyle name="40% - Accent5 4 3 2 4 2 3" xfId="19787" xr:uid="{00000000-0005-0000-0000-0000E67E0000}"/>
    <cellStyle name="40% - Accent5 4 3 2 4 2 3 2" xfId="45661" xr:uid="{00000000-0005-0000-0000-0000E77E0000}"/>
    <cellStyle name="40% - Accent5 4 3 2 4 2 4" xfId="32745" xr:uid="{00000000-0005-0000-0000-0000E87E0000}"/>
    <cellStyle name="40% - Accent5 4 3 2 4 3" xfId="10100" xr:uid="{00000000-0005-0000-0000-0000E97E0000}"/>
    <cellStyle name="40% - Accent5 4 3 2 4 3 2" xfId="23017" xr:uid="{00000000-0005-0000-0000-0000EA7E0000}"/>
    <cellStyle name="40% - Accent5 4 3 2 4 3 2 2" xfId="48891" xr:uid="{00000000-0005-0000-0000-0000EB7E0000}"/>
    <cellStyle name="40% - Accent5 4 3 2 4 3 3" xfId="35975" xr:uid="{00000000-0005-0000-0000-0000EC7E0000}"/>
    <cellStyle name="40% - Accent5 4 3 2 4 4" xfId="16559" xr:uid="{00000000-0005-0000-0000-0000ED7E0000}"/>
    <cellStyle name="40% - Accent5 4 3 2 4 4 2" xfId="42433" xr:uid="{00000000-0005-0000-0000-0000EE7E0000}"/>
    <cellStyle name="40% - Accent5 4 3 2 4 5" xfId="29485" xr:uid="{00000000-0005-0000-0000-0000EF7E0000}"/>
    <cellStyle name="40% - Accent5 4 3 2 5" xfId="5255" xr:uid="{00000000-0005-0000-0000-0000F07E0000}"/>
    <cellStyle name="40% - Accent5 4 3 2 5 2" xfId="11714" xr:uid="{00000000-0005-0000-0000-0000F17E0000}"/>
    <cellStyle name="40% - Accent5 4 3 2 5 2 2" xfId="24631" xr:uid="{00000000-0005-0000-0000-0000F27E0000}"/>
    <cellStyle name="40% - Accent5 4 3 2 5 2 2 2" xfId="50505" xr:uid="{00000000-0005-0000-0000-0000F37E0000}"/>
    <cellStyle name="40% - Accent5 4 3 2 5 2 3" xfId="37589" xr:uid="{00000000-0005-0000-0000-0000F47E0000}"/>
    <cellStyle name="40% - Accent5 4 3 2 5 3" xfId="18173" xr:uid="{00000000-0005-0000-0000-0000F57E0000}"/>
    <cellStyle name="40% - Accent5 4 3 2 5 3 2" xfId="44047" xr:uid="{00000000-0005-0000-0000-0000F67E0000}"/>
    <cellStyle name="40% - Accent5 4 3 2 5 4" xfId="31131" xr:uid="{00000000-0005-0000-0000-0000F77E0000}"/>
    <cellStyle name="40% - Accent5 4 3 2 6" xfId="8486" xr:uid="{00000000-0005-0000-0000-0000F87E0000}"/>
    <cellStyle name="40% - Accent5 4 3 2 6 2" xfId="21403" xr:uid="{00000000-0005-0000-0000-0000F97E0000}"/>
    <cellStyle name="40% - Accent5 4 3 2 6 2 2" xfId="47277" xr:uid="{00000000-0005-0000-0000-0000FA7E0000}"/>
    <cellStyle name="40% - Accent5 4 3 2 6 3" xfId="34361" xr:uid="{00000000-0005-0000-0000-0000FB7E0000}"/>
    <cellStyle name="40% - Accent5 4 3 2 7" xfId="14945" xr:uid="{00000000-0005-0000-0000-0000FC7E0000}"/>
    <cellStyle name="40% - Accent5 4 3 2 7 2" xfId="40819" xr:uid="{00000000-0005-0000-0000-0000FD7E0000}"/>
    <cellStyle name="40% - Accent5 4 3 2 8" xfId="27870" xr:uid="{00000000-0005-0000-0000-0000FE7E0000}"/>
    <cellStyle name="40% - Accent5 4 3 2 9" xfId="53733" xr:uid="{00000000-0005-0000-0000-0000FF7E0000}"/>
    <cellStyle name="40% - Accent5 4 3 3" xfId="2183" xr:uid="{00000000-0005-0000-0000-0000007F0000}"/>
    <cellStyle name="40% - Accent5 4 3 3 2" xfId="2997" xr:uid="{00000000-0005-0000-0000-0000017F0000}"/>
    <cellStyle name="40% - Accent5 4 3 3 2 2" xfId="4654" xr:uid="{00000000-0005-0000-0000-0000027F0000}"/>
    <cellStyle name="40% - Accent5 4 3 3 2 2 2" xfId="7885" xr:uid="{00000000-0005-0000-0000-0000037F0000}"/>
    <cellStyle name="40% - Accent5 4 3 3 2 2 2 2" xfId="14344" xr:uid="{00000000-0005-0000-0000-0000047F0000}"/>
    <cellStyle name="40% - Accent5 4 3 3 2 2 2 2 2" xfId="27261" xr:uid="{00000000-0005-0000-0000-0000057F0000}"/>
    <cellStyle name="40% - Accent5 4 3 3 2 2 2 2 2 2" xfId="53135" xr:uid="{00000000-0005-0000-0000-0000067F0000}"/>
    <cellStyle name="40% - Accent5 4 3 3 2 2 2 2 3" xfId="40219" xr:uid="{00000000-0005-0000-0000-0000077F0000}"/>
    <cellStyle name="40% - Accent5 4 3 3 2 2 2 3" xfId="20803" xr:uid="{00000000-0005-0000-0000-0000087F0000}"/>
    <cellStyle name="40% - Accent5 4 3 3 2 2 2 3 2" xfId="46677" xr:uid="{00000000-0005-0000-0000-0000097F0000}"/>
    <cellStyle name="40% - Accent5 4 3 3 2 2 2 4" xfId="33761" xr:uid="{00000000-0005-0000-0000-00000A7F0000}"/>
    <cellStyle name="40% - Accent5 4 3 3 2 2 3" xfId="11116" xr:uid="{00000000-0005-0000-0000-00000B7F0000}"/>
    <cellStyle name="40% - Accent5 4 3 3 2 2 3 2" xfId="24033" xr:uid="{00000000-0005-0000-0000-00000C7F0000}"/>
    <cellStyle name="40% - Accent5 4 3 3 2 2 3 2 2" xfId="49907" xr:uid="{00000000-0005-0000-0000-00000D7F0000}"/>
    <cellStyle name="40% - Accent5 4 3 3 2 2 3 3" xfId="36991" xr:uid="{00000000-0005-0000-0000-00000E7F0000}"/>
    <cellStyle name="40% - Accent5 4 3 3 2 2 4" xfId="17575" xr:uid="{00000000-0005-0000-0000-00000F7F0000}"/>
    <cellStyle name="40% - Accent5 4 3 3 2 2 4 2" xfId="43449" xr:uid="{00000000-0005-0000-0000-0000107F0000}"/>
    <cellStyle name="40% - Accent5 4 3 3 2 2 5" xfId="30501" xr:uid="{00000000-0005-0000-0000-0000117F0000}"/>
    <cellStyle name="40% - Accent5 4 3 3 2 3" xfId="6271" xr:uid="{00000000-0005-0000-0000-0000127F0000}"/>
    <cellStyle name="40% - Accent5 4 3 3 2 3 2" xfId="12730" xr:uid="{00000000-0005-0000-0000-0000137F0000}"/>
    <cellStyle name="40% - Accent5 4 3 3 2 3 2 2" xfId="25647" xr:uid="{00000000-0005-0000-0000-0000147F0000}"/>
    <cellStyle name="40% - Accent5 4 3 3 2 3 2 2 2" xfId="51521" xr:uid="{00000000-0005-0000-0000-0000157F0000}"/>
    <cellStyle name="40% - Accent5 4 3 3 2 3 2 3" xfId="38605" xr:uid="{00000000-0005-0000-0000-0000167F0000}"/>
    <cellStyle name="40% - Accent5 4 3 3 2 3 3" xfId="19189" xr:uid="{00000000-0005-0000-0000-0000177F0000}"/>
    <cellStyle name="40% - Accent5 4 3 3 2 3 3 2" xfId="45063" xr:uid="{00000000-0005-0000-0000-0000187F0000}"/>
    <cellStyle name="40% - Accent5 4 3 3 2 3 4" xfId="32147" xr:uid="{00000000-0005-0000-0000-0000197F0000}"/>
    <cellStyle name="40% - Accent5 4 3 3 2 4" xfId="9502" xr:uid="{00000000-0005-0000-0000-00001A7F0000}"/>
    <cellStyle name="40% - Accent5 4 3 3 2 4 2" xfId="22419" xr:uid="{00000000-0005-0000-0000-00001B7F0000}"/>
    <cellStyle name="40% - Accent5 4 3 3 2 4 2 2" xfId="48293" xr:uid="{00000000-0005-0000-0000-00001C7F0000}"/>
    <cellStyle name="40% - Accent5 4 3 3 2 4 3" xfId="35377" xr:uid="{00000000-0005-0000-0000-00001D7F0000}"/>
    <cellStyle name="40% - Accent5 4 3 3 2 5" xfId="15961" xr:uid="{00000000-0005-0000-0000-00001E7F0000}"/>
    <cellStyle name="40% - Accent5 4 3 3 2 5 2" xfId="41835" xr:uid="{00000000-0005-0000-0000-00001F7F0000}"/>
    <cellStyle name="40% - Accent5 4 3 3 2 6" xfId="28887" xr:uid="{00000000-0005-0000-0000-0000207F0000}"/>
    <cellStyle name="40% - Accent5 4 3 3 3" xfId="3824" xr:uid="{00000000-0005-0000-0000-0000217F0000}"/>
    <cellStyle name="40% - Accent5 4 3 3 3 2" xfId="7078" xr:uid="{00000000-0005-0000-0000-0000227F0000}"/>
    <cellStyle name="40% - Accent5 4 3 3 3 2 2" xfId="13537" xr:uid="{00000000-0005-0000-0000-0000237F0000}"/>
    <cellStyle name="40% - Accent5 4 3 3 3 2 2 2" xfId="26454" xr:uid="{00000000-0005-0000-0000-0000247F0000}"/>
    <cellStyle name="40% - Accent5 4 3 3 3 2 2 2 2" xfId="52328" xr:uid="{00000000-0005-0000-0000-0000257F0000}"/>
    <cellStyle name="40% - Accent5 4 3 3 3 2 2 3" xfId="39412" xr:uid="{00000000-0005-0000-0000-0000267F0000}"/>
    <cellStyle name="40% - Accent5 4 3 3 3 2 3" xfId="19996" xr:uid="{00000000-0005-0000-0000-0000277F0000}"/>
    <cellStyle name="40% - Accent5 4 3 3 3 2 3 2" xfId="45870" xr:uid="{00000000-0005-0000-0000-0000287F0000}"/>
    <cellStyle name="40% - Accent5 4 3 3 3 2 4" xfId="32954" xr:uid="{00000000-0005-0000-0000-0000297F0000}"/>
    <cellStyle name="40% - Accent5 4 3 3 3 3" xfId="10309" xr:uid="{00000000-0005-0000-0000-00002A7F0000}"/>
    <cellStyle name="40% - Accent5 4 3 3 3 3 2" xfId="23226" xr:uid="{00000000-0005-0000-0000-00002B7F0000}"/>
    <cellStyle name="40% - Accent5 4 3 3 3 3 2 2" xfId="49100" xr:uid="{00000000-0005-0000-0000-00002C7F0000}"/>
    <cellStyle name="40% - Accent5 4 3 3 3 3 3" xfId="36184" xr:uid="{00000000-0005-0000-0000-00002D7F0000}"/>
    <cellStyle name="40% - Accent5 4 3 3 3 4" xfId="16768" xr:uid="{00000000-0005-0000-0000-00002E7F0000}"/>
    <cellStyle name="40% - Accent5 4 3 3 3 4 2" xfId="42642" xr:uid="{00000000-0005-0000-0000-00002F7F0000}"/>
    <cellStyle name="40% - Accent5 4 3 3 3 5" xfId="29694" xr:uid="{00000000-0005-0000-0000-0000307F0000}"/>
    <cellStyle name="40% - Accent5 4 3 3 4" xfId="5464" xr:uid="{00000000-0005-0000-0000-0000317F0000}"/>
    <cellStyle name="40% - Accent5 4 3 3 4 2" xfId="11923" xr:uid="{00000000-0005-0000-0000-0000327F0000}"/>
    <cellStyle name="40% - Accent5 4 3 3 4 2 2" xfId="24840" xr:uid="{00000000-0005-0000-0000-0000337F0000}"/>
    <cellStyle name="40% - Accent5 4 3 3 4 2 2 2" xfId="50714" xr:uid="{00000000-0005-0000-0000-0000347F0000}"/>
    <cellStyle name="40% - Accent5 4 3 3 4 2 3" xfId="37798" xr:uid="{00000000-0005-0000-0000-0000357F0000}"/>
    <cellStyle name="40% - Accent5 4 3 3 4 3" xfId="18382" xr:uid="{00000000-0005-0000-0000-0000367F0000}"/>
    <cellStyle name="40% - Accent5 4 3 3 4 3 2" xfId="44256" xr:uid="{00000000-0005-0000-0000-0000377F0000}"/>
    <cellStyle name="40% - Accent5 4 3 3 4 4" xfId="31340" xr:uid="{00000000-0005-0000-0000-0000387F0000}"/>
    <cellStyle name="40% - Accent5 4 3 3 5" xfId="8695" xr:uid="{00000000-0005-0000-0000-0000397F0000}"/>
    <cellStyle name="40% - Accent5 4 3 3 5 2" xfId="21612" xr:uid="{00000000-0005-0000-0000-00003A7F0000}"/>
    <cellStyle name="40% - Accent5 4 3 3 5 2 2" xfId="47486" xr:uid="{00000000-0005-0000-0000-00003B7F0000}"/>
    <cellStyle name="40% - Accent5 4 3 3 5 3" xfId="34570" xr:uid="{00000000-0005-0000-0000-00003C7F0000}"/>
    <cellStyle name="40% - Accent5 4 3 3 6" xfId="15154" xr:uid="{00000000-0005-0000-0000-00003D7F0000}"/>
    <cellStyle name="40% - Accent5 4 3 3 6 2" xfId="41028" xr:uid="{00000000-0005-0000-0000-00003E7F0000}"/>
    <cellStyle name="40% - Accent5 4 3 3 7" xfId="28080" xr:uid="{00000000-0005-0000-0000-00003F7F0000}"/>
    <cellStyle name="40% - Accent5 4 3 3 8" xfId="53942" xr:uid="{00000000-0005-0000-0000-0000407F0000}"/>
    <cellStyle name="40% - Accent5 4 3 4" xfId="2594" xr:uid="{00000000-0005-0000-0000-0000417F0000}"/>
    <cellStyle name="40% - Accent5 4 3 4 2" xfId="4251" xr:uid="{00000000-0005-0000-0000-0000427F0000}"/>
    <cellStyle name="40% - Accent5 4 3 4 2 2" xfId="7482" xr:uid="{00000000-0005-0000-0000-0000437F0000}"/>
    <cellStyle name="40% - Accent5 4 3 4 2 2 2" xfId="13941" xr:uid="{00000000-0005-0000-0000-0000447F0000}"/>
    <cellStyle name="40% - Accent5 4 3 4 2 2 2 2" xfId="26858" xr:uid="{00000000-0005-0000-0000-0000457F0000}"/>
    <cellStyle name="40% - Accent5 4 3 4 2 2 2 2 2" xfId="52732" xr:uid="{00000000-0005-0000-0000-0000467F0000}"/>
    <cellStyle name="40% - Accent5 4 3 4 2 2 2 3" xfId="39816" xr:uid="{00000000-0005-0000-0000-0000477F0000}"/>
    <cellStyle name="40% - Accent5 4 3 4 2 2 3" xfId="20400" xr:uid="{00000000-0005-0000-0000-0000487F0000}"/>
    <cellStyle name="40% - Accent5 4 3 4 2 2 3 2" xfId="46274" xr:uid="{00000000-0005-0000-0000-0000497F0000}"/>
    <cellStyle name="40% - Accent5 4 3 4 2 2 4" xfId="33358" xr:uid="{00000000-0005-0000-0000-00004A7F0000}"/>
    <cellStyle name="40% - Accent5 4 3 4 2 3" xfId="10713" xr:uid="{00000000-0005-0000-0000-00004B7F0000}"/>
    <cellStyle name="40% - Accent5 4 3 4 2 3 2" xfId="23630" xr:uid="{00000000-0005-0000-0000-00004C7F0000}"/>
    <cellStyle name="40% - Accent5 4 3 4 2 3 2 2" xfId="49504" xr:uid="{00000000-0005-0000-0000-00004D7F0000}"/>
    <cellStyle name="40% - Accent5 4 3 4 2 3 3" xfId="36588" xr:uid="{00000000-0005-0000-0000-00004E7F0000}"/>
    <cellStyle name="40% - Accent5 4 3 4 2 4" xfId="17172" xr:uid="{00000000-0005-0000-0000-00004F7F0000}"/>
    <cellStyle name="40% - Accent5 4 3 4 2 4 2" xfId="43046" xr:uid="{00000000-0005-0000-0000-0000507F0000}"/>
    <cellStyle name="40% - Accent5 4 3 4 2 5" xfId="30098" xr:uid="{00000000-0005-0000-0000-0000517F0000}"/>
    <cellStyle name="40% - Accent5 4 3 4 3" xfId="5868" xr:uid="{00000000-0005-0000-0000-0000527F0000}"/>
    <cellStyle name="40% - Accent5 4 3 4 3 2" xfId="12327" xr:uid="{00000000-0005-0000-0000-0000537F0000}"/>
    <cellStyle name="40% - Accent5 4 3 4 3 2 2" xfId="25244" xr:uid="{00000000-0005-0000-0000-0000547F0000}"/>
    <cellStyle name="40% - Accent5 4 3 4 3 2 2 2" xfId="51118" xr:uid="{00000000-0005-0000-0000-0000557F0000}"/>
    <cellStyle name="40% - Accent5 4 3 4 3 2 3" xfId="38202" xr:uid="{00000000-0005-0000-0000-0000567F0000}"/>
    <cellStyle name="40% - Accent5 4 3 4 3 3" xfId="18786" xr:uid="{00000000-0005-0000-0000-0000577F0000}"/>
    <cellStyle name="40% - Accent5 4 3 4 3 3 2" xfId="44660" xr:uid="{00000000-0005-0000-0000-0000587F0000}"/>
    <cellStyle name="40% - Accent5 4 3 4 3 4" xfId="31744" xr:uid="{00000000-0005-0000-0000-0000597F0000}"/>
    <cellStyle name="40% - Accent5 4 3 4 4" xfId="9099" xr:uid="{00000000-0005-0000-0000-00005A7F0000}"/>
    <cellStyle name="40% - Accent5 4 3 4 4 2" xfId="22016" xr:uid="{00000000-0005-0000-0000-00005B7F0000}"/>
    <cellStyle name="40% - Accent5 4 3 4 4 2 2" xfId="47890" xr:uid="{00000000-0005-0000-0000-00005C7F0000}"/>
    <cellStyle name="40% - Accent5 4 3 4 4 3" xfId="34974" xr:uid="{00000000-0005-0000-0000-00005D7F0000}"/>
    <cellStyle name="40% - Accent5 4 3 4 5" xfId="15558" xr:uid="{00000000-0005-0000-0000-00005E7F0000}"/>
    <cellStyle name="40% - Accent5 4 3 4 5 2" xfId="41432" xr:uid="{00000000-0005-0000-0000-00005F7F0000}"/>
    <cellStyle name="40% - Accent5 4 3 4 6" xfId="28484" xr:uid="{00000000-0005-0000-0000-0000607F0000}"/>
    <cellStyle name="40% - Accent5 4 3 5" xfId="3421" xr:uid="{00000000-0005-0000-0000-0000617F0000}"/>
    <cellStyle name="40% - Accent5 4 3 5 2" xfId="6675" xr:uid="{00000000-0005-0000-0000-0000627F0000}"/>
    <cellStyle name="40% - Accent5 4 3 5 2 2" xfId="13134" xr:uid="{00000000-0005-0000-0000-0000637F0000}"/>
    <cellStyle name="40% - Accent5 4 3 5 2 2 2" xfId="26051" xr:uid="{00000000-0005-0000-0000-0000647F0000}"/>
    <cellStyle name="40% - Accent5 4 3 5 2 2 2 2" xfId="51925" xr:uid="{00000000-0005-0000-0000-0000657F0000}"/>
    <cellStyle name="40% - Accent5 4 3 5 2 2 3" xfId="39009" xr:uid="{00000000-0005-0000-0000-0000667F0000}"/>
    <cellStyle name="40% - Accent5 4 3 5 2 3" xfId="19593" xr:uid="{00000000-0005-0000-0000-0000677F0000}"/>
    <cellStyle name="40% - Accent5 4 3 5 2 3 2" xfId="45467" xr:uid="{00000000-0005-0000-0000-0000687F0000}"/>
    <cellStyle name="40% - Accent5 4 3 5 2 4" xfId="32551" xr:uid="{00000000-0005-0000-0000-0000697F0000}"/>
    <cellStyle name="40% - Accent5 4 3 5 3" xfId="9906" xr:uid="{00000000-0005-0000-0000-00006A7F0000}"/>
    <cellStyle name="40% - Accent5 4 3 5 3 2" xfId="22823" xr:uid="{00000000-0005-0000-0000-00006B7F0000}"/>
    <cellStyle name="40% - Accent5 4 3 5 3 2 2" xfId="48697" xr:uid="{00000000-0005-0000-0000-00006C7F0000}"/>
    <cellStyle name="40% - Accent5 4 3 5 3 3" xfId="35781" xr:uid="{00000000-0005-0000-0000-00006D7F0000}"/>
    <cellStyle name="40% - Accent5 4 3 5 4" xfId="16365" xr:uid="{00000000-0005-0000-0000-00006E7F0000}"/>
    <cellStyle name="40% - Accent5 4 3 5 4 2" xfId="42239" xr:uid="{00000000-0005-0000-0000-00006F7F0000}"/>
    <cellStyle name="40% - Accent5 4 3 5 5" xfId="29291" xr:uid="{00000000-0005-0000-0000-0000707F0000}"/>
    <cellStyle name="40% - Accent5 4 3 6" xfId="5061" xr:uid="{00000000-0005-0000-0000-0000717F0000}"/>
    <cellStyle name="40% - Accent5 4 3 6 2" xfId="11520" xr:uid="{00000000-0005-0000-0000-0000727F0000}"/>
    <cellStyle name="40% - Accent5 4 3 6 2 2" xfId="24437" xr:uid="{00000000-0005-0000-0000-0000737F0000}"/>
    <cellStyle name="40% - Accent5 4 3 6 2 2 2" xfId="50311" xr:uid="{00000000-0005-0000-0000-0000747F0000}"/>
    <cellStyle name="40% - Accent5 4 3 6 2 3" xfId="37395" xr:uid="{00000000-0005-0000-0000-0000757F0000}"/>
    <cellStyle name="40% - Accent5 4 3 6 3" xfId="17979" xr:uid="{00000000-0005-0000-0000-0000767F0000}"/>
    <cellStyle name="40% - Accent5 4 3 6 3 2" xfId="43853" xr:uid="{00000000-0005-0000-0000-0000777F0000}"/>
    <cellStyle name="40% - Accent5 4 3 6 4" xfId="30937" xr:uid="{00000000-0005-0000-0000-0000787F0000}"/>
    <cellStyle name="40% - Accent5 4 3 7" xfId="8291" xr:uid="{00000000-0005-0000-0000-0000797F0000}"/>
    <cellStyle name="40% - Accent5 4 3 7 2" xfId="21208" xr:uid="{00000000-0005-0000-0000-00007A7F0000}"/>
    <cellStyle name="40% - Accent5 4 3 7 2 2" xfId="47082" xr:uid="{00000000-0005-0000-0000-00007B7F0000}"/>
    <cellStyle name="40% - Accent5 4 3 7 3" xfId="34166" xr:uid="{00000000-0005-0000-0000-00007C7F0000}"/>
    <cellStyle name="40% - Accent5 4 3 8" xfId="14750" xr:uid="{00000000-0005-0000-0000-00007D7F0000}"/>
    <cellStyle name="40% - Accent5 4 3 8 2" xfId="40624" xr:uid="{00000000-0005-0000-0000-00007E7F0000}"/>
    <cellStyle name="40% - Accent5 4 3 9" xfId="27674" xr:uid="{00000000-0005-0000-0000-00007F7F0000}"/>
    <cellStyle name="40% - Accent5 4 4" xfId="763" xr:uid="{00000000-0005-0000-0000-0000807F0000}"/>
    <cellStyle name="40% - Accent5 4 5" xfId="1131" xr:uid="{00000000-0005-0000-0000-0000817F0000}"/>
    <cellStyle name="40% - Accent5 5" xfId="308" xr:uid="{00000000-0005-0000-0000-0000827F0000}"/>
    <cellStyle name="40% - Accent5 5 2" xfId="455" xr:uid="{00000000-0005-0000-0000-0000837F0000}"/>
    <cellStyle name="40% - Accent5 5 2 2" xfId="769" xr:uid="{00000000-0005-0000-0000-0000847F0000}"/>
    <cellStyle name="40% - Accent5 5 2 3" xfId="768" xr:uid="{00000000-0005-0000-0000-0000857F0000}"/>
    <cellStyle name="40% - Accent5 5 2 4" xfId="1685" xr:uid="{00000000-0005-0000-0000-0000867F0000}"/>
    <cellStyle name="40% - Accent5 5 3" xfId="770" xr:uid="{00000000-0005-0000-0000-0000877F0000}"/>
    <cellStyle name="40% - Accent5 5 3 10" xfId="53514" xr:uid="{00000000-0005-0000-0000-0000887F0000}"/>
    <cellStyle name="40% - Accent5 5 3 11" xfId="1595" xr:uid="{00000000-0005-0000-0000-0000897F0000}"/>
    <cellStyle name="40% - Accent5 5 3 2" xfId="1923" xr:uid="{00000000-0005-0000-0000-00008A7F0000}"/>
    <cellStyle name="40% - Accent5 5 3 2 2" xfId="2354" xr:uid="{00000000-0005-0000-0000-00008B7F0000}"/>
    <cellStyle name="40% - Accent5 5 3 2 2 2" xfId="3167" xr:uid="{00000000-0005-0000-0000-00008C7F0000}"/>
    <cellStyle name="40% - Accent5 5 3 2 2 2 2" xfId="4824" xr:uid="{00000000-0005-0000-0000-00008D7F0000}"/>
    <cellStyle name="40% - Accent5 5 3 2 2 2 2 2" xfId="8055" xr:uid="{00000000-0005-0000-0000-00008E7F0000}"/>
    <cellStyle name="40% - Accent5 5 3 2 2 2 2 2 2" xfId="14514" xr:uid="{00000000-0005-0000-0000-00008F7F0000}"/>
    <cellStyle name="40% - Accent5 5 3 2 2 2 2 2 2 2" xfId="27431" xr:uid="{00000000-0005-0000-0000-0000907F0000}"/>
    <cellStyle name="40% - Accent5 5 3 2 2 2 2 2 2 2 2" xfId="53305" xr:uid="{00000000-0005-0000-0000-0000917F0000}"/>
    <cellStyle name="40% - Accent5 5 3 2 2 2 2 2 2 3" xfId="40389" xr:uid="{00000000-0005-0000-0000-0000927F0000}"/>
    <cellStyle name="40% - Accent5 5 3 2 2 2 2 2 3" xfId="20973" xr:uid="{00000000-0005-0000-0000-0000937F0000}"/>
    <cellStyle name="40% - Accent5 5 3 2 2 2 2 2 3 2" xfId="46847" xr:uid="{00000000-0005-0000-0000-0000947F0000}"/>
    <cellStyle name="40% - Accent5 5 3 2 2 2 2 2 4" xfId="33931" xr:uid="{00000000-0005-0000-0000-0000957F0000}"/>
    <cellStyle name="40% - Accent5 5 3 2 2 2 2 3" xfId="11286" xr:uid="{00000000-0005-0000-0000-0000967F0000}"/>
    <cellStyle name="40% - Accent5 5 3 2 2 2 2 3 2" xfId="24203" xr:uid="{00000000-0005-0000-0000-0000977F0000}"/>
    <cellStyle name="40% - Accent5 5 3 2 2 2 2 3 2 2" xfId="50077" xr:uid="{00000000-0005-0000-0000-0000987F0000}"/>
    <cellStyle name="40% - Accent5 5 3 2 2 2 2 3 3" xfId="37161" xr:uid="{00000000-0005-0000-0000-0000997F0000}"/>
    <cellStyle name="40% - Accent5 5 3 2 2 2 2 4" xfId="17745" xr:uid="{00000000-0005-0000-0000-00009A7F0000}"/>
    <cellStyle name="40% - Accent5 5 3 2 2 2 2 4 2" xfId="43619" xr:uid="{00000000-0005-0000-0000-00009B7F0000}"/>
    <cellStyle name="40% - Accent5 5 3 2 2 2 2 5" xfId="30671" xr:uid="{00000000-0005-0000-0000-00009C7F0000}"/>
    <cellStyle name="40% - Accent5 5 3 2 2 2 3" xfId="6441" xr:uid="{00000000-0005-0000-0000-00009D7F0000}"/>
    <cellStyle name="40% - Accent5 5 3 2 2 2 3 2" xfId="12900" xr:uid="{00000000-0005-0000-0000-00009E7F0000}"/>
    <cellStyle name="40% - Accent5 5 3 2 2 2 3 2 2" xfId="25817" xr:uid="{00000000-0005-0000-0000-00009F7F0000}"/>
    <cellStyle name="40% - Accent5 5 3 2 2 2 3 2 2 2" xfId="51691" xr:uid="{00000000-0005-0000-0000-0000A07F0000}"/>
    <cellStyle name="40% - Accent5 5 3 2 2 2 3 2 3" xfId="38775" xr:uid="{00000000-0005-0000-0000-0000A17F0000}"/>
    <cellStyle name="40% - Accent5 5 3 2 2 2 3 3" xfId="19359" xr:uid="{00000000-0005-0000-0000-0000A27F0000}"/>
    <cellStyle name="40% - Accent5 5 3 2 2 2 3 3 2" xfId="45233" xr:uid="{00000000-0005-0000-0000-0000A37F0000}"/>
    <cellStyle name="40% - Accent5 5 3 2 2 2 3 4" xfId="32317" xr:uid="{00000000-0005-0000-0000-0000A47F0000}"/>
    <cellStyle name="40% - Accent5 5 3 2 2 2 4" xfId="9672" xr:uid="{00000000-0005-0000-0000-0000A57F0000}"/>
    <cellStyle name="40% - Accent5 5 3 2 2 2 4 2" xfId="22589" xr:uid="{00000000-0005-0000-0000-0000A67F0000}"/>
    <cellStyle name="40% - Accent5 5 3 2 2 2 4 2 2" xfId="48463" xr:uid="{00000000-0005-0000-0000-0000A77F0000}"/>
    <cellStyle name="40% - Accent5 5 3 2 2 2 4 3" xfId="35547" xr:uid="{00000000-0005-0000-0000-0000A87F0000}"/>
    <cellStyle name="40% - Accent5 5 3 2 2 2 5" xfId="16131" xr:uid="{00000000-0005-0000-0000-0000A97F0000}"/>
    <cellStyle name="40% - Accent5 5 3 2 2 2 5 2" xfId="42005" xr:uid="{00000000-0005-0000-0000-0000AA7F0000}"/>
    <cellStyle name="40% - Accent5 5 3 2 2 2 6" xfId="29057" xr:uid="{00000000-0005-0000-0000-0000AB7F0000}"/>
    <cellStyle name="40% - Accent5 5 3 2 2 3" xfId="3994" xr:uid="{00000000-0005-0000-0000-0000AC7F0000}"/>
    <cellStyle name="40% - Accent5 5 3 2 2 3 2" xfId="7248" xr:uid="{00000000-0005-0000-0000-0000AD7F0000}"/>
    <cellStyle name="40% - Accent5 5 3 2 2 3 2 2" xfId="13707" xr:uid="{00000000-0005-0000-0000-0000AE7F0000}"/>
    <cellStyle name="40% - Accent5 5 3 2 2 3 2 2 2" xfId="26624" xr:uid="{00000000-0005-0000-0000-0000AF7F0000}"/>
    <cellStyle name="40% - Accent5 5 3 2 2 3 2 2 2 2" xfId="52498" xr:uid="{00000000-0005-0000-0000-0000B07F0000}"/>
    <cellStyle name="40% - Accent5 5 3 2 2 3 2 2 3" xfId="39582" xr:uid="{00000000-0005-0000-0000-0000B17F0000}"/>
    <cellStyle name="40% - Accent5 5 3 2 2 3 2 3" xfId="20166" xr:uid="{00000000-0005-0000-0000-0000B27F0000}"/>
    <cellStyle name="40% - Accent5 5 3 2 2 3 2 3 2" xfId="46040" xr:uid="{00000000-0005-0000-0000-0000B37F0000}"/>
    <cellStyle name="40% - Accent5 5 3 2 2 3 2 4" xfId="33124" xr:uid="{00000000-0005-0000-0000-0000B47F0000}"/>
    <cellStyle name="40% - Accent5 5 3 2 2 3 3" xfId="10479" xr:uid="{00000000-0005-0000-0000-0000B57F0000}"/>
    <cellStyle name="40% - Accent5 5 3 2 2 3 3 2" xfId="23396" xr:uid="{00000000-0005-0000-0000-0000B67F0000}"/>
    <cellStyle name="40% - Accent5 5 3 2 2 3 3 2 2" xfId="49270" xr:uid="{00000000-0005-0000-0000-0000B77F0000}"/>
    <cellStyle name="40% - Accent5 5 3 2 2 3 3 3" xfId="36354" xr:uid="{00000000-0005-0000-0000-0000B87F0000}"/>
    <cellStyle name="40% - Accent5 5 3 2 2 3 4" xfId="16938" xr:uid="{00000000-0005-0000-0000-0000B97F0000}"/>
    <cellStyle name="40% - Accent5 5 3 2 2 3 4 2" xfId="42812" xr:uid="{00000000-0005-0000-0000-0000BA7F0000}"/>
    <cellStyle name="40% - Accent5 5 3 2 2 3 5" xfId="29864" xr:uid="{00000000-0005-0000-0000-0000BB7F0000}"/>
    <cellStyle name="40% - Accent5 5 3 2 2 4" xfId="5634" xr:uid="{00000000-0005-0000-0000-0000BC7F0000}"/>
    <cellStyle name="40% - Accent5 5 3 2 2 4 2" xfId="12093" xr:uid="{00000000-0005-0000-0000-0000BD7F0000}"/>
    <cellStyle name="40% - Accent5 5 3 2 2 4 2 2" xfId="25010" xr:uid="{00000000-0005-0000-0000-0000BE7F0000}"/>
    <cellStyle name="40% - Accent5 5 3 2 2 4 2 2 2" xfId="50884" xr:uid="{00000000-0005-0000-0000-0000BF7F0000}"/>
    <cellStyle name="40% - Accent5 5 3 2 2 4 2 3" xfId="37968" xr:uid="{00000000-0005-0000-0000-0000C07F0000}"/>
    <cellStyle name="40% - Accent5 5 3 2 2 4 3" xfId="18552" xr:uid="{00000000-0005-0000-0000-0000C17F0000}"/>
    <cellStyle name="40% - Accent5 5 3 2 2 4 3 2" xfId="44426" xr:uid="{00000000-0005-0000-0000-0000C27F0000}"/>
    <cellStyle name="40% - Accent5 5 3 2 2 4 4" xfId="31510" xr:uid="{00000000-0005-0000-0000-0000C37F0000}"/>
    <cellStyle name="40% - Accent5 5 3 2 2 5" xfId="8865" xr:uid="{00000000-0005-0000-0000-0000C47F0000}"/>
    <cellStyle name="40% - Accent5 5 3 2 2 5 2" xfId="21782" xr:uid="{00000000-0005-0000-0000-0000C57F0000}"/>
    <cellStyle name="40% - Accent5 5 3 2 2 5 2 2" xfId="47656" xr:uid="{00000000-0005-0000-0000-0000C67F0000}"/>
    <cellStyle name="40% - Accent5 5 3 2 2 5 3" xfId="34740" xr:uid="{00000000-0005-0000-0000-0000C77F0000}"/>
    <cellStyle name="40% - Accent5 5 3 2 2 6" xfId="15324" xr:uid="{00000000-0005-0000-0000-0000C87F0000}"/>
    <cellStyle name="40% - Accent5 5 3 2 2 6 2" xfId="41198" xr:uid="{00000000-0005-0000-0000-0000C97F0000}"/>
    <cellStyle name="40% - Accent5 5 3 2 2 7" xfId="28250" xr:uid="{00000000-0005-0000-0000-0000CA7F0000}"/>
    <cellStyle name="40% - Accent5 5 3 2 2 8" xfId="54112" xr:uid="{00000000-0005-0000-0000-0000CB7F0000}"/>
    <cellStyle name="40% - Accent5 5 3 2 3" xfId="2763" xr:uid="{00000000-0005-0000-0000-0000CC7F0000}"/>
    <cellStyle name="40% - Accent5 5 3 2 3 2" xfId="4420" xr:uid="{00000000-0005-0000-0000-0000CD7F0000}"/>
    <cellStyle name="40% - Accent5 5 3 2 3 2 2" xfId="7651" xr:uid="{00000000-0005-0000-0000-0000CE7F0000}"/>
    <cellStyle name="40% - Accent5 5 3 2 3 2 2 2" xfId="14110" xr:uid="{00000000-0005-0000-0000-0000CF7F0000}"/>
    <cellStyle name="40% - Accent5 5 3 2 3 2 2 2 2" xfId="27027" xr:uid="{00000000-0005-0000-0000-0000D07F0000}"/>
    <cellStyle name="40% - Accent5 5 3 2 3 2 2 2 2 2" xfId="52901" xr:uid="{00000000-0005-0000-0000-0000D17F0000}"/>
    <cellStyle name="40% - Accent5 5 3 2 3 2 2 2 3" xfId="39985" xr:uid="{00000000-0005-0000-0000-0000D27F0000}"/>
    <cellStyle name="40% - Accent5 5 3 2 3 2 2 3" xfId="20569" xr:uid="{00000000-0005-0000-0000-0000D37F0000}"/>
    <cellStyle name="40% - Accent5 5 3 2 3 2 2 3 2" xfId="46443" xr:uid="{00000000-0005-0000-0000-0000D47F0000}"/>
    <cellStyle name="40% - Accent5 5 3 2 3 2 2 4" xfId="33527" xr:uid="{00000000-0005-0000-0000-0000D57F0000}"/>
    <cellStyle name="40% - Accent5 5 3 2 3 2 3" xfId="10882" xr:uid="{00000000-0005-0000-0000-0000D67F0000}"/>
    <cellStyle name="40% - Accent5 5 3 2 3 2 3 2" xfId="23799" xr:uid="{00000000-0005-0000-0000-0000D77F0000}"/>
    <cellStyle name="40% - Accent5 5 3 2 3 2 3 2 2" xfId="49673" xr:uid="{00000000-0005-0000-0000-0000D87F0000}"/>
    <cellStyle name="40% - Accent5 5 3 2 3 2 3 3" xfId="36757" xr:uid="{00000000-0005-0000-0000-0000D97F0000}"/>
    <cellStyle name="40% - Accent5 5 3 2 3 2 4" xfId="17341" xr:uid="{00000000-0005-0000-0000-0000DA7F0000}"/>
    <cellStyle name="40% - Accent5 5 3 2 3 2 4 2" xfId="43215" xr:uid="{00000000-0005-0000-0000-0000DB7F0000}"/>
    <cellStyle name="40% - Accent5 5 3 2 3 2 5" xfId="30267" xr:uid="{00000000-0005-0000-0000-0000DC7F0000}"/>
    <cellStyle name="40% - Accent5 5 3 2 3 3" xfId="6037" xr:uid="{00000000-0005-0000-0000-0000DD7F0000}"/>
    <cellStyle name="40% - Accent5 5 3 2 3 3 2" xfId="12496" xr:uid="{00000000-0005-0000-0000-0000DE7F0000}"/>
    <cellStyle name="40% - Accent5 5 3 2 3 3 2 2" xfId="25413" xr:uid="{00000000-0005-0000-0000-0000DF7F0000}"/>
    <cellStyle name="40% - Accent5 5 3 2 3 3 2 2 2" xfId="51287" xr:uid="{00000000-0005-0000-0000-0000E07F0000}"/>
    <cellStyle name="40% - Accent5 5 3 2 3 3 2 3" xfId="38371" xr:uid="{00000000-0005-0000-0000-0000E17F0000}"/>
    <cellStyle name="40% - Accent5 5 3 2 3 3 3" xfId="18955" xr:uid="{00000000-0005-0000-0000-0000E27F0000}"/>
    <cellStyle name="40% - Accent5 5 3 2 3 3 3 2" xfId="44829" xr:uid="{00000000-0005-0000-0000-0000E37F0000}"/>
    <cellStyle name="40% - Accent5 5 3 2 3 3 4" xfId="31913" xr:uid="{00000000-0005-0000-0000-0000E47F0000}"/>
    <cellStyle name="40% - Accent5 5 3 2 3 4" xfId="9268" xr:uid="{00000000-0005-0000-0000-0000E57F0000}"/>
    <cellStyle name="40% - Accent5 5 3 2 3 4 2" xfId="22185" xr:uid="{00000000-0005-0000-0000-0000E67F0000}"/>
    <cellStyle name="40% - Accent5 5 3 2 3 4 2 2" xfId="48059" xr:uid="{00000000-0005-0000-0000-0000E77F0000}"/>
    <cellStyle name="40% - Accent5 5 3 2 3 4 3" xfId="35143" xr:uid="{00000000-0005-0000-0000-0000E87F0000}"/>
    <cellStyle name="40% - Accent5 5 3 2 3 5" xfId="15727" xr:uid="{00000000-0005-0000-0000-0000E97F0000}"/>
    <cellStyle name="40% - Accent5 5 3 2 3 5 2" xfId="41601" xr:uid="{00000000-0005-0000-0000-0000EA7F0000}"/>
    <cellStyle name="40% - Accent5 5 3 2 3 6" xfId="28653" xr:uid="{00000000-0005-0000-0000-0000EB7F0000}"/>
    <cellStyle name="40% - Accent5 5 3 2 4" xfId="3590" xr:uid="{00000000-0005-0000-0000-0000EC7F0000}"/>
    <cellStyle name="40% - Accent5 5 3 2 4 2" xfId="6844" xr:uid="{00000000-0005-0000-0000-0000ED7F0000}"/>
    <cellStyle name="40% - Accent5 5 3 2 4 2 2" xfId="13303" xr:uid="{00000000-0005-0000-0000-0000EE7F0000}"/>
    <cellStyle name="40% - Accent5 5 3 2 4 2 2 2" xfId="26220" xr:uid="{00000000-0005-0000-0000-0000EF7F0000}"/>
    <cellStyle name="40% - Accent5 5 3 2 4 2 2 2 2" xfId="52094" xr:uid="{00000000-0005-0000-0000-0000F07F0000}"/>
    <cellStyle name="40% - Accent5 5 3 2 4 2 2 3" xfId="39178" xr:uid="{00000000-0005-0000-0000-0000F17F0000}"/>
    <cellStyle name="40% - Accent5 5 3 2 4 2 3" xfId="19762" xr:uid="{00000000-0005-0000-0000-0000F27F0000}"/>
    <cellStyle name="40% - Accent5 5 3 2 4 2 3 2" xfId="45636" xr:uid="{00000000-0005-0000-0000-0000F37F0000}"/>
    <cellStyle name="40% - Accent5 5 3 2 4 2 4" xfId="32720" xr:uid="{00000000-0005-0000-0000-0000F47F0000}"/>
    <cellStyle name="40% - Accent5 5 3 2 4 3" xfId="10075" xr:uid="{00000000-0005-0000-0000-0000F57F0000}"/>
    <cellStyle name="40% - Accent5 5 3 2 4 3 2" xfId="22992" xr:uid="{00000000-0005-0000-0000-0000F67F0000}"/>
    <cellStyle name="40% - Accent5 5 3 2 4 3 2 2" xfId="48866" xr:uid="{00000000-0005-0000-0000-0000F77F0000}"/>
    <cellStyle name="40% - Accent5 5 3 2 4 3 3" xfId="35950" xr:uid="{00000000-0005-0000-0000-0000F87F0000}"/>
    <cellStyle name="40% - Accent5 5 3 2 4 4" xfId="16534" xr:uid="{00000000-0005-0000-0000-0000F97F0000}"/>
    <cellStyle name="40% - Accent5 5 3 2 4 4 2" xfId="42408" xr:uid="{00000000-0005-0000-0000-0000FA7F0000}"/>
    <cellStyle name="40% - Accent5 5 3 2 4 5" xfId="29460" xr:uid="{00000000-0005-0000-0000-0000FB7F0000}"/>
    <cellStyle name="40% - Accent5 5 3 2 5" xfId="5230" xr:uid="{00000000-0005-0000-0000-0000FC7F0000}"/>
    <cellStyle name="40% - Accent5 5 3 2 5 2" xfId="11689" xr:uid="{00000000-0005-0000-0000-0000FD7F0000}"/>
    <cellStyle name="40% - Accent5 5 3 2 5 2 2" xfId="24606" xr:uid="{00000000-0005-0000-0000-0000FE7F0000}"/>
    <cellStyle name="40% - Accent5 5 3 2 5 2 2 2" xfId="50480" xr:uid="{00000000-0005-0000-0000-0000FF7F0000}"/>
    <cellStyle name="40% - Accent5 5 3 2 5 2 3" xfId="37564" xr:uid="{00000000-0005-0000-0000-000000800000}"/>
    <cellStyle name="40% - Accent5 5 3 2 5 3" xfId="18148" xr:uid="{00000000-0005-0000-0000-000001800000}"/>
    <cellStyle name="40% - Accent5 5 3 2 5 3 2" xfId="44022" xr:uid="{00000000-0005-0000-0000-000002800000}"/>
    <cellStyle name="40% - Accent5 5 3 2 5 4" xfId="31106" xr:uid="{00000000-0005-0000-0000-000003800000}"/>
    <cellStyle name="40% - Accent5 5 3 2 6" xfId="8461" xr:uid="{00000000-0005-0000-0000-000004800000}"/>
    <cellStyle name="40% - Accent5 5 3 2 6 2" xfId="21378" xr:uid="{00000000-0005-0000-0000-000005800000}"/>
    <cellStyle name="40% - Accent5 5 3 2 6 2 2" xfId="47252" xr:uid="{00000000-0005-0000-0000-000006800000}"/>
    <cellStyle name="40% - Accent5 5 3 2 6 3" xfId="34336" xr:uid="{00000000-0005-0000-0000-000007800000}"/>
    <cellStyle name="40% - Accent5 5 3 2 7" xfId="14920" xr:uid="{00000000-0005-0000-0000-000008800000}"/>
    <cellStyle name="40% - Accent5 5 3 2 7 2" xfId="40794" xr:uid="{00000000-0005-0000-0000-000009800000}"/>
    <cellStyle name="40% - Accent5 5 3 2 8" xfId="27845" xr:uid="{00000000-0005-0000-0000-00000A800000}"/>
    <cellStyle name="40% - Accent5 5 3 2 9" xfId="53708" xr:uid="{00000000-0005-0000-0000-00000B800000}"/>
    <cellStyle name="40% - Accent5 5 3 3" xfId="2158" xr:uid="{00000000-0005-0000-0000-00000C800000}"/>
    <cellStyle name="40% - Accent5 5 3 3 2" xfId="2972" xr:uid="{00000000-0005-0000-0000-00000D800000}"/>
    <cellStyle name="40% - Accent5 5 3 3 2 2" xfId="4629" xr:uid="{00000000-0005-0000-0000-00000E800000}"/>
    <cellStyle name="40% - Accent5 5 3 3 2 2 2" xfId="7860" xr:uid="{00000000-0005-0000-0000-00000F800000}"/>
    <cellStyle name="40% - Accent5 5 3 3 2 2 2 2" xfId="14319" xr:uid="{00000000-0005-0000-0000-000010800000}"/>
    <cellStyle name="40% - Accent5 5 3 3 2 2 2 2 2" xfId="27236" xr:uid="{00000000-0005-0000-0000-000011800000}"/>
    <cellStyle name="40% - Accent5 5 3 3 2 2 2 2 2 2" xfId="53110" xr:uid="{00000000-0005-0000-0000-000012800000}"/>
    <cellStyle name="40% - Accent5 5 3 3 2 2 2 2 3" xfId="40194" xr:uid="{00000000-0005-0000-0000-000013800000}"/>
    <cellStyle name="40% - Accent5 5 3 3 2 2 2 3" xfId="20778" xr:uid="{00000000-0005-0000-0000-000014800000}"/>
    <cellStyle name="40% - Accent5 5 3 3 2 2 2 3 2" xfId="46652" xr:uid="{00000000-0005-0000-0000-000015800000}"/>
    <cellStyle name="40% - Accent5 5 3 3 2 2 2 4" xfId="33736" xr:uid="{00000000-0005-0000-0000-000016800000}"/>
    <cellStyle name="40% - Accent5 5 3 3 2 2 3" xfId="11091" xr:uid="{00000000-0005-0000-0000-000017800000}"/>
    <cellStyle name="40% - Accent5 5 3 3 2 2 3 2" xfId="24008" xr:uid="{00000000-0005-0000-0000-000018800000}"/>
    <cellStyle name="40% - Accent5 5 3 3 2 2 3 2 2" xfId="49882" xr:uid="{00000000-0005-0000-0000-000019800000}"/>
    <cellStyle name="40% - Accent5 5 3 3 2 2 3 3" xfId="36966" xr:uid="{00000000-0005-0000-0000-00001A800000}"/>
    <cellStyle name="40% - Accent5 5 3 3 2 2 4" xfId="17550" xr:uid="{00000000-0005-0000-0000-00001B800000}"/>
    <cellStyle name="40% - Accent5 5 3 3 2 2 4 2" xfId="43424" xr:uid="{00000000-0005-0000-0000-00001C800000}"/>
    <cellStyle name="40% - Accent5 5 3 3 2 2 5" xfId="30476" xr:uid="{00000000-0005-0000-0000-00001D800000}"/>
    <cellStyle name="40% - Accent5 5 3 3 2 3" xfId="6246" xr:uid="{00000000-0005-0000-0000-00001E800000}"/>
    <cellStyle name="40% - Accent5 5 3 3 2 3 2" xfId="12705" xr:uid="{00000000-0005-0000-0000-00001F800000}"/>
    <cellStyle name="40% - Accent5 5 3 3 2 3 2 2" xfId="25622" xr:uid="{00000000-0005-0000-0000-000020800000}"/>
    <cellStyle name="40% - Accent5 5 3 3 2 3 2 2 2" xfId="51496" xr:uid="{00000000-0005-0000-0000-000021800000}"/>
    <cellStyle name="40% - Accent5 5 3 3 2 3 2 3" xfId="38580" xr:uid="{00000000-0005-0000-0000-000022800000}"/>
    <cellStyle name="40% - Accent5 5 3 3 2 3 3" xfId="19164" xr:uid="{00000000-0005-0000-0000-000023800000}"/>
    <cellStyle name="40% - Accent5 5 3 3 2 3 3 2" xfId="45038" xr:uid="{00000000-0005-0000-0000-000024800000}"/>
    <cellStyle name="40% - Accent5 5 3 3 2 3 4" xfId="32122" xr:uid="{00000000-0005-0000-0000-000025800000}"/>
    <cellStyle name="40% - Accent5 5 3 3 2 4" xfId="9477" xr:uid="{00000000-0005-0000-0000-000026800000}"/>
    <cellStyle name="40% - Accent5 5 3 3 2 4 2" xfId="22394" xr:uid="{00000000-0005-0000-0000-000027800000}"/>
    <cellStyle name="40% - Accent5 5 3 3 2 4 2 2" xfId="48268" xr:uid="{00000000-0005-0000-0000-000028800000}"/>
    <cellStyle name="40% - Accent5 5 3 3 2 4 3" xfId="35352" xr:uid="{00000000-0005-0000-0000-000029800000}"/>
    <cellStyle name="40% - Accent5 5 3 3 2 5" xfId="15936" xr:uid="{00000000-0005-0000-0000-00002A800000}"/>
    <cellStyle name="40% - Accent5 5 3 3 2 5 2" xfId="41810" xr:uid="{00000000-0005-0000-0000-00002B800000}"/>
    <cellStyle name="40% - Accent5 5 3 3 2 6" xfId="28862" xr:uid="{00000000-0005-0000-0000-00002C800000}"/>
    <cellStyle name="40% - Accent5 5 3 3 3" xfId="3799" xr:uid="{00000000-0005-0000-0000-00002D800000}"/>
    <cellStyle name="40% - Accent5 5 3 3 3 2" xfId="7053" xr:uid="{00000000-0005-0000-0000-00002E800000}"/>
    <cellStyle name="40% - Accent5 5 3 3 3 2 2" xfId="13512" xr:uid="{00000000-0005-0000-0000-00002F800000}"/>
    <cellStyle name="40% - Accent5 5 3 3 3 2 2 2" xfId="26429" xr:uid="{00000000-0005-0000-0000-000030800000}"/>
    <cellStyle name="40% - Accent5 5 3 3 3 2 2 2 2" xfId="52303" xr:uid="{00000000-0005-0000-0000-000031800000}"/>
    <cellStyle name="40% - Accent5 5 3 3 3 2 2 3" xfId="39387" xr:uid="{00000000-0005-0000-0000-000032800000}"/>
    <cellStyle name="40% - Accent5 5 3 3 3 2 3" xfId="19971" xr:uid="{00000000-0005-0000-0000-000033800000}"/>
    <cellStyle name="40% - Accent5 5 3 3 3 2 3 2" xfId="45845" xr:uid="{00000000-0005-0000-0000-000034800000}"/>
    <cellStyle name="40% - Accent5 5 3 3 3 2 4" xfId="32929" xr:uid="{00000000-0005-0000-0000-000035800000}"/>
    <cellStyle name="40% - Accent5 5 3 3 3 3" xfId="10284" xr:uid="{00000000-0005-0000-0000-000036800000}"/>
    <cellStyle name="40% - Accent5 5 3 3 3 3 2" xfId="23201" xr:uid="{00000000-0005-0000-0000-000037800000}"/>
    <cellStyle name="40% - Accent5 5 3 3 3 3 2 2" xfId="49075" xr:uid="{00000000-0005-0000-0000-000038800000}"/>
    <cellStyle name="40% - Accent5 5 3 3 3 3 3" xfId="36159" xr:uid="{00000000-0005-0000-0000-000039800000}"/>
    <cellStyle name="40% - Accent5 5 3 3 3 4" xfId="16743" xr:uid="{00000000-0005-0000-0000-00003A800000}"/>
    <cellStyle name="40% - Accent5 5 3 3 3 4 2" xfId="42617" xr:uid="{00000000-0005-0000-0000-00003B800000}"/>
    <cellStyle name="40% - Accent5 5 3 3 3 5" xfId="29669" xr:uid="{00000000-0005-0000-0000-00003C800000}"/>
    <cellStyle name="40% - Accent5 5 3 3 4" xfId="5439" xr:uid="{00000000-0005-0000-0000-00003D800000}"/>
    <cellStyle name="40% - Accent5 5 3 3 4 2" xfId="11898" xr:uid="{00000000-0005-0000-0000-00003E800000}"/>
    <cellStyle name="40% - Accent5 5 3 3 4 2 2" xfId="24815" xr:uid="{00000000-0005-0000-0000-00003F800000}"/>
    <cellStyle name="40% - Accent5 5 3 3 4 2 2 2" xfId="50689" xr:uid="{00000000-0005-0000-0000-000040800000}"/>
    <cellStyle name="40% - Accent5 5 3 3 4 2 3" xfId="37773" xr:uid="{00000000-0005-0000-0000-000041800000}"/>
    <cellStyle name="40% - Accent5 5 3 3 4 3" xfId="18357" xr:uid="{00000000-0005-0000-0000-000042800000}"/>
    <cellStyle name="40% - Accent5 5 3 3 4 3 2" xfId="44231" xr:uid="{00000000-0005-0000-0000-000043800000}"/>
    <cellStyle name="40% - Accent5 5 3 3 4 4" xfId="31315" xr:uid="{00000000-0005-0000-0000-000044800000}"/>
    <cellStyle name="40% - Accent5 5 3 3 5" xfId="8670" xr:uid="{00000000-0005-0000-0000-000045800000}"/>
    <cellStyle name="40% - Accent5 5 3 3 5 2" xfId="21587" xr:uid="{00000000-0005-0000-0000-000046800000}"/>
    <cellStyle name="40% - Accent5 5 3 3 5 2 2" xfId="47461" xr:uid="{00000000-0005-0000-0000-000047800000}"/>
    <cellStyle name="40% - Accent5 5 3 3 5 3" xfId="34545" xr:uid="{00000000-0005-0000-0000-000048800000}"/>
    <cellStyle name="40% - Accent5 5 3 3 6" xfId="15129" xr:uid="{00000000-0005-0000-0000-000049800000}"/>
    <cellStyle name="40% - Accent5 5 3 3 6 2" xfId="41003" xr:uid="{00000000-0005-0000-0000-00004A800000}"/>
    <cellStyle name="40% - Accent5 5 3 3 7" xfId="28055" xr:uid="{00000000-0005-0000-0000-00004B800000}"/>
    <cellStyle name="40% - Accent5 5 3 3 8" xfId="53917" xr:uid="{00000000-0005-0000-0000-00004C800000}"/>
    <cellStyle name="40% - Accent5 5 3 4" xfId="2569" xr:uid="{00000000-0005-0000-0000-00004D800000}"/>
    <cellStyle name="40% - Accent5 5 3 4 2" xfId="4226" xr:uid="{00000000-0005-0000-0000-00004E800000}"/>
    <cellStyle name="40% - Accent5 5 3 4 2 2" xfId="7457" xr:uid="{00000000-0005-0000-0000-00004F800000}"/>
    <cellStyle name="40% - Accent5 5 3 4 2 2 2" xfId="13916" xr:uid="{00000000-0005-0000-0000-000050800000}"/>
    <cellStyle name="40% - Accent5 5 3 4 2 2 2 2" xfId="26833" xr:uid="{00000000-0005-0000-0000-000051800000}"/>
    <cellStyle name="40% - Accent5 5 3 4 2 2 2 2 2" xfId="52707" xr:uid="{00000000-0005-0000-0000-000052800000}"/>
    <cellStyle name="40% - Accent5 5 3 4 2 2 2 3" xfId="39791" xr:uid="{00000000-0005-0000-0000-000053800000}"/>
    <cellStyle name="40% - Accent5 5 3 4 2 2 3" xfId="20375" xr:uid="{00000000-0005-0000-0000-000054800000}"/>
    <cellStyle name="40% - Accent5 5 3 4 2 2 3 2" xfId="46249" xr:uid="{00000000-0005-0000-0000-000055800000}"/>
    <cellStyle name="40% - Accent5 5 3 4 2 2 4" xfId="33333" xr:uid="{00000000-0005-0000-0000-000056800000}"/>
    <cellStyle name="40% - Accent5 5 3 4 2 3" xfId="10688" xr:uid="{00000000-0005-0000-0000-000057800000}"/>
    <cellStyle name="40% - Accent5 5 3 4 2 3 2" xfId="23605" xr:uid="{00000000-0005-0000-0000-000058800000}"/>
    <cellStyle name="40% - Accent5 5 3 4 2 3 2 2" xfId="49479" xr:uid="{00000000-0005-0000-0000-000059800000}"/>
    <cellStyle name="40% - Accent5 5 3 4 2 3 3" xfId="36563" xr:uid="{00000000-0005-0000-0000-00005A800000}"/>
    <cellStyle name="40% - Accent5 5 3 4 2 4" xfId="17147" xr:uid="{00000000-0005-0000-0000-00005B800000}"/>
    <cellStyle name="40% - Accent5 5 3 4 2 4 2" xfId="43021" xr:uid="{00000000-0005-0000-0000-00005C800000}"/>
    <cellStyle name="40% - Accent5 5 3 4 2 5" xfId="30073" xr:uid="{00000000-0005-0000-0000-00005D800000}"/>
    <cellStyle name="40% - Accent5 5 3 4 3" xfId="5843" xr:uid="{00000000-0005-0000-0000-00005E800000}"/>
    <cellStyle name="40% - Accent5 5 3 4 3 2" xfId="12302" xr:uid="{00000000-0005-0000-0000-00005F800000}"/>
    <cellStyle name="40% - Accent5 5 3 4 3 2 2" xfId="25219" xr:uid="{00000000-0005-0000-0000-000060800000}"/>
    <cellStyle name="40% - Accent5 5 3 4 3 2 2 2" xfId="51093" xr:uid="{00000000-0005-0000-0000-000061800000}"/>
    <cellStyle name="40% - Accent5 5 3 4 3 2 3" xfId="38177" xr:uid="{00000000-0005-0000-0000-000062800000}"/>
    <cellStyle name="40% - Accent5 5 3 4 3 3" xfId="18761" xr:uid="{00000000-0005-0000-0000-000063800000}"/>
    <cellStyle name="40% - Accent5 5 3 4 3 3 2" xfId="44635" xr:uid="{00000000-0005-0000-0000-000064800000}"/>
    <cellStyle name="40% - Accent5 5 3 4 3 4" xfId="31719" xr:uid="{00000000-0005-0000-0000-000065800000}"/>
    <cellStyle name="40% - Accent5 5 3 4 4" xfId="9074" xr:uid="{00000000-0005-0000-0000-000066800000}"/>
    <cellStyle name="40% - Accent5 5 3 4 4 2" xfId="21991" xr:uid="{00000000-0005-0000-0000-000067800000}"/>
    <cellStyle name="40% - Accent5 5 3 4 4 2 2" xfId="47865" xr:uid="{00000000-0005-0000-0000-000068800000}"/>
    <cellStyle name="40% - Accent5 5 3 4 4 3" xfId="34949" xr:uid="{00000000-0005-0000-0000-000069800000}"/>
    <cellStyle name="40% - Accent5 5 3 4 5" xfId="15533" xr:uid="{00000000-0005-0000-0000-00006A800000}"/>
    <cellStyle name="40% - Accent5 5 3 4 5 2" xfId="41407" xr:uid="{00000000-0005-0000-0000-00006B800000}"/>
    <cellStyle name="40% - Accent5 5 3 4 6" xfId="28459" xr:uid="{00000000-0005-0000-0000-00006C800000}"/>
    <cellStyle name="40% - Accent5 5 3 5" xfId="3394" xr:uid="{00000000-0005-0000-0000-00006D800000}"/>
    <cellStyle name="40% - Accent5 5 3 5 2" xfId="6650" xr:uid="{00000000-0005-0000-0000-00006E800000}"/>
    <cellStyle name="40% - Accent5 5 3 5 2 2" xfId="13109" xr:uid="{00000000-0005-0000-0000-00006F800000}"/>
    <cellStyle name="40% - Accent5 5 3 5 2 2 2" xfId="26026" xr:uid="{00000000-0005-0000-0000-000070800000}"/>
    <cellStyle name="40% - Accent5 5 3 5 2 2 2 2" xfId="51900" xr:uid="{00000000-0005-0000-0000-000071800000}"/>
    <cellStyle name="40% - Accent5 5 3 5 2 2 3" xfId="38984" xr:uid="{00000000-0005-0000-0000-000072800000}"/>
    <cellStyle name="40% - Accent5 5 3 5 2 3" xfId="19568" xr:uid="{00000000-0005-0000-0000-000073800000}"/>
    <cellStyle name="40% - Accent5 5 3 5 2 3 2" xfId="45442" xr:uid="{00000000-0005-0000-0000-000074800000}"/>
    <cellStyle name="40% - Accent5 5 3 5 2 4" xfId="32526" xr:uid="{00000000-0005-0000-0000-000075800000}"/>
    <cellStyle name="40% - Accent5 5 3 5 3" xfId="9881" xr:uid="{00000000-0005-0000-0000-000076800000}"/>
    <cellStyle name="40% - Accent5 5 3 5 3 2" xfId="22798" xr:uid="{00000000-0005-0000-0000-000077800000}"/>
    <cellStyle name="40% - Accent5 5 3 5 3 2 2" xfId="48672" xr:uid="{00000000-0005-0000-0000-000078800000}"/>
    <cellStyle name="40% - Accent5 5 3 5 3 3" xfId="35756" xr:uid="{00000000-0005-0000-0000-000079800000}"/>
    <cellStyle name="40% - Accent5 5 3 5 4" xfId="16340" xr:uid="{00000000-0005-0000-0000-00007A800000}"/>
    <cellStyle name="40% - Accent5 5 3 5 4 2" xfId="42214" xr:uid="{00000000-0005-0000-0000-00007B800000}"/>
    <cellStyle name="40% - Accent5 5 3 5 5" xfId="29266" xr:uid="{00000000-0005-0000-0000-00007C800000}"/>
    <cellStyle name="40% - Accent5 5 3 6" xfId="5036" xr:uid="{00000000-0005-0000-0000-00007D800000}"/>
    <cellStyle name="40% - Accent5 5 3 6 2" xfId="11495" xr:uid="{00000000-0005-0000-0000-00007E800000}"/>
    <cellStyle name="40% - Accent5 5 3 6 2 2" xfId="24412" xr:uid="{00000000-0005-0000-0000-00007F800000}"/>
    <cellStyle name="40% - Accent5 5 3 6 2 2 2" xfId="50286" xr:uid="{00000000-0005-0000-0000-000080800000}"/>
    <cellStyle name="40% - Accent5 5 3 6 2 3" xfId="37370" xr:uid="{00000000-0005-0000-0000-000081800000}"/>
    <cellStyle name="40% - Accent5 5 3 6 3" xfId="17954" xr:uid="{00000000-0005-0000-0000-000082800000}"/>
    <cellStyle name="40% - Accent5 5 3 6 3 2" xfId="43828" xr:uid="{00000000-0005-0000-0000-000083800000}"/>
    <cellStyle name="40% - Accent5 5 3 6 4" xfId="30912" xr:uid="{00000000-0005-0000-0000-000084800000}"/>
    <cellStyle name="40% - Accent5 5 3 7" xfId="8266" xr:uid="{00000000-0005-0000-0000-000085800000}"/>
    <cellStyle name="40% - Accent5 5 3 7 2" xfId="21183" xr:uid="{00000000-0005-0000-0000-000086800000}"/>
    <cellStyle name="40% - Accent5 5 3 7 2 2" xfId="47057" xr:uid="{00000000-0005-0000-0000-000087800000}"/>
    <cellStyle name="40% - Accent5 5 3 7 3" xfId="34141" xr:uid="{00000000-0005-0000-0000-000088800000}"/>
    <cellStyle name="40% - Accent5 5 3 8" xfId="14725" xr:uid="{00000000-0005-0000-0000-000089800000}"/>
    <cellStyle name="40% - Accent5 5 3 8 2" xfId="40599" xr:uid="{00000000-0005-0000-0000-00008A800000}"/>
    <cellStyle name="40% - Accent5 5 3 9" xfId="27649" xr:uid="{00000000-0005-0000-0000-00008B800000}"/>
    <cellStyle name="40% - Accent5 5 4" xfId="767" xr:uid="{00000000-0005-0000-0000-00008C800000}"/>
    <cellStyle name="40% - Accent5 5 5" xfId="1132" xr:uid="{00000000-0005-0000-0000-00008D800000}"/>
    <cellStyle name="40% - Accent5 6" xfId="205" xr:uid="{00000000-0005-0000-0000-00008E800000}"/>
    <cellStyle name="40% - Accent5 6 2" xfId="402" xr:uid="{00000000-0005-0000-0000-00008F800000}"/>
    <cellStyle name="40% - Accent5 6 2 2" xfId="773" xr:uid="{00000000-0005-0000-0000-000090800000}"/>
    <cellStyle name="40% - Accent5 6 2 3" xfId="772" xr:uid="{00000000-0005-0000-0000-000091800000}"/>
    <cellStyle name="40% - Accent5 6 3" xfId="774" xr:uid="{00000000-0005-0000-0000-000092800000}"/>
    <cellStyle name="40% - Accent5 6 4" xfId="771" xr:uid="{00000000-0005-0000-0000-000093800000}"/>
    <cellStyle name="40% - Accent5 6 5" xfId="1133" xr:uid="{00000000-0005-0000-0000-000094800000}"/>
    <cellStyle name="40% - Accent5 7" xfId="489" xr:uid="{00000000-0005-0000-0000-000095800000}"/>
    <cellStyle name="40% - Accent5 7 2" xfId="776" xr:uid="{00000000-0005-0000-0000-000096800000}"/>
    <cellStyle name="40% - Accent5 7 2 2" xfId="1135" xr:uid="{00000000-0005-0000-0000-000097800000}"/>
    <cellStyle name="40% - Accent5 7 3" xfId="775" xr:uid="{00000000-0005-0000-0000-000098800000}"/>
    <cellStyle name="40% - Accent5 7 3 10" xfId="27598" xr:uid="{00000000-0005-0000-0000-000099800000}"/>
    <cellStyle name="40% - Accent5 7 3 11" xfId="53464" xr:uid="{00000000-0005-0000-0000-00009A800000}"/>
    <cellStyle name="40% - Accent5 7 3 12" xfId="1136" xr:uid="{00000000-0005-0000-0000-00009B800000}"/>
    <cellStyle name="40% - Accent5 7 3 2" xfId="1660" xr:uid="{00000000-0005-0000-0000-00009C800000}"/>
    <cellStyle name="40% - Accent5 7 3 2 10" xfId="53576" xr:uid="{00000000-0005-0000-0000-00009D800000}"/>
    <cellStyle name="40% - Accent5 7 3 2 2" xfId="1985" xr:uid="{00000000-0005-0000-0000-00009E800000}"/>
    <cellStyle name="40% - Accent5 7 3 2 2 2" xfId="2416" xr:uid="{00000000-0005-0000-0000-00009F800000}"/>
    <cellStyle name="40% - Accent5 7 3 2 2 2 2" xfId="3229" xr:uid="{00000000-0005-0000-0000-0000A0800000}"/>
    <cellStyle name="40% - Accent5 7 3 2 2 2 2 2" xfId="4886" xr:uid="{00000000-0005-0000-0000-0000A1800000}"/>
    <cellStyle name="40% - Accent5 7 3 2 2 2 2 2 2" xfId="8117" xr:uid="{00000000-0005-0000-0000-0000A2800000}"/>
    <cellStyle name="40% - Accent5 7 3 2 2 2 2 2 2 2" xfId="14576" xr:uid="{00000000-0005-0000-0000-0000A3800000}"/>
    <cellStyle name="40% - Accent5 7 3 2 2 2 2 2 2 2 2" xfId="27493" xr:uid="{00000000-0005-0000-0000-0000A4800000}"/>
    <cellStyle name="40% - Accent5 7 3 2 2 2 2 2 2 2 2 2" xfId="53367" xr:uid="{00000000-0005-0000-0000-0000A5800000}"/>
    <cellStyle name="40% - Accent5 7 3 2 2 2 2 2 2 2 3" xfId="40451" xr:uid="{00000000-0005-0000-0000-0000A6800000}"/>
    <cellStyle name="40% - Accent5 7 3 2 2 2 2 2 2 3" xfId="21035" xr:uid="{00000000-0005-0000-0000-0000A7800000}"/>
    <cellStyle name="40% - Accent5 7 3 2 2 2 2 2 2 3 2" xfId="46909" xr:uid="{00000000-0005-0000-0000-0000A8800000}"/>
    <cellStyle name="40% - Accent5 7 3 2 2 2 2 2 2 4" xfId="33993" xr:uid="{00000000-0005-0000-0000-0000A9800000}"/>
    <cellStyle name="40% - Accent5 7 3 2 2 2 2 2 3" xfId="11348" xr:uid="{00000000-0005-0000-0000-0000AA800000}"/>
    <cellStyle name="40% - Accent5 7 3 2 2 2 2 2 3 2" xfId="24265" xr:uid="{00000000-0005-0000-0000-0000AB800000}"/>
    <cellStyle name="40% - Accent5 7 3 2 2 2 2 2 3 2 2" xfId="50139" xr:uid="{00000000-0005-0000-0000-0000AC800000}"/>
    <cellStyle name="40% - Accent5 7 3 2 2 2 2 2 3 3" xfId="37223" xr:uid="{00000000-0005-0000-0000-0000AD800000}"/>
    <cellStyle name="40% - Accent5 7 3 2 2 2 2 2 4" xfId="17807" xr:uid="{00000000-0005-0000-0000-0000AE800000}"/>
    <cellStyle name="40% - Accent5 7 3 2 2 2 2 2 4 2" xfId="43681" xr:uid="{00000000-0005-0000-0000-0000AF800000}"/>
    <cellStyle name="40% - Accent5 7 3 2 2 2 2 2 5" xfId="30733" xr:uid="{00000000-0005-0000-0000-0000B0800000}"/>
    <cellStyle name="40% - Accent5 7 3 2 2 2 2 3" xfId="6503" xr:uid="{00000000-0005-0000-0000-0000B1800000}"/>
    <cellStyle name="40% - Accent5 7 3 2 2 2 2 3 2" xfId="12962" xr:uid="{00000000-0005-0000-0000-0000B2800000}"/>
    <cellStyle name="40% - Accent5 7 3 2 2 2 2 3 2 2" xfId="25879" xr:uid="{00000000-0005-0000-0000-0000B3800000}"/>
    <cellStyle name="40% - Accent5 7 3 2 2 2 2 3 2 2 2" xfId="51753" xr:uid="{00000000-0005-0000-0000-0000B4800000}"/>
    <cellStyle name="40% - Accent5 7 3 2 2 2 2 3 2 3" xfId="38837" xr:uid="{00000000-0005-0000-0000-0000B5800000}"/>
    <cellStyle name="40% - Accent5 7 3 2 2 2 2 3 3" xfId="19421" xr:uid="{00000000-0005-0000-0000-0000B6800000}"/>
    <cellStyle name="40% - Accent5 7 3 2 2 2 2 3 3 2" xfId="45295" xr:uid="{00000000-0005-0000-0000-0000B7800000}"/>
    <cellStyle name="40% - Accent5 7 3 2 2 2 2 3 4" xfId="32379" xr:uid="{00000000-0005-0000-0000-0000B8800000}"/>
    <cellStyle name="40% - Accent5 7 3 2 2 2 2 4" xfId="9734" xr:uid="{00000000-0005-0000-0000-0000B9800000}"/>
    <cellStyle name="40% - Accent5 7 3 2 2 2 2 4 2" xfId="22651" xr:uid="{00000000-0005-0000-0000-0000BA800000}"/>
    <cellStyle name="40% - Accent5 7 3 2 2 2 2 4 2 2" xfId="48525" xr:uid="{00000000-0005-0000-0000-0000BB800000}"/>
    <cellStyle name="40% - Accent5 7 3 2 2 2 2 4 3" xfId="35609" xr:uid="{00000000-0005-0000-0000-0000BC800000}"/>
    <cellStyle name="40% - Accent5 7 3 2 2 2 2 5" xfId="16193" xr:uid="{00000000-0005-0000-0000-0000BD800000}"/>
    <cellStyle name="40% - Accent5 7 3 2 2 2 2 5 2" xfId="42067" xr:uid="{00000000-0005-0000-0000-0000BE800000}"/>
    <cellStyle name="40% - Accent5 7 3 2 2 2 2 6" xfId="29119" xr:uid="{00000000-0005-0000-0000-0000BF800000}"/>
    <cellStyle name="40% - Accent5 7 3 2 2 2 3" xfId="4056" xr:uid="{00000000-0005-0000-0000-0000C0800000}"/>
    <cellStyle name="40% - Accent5 7 3 2 2 2 3 2" xfId="7310" xr:uid="{00000000-0005-0000-0000-0000C1800000}"/>
    <cellStyle name="40% - Accent5 7 3 2 2 2 3 2 2" xfId="13769" xr:uid="{00000000-0005-0000-0000-0000C2800000}"/>
    <cellStyle name="40% - Accent5 7 3 2 2 2 3 2 2 2" xfId="26686" xr:uid="{00000000-0005-0000-0000-0000C3800000}"/>
    <cellStyle name="40% - Accent5 7 3 2 2 2 3 2 2 2 2" xfId="52560" xr:uid="{00000000-0005-0000-0000-0000C4800000}"/>
    <cellStyle name="40% - Accent5 7 3 2 2 2 3 2 2 3" xfId="39644" xr:uid="{00000000-0005-0000-0000-0000C5800000}"/>
    <cellStyle name="40% - Accent5 7 3 2 2 2 3 2 3" xfId="20228" xr:uid="{00000000-0005-0000-0000-0000C6800000}"/>
    <cellStyle name="40% - Accent5 7 3 2 2 2 3 2 3 2" xfId="46102" xr:uid="{00000000-0005-0000-0000-0000C7800000}"/>
    <cellStyle name="40% - Accent5 7 3 2 2 2 3 2 4" xfId="33186" xr:uid="{00000000-0005-0000-0000-0000C8800000}"/>
    <cellStyle name="40% - Accent5 7 3 2 2 2 3 3" xfId="10541" xr:uid="{00000000-0005-0000-0000-0000C9800000}"/>
    <cellStyle name="40% - Accent5 7 3 2 2 2 3 3 2" xfId="23458" xr:uid="{00000000-0005-0000-0000-0000CA800000}"/>
    <cellStyle name="40% - Accent5 7 3 2 2 2 3 3 2 2" xfId="49332" xr:uid="{00000000-0005-0000-0000-0000CB800000}"/>
    <cellStyle name="40% - Accent5 7 3 2 2 2 3 3 3" xfId="36416" xr:uid="{00000000-0005-0000-0000-0000CC800000}"/>
    <cellStyle name="40% - Accent5 7 3 2 2 2 3 4" xfId="17000" xr:uid="{00000000-0005-0000-0000-0000CD800000}"/>
    <cellStyle name="40% - Accent5 7 3 2 2 2 3 4 2" xfId="42874" xr:uid="{00000000-0005-0000-0000-0000CE800000}"/>
    <cellStyle name="40% - Accent5 7 3 2 2 2 3 5" xfId="29926" xr:uid="{00000000-0005-0000-0000-0000CF800000}"/>
    <cellStyle name="40% - Accent5 7 3 2 2 2 4" xfId="5696" xr:uid="{00000000-0005-0000-0000-0000D0800000}"/>
    <cellStyle name="40% - Accent5 7 3 2 2 2 4 2" xfId="12155" xr:uid="{00000000-0005-0000-0000-0000D1800000}"/>
    <cellStyle name="40% - Accent5 7 3 2 2 2 4 2 2" xfId="25072" xr:uid="{00000000-0005-0000-0000-0000D2800000}"/>
    <cellStyle name="40% - Accent5 7 3 2 2 2 4 2 2 2" xfId="50946" xr:uid="{00000000-0005-0000-0000-0000D3800000}"/>
    <cellStyle name="40% - Accent5 7 3 2 2 2 4 2 3" xfId="38030" xr:uid="{00000000-0005-0000-0000-0000D4800000}"/>
    <cellStyle name="40% - Accent5 7 3 2 2 2 4 3" xfId="18614" xr:uid="{00000000-0005-0000-0000-0000D5800000}"/>
    <cellStyle name="40% - Accent5 7 3 2 2 2 4 3 2" xfId="44488" xr:uid="{00000000-0005-0000-0000-0000D6800000}"/>
    <cellStyle name="40% - Accent5 7 3 2 2 2 4 4" xfId="31572" xr:uid="{00000000-0005-0000-0000-0000D7800000}"/>
    <cellStyle name="40% - Accent5 7 3 2 2 2 5" xfId="8927" xr:uid="{00000000-0005-0000-0000-0000D8800000}"/>
    <cellStyle name="40% - Accent5 7 3 2 2 2 5 2" xfId="21844" xr:uid="{00000000-0005-0000-0000-0000D9800000}"/>
    <cellStyle name="40% - Accent5 7 3 2 2 2 5 2 2" xfId="47718" xr:uid="{00000000-0005-0000-0000-0000DA800000}"/>
    <cellStyle name="40% - Accent5 7 3 2 2 2 5 3" xfId="34802" xr:uid="{00000000-0005-0000-0000-0000DB800000}"/>
    <cellStyle name="40% - Accent5 7 3 2 2 2 6" xfId="15386" xr:uid="{00000000-0005-0000-0000-0000DC800000}"/>
    <cellStyle name="40% - Accent5 7 3 2 2 2 6 2" xfId="41260" xr:uid="{00000000-0005-0000-0000-0000DD800000}"/>
    <cellStyle name="40% - Accent5 7 3 2 2 2 7" xfId="28312" xr:uid="{00000000-0005-0000-0000-0000DE800000}"/>
    <cellStyle name="40% - Accent5 7 3 2 2 2 8" xfId="54174" xr:uid="{00000000-0005-0000-0000-0000DF800000}"/>
    <cellStyle name="40% - Accent5 7 3 2 2 3" xfId="2825" xr:uid="{00000000-0005-0000-0000-0000E0800000}"/>
    <cellStyle name="40% - Accent5 7 3 2 2 3 2" xfId="4482" xr:uid="{00000000-0005-0000-0000-0000E1800000}"/>
    <cellStyle name="40% - Accent5 7 3 2 2 3 2 2" xfId="7713" xr:uid="{00000000-0005-0000-0000-0000E2800000}"/>
    <cellStyle name="40% - Accent5 7 3 2 2 3 2 2 2" xfId="14172" xr:uid="{00000000-0005-0000-0000-0000E3800000}"/>
    <cellStyle name="40% - Accent5 7 3 2 2 3 2 2 2 2" xfId="27089" xr:uid="{00000000-0005-0000-0000-0000E4800000}"/>
    <cellStyle name="40% - Accent5 7 3 2 2 3 2 2 2 2 2" xfId="52963" xr:uid="{00000000-0005-0000-0000-0000E5800000}"/>
    <cellStyle name="40% - Accent5 7 3 2 2 3 2 2 2 3" xfId="40047" xr:uid="{00000000-0005-0000-0000-0000E6800000}"/>
    <cellStyle name="40% - Accent5 7 3 2 2 3 2 2 3" xfId="20631" xr:uid="{00000000-0005-0000-0000-0000E7800000}"/>
    <cellStyle name="40% - Accent5 7 3 2 2 3 2 2 3 2" xfId="46505" xr:uid="{00000000-0005-0000-0000-0000E8800000}"/>
    <cellStyle name="40% - Accent5 7 3 2 2 3 2 2 4" xfId="33589" xr:uid="{00000000-0005-0000-0000-0000E9800000}"/>
    <cellStyle name="40% - Accent5 7 3 2 2 3 2 3" xfId="10944" xr:uid="{00000000-0005-0000-0000-0000EA800000}"/>
    <cellStyle name="40% - Accent5 7 3 2 2 3 2 3 2" xfId="23861" xr:uid="{00000000-0005-0000-0000-0000EB800000}"/>
    <cellStyle name="40% - Accent5 7 3 2 2 3 2 3 2 2" xfId="49735" xr:uid="{00000000-0005-0000-0000-0000EC800000}"/>
    <cellStyle name="40% - Accent5 7 3 2 2 3 2 3 3" xfId="36819" xr:uid="{00000000-0005-0000-0000-0000ED800000}"/>
    <cellStyle name="40% - Accent5 7 3 2 2 3 2 4" xfId="17403" xr:uid="{00000000-0005-0000-0000-0000EE800000}"/>
    <cellStyle name="40% - Accent5 7 3 2 2 3 2 4 2" xfId="43277" xr:uid="{00000000-0005-0000-0000-0000EF800000}"/>
    <cellStyle name="40% - Accent5 7 3 2 2 3 2 5" xfId="30329" xr:uid="{00000000-0005-0000-0000-0000F0800000}"/>
    <cellStyle name="40% - Accent5 7 3 2 2 3 3" xfId="6099" xr:uid="{00000000-0005-0000-0000-0000F1800000}"/>
    <cellStyle name="40% - Accent5 7 3 2 2 3 3 2" xfId="12558" xr:uid="{00000000-0005-0000-0000-0000F2800000}"/>
    <cellStyle name="40% - Accent5 7 3 2 2 3 3 2 2" xfId="25475" xr:uid="{00000000-0005-0000-0000-0000F3800000}"/>
    <cellStyle name="40% - Accent5 7 3 2 2 3 3 2 2 2" xfId="51349" xr:uid="{00000000-0005-0000-0000-0000F4800000}"/>
    <cellStyle name="40% - Accent5 7 3 2 2 3 3 2 3" xfId="38433" xr:uid="{00000000-0005-0000-0000-0000F5800000}"/>
    <cellStyle name="40% - Accent5 7 3 2 2 3 3 3" xfId="19017" xr:uid="{00000000-0005-0000-0000-0000F6800000}"/>
    <cellStyle name="40% - Accent5 7 3 2 2 3 3 3 2" xfId="44891" xr:uid="{00000000-0005-0000-0000-0000F7800000}"/>
    <cellStyle name="40% - Accent5 7 3 2 2 3 3 4" xfId="31975" xr:uid="{00000000-0005-0000-0000-0000F8800000}"/>
    <cellStyle name="40% - Accent5 7 3 2 2 3 4" xfId="9330" xr:uid="{00000000-0005-0000-0000-0000F9800000}"/>
    <cellStyle name="40% - Accent5 7 3 2 2 3 4 2" xfId="22247" xr:uid="{00000000-0005-0000-0000-0000FA800000}"/>
    <cellStyle name="40% - Accent5 7 3 2 2 3 4 2 2" xfId="48121" xr:uid="{00000000-0005-0000-0000-0000FB800000}"/>
    <cellStyle name="40% - Accent5 7 3 2 2 3 4 3" xfId="35205" xr:uid="{00000000-0005-0000-0000-0000FC800000}"/>
    <cellStyle name="40% - Accent5 7 3 2 2 3 5" xfId="15789" xr:uid="{00000000-0005-0000-0000-0000FD800000}"/>
    <cellStyle name="40% - Accent5 7 3 2 2 3 5 2" xfId="41663" xr:uid="{00000000-0005-0000-0000-0000FE800000}"/>
    <cellStyle name="40% - Accent5 7 3 2 2 3 6" xfId="28715" xr:uid="{00000000-0005-0000-0000-0000FF800000}"/>
    <cellStyle name="40% - Accent5 7 3 2 2 4" xfId="3652" xr:uid="{00000000-0005-0000-0000-000000810000}"/>
    <cellStyle name="40% - Accent5 7 3 2 2 4 2" xfId="6906" xr:uid="{00000000-0005-0000-0000-000001810000}"/>
    <cellStyle name="40% - Accent5 7 3 2 2 4 2 2" xfId="13365" xr:uid="{00000000-0005-0000-0000-000002810000}"/>
    <cellStyle name="40% - Accent5 7 3 2 2 4 2 2 2" xfId="26282" xr:uid="{00000000-0005-0000-0000-000003810000}"/>
    <cellStyle name="40% - Accent5 7 3 2 2 4 2 2 2 2" xfId="52156" xr:uid="{00000000-0005-0000-0000-000004810000}"/>
    <cellStyle name="40% - Accent5 7 3 2 2 4 2 2 3" xfId="39240" xr:uid="{00000000-0005-0000-0000-000005810000}"/>
    <cellStyle name="40% - Accent5 7 3 2 2 4 2 3" xfId="19824" xr:uid="{00000000-0005-0000-0000-000006810000}"/>
    <cellStyle name="40% - Accent5 7 3 2 2 4 2 3 2" xfId="45698" xr:uid="{00000000-0005-0000-0000-000007810000}"/>
    <cellStyle name="40% - Accent5 7 3 2 2 4 2 4" xfId="32782" xr:uid="{00000000-0005-0000-0000-000008810000}"/>
    <cellStyle name="40% - Accent5 7 3 2 2 4 3" xfId="10137" xr:uid="{00000000-0005-0000-0000-000009810000}"/>
    <cellStyle name="40% - Accent5 7 3 2 2 4 3 2" xfId="23054" xr:uid="{00000000-0005-0000-0000-00000A810000}"/>
    <cellStyle name="40% - Accent5 7 3 2 2 4 3 2 2" xfId="48928" xr:uid="{00000000-0005-0000-0000-00000B810000}"/>
    <cellStyle name="40% - Accent5 7 3 2 2 4 3 3" xfId="36012" xr:uid="{00000000-0005-0000-0000-00000C810000}"/>
    <cellStyle name="40% - Accent5 7 3 2 2 4 4" xfId="16596" xr:uid="{00000000-0005-0000-0000-00000D810000}"/>
    <cellStyle name="40% - Accent5 7 3 2 2 4 4 2" xfId="42470" xr:uid="{00000000-0005-0000-0000-00000E810000}"/>
    <cellStyle name="40% - Accent5 7 3 2 2 4 5" xfId="29522" xr:uid="{00000000-0005-0000-0000-00000F810000}"/>
    <cellStyle name="40% - Accent5 7 3 2 2 5" xfId="5292" xr:uid="{00000000-0005-0000-0000-000010810000}"/>
    <cellStyle name="40% - Accent5 7 3 2 2 5 2" xfId="11751" xr:uid="{00000000-0005-0000-0000-000011810000}"/>
    <cellStyle name="40% - Accent5 7 3 2 2 5 2 2" xfId="24668" xr:uid="{00000000-0005-0000-0000-000012810000}"/>
    <cellStyle name="40% - Accent5 7 3 2 2 5 2 2 2" xfId="50542" xr:uid="{00000000-0005-0000-0000-000013810000}"/>
    <cellStyle name="40% - Accent5 7 3 2 2 5 2 3" xfId="37626" xr:uid="{00000000-0005-0000-0000-000014810000}"/>
    <cellStyle name="40% - Accent5 7 3 2 2 5 3" xfId="18210" xr:uid="{00000000-0005-0000-0000-000015810000}"/>
    <cellStyle name="40% - Accent5 7 3 2 2 5 3 2" xfId="44084" xr:uid="{00000000-0005-0000-0000-000016810000}"/>
    <cellStyle name="40% - Accent5 7 3 2 2 5 4" xfId="31168" xr:uid="{00000000-0005-0000-0000-000017810000}"/>
    <cellStyle name="40% - Accent5 7 3 2 2 6" xfId="8523" xr:uid="{00000000-0005-0000-0000-000018810000}"/>
    <cellStyle name="40% - Accent5 7 3 2 2 6 2" xfId="21440" xr:uid="{00000000-0005-0000-0000-000019810000}"/>
    <cellStyle name="40% - Accent5 7 3 2 2 6 2 2" xfId="47314" xr:uid="{00000000-0005-0000-0000-00001A810000}"/>
    <cellStyle name="40% - Accent5 7 3 2 2 6 3" xfId="34398" xr:uid="{00000000-0005-0000-0000-00001B810000}"/>
    <cellStyle name="40% - Accent5 7 3 2 2 7" xfId="14982" xr:uid="{00000000-0005-0000-0000-00001C810000}"/>
    <cellStyle name="40% - Accent5 7 3 2 2 7 2" xfId="40856" xr:uid="{00000000-0005-0000-0000-00001D810000}"/>
    <cellStyle name="40% - Accent5 7 3 2 2 8" xfId="27907" xr:uid="{00000000-0005-0000-0000-00001E810000}"/>
    <cellStyle name="40% - Accent5 7 3 2 2 9" xfId="53770" xr:uid="{00000000-0005-0000-0000-00001F810000}"/>
    <cellStyle name="40% - Accent5 7 3 2 3" xfId="2220" xr:uid="{00000000-0005-0000-0000-000020810000}"/>
    <cellStyle name="40% - Accent5 7 3 2 3 2" xfId="3034" xr:uid="{00000000-0005-0000-0000-000021810000}"/>
    <cellStyle name="40% - Accent5 7 3 2 3 2 2" xfId="4691" xr:uid="{00000000-0005-0000-0000-000022810000}"/>
    <cellStyle name="40% - Accent5 7 3 2 3 2 2 2" xfId="7922" xr:uid="{00000000-0005-0000-0000-000023810000}"/>
    <cellStyle name="40% - Accent5 7 3 2 3 2 2 2 2" xfId="14381" xr:uid="{00000000-0005-0000-0000-000024810000}"/>
    <cellStyle name="40% - Accent5 7 3 2 3 2 2 2 2 2" xfId="27298" xr:uid="{00000000-0005-0000-0000-000025810000}"/>
    <cellStyle name="40% - Accent5 7 3 2 3 2 2 2 2 2 2" xfId="53172" xr:uid="{00000000-0005-0000-0000-000026810000}"/>
    <cellStyle name="40% - Accent5 7 3 2 3 2 2 2 2 3" xfId="40256" xr:uid="{00000000-0005-0000-0000-000027810000}"/>
    <cellStyle name="40% - Accent5 7 3 2 3 2 2 2 3" xfId="20840" xr:uid="{00000000-0005-0000-0000-000028810000}"/>
    <cellStyle name="40% - Accent5 7 3 2 3 2 2 2 3 2" xfId="46714" xr:uid="{00000000-0005-0000-0000-000029810000}"/>
    <cellStyle name="40% - Accent5 7 3 2 3 2 2 2 4" xfId="33798" xr:uid="{00000000-0005-0000-0000-00002A810000}"/>
    <cellStyle name="40% - Accent5 7 3 2 3 2 2 3" xfId="11153" xr:uid="{00000000-0005-0000-0000-00002B810000}"/>
    <cellStyle name="40% - Accent5 7 3 2 3 2 2 3 2" xfId="24070" xr:uid="{00000000-0005-0000-0000-00002C810000}"/>
    <cellStyle name="40% - Accent5 7 3 2 3 2 2 3 2 2" xfId="49944" xr:uid="{00000000-0005-0000-0000-00002D810000}"/>
    <cellStyle name="40% - Accent5 7 3 2 3 2 2 3 3" xfId="37028" xr:uid="{00000000-0005-0000-0000-00002E810000}"/>
    <cellStyle name="40% - Accent5 7 3 2 3 2 2 4" xfId="17612" xr:uid="{00000000-0005-0000-0000-00002F810000}"/>
    <cellStyle name="40% - Accent5 7 3 2 3 2 2 4 2" xfId="43486" xr:uid="{00000000-0005-0000-0000-000030810000}"/>
    <cellStyle name="40% - Accent5 7 3 2 3 2 2 5" xfId="30538" xr:uid="{00000000-0005-0000-0000-000031810000}"/>
    <cellStyle name="40% - Accent5 7 3 2 3 2 3" xfId="6308" xr:uid="{00000000-0005-0000-0000-000032810000}"/>
    <cellStyle name="40% - Accent5 7 3 2 3 2 3 2" xfId="12767" xr:uid="{00000000-0005-0000-0000-000033810000}"/>
    <cellStyle name="40% - Accent5 7 3 2 3 2 3 2 2" xfId="25684" xr:uid="{00000000-0005-0000-0000-000034810000}"/>
    <cellStyle name="40% - Accent5 7 3 2 3 2 3 2 2 2" xfId="51558" xr:uid="{00000000-0005-0000-0000-000035810000}"/>
    <cellStyle name="40% - Accent5 7 3 2 3 2 3 2 3" xfId="38642" xr:uid="{00000000-0005-0000-0000-000036810000}"/>
    <cellStyle name="40% - Accent5 7 3 2 3 2 3 3" xfId="19226" xr:uid="{00000000-0005-0000-0000-000037810000}"/>
    <cellStyle name="40% - Accent5 7 3 2 3 2 3 3 2" xfId="45100" xr:uid="{00000000-0005-0000-0000-000038810000}"/>
    <cellStyle name="40% - Accent5 7 3 2 3 2 3 4" xfId="32184" xr:uid="{00000000-0005-0000-0000-000039810000}"/>
    <cellStyle name="40% - Accent5 7 3 2 3 2 4" xfId="9539" xr:uid="{00000000-0005-0000-0000-00003A810000}"/>
    <cellStyle name="40% - Accent5 7 3 2 3 2 4 2" xfId="22456" xr:uid="{00000000-0005-0000-0000-00003B810000}"/>
    <cellStyle name="40% - Accent5 7 3 2 3 2 4 2 2" xfId="48330" xr:uid="{00000000-0005-0000-0000-00003C810000}"/>
    <cellStyle name="40% - Accent5 7 3 2 3 2 4 3" xfId="35414" xr:uid="{00000000-0005-0000-0000-00003D810000}"/>
    <cellStyle name="40% - Accent5 7 3 2 3 2 5" xfId="15998" xr:uid="{00000000-0005-0000-0000-00003E810000}"/>
    <cellStyle name="40% - Accent5 7 3 2 3 2 5 2" xfId="41872" xr:uid="{00000000-0005-0000-0000-00003F810000}"/>
    <cellStyle name="40% - Accent5 7 3 2 3 2 6" xfId="28924" xr:uid="{00000000-0005-0000-0000-000040810000}"/>
    <cellStyle name="40% - Accent5 7 3 2 3 3" xfId="3861" xr:uid="{00000000-0005-0000-0000-000041810000}"/>
    <cellStyle name="40% - Accent5 7 3 2 3 3 2" xfId="7115" xr:uid="{00000000-0005-0000-0000-000042810000}"/>
    <cellStyle name="40% - Accent5 7 3 2 3 3 2 2" xfId="13574" xr:uid="{00000000-0005-0000-0000-000043810000}"/>
    <cellStyle name="40% - Accent5 7 3 2 3 3 2 2 2" xfId="26491" xr:uid="{00000000-0005-0000-0000-000044810000}"/>
    <cellStyle name="40% - Accent5 7 3 2 3 3 2 2 2 2" xfId="52365" xr:uid="{00000000-0005-0000-0000-000045810000}"/>
    <cellStyle name="40% - Accent5 7 3 2 3 3 2 2 3" xfId="39449" xr:uid="{00000000-0005-0000-0000-000046810000}"/>
    <cellStyle name="40% - Accent5 7 3 2 3 3 2 3" xfId="20033" xr:uid="{00000000-0005-0000-0000-000047810000}"/>
    <cellStyle name="40% - Accent5 7 3 2 3 3 2 3 2" xfId="45907" xr:uid="{00000000-0005-0000-0000-000048810000}"/>
    <cellStyle name="40% - Accent5 7 3 2 3 3 2 4" xfId="32991" xr:uid="{00000000-0005-0000-0000-000049810000}"/>
    <cellStyle name="40% - Accent5 7 3 2 3 3 3" xfId="10346" xr:uid="{00000000-0005-0000-0000-00004A810000}"/>
    <cellStyle name="40% - Accent5 7 3 2 3 3 3 2" xfId="23263" xr:uid="{00000000-0005-0000-0000-00004B810000}"/>
    <cellStyle name="40% - Accent5 7 3 2 3 3 3 2 2" xfId="49137" xr:uid="{00000000-0005-0000-0000-00004C810000}"/>
    <cellStyle name="40% - Accent5 7 3 2 3 3 3 3" xfId="36221" xr:uid="{00000000-0005-0000-0000-00004D810000}"/>
    <cellStyle name="40% - Accent5 7 3 2 3 3 4" xfId="16805" xr:uid="{00000000-0005-0000-0000-00004E810000}"/>
    <cellStyle name="40% - Accent5 7 3 2 3 3 4 2" xfId="42679" xr:uid="{00000000-0005-0000-0000-00004F810000}"/>
    <cellStyle name="40% - Accent5 7 3 2 3 3 5" xfId="29731" xr:uid="{00000000-0005-0000-0000-000050810000}"/>
    <cellStyle name="40% - Accent5 7 3 2 3 4" xfId="5501" xr:uid="{00000000-0005-0000-0000-000051810000}"/>
    <cellStyle name="40% - Accent5 7 3 2 3 4 2" xfId="11960" xr:uid="{00000000-0005-0000-0000-000052810000}"/>
    <cellStyle name="40% - Accent5 7 3 2 3 4 2 2" xfId="24877" xr:uid="{00000000-0005-0000-0000-000053810000}"/>
    <cellStyle name="40% - Accent5 7 3 2 3 4 2 2 2" xfId="50751" xr:uid="{00000000-0005-0000-0000-000054810000}"/>
    <cellStyle name="40% - Accent5 7 3 2 3 4 2 3" xfId="37835" xr:uid="{00000000-0005-0000-0000-000055810000}"/>
    <cellStyle name="40% - Accent5 7 3 2 3 4 3" xfId="18419" xr:uid="{00000000-0005-0000-0000-000056810000}"/>
    <cellStyle name="40% - Accent5 7 3 2 3 4 3 2" xfId="44293" xr:uid="{00000000-0005-0000-0000-000057810000}"/>
    <cellStyle name="40% - Accent5 7 3 2 3 4 4" xfId="31377" xr:uid="{00000000-0005-0000-0000-000058810000}"/>
    <cellStyle name="40% - Accent5 7 3 2 3 5" xfId="8732" xr:uid="{00000000-0005-0000-0000-000059810000}"/>
    <cellStyle name="40% - Accent5 7 3 2 3 5 2" xfId="21649" xr:uid="{00000000-0005-0000-0000-00005A810000}"/>
    <cellStyle name="40% - Accent5 7 3 2 3 5 2 2" xfId="47523" xr:uid="{00000000-0005-0000-0000-00005B810000}"/>
    <cellStyle name="40% - Accent5 7 3 2 3 5 3" xfId="34607" xr:uid="{00000000-0005-0000-0000-00005C810000}"/>
    <cellStyle name="40% - Accent5 7 3 2 3 6" xfId="15191" xr:uid="{00000000-0005-0000-0000-00005D810000}"/>
    <cellStyle name="40% - Accent5 7 3 2 3 6 2" xfId="41065" xr:uid="{00000000-0005-0000-0000-00005E810000}"/>
    <cellStyle name="40% - Accent5 7 3 2 3 7" xfId="28117" xr:uid="{00000000-0005-0000-0000-00005F810000}"/>
    <cellStyle name="40% - Accent5 7 3 2 3 8" xfId="53979" xr:uid="{00000000-0005-0000-0000-000060810000}"/>
    <cellStyle name="40% - Accent5 7 3 2 4" xfId="2631" xr:uid="{00000000-0005-0000-0000-000061810000}"/>
    <cellStyle name="40% - Accent5 7 3 2 4 2" xfId="4288" xr:uid="{00000000-0005-0000-0000-000062810000}"/>
    <cellStyle name="40% - Accent5 7 3 2 4 2 2" xfId="7519" xr:uid="{00000000-0005-0000-0000-000063810000}"/>
    <cellStyle name="40% - Accent5 7 3 2 4 2 2 2" xfId="13978" xr:uid="{00000000-0005-0000-0000-000064810000}"/>
    <cellStyle name="40% - Accent5 7 3 2 4 2 2 2 2" xfId="26895" xr:uid="{00000000-0005-0000-0000-000065810000}"/>
    <cellStyle name="40% - Accent5 7 3 2 4 2 2 2 2 2" xfId="52769" xr:uid="{00000000-0005-0000-0000-000066810000}"/>
    <cellStyle name="40% - Accent5 7 3 2 4 2 2 2 3" xfId="39853" xr:uid="{00000000-0005-0000-0000-000067810000}"/>
    <cellStyle name="40% - Accent5 7 3 2 4 2 2 3" xfId="20437" xr:uid="{00000000-0005-0000-0000-000068810000}"/>
    <cellStyle name="40% - Accent5 7 3 2 4 2 2 3 2" xfId="46311" xr:uid="{00000000-0005-0000-0000-000069810000}"/>
    <cellStyle name="40% - Accent5 7 3 2 4 2 2 4" xfId="33395" xr:uid="{00000000-0005-0000-0000-00006A810000}"/>
    <cellStyle name="40% - Accent5 7 3 2 4 2 3" xfId="10750" xr:uid="{00000000-0005-0000-0000-00006B810000}"/>
    <cellStyle name="40% - Accent5 7 3 2 4 2 3 2" xfId="23667" xr:uid="{00000000-0005-0000-0000-00006C810000}"/>
    <cellStyle name="40% - Accent5 7 3 2 4 2 3 2 2" xfId="49541" xr:uid="{00000000-0005-0000-0000-00006D810000}"/>
    <cellStyle name="40% - Accent5 7 3 2 4 2 3 3" xfId="36625" xr:uid="{00000000-0005-0000-0000-00006E810000}"/>
    <cellStyle name="40% - Accent5 7 3 2 4 2 4" xfId="17209" xr:uid="{00000000-0005-0000-0000-00006F810000}"/>
    <cellStyle name="40% - Accent5 7 3 2 4 2 4 2" xfId="43083" xr:uid="{00000000-0005-0000-0000-000070810000}"/>
    <cellStyle name="40% - Accent5 7 3 2 4 2 5" xfId="30135" xr:uid="{00000000-0005-0000-0000-000071810000}"/>
    <cellStyle name="40% - Accent5 7 3 2 4 3" xfId="5905" xr:uid="{00000000-0005-0000-0000-000072810000}"/>
    <cellStyle name="40% - Accent5 7 3 2 4 3 2" xfId="12364" xr:uid="{00000000-0005-0000-0000-000073810000}"/>
    <cellStyle name="40% - Accent5 7 3 2 4 3 2 2" xfId="25281" xr:uid="{00000000-0005-0000-0000-000074810000}"/>
    <cellStyle name="40% - Accent5 7 3 2 4 3 2 2 2" xfId="51155" xr:uid="{00000000-0005-0000-0000-000075810000}"/>
    <cellStyle name="40% - Accent5 7 3 2 4 3 2 3" xfId="38239" xr:uid="{00000000-0005-0000-0000-000076810000}"/>
    <cellStyle name="40% - Accent5 7 3 2 4 3 3" xfId="18823" xr:uid="{00000000-0005-0000-0000-000077810000}"/>
    <cellStyle name="40% - Accent5 7 3 2 4 3 3 2" xfId="44697" xr:uid="{00000000-0005-0000-0000-000078810000}"/>
    <cellStyle name="40% - Accent5 7 3 2 4 3 4" xfId="31781" xr:uid="{00000000-0005-0000-0000-000079810000}"/>
    <cellStyle name="40% - Accent5 7 3 2 4 4" xfId="9136" xr:uid="{00000000-0005-0000-0000-00007A810000}"/>
    <cellStyle name="40% - Accent5 7 3 2 4 4 2" xfId="22053" xr:uid="{00000000-0005-0000-0000-00007B810000}"/>
    <cellStyle name="40% - Accent5 7 3 2 4 4 2 2" xfId="47927" xr:uid="{00000000-0005-0000-0000-00007C810000}"/>
    <cellStyle name="40% - Accent5 7 3 2 4 4 3" xfId="35011" xr:uid="{00000000-0005-0000-0000-00007D810000}"/>
    <cellStyle name="40% - Accent5 7 3 2 4 5" xfId="15595" xr:uid="{00000000-0005-0000-0000-00007E810000}"/>
    <cellStyle name="40% - Accent5 7 3 2 4 5 2" xfId="41469" xr:uid="{00000000-0005-0000-0000-00007F810000}"/>
    <cellStyle name="40% - Accent5 7 3 2 4 6" xfId="28521" xr:uid="{00000000-0005-0000-0000-000080810000}"/>
    <cellStyle name="40% - Accent5 7 3 2 5" xfId="3458" xr:uid="{00000000-0005-0000-0000-000081810000}"/>
    <cellStyle name="40% - Accent5 7 3 2 5 2" xfId="6712" xr:uid="{00000000-0005-0000-0000-000082810000}"/>
    <cellStyle name="40% - Accent5 7 3 2 5 2 2" xfId="13171" xr:uid="{00000000-0005-0000-0000-000083810000}"/>
    <cellStyle name="40% - Accent5 7 3 2 5 2 2 2" xfId="26088" xr:uid="{00000000-0005-0000-0000-000084810000}"/>
    <cellStyle name="40% - Accent5 7 3 2 5 2 2 2 2" xfId="51962" xr:uid="{00000000-0005-0000-0000-000085810000}"/>
    <cellStyle name="40% - Accent5 7 3 2 5 2 2 3" xfId="39046" xr:uid="{00000000-0005-0000-0000-000086810000}"/>
    <cellStyle name="40% - Accent5 7 3 2 5 2 3" xfId="19630" xr:uid="{00000000-0005-0000-0000-000087810000}"/>
    <cellStyle name="40% - Accent5 7 3 2 5 2 3 2" xfId="45504" xr:uid="{00000000-0005-0000-0000-000088810000}"/>
    <cellStyle name="40% - Accent5 7 3 2 5 2 4" xfId="32588" xr:uid="{00000000-0005-0000-0000-000089810000}"/>
    <cellStyle name="40% - Accent5 7 3 2 5 3" xfId="9943" xr:uid="{00000000-0005-0000-0000-00008A810000}"/>
    <cellStyle name="40% - Accent5 7 3 2 5 3 2" xfId="22860" xr:uid="{00000000-0005-0000-0000-00008B810000}"/>
    <cellStyle name="40% - Accent5 7 3 2 5 3 2 2" xfId="48734" xr:uid="{00000000-0005-0000-0000-00008C810000}"/>
    <cellStyle name="40% - Accent5 7 3 2 5 3 3" xfId="35818" xr:uid="{00000000-0005-0000-0000-00008D810000}"/>
    <cellStyle name="40% - Accent5 7 3 2 5 4" xfId="16402" xr:uid="{00000000-0005-0000-0000-00008E810000}"/>
    <cellStyle name="40% - Accent5 7 3 2 5 4 2" xfId="42276" xr:uid="{00000000-0005-0000-0000-00008F810000}"/>
    <cellStyle name="40% - Accent5 7 3 2 5 5" xfId="29328" xr:uid="{00000000-0005-0000-0000-000090810000}"/>
    <cellStyle name="40% - Accent5 7 3 2 6" xfId="5098" xr:uid="{00000000-0005-0000-0000-000091810000}"/>
    <cellStyle name="40% - Accent5 7 3 2 6 2" xfId="11557" xr:uid="{00000000-0005-0000-0000-000092810000}"/>
    <cellStyle name="40% - Accent5 7 3 2 6 2 2" xfId="24474" xr:uid="{00000000-0005-0000-0000-000093810000}"/>
    <cellStyle name="40% - Accent5 7 3 2 6 2 2 2" xfId="50348" xr:uid="{00000000-0005-0000-0000-000094810000}"/>
    <cellStyle name="40% - Accent5 7 3 2 6 2 3" xfId="37432" xr:uid="{00000000-0005-0000-0000-000095810000}"/>
    <cellStyle name="40% - Accent5 7 3 2 6 3" xfId="18016" xr:uid="{00000000-0005-0000-0000-000096810000}"/>
    <cellStyle name="40% - Accent5 7 3 2 6 3 2" xfId="43890" xr:uid="{00000000-0005-0000-0000-000097810000}"/>
    <cellStyle name="40% - Accent5 7 3 2 6 4" xfId="30974" xr:uid="{00000000-0005-0000-0000-000098810000}"/>
    <cellStyle name="40% - Accent5 7 3 2 7" xfId="8328" xr:uid="{00000000-0005-0000-0000-000099810000}"/>
    <cellStyle name="40% - Accent5 7 3 2 7 2" xfId="21245" xr:uid="{00000000-0005-0000-0000-00009A810000}"/>
    <cellStyle name="40% - Accent5 7 3 2 7 2 2" xfId="47119" xr:uid="{00000000-0005-0000-0000-00009B810000}"/>
    <cellStyle name="40% - Accent5 7 3 2 7 3" xfId="34203" xr:uid="{00000000-0005-0000-0000-00009C810000}"/>
    <cellStyle name="40% - Accent5 7 3 2 8" xfId="14787" xr:uid="{00000000-0005-0000-0000-00009D810000}"/>
    <cellStyle name="40% - Accent5 7 3 2 8 2" xfId="40661" xr:uid="{00000000-0005-0000-0000-00009E810000}"/>
    <cellStyle name="40% - Accent5 7 3 2 9" xfId="27711" xr:uid="{00000000-0005-0000-0000-00009F810000}"/>
    <cellStyle name="40% - Accent5 7 3 3" xfId="1861" xr:uid="{00000000-0005-0000-0000-0000A0810000}"/>
    <cellStyle name="40% - Accent5 7 3 3 2" xfId="2303" xr:uid="{00000000-0005-0000-0000-0000A1810000}"/>
    <cellStyle name="40% - Accent5 7 3 3 2 2" xfId="3117" xr:uid="{00000000-0005-0000-0000-0000A2810000}"/>
    <cellStyle name="40% - Accent5 7 3 3 2 2 2" xfId="4774" xr:uid="{00000000-0005-0000-0000-0000A3810000}"/>
    <cellStyle name="40% - Accent5 7 3 3 2 2 2 2" xfId="8005" xr:uid="{00000000-0005-0000-0000-0000A4810000}"/>
    <cellStyle name="40% - Accent5 7 3 3 2 2 2 2 2" xfId="14464" xr:uid="{00000000-0005-0000-0000-0000A5810000}"/>
    <cellStyle name="40% - Accent5 7 3 3 2 2 2 2 2 2" xfId="27381" xr:uid="{00000000-0005-0000-0000-0000A6810000}"/>
    <cellStyle name="40% - Accent5 7 3 3 2 2 2 2 2 2 2" xfId="53255" xr:uid="{00000000-0005-0000-0000-0000A7810000}"/>
    <cellStyle name="40% - Accent5 7 3 3 2 2 2 2 2 3" xfId="40339" xr:uid="{00000000-0005-0000-0000-0000A8810000}"/>
    <cellStyle name="40% - Accent5 7 3 3 2 2 2 2 3" xfId="20923" xr:uid="{00000000-0005-0000-0000-0000A9810000}"/>
    <cellStyle name="40% - Accent5 7 3 3 2 2 2 2 3 2" xfId="46797" xr:uid="{00000000-0005-0000-0000-0000AA810000}"/>
    <cellStyle name="40% - Accent5 7 3 3 2 2 2 2 4" xfId="33881" xr:uid="{00000000-0005-0000-0000-0000AB810000}"/>
    <cellStyle name="40% - Accent5 7 3 3 2 2 2 3" xfId="11236" xr:uid="{00000000-0005-0000-0000-0000AC810000}"/>
    <cellStyle name="40% - Accent5 7 3 3 2 2 2 3 2" xfId="24153" xr:uid="{00000000-0005-0000-0000-0000AD810000}"/>
    <cellStyle name="40% - Accent5 7 3 3 2 2 2 3 2 2" xfId="50027" xr:uid="{00000000-0005-0000-0000-0000AE810000}"/>
    <cellStyle name="40% - Accent5 7 3 3 2 2 2 3 3" xfId="37111" xr:uid="{00000000-0005-0000-0000-0000AF810000}"/>
    <cellStyle name="40% - Accent5 7 3 3 2 2 2 4" xfId="17695" xr:uid="{00000000-0005-0000-0000-0000B0810000}"/>
    <cellStyle name="40% - Accent5 7 3 3 2 2 2 4 2" xfId="43569" xr:uid="{00000000-0005-0000-0000-0000B1810000}"/>
    <cellStyle name="40% - Accent5 7 3 3 2 2 2 5" xfId="30621" xr:uid="{00000000-0005-0000-0000-0000B2810000}"/>
    <cellStyle name="40% - Accent5 7 3 3 2 2 3" xfId="6391" xr:uid="{00000000-0005-0000-0000-0000B3810000}"/>
    <cellStyle name="40% - Accent5 7 3 3 2 2 3 2" xfId="12850" xr:uid="{00000000-0005-0000-0000-0000B4810000}"/>
    <cellStyle name="40% - Accent5 7 3 3 2 2 3 2 2" xfId="25767" xr:uid="{00000000-0005-0000-0000-0000B5810000}"/>
    <cellStyle name="40% - Accent5 7 3 3 2 2 3 2 2 2" xfId="51641" xr:uid="{00000000-0005-0000-0000-0000B6810000}"/>
    <cellStyle name="40% - Accent5 7 3 3 2 2 3 2 3" xfId="38725" xr:uid="{00000000-0005-0000-0000-0000B7810000}"/>
    <cellStyle name="40% - Accent5 7 3 3 2 2 3 3" xfId="19309" xr:uid="{00000000-0005-0000-0000-0000B8810000}"/>
    <cellStyle name="40% - Accent5 7 3 3 2 2 3 3 2" xfId="45183" xr:uid="{00000000-0005-0000-0000-0000B9810000}"/>
    <cellStyle name="40% - Accent5 7 3 3 2 2 3 4" xfId="32267" xr:uid="{00000000-0005-0000-0000-0000BA810000}"/>
    <cellStyle name="40% - Accent5 7 3 3 2 2 4" xfId="9622" xr:uid="{00000000-0005-0000-0000-0000BB810000}"/>
    <cellStyle name="40% - Accent5 7 3 3 2 2 4 2" xfId="22539" xr:uid="{00000000-0005-0000-0000-0000BC810000}"/>
    <cellStyle name="40% - Accent5 7 3 3 2 2 4 2 2" xfId="48413" xr:uid="{00000000-0005-0000-0000-0000BD810000}"/>
    <cellStyle name="40% - Accent5 7 3 3 2 2 4 3" xfId="35497" xr:uid="{00000000-0005-0000-0000-0000BE810000}"/>
    <cellStyle name="40% - Accent5 7 3 3 2 2 5" xfId="16081" xr:uid="{00000000-0005-0000-0000-0000BF810000}"/>
    <cellStyle name="40% - Accent5 7 3 3 2 2 5 2" xfId="41955" xr:uid="{00000000-0005-0000-0000-0000C0810000}"/>
    <cellStyle name="40% - Accent5 7 3 3 2 2 6" xfId="29007" xr:uid="{00000000-0005-0000-0000-0000C1810000}"/>
    <cellStyle name="40% - Accent5 7 3 3 2 3" xfId="3944" xr:uid="{00000000-0005-0000-0000-0000C2810000}"/>
    <cellStyle name="40% - Accent5 7 3 3 2 3 2" xfId="7198" xr:uid="{00000000-0005-0000-0000-0000C3810000}"/>
    <cellStyle name="40% - Accent5 7 3 3 2 3 2 2" xfId="13657" xr:uid="{00000000-0005-0000-0000-0000C4810000}"/>
    <cellStyle name="40% - Accent5 7 3 3 2 3 2 2 2" xfId="26574" xr:uid="{00000000-0005-0000-0000-0000C5810000}"/>
    <cellStyle name="40% - Accent5 7 3 3 2 3 2 2 2 2" xfId="52448" xr:uid="{00000000-0005-0000-0000-0000C6810000}"/>
    <cellStyle name="40% - Accent5 7 3 3 2 3 2 2 3" xfId="39532" xr:uid="{00000000-0005-0000-0000-0000C7810000}"/>
    <cellStyle name="40% - Accent5 7 3 3 2 3 2 3" xfId="20116" xr:uid="{00000000-0005-0000-0000-0000C8810000}"/>
    <cellStyle name="40% - Accent5 7 3 3 2 3 2 3 2" xfId="45990" xr:uid="{00000000-0005-0000-0000-0000C9810000}"/>
    <cellStyle name="40% - Accent5 7 3 3 2 3 2 4" xfId="33074" xr:uid="{00000000-0005-0000-0000-0000CA810000}"/>
    <cellStyle name="40% - Accent5 7 3 3 2 3 3" xfId="10429" xr:uid="{00000000-0005-0000-0000-0000CB810000}"/>
    <cellStyle name="40% - Accent5 7 3 3 2 3 3 2" xfId="23346" xr:uid="{00000000-0005-0000-0000-0000CC810000}"/>
    <cellStyle name="40% - Accent5 7 3 3 2 3 3 2 2" xfId="49220" xr:uid="{00000000-0005-0000-0000-0000CD810000}"/>
    <cellStyle name="40% - Accent5 7 3 3 2 3 3 3" xfId="36304" xr:uid="{00000000-0005-0000-0000-0000CE810000}"/>
    <cellStyle name="40% - Accent5 7 3 3 2 3 4" xfId="16888" xr:uid="{00000000-0005-0000-0000-0000CF810000}"/>
    <cellStyle name="40% - Accent5 7 3 3 2 3 4 2" xfId="42762" xr:uid="{00000000-0005-0000-0000-0000D0810000}"/>
    <cellStyle name="40% - Accent5 7 3 3 2 3 5" xfId="29814" xr:uid="{00000000-0005-0000-0000-0000D1810000}"/>
    <cellStyle name="40% - Accent5 7 3 3 2 4" xfId="5584" xr:uid="{00000000-0005-0000-0000-0000D2810000}"/>
    <cellStyle name="40% - Accent5 7 3 3 2 4 2" xfId="12043" xr:uid="{00000000-0005-0000-0000-0000D3810000}"/>
    <cellStyle name="40% - Accent5 7 3 3 2 4 2 2" xfId="24960" xr:uid="{00000000-0005-0000-0000-0000D4810000}"/>
    <cellStyle name="40% - Accent5 7 3 3 2 4 2 2 2" xfId="50834" xr:uid="{00000000-0005-0000-0000-0000D5810000}"/>
    <cellStyle name="40% - Accent5 7 3 3 2 4 2 3" xfId="37918" xr:uid="{00000000-0005-0000-0000-0000D6810000}"/>
    <cellStyle name="40% - Accent5 7 3 3 2 4 3" xfId="18502" xr:uid="{00000000-0005-0000-0000-0000D7810000}"/>
    <cellStyle name="40% - Accent5 7 3 3 2 4 3 2" xfId="44376" xr:uid="{00000000-0005-0000-0000-0000D8810000}"/>
    <cellStyle name="40% - Accent5 7 3 3 2 4 4" xfId="31460" xr:uid="{00000000-0005-0000-0000-0000D9810000}"/>
    <cellStyle name="40% - Accent5 7 3 3 2 5" xfId="8815" xr:uid="{00000000-0005-0000-0000-0000DA810000}"/>
    <cellStyle name="40% - Accent5 7 3 3 2 5 2" xfId="21732" xr:uid="{00000000-0005-0000-0000-0000DB810000}"/>
    <cellStyle name="40% - Accent5 7 3 3 2 5 2 2" xfId="47606" xr:uid="{00000000-0005-0000-0000-0000DC810000}"/>
    <cellStyle name="40% - Accent5 7 3 3 2 5 3" xfId="34690" xr:uid="{00000000-0005-0000-0000-0000DD810000}"/>
    <cellStyle name="40% - Accent5 7 3 3 2 6" xfId="15274" xr:uid="{00000000-0005-0000-0000-0000DE810000}"/>
    <cellStyle name="40% - Accent5 7 3 3 2 6 2" xfId="41148" xr:uid="{00000000-0005-0000-0000-0000DF810000}"/>
    <cellStyle name="40% - Accent5 7 3 3 2 7" xfId="28200" xr:uid="{00000000-0005-0000-0000-0000E0810000}"/>
    <cellStyle name="40% - Accent5 7 3 3 2 8" xfId="54062" xr:uid="{00000000-0005-0000-0000-0000E1810000}"/>
    <cellStyle name="40% - Accent5 7 3 3 3" xfId="2714" xr:uid="{00000000-0005-0000-0000-0000E2810000}"/>
    <cellStyle name="40% - Accent5 7 3 3 3 2" xfId="4371" xr:uid="{00000000-0005-0000-0000-0000E3810000}"/>
    <cellStyle name="40% - Accent5 7 3 3 3 2 2" xfId="7602" xr:uid="{00000000-0005-0000-0000-0000E4810000}"/>
    <cellStyle name="40% - Accent5 7 3 3 3 2 2 2" xfId="14061" xr:uid="{00000000-0005-0000-0000-0000E5810000}"/>
    <cellStyle name="40% - Accent5 7 3 3 3 2 2 2 2" xfId="26978" xr:uid="{00000000-0005-0000-0000-0000E6810000}"/>
    <cellStyle name="40% - Accent5 7 3 3 3 2 2 2 2 2" xfId="52852" xr:uid="{00000000-0005-0000-0000-0000E7810000}"/>
    <cellStyle name="40% - Accent5 7 3 3 3 2 2 2 3" xfId="39936" xr:uid="{00000000-0005-0000-0000-0000E8810000}"/>
    <cellStyle name="40% - Accent5 7 3 3 3 2 2 3" xfId="20520" xr:uid="{00000000-0005-0000-0000-0000E9810000}"/>
    <cellStyle name="40% - Accent5 7 3 3 3 2 2 3 2" xfId="46394" xr:uid="{00000000-0005-0000-0000-0000EA810000}"/>
    <cellStyle name="40% - Accent5 7 3 3 3 2 2 4" xfId="33478" xr:uid="{00000000-0005-0000-0000-0000EB810000}"/>
    <cellStyle name="40% - Accent5 7 3 3 3 2 3" xfId="10833" xr:uid="{00000000-0005-0000-0000-0000EC810000}"/>
    <cellStyle name="40% - Accent5 7 3 3 3 2 3 2" xfId="23750" xr:uid="{00000000-0005-0000-0000-0000ED810000}"/>
    <cellStyle name="40% - Accent5 7 3 3 3 2 3 2 2" xfId="49624" xr:uid="{00000000-0005-0000-0000-0000EE810000}"/>
    <cellStyle name="40% - Accent5 7 3 3 3 2 3 3" xfId="36708" xr:uid="{00000000-0005-0000-0000-0000EF810000}"/>
    <cellStyle name="40% - Accent5 7 3 3 3 2 4" xfId="17292" xr:uid="{00000000-0005-0000-0000-0000F0810000}"/>
    <cellStyle name="40% - Accent5 7 3 3 3 2 4 2" xfId="43166" xr:uid="{00000000-0005-0000-0000-0000F1810000}"/>
    <cellStyle name="40% - Accent5 7 3 3 3 2 5" xfId="30218" xr:uid="{00000000-0005-0000-0000-0000F2810000}"/>
    <cellStyle name="40% - Accent5 7 3 3 3 3" xfId="5988" xr:uid="{00000000-0005-0000-0000-0000F3810000}"/>
    <cellStyle name="40% - Accent5 7 3 3 3 3 2" xfId="12447" xr:uid="{00000000-0005-0000-0000-0000F4810000}"/>
    <cellStyle name="40% - Accent5 7 3 3 3 3 2 2" xfId="25364" xr:uid="{00000000-0005-0000-0000-0000F5810000}"/>
    <cellStyle name="40% - Accent5 7 3 3 3 3 2 2 2" xfId="51238" xr:uid="{00000000-0005-0000-0000-0000F6810000}"/>
    <cellStyle name="40% - Accent5 7 3 3 3 3 2 3" xfId="38322" xr:uid="{00000000-0005-0000-0000-0000F7810000}"/>
    <cellStyle name="40% - Accent5 7 3 3 3 3 3" xfId="18906" xr:uid="{00000000-0005-0000-0000-0000F8810000}"/>
    <cellStyle name="40% - Accent5 7 3 3 3 3 3 2" xfId="44780" xr:uid="{00000000-0005-0000-0000-0000F9810000}"/>
    <cellStyle name="40% - Accent5 7 3 3 3 3 4" xfId="31864" xr:uid="{00000000-0005-0000-0000-0000FA810000}"/>
    <cellStyle name="40% - Accent5 7 3 3 3 4" xfId="9219" xr:uid="{00000000-0005-0000-0000-0000FB810000}"/>
    <cellStyle name="40% - Accent5 7 3 3 3 4 2" xfId="22136" xr:uid="{00000000-0005-0000-0000-0000FC810000}"/>
    <cellStyle name="40% - Accent5 7 3 3 3 4 2 2" xfId="48010" xr:uid="{00000000-0005-0000-0000-0000FD810000}"/>
    <cellStyle name="40% - Accent5 7 3 3 3 4 3" xfId="35094" xr:uid="{00000000-0005-0000-0000-0000FE810000}"/>
    <cellStyle name="40% - Accent5 7 3 3 3 5" xfId="15678" xr:uid="{00000000-0005-0000-0000-0000FF810000}"/>
    <cellStyle name="40% - Accent5 7 3 3 3 5 2" xfId="41552" xr:uid="{00000000-0005-0000-0000-000000820000}"/>
    <cellStyle name="40% - Accent5 7 3 3 3 6" xfId="28604" xr:uid="{00000000-0005-0000-0000-000001820000}"/>
    <cellStyle name="40% - Accent5 7 3 3 4" xfId="3541" xr:uid="{00000000-0005-0000-0000-000002820000}"/>
    <cellStyle name="40% - Accent5 7 3 3 4 2" xfId="6795" xr:uid="{00000000-0005-0000-0000-000003820000}"/>
    <cellStyle name="40% - Accent5 7 3 3 4 2 2" xfId="13254" xr:uid="{00000000-0005-0000-0000-000004820000}"/>
    <cellStyle name="40% - Accent5 7 3 3 4 2 2 2" xfId="26171" xr:uid="{00000000-0005-0000-0000-000005820000}"/>
    <cellStyle name="40% - Accent5 7 3 3 4 2 2 2 2" xfId="52045" xr:uid="{00000000-0005-0000-0000-000006820000}"/>
    <cellStyle name="40% - Accent5 7 3 3 4 2 2 3" xfId="39129" xr:uid="{00000000-0005-0000-0000-000007820000}"/>
    <cellStyle name="40% - Accent5 7 3 3 4 2 3" xfId="19713" xr:uid="{00000000-0005-0000-0000-000008820000}"/>
    <cellStyle name="40% - Accent5 7 3 3 4 2 3 2" xfId="45587" xr:uid="{00000000-0005-0000-0000-000009820000}"/>
    <cellStyle name="40% - Accent5 7 3 3 4 2 4" xfId="32671" xr:uid="{00000000-0005-0000-0000-00000A820000}"/>
    <cellStyle name="40% - Accent5 7 3 3 4 3" xfId="10026" xr:uid="{00000000-0005-0000-0000-00000B820000}"/>
    <cellStyle name="40% - Accent5 7 3 3 4 3 2" xfId="22943" xr:uid="{00000000-0005-0000-0000-00000C820000}"/>
    <cellStyle name="40% - Accent5 7 3 3 4 3 2 2" xfId="48817" xr:uid="{00000000-0005-0000-0000-00000D820000}"/>
    <cellStyle name="40% - Accent5 7 3 3 4 3 3" xfId="35901" xr:uid="{00000000-0005-0000-0000-00000E820000}"/>
    <cellStyle name="40% - Accent5 7 3 3 4 4" xfId="16485" xr:uid="{00000000-0005-0000-0000-00000F820000}"/>
    <cellStyle name="40% - Accent5 7 3 3 4 4 2" xfId="42359" xr:uid="{00000000-0005-0000-0000-000010820000}"/>
    <cellStyle name="40% - Accent5 7 3 3 4 5" xfId="29411" xr:uid="{00000000-0005-0000-0000-000011820000}"/>
    <cellStyle name="40% - Accent5 7 3 3 5" xfId="5181" xr:uid="{00000000-0005-0000-0000-000012820000}"/>
    <cellStyle name="40% - Accent5 7 3 3 5 2" xfId="11640" xr:uid="{00000000-0005-0000-0000-000013820000}"/>
    <cellStyle name="40% - Accent5 7 3 3 5 2 2" xfId="24557" xr:uid="{00000000-0005-0000-0000-000014820000}"/>
    <cellStyle name="40% - Accent5 7 3 3 5 2 2 2" xfId="50431" xr:uid="{00000000-0005-0000-0000-000015820000}"/>
    <cellStyle name="40% - Accent5 7 3 3 5 2 3" xfId="37515" xr:uid="{00000000-0005-0000-0000-000016820000}"/>
    <cellStyle name="40% - Accent5 7 3 3 5 3" xfId="18099" xr:uid="{00000000-0005-0000-0000-000017820000}"/>
    <cellStyle name="40% - Accent5 7 3 3 5 3 2" xfId="43973" xr:uid="{00000000-0005-0000-0000-000018820000}"/>
    <cellStyle name="40% - Accent5 7 3 3 5 4" xfId="31057" xr:uid="{00000000-0005-0000-0000-000019820000}"/>
    <cellStyle name="40% - Accent5 7 3 3 6" xfId="8411" xr:uid="{00000000-0005-0000-0000-00001A820000}"/>
    <cellStyle name="40% - Accent5 7 3 3 6 2" xfId="21328" xr:uid="{00000000-0005-0000-0000-00001B820000}"/>
    <cellStyle name="40% - Accent5 7 3 3 6 2 2" xfId="47202" xr:uid="{00000000-0005-0000-0000-00001C820000}"/>
    <cellStyle name="40% - Accent5 7 3 3 6 3" xfId="34286" xr:uid="{00000000-0005-0000-0000-00001D820000}"/>
    <cellStyle name="40% - Accent5 7 3 3 7" xfId="14870" xr:uid="{00000000-0005-0000-0000-00001E820000}"/>
    <cellStyle name="40% - Accent5 7 3 3 7 2" xfId="40744" xr:uid="{00000000-0005-0000-0000-00001F820000}"/>
    <cellStyle name="40% - Accent5 7 3 3 8" xfId="27796" xr:uid="{00000000-0005-0000-0000-000020820000}"/>
    <cellStyle name="40% - Accent5 7 3 3 9" xfId="53659" xr:uid="{00000000-0005-0000-0000-000021820000}"/>
    <cellStyle name="40% - Accent5 7 3 4" xfId="2105" xr:uid="{00000000-0005-0000-0000-000022820000}"/>
    <cellStyle name="40% - Accent5 7 3 4 2" xfId="2921" xr:uid="{00000000-0005-0000-0000-000023820000}"/>
    <cellStyle name="40% - Accent5 7 3 4 2 2" xfId="4578" xr:uid="{00000000-0005-0000-0000-000024820000}"/>
    <cellStyle name="40% - Accent5 7 3 4 2 2 2" xfId="7809" xr:uid="{00000000-0005-0000-0000-000025820000}"/>
    <cellStyle name="40% - Accent5 7 3 4 2 2 2 2" xfId="14268" xr:uid="{00000000-0005-0000-0000-000026820000}"/>
    <cellStyle name="40% - Accent5 7 3 4 2 2 2 2 2" xfId="27185" xr:uid="{00000000-0005-0000-0000-000027820000}"/>
    <cellStyle name="40% - Accent5 7 3 4 2 2 2 2 2 2" xfId="53059" xr:uid="{00000000-0005-0000-0000-000028820000}"/>
    <cellStyle name="40% - Accent5 7 3 4 2 2 2 2 3" xfId="40143" xr:uid="{00000000-0005-0000-0000-000029820000}"/>
    <cellStyle name="40% - Accent5 7 3 4 2 2 2 3" xfId="20727" xr:uid="{00000000-0005-0000-0000-00002A820000}"/>
    <cellStyle name="40% - Accent5 7 3 4 2 2 2 3 2" xfId="46601" xr:uid="{00000000-0005-0000-0000-00002B820000}"/>
    <cellStyle name="40% - Accent5 7 3 4 2 2 2 4" xfId="33685" xr:uid="{00000000-0005-0000-0000-00002C820000}"/>
    <cellStyle name="40% - Accent5 7 3 4 2 2 3" xfId="11040" xr:uid="{00000000-0005-0000-0000-00002D820000}"/>
    <cellStyle name="40% - Accent5 7 3 4 2 2 3 2" xfId="23957" xr:uid="{00000000-0005-0000-0000-00002E820000}"/>
    <cellStyle name="40% - Accent5 7 3 4 2 2 3 2 2" xfId="49831" xr:uid="{00000000-0005-0000-0000-00002F820000}"/>
    <cellStyle name="40% - Accent5 7 3 4 2 2 3 3" xfId="36915" xr:uid="{00000000-0005-0000-0000-000030820000}"/>
    <cellStyle name="40% - Accent5 7 3 4 2 2 4" xfId="17499" xr:uid="{00000000-0005-0000-0000-000031820000}"/>
    <cellStyle name="40% - Accent5 7 3 4 2 2 4 2" xfId="43373" xr:uid="{00000000-0005-0000-0000-000032820000}"/>
    <cellStyle name="40% - Accent5 7 3 4 2 2 5" xfId="30425" xr:uid="{00000000-0005-0000-0000-000033820000}"/>
    <cellStyle name="40% - Accent5 7 3 4 2 3" xfId="6195" xr:uid="{00000000-0005-0000-0000-000034820000}"/>
    <cellStyle name="40% - Accent5 7 3 4 2 3 2" xfId="12654" xr:uid="{00000000-0005-0000-0000-000035820000}"/>
    <cellStyle name="40% - Accent5 7 3 4 2 3 2 2" xfId="25571" xr:uid="{00000000-0005-0000-0000-000036820000}"/>
    <cellStyle name="40% - Accent5 7 3 4 2 3 2 2 2" xfId="51445" xr:uid="{00000000-0005-0000-0000-000037820000}"/>
    <cellStyle name="40% - Accent5 7 3 4 2 3 2 3" xfId="38529" xr:uid="{00000000-0005-0000-0000-000038820000}"/>
    <cellStyle name="40% - Accent5 7 3 4 2 3 3" xfId="19113" xr:uid="{00000000-0005-0000-0000-000039820000}"/>
    <cellStyle name="40% - Accent5 7 3 4 2 3 3 2" xfId="44987" xr:uid="{00000000-0005-0000-0000-00003A820000}"/>
    <cellStyle name="40% - Accent5 7 3 4 2 3 4" xfId="32071" xr:uid="{00000000-0005-0000-0000-00003B820000}"/>
    <cellStyle name="40% - Accent5 7 3 4 2 4" xfId="9426" xr:uid="{00000000-0005-0000-0000-00003C820000}"/>
    <cellStyle name="40% - Accent5 7 3 4 2 4 2" xfId="22343" xr:uid="{00000000-0005-0000-0000-00003D820000}"/>
    <cellStyle name="40% - Accent5 7 3 4 2 4 2 2" xfId="48217" xr:uid="{00000000-0005-0000-0000-00003E820000}"/>
    <cellStyle name="40% - Accent5 7 3 4 2 4 3" xfId="35301" xr:uid="{00000000-0005-0000-0000-00003F820000}"/>
    <cellStyle name="40% - Accent5 7 3 4 2 5" xfId="15885" xr:uid="{00000000-0005-0000-0000-000040820000}"/>
    <cellStyle name="40% - Accent5 7 3 4 2 5 2" xfId="41759" xr:uid="{00000000-0005-0000-0000-000041820000}"/>
    <cellStyle name="40% - Accent5 7 3 4 2 6" xfId="28811" xr:uid="{00000000-0005-0000-0000-000042820000}"/>
    <cellStyle name="40% - Accent5 7 3 4 3" xfId="3748" xr:uid="{00000000-0005-0000-0000-000043820000}"/>
    <cellStyle name="40% - Accent5 7 3 4 3 2" xfId="7002" xr:uid="{00000000-0005-0000-0000-000044820000}"/>
    <cellStyle name="40% - Accent5 7 3 4 3 2 2" xfId="13461" xr:uid="{00000000-0005-0000-0000-000045820000}"/>
    <cellStyle name="40% - Accent5 7 3 4 3 2 2 2" xfId="26378" xr:uid="{00000000-0005-0000-0000-000046820000}"/>
    <cellStyle name="40% - Accent5 7 3 4 3 2 2 2 2" xfId="52252" xr:uid="{00000000-0005-0000-0000-000047820000}"/>
    <cellStyle name="40% - Accent5 7 3 4 3 2 2 3" xfId="39336" xr:uid="{00000000-0005-0000-0000-000048820000}"/>
    <cellStyle name="40% - Accent5 7 3 4 3 2 3" xfId="19920" xr:uid="{00000000-0005-0000-0000-000049820000}"/>
    <cellStyle name="40% - Accent5 7 3 4 3 2 3 2" xfId="45794" xr:uid="{00000000-0005-0000-0000-00004A820000}"/>
    <cellStyle name="40% - Accent5 7 3 4 3 2 4" xfId="32878" xr:uid="{00000000-0005-0000-0000-00004B820000}"/>
    <cellStyle name="40% - Accent5 7 3 4 3 3" xfId="10233" xr:uid="{00000000-0005-0000-0000-00004C820000}"/>
    <cellStyle name="40% - Accent5 7 3 4 3 3 2" xfId="23150" xr:uid="{00000000-0005-0000-0000-00004D820000}"/>
    <cellStyle name="40% - Accent5 7 3 4 3 3 2 2" xfId="49024" xr:uid="{00000000-0005-0000-0000-00004E820000}"/>
    <cellStyle name="40% - Accent5 7 3 4 3 3 3" xfId="36108" xr:uid="{00000000-0005-0000-0000-00004F820000}"/>
    <cellStyle name="40% - Accent5 7 3 4 3 4" xfId="16692" xr:uid="{00000000-0005-0000-0000-000050820000}"/>
    <cellStyle name="40% - Accent5 7 3 4 3 4 2" xfId="42566" xr:uid="{00000000-0005-0000-0000-000051820000}"/>
    <cellStyle name="40% - Accent5 7 3 4 3 5" xfId="29618" xr:uid="{00000000-0005-0000-0000-000052820000}"/>
    <cellStyle name="40% - Accent5 7 3 4 4" xfId="5388" xr:uid="{00000000-0005-0000-0000-000053820000}"/>
    <cellStyle name="40% - Accent5 7 3 4 4 2" xfId="11847" xr:uid="{00000000-0005-0000-0000-000054820000}"/>
    <cellStyle name="40% - Accent5 7 3 4 4 2 2" xfId="24764" xr:uid="{00000000-0005-0000-0000-000055820000}"/>
    <cellStyle name="40% - Accent5 7 3 4 4 2 2 2" xfId="50638" xr:uid="{00000000-0005-0000-0000-000056820000}"/>
    <cellStyle name="40% - Accent5 7 3 4 4 2 3" xfId="37722" xr:uid="{00000000-0005-0000-0000-000057820000}"/>
    <cellStyle name="40% - Accent5 7 3 4 4 3" xfId="18306" xr:uid="{00000000-0005-0000-0000-000058820000}"/>
    <cellStyle name="40% - Accent5 7 3 4 4 3 2" xfId="44180" xr:uid="{00000000-0005-0000-0000-000059820000}"/>
    <cellStyle name="40% - Accent5 7 3 4 4 4" xfId="31264" xr:uid="{00000000-0005-0000-0000-00005A820000}"/>
    <cellStyle name="40% - Accent5 7 3 4 5" xfId="8619" xr:uid="{00000000-0005-0000-0000-00005B820000}"/>
    <cellStyle name="40% - Accent5 7 3 4 5 2" xfId="21536" xr:uid="{00000000-0005-0000-0000-00005C820000}"/>
    <cellStyle name="40% - Accent5 7 3 4 5 2 2" xfId="47410" xr:uid="{00000000-0005-0000-0000-00005D820000}"/>
    <cellStyle name="40% - Accent5 7 3 4 5 3" xfId="34494" xr:uid="{00000000-0005-0000-0000-00005E820000}"/>
    <cellStyle name="40% - Accent5 7 3 4 6" xfId="15078" xr:uid="{00000000-0005-0000-0000-00005F820000}"/>
    <cellStyle name="40% - Accent5 7 3 4 6 2" xfId="40952" xr:uid="{00000000-0005-0000-0000-000060820000}"/>
    <cellStyle name="40% - Accent5 7 3 4 7" xfId="28004" xr:uid="{00000000-0005-0000-0000-000061820000}"/>
    <cellStyle name="40% - Accent5 7 3 4 8" xfId="53866" xr:uid="{00000000-0005-0000-0000-000062820000}"/>
    <cellStyle name="40% - Accent5 7 3 5" xfId="2519" xr:uid="{00000000-0005-0000-0000-000063820000}"/>
    <cellStyle name="40% - Accent5 7 3 5 2" xfId="4176" xr:uid="{00000000-0005-0000-0000-000064820000}"/>
    <cellStyle name="40% - Accent5 7 3 5 2 2" xfId="7407" xr:uid="{00000000-0005-0000-0000-000065820000}"/>
    <cellStyle name="40% - Accent5 7 3 5 2 2 2" xfId="13866" xr:uid="{00000000-0005-0000-0000-000066820000}"/>
    <cellStyle name="40% - Accent5 7 3 5 2 2 2 2" xfId="26783" xr:uid="{00000000-0005-0000-0000-000067820000}"/>
    <cellStyle name="40% - Accent5 7 3 5 2 2 2 2 2" xfId="52657" xr:uid="{00000000-0005-0000-0000-000068820000}"/>
    <cellStyle name="40% - Accent5 7 3 5 2 2 2 3" xfId="39741" xr:uid="{00000000-0005-0000-0000-000069820000}"/>
    <cellStyle name="40% - Accent5 7 3 5 2 2 3" xfId="20325" xr:uid="{00000000-0005-0000-0000-00006A820000}"/>
    <cellStyle name="40% - Accent5 7 3 5 2 2 3 2" xfId="46199" xr:uid="{00000000-0005-0000-0000-00006B820000}"/>
    <cellStyle name="40% - Accent5 7 3 5 2 2 4" xfId="33283" xr:uid="{00000000-0005-0000-0000-00006C820000}"/>
    <cellStyle name="40% - Accent5 7 3 5 2 3" xfId="10638" xr:uid="{00000000-0005-0000-0000-00006D820000}"/>
    <cellStyle name="40% - Accent5 7 3 5 2 3 2" xfId="23555" xr:uid="{00000000-0005-0000-0000-00006E820000}"/>
    <cellStyle name="40% - Accent5 7 3 5 2 3 2 2" xfId="49429" xr:uid="{00000000-0005-0000-0000-00006F820000}"/>
    <cellStyle name="40% - Accent5 7 3 5 2 3 3" xfId="36513" xr:uid="{00000000-0005-0000-0000-000070820000}"/>
    <cellStyle name="40% - Accent5 7 3 5 2 4" xfId="17097" xr:uid="{00000000-0005-0000-0000-000071820000}"/>
    <cellStyle name="40% - Accent5 7 3 5 2 4 2" xfId="42971" xr:uid="{00000000-0005-0000-0000-000072820000}"/>
    <cellStyle name="40% - Accent5 7 3 5 2 5" xfId="30023" xr:uid="{00000000-0005-0000-0000-000073820000}"/>
    <cellStyle name="40% - Accent5 7 3 5 3" xfId="5793" xr:uid="{00000000-0005-0000-0000-000074820000}"/>
    <cellStyle name="40% - Accent5 7 3 5 3 2" xfId="12252" xr:uid="{00000000-0005-0000-0000-000075820000}"/>
    <cellStyle name="40% - Accent5 7 3 5 3 2 2" xfId="25169" xr:uid="{00000000-0005-0000-0000-000076820000}"/>
    <cellStyle name="40% - Accent5 7 3 5 3 2 2 2" xfId="51043" xr:uid="{00000000-0005-0000-0000-000077820000}"/>
    <cellStyle name="40% - Accent5 7 3 5 3 2 3" xfId="38127" xr:uid="{00000000-0005-0000-0000-000078820000}"/>
    <cellStyle name="40% - Accent5 7 3 5 3 3" xfId="18711" xr:uid="{00000000-0005-0000-0000-000079820000}"/>
    <cellStyle name="40% - Accent5 7 3 5 3 3 2" xfId="44585" xr:uid="{00000000-0005-0000-0000-00007A820000}"/>
    <cellStyle name="40% - Accent5 7 3 5 3 4" xfId="31669" xr:uid="{00000000-0005-0000-0000-00007B820000}"/>
    <cellStyle name="40% - Accent5 7 3 5 4" xfId="9024" xr:uid="{00000000-0005-0000-0000-00007C820000}"/>
    <cellStyle name="40% - Accent5 7 3 5 4 2" xfId="21941" xr:uid="{00000000-0005-0000-0000-00007D820000}"/>
    <cellStyle name="40% - Accent5 7 3 5 4 2 2" xfId="47815" xr:uid="{00000000-0005-0000-0000-00007E820000}"/>
    <cellStyle name="40% - Accent5 7 3 5 4 3" xfId="34899" xr:uid="{00000000-0005-0000-0000-00007F820000}"/>
    <cellStyle name="40% - Accent5 7 3 5 5" xfId="15483" xr:uid="{00000000-0005-0000-0000-000080820000}"/>
    <cellStyle name="40% - Accent5 7 3 5 5 2" xfId="41357" xr:uid="{00000000-0005-0000-0000-000081820000}"/>
    <cellStyle name="40% - Accent5 7 3 5 6" xfId="28409" xr:uid="{00000000-0005-0000-0000-000082820000}"/>
    <cellStyle name="40% - Accent5 7 3 6" xfId="3339" xr:uid="{00000000-0005-0000-0000-000083820000}"/>
    <cellStyle name="40% - Accent5 7 3 6 2" xfId="6600" xr:uid="{00000000-0005-0000-0000-000084820000}"/>
    <cellStyle name="40% - Accent5 7 3 6 2 2" xfId="13059" xr:uid="{00000000-0005-0000-0000-000085820000}"/>
    <cellStyle name="40% - Accent5 7 3 6 2 2 2" xfId="25976" xr:uid="{00000000-0005-0000-0000-000086820000}"/>
    <cellStyle name="40% - Accent5 7 3 6 2 2 2 2" xfId="51850" xr:uid="{00000000-0005-0000-0000-000087820000}"/>
    <cellStyle name="40% - Accent5 7 3 6 2 2 3" xfId="38934" xr:uid="{00000000-0005-0000-0000-000088820000}"/>
    <cellStyle name="40% - Accent5 7 3 6 2 3" xfId="19518" xr:uid="{00000000-0005-0000-0000-000089820000}"/>
    <cellStyle name="40% - Accent5 7 3 6 2 3 2" xfId="45392" xr:uid="{00000000-0005-0000-0000-00008A820000}"/>
    <cellStyle name="40% - Accent5 7 3 6 2 4" xfId="32476" xr:uid="{00000000-0005-0000-0000-00008B820000}"/>
    <cellStyle name="40% - Accent5 7 3 6 3" xfId="9831" xr:uid="{00000000-0005-0000-0000-00008C820000}"/>
    <cellStyle name="40% - Accent5 7 3 6 3 2" xfId="22748" xr:uid="{00000000-0005-0000-0000-00008D820000}"/>
    <cellStyle name="40% - Accent5 7 3 6 3 2 2" xfId="48622" xr:uid="{00000000-0005-0000-0000-00008E820000}"/>
    <cellStyle name="40% - Accent5 7 3 6 3 3" xfId="35706" xr:uid="{00000000-0005-0000-0000-00008F820000}"/>
    <cellStyle name="40% - Accent5 7 3 6 4" xfId="16290" xr:uid="{00000000-0005-0000-0000-000090820000}"/>
    <cellStyle name="40% - Accent5 7 3 6 4 2" xfId="42164" xr:uid="{00000000-0005-0000-0000-000091820000}"/>
    <cellStyle name="40% - Accent5 7 3 6 5" xfId="29216" xr:uid="{00000000-0005-0000-0000-000092820000}"/>
    <cellStyle name="40% - Accent5 7 3 7" xfId="4986" xr:uid="{00000000-0005-0000-0000-000093820000}"/>
    <cellStyle name="40% - Accent5 7 3 7 2" xfId="11445" xr:uid="{00000000-0005-0000-0000-000094820000}"/>
    <cellStyle name="40% - Accent5 7 3 7 2 2" xfId="24362" xr:uid="{00000000-0005-0000-0000-000095820000}"/>
    <cellStyle name="40% - Accent5 7 3 7 2 2 2" xfId="50236" xr:uid="{00000000-0005-0000-0000-000096820000}"/>
    <cellStyle name="40% - Accent5 7 3 7 2 3" xfId="37320" xr:uid="{00000000-0005-0000-0000-000097820000}"/>
    <cellStyle name="40% - Accent5 7 3 7 3" xfId="17904" xr:uid="{00000000-0005-0000-0000-000098820000}"/>
    <cellStyle name="40% - Accent5 7 3 7 3 2" xfId="43778" xr:uid="{00000000-0005-0000-0000-000099820000}"/>
    <cellStyle name="40% - Accent5 7 3 7 4" xfId="30862" xr:uid="{00000000-0005-0000-0000-00009A820000}"/>
    <cellStyle name="40% - Accent5 7 3 8" xfId="8217" xr:uid="{00000000-0005-0000-0000-00009B820000}"/>
    <cellStyle name="40% - Accent5 7 3 8 2" xfId="21134" xr:uid="{00000000-0005-0000-0000-00009C820000}"/>
    <cellStyle name="40% - Accent5 7 3 8 2 2" xfId="47008" xr:uid="{00000000-0005-0000-0000-00009D820000}"/>
    <cellStyle name="40% - Accent5 7 3 8 3" xfId="34092" xr:uid="{00000000-0005-0000-0000-00009E820000}"/>
    <cellStyle name="40% - Accent5 7 3 9" xfId="14676" xr:uid="{00000000-0005-0000-0000-00009F820000}"/>
    <cellStyle name="40% - Accent5 7 3 9 2" xfId="40550" xr:uid="{00000000-0005-0000-0000-0000A0820000}"/>
    <cellStyle name="40% - Accent5 7 4" xfId="1134" xr:uid="{00000000-0005-0000-0000-0000A1820000}"/>
    <cellStyle name="40% - Accent5 8" xfId="383" xr:uid="{00000000-0005-0000-0000-0000A2820000}"/>
    <cellStyle name="40% - Accent5 8 2" xfId="778" xr:uid="{00000000-0005-0000-0000-0000A3820000}"/>
    <cellStyle name="40% - Accent5 8 3" xfId="777" xr:uid="{00000000-0005-0000-0000-0000A4820000}"/>
    <cellStyle name="40% - Accent5 8 4" xfId="1422" xr:uid="{00000000-0005-0000-0000-0000A5820000}"/>
    <cellStyle name="40% - Accent5 9" xfId="779" xr:uid="{00000000-0005-0000-0000-0000A6820000}"/>
    <cellStyle name="40% - Accent5 9 2" xfId="1525" xr:uid="{00000000-0005-0000-0000-0000A7820000}"/>
    <cellStyle name="40% - Accent6 10" xfId="1659" xr:uid="{00000000-0005-0000-0000-0000A8820000}"/>
    <cellStyle name="40% - Accent6 10 10" xfId="53575" xr:uid="{00000000-0005-0000-0000-0000A9820000}"/>
    <cellStyle name="40% - Accent6 10 2" xfId="1984" xr:uid="{00000000-0005-0000-0000-0000AA820000}"/>
    <cellStyle name="40% - Accent6 10 2 2" xfId="2415" xr:uid="{00000000-0005-0000-0000-0000AB820000}"/>
    <cellStyle name="40% - Accent6 10 2 2 2" xfId="3228" xr:uid="{00000000-0005-0000-0000-0000AC820000}"/>
    <cellStyle name="40% - Accent6 10 2 2 2 2" xfId="4885" xr:uid="{00000000-0005-0000-0000-0000AD820000}"/>
    <cellStyle name="40% - Accent6 10 2 2 2 2 2" xfId="8116" xr:uid="{00000000-0005-0000-0000-0000AE820000}"/>
    <cellStyle name="40% - Accent6 10 2 2 2 2 2 2" xfId="14575" xr:uid="{00000000-0005-0000-0000-0000AF820000}"/>
    <cellStyle name="40% - Accent6 10 2 2 2 2 2 2 2" xfId="27492" xr:uid="{00000000-0005-0000-0000-0000B0820000}"/>
    <cellStyle name="40% - Accent6 10 2 2 2 2 2 2 2 2" xfId="53366" xr:uid="{00000000-0005-0000-0000-0000B1820000}"/>
    <cellStyle name="40% - Accent6 10 2 2 2 2 2 2 3" xfId="40450" xr:uid="{00000000-0005-0000-0000-0000B2820000}"/>
    <cellStyle name="40% - Accent6 10 2 2 2 2 2 3" xfId="21034" xr:uid="{00000000-0005-0000-0000-0000B3820000}"/>
    <cellStyle name="40% - Accent6 10 2 2 2 2 2 3 2" xfId="46908" xr:uid="{00000000-0005-0000-0000-0000B4820000}"/>
    <cellStyle name="40% - Accent6 10 2 2 2 2 2 4" xfId="33992" xr:uid="{00000000-0005-0000-0000-0000B5820000}"/>
    <cellStyle name="40% - Accent6 10 2 2 2 2 3" xfId="11347" xr:uid="{00000000-0005-0000-0000-0000B6820000}"/>
    <cellStyle name="40% - Accent6 10 2 2 2 2 3 2" xfId="24264" xr:uid="{00000000-0005-0000-0000-0000B7820000}"/>
    <cellStyle name="40% - Accent6 10 2 2 2 2 3 2 2" xfId="50138" xr:uid="{00000000-0005-0000-0000-0000B8820000}"/>
    <cellStyle name="40% - Accent6 10 2 2 2 2 3 3" xfId="37222" xr:uid="{00000000-0005-0000-0000-0000B9820000}"/>
    <cellStyle name="40% - Accent6 10 2 2 2 2 4" xfId="17806" xr:uid="{00000000-0005-0000-0000-0000BA820000}"/>
    <cellStyle name="40% - Accent6 10 2 2 2 2 4 2" xfId="43680" xr:uid="{00000000-0005-0000-0000-0000BB820000}"/>
    <cellStyle name="40% - Accent6 10 2 2 2 2 5" xfId="30732" xr:uid="{00000000-0005-0000-0000-0000BC820000}"/>
    <cellStyle name="40% - Accent6 10 2 2 2 3" xfId="6502" xr:uid="{00000000-0005-0000-0000-0000BD820000}"/>
    <cellStyle name="40% - Accent6 10 2 2 2 3 2" xfId="12961" xr:uid="{00000000-0005-0000-0000-0000BE820000}"/>
    <cellStyle name="40% - Accent6 10 2 2 2 3 2 2" xfId="25878" xr:uid="{00000000-0005-0000-0000-0000BF820000}"/>
    <cellStyle name="40% - Accent6 10 2 2 2 3 2 2 2" xfId="51752" xr:uid="{00000000-0005-0000-0000-0000C0820000}"/>
    <cellStyle name="40% - Accent6 10 2 2 2 3 2 3" xfId="38836" xr:uid="{00000000-0005-0000-0000-0000C1820000}"/>
    <cellStyle name="40% - Accent6 10 2 2 2 3 3" xfId="19420" xr:uid="{00000000-0005-0000-0000-0000C2820000}"/>
    <cellStyle name="40% - Accent6 10 2 2 2 3 3 2" xfId="45294" xr:uid="{00000000-0005-0000-0000-0000C3820000}"/>
    <cellStyle name="40% - Accent6 10 2 2 2 3 4" xfId="32378" xr:uid="{00000000-0005-0000-0000-0000C4820000}"/>
    <cellStyle name="40% - Accent6 10 2 2 2 4" xfId="9733" xr:uid="{00000000-0005-0000-0000-0000C5820000}"/>
    <cellStyle name="40% - Accent6 10 2 2 2 4 2" xfId="22650" xr:uid="{00000000-0005-0000-0000-0000C6820000}"/>
    <cellStyle name="40% - Accent6 10 2 2 2 4 2 2" xfId="48524" xr:uid="{00000000-0005-0000-0000-0000C7820000}"/>
    <cellStyle name="40% - Accent6 10 2 2 2 4 3" xfId="35608" xr:uid="{00000000-0005-0000-0000-0000C8820000}"/>
    <cellStyle name="40% - Accent6 10 2 2 2 5" xfId="16192" xr:uid="{00000000-0005-0000-0000-0000C9820000}"/>
    <cellStyle name="40% - Accent6 10 2 2 2 5 2" xfId="42066" xr:uid="{00000000-0005-0000-0000-0000CA820000}"/>
    <cellStyle name="40% - Accent6 10 2 2 2 6" xfId="29118" xr:uid="{00000000-0005-0000-0000-0000CB820000}"/>
    <cellStyle name="40% - Accent6 10 2 2 3" xfId="4055" xr:uid="{00000000-0005-0000-0000-0000CC820000}"/>
    <cellStyle name="40% - Accent6 10 2 2 3 2" xfId="7309" xr:uid="{00000000-0005-0000-0000-0000CD820000}"/>
    <cellStyle name="40% - Accent6 10 2 2 3 2 2" xfId="13768" xr:uid="{00000000-0005-0000-0000-0000CE820000}"/>
    <cellStyle name="40% - Accent6 10 2 2 3 2 2 2" xfId="26685" xr:uid="{00000000-0005-0000-0000-0000CF820000}"/>
    <cellStyle name="40% - Accent6 10 2 2 3 2 2 2 2" xfId="52559" xr:uid="{00000000-0005-0000-0000-0000D0820000}"/>
    <cellStyle name="40% - Accent6 10 2 2 3 2 2 3" xfId="39643" xr:uid="{00000000-0005-0000-0000-0000D1820000}"/>
    <cellStyle name="40% - Accent6 10 2 2 3 2 3" xfId="20227" xr:uid="{00000000-0005-0000-0000-0000D2820000}"/>
    <cellStyle name="40% - Accent6 10 2 2 3 2 3 2" xfId="46101" xr:uid="{00000000-0005-0000-0000-0000D3820000}"/>
    <cellStyle name="40% - Accent6 10 2 2 3 2 4" xfId="33185" xr:uid="{00000000-0005-0000-0000-0000D4820000}"/>
    <cellStyle name="40% - Accent6 10 2 2 3 3" xfId="10540" xr:uid="{00000000-0005-0000-0000-0000D5820000}"/>
    <cellStyle name="40% - Accent6 10 2 2 3 3 2" xfId="23457" xr:uid="{00000000-0005-0000-0000-0000D6820000}"/>
    <cellStyle name="40% - Accent6 10 2 2 3 3 2 2" xfId="49331" xr:uid="{00000000-0005-0000-0000-0000D7820000}"/>
    <cellStyle name="40% - Accent6 10 2 2 3 3 3" xfId="36415" xr:uid="{00000000-0005-0000-0000-0000D8820000}"/>
    <cellStyle name="40% - Accent6 10 2 2 3 4" xfId="16999" xr:uid="{00000000-0005-0000-0000-0000D9820000}"/>
    <cellStyle name="40% - Accent6 10 2 2 3 4 2" xfId="42873" xr:uid="{00000000-0005-0000-0000-0000DA820000}"/>
    <cellStyle name="40% - Accent6 10 2 2 3 5" xfId="29925" xr:uid="{00000000-0005-0000-0000-0000DB820000}"/>
    <cellStyle name="40% - Accent6 10 2 2 4" xfId="5695" xr:uid="{00000000-0005-0000-0000-0000DC820000}"/>
    <cellStyle name="40% - Accent6 10 2 2 4 2" xfId="12154" xr:uid="{00000000-0005-0000-0000-0000DD820000}"/>
    <cellStyle name="40% - Accent6 10 2 2 4 2 2" xfId="25071" xr:uid="{00000000-0005-0000-0000-0000DE820000}"/>
    <cellStyle name="40% - Accent6 10 2 2 4 2 2 2" xfId="50945" xr:uid="{00000000-0005-0000-0000-0000DF820000}"/>
    <cellStyle name="40% - Accent6 10 2 2 4 2 3" xfId="38029" xr:uid="{00000000-0005-0000-0000-0000E0820000}"/>
    <cellStyle name="40% - Accent6 10 2 2 4 3" xfId="18613" xr:uid="{00000000-0005-0000-0000-0000E1820000}"/>
    <cellStyle name="40% - Accent6 10 2 2 4 3 2" xfId="44487" xr:uid="{00000000-0005-0000-0000-0000E2820000}"/>
    <cellStyle name="40% - Accent6 10 2 2 4 4" xfId="31571" xr:uid="{00000000-0005-0000-0000-0000E3820000}"/>
    <cellStyle name="40% - Accent6 10 2 2 5" xfId="8926" xr:uid="{00000000-0005-0000-0000-0000E4820000}"/>
    <cellStyle name="40% - Accent6 10 2 2 5 2" xfId="21843" xr:uid="{00000000-0005-0000-0000-0000E5820000}"/>
    <cellStyle name="40% - Accent6 10 2 2 5 2 2" xfId="47717" xr:uid="{00000000-0005-0000-0000-0000E6820000}"/>
    <cellStyle name="40% - Accent6 10 2 2 5 3" xfId="34801" xr:uid="{00000000-0005-0000-0000-0000E7820000}"/>
    <cellStyle name="40% - Accent6 10 2 2 6" xfId="15385" xr:uid="{00000000-0005-0000-0000-0000E8820000}"/>
    <cellStyle name="40% - Accent6 10 2 2 6 2" xfId="41259" xr:uid="{00000000-0005-0000-0000-0000E9820000}"/>
    <cellStyle name="40% - Accent6 10 2 2 7" xfId="28311" xr:uid="{00000000-0005-0000-0000-0000EA820000}"/>
    <cellStyle name="40% - Accent6 10 2 2 8" xfId="54173" xr:uid="{00000000-0005-0000-0000-0000EB820000}"/>
    <cellStyle name="40% - Accent6 10 2 3" xfId="2824" xr:uid="{00000000-0005-0000-0000-0000EC820000}"/>
    <cellStyle name="40% - Accent6 10 2 3 2" xfId="4481" xr:uid="{00000000-0005-0000-0000-0000ED820000}"/>
    <cellStyle name="40% - Accent6 10 2 3 2 2" xfId="7712" xr:uid="{00000000-0005-0000-0000-0000EE820000}"/>
    <cellStyle name="40% - Accent6 10 2 3 2 2 2" xfId="14171" xr:uid="{00000000-0005-0000-0000-0000EF820000}"/>
    <cellStyle name="40% - Accent6 10 2 3 2 2 2 2" xfId="27088" xr:uid="{00000000-0005-0000-0000-0000F0820000}"/>
    <cellStyle name="40% - Accent6 10 2 3 2 2 2 2 2" xfId="52962" xr:uid="{00000000-0005-0000-0000-0000F1820000}"/>
    <cellStyle name="40% - Accent6 10 2 3 2 2 2 3" xfId="40046" xr:uid="{00000000-0005-0000-0000-0000F2820000}"/>
    <cellStyle name="40% - Accent6 10 2 3 2 2 3" xfId="20630" xr:uid="{00000000-0005-0000-0000-0000F3820000}"/>
    <cellStyle name="40% - Accent6 10 2 3 2 2 3 2" xfId="46504" xr:uid="{00000000-0005-0000-0000-0000F4820000}"/>
    <cellStyle name="40% - Accent6 10 2 3 2 2 4" xfId="33588" xr:uid="{00000000-0005-0000-0000-0000F5820000}"/>
    <cellStyle name="40% - Accent6 10 2 3 2 3" xfId="10943" xr:uid="{00000000-0005-0000-0000-0000F6820000}"/>
    <cellStyle name="40% - Accent6 10 2 3 2 3 2" xfId="23860" xr:uid="{00000000-0005-0000-0000-0000F7820000}"/>
    <cellStyle name="40% - Accent6 10 2 3 2 3 2 2" xfId="49734" xr:uid="{00000000-0005-0000-0000-0000F8820000}"/>
    <cellStyle name="40% - Accent6 10 2 3 2 3 3" xfId="36818" xr:uid="{00000000-0005-0000-0000-0000F9820000}"/>
    <cellStyle name="40% - Accent6 10 2 3 2 4" xfId="17402" xr:uid="{00000000-0005-0000-0000-0000FA820000}"/>
    <cellStyle name="40% - Accent6 10 2 3 2 4 2" xfId="43276" xr:uid="{00000000-0005-0000-0000-0000FB820000}"/>
    <cellStyle name="40% - Accent6 10 2 3 2 5" xfId="30328" xr:uid="{00000000-0005-0000-0000-0000FC820000}"/>
    <cellStyle name="40% - Accent6 10 2 3 3" xfId="6098" xr:uid="{00000000-0005-0000-0000-0000FD820000}"/>
    <cellStyle name="40% - Accent6 10 2 3 3 2" xfId="12557" xr:uid="{00000000-0005-0000-0000-0000FE820000}"/>
    <cellStyle name="40% - Accent6 10 2 3 3 2 2" xfId="25474" xr:uid="{00000000-0005-0000-0000-0000FF820000}"/>
    <cellStyle name="40% - Accent6 10 2 3 3 2 2 2" xfId="51348" xr:uid="{00000000-0005-0000-0000-000000830000}"/>
    <cellStyle name="40% - Accent6 10 2 3 3 2 3" xfId="38432" xr:uid="{00000000-0005-0000-0000-000001830000}"/>
    <cellStyle name="40% - Accent6 10 2 3 3 3" xfId="19016" xr:uid="{00000000-0005-0000-0000-000002830000}"/>
    <cellStyle name="40% - Accent6 10 2 3 3 3 2" xfId="44890" xr:uid="{00000000-0005-0000-0000-000003830000}"/>
    <cellStyle name="40% - Accent6 10 2 3 3 4" xfId="31974" xr:uid="{00000000-0005-0000-0000-000004830000}"/>
    <cellStyle name="40% - Accent6 10 2 3 4" xfId="9329" xr:uid="{00000000-0005-0000-0000-000005830000}"/>
    <cellStyle name="40% - Accent6 10 2 3 4 2" xfId="22246" xr:uid="{00000000-0005-0000-0000-000006830000}"/>
    <cellStyle name="40% - Accent6 10 2 3 4 2 2" xfId="48120" xr:uid="{00000000-0005-0000-0000-000007830000}"/>
    <cellStyle name="40% - Accent6 10 2 3 4 3" xfId="35204" xr:uid="{00000000-0005-0000-0000-000008830000}"/>
    <cellStyle name="40% - Accent6 10 2 3 5" xfId="15788" xr:uid="{00000000-0005-0000-0000-000009830000}"/>
    <cellStyle name="40% - Accent6 10 2 3 5 2" xfId="41662" xr:uid="{00000000-0005-0000-0000-00000A830000}"/>
    <cellStyle name="40% - Accent6 10 2 3 6" xfId="28714" xr:uid="{00000000-0005-0000-0000-00000B830000}"/>
    <cellStyle name="40% - Accent6 10 2 4" xfId="3651" xr:uid="{00000000-0005-0000-0000-00000C830000}"/>
    <cellStyle name="40% - Accent6 10 2 4 2" xfId="6905" xr:uid="{00000000-0005-0000-0000-00000D830000}"/>
    <cellStyle name="40% - Accent6 10 2 4 2 2" xfId="13364" xr:uid="{00000000-0005-0000-0000-00000E830000}"/>
    <cellStyle name="40% - Accent6 10 2 4 2 2 2" xfId="26281" xr:uid="{00000000-0005-0000-0000-00000F830000}"/>
    <cellStyle name="40% - Accent6 10 2 4 2 2 2 2" xfId="52155" xr:uid="{00000000-0005-0000-0000-000010830000}"/>
    <cellStyle name="40% - Accent6 10 2 4 2 2 3" xfId="39239" xr:uid="{00000000-0005-0000-0000-000011830000}"/>
    <cellStyle name="40% - Accent6 10 2 4 2 3" xfId="19823" xr:uid="{00000000-0005-0000-0000-000012830000}"/>
    <cellStyle name="40% - Accent6 10 2 4 2 3 2" xfId="45697" xr:uid="{00000000-0005-0000-0000-000013830000}"/>
    <cellStyle name="40% - Accent6 10 2 4 2 4" xfId="32781" xr:uid="{00000000-0005-0000-0000-000014830000}"/>
    <cellStyle name="40% - Accent6 10 2 4 3" xfId="10136" xr:uid="{00000000-0005-0000-0000-000015830000}"/>
    <cellStyle name="40% - Accent6 10 2 4 3 2" xfId="23053" xr:uid="{00000000-0005-0000-0000-000016830000}"/>
    <cellStyle name="40% - Accent6 10 2 4 3 2 2" xfId="48927" xr:uid="{00000000-0005-0000-0000-000017830000}"/>
    <cellStyle name="40% - Accent6 10 2 4 3 3" xfId="36011" xr:uid="{00000000-0005-0000-0000-000018830000}"/>
    <cellStyle name="40% - Accent6 10 2 4 4" xfId="16595" xr:uid="{00000000-0005-0000-0000-000019830000}"/>
    <cellStyle name="40% - Accent6 10 2 4 4 2" xfId="42469" xr:uid="{00000000-0005-0000-0000-00001A830000}"/>
    <cellStyle name="40% - Accent6 10 2 4 5" xfId="29521" xr:uid="{00000000-0005-0000-0000-00001B830000}"/>
    <cellStyle name="40% - Accent6 10 2 5" xfId="5291" xr:uid="{00000000-0005-0000-0000-00001C830000}"/>
    <cellStyle name="40% - Accent6 10 2 5 2" xfId="11750" xr:uid="{00000000-0005-0000-0000-00001D830000}"/>
    <cellStyle name="40% - Accent6 10 2 5 2 2" xfId="24667" xr:uid="{00000000-0005-0000-0000-00001E830000}"/>
    <cellStyle name="40% - Accent6 10 2 5 2 2 2" xfId="50541" xr:uid="{00000000-0005-0000-0000-00001F830000}"/>
    <cellStyle name="40% - Accent6 10 2 5 2 3" xfId="37625" xr:uid="{00000000-0005-0000-0000-000020830000}"/>
    <cellStyle name="40% - Accent6 10 2 5 3" xfId="18209" xr:uid="{00000000-0005-0000-0000-000021830000}"/>
    <cellStyle name="40% - Accent6 10 2 5 3 2" xfId="44083" xr:uid="{00000000-0005-0000-0000-000022830000}"/>
    <cellStyle name="40% - Accent6 10 2 5 4" xfId="31167" xr:uid="{00000000-0005-0000-0000-000023830000}"/>
    <cellStyle name="40% - Accent6 10 2 6" xfId="8522" xr:uid="{00000000-0005-0000-0000-000024830000}"/>
    <cellStyle name="40% - Accent6 10 2 6 2" xfId="21439" xr:uid="{00000000-0005-0000-0000-000025830000}"/>
    <cellStyle name="40% - Accent6 10 2 6 2 2" xfId="47313" xr:uid="{00000000-0005-0000-0000-000026830000}"/>
    <cellStyle name="40% - Accent6 10 2 6 3" xfId="34397" xr:uid="{00000000-0005-0000-0000-000027830000}"/>
    <cellStyle name="40% - Accent6 10 2 7" xfId="14981" xr:uid="{00000000-0005-0000-0000-000028830000}"/>
    <cellStyle name="40% - Accent6 10 2 7 2" xfId="40855" xr:uid="{00000000-0005-0000-0000-000029830000}"/>
    <cellStyle name="40% - Accent6 10 2 8" xfId="27906" xr:uid="{00000000-0005-0000-0000-00002A830000}"/>
    <cellStyle name="40% - Accent6 10 2 9" xfId="53769" xr:uid="{00000000-0005-0000-0000-00002B830000}"/>
    <cellStyle name="40% - Accent6 10 3" xfId="2219" xr:uid="{00000000-0005-0000-0000-00002C830000}"/>
    <cellStyle name="40% - Accent6 10 3 2" xfId="3033" xr:uid="{00000000-0005-0000-0000-00002D830000}"/>
    <cellStyle name="40% - Accent6 10 3 2 2" xfId="4690" xr:uid="{00000000-0005-0000-0000-00002E830000}"/>
    <cellStyle name="40% - Accent6 10 3 2 2 2" xfId="7921" xr:uid="{00000000-0005-0000-0000-00002F830000}"/>
    <cellStyle name="40% - Accent6 10 3 2 2 2 2" xfId="14380" xr:uid="{00000000-0005-0000-0000-000030830000}"/>
    <cellStyle name="40% - Accent6 10 3 2 2 2 2 2" xfId="27297" xr:uid="{00000000-0005-0000-0000-000031830000}"/>
    <cellStyle name="40% - Accent6 10 3 2 2 2 2 2 2" xfId="53171" xr:uid="{00000000-0005-0000-0000-000032830000}"/>
    <cellStyle name="40% - Accent6 10 3 2 2 2 2 3" xfId="40255" xr:uid="{00000000-0005-0000-0000-000033830000}"/>
    <cellStyle name="40% - Accent6 10 3 2 2 2 3" xfId="20839" xr:uid="{00000000-0005-0000-0000-000034830000}"/>
    <cellStyle name="40% - Accent6 10 3 2 2 2 3 2" xfId="46713" xr:uid="{00000000-0005-0000-0000-000035830000}"/>
    <cellStyle name="40% - Accent6 10 3 2 2 2 4" xfId="33797" xr:uid="{00000000-0005-0000-0000-000036830000}"/>
    <cellStyle name="40% - Accent6 10 3 2 2 3" xfId="11152" xr:uid="{00000000-0005-0000-0000-000037830000}"/>
    <cellStyle name="40% - Accent6 10 3 2 2 3 2" xfId="24069" xr:uid="{00000000-0005-0000-0000-000038830000}"/>
    <cellStyle name="40% - Accent6 10 3 2 2 3 2 2" xfId="49943" xr:uid="{00000000-0005-0000-0000-000039830000}"/>
    <cellStyle name="40% - Accent6 10 3 2 2 3 3" xfId="37027" xr:uid="{00000000-0005-0000-0000-00003A830000}"/>
    <cellStyle name="40% - Accent6 10 3 2 2 4" xfId="17611" xr:uid="{00000000-0005-0000-0000-00003B830000}"/>
    <cellStyle name="40% - Accent6 10 3 2 2 4 2" xfId="43485" xr:uid="{00000000-0005-0000-0000-00003C830000}"/>
    <cellStyle name="40% - Accent6 10 3 2 2 5" xfId="30537" xr:uid="{00000000-0005-0000-0000-00003D830000}"/>
    <cellStyle name="40% - Accent6 10 3 2 3" xfId="6307" xr:uid="{00000000-0005-0000-0000-00003E830000}"/>
    <cellStyle name="40% - Accent6 10 3 2 3 2" xfId="12766" xr:uid="{00000000-0005-0000-0000-00003F830000}"/>
    <cellStyle name="40% - Accent6 10 3 2 3 2 2" xfId="25683" xr:uid="{00000000-0005-0000-0000-000040830000}"/>
    <cellStyle name="40% - Accent6 10 3 2 3 2 2 2" xfId="51557" xr:uid="{00000000-0005-0000-0000-000041830000}"/>
    <cellStyle name="40% - Accent6 10 3 2 3 2 3" xfId="38641" xr:uid="{00000000-0005-0000-0000-000042830000}"/>
    <cellStyle name="40% - Accent6 10 3 2 3 3" xfId="19225" xr:uid="{00000000-0005-0000-0000-000043830000}"/>
    <cellStyle name="40% - Accent6 10 3 2 3 3 2" xfId="45099" xr:uid="{00000000-0005-0000-0000-000044830000}"/>
    <cellStyle name="40% - Accent6 10 3 2 3 4" xfId="32183" xr:uid="{00000000-0005-0000-0000-000045830000}"/>
    <cellStyle name="40% - Accent6 10 3 2 4" xfId="9538" xr:uid="{00000000-0005-0000-0000-000046830000}"/>
    <cellStyle name="40% - Accent6 10 3 2 4 2" xfId="22455" xr:uid="{00000000-0005-0000-0000-000047830000}"/>
    <cellStyle name="40% - Accent6 10 3 2 4 2 2" xfId="48329" xr:uid="{00000000-0005-0000-0000-000048830000}"/>
    <cellStyle name="40% - Accent6 10 3 2 4 3" xfId="35413" xr:uid="{00000000-0005-0000-0000-000049830000}"/>
    <cellStyle name="40% - Accent6 10 3 2 5" xfId="15997" xr:uid="{00000000-0005-0000-0000-00004A830000}"/>
    <cellStyle name="40% - Accent6 10 3 2 5 2" xfId="41871" xr:uid="{00000000-0005-0000-0000-00004B830000}"/>
    <cellStyle name="40% - Accent6 10 3 2 6" xfId="28923" xr:uid="{00000000-0005-0000-0000-00004C830000}"/>
    <cellStyle name="40% - Accent6 10 3 3" xfId="3860" xr:uid="{00000000-0005-0000-0000-00004D830000}"/>
    <cellStyle name="40% - Accent6 10 3 3 2" xfId="7114" xr:uid="{00000000-0005-0000-0000-00004E830000}"/>
    <cellStyle name="40% - Accent6 10 3 3 2 2" xfId="13573" xr:uid="{00000000-0005-0000-0000-00004F830000}"/>
    <cellStyle name="40% - Accent6 10 3 3 2 2 2" xfId="26490" xr:uid="{00000000-0005-0000-0000-000050830000}"/>
    <cellStyle name="40% - Accent6 10 3 3 2 2 2 2" xfId="52364" xr:uid="{00000000-0005-0000-0000-000051830000}"/>
    <cellStyle name="40% - Accent6 10 3 3 2 2 3" xfId="39448" xr:uid="{00000000-0005-0000-0000-000052830000}"/>
    <cellStyle name="40% - Accent6 10 3 3 2 3" xfId="20032" xr:uid="{00000000-0005-0000-0000-000053830000}"/>
    <cellStyle name="40% - Accent6 10 3 3 2 3 2" xfId="45906" xr:uid="{00000000-0005-0000-0000-000054830000}"/>
    <cellStyle name="40% - Accent6 10 3 3 2 4" xfId="32990" xr:uid="{00000000-0005-0000-0000-000055830000}"/>
    <cellStyle name="40% - Accent6 10 3 3 3" xfId="10345" xr:uid="{00000000-0005-0000-0000-000056830000}"/>
    <cellStyle name="40% - Accent6 10 3 3 3 2" xfId="23262" xr:uid="{00000000-0005-0000-0000-000057830000}"/>
    <cellStyle name="40% - Accent6 10 3 3 3 2 2" xfId="49136" xr:uid="{00000000-0005-0000-0000-000058830000}"/>
    <cellStyle name="40% - Accent6 10 3 3 3 3" xfId="36220" xr:uid="{00000000-0005-0000-0000-000059830000}"/>
    <cellStyle name="40% - Accent6 10 3 3 4" xfId="16804" xr:uid="{00000000-0005-0000-0000-00005A830000}"/>
    <cellStyle name="40% - Accent6 10 3 3 4 2" xfId="42678" xr:uid="{00000000-0005-0000-0000-00005B830000}"/>
    <cellStyle name="40% - Accent6 10 3 3 5" xfId="29730" xr:uid="{00000000-0005-0000-0000-00005C830000}"/>
    <cellStyle name="40% - Accent6 10 3 4" xfId="5500" xr:uid="{00000000-0005-0000-0000-00005D830000}"/>
    <cellStyle name="40% - Accent6 10 3 4 2" xfId="11959" xr:uid="{00000000-0005-0000-0000-00005E830000}"/>
    <cellStyle name="40% - Accent6 10 3 4 2 2" xfId="24876" xr:uid="{00000000-0005-0000-0000-00005F830000}"/>
    <cellStyle name="40% - Accent6 10 3 4 2 2 2" xfId="50750" xr:uid="{00000000-0005-0000-0000-000060830000}"/>
    <cellStyle name="40% - Accent6 10 3 4 2 3" xfId="37834" xr:uid="{00000000-0005-0000-0000-000061830000}"/>
    <cellStyle name="40% - Accent6 10 3 4 3" xfId="18418" xr:uid="{00000000-0005-0000-0000-000062830000}"/>
    <cellStyle name="40% - Accent6 10 3 4 3 2" xfId="44292" xr:uid="{00000000-0005-0000-0000-000063830000}"/>
    <cellStyle name="40% - Accent6 10 3 4 4" xfId="31376" xr:uid="{00000000-0005-0000-0000-000064830000}"/>
    <cellStyle name="40% - Accent6 10 3 5" xfId="8731" xr:uid="{00000000-0005-0000-0000-000065830000}"/>
    <cellStyle name="40% - Accent6 10 3 5 2" xfId="21648" xr:uid="{00000000-0005-0000-0000-000066830000}"/>
    <cellStyle name="40% - Accent6 10 3 5 2 2" xfId="47522" xr:uid="{00000000-0005-0000-0000-000067830000}"/>
    <cellStyle name="40% - Accent6 10 3 5 3" xfId="34606" xr:uid="{00000000-0005-0000-0000-000068830000}"/>
    <cellStyle name="40% - Accent6 10 3 6" xfId="15190" xr:uid="{00000000-0005-0000-0000-000069830000}"/>
    <cellStyle name="40% - Accent6 10 3 6 2" xfId="41064" xr:uid="{00000000-0005-0000-0000-00006A830000}"/>
    <cellStyle name="40% - Accent6 10 3 7" xfId="28116" xr:uid="{00000000-0005-0000-0000-00006B830000}"/>
    <cellStyle name="40% - Accent6 10 3 8" xfId="53978" xr:uid="{00000000-0005-0000-0000-00006C830000}"/>
    <cellStyle name="40% - Accent6 10 4" xfId="2630" xr:uid="{00000000-0005-0000-0000-00006D830000}"/>
    <cellStyle name="40% - Accent6 10 4 2" xfId="4287" xr:uid="{00000000-0005-0000-0000-00006E830000}"/>
    <cellStyle name="40% - Accent6 10 4 2 2" xfId="7518" xr:uid="{00000000-0005-0000-0000-00006F830000}"/>
    <cellStyle name="40% - Accent6 10 4 2 2 2" xfId="13977" xr:uid="{00000000-0005-0000-0000-000070830000}"/>
    <cellStyle name="40% - Accent6 10 4 2 2 2 2" xfId="26894" xr:uid="{00000000-0005-0000-0000-000071830000}"/>
    <cellStyle name="40% - Accent6 10 4 2 2 2 2 2" xfId="52768" xr:uid="{00000000-0005-0000-0000-000072830000}"/>
    <cellStyle name="40% - Accent6 10 4 2 2 2 3" xfId="39852" xr:uid="{00000000-0005-0000-0000-000073830000}"/>
    <cellStyle name="40% - Accent6 10 4 2 2 3" xfId="20436" xr:uid="{00000000-0005-0000-0000-000074830000}"/>
    <cellStyle name="40% - Accent6 10 4 2 2 3 2" xfId="46310" xr:uid="{00000000-0005-0000-0000-000075830000}"/>
    <cellStyle name="40% - Accent6 10 4 2 2 4" xfId="33394" xr:uid="{00000000-0005-0000-0000-000076830000}"/>
    <cellStyle name="40% - Accent6 10 4 2 3" xfId="10749" xr:uid="{00000000-0005-0000-0000-000077830000}"/>
    <cellStyle name="40% - Accent6 10 4 2 3 2" xfId="23666" xr:uid="{00000000-0005-0000-0000-000078830000}"/>
    <cellStyle name="40% - Accent6 10 4 2 3 2 2" xfId="49540" xr:uid="{00000000-0005-0000-0000-000079830000}"/>
    <cellStyle name="40% - Accent6 10 4 2 3 3" xfId="36624" xr:uid="{00000000-0005-0000-0000-00007A830000}"/>
    <cellStyle name="40% - Accent6 10 4 2 4" xfId="17208" xr:uid="{00000000-0005-0000-0000-00007B830000}"/>
    <cellStyle name="40% - Accent6 10 4 2 4 2" xfId="43082" xr:uid="{00000000-0005-0000-0000-00007C830000}"/>
    <cellStyle name="40% - Accent6 10 4 2 5" xfId="30134" xr:uid="{00000000-0005-0000-0000-00007D830000}"/>
    <cellStyle name="40% - Accent6 10 4 3" xfId="5904" xr:uid="{00000000-0005-0000-0000-00007E830000}"/>
    <cellStyle name="40% - Accent6 10 4 3 2" xfId="12363" xr:uid="{00000000-0005-0000-0000-00007F830000}"/>
    <cellStyle name="40% - Accent6 10 4 3 2 2" xfId="25280" xr:uid="{00000000-0005-0000-0000-000080830000}"/>
    <cellStyle name="40% - Accent6 10 4 3 2 2 2" xfId="51154" xr:uid="{00000000-0005-0000-0000-000081830000}"/>
    <cellStyle name="40% - Accent6 10 4 3 2 3" xfId="38238" xr:uid="{00000000-0005-0000-0000-000082830000}"/>
    <cellStyle name="40% - Accent6 10 4 3 3" xfId="18822" xr:uid="{00000000-0005-0000-0000-000083830000}"/>
    <cellStyle name="40% - Accent6 10 4 3 3 2" xfId="44696" xr:uid="{00000000-0005-0000-0000-000084830000}"/>
    <cellStyle name="40% - Accent6 10 4 3 4" xfId="31780" xr:uid="{00000000-0005-0000-0000-000085830000}"/>
    <cellStyle name="40% - Accent6 10 4 4" xfId="9135" xr:uid="{00000000-0005-0000-0000-000086830000}"/>
    <cellStyle name="40% - Accent6 10 4 4 2" xfId="22052" xr:uid="{00000000-0005-0000-0000-000087830000}"/>
    <cellStyle name="40% - Accent6 10 4 4 2 2" xfId="47926" xr:uid="{00000000-0005-0000-0000-000088830000}"/>
    <cellStyle name="40% - Accent6 10 4 4 3" xfId="35010" xr:uid="{00000000-0005-0000-0000-000089830000}"/>
    <cellStyle name="40% - Accent6 10 4 5" xfId="15594" xr:uid="{00000000-0005-0000-0000-00008A830000}"/>
    <cellStyle name="40% - Accent6 10 4 5 2" xfId="41468" xr:uid="{00000000-0005-0000-0000-00008B830000}"/>
    <cellStyle name="40% - Accent6 10 4 6" xfId="28520" xr:uid="{00000000-0005-0000-0000-00008C830000}"/>
    <cellStyle name="40% - Accent6 10 5" xfId="3457" xr:uid="{00000000-0005-0000-0000-00008D830000}"/>
    <cellStyle name="40% - Accent6 10 5 2" xfId="6711" xr:uid="{00000000-0005-0000-0000-00008E830000}"/>
    <cellStyle name="40% - Accent6 10 5 2 2" xfId="13170" xr:uid="{00000000-0005-0000-0000-00008F830000}"/>
    <cellStyle name="40% - Accent6 10 5 2 2 2" xfId="26087" xr:uid="{00000000-0005-0000-0000-000090830000}"/>
    <cellStyle name="40% - Accent6 10 5 2 2 2 2" xfId="51961" xr:uid="{00000000-0005-0000-0000-000091830000}"/>
    <cellStyle name="40% - Accent6 10 5 2 2 3" xfId="39045" xr:uid="{00000000-0005-0000-0000-000092830000}"/>
    <cellStyle name="40% - Accent6 10 5 2 3" xfId="19629" xr:uid="{00000000-0005-0000-0000-000093830000}"/>
    <cellStyle name="40% - Accent6 10 5 2 3 2" xfId="45503" xr:uid="{00000000-0005-0000-0000-000094830000}"/>
    <cellStyle name="40% - Accent6 10 5 2 4" xfId="32587" xr:uid="{00000000-0005-0000-0000-000095830000}"/>
    <cellStyle name="40% - Accent6 10 5 3" xfId="9942" xr:uid="{00000000-0005-0000-0000-000096830000}"/>
    <cellStyle name="40% - Accent6 10 5 3 2" xfId="22859" xr:uid="{00000000-0005-0000-0000-000097830000}"/>
    <cellStyle name="40% - Accent6 10 5 3 2 2" xfId="48733" xr:uid="{00000000-0005-0000-0000-000098830000}"/>
    <cellStyle name="40% - Accent6 10 5 3 3" xfId="35817" xr:uid="{00000000-0005-0000-0000-000099830000}"/>
    <cellStyle name="40% - Accent6 10 5 4" xfId="16401" xr:uid="{00000000-0005-0000-0000-00009A830000}"/>
    <cellStyle name="40% - Accent6 10 5 4 2" xfId="42275" xr:uid="{00000000-0005-0000-0000-00009B830000}"/>
    <cellStyle name="40% - Accent6 10 5 5" xfId="29327" xr:uid="{00000000-0005-0000-0000-00009C830000}"/>
    <cellStyle name="40% - Accent6 10 6" xfId="5097" xr:uid="{00000000-0005-0000-0000-00009D830000}"/>
    <cellStyle name="40% - Accent6 10 6 2" xfId="11556" xr:uid="{00000000-0005-0000-0000-00009E830000}"/>
    <cellStyle name="40% - Accent6 10 6 2 2" xfId="24473" xr:uid="{00000000-0005-0000-0000-00009F830000}"/>
    <cellStyle name="40% - Accent6 10 6 2 2 2" xfId="50347" xr:uid="{00000000-0005-0000-0000-0000A0830000}"/>
    <cellStyle name="40% - Accent6 10 6 2 3" xfId="37431" xr:uid="{00000000-0005-0000-0000-0000A1830000}"/>
    <cellStyle name="40% - Accent6 10 6 3" xfId="18015" xr:uid="{00000000-0005-0000-0000-0000A2830000}"/>
    <cellStyle name="40% - Accent6 10 6 3 2" xfId="43889" xr:uid="{00000000-0005-0000-0000-0000A3830000}"/>
    <cellStyle name="40% - Accent6 10 6 4" xfId="30973" xr:uid="{00000000-0005-0000-0000-0000A4830000}"/>
    <cellStyle name="40% - Accent6 10 7" xfId="8327" xr:uid="{00000000-0005-0000-0000-0000A5830000}"/>
    <cellStyle name="40% - Accent6 10 7 2" xfId="21244" xr:uid="{00000000-0005-0000-0000-0000A6830000}"/>
    <cellStyle name="40% - Accent6 10 7 2 2" xfId="47118" xr:uid="{00000000-0005-0000-0000-0000A7830000}"/>
    <cellStyle name="40% - Accent6 10 7 3" xfId="34202" xr:uid="{00000000-0005-0000-0000-0000A8830000}"/>
    <cellStyle name="40% - Accent6 10 8" xfId="14786" xr:uid="{00000000-0005-0000-0000-0000A9830000}"/>
    <cellStyle name="40% - Accent6 10 8 2" xfId="40660" xr:uid="{00000000-0005-0000-0000-0000AA830000}"/>
    <cellStyle name="40% - Accent6 10 9" xfId="27710" xr:uid="{00000000-0005-0000-0000-0000AB830000}"/>
    <cellStyle name="40% - Accent6 11" xfId="1768" xr:uid="{00000000-0005-0000-0000-0000AC830000}"/>
    <cellStyle name="40% - Accent6 11 2" xfId="2262" xr:uid="{00000000-0005-0000-0000-0000AD830000}"/>
    <cellStyle name="40% - Accent6 11 2 2" xfId="3076" xr:uid="{00000000-0005-0000-0000-0000AE830000}"/>
    <cellStyle name="40% - Accent6 11 2 2 2" xfId="4733" xr:uid="{00000000-0005-0000-0000-0000AF830000}"/>
    <cellStyle name="40% - Accent6 11 2 2 2 2" xfId="7964" xr:uid="{00000000-0005-0000-0000-0000B0830000}"/>
    <cellStyle name="40% - Accent6 11 2 2 2 2 2" xfId="14423" xr:uid="{00000000-0005-0000-0000-0000B1830000}"/>
    <cellStyle name="40% - Accent6 11 2 2 2 2 2 2" xfId="27340" xr:uid="{00000000-0005-0000-0000-0000B2830000}"/>
    <cellStyle name="40% - Accent6 11 2 2 2 2 2 2 2" xfId="53214" xr:uid="{00000000-0005-0000-0000-0000B3830000}"/>
    <cellStyle name="40% - Accent6 11 2 2 2 2 2 3" xfId="40298" xr:uid="{00000000-0005-0000-0000-0000B4830000}"/>
    <cellStyle name="40% - Accent6 11 2 2 2 2 3" xfId="20882" xr:uid="{00000000-0005-0000-0000-0000B5830000}"/>
    <cellStyle name="40% - Accent6 11 2 2 2 2 3 2" xfId="46756" xr:uid="{00000000-0005-0000-0000-0000B6830000}"/>
    <cellStyle name="40% - Accent6 11 2 2 2 2 4" xfId="33840" xr:uid="{00000000-0005-0000-0000-0000B7830000}"/>
    <cellStyle name="40% - Accent6 11 2 2 2 3" xfId="11195" xr:uid="{00000000-0005-0000-0000-0000B8830000}"/>
    <cellStyle name="40% - Accent6 11 2 2 2 3 2" xfId="24112" xr:uid="{00000000-0005-0000-0000-0000B9830000}"/>
    <cellStyle name="40% - Accent6 11 2 2 2 3 2 2" xfId="49986" xr:uid="{00000000-0005-0000-0000-0000BA830000}"/>
    <cellStyle name="40% - Accent6 11 2 2 2 3 3" xfId="37070" xr:uid="{00000000-0005-0000-0000-0000BB830000}"/>
    <cellStyle name="40% - Accent6 11 2 2 2 4" xfId="17654" xr:uid="{00000000-0005-0000-0000-0000BC830000}"/>
    <cellStyle name="40% - Accent6 11 2 2 2 4 2" xfId="43528" xr:uid="{00000000-0005-0000-0000-0000BD830000}"/>
    <cellStyle name="40% - Accent6 11 2 2 2 5" xfId="30580" xr:uid="{00000000-0005-0000-0000-0000BE830000}"/>
    <cellStyle name="40% - Accent6 11 2 2 3" xfId="6350" xr:uid="{00000000-0005-0000-0000-0000BF830000}"/>
    <cellStyle name="40% - Accent6 11 2 2 3 2" xfId="12809" xr:uid="{00000000-0005-0000-0000-0000C0830000}"/>
    <cellStyle name="40% - Accent6 11 2 2 3 2 2" xfId="25726" xr:uid="{00000000-0005-0000-0000-0000C1830000}"/>
    <cellStyle name="40% - Accent6 11 2 2 3 2 2 2" xfId="51600" xr:uid="{00000000-0005-0000-0000-0000C2830000}"/>
    <cellStyle name="40% - Accent6 11 2 2 3 2 3" xfId="38684" xr:uid="{00000000-0005-0000-0000-0000C3830000}"/>
    <cellStyle name="40% - Accent6 11 2 2 3 3" xfId="19268" xr:uid="{00000000-0005-0000-0000-0000C4830000}"/>
    <cellStyle name="40% - Accent6 11 2 2 3 3 2" xfId="45142" xr:uid="{00000000-0005-0000-0000-0000C5830000}"/>
    <cellStyle name="40% - Accent6 11 2 2 3 4" xfId="32226" xr:uid="{00000000-0005-0000-0000-0000C6830000}"/>
    <cellStyle name="40% - Accent6 11 2 2 4" xfId="9581" xr:uid="{00000000-0005-0000-0000-0000C7830000}"/>
    <cellStyle name="40% - Accent6 11 2 2 4 2" xfId="22498" xr:uid="{00000000-0005-0000-0000-0000C8830000}"/>
    <cellStyle name="40% - Accent6 11 2 2 4 2 2" xfId="48372" xr:uid="{00000000-0005-0000-0000-0000C9830000}"/>
    <cellStyle name="40% - Accent6 11 2 2 4 3" xfId="35456" xr:uid="{00000000-0005-0000-0000-0000CA830000}"/>
    <cellStyle name="40% - Accent6 11 2 2 5" xfId="16040" xr:uid="{00000000-0005-0000-0000-0000CB830000}"/>
    <cellStyle name="40% - Accent6 11 2 2 5 2" xfId="41914" xr:uid="{00000000-0005-0000-0000-0000CC830000}"/>
    <cellStyle name="40% - Accent6 11 2 2 6" xfId="28966" xr:uid="{00000000-0005-0000-0000-0000CD830000}"/>
    <cellStyle name="40% - Accent6 11 2 3" xfId="3903" xr:uid="{00000000-0005-0000-0000-0000CE830000}"/>
    <cellStyle name="40% - Accent6 11 2 3 2" xfId="7157" xr:uid="{00000000-0005-0000-0000-0000CF830000}"/>
    <cellStyle name="40% - Accent6 11 2 3 2 2" xfId="13616" xr:uid="{00000000-0005-0000-0000-0000D0830000}"/>
    <cellStyle name="40% - Accent6 11 2 3 2 2 2" xfId="26533" xr:uid="{00000000-0005-0000-0000-0000D1830000}"/>
    <cellStyle name="40% - Accent6 11 2 3 2 2 2 2" xfId="52407" xr:uid="{00000000-0005-0000-0000-0000D2830000}"/>
    <cellStyle name="40% - Accent6 11 2 3 2 2 3" xfId="39491" xr:uid="{00000000-0005-0000-0000-0000D3830000}"/>
    <cellStyle name="40% - Accent6 11 2 3 2 3" xfId="20075" xr:uid="{00000000-0005-0000-0000-0000D4830000}"/>
    <cellStyle name="40% - Accent6 11 2 3 2 3 2" xfId="45949" xr:uid="{00000000-0005-0000-0000-0000D5830000}"/>
    <cellStyle name="40% - Accent6 11 2 3 2 4" xfId="33033" xr:uid="{00000000-0005-0000-0000-0000D6830000}"/>
    <cellStyle name="40% - Accent6 11 2 3 3" xfId="10388" xr:uid="{00000000-0005-0000-0000-0000D7830000}"/>
    <cellStyle name="40% - Accent6 11 2 3 3 2" xfId="23305" xr:uid="{00000000-0005-0000-0000-0000D8830000}"/>
    <cellStyle name="40% - Accent6 11 2 3 3 2 2" xfId="49179" xr:uid="{00000000-0005-0000-0000-0000D9830000}"/>
    <cellStyle name="40% - Accent6 11 2 3 3 3" xfId="36263" xr:uid="{00000000-0005-0000-0000-0000DA830000}"/>
    <cellStyle name="40% - Accent6 11 2 3 4" xfId="16847" xr:uid="{00000000-0005-0000-0000-0000DB830000}"/>
    <cellStyle name="40% - Accent6 11 2 3 4 2" xfId="42721" xr:uid="{00000000-0005-0000-0000-0000DC830000}"/>
    <cellStyle name="40% - Accent6 11 2 3 5" xfId="29773" xr:uid="{00000000-0005-0000-0000-0000DD830000}"/>
    <cellStyle name="40% - Accent6 11 2 4" xfId="5543" xr:uid="{00000000-0005-0000-0000-0000DE830000}"/>
    <cellStyle name="40% - Accent6 11 2 4 2" xfId="12002" xr:uid="{00000000-0005-0000-0000-0000DF830000}"/>
    <cellStyle name="40% - Accent6 11 2 4 2 2" xfId="24919" xr:uid="{00000000-0005-0000-0000-0000E0830000}"/>
    <cellStyle name="40% - Accent6 11 2 4 2 2 2" xfId="50793" xr:uid="{00000000-0005-0000-0000-0000E1830000}"/>
    <cellStyle name="40% - Accent6 11 2 4 2 3" xfId="37877" xr:uid="{00000000-0005-0000-0000-0000E2830000}"/>
    <cellStyle name="40% - Accent6 11 2 4 3" xfId="18461" xr:uid="{00000000-0005-0000-0000-0000E3830000}"/>
    <cellStyle name="40% - Accent6 11 2 4 3 2" xfId="44335" xr:uid="{00000000-0005-0000-0000-0000E4830000}"/>
    <cellStyle name="40% - Accent6 11 2 4 4" xfId="31419" xr:uid="{00000000-0005-0000-0000-0000E5830000}"/>
    <cellStyle name="40% - Accent6 11 2 5" xfId="8774" xr:uid="{00000000-0005-0000-0000-0000E6830000}"/>
    <cellStyle name="40% - Accent6 11 2 5 2" xfId="21691" xr:uid="{00000000-0005-0000-0000-0000E7830000}"/>
    <cellStyle name="40% - Accent6 11 2 5 2 2" xfId="47565" xr:uid="{00000000-0005-0000-0000-0000E8830000}"/>
    <cellStyle name="40% - Accent6 11 2 5 3" xfId="34649" xr:uid="{00000000-0005-0000-0000-0000E9830000}"/>
    <cellStyle name="40% - Accent6 11 2 6" xfId="15233" xr:uid="{00000000-0005-0000-0000-0000EA830000}"/>
    <cellStyle name="40% - Accent6 11 2 6 2" xfId="41107" xr:uid="{00000000-0005-0000-0000-0000EB830000}"/>
    <cellStyle name="40% - Accent6 11 2 7" xfId="28159" xr:uid="{00000000-0005-0000-0000-0000EC830000}"/>
    <cellStyle name="40% - Accent6 11 2 8" xfId="54021" xr:uid="{00000000-0005-0000-0000-0000ED830000}"/>
    <cellStyle name="40% - Accent6 11 3" xfId="2673" xr:uid="{00000000-0005-0000-0000-0000EE830000}"/>
    <cellStyle name="40% - Accent6 11 3 2" xfId="4330" xr:uid="{00000000-0005-0000-0000-0000EF830000}"/>
    <cellStyle name="40% - Accent6 11 3 2 2" xfId="7561" xr:uid="{00000000-0005-0000-0000-0000F0830000}"/>
    <cellStyle name="40% - Accent6 11 3 2 2 2" xfId="14020" xr:uid="{00000000-0005-0000-0000-0000F1830000}"/>
    <cellStyle name="40% - Accent6 11 3 2 2 2 2" xfId="26937" xr:uid="{00000000-0005-0000-0000-0000F2830000}"/>
    <cellStyle name="40% - Accent6 11 3 2 2 2 2 2" xfId="52811" xr:uid="{00000000-0005-0000-0000-0000F3830000}"/>
    <cellStyle name="40% - Accent6 11 3 2 2 2 3" xfId="39895" xr:uid="{00000000-0005-0000-0000-0000F4830000}"/>
    <cellStyle name="40% - Accent6 11 3 2 2 3" xfId="20479" xr:uid="{00000000-0005-0000-0000-0000F5830000}"/>
    <cellStyle name="40% - Accent6 11 3 2 2 3 2" xfId="46353" xr:uid="{00000000-0005-0000-0000-0000F6830000}"/>
    <cellStyle name="40% - Accent6 11 3 2 2 4" xfId="33437" xr:uid="{00000000-0005-0000-0000-0000F7830000}"/>
    <cellStyle name="40% - Accent6 11 3 2 3" xfId="10792" xr:uid="{00000000-0005-0000-0000-0000F8830000}"/>
    <cellStyle name="40% - Accent6 11 3 2 3 2" xfId="23709" xr:uid="{00000000-0005-0000-0000-0000F9830000}"/>
    <cellStyle name="40% - Accent6 11 3 2 3 2 2" xfId="49583" xr:uid="{00000000-0005-0000-0000-0000FA830000}"/>
    <cellStyle name="40% - Accent6 11 3 2 3 3" xfId="36667" xr:uid="{00000000-0005-0000-0000-0000FB830000}"/>
    <cellStyle name="40% - Accent6 11 3 2 4" xfId="17251" xr:uid="{00000000-0005-0000-0000-0000FC830000}"/>
    <cellStyle name="40% - Accent6 11 3 2 4 2" xfId="43125" xr:uid="{00000000-0005-0000-0000-0000FD830000}"/>
    <cellStyle name="40% - Accent6 11 3 2 5" xfId="30177" xr:uid="{00000000-0005-0000-0000-0000FE830000}"/>
    <cellStyle name="40% - Accent6 11 3 3" xfId="5947" xr:uid="{00000000-0005-0000-0000-0000FF830000}"/>
    <cellStyle name="40% - Accent6 11 3 3 2" xfId="12406" xr:uid="{00000000-0005-0000-0000-000000840000}"/>
    <cellStyle name="40% - Accent6 11 3 3 2 2" xfId="25323" xr:uid="{00000000-0005-0000-0000-000001840000}"/>
    <cellStyle name="40% - Accent6 11 3 3 2 2 2" xfId="51197" xr:uid="{00000000-0005-0000-0000-000002840000}"/>
    <cellStyle name="40% - Accent6 11 3 3 2 3" xfId="38281" xr:uid="{00000000-0005-0000-0000-000003840000}"/>
    <cellStyle name="40% - Accent6 11 3 3 3" xfId="18865" xr:uid="{00000000-0005-0000-0000-000004840000}"/>
    <cellStyle name="40% - Accent6 11 3 3 3 2" xfId="44739" xr:uid="{00000000-0005-0000-0000-000005840000}"/>
    <cellStyle name="40% - Accent6 11 3 3 4" xfId="31823" xr:uid="{00000000-0005-0000-0000-000006840000}"/>
    <cellStyle name="40% - Accent6 11 3 4" xfId="9178" xr:uid="{00000000-0005-0000-0000-000007840000}"/>
    <cellStyle name="40% - Accent6 11 3 4 2" xfId="22095" xr:uid="{00000000-0005-0000-0000-000008840000}"/>
    <cellStyle name="40% - Accent6 11 3 4 2 2" xfId="47969" xr:uid="{00000000-0005-0000-0000-000009840000}"/>
    <cellStyle name="40% - Accent6 11 3 4 3" xfId="35053" xr:uid="{00000000-0005-0000-0000-00000A840000}"/>
    <cellStyle name="40% - Accent6 11 3 5" xfId="15637" xr:uid="{00000000-0005-0000-0000-00000B840000}"/>
    <cellStyle name="40% - Accent6 11 3 5 2" xfId="41511" xr:uid="{00000000-0005-0000-0000-00000C840000}"/>
    <cellStyle name="40% - Accent6 11 3 6" xfId="28563" xr:uid="{00000000-0005-0000-0000-00000D840000}"/>
    <cellStyle name="40% - Accent6 11 4" xfId="3500" xr:uid="{00000000-0005-0000-0000-00000E840000}"/>
    <cellStyle name="40% - Accent6 11 4 2" xfId="6754" xr:uid="{00000000-0005-0000-0000-00000F840000}"/>
    <cellStyle name="40% - Accent6 11 4 2 2" xfId="13213" xr:uid="{00000000-0005-0000-0000-000010840000}"/>
    <cellStyle name="40% - Accent6 11 4 2 2 2" xfId="26130" xr:uid="{00000000-0005-0000-0000-000011840000}"/>
    <cellStyle name="40% - Accent6 11 4 2 2 2 2" xfId="52004" xr:uid="{00000000-0005-0000-0000-000012840000}"/>
    <cellStyle name="40% - Accent6 11 4 2 2 3" xfId="39088" xr:uid="{00000000-0005-0000-0000-000013840000}"/>
    <cellStyle name="40% - Accent6 11 4 2 3" xfId="19672" xr:uid="{00000000-0005-0000-0000-000014840000}"/>
    <cellStyle name="40% - Accent6 11 4 2 3 2" xfId="45546" xr:uid="{00000000-0005-0000-0000-000015840000}"/>
    <cellStyle name="40% - Accent6 11 4 2 4" xfId="32630" xr:uid="{00000000-0005-0000-0000-000016840000}"/>
    <cellStyle name="40% - Accent6 11 4 3" xfId="9985" xr:uid="{00000000-0005-0000-0000-000017840000}"/>
    <cellStyle name="40% - Accent6 11 4 3 2" xfId="22902" xr:uid="{00000000-0005-0000-0000-000018840000}"/>
    <cellStyle name="40% - Accent6 11 4 3 2 2" xfId="48776" xr:uid="{00000000-0005-0000-0000-000019840000}"/>
    <cellStyle name="40% - Accent6 11 4 3 3" xfId="35860" xr:uid="{00000000-0005-0000-0000-00001A840000}"/>
    <cellStyle name="40% - Accent6 11 4 4" xfId="16444" xr:uid="{00000000-0005-0000-0000-00001B840000}"/>
    <cellStyle name="40% - Accent6 11 4 4 2" xfId="42318" xr:uid="{00000000-0005-0000-0000-00001C840000}"/>
    <cellStyle name="40% - Accent6 11 4 5" xfId="29370" xr:uid="{00000000-0005-0000-0000-00001D840000}"/>
    <cellStyle name="40% - Accent6 11 5" xfId="5140" xr:uid="{00000000-0005-0000-0000-00001E840000}"/>
    <cellStyle name="40% - Accent6 11 5 2" xfId="11599" xr:uid="{00000000-0005-0000-0000-00001F840000}"/>
    <cellStyle name="40% - Accent6 11 5 2 2" xfId="24516" xr:uid="{00000000-0005-0000-0000-000020840000}"/>
    <cellStyle name="40% - Accent6 11 5 2 2 2" xfId="50390" xr:uid="{00000000-0005-0000-0000-000021840000}"/>
    <cellStyle name="40% - Accent6 11 5 2 3" xfId="37474" xr:uid="{00000000-0005-0000-0000-000022840000}"/>
    <cellStyle name="40% - Accent6 11 5 3" xfId="18058" xr:uid="{00000000-0005-0000-0000-000023840000}"/>
    <cellStyle name="40% - Accent6 11 5 3 2" xfId="43932" xr:uid="{00000000-0005-0000-0000-000024840000}"/>
    <cellStyle name="40% - Accent6 11 5 4" xfId="31016" xr:uid="{00000000-0005-0000-0000-000025840000}"/>
    <cellStyle name="40% - Accent6 11 6" xfId="8370" xr:uid="{00000000-0005-0000-0000-000026840000}"/>
    <cellStyle name="40% - Accent6 11 6 2" xfId="21287" xr:uid="{00000000-0005-0000-0000-000027840000}"/>
    <cellStyle name="40% - Accent6 11 6 2 2" xfId="47161" xr:uid="{00000000-0005-0000-0000-000028840000}"/>
    <cellStyle name="40% - Accent6 11 6 3" xfId="34245" xr:uid="{00000000-0005-0000-0000-000029840000}"/>
    <cellStyle name="40% - Accent6 11 7" xfId="14829" xr:uid="{00000000-0005-0000-0000-00002A840000}"/>
    <cellStyle name="40% - Accent6 11 7 2" xfId="40703" xr:uid="{00000000-0005-0000-0000-00002B840000}"/>
    <cellStyle name="40% - Accent6 11 8" xfId="27755" xr:uid="{00000000-0005-0000-0000-00002C840000}"/>
    <cellStyle name="40% - Accent6 11 9" xfId="53618" xr:uid="{00000000-0005-0000-0000-00002D840000}"/>
    <cellStyle name="40% - Accent6 12" xfId="2049" xr:uid="{00000000-0005-0000-0000-00002E840000}"/>
    <cellStyle name="40% - Accent6 12 2" xfId="2458" xr:uid="{00000000-0005-0000-0000-00002F840000}"/>
    <cellStyle name="40% - Accent6 12 2 2" xfId="3271" xr:uid="{00000000-0005-0000-0000-000030840000}"/>
    <cellStyle name="40% - Accent6 12 2 2 2" xfId="4928" xr:uid="{00000000-0005-0000-0000-000031840000}"/>
    <cellStyle name="40% - Accent6 12 2 2 2 2" xfId="8159" xr:uid="{00000000-0005-0000-0000-000032840000}"/>
    <cellStyle name="40% - Accent6 12 2 2 2 2 2" xfId="14618" xr:uid="{00000000-0005-0000-0000-000033840000}"/>
    <cellStyle name="40% - Accent6 12 2 2 2 2 2 2" xfId="27535" xr:uid="{00000000-0005-0000-0000-000034840000}"/>
    <cellStyle name="40% - Accent6 12 2 2 2 2 2 2 2" xfId="53409" xr:uid="{00000000-0005-0000-0000-000035840000}"/>
    <cellStyle name="40% - Accent6 12 2 2 2 2 2 3" xfId="40493" xr:uid="{00000000-0005-0000-0000-000036840000}"/>
    <cellStyle name="40% - Accent6 12 2 2 2 2 3" xfId="21077" xr:uid="{00000000-0005-0000-0000-000037840000}"/>
    <cellStyle name="40% - Accent6 12 2 2 2 2 3 2" xfId="46951" xr:uid="{00000000-0005-0000-0000-000038840000}"/>
    <cellStyle name="40% - Accent6 12 2 2 2 2 4" xfId="34035" xr:uid="{00000000-0005-0000-0000-000039840000}"/>
    <cellStyle name="40% - Accent6 12 2 2 2 3" xfId="11390" xr:uid="{00000000-0005-0000-0000-00003A840000}"/>
    <cellStyle name="40% - Accent6 12 2 2 2 3 2" xfId="24307" xr:uid="{00000000-0005-0000-0000-00003B840000}"/>
    <cellStyle name="40% - Accent6 12 2 2 2 3 2 2" xfId="50181" xr:uid="{00000000-0005-0000-0000-00003C840000}"/>
    <cellStyle name="40% - Accent6 12 2 2 2 3 3" xfId="37265" xr:uid="{00000000-0005-0000-0000-00003D840000}"/>
    <cellStyle name="40% - Accent6 12 2 2 2 4" xfId="17849" xr:uid="{00000000-0005-0000-0000-00003E840000}"/>
    <cellStyle name="40% - Accent6 12 2 2 2 4 2" xfId="43723" xr:uid="{00000000-0005-0000-0000-00003F840000}"/>
    <cellStyle name="40% - Accent6 12 2 2 2 5" xfId="30775" xr:uid="{00000000-0005-0000-0000-000040840000}"/>
    <cellStyle name="40% - Accent6 12 2 2 3" xfId="6545" xr:uid="{00000000-0005-0000-0000-000041840000}"/>
    <cellStyle name="40% - Accent6 12 2 2 3 2" xfId="13004" xr:uid="{00000000-0005-0000-0000-000042840000}"/>
    <cellStyle name="40% - Accent6 12 2 2 3 2 2" xfId="25921" xr:uid="{00000000-0005-0000-0000-000043840000}"/>
    <cellStyle name="40% - Accent6 12 2 2 3 2 2 2" xfId="51795" xr:uid="{00000000-0005-0000-0000-000044840000}"/>
    <cellStyle name="40% - Accent6 12 2 2 3 2 3" xfId="38879" xr:uid="{00000000-0005-0000-0000-000045840000}"/>
    <cellStyle name="40% - Accent6 12 2 2 3 3" xfId="19463" xr:uid="{00000000-0005-0000-0000-000046840000}"/>
    <cellStyle name="40% - Accent6 12 2 2 3 3 2" xfId="45337" xr:uid="{00000000-0005-0000-0000-000047840000}"/>
    <cellStyle name="40% - Accent6 12 2 2 3 4" xfId="32421" xr:uid="{00000000-0005-0000-0000-000048840000}"/>
    <cellStyle name="40% - Accent6 12 2 2 4" xfId="9776" xr:uid="{00000000-0005-0000-0000-000049840000}"/>
    <cellStyle name="40% - Accent6 12 2 2 4 2" xfId="22693" xr:uid="{00000000-0005-0000-0000-00004A840000}"/>
    <cellStyle name="40% - Accent6 12 2 2 4 2 2" xfId="48567" xr:uid="{00000000-0005-0000-0000-00004B840000}"/>
    <cellStyle name="40% - Accent6 12 2 2 4 3" xfId="35651" xr:uid="{00000000-0005-0000-0000-00004C840000}"/>
    <cellStyle name="40% - Accent6 12 2 2 5" xfId="16235" xr:uid="{00000000-0005-0000-0000-00004D840000}"/>
    <cellStyle name="40% - Accent6 12 2 2 5 2" xfId="42109" xr:uid="{00000000-0005-0000-0000-00004E840000}"/>
    <cellStyle name="40% - Accent6 12 2 2 6" xfId="29161" xr:uid="{00000000-0005-0000-0000-00004F840000}"/>
    <cellStyle name="40% - Accent6 12 2 3" xfId="4098" xr:uid="{00000000-0005-0000-0000-000050840000}"/>
    <cellStyle name="40% - Accent6 12 2 3 2" xfId="7352" xr:uid="{00000000-0005-0000-0000-000051840000}"/>
    <cellStyle name="40% - Accent6 12 2 3 2 2" xfId="13811" xr:uid="{00000000-0005-0000-0000-000052840000}"/>
    <cellStyle name="40% - Accent6 12 2 3 2 2 2" xfId="26728" xr:uid="{00000000-0005-0000-0000-000053840000}"/>
    <cellStyle name="40% - Accent6 12 2 3 2 2 2 2" xfId="52602" xr:uid="{00000000-0005-0000-0000-000054840000}"/>
    <cellStyle name="40% - Accent6 12 2 3 2 2 3" xfId="39686" xr:uid="{00000000-0005-0000-0000-000055840000}"/>
    <cellStyle name="40% - Accent6 12 2 3 2 3" xfId="20270" xr:uid="{00000000-0005-0000-0000-000056840000}"/>
    <cellStyle name="40% - Accent6 12 2 3 2 3 2" xfId="46144" xr:uid="{00000000-0005-0000-0000-000057840000}"/>
    <cellStyle name="40% - Accent6 12 2 3 2 4" xfId="33228" xr:uid="{00000000-0005-0000-0000-000058840000}"/>
    <cellStyle name="40% - Accent6 12 2 3 3" xfId="10583" xr:uid="{00000000-0005-0000-0000-000059840000}"/>
    <cellStyle name="40% - Accent6 12 2 3 3 2" xfId="23500" xr:uid="{00000000-0005-0000-0000-00005A840000}"/>
    <cellStyle name="40% - Accent6 12 2 3 3 2 2" xfId="49374" xr:uid="{00000000-0005-0000-0000-00005B840000}"/>
    <cellStyle name="40% - Accent6 12 2 3 3 3" xfId="36458" xr:uid="{00000000-0005-0000-0000-00005C840000}"/>
    <cellStyle name="40% - Accent6 12 2 3 4" xfId="17042" xr:uid="{00000000-0005-0000-0000-00005D840000}"/>
    <cellStyle name="40% - Accent6 12 2 3 4 2" xfId="42916" xr:uid="{00000000-0005-0000-0000-00005E840000}"/>
    <cellStyle name="40% - Accent6 12 2 3 5" xfId="29968" xr:uid="{00000000-0005-0000-0000-00005F840000}"/>
    <cellStyle name="40% - Accent6 12 2 4" xfId="5738" xr:uid="{00000000-0005-0000-0000-000060840000}"/>
    <cellStyle name="40% - Accent6 12 2 4 2" xfId="12197" xr:uid="{00000000-0005-0000-0000-000061840000}"/>
    <cellStyle name="40% - Accent6 12 2 4 2 2" xfId="25114" xr:uid="{00000000-0005-0000-0000-000062840000}"/>
    <cellStyle name="40% - Accent6 12 2 4 2 2 2" xfId="50988" xr:uid="{00000000-0005-0000-0000-000063840000}"/>
    <cellStyle name="40% - Accent6 12 2 4 2 3" xfId="38072" xr:uid="{00000000-0005-0000-0000-000064840000}"/>
    <cellStyle name="40% - Accent6 12 2 4 3" xfId="18656" xr:uid="{00000000-0005-0000-0000-000065840000}"/>
    <cellStyle name="40% - Accent6 12 2 4 3 2" xfId="44530" xr:uid="{00000000-0005-0000-0000-000066840000}"/>
    <cellStyle name="40% - Accent6 12 2 4 4" xfId="31614" xr:uid="{00000000-0005-0000-0000-000067840000}"/>
    <cellStyle name="40% - Accent6 12 2 5" xfId="8969" xr:uid="{00000000-0005-0000-0000-000068840000}"/>
    <cellStyle name="40% - Accent6 12 2 5 2" xfId="21886" xr:uid="{00000000-0005-0000-0000-000069840000}"/>
    <cellStyle name="40% - Accent6 12 2 5 2 2" xfId="47760" xr:uid="{00000000-0005-0000-0000-00006A840000}"/>
    <cellStyle name="40% - Accent6 12 2 5 3" xfId="34844" xr:uid="{00000000-0005-0000-0000-00006B840000}"/>
    <cellStyle name="40% - Accent6 12 2 6" xfId="15428" xr:uid="{00000000-0005-0000-0000-00006C840000}"/>
    <cellStyle name="40% - Accent6 12 2 6 2" xfId="41302" xr:uid="{00000000-0005-0000-0000-00006D840000}"/>
    <cellStyle name="40% - Accent6 12 2 7" xfId="28354" xr:uid="{00000000-0005-0000-0000-00006E840000}"/>
    <cellStyle name="40% - Accent6 12 2 8" xfId="54216" xr:uid="{00000000-0005-0000-0000-00006F840000}"/>
    <cellStyle name="40% - Accent6 12 3" xfId="2867" xr:uid="{00000000-0005-0000-0000-000070840000}"/>
    <cellStyle name="40% - Accent6 12 3 2" xfId="4524" xr:uid="{00000000-0005-0000-0000-000071840000}"/>
    <cellStyle name="40% - Accent6 12 3 2 2" xfId="7755" xr:uid="{00000000-0005-0000-0000-000072840000}"/>
    <cellStyle name="40% - Accent6 12 3 2 2 2" xfId="14214" xr:uid="{00000000-0005-0000-0000-000073840000}"/>
    <cellStyle name="40% - Accent6 12 3 2 2 2 2" xfId="27131" xr:uid="{00000000-0005-0000-0000-000074840000}"/>
    <cellStyle name="40% - Accent6 12 3 2 2 2 2 2" xfId="53005" xr:uid="{00000000-0005-0000-0000-000075840000}"/>
    <cellStyle name="40% - Accent6 12 3 2 2 2 3" xfId="40089" xr:uid="{00000000-0005-0000-0000-000076840000}"/>
    <cellStyle name="40% - Accent6 12 3 2 2 3" xfId="20673" xr:uid="{00000000-0005-0000-0000-000077840000}"/>
    <cellStyle name="40% - Accent6 12 3 2 2 3 2" xfId="46547" xr:uid="{00000000-0005-0000-0000-000078840000}"/>
    <cellStyle name="40% - Accent6 12 3 2 2 4" xfId="33631" xr:uid="{00000000-0005-0000-0000-000079840000}"/>
    <cellStyle name="40% - Accent6 12 3 2 3" xfId="10986" xr:uid="{00000000-0005-0000-0000-00007A840000}"/>
    <cellStyle name="40% - Accent6 12 3 2 3 2" xfId="23903" xr:uid="{00000000-0005-0000-0000-00007B840000}"/>
    <cellStyle name="40% - Accent6 12 3 2 3 2 2" xfId="49777" xr:uid="{00000000-0005-0000-0000-00007C840000}"/>
    <cellStyle name="40% - Accent6 12 3 2 3 3" xfId="36861" xr:uid="{00000000-0005-0000-0000-00007D840000}"/>
    <cellStyle name="40% - Accent6 12 3 2 4" xfId="17445" xr:uid="{00000000-0005-0000-0000-00007E840000}"/>
    <cellStyle name="40% - Accent6 12 3 2 4 2" xfId="43319" xr:uid="{00000000-0005-0000-0000-00007F840000}"/>
    <cellStyle name="40% - Accent6 12 3 2 5" xfId="30371" xr:uid="{00000000-0005-0000-0000-000080840000}"/>
    <cellStyle name="40% - Accent6 12 3 3" xfId="6141" xr:uid="{00000000-0005-0000-0000-000081840000}"/>
    <cellStyle name="40% - Accent6 12 3 3 2" xfId="12600" xr:uid="{00000000-0005-0000-0000-000082840000}"/>
    <cellStyle name="40% - Accent6 12 3 3 2 2" xfId="25517" xr:uid="{00000000-0005-0000-0000-000083840000}"/>
    <cellStyle name="40% - Accent6 12 3 3 2 2 2" xfId="51391" xr:uid="{00000000-0005-0000-0000-000084840000}"/>
    <cellStyle name="40% - Accent6 12 3 3 2 3" xfId="38475" xr:uid="{00000000-0005-0000-0000-000085840000}"/>
    <cellStyle name="40% - Accent6 12 3 3 3" xfId="19059" xr:uid="{00000000-0005-0000-0000-000086840000}"/>
    <cellStyle name="40% - Accent6 12 3 3 3 2" xfId="44933" xr:uid="{00000000-0005-0000-0000-000087840000}"/>
    <cellStyle name="40% - Accent6 12 3 3 4" xfId="32017" xr:uid="{00000000-0005-0000-0000-000088840000}"/>
    <cellStyle name="40% - Accent6 12 3 4" xfId="9372" xr:uid="{00000000-0005-0000-0000-000089840000}"/>
    <cellStyle name="40% - Accent6 12 3 4 2" xfId="22289" xr:uid="{00000000-0005-0000-0000-00008A840000}"/>
    <cellStyle name="40% - Accent6 12 3 4 2 2" xfId="48163" xr:uid="{00000000-0005-0000-0000-00008B840000}"/>
    <cellStyle name="40% - Accent6 12 3 4 3" xfId="35247" xr:uid="{00000000-0005-0000-0000-00008C840000}"/>
    <cellStyle name="40% - Accent6 12 3 5" xfId="15831" xr:uid="{00000000-0005-0000-0000-00008D840000}"/>
    <cellStyle name="40% - Accent6 12 3 5 2" xfId="41705" xr:uid="{00000000-0005-0000-0000-00008E840000}"/>
    <cellStyle name="40% - Accent6 12 3 6" xfId="28757" xr:uid="{00000000-0005-0000-0000-00008F840000}"/>
    <cellStyle name="40% - Accent6 12 4" xfId="3694" xr:uid="{00000000-0005-0000-0000-000090840000}"/>
    <cellStyle name="40% - Accent6 12 4 2" xfId="6948" xr:uid="{00000000-0005-0000-0000-000091840000}"/>
    <cellStyle name="40% - Accent6 12 4 2 2" xfId="13407" xr:uid="{00000000-0005-0000-0000-000092840000}"/>
    <cellStyle name="40% - Accent6 12 4 2 2 2" xfId="26324" xr:uid="{00000000-0005-0000-0000-000093840000}"/>
    <cellStyle name="40% - Accent6 12 4 2 2 2 2" xfId="52198" xr:uid="{00000000-0005-0000-0000-000094840000}"/>
    <cellStyle name="40% - Accent6 12 4 2 2 3" xfId="39282" xr:uid="{00000000-0005-0000-0000-000095840000}"/>
    <cellStyle name="40% - Accent6 12 4 2 3" xfId="19866" xr:uid="{00000000-0005-0000-0000-000096840000}"/>
    <cellStyle name="40% - Accent6 12 4 2 3 2" xfId="45740" xr:uid="{00000000-0005-0000-0000-000097840000}"/>
    <cellStyle name="40% - Accent6 12 4 2 4" xfId="32824" xr:uid="{00000000-0005-0000-0000-000098840000}"/>
    <cellStyle name="40% - Accent6 12 4 3" xfId="10179" xr:uid="{00000000-0005-0000-0000-000099840000}"/>
    <cellStyle name="40% - Accent6 12 4 3 2" xfId="23096" xr:uid="{00000000-0005-0000-0000-00009A840000}"/>
    <cellStyle name="40% - Accent6 12 4 3 2 2" xfId="48970" xr:uid="{00000000-0005-0000-0000-00009B840000}"/>
    <cellStyle name="40% - Accent6 12 4 3 3" xfId="36054" xr:uid="{00000000-0005-0000-0000-00009C840000}"/>
    <cellStyle name="40% - Accent6 12 4 4" xfId="16638" xr:uid="{00000000-0005-0000-0000-00009D840000}"/>
    <cellStyle name="40% - Accent6 12 4 4 2" xfId="42512" xr:uid="{00000000-0005-0000-0000-00009E840000}"/>
    <cellStyle name="40% - Accent6 12 4 5" xfId="29564" xr:uid="{00000000-0005-0000-0000-00009F840000}"/>
    <cellStyle name="40% - Accent6 12 5" xfId="5334" xr:uid="{00000000-0005-0000-0000-0000A0840000}"/>
    <cellStyle name="40% - Accent6 12 5 2" xfId="11793" xr:uid="{00000000-0005-0000-0000-0000A1840000}"/>
    <cellStyle name="40% - Accent6 12 5 2 2" xfId="24710" xr:uid="{00000000-0005-0000-0000-0000A2840000}"/>
    <cellStyle name="40% - Accent6 12 5 2 2 2" xfId="50584" xr:uid="{00000000-0005-0000-0000-0000A3840000}"/>
    <cellStyle name="40% - Accent6 12 5 2 3" xfId="37668" xr:uid="{00000000-0005-0000-0000-0000A4840000}"/>
    <cellStyle name="40% - Accent6 12 5 3" xfId="18252" xr:uid="{00000000-0005-0000-0000-0000A5840000}"/>
    <cellStyle name="40% - Accent6 12 5 3 2" xfId="44126" xr:uid="{00000000-0005-0000-0000-0000A6840000}"/>
    <cellStyle name="40% - Accent6 12 5 4" xfId="31210" xr:uid="{00000000-0005-0000-0000-0000A7840000}"/>
    <cellStyle name="40% - Accent6 12 6" xfId="8565" xr:uid="{00000000-0005-0000-0000-0000A8840000}"/>
    <cellStyle name="40% - Accent6 12 6 2" xfId="21482" xr:uid="{00000000-0005-0000-0000-0000A9840000}"/>
    <cellStyle name="40% - Accent6 12 6 2 2" xfId="47356" xr:uid="{00000000-0005-0000-0000-0000AA840000}"/>
    <cellStyle name="40% - Accent6 12 6 3" xfId="34440" xr:uid="{00000000-0005-0000-0000-0000AB840000}"/>
    <cellStyle name="40% - Accent6 12 7" xfId="15024" xr:uid="{00000000-0005-0000-0000-0000AC840000}"/>
    <cellStyle name="40% - Accent6 12 7 2" xfId="40898" xr:uid="{00000000-0005-0000-0000-0000AD840000}"/>
    <cellStyle name="40% - Accent6 12 8" xfId="27950" xr:uid="{00000000-0005-0000-0000-0000AE840000}"/>
    <cellStyle name="40% - Accent6 12 9" xfId="53812" xr:uid="{00000000-0005-0000-0000-0000AF840000}"/>
    <cellStyle name="40% - Accent6 13" xfId="2063" xr:uid="{00000000-0005-0000-0000-0000B0840000}"/>
    <cellStyle name="40% - Accent6 13 2" xfId="2881" xr:uid="{00000000-0005-0000-0000-0000B1840000}"/>
    <cellStyle name="40% - Accent6 13 2 2" xfId="4538" xr:uid="{00000000-0005-0000-0000-0000B2840000}"/>
    <cellStyle name="40% - Accent6 13 2 2 2" xfId="7769" xr:uid="{00000000-0005-0000-0000-0000B3840000}"/>
    <cellStyle name="40% - Accent6 13 2 2 2 2" xfId="14228" xr:uid="{00000000-0005-0000-0000-0000B4840000}"/>
    <cellStyle name="40% - Accent6 13 2 2 2 2 2" xfId="27145" xr:uid="{00000000-0005-0000-0000-0000B5840000}"/>
    <cellStyle name="40% - Accent6 13 2 2 2 2 2 2" xfId="53019" xr:uid="{00000000-0005-0000-0000-0000B6840000}"/>
    <cellStyle name="40% - Accent6 13 2 2 2 2 3" xfId="40103" xr:uid="{00000000-0005-0000-0000-0000B7840000}"/>
    <cellStyle name="40% - Accent6 13 2 2 2 3" xfId="20687" xr:uid="{00000000-0005-0000-0000-0000B8840000}"/>
    <cellStyle name="40% - Accent6 13 2 2 2 3 2" xfId="46561" xr:uid="{00000000-0005-0000-0000-0000B9840000}"/>
    <cellStyle name="40% - Accent6 13 2 2 2 4" xfId="33645" xr:uid="{00000000-0005-0000-0000-0000BA840000}"/>
    <cellStyle name="40% - Accent6 13 2 2 3" xfId="11000" xr:uid="{00000000-0005-0000-0000-0000BB840000}"/>
    <cellStyle name="40% - Accent6 13 2 2 3 2" xfId="23917" xr:uid="{00000000-0005-0000-0000-0000BC840000}"/>
    <cellStyle name="40% - Accent6 13 2 2 3 2 2" xfId="49791" xr:uid="{00000000-0005-0000-0000-0000BD840000}"/>
    <cellStyle name="40% - Accent6 13 2 2 3 3" xfId="36875" xr:uid="{00000000-0005-0000-0000-0000BE840000}"/>
    <cellStyle name="40% - Accent6 13 2 2 4" xfId="17459" xr:uid="{00000000-0005-0000-0000-0000BF840000}"/>
    <cellStyle name="40% - Accent6 13 2 2 4 2" xfId="43333" xr:uid="{00000000-0005-0000-0000-0000C0840000}"/>
    <cellStyle name="40% - Accent6 13 2 2 5" xfId="30385" xr:uid="{00000000-0005-0000-0000-0000C1840000}"/>
    <cellStyle name="40% - Accent6 13 2 3" xfId="6155" xr:uid="{00000000-0005-0000-0000-0000C2840000}"/>
    <cellStyle name="40% - Accent6 13 2 3 2" xfId="12614" xr:uid="{00000000-0005-0000-0000-0000C3840000}"/>
    <cellStyle name="40% - Accent6 13 2 3 2 2" xfId="25531" xr:uid="{00000000-0005-0000-0000-0000C4840000}"/>
    <cellStyle name="40% - Accent6 13 2 3 2 2 2" xfId="51405" xr:uid="{00000000-0005-0000-0000-0000C5840000}"/>
    <cellStyle name="40% - Accent6 13 2 3 2 3" xfId="38489" xr:uid="{00000000-0005-0000-0000-0000C6840000}"/>
    <cellStyle name="40% - Accent6 13 2 3 3" xfId="19073" xr:uid="{00000000-0005-0000-0000-0000C7840000}"/>
    <cellStyle name="40% - Accent6 13 2 3 3 2" xfId="44947" xr:uid="{00000000-0005-0000-0000-0000C8840000}"/>
    <cellStyle name="40% - Accent6 13 2 3 4" xfId="32031" xr:uid="{00000000-0005-0000-0000-0000C9840000}"/>
    <cellStyle name="40% - Accent6 13 2 4" xfId="9386" xr:uid="{00000000-0005-0000-0000-0000CA840000}"/>
    <cellStyle name="40% - Accent6 13 2 4 2" xfId="22303" xr:uid="{00000000-0005-0000-0000-0000CB840000}"/>
    <cellStyle name="40% - Accent6 13 2 4 2 2" xfId="48177" xr:uid="{00000000-0005-0000-0000-0000CC840000}"/>
    <cellStyle name="40% - Accent6 13 2 4 3" xfId="35261" xr:uid="{00000000-0005-0000-0000-0000CD840000}"/>
    <cellStyle name="40% - Accent6 13 2 5" xfId="15845" xr:uid="{00000000-0005-0000-0000-0000CE840000}"/>
    <cellStyle name="40% - Accent6 13 2 5 2" xfId="41719" xr:uid="{00000000-0005-0000-0000-0000CF840000}"/>
    <cellStyle name="40% - Accent6 13 2 6" xfId="28771" xr:uid="{00000000-0005-0000-0000-0000D0840000}"/>
    <cellStyle name="40% - Accent6 13 3" xfId="3708" xr:uid="{00000000-0005-0000-0000-0000D1840000}"/>
    <cellStyle name="40% - Accent6 13 3 2" xfId="6962" xr:uid="{00000000-0005-0000-0000-0000D2840000}"/>
    <cellStyle name="40% - Accent6 13 3 2 2" xfId="13421" xr:uid="{00000000-0005-0000-0000-0000D3840000}"/>
    <cellStyle name="40% - Accent6 13 3 2 2 2" xfId="26338" xr:uid="{00000000-0005-0000-0000-0000D4840000}"/>
    <cellStyle name="40% - Accent6 13 3 2 2 2 2" xfId="52212" xr:uid="{00000000-0005-0000-0000-0000D5840000}"/>
    <cellStyle name="40% - Accent6 13 3 2 2 3" xfId="39296" xr:uid="{00000000-0005-0000-0000-0000D6840000}"/>
    <cellStyle name="40% - Accent6 13 3 2 3" xfId="19880" xr:uid="{00000000-0005-0000-0000-0000D7840000}"/>
    <cellStyle name="40% - Accent6 13 3 2 3 2" xfId="45754" xr:uid="{00000000-0005-0000-0000-0000D8840000}"/>
    <cellStyle name="40% - Accent6 13 3 2 4" xfId="32838" xr:uid="{00000000-0005-0000-0000-0000D9840000}"/>
    <cellStyle name="40% - Accent6 13 3 3" xfId="10193" xr:uid="{00000000-0005-0000-0000-0000DA840000}"/>
    <cellStyle name="40% - Accent6 13 3 3 2" xfId="23110" xr:uid="{00000000-0005-0000-0000-0000DB840000}"/>
    <cellStyle name="40% - Accent6 13 3 3 2 2" xfId="48984" xr:uid="{00000000-0005-0000-0000-0000DC840000}"/>
    <cellStyle name="40% - Accent6 13 3 3 3" xfId="36068" xr:uid="{00000000-0005-0000-0000-0000DD840000}"/>
    <cellStyle name="40% - Accent6 13 3 4" xfId="16652" xr:uid="{00000000-0005-0000-0000-0000DE840000}"/>
    <cellStyle name="40% - Accent6 13 3 4 2" xfId="42526" xr:uid="{00000000-0005-0000-0000-0000DF840000}"/>
    <cellStyle name="40% - Accent6 13 3 5" xfId="29578" xr:uid="{00000000-0005-0000-0000-0000E0840000}"/>
    <cellStyle name="40% - Accent6 13 4" xfId="5348" xr:uid="{00000000-0005-0000-0000-0000E1840000}"/>
    <cellStyle name="40% - Accent6 13 4 2" xfId="11807" xr:uid="{00000000-0005-0000-0000-0000E2840000}"/>
    <cellStyle name="40% - Accent6 13 4 2 2" xfId="24724" xr:uid="{00000000-0005-0000-0000-0000E3840000}"/>
    <cellStyle name="40% - Accent6 13 4 2 2 2" xfId="50598" xr:uid="{00000000-0005-0000-0000-0000E4840000}"/>
    <cellStyle name="40% - Accent6 13 4 2 3" xfId="37682" xr:uid="{00000000-0005-0000-0000-0000E5840000}"/>
    <cellStyle name="40% - Accent6 13 4 3" xfId="18266" xr:uid="{00000000-0005-0000-0000-0000E6840000}"/>
    <cellStyle name="40% - Accent6 13 4 3 2" xfId="44140" xr:uid="{00000000-0005-0000-0000-0000E7840000}"/>
    <cellStyle name="40% - Accent6 13 4 4" xfId="31224" xr:uid="{00000000-0005-0000-0000-0000E8840000}"/>
    <cellStyle name="40% - Accent6 13 5" xfId="8579" xr:uid="{00000000-0005-0000-0000-0000E9840000}"/>
    <cellStyle name="40% - Accent6 13 5 2" xfId="21496" xr:uid="{00000000-0005-0000-0000-0000EA840000}"/>
    <cellStyle name="40% - Accent6 13 5 2 2" xfId="47370" xr:uid="{00000000-0005-0000-0000-0000EB840000}"/>
    <cellStyle name="40% - Accent6 13 5 3" xfId="34454" xr:uid="{00000000-0005-0000-0000-0000EC840000}"/>
    <cellStyle name="40% - Accent6 13 6" xfId="15038" xr:uid="{00000000-0005-0000-0000-0000ED840000}"/>
    <cellStyle name="40% - Accent6 13 6 2" xfId="40912" xr:uid="{00000000-0005-0000-0000-0000EE840000}"/>
    <cellStyle name="40% - Accent6 13 7" xfId="27964" xr:uid="{00000000-0005-0000-0000-0000EF840000}"/>
    <cellStyle name="40% - Accent6 13 8" xfId="53826" xr:uid="{00000000-0005-0000-0000-0000F0840000}"/>
    <cellStyle name="40% - Accent6 14" xfId="2478" xr:uid="{00000000-0005-0000-0000-0000F1840000}"/>
    <cellStyle name="40% - Accent6 14 2" xfId="4135" xr:uid="{00000000-0005-0000-0000-0000F2840000}"/>
    <cellStyle name="40% - Accent6 14 2 2" xfId="7366" xr:uid="{00000000-0005-0000-0000-0000F3840000}"/>
    <cellStyle name="40% - Accent6 14 2 2 2" xfId="13825" xr:uid="{00000000-0005-0000-0000-0000F4840000}"/>
    <cellStyle name="40% - Accent6 14 2 2 2 2" xfId="26742" xr:uid="{00000000-0005-0000-0000-0000F5840000}"/>
    <cellStyle name="40% - Accent6 14 2 2 2 2 2" xfId="52616" xr:uid="{00000000-0005-0000-0000-0000F6840000}"/>
    <cellStyle name="40% - Accent6 14 2 2 2 3" xfId="39700" xr:uid="{00000000-0005-0000-0000-0000F7840000}"/>
    <cellStyle name="40% - Accent6 14 2 2 3" xfId="20284" xr:uid="{00000000-0005-0000-0000-0000F8840000}"/>
    <cellStyle name="40% - Accent6 14 2 2 3 2" xfId="46158" xr:uid="{00000000-0005-0000-0000-0000F9840000}"/>
    <cellStyle name="40% - Accent6 14 2 2 4" xfId="33242" xr:uid="{00000000-0005-0000-0000-0000FA840000}"/>
    <cellStyle name="40% - Accent6 14 2 3" xfId="10597" xr:uid="{00000000-0005-0000-0000-0000FB840000}"/>
    <cellStyle name="40% - Accent6 14 2 3 2" xfId="23514" xr:uid="{00000000-0005-0000-0000-0000FC840000}"/>
    <cellStyle name="40% - Accent6 14 2 3 2 2" xfId="49388" xr:uid="{00000000-0005-0000-0000-0000FD840000}"/>
    <cellStyle name="40% - Accent6 14 2 3 3" xfId="36472" xr:uid="{00000000-0005-0000-0000-0000FE840000}"/>
    <cellStyle name="40% - Accent6 14 2 4" xfId="17056" xr:uid="{00000000-0005-0000-0000-0000FF840000}"/>
    <cellStyle name="40% - Accent6 14 2 4 2" xfId="42930" xr:uid="{00000000-0005-0000-0000-000000850000}"/>
    <cellStyle name="40% - Accent6 14 2 5" xfId="29982" xr:uid="{00000000-0005-0000-0000-000001850000}"/>
    <cellStyle name="40% - Accent6 14 3" xfId="5752" xr:uid="{00000000-0005-0000-0000-000002850000}"/>
    <cellStyle name="40% - Accent6 14 3 2" xfId="12211" xr:uid="{00000000-0005-0000-0000-000003850000}"/>
    <cellStyle name="40% - Accent6 14 3 2 2" xfId="25128" xr:uid="{00000000-0005-0000-0000-000004850000}"/>
    <cellStyle name="40% - Accent6 14 3 2 2 2" xfId="51002" xr:uid="{00000000-0005-0000-0000-000005850000}"/>
    <cellStyle name="40% - Accent6 14 3 2 3" xfId="38086" xr:uid="{00000000-0005-0000-0000-000006850000}"/>
    <cellStyle name="40% - Accent6 14 3 3" xfId="18670" xr:uid="{00000000-0005-0000-0000-000007850000}"/>
    <cellStyle name="40% - Accent6 14 3 3 2" xfId="44544" xr:uid="{00000000-0005-0000-0000-000008850000}"/>
    <cellStyle name="40% - Accent6 14 3 4" xfId="31628" xr:uid="{00000000-0005-0000-0000-000009850000}"/>
    <cellStyle name="40% - Accent6 14 4" xfId="8983" xr:uid="{00000000-0005-0000-0000-00000A850000}"/>
    <cellStyle name="40% - Accent6 14 4 2" xfId="21900" xr:uid="{00000000-0005-0000-0000-00000B850000}"/>
    <cellStyle name="40% - Accent6 14 4 2 2" xfId="47774" xr:uid="{00000000-0005-0000-0000-00000C850000}"/>
    <cellStyle name="40% - Accent6 14 4 3" xfId="34858" xr:uid="{00000000-0005-0000-0000-00000D850000}"/>
    <cellStyle name="40% - Accent6 14 5" xfId="15442" xr:uid="{00000000-0005-0000-0000-00000E850000}"/>
    <cellStyle name="40% - Accent6 14 5 2" xfId="41316" xr:uid="{00000000-0005-0000-0000-00000F850000}"/>
    <cellStyle name="40% - Accent6 14 6" xfId="28368" xr:uid="{00000000-0005-0000-0000-000010850000}"/>
    <cellStyle name="40% - Accent6 15" xfId="3287" xr:uid="{00000000-0005-0000-0000-000011850000}"/>
    <cellStyle name="40% - Accent6 15 2" xfId="6559" xr:uid="{00000000-0005-0000-0000-000012850000}"/>
    <cellStyle name="40% - Accent6 15 2 2" xfId="13018" xr:uid="{00000000-0005-0000-0000-000013850000}"/>
    <cellStyle name="40% - Accent6 15 2 2 2" xfId="25935" xr:uid="{00000000-0005-0000-0000-000014850000}"/>
    <cellStyle name="40% - Accent6 15 2 2 2 2" xfId="51809" xr:uid="{00000000-0005-0000-0000-000015850000}"/>
    <cellStyle name="40% - Accent6 15 2 2 3" xfId="38893" xr:uid="{00000000-0005-0000-0000-000016850000}"/>
    <cellStyle name="40% - Accent6 15 2 3" xfId="19477" xr:uid="{00000000-0005-0000-0000-000017850000}"/>
    <cellStyle name="40% - Accent6 15 2 3 2" xfId="45351" xr:uid="{00000000-0005-0000-0000-000018850000}"/>
    <cellStyle name="40% - Accent6 15 2 4" xfId="32435" xr:uid="{00000000-0005-0000-0000-000019850000}"/>
    <cellStyle name="40% - Accent6 15 3" xfId="9790" xr:uid="{00000000-0005-0000-0000-00001A850000}"/>
    <cellStyle name="40% - Accent6 15 3 2" xfId="22707" xr:uid="{00000000-0005-0000-0000-00001B850000}"/>
    <cellStyle name="40% - Accent6 15 3 2 2" xfId="48581" xr:uid="{00000000-0005-0000-0000-00001C850000}"/>
    <cellStyle name="40% - Accent6 15 3 3" xfId="35665" xr:uid="{00000000-0005-0000-0000-00001D850000}"/>
    <cellStyle name="40% - Accent6 15 4" xfId="16249" xr:uid="{00000000-0005-0000-0000-00001E850000}"/>
    <cellStyle name="40% - Accent6 15 4 2" xfId="42123" xr:uid="{00000000-0005-0000-0000-00001F850000}"/>
    <cellStyle name="40% - Accent6 15 5" xfId="29175" xr:uid="{00000000-0005-0000-0000-000020850000}"/>
    <cellStyle name="40% - Accent6 16" xfId="4945" xr:uid="{00000000-0005-0000-0000-000021850000}"/>
    <cellStyle name="40% - Accent6 16 2" xfId="11404" xr:uid="{00000000-0005-0000-0000-000022850000}"/>
    <cellStyle name="40% - Accent6 16 2 2" xfId="24321" xr:uid="{00000000-0005-0000-0000-000023850000}"/>
    <cellStyle name="40% - Accent6 16 2 2 2" xfId="50195" xr:uid="{00000000-0005-0000-0000-000024850000}"/>
    <cellStyle name="40% - Accent6 16 2 3" xfId="37279" xr:uid="{00000000-0005-0000-0000-000025850000}"/>
    <cellStyle name="40% - Accent6 16 3" xfId="17863" xr:uid="{00000000-0005-0000-0000-000026850000}"/>
    <cellStyle name="40% - Accent6 16 3 2" xfId="43737" xr:uid="{00000000-0005-0000-0000-000027850000}"/>
    <cellStyle name="40% - Accent6 16 4" xfId="30821" xr:uid="{00000000-0005-0000-0000-000028850000}"/>
    <cellStyle name="40% - Accent6 17" xfId="8173" xr:uid="{00000000-0005-0000-0000-000029850000}"/>
    <cellStyle name="40% - Accent6 17 2" xfId="21091" xr:uid="{00000000-0005-0000-0000-00002A850000}"/>
    <cellStyle name="40% - Accent6 17 2 2" xfId="46965" xr:uid="{00000000-0005-0000-0000-00002B850000}"/>
    <cellStyle name="40% - Accent6 17 3" xfId="34049" xr:uid="{00000000-0005-0000-0000-00002C850000}"/>
    <cellStyle name="40% - Accent6 18" xfId="14633" xr:uid="{00000000-0005-0000-0000-00002D850000}"/>
    <cellStyle name="40% - Accent6 18 2" xfId="40507" xr:uid="{00000000-0005-0000-0000-00002E850000}"/>
    <cellStyle name="40% - Accent6 19" xfId="27551" xr:uid="{00000000-0005-0000-0000-00002F850000}"/>
    <cellStyle name="40% - Accent6 2" xfId="31" xr:uid="{00000000-0005-0000-0000-000030850000}"/>
    <cellStyle name="40% - Accent6 2 10" xfId="8185" xr:uid="{00000000-0005-0000-0000-000031850000}"/>
    <cellStyle name="40% - Accent6 2 10 2" xfId="21103" xr:uid="{00000000-0005-0000-0000-000032850000}"/>
    <cellStyle name="40% - Accent6 2 10 2 2" xfId="46977" xr:uid="{00000000-0005-0000-0000-000033850000}"/>
    <cellStyle name="40% - Accent6 2 10 3" xfId="34061" xr:uid="{00000000-0005-0000-0000-000034850000}"/>
    <cellStyle name="40% - Accent6 2 11" xfId="14645" xr:uid="{00000000-0005-0000-0000-000035850000}"/>
    <cellStyle name="40% - Accent6 2 11 2" xfId="40519" xr:uid="{00000000-0005-0000-0000-000036850000}"/>
    <cellStyle name="40% - Accent6 2 12" xfId="27563" xr:uid="{00000000-0005-0000-0000-000037850000}"/>
    <cellStyle name="40% - Accent6 2 13" xfId="53435" xr:uid="{00000000-0005-0000-0000-000038850000}"/>
    <cellStyle name="40% - Accent6 2 14" xfId="1137" xr:uid="{00000000-0005-0000-0000-000039850000}"/>
    <cellStyle name="40% - Accent6 2 2" xfId="281" xr:uid="{00000000-0005-0000-0000-00003A850000}"/>
    <cellStyle name="40% - Accent6 2 3" xfId="239" xr:uid="{00000000-0005-0000-0000-00003B850000}"/>
    <cellStyle name="40% - Accent6 2 3 10" xfId="27599" xr:uid="{00000000-0005-0000-0000-00003C850000}"/>
    <cellStyle name="40% - Accent6 2 3 11" xfId="53465" xr:uid="{00000000-0005-0000-0000-00003D850000}"/>
    <cellStyle name="40% - Accent6 2 3 12" xfId="1138" xr:uid="{00000000-0005-0000-0000-00003E850000}"/>
    <cellStyle name="40% - Accent6 2 3 2" xfId="429" xr:uid="{00000000-0005-0000-0000-00003F850000}"/>
    <cellStyle name="40% - Accent6 2 3 2 10" xfId="53540" xr:uid="{00000000-0005-0000-0000-000040850000}"/>
    <cellStyle name="40% - Accent6 2 3 2 11" xfId="1624" xr:uid="{00000000-0005-0000-0000-000041850000}"/>
    <cellStyle name="40% - Accent6 2 3 2 2" xfId="783" xr:uid="{00000000-0005-0000-0000-000042850000}"/>
    <cellStyle name="40% - Accent6 2 3 2 2 10" xfId="1949" xr:uid="{00000000-0005-0000-0000-000043850000}"/>
    <cellStyle name="40% - Accent6 2 3 2 2 2" xfId="2380" xr:uid="{00000000-0005-0000-0000-000044850000}"/>
    <cellStyle name="40% - Accent6 2 3 2 2 2 2" xfId="3193" xr:uid="{00000000-0005-0000-0000-000045850000}"/>
    <cellStyle name="40% - Accent6 2 3 2 2 2 2 2" xfId="4850" xr:uid="{00000000-0005-0000-0000-000046850000}"/>
    <cellStyle name="40% - Accent6 2 3 2 2 2 2 2 2" xfId="8081" xr:uid="{00000000-0005-0000-0000-000047850000}"/>
    <cellStyle name="40% - Accent6 2 3 2 2 2 2 2 2 2" xfId="14540" xr:uid="{00000000-0005-0000-0000-000048850000}"/>
    <cellStyle name="40% - Accent6 2 3 2 2 2 2 2 2 2 2" xfId="27457" xr:uid="{00000000-0005-0000-0000-000049850000}"/>
    <cellStyle name="40% - Accent6 2 3 2 2 2 2 2 2 2 2 2" xfId="53331" xr:uid="{00000000-0005-0000-0000-00004A850000}"/>
    <cellStyle name="40% - Accent6 2 3 2 2 2 2 2 2 2 3" xfId="40415" xr:uid="{00000000-0005-0000-0000-00004B850000}"/>
    <cellStyle name="40% - Accent6 2 3 2 2 2 2 2 2 3" xfId="20999" xr:uid="{00000000-0005-0000-0000-00004C850000}"/>
    <cellStyle name="40% - Accent6 2 3 2 2 2 2 2 2 3 2" xfId="46873" xr:uid="{00000000-0005-0000-0000-00004D850000}"/>
    <cellStyle name="40% - Accent6 2 3 2 2 2 2 2 2 4" xfId="33957" xr:uid="{00000000-0005-0000-0000-00004E850000}"/>
    <cellStyle name="40% - Accent6 2 3 2 2 2 2 2 3" xfId="11312" xr:uid="{00000000-0005-0000-0000-00004F850000}"/>
    <cellStyle name="40% - Accent6 2 3 2 2 2 2 2 3 2" xfId="24229" xr:uid="{00000000-0005-0000-0000-000050850000}"/>
    <cellStyle name="40% - Accent6 2 3 2 2 2 2 2 3 2 2" xfId="50103" xr:uid="{00000000-0005-0000-0000-000051850000}"/>
    <cellStyle name="40% - Accent6 2 3 2 2 2 2 2 3 3" xfId="37187" xr:uid="{00000000-0005-0000-0000-000052850000}"/>
    <cellStyle name="40% - Accent6 2 3 2 2 2 2 2 4" xfId="17771" xr:uid="{00000000-0005-0000-0000-000053850000}"/>
    <cellStyle name="40% - Accent6 2 3 2 2 2 2 2 4 2" xfId="43645" xr:uid="{00000000-0005-0000-0000-000054850000}"/>
    <cellStyle name="40% - Accent6 2 3 2 2 2 2 2 5" xfId="30697" xr:uid="{00000000-0005-0000-0000-000055850000}"/>
    <cellStyle name="40% - Accent6 2 3 2 2 2 2 3" xfId="6467" xr:uid="{00000000-0005-0000-0000-000056850000}"/>
    <cellStyle name="40% - Accent6 2 3 2 2 2 2 3 2" xfId="12926" xr:uid="{00000000-0005-0000-0000-000057850000}"/>
    <cellStyle name="40% - Accent6 2 3 2 2 2 2 3 2 2" xfId="25843" xr:uid="{00000000-0005-0000-0000-000058850000}"/>
    <cellStyle name="40% - Accent6 2 3 2 2 2 2 3 2 2 2" xfId="51717" xr:uid="{00000000-0005-0000-0000-000059850000}"/>
    <cellStyle name="40% - Accent6 2 3 2 2 2 2 3 2 3" xfId="38801" xr:uid="{00000000-0005-0000-0000-00005A850000}"/>
    <cellStyle name="40% - Accent6 2 3 2 2 2 2 3 3" xfId="19385" xr:uid="{00000000-0005-0000-0000-00005B850000}"/>
    <cellStyle name="40% - Accent6 2 3 2 2 2 2 3 3 2" xfId="45259" xr:uid="{00000000-0005-0000-0000-00005C850000}"/>
    <cellStyle name="40% - Accent6 2 3 2 2 2 2 3 4" xfId="32343" xr:uid="{00000000-0005-0000-0000-00005D850000}"/>
    <cellStyle name="40% - Accent6 2 3 2 2 2 2 4" xfId="9698" xr:uid="{00000000-0005-0000-0000-00005E850000}"/>
    <cellStyle name="40% - Accent6 2 3 2 2 2 2 4 2" xfId="22615" xr:uid="{00000000-0005-0000-0000-00005F850000}"/>
    <cellStyle name="40% - Accent6 2 3 2 2 2 2 4 2 2" xfId="48489" xr:uid="{00000000-0005-0000-0000-000060850000}"/>
    <cellStyle name="40% - Accent6 2 3 2 2 2 2 4 3" xfId="35573" xr:uid="{00000000-0005-0000-0000-000061850000}"/>
    <cellStyle name="40% - Accent6 2 3 2 2 2 2 5" xfId="16157" xr:uid="{00000000-0005-0000-0000-000062850000}"/>
    <cellStyle name="40% - Accent6 2 3 2 2 2 2 5 2" xfId="42031" xr:uid="{00000000-0005-0000-0000-000063850000}"/>
    <cellStyle name="40% - Accent6 2 3 2 2 2 2 6" xfId="29083" xr:uid="{00000000-0005-0000-0000-000064850000}"/>
    <cellStyle name="40% - Accent6 2 3 2 2 2 3" xfId="4020" xr:uid="{00000000-0005-0000-0000-000065850000}"/>
    <cellStyle name="40% - Accent6 2 3 2 2 2 3 2" xfId="7274" xr:uid="{00000000-0005-0000-0000-000066850000}"/>
    <cellStyle name="40% - Accent6 2 3 2 2 2 3 2 2" xfId="13733" xr:uid="{00000000-0005-0000-0000-000067850000}"/>
    <cellStyle name="40% - Accent6 2 3 2 2 2 3 2 2 2" xfId="26650" xr:uid="{00000000-0005-0000-0000-000068850000}"/>
    <cellStyle name="40% - Accent6 2 3 2 2 2 3 2 2 2 2" xfId="52524" xr:uid="{00000000-0005-0000-0000-000069850000}"/>
    <cellStyle name="40% - Accent6 2 3 2 2 2 3 2 2 3" xfId="39608" xr:uid="{00000000-0005-0000-0000-00006A850000}"/>
    <cellStyle name="40% - Accent6 2 3 2 2 2 3 2 3" xfId="20192" xr:uid="{00000000-0005-0000-0000-00006B850000}"/>
    <cellStyle name="40% - Accent6 2 3 2 2 2 3 2 3 2" xfId="46066" xr:uid="{00000000-0005-0000-0000-00006C850000}"/>
    <cellStyle name="40% - Accent6 2 3 2 2 2 3 2 4" xfId="33150" xr:uid="{00000000-0005-0000-0000-00006D850000}"/>
    <cellStyle name="40% - Accent6 2 3 2 2 2 3 3" xfId="10505" xr:uid="{00000000-0005-0000-0000-00006E850000}"/>
    <cellStyle name="40% - Accent6 2 3 2 2 2 3 3 2" xfId="23422" xr:uid="{00000000-0005-0000-0000-00006F850000}"/>
    <cellStyle name="40% - Accent6 2 3 2 2 2 3 3 2 2" xfId="49296" xr:uid="{00000000-0005-0000-0000-000070850000}"/>
    <cellStyle name="40% - Accent6 2 3 2 2 2 3 3 3" xfId="36380" xr:uid="{00000000-0005-0000-0000-000071850000}"/>
    <cellStyle name="40% - Accent6 2 3 2 2 2 3 4" xfId="16964" xr:uid="{00000000-0005-0000-0000-000072850000}"/>
    <cellStyle name="40% - Accent6 2 3 2 2 2 3 4 2" xfId="42838" xr:uid="{00000000-0005-0000-0000-000073850000}"/>
    <cellStyle name="40% - Accent6 2 3 2 2 2 3 5" xfId="29890" xr:uid="{00000000-0005-0000-0000-000074850000}"/>
    <cellStyle name="40% - Accent6 2 3 2 2 2 4" xfId="5660" xr:uid="{00000000-0005-0000-0000-000075850000}"/>
    <cellStyle name="40% - Accent6 2 3 2 2 2 4 2" xfId="12119" xr:uid="{00000000-0005-0000-0000-000076850000}"/>
    <cellStyle name="40% - Accent6 2 3 2 2 2 4 2 2" xfId="25036" xr:uid="{00000000-0005-0000-0000-000077850000}"/>
    <cellStyle name="40% - Accent6 2 3 2 2 2 4 2 2 2" xfId="50910" xr:uid="{00000000-0005-0000-0000-000078850000}"/>
    <cellStyle name="40% - Accent6 2 3 2 2 2 4 2 3" xfId="37994" xr:uid="{00000000-0005-0000-0000-000079850000}"/>
    <cellStyle name="40% - Accent6 2 3 2 2 2 4 3" xfId="18578" xr:uid="{00000000-0005-0000-0000-00007A850000}"/>
    <cellStyle name="40% - Accent6 2 3 2 2 2 4 3 2" xfId="44452" xr:uid="{00000000-0005-0000-0000-00007B850000}"/>
    <cellStyle name="40% - Accent6 2 3 2 2 2 4 4" xfId="31536" xr:uid="{00000000-0005-0000-0000-00007C850000}"/>
    <cellStyle name="40% - Accent6 2 3 2 2 2 5" xfId="8891" xr:uid="{00000000-0005-0000-0000-00007D850000}"/>
    <cellStyle name="40% - Accent6 2 3 2 2 2 5 2" xfId="21808" xr:uid="{00000000-0005-0000-0000-00007E850000}"/>
    <cellStyle name="40% - Accent6 2 3 2 2 2 5 2 2" xfId="47682" xr:uid="{00000000-0005-0000-0000-00007F850000}"/>
    <cellStyle name="40% - Accent6 2 3 2 2 2 5 3" xfId="34766" xr:uid="{00000000-0005-0000-0000-000080850000}"/>
    <cellStyle name="40% - Accent6 2 3 2 2 2 6" xfId="15350" xr:uid="{00000000-0005-0000-0000-000081850000}"/>
    <cellStyle name="40% - Accent6 2 3 2 2 2 6 2" xfId="41224" xr:uid="{00000000-0005-0000-0000-000082850000}"/>
    <cellStyle name="40% - Accent6 2 3 2 2 2 7" xfId="28276" xr:uid="{00000000-0005-0000-0000-000083850000}"/>
    <cellStyle name="40% - Accent6 2 3 2 2 2 8" xfId="54138" xr:uid="{00000000-0005-0000-0000-000084850000}"/>
    <cellStyle name="40% - Accent6 2 3 2 2 3" xfId="2789" xr:uid="{00000000-0005-0000-0000-000085850000}"/>
    <cellStyle name="40% - Accent6 2 3 2 2 3 2" xfId="4446" xr:uid="{00000000-0005-0000-0000-000086850000}"/>
    <cellStyle name="40% - Accent6 2 3 2 2 3 2 2" xfId="7677" xr:uid="{00000000-0005-0000-0000-000087850000}"/>
    <cellStyle name="40% - Accent6 2 3 2 2 3 2 2 2" xfId="14136" xr:uid="{00000000-0005-0000-0000-000088850000}"/>
    <cellStyle name="40% - Accent6 2 3 2 2 3 2 2 2 2" xfId="27053" xr:uid="{00000000-0005-0000-0000-000089850000}"/>
    <cellStyle name="40% - Accent6 2 3 2 2 3 2 2 2 2 2" xfId="52927" xr:uid="{00000000-0005-0000-0000-00008A850000}"/>
    <cellStyle name="40% - Accent6 2 3 2 2 3 2 2 2 3" xfId="40011" xr:uid="{00000000-0005-0000-0000-00008B850000}"/>
    <cellStyle name="40% - Accent6 2 3 2 2 3 2 2 3" xfId="20595" xr:uid="{00000000-0005-0000-0000-00008C850000}"/>
    <cellStyle name="40% - Accent6 2 3 2 2 3 2 2 3 2" xfId="46469" xr:uid="{00000000-0005-0000-0000-00008D850000}"/>
    <cellStyle name="40% - Accent6 2 3 2 2 3 2 2 4" xfId="33553" xr:uid="{00000000-0005-0000-0000-00008E850000}"/>
    <cellStyle name="40% - Accent6 2 3 2 2 3 2 3" xfId="10908" xr:uid="{00000000-0005-0000-0000-00008F850000}"/>
    <cellStyle name="40% - Accent6 2 3 2 2 3 2 3 2" xfId="23825" xr:uid="{00000000-0005-0000-0000-000090850000}"/>
    <cellStyle name="40% - Accent6 2 3 2 2 3 2 3 2 2" xfId="49699" xr:uid="{00000000-0005-0000-0000-000091850000}"/>
    <cellStyle name="40% - Accent6 2 3 2 2 3 2 3 3" xfId="36783" xr:uid="{00000000-0005-0000-0000-000092850000}"/>
    <cellStyle name="40% - Accent6 2 3 2 2 3 2 4" xfId="17367" xr:uid="{00000000-0005-0000-0000-000093850000}"/>
    <cellStyle name="40% - Accent6 2 3 2 2 3 2 4 2" xfId="43241" xr:uid="{00000000-0005-0000-0000-000094850000}"/>
    <cellStyle name="40% - Accent6 2 3 2 2 3 2 5" xfId="30293" xr:uid="{00000000-0005-0000-0000-000095850000}"/>
    <cellStyle name="40% - Accent6 2 3 2 2 3 3" xfId="6063" xr:uid="{00000000-0005-0000-0000-000096850000}"/>
    <cellStyle name="40% - Accent6 2 3 2 2 3 3 2" xfId="12522" xr:uid="{00000000-0005-0000-0000-000097850000}"/>
    <cellStyle name="40% - Accent6 2 3 2 2 3 3 2 2" xfId="25439" xr:uid="{00000000-0005-0000-0000-000098850000}"/>
    <cellStyle name="40% - Accent6 2 3 2 2 3 3 2 2 2" xfId="51313" xr:uid="{00000000-0005-0000-0000-000099850000}"/>
    <cellStyle name="40% - Accent6 2 3 2 2 3 3 2 3" xfId="38397" xr:uid="{00000000-0005-0000-0000-00009A850000}"/>
    <cellStyle name="40% - Accent6 2 3 2 2 3 3 3" xfId="18981" xr:uid="{00000000-0005-0000-0000-00009B850000}"/>
    <cellStyle name="40% - Accent6 2 3 2 2 3 3 3 2" xfId="44855" xr:uid="{00000000-0005-0000-0000-00009C850000}"/>
    <cellStyle name="40% - Accent6 2 3 2 2 3 3 4" xfId="31939" xr:uid="{00000000-0005-0000-0000-00009D850000}"/>
    <cellStyle name="40% - Accent6 2 3 2 2 3 4" xfId="9294" xr:uid="{00000000-0005-0000-0000-00009E850000}"/>
    <cellStyle name="40% - Accent6 2 3 2 2 3 4 2" xfId="22211" xr:uid="{00000000-0005-0000-0000-00009F850000}"/>
    <cellStyle name="40% - Accent6 2 3 2 2 3 4 2 2" xfId="48085" xr:uid="{00000000-0005-0000-0000-0000A0850000}"/>
    <cellStyle name="40% - Accent6 2 3 2 2 3 4 3" xfId="35169" xr:uid="{00000000-0005-0000-0000-0000A1850000}"/>
    <cellStyle name="40% - Accent6 2 3 2 2 3 5" xfId="15753" xr:uid="{00000000-0005-0000-0000-0000A2850000}"/>
    <cellStyle name="40% - Accent6 2 3 2 2 3 5 2" xfId="41627" xr:uid="{00000000-0005-0000-0000-0000A3850000}"/>
    <cellStyle name="40% - Accent6 2 3 2 2 3 6" xfId="28679" xr:uid="{00000000-0005-0000-0000-0000A4850000}"/>
    <cellStyle name="40% - Accent6 2 3 2 2 4" xfId="3616" xr:uid="{00000000-0005-0000-0000-0000A5850000}"/>
    <cellStyle name="40% - Accent6 2 3 2 2 4 2" xfId="6870" xr:uid="{00000000-0005-0000-0000-0000A6850000}"/>
    <cellStyle name="40% - Accent6 2 3 2 2 4 2 2" xfId="13329" xr:uid="{00000000-0005-0000-0000-0000A7850000}"/>
    <cellStyle name="40% - Accent6 2 3 2 2 4 2 2 2" xfId="26246" xr:uid="{00000000-0005-0000-0000-0000A8850000}"/>
    <cellStyle name="40% - Accent6 2 3 2 2 4 2 2 2 2" xfId="52120" xr:uid="{00000000-0005-0000-0000-0000A9850000}"/>
    <cellStyle name="40% - Accent6 2 3 2 2 4 2 2 3" xfId="39204" xr:uid="{00000000-0005-0000-0000-0000AA850000}"/>
    <cellStyle name="40% - Accent6 2 3 2 2 4 2 3" xfId="19788" xr:uid="{00000000-0005-0000-0000-0000AB850000}"/>
    <cellStyle name="40% - Accent6 2 3 2 2 4 2 3 2" xfId="45662" xr:uid="{00000000-0005-0000-0000-0000AC850000}"/>
    <cellStyle name="40% - Accent6 2 3 2 2 4 2 4" xfId="32746" xr:uid="{00000000-0005-0000-0000-0000AD850000}"/>
    <cellStyle name="40% - Accent6 2 3 2 2 4 3" xfId="10101" xr:uid="{00000000-0005-0000-0000-0000AE850000}"/>
    <cellStyle name="40% - Accent6 2 3 2 2 4 3 2" xfId="23018" xr:uid="{00000000-0005-0000-0000-0000AF850000}"/>
    <cellStyle name="40% - Accent6 2 3 2 2 4 3 2 2" xfId="48892" xr:uid="{00000000-0005-0000-0000-0000B0850000}"/>
    <cellStyle name="40% - Accent6 2 3 2 2 4 3 3" xfId="35976" xr:uid="{00000000-0005-0000-0000-0000B1850000}"/>
    <cellStyle name="40% - Accent6 2 3 2 2 4 4" xfId="16560" xr:uid="{00000000-0005-0000-0000-0000B2850000}"/>
    <cellStyle name="40% - Accent6 2 3 2 2 4 4 2" xfId="42434" xr:uid="{00000000-0005-0000-0000-0000B3850000}"/>
    <cellStyle name="40% - Accent6 2 3 2 2 4 5" xfId="29486" xr:uid="{00000000-0005-0000-0000-0000B4850000}"/>
    <cellStyle name="40% - Accent6 2 3 2 2 5" xfId="5256" xr:uid="{00000000-0005-0000-0000-0000B5850000}"/>
    <cellStyle name="40% - Accent6 2 3 2 2 5 2" xfId="11715" xr:uid="{00000000-0005-0000-0000-0000B6850000}"/>
    <cellStyle name="40% - Accent6 2 3 2 2 5 2 2" xfId="24632" xr:uid="{00000000-0005-0000-0000-0000B7850000}"/>
    <cellStyle name="40% - Accent6 2 3 2 2 5 2 2 2" xfId="50506" xr:uid="{00000000-0005-0000-0000-0000B8850000}"/>
    <cellStyle name="40% - Accent6 2 3 2 2 5 2 3" xfId="37590" xr:uid="{00000000-0005-0000-0000-0000B9850000}"/>
    <cellStyle name="40% - Accent6 2 3 2 2 5 3" xfId="18174" xr:uid="{00000000-0005-0000-0000-0000BA850000}"/>
    <cellStyle name="40% - Accent6 2 3 2 2 5 3 2" xfId="44048" xr:uid="{00000000-0005-0000-0000-0000BB850000}"/>
    <cellStyle name="40% - Accent6 2 3 2 2 5 4" xfId="31132" xr:uid="{00000000-0005-0000-0000-0000BC850000}"/>
    <cellStyle name="40% - Accent6 2 3 2 2 6" xfId="8487" xr:uid="{00000000-0005-0000-0000-0000BD850000}"/>
    <cellStyle name="40% - Accent6 2 3 2 2 6 2" xfId="21404" xr:uid="{00000000-0005-0000-0000-0000BE850000}"/>
    <cellStyle name="40% - Accent6 2 3 2 2 6 2 2" xfId="47278" xr:uid="{00000000-0005-0000-0000-0000BF850000}"/>
    <cellStyle name="40% - Accent6 2 3 2 2 6 3" xfId="34362" xr:uid="{00000000-0005-0000-0000-0000C0850000}"/>
    <cellStyle name="40% - Accent6 2 3 2 2 7" xfId="14946" xr:uid="{00000000-0005-0000-0000-0000C1850000}"/>
    <cellStyle name="40% - Accent6 2 3 2 2 7 2" xfId="40820" xr:uid="{00000000-0005-0000-0000-0000C2850000}"/>
    <cellStyle name="40% - Accent6 2 3 2 2 8" xfId="27871" xr:uid="{00000000-0005-0000-0000-0000C3850000}"/>
    <cellStyle name="40% - Accent6 2 3 2 2 9" xfId="53734" xr:uid="{00000000-0005-0000-0000-0000C4850000}"/>
    <cellStyle name="40% - Accent6 2 3 2 3" xfId="782" xr:uid="{00000000-0005-0000-0000-0000C5850000}"/>
    <cellStyle name="40% - Accent6 2 3 2 3 2" xfId="2998" xr:uid="{00000000-0005-0000-0000-0000C6850000}"/>
    <cellStyle name="40% - Accent6 2 3 2 3 2 2" xfId="4655" xr:uid="{00000000-0005-0000-0000-0000C7850000}"/>
    <cellStyle name="40% - Accent6 2 3 2 3 2 2 2" xfId="7886" xr:uid="{00000000-0005-0000-0000-0000C8850000}"/>
    <cellStyle name="40% - Accent6 2 3 2 3 2 2 2 2" xfId="14345" xr:uid="{00000000-0005-0000-0000-0000C9850000}"/>
    <cellStyle name="40% - Accent6 2 3 2 3 2 2 2 2 2" xfId="27262" xr:uid="{00000000-0005-0000-0000-0000CA850000}"/>
    <cellStyle name="40% - Accent6 2 3 2 3 2 2 2 2 2 2" xfId="53136" xr:uid="{00000000-0005-0000-0000-0000CB850000}"/>
    <cellStyle name="40% - Accent6 2 3 2 3 2 2 2 2 3" xfId="40220" xr:uid="{00000000-0005-0000-0000-0000CC850000}"/>
    <cellStyle name="40% - Accent6 2 3 2 3 2 2 2 3" xfId="20804" xr:uid="{00000000-0005-0000-0000-0000CD850000}"/>
    <cellStyle name="40% - Accent6 2 3 2 3 2 2 2 3 2" xfId="46678" xr:uid="{00000000-0005-0000-0000-0000CE850000}"/>
    <cellStyle name="40% - Accent6 2 3 2 3 2 2 2 4" xfId="33762" xr:uid="{00000000-0005-0000-0000-0000CF850000}"/>
    <cellStyle name="40% - Accent6 2 3 2 3 2 2 3" xfId="11117" xr:uid="{00000000-0005-0000-0000-0000D0850000}"/>
    <cellStyle name="40% - Accent6 2 3 2 3 2 2 3 2" xfId="24034" xr:uid="{00000000-0005-0000-0000-0000D1850000}"/>
    <cellStyle name="40% - Accent6 2 3 2 3 2 2 3 2 2" xfId="49908" xr:uid="{00000000-0005-0000-0000-0000D2850000}"/>
    <cellStyle name="40% - Accent6 2 3 2 3 2 2 3 3" xfId="36992" xr:uid="{00000000-0005-0000-0000-0000D3850000}"/>
    <cellStyle name="40% - Accent6 2 3 2 3 2 2 4" xfId="17576" xr:uid="{00000000-0005-0000-0000-0000D4850000}"/>
    <cellStyle name="40% - Accent6 2 3 2 3 2 2 4 2" xfId="43450" xr:uid="{00000000-0005-0000-0000-0000D5850000}"/>
    <cellStyle name="40% - Accent6 2 3 2 3 2 2 5" xfId="30502" xr:uid="{00000000-0005-0000-0000-0000D6850000}"/>
    <cellStyle name="40% - Accent6 2 3 2 3 2 3" xfId="6272" xr:uid="{00000000-0005-0000-0000-0000D7850000}"/>
    <cellStyle name="40% - Accent6 2 3 2 3 2 3 2" xfId="12731" xr:uid="{00000000-0005-0000-0000-0000D8850000}"/>
    <cellStyle name="40% - Accent6 2 3 2 3 2 3 2 2" xfId="25648" xr:uid="{00000000-0005-0000-0000-0000D9850000}"/>
    <cellStyle name="40% - Accent6 2 3 2 3 2 3 2 2 2" xfId="51522" xr:uid="{00000000-0005-0000-0000-0000DA850000}"/>
    <cellStyle name="40% - Accent6 2 3 2 3 2 3 2 3" xfId="38606" xr:uid="{00000000-0005-0000-0000-0000DB850000}"/>
    <cellStyle name="40% - Accent6 2 3 2 3 2 3 3" xfId="19190" xr:uid="{00000000-0005-0000-0000-0000DC850000}"/>
    <cellStyle name="40% - Accent6 2 3 2 3 2 3 3 2" xfId="45064" xr:uid="{00000000-0005-0000-0000-0000DD850000}"/>
    <cellStyle name="40% - Accent6 2 3 2 3 2 3 4" xfId="32148" xr:uid="{00000000-0005-0000-0000-0000DE850000}"/>
    <cellStyle name="40% - Accent6 2 3 2 3 2 4" xfId="9503" xr:uid="{00000000-0005-0000-0000-0000DF850000}"/>
    <cellStyle name="40% - Accent6 2 3 2 3 2 4 2" xfId="22420" xr:uid="{00000000-0005-0000-0000-0000E0850000}"/>
    <cellStyle name="40% - Accent6 2 3 2 3 2 4 2 2" xfId="48294" xr:uid="{00000000-0005-0000-0000-0000E1850000}"/>
    <cellStyle name="40% - Accent6 2 3 2 3 2 4 3" xfId="35378" xr:uid="{00000000-0005-0000-0000-0000E2850000}"/>
    <cellStyle name="40% - Accent6 2 3 2 3 2 5" xfId="15962" xr:uid="{00000000-0005-0000-0000-0000E3850000}"/>
    <cellStyle name="40% - Accent6 2 3 2 3 2 5 2" xfId="41836" xr:uid="{00000000-0005-0000-0000-0000E4850000}"/>
    <cellStyle name="40% - Accent6 2 3 2 3 2 6" xfId="28888" xr:uid="{00000000-0005-0000-0000-0000E5850000}"/>
    <cellStyle name="40% - Accent6 2 3 2 3 3" xfId="3825" xr:uid="{00000000-0005-0000-0000-0000E6850000}"/>
    <cellStyle name="40% - Accent6 2 3 2 3 3 2" xfId="7079" xr:uid="{00000000-0005-0000-0000-0000E7850000}"/>
    <cellStyle name="40% - Accent6 2 3 2 3 3 2 2" xfId="13538" xr:uid="{00000000-0005-0000-0000-0000E8850000}"/>
    <cellStyle name="40% - Accent6 2 3 2 3 3 2 2 2" xfId="26455" xr:uid="{00000000-0005-0000-0000-0000E9850000}"/>
    <cellStyle name="40% - Accent6 2 3 2 3 3 2 2 2 2" xfId="52329" xr:uid="{00000000-0005-0000-0000-0000EA850000}"/>
    <cellStyle name="40% - Accent6 2 3 2 3 3 2 2 3" xfId="39413" xr:uid="{00000000-0005-0000-0000-0000EB850000}"/>
    <cellStyle name="40% - Accent6 2 3 2 3 3 2 3" xfId="19997" xr:uid="{00000000-0005-0000-0000-0000EC850000}"/>
    <cellStyle name="40% - Accent6 2 3 2 3 3 2 3 2" xfId="45871" xr:uid="{00000000-0005-0000-0000-0000ED850000}"/>
    <cellStyle name="40% - Accent6 2 3 2 3 3 2 4" xfId="32955" xr:uid="{00000000-0005-0000-0000-0000EE850000}"/>
    <cellStyle name="40% - Accent6 2 3 2 3 3 3" xfId="10310" xr:uid="{00000000-0005-0000-0000-0000EF850000}"/>
    <cellStyle name="40% - Accent6 2 3 2 3 3 3 2" xfId="23227" xr:uid="{00000000-0005-0000-0000-0000F0850000}"/>
    <cellStyle name="40% - Accent6 2 3 2 3 3 3 2 2" xfId="49101" xr:uid="{00000000-0005-0000-0000-0000F1850000}"/>
    <cellStyle name="40% - Accent6 2 3 2 3 3 3 3" xfId="36185" xr:uid="{00000000-0005-0000-0000-0000F2850000}"/>
    <cellStyle name="40% - Accent6 2 3 2 3 3 4" xfId="16769" xr:uid="{00000000-0005-0000-0000-0000F3850000}"/>
    <cellStyle name="40% - Accent6 2 3 2 3 3 4 2" xfId="42643" xr:uid="{00000000-0005-0000-0000-0000F4850000}"/>
    <cellStyle name="40% - Accent6 2 3 2 3 3 5" xfId="29695" xr:uid="{00000000-0005-0000-0000-0000F5850000}"/>
    <cellStyle name="40% - Accent6 2 3 2 3 4" xfId="5465" xr:uid="{00000000-0005-0000-0000-0000F6850000}"/>
    <cellStyle name="40% - Accent6 2 3 2 3 4 2" xfId="11924" xr:uid="{00000000-0005-0000-0000-0000F7850000}"/>
    <cellStyle name="40% - Accent6 2 3 2 3 4 2 2" xfId="24841" xr:uid="{00000000-0005-0000-0000-0000F8850000}"/>
    <cellStyle name="40% - Accent6 2 3 2 3 4 2 2 2" xfId="50715" xr:uid="{00000000-0005-0000-0000-0000F9850000}"/>
    <cellStyle name="40% - Accent6 2 3 2 3 4 2 3" xfId="37799" xr:uid="{00000000-0005-0000-0000-0000FA850000}"/>
    <cellStyle name="40% - Accent6 2 3 2 3 4 3" xfId="18383" xr:uid="{00000000-0005-0000-0000-0000FB850000}"/>
    <cellStyle name="40% - Accent6 2 3 2 3 4 3 2" xfId="44257" xr:uid="{00000000-0005-0000-0000-0000FC850000}"/>
    <cellStyle name="40% - Accent6 2 3 2 3 4 4" xfId="31341" xr:uid="{00000000-0005-0000-0000-0000FD850000}"/>
    <cellStyle name="40% - Accent6 2 3 2 3 5" xfId="8696" xr:uid="{00000000-0005-0000-0000-0000FE850000}"/>
    <cellStyle name="40% - Accent6 2 3 2 3 5 2" xfId="21613" xr:uid="{00000000-0005-0000-0000-0000FF850000}"/>
    <cellStyle name="40% - Accent6 2 3 2 3 5 2 2" xfId="47487" xr:uid="{00000000-0005-0000-0000-000000860000}"/>
    <cellStyle name="40% - Accent6 2 3 2 3 5 3" xfId="34571" xr:uid="{00000000-0005-0000-0000-000001860000}"/>
    <cellStyle name="40% - Accent6 2 3 2 3 6" xfId="15155" xr:uid="{00000000-0005-0000-0000-000002860000}"/>
    <cellStyle name="40% - Accent6 2 3 2 3 6 2" xfId="41029" xr:uid="{00000000-0005-0000-0000-000003860000}"/>
    <cellStyle name="40% - Accent6 2 3 2 3 7" xfId="28081" xr:uid="{00000000-0005-0000-0000-000004860000}"/>
    <cellStyle name="40% - Accent6 2 3 2 3 8" xfId="53943" xr:uid="{00000000-0005-0000-0000-000005860000}"/>
    <cellStyle name="40% - Accent6 2 3 2 3 9" xfId="2184" xr:uid="{00000000-0005-0000-0000-000006860000}"/>
    <cellStyle name="40% - Accent6 2 3 2 4" xfId="2595" xr:uid="{00000000-0005-0000-0000-000007860000}"/>
    <cellStyle name="40% - Accent6 2 3 2 4 2" xfId="4252" xr:uid="{00000000-0005-0000-0000-000008860000}"/>
    <cellStyle name="40% - Accent6 2 3 2 4 2 2" xfId="7483" xr:uid="{00000000-0005-0000-0000-000009860000}"/>
    <cellStyle name="40% - Accent6 2 3 2 4 2 2 2" xfId="13942" xr:uid="{00000000-0005-0000-0000-00000A860000}"/>
    <cellStyle name="40% - Accent6 2 3 2 4 2 2 2 2" xfId="26859" xr:uid="{00000000-0005-0000-0000-00000B860000}"/>
    <cellStyle name="40% - Accent6 2 3 2 4 2 2 2 2 2" xfId="52733" xr:uid="{00000000-0005-0000-0000-00000C860000}"/>
    <cellStyle name="40% - Accent6 2 3 2 4 2 2 2 3" xfId="39817" xr:uid="{00000000-0005-0000-0000-00000D860000}"/>
    <cellStyle name="40% - Accent6 2 3 2 4 2 2 3" xfId="20401" xr:uid="{00000000-0005-0000-0000-00000E860000}"/>
    <cellStyle name="40% - Accent6 2 3 2 4 2 2 3 2" xfId="46275" xr:uid="{00000000-0005-0000-0000-00000F860000}"/>
    <cellStyle name="40% - Accent6 2 3 2 4 2 2 4" xfId="33359" xr:uid="{00000000-0005-0000-0000-000010860000}"/>
    <cellStyle name="40% - Accent6 2 3 2 4 2 3" xfId="10714" xr:uid="{00000000-0005-0000-0000-000011860000}"/>
    <cellStyle name="40% - Accent6 2 3 2 4 2 3 2" xfId="23631" xr:uid="{00000000-0005-0000-0000-000012860000}"/>
    <cellStyle name="40% - Accent6 2 3 2 4 2 3 2 2" xfId="49505" xr:uid="{00000000-0005-0000-0000-000013860000}"/>
    <cellStyle name="40% - Accent6 2 3 2 4 2 3 3" xfId="36589" xr:uid="{00000000-0005-0000-0000-000014860000}"/>
    <cellStyle name="40% - Accent6 2 3 2 4 2 4" xfId="17173" xr:uid="{00000000-0005-0000-0000-000015860000}"/>
    <cellStyle name="40% - Accent6 2 3 2 4 2 4 2" xfId="43047" xr:uid="{00000000-0005-0000-0000-000016860000}"/>
    <cellStyle name="40% - Accent6 2 3 2 4 2 5" xfId="30099" xr:uid="{00000000-0005-0000-0000-000017860000}"/>
    <cellStyle name="40% - Accent6 2 3 2 4 3" xfId="5869" xr:uid="{00000000-0005-0000-0000-000018860000}"/>
    <cellStyle name="40% - Accent6 2 3 2 4 3 2" xfId="12328" xr:uid="{00000000-0005-0000-0000-000019860000}"/>
    <cellStyle name="40% - Accent6 2 3 2 4 3 2 2" xfId="25245" xr:uid="{00000000-0005-0000-0000-00001A860000}"/>
    <cellStyle name="40% - Accent6 2 3 2 4 3 2 2 2" xfId="51119" xr:uid="{00000000-0005-0000-0000-00001B860000}"/>
    <cellStyle name="40% - Accent6 2 3 2 4 3 2 3" xfId="38203" xr:uid="{00000000-0005-0000-0000-00001C860000}"/>
    <cellStyle name="40% - Accent6 2 3 2 4 3 3" xfId="18787" xr:uid="{00000000-0005-0000-0000-00001D860000}"/>
    <cellStyle name="40% - Accent6 2 3 2 4 3 3 2" xfId="44661" xr:uid="{00000000-0005-0000-0000-00001E860000}"/>
    <cellStyle name="40% - Accent6 2 3 2 4 3 4" xfId="31745" xr:uid="{00000000-0005-0000-0000-00001F860000}"/>
    <cellStyle name="40% - Accent6 2 3 2 4 4" xfId="9100" xr:uid="{00000000-0005-0000-0000-000020860000}"/>
    <cellStyle name="40% - Accent6 2 3 2 4 4 2" xfId="22017" xr:uid="{00000000-0005-0000-0000-000021860000}"/>
    <cellStyle name="40% - Accent6 2 3 2 4 4 2 2" xfId="47891" xr:uid="{00000000-0005-0000-0000-000022860000}"/>
    <cellStyle name="40% - Accent6 2 3 2 4 4 3" xfId="34975" xr:uid="{00000000-0005-0000-0000-000023860000}"/>
    <cellStyle name="40% - Accent6 2 3 2 4 5" xfId="15559" xr:uid="{00000000-0005-0000-0000-000024860000}"/>
    <cellStyle name="40% - Accent6 2 3 2 4 5 2" xfId="41433" xr:uid="{00000000-0005-0000-0000-000025860000}"/>
    <cellStyle name="40% - Accent6 2 3 2 4 6" xfId="28485" xr:uid="{00000000-0005-0000-0000-000026860000}"/>
    <cellStyle name="40% - Accent6 2 3 2 5" xfId="3422" xr:uid="{00000000-0005-0000-0000-000027860000}"/>
    <cellStyle name="40% - Accent6 2 3 2 5 2" xfId="6676" xr:uid="{00000000-0005-0000-0000-000028860000}"/>
    <cellStyle name="40% - Accent6 2 3 2 5 2 2" xfId="13135" xr:uid="{00000000-0005-0000-0000-000029860000}"/>
    <cellStyle name="40% - Accent6 2 3 2 5 2 2 2" xfId="26052" xr:uid="{00000000-0005-0000-0000-00002A860000}"/>
    <cellStyle name="40% - Accent6 2 3 2 5 2 2 2 2" xfId="51926" xr:uid="{00000000-0005-0000-0000-00002B860000}"/>
    <cellStyle name="40% - Accent6 2 3 2 5 2 2 3" xfId="39010" xr:uid="{00000000-0005-0000-0000-00002C860000}"/>
    <cellStyle name="40% - Accent6 2 3 2 5 2 3" xfId="19594" xr:uid="{00000000-0005-0000-0000-00002D860000}"/>
    <cellStyle name="40% - Accent6 2 3 2 5 2 3 2" xfId="45468" xr:uid="{00000000-0005-0000-0000-00002E860000}"/>
    <cellStyle name="40% - Accent6 2 3 2 5 2 4" xfId="32552" xr:uid="{00000000-0005-0000-0000-00002F860000}"/>
    <cellStyle name="40% - Accent6 2 3 2 5 3" xfId="9907" xr:uid="{00000000-0005-0000-0000-000030860000}"/>
    <cellStyle name="40% - Accent6 2 3 2 5 3 2" xfId="22824" xr:uid="{00000000-0005-0000-0000-000031860000}"/>
    <cellStyle name="40% - Accent6 2 3 2 5 3 2 2" xfId="48698" xr:uid="{00000000-0005-0000-0000-000032860000}"/>
    <cellStyle name="40% - Accent6 2 3 2 5 3 3" xfId="35782" xr:uid="{00000000-0005-0000-0000-000033860000}"/>
    <cellStyle name="40% - Accent6 2 3 2 5 4" xfId="16366" xr:uid="{00000000-0005-0000-0000-000034860000}"/>
    <cellStyle name="40% - Accent6 2 3 2 5 4 2" xfId="42240" xr:uid="{00000000-0005-0000-0000-000035860000}"/>
    <cellStyle name="40% - Accent6 2 3 2 5 5" xfId="29292" xr:uid="{00000000-0005-0000-0000-000036860000}"/>
    <cellStyle name="40% - Accent6 2 3 2 6" xfId="5062" xr:uid="{00000000-0005-0000-0000-000037860000}"/>
    <cellStyle name="40% - Accent6 2 3 2 6 2" xfId="11521" xr:uid="{00000000-0005-0000-0000-000038860000}"/>
    <cellStyle name="40% - Accent6 2 3 2 6 2 2" xfId="24438" xr:uid="{00000000-0005-0000-0000-000039860000}"/>
    <cellStyle name="40% - Accent6 2 3 2 6 2 2 2" xfId="50312" xr:uid="{00000000-0005-0000-0000-00003A860000}"/>
    <cellStyle name="40% - Accent6 2 3 2 6 2 3" xfId="37396" xr:uid="{00000000-0005-0000-0000-00003B860000}"/>
    <cellStyle name="40% - Accent6 2 3 2 6 3" xfId="17980" xr:uid="{00000000-0005-0000-0000-00003C860000}"/>
    <cellStyle name="40% - Accent6 2 3 2 6 3 2" xfId="43854" xr:uid="{00000000-0005-0000-0000-00003D860000}"/>
    <cellStyle name="40% - Accent6 2 3 2 6 4" xfId="30938" xr:uid="{00000000-0005-0000-0000-00003E860000}"/>
    <cellStyle name="40% - Accent6 2 3 2 7" xfId="8292" xr:uid="{00000000-0005-0000-0000-00003F860000}"/>
    <cellStyle name="40% - Accent6 2 3 2 7 2" xfId="21209" xr:uid="{00000000-0005-0000-0000-000040860000}"/>
    <cellStyle name="40% - Accent6 2 3 2 7 2 2" xfId="47083" xr:uid="{00000000-0005-0000-0000-000041860000}"/>
    <cellStyle name="40% - Accent6 2 3 2 7 3" xfId="34167" xr:uid="{00000000-0005-0000-0000-000042860000}"/>
    <cellStyle name="40% - Accent6 2 3 2 8" xfId="14751" xr:uid="{00000000-0005-0000-0000-000043860000}"/>
    <cellStyle name="40% - Accent6 2 3 2 8 2" xfId="40625" xr:uid="{00000000-0005-0000-0000-000044860000}"/>
    <cellStyle name="40% - Accent6 2 3 2 9" xfId="27675" xr:uid="{00000000-0005-0000-0000-000045860000}"/>
    <cellStyle name="40% - Accent6 2 3 3" xfId="784" xr:uid="{00000000-0005-0000-0000-000046860000}"/>
    <cellStyle name="40% - Accent6 2 3 3 10" xfId="1862" xr:uid="{00000000-0005-0000-0000-000047860000}"/>
    <cellStyle name="40% - Accent6 2 3 3 2" xfId="2304" xr:uid="{00000000-0005-0000-0000-000048860000}"/>
    <cellStyle name="40% - Accent6 2 3 3 2 2" xfId="3118" xr:uid="{00000000-0005-0000-0000-000049860000}"/>
    <cellStyle name="40% - Accent6 2 3 3 2 2 2" xfId="4775" xr:uid="{00000000-0005-0000-0000-00004A860000}"/>
    <cellStyle name="40% - Accent6 2 3 3 2 2 2 2" xfId="8006" xr:uid="{00000000-0005-0000-0000-00004B860000}"/>
    <cellStyle name="40% - Accent6 2 3 3 2 2 2 2 2" xfId="14465" xr:uid="{00000000-0005-0000-0000-00004C860000}"/>
    <cellStyle name="40% - Accent6 2 3 3 2 2 2 2 2 2" xfId="27382" xr:uid="{00000000-0005-0000-0000-00004D860000}"/>
    <cellStyle name="40% - Accent6 2 3 3 2 2 2 2 2 2 2" xfId="53256" xr:uid="{00000000-0005-0000-0000-00004E860000}"/>
    <cellStyle name="40% - Accent6 2 3 3 2 2 2 2 2 3" xfId="40340" xr:uid="{00000000-0005-0000-0000-00004F860000}"/>
    <cellStyle name="40% - Accent6 2 3 3 2 2 2 2 3" xfId="20924" xr:uid="{00000000-0005-0000-0000-000050860000}"/>
    <cellStyle name="40% - Accent6 2 3 3 2 2 2 2 3 2" xfId="46798" xr:uid="{00000000-0005-0000-0000-000051860000}"/>
    <cellStyle name="40% - Accent6 2 3 3 2 2 2 2 4" xfId="33882" xr:uid="{00000000-0005-0000-0000-000052860000}"/>
    <cellStyle name="40% - Accent6 2 3 3 2 2 2 3" xfId="11237" xr:uid="{00000000-0005-0000-0000-000053860000}"/>
    <cellStyle name="40% - Accent6 2 3 3 2 2 2 3 2" xfId="24154" xr:uid="{00000000-0005-0000-0000-000054860000}"/>
    <cellStyle name="40% - Accent6 2 3 3 2 2 2 3 2 2" xfId="50028" xr:uid="{00000000-0005-0000-0000-000055860000}"/>
    <cellStyle name="40% - Accent6 2 3 3 2 2 2 3 3" xfId="37112" xr:uid="{00000000-0005-0000-0000-000056860000}"/>
    <cellStyle name="40% - Accent6 2 3 3 2 2 2 4" xfId="17696" xr:uid="{00000000-0005-0000-0000-000057860000}"/>
    <cellStyle name="40% - Accent6 2 3 3 2 2 2 4 2" xfId="43570" xr:uid="{00000000-0005-0000-0000-000058860000}"/>
    <cellStyle name="40% - Accent6 2 3 3 2 2 2 5" xfId="30622" xr:uid="{00000000-0005-0000-0000-000059860000}"/>
    <cellStyle name="40% - Accent6 2 3 3 2 2 3" xfId="6392" xr:uid="{00000000-0005-0000-0000-00005A860000}"/>
    <cellStyle name="40% - Accent6 2 3 3 2 2 3 2" xfId="12851" xr:uid="{00000000-0005-0000-0000-00005B860000}"/>
    <cellStyle name="40% - Accent6 2 3 3 2 2 3 2 2" xfId="25768" xr:uid="{00000000-0005-0000-0000-00005C860000}"/>
    <cellStyle name="40% - Accent6 2 3 3 2 2 3 2 2 2" xfId="51642" xr:uid="{00000000-0005-0000-0000-00005D860000}"/>
    <cellStyle name="40% - Accent6 2 3 3 2 2 3 2 3" xfId="38726" xr:uid="{00000000-0005-0000-0000-00005E860000}"/>
    <cellStyle name="40% - Accent6 2 3 3 2 2 3 3" xfId="19310" xr:uid="{00000000-0005-0000-0000-00005F860000}"/>
    <cellStyle name="40% - Accent6 2 3 3 2 2 3 3 2" xfId="45184" xr:uid="{00000000-0005-0000-0000-000060860000}"/>
    <cellStyle name="40% - Accent6 2 3 3 2 2 3 4" xfId="32268" xr:uid="{00000000-0005-0000-0000-000061860000}"/>
    <cellStyle name="40% - Accent6 2 3 3 2 2 4" xfId="9623" xr:uid="{00000000-0005-0000-0000-000062860000}"/>
    <cellStyle name="40% - Accent6 2 3 3 2 2 4 2" xfId="22540" xr:uid="{00000000-0005-0000-0000-000063860000}"/>
    <cellStyle name="40% - Accent6 2 3 3 2 2 4 2 2" xfId="48414" xr:uid="{00000000-0005-0000-0000-000064860000}"/>
    <cellStyle name="40% - Accent6 2 3 3 2 2 4 3" xfId="35498" xr:uid="{00000000-0005-0000-0000-000065860000}"/>
    <cellStyle name="40% - Accent6 2 3 3 2 2 5" xfId="16082" xr:uid="{00000000-0005-0000-0000-000066860000}"/>
    <cellStyle name="40% - Accent6 2 3 3 2 2 5 2" xfId="41956" xr:uid="{00000000-0005-0000-0000-000067860000}"/>
    <cellStyle name="40% - Accent6 2 3 3 2 2 6" xfId="29008" xr:uid="{00000000-0005-0000-0000-000068860000}"/>
    <cellStyle name="40% - Accent6 2 3 3 2 3" xfId="3945" xr:uid="{00000000-0005-0000-0000-000069860000}"/>
    <cellStyle name="40% - Accent6 2 3 3 2 3 2" xfId="7199" xr:uid="{00000000-0005-0000-0000-00006A860000}"/>
    <cellStyle name="40% - Accent6 2 3 3 2 3 2 2" xfId="13658" xr:uid="{00000000-0005-0000-0000-00006B860000}"/>
    <cellStyle name="40% - Accent6 2 3 3 2 3 2 2 2" xfId="26575" xr:uid="{00000000-0005-0000-0000-00006C860000}"/>
    <cellStyle name="40% - Accent6 2 3 3 2 3 2 2 2 2" xfId="52449" xr:uid="{00000000-0005-0000-0000-00006D860000}"/>
    <cellStyle name="40% - Accent6 2 3 3 2 3 2 2 3" xfId="39533" xr:uid="{00000000-0005-0000-0000-00006E860000}"/>
    <cellStyle name="40% - Accent6 2 3 3 2 3 2 3" xfId="20117" xr:uid="{00000000-0005-0000-0000-00006F860000}"/>
    <cellStyle name="40% - Accent6 2 3 3 2 3 2 3 2" xfId="45991" xr:uid="{00000000-0005-0000-0000-000070860000}"/>
    <cellStyle name="40% - Accent6 2 3 3 2 3 2 4" xfId="33075" xr:uid="{00000000-0005-0000-0000-000071860000}"/>
    <cellStyle name="40% - Accent6 2 3 3 2 3 3" xfId="10430" xr:uid="{00000000-0005-0000-0000-000072860000}"/>
    <cellStyle name="40% - Accent6 2 3 3 2 3 3 2" xfId="23347" xr:uid="{00000000-0005-0000-0000-000073860000}"/>
    <cellStyle name="40% - Accent6 2 3 3 2 3 3 2 2" xfId="49221" xr:uid="{00000000-0005-0000-0000-000074860000}"/>
    <cellStyle name="40% - Accent6 2 3 3 2 3 3 3" xfId="36305" xr:uid="{00000000-0005-0000-0000-000075860000}"/>
    <cellStyle name="40% - Accent6 2 3 3 2 3 4" xfId="16889" xr:uid="{00000000-0005-0000-0000-000076860000}"/>
    <cellStyle name="40% - Accent6 2 3 3 2 3 4 2" xfId="42763" xr:uid="{00000000-0005-0000-0000-000077860000}"/>
    <cellStyle name="40% - Accent6 2 3 3 2 3 5" xfId="29815" xr:uid="{00000000-0005-0000-0000-000078860000}"/>
    <cellStyle name="40% - Accent6 2 3 3 2 4" xfId="5585" xr:uid="{00000000-0005-0000-0000-000079860000}"/>
    <cellStyle name="40% - Accent6 2 3 3 2 4 2" xfId="12044" xr:uid="{00000000-0005-0000-0000-00007A860000}"/>
    <cellStyle name="40% - Accent6 2 3 3 2 4 2 2" xfId="24961" xr:uid="{00000000-0005-0000-0000-00007B860000}"/>
    <cellStyle name="40% - Accent6 2 3 3 2 4 2 2 2" xfId="50835" xr:uid="{00000000-0005-0000-0000-00007C860000}"/>
    <cellStyle name="40% - Accent6 2 3 3 2 4 2 3" xfId="37919" xr:uid="{00000000-0005-0000-0000-00007D860000}"/>
    <cellStyle name="40% - Accent6 2 3 3 2 4 3" xfId="18503" xr:uid="{00000000-0005-0000-0000-00007E860000}"/>
    <cellStyle name="40% - Accent6 2 3 3 2 4 3 2" xfId="44377" xr:uid="{00000000-0005-0000-0000-00007F860000}"/>
    <cellStyle name="40% - Accent6 2 3 3 2 4 4" xfId="31461" xr:uid="{00000000-0005-0000-0000-000080860000}"/>
    <cellStyle name="40% - Accent6 2 3 3 2 5" xfId="8816" xr:uid="{00000000-0005-0000-0000-000081860000}"/>
    <cellStyle name="40% - Accent6 2 3 3 2 5 2" xfId="21733" xr:uid="{00000000-0005-0000-0000-000082860000}"/>
    <cellStyle name="40% - Accent6 2 3 3 2 5 2 2" xfId="47607" xr:uid="{00000000-0005-0000-0000-000083860000}"/>
    <cellStyle name="40% - Accent6 2 3 3 2 5 3" xfId="34691" xr:uid="{00000000-0005-0000-0000-000084860000}"/>
    <cellStyle name="40% - Accent6 2 3 3 2 6" xfId="15275" xr:uid="{00000000-0005-0000-0000-000085860000}"/>
    <cellStyle name="40% - Accent6 2 3 3 2 6 2" xfId="41149" xr:uid="{00000000-0005-0000-0000-000086860000}"/>
    <cellStyle name="40% - Accent6 2 3 3 2 7" xfId="28201" xr:uid="{00000000-0005-0000-0000-000087860000}"/>
    <cellStyle name="40% - Accent6 2 3 3 2 8" xfId="54063" xr:uid="{00000000-0005-0000-0000-000088860000}"/>
    <cellStyle name="40% - Accent6 2 3 3 3" xfId="2715" xr:uid="{00000000-0005-0000-0000-000089860000}"/>
    <cellStyle name="40% - Accent6 2 3 3 3 2" xfId="4372" xr:uid="{00000000-0005-0000-0000-00008A860000}"/>
    <cellStyle name="40% - Accent6 2 3 3 3 2 2" xfId="7603" xr:uid="{00000000-0005-0000-0000-00008B860000}"/>
    <cellStyle name="40% - Accent6 2 3 3 3 2 2 2" xfId="14062" xr:uid="{00000000-0005-0000-0000-00008C860000}"/>
    <cellStyle name="40% - Accent6 2 3 3 3 2 2 2 2" xfId="26979" xr:uid="{00000000-0005-0000-0000-00008D860000}"/>
    <cellStyle name="40% - Accent6 2 3 3 3 2 2 2 2 2" xfId="52853" xr:uid="{00000000-0005-0000-0000-00008E860000}"/>
    <cellStyle name="40% - Accent6 2 3 3 3 2 2 2 3" xfId="39937" xr:uid="{00000000-0005-0000-0000-00008F860000}"/>
    <cellStyle name="40% - Accent6 2 3 3 3 2 2 3" xfId="20521" xr:uid="{00000000-0005-0000-0000-000090860000}"/>
    <cellStyle name="40% - Accent6 2 3 3 3 2 2 3 2" xfId="46395" xr:uid="{00000000-0005-0000-0000-000091860000}"/>
    <cellStyle name="40% - Accent6 2 3 3 3 2 2 4" xfId="33479" xr:uid="{00000000-0005-0000-0000-000092860000}"/>
    <cellStyle name="40% - Accent6 2 3 3 3 2 3" xfId="10834" xr:uid="{00000000-0005-0000-0000-000093860000}"/>
    <cellStyle name="40% - Accent6 2 3 3 3 2 3 2" xfId="23751" xr:uid="{00000000-0005-0000-0000-000094860000}"/>
    <cellStyle name="40% - Accent6 2 3 3 3 2 3 2 2" xfId="49625" xr:uid="{00000000-0005-0000-0000-000095860000}"/>
    <cellStyle name="40% - Accent6 2 3 3 3 2 3 3" xfId="36709" xr:uid="{00000000-0005-0000-0000-000096860000}"/>
    <cellStyle name="40% - Accent6 2 3 3 3 2 4" xfId="17293" xr:uid="{00000000-0005-0000-0000-000097860000}"/>
    <cellStyle name="40% - Accent6 2 3 3 3 2 4 2" xfId="43167" xr:uid="{00000000-0005-0000-0000-000098860000}"/>
    <cellStyle name="40% - Accent6 2 3 3 3 2 5" xfId="30219" xr:uid="{00000000-0005-0000-0000-000099860000}"/>
    <cellStyle name="40% - Accent6 2 3 3 3 3" xfId="5989" xr:uid="{00000000-0005-0000-0000-00009A860000}"/>
    <cellStyle name="40% - Accent6 2 3 3 3 3 2" xfId="12448" xr:uid="{00000000-0005-0000-0000-00009B860000}"/>
    <cellStyle name="40% - Accent6 2 3 3 3 3 2 2" xfId="25365" xr:uid="{00000000-0005-0000-0000-00009C860000}"/>
    <cellStyle name="40% - Accent6 2 3 3 3 3 2 2 2" xfId="51239" xr:uid="{00000000-0005-0000-0000-00009D860000}"/>
    <cellStyle name="40% - Accent6 2 3 3 3 3 2 3" xfId="38323" xr:uid="{00000000-0005-0000-0000-00009E860000}"/>
    <cellStyle name="40% - Accent6 2 3 3 3 3 3" xfId="18907" xr:uid="{00000000-0005-0000-0000-00009F860000}"/>
    <cellStyle name="40% - Accent6 2 3 3 3 3 3 2" xfId="44781" xr:uid="{00000000-0005-0000-0000-0000A0860000}"/>
    <cellStyle name="40% - Accent6 2 3 3 3 3 4" xfId="31865" xr:uid="{00000000-0005-0000-0000-0000A1860000}"/>
    <cellStyle name="40% - Accent6 2 3 3 3 4" xfId="9220" xr:uid="{00000000-0005-0000-0000-0000A2860000}"/>
    <cellStyle name="40% - Accent6 2 3 3 3 4 2" xfId="22137" xr:uid="{00000000-0005-0000-0000-0000A3860000}"/>
    <cellStyle name="40% - Accent6 2 3 3 3 4 2 2" xfId="48011" xr:uid="{00000000-0005-0000-0000-0000A4860000}"/>
    <cellStyle name="40% - Accent6 2 3 3 3 4 3" xfId="35095" xr:uid="{00000000-0005-0000-0000-0000A5860000}"/>
    <cellStyle name="40% - Accent6 2 3 3 3 5" xfId="15679" xr:uid="{00000000-0005-0000-0000-0000A6860000}"/>
    <cellStyle name="40% - Accent6 2 3 3 3 5 2" xfId="41553" xr:uid="{00000000-0005-0000-0000-0000A7860000}"/>
    <cellStyle name="40% - Accent6 2 3 3 3 6" xfId="28605" xr:uid="{00000000-0005-0000-0000-0000A8860000}"/>
    <cellStyle name="40% - Accent6 2 3 3 4" xfId="3542" xr:uid="{00000000-0005-0000-0000-0000A9860000}"/>
    <cellStyle name="40% - Accent6 2 3 3 4 2" xfId="6796" xr:uid="{00000000-0005-0000-0000-0000AA860000}"/>
    <cellStyle name="40% - Accent6 2 3 3 4 2 2" xfId="13255" xr:uid="{00000000-0005-0000-0000-0000AB860000}"/>
    <cellStyle name="40% - Accent6 2 3 3 4 2 2 2" xfId="26172" xr:uid="{00000000-0005-0000-0000-0000AC860000}"/>
    <cellStyle name="40% - Accent6 2 3 3 4 2 2 2 2" xfId="52046" xr:uid="{00000000-0005-0000-0000-0000AD860000}"/>
    <cellStyle name="40% - Accent6 2 3 3 4 2 2 3" xfId="39130" xr:uid="{00000000-0005-0000-0000-0000AE860000}"/>
    <cellStyle name="40% - Accent6 2 3 3 4 2 3" xfId="19714" xr:uid="{00000000-0005-0000-0000-0000AF860000}"/>
    <cellStyle name="40% - Accent6 2 3 3 4 2 3 2" xfId="45588" xr:uid="{00000000-0005-0000-0000-0000B0860000}"/>
    <cellStyle name="40% - Accent6 2 3 3 4 2 4" xfId="32672" xr:uid="{00000000-0005-0000-0000-0000B1860000}"/>
    <cellStyle name="40% - Accent6 2 3 3 4 3" xfId="10027" xr:uid="{00000000-0005-0000-0000-0000B2860000}"/>
    <cellStyle name="40% - Accent6 2 3 3 4 3 2" xfId="22944" xr:uid="{00000000-0005-0000-0000-0000B3860000}"/>
    <cellStyle name="40% - Accent6 2 3 3 4 3 2 2" xfId="48818" xr:uid="{00000000-0005-0000-0000-0000B4860000}"/>
    <cellStyle name="40% - Accent6 2 3 3 4 3 3" xfId="35902" xr:uid="{00000000-0005-0000-0000-0000B5860000}"/>
    <cellStyle name="40% - Accent6 2 3 3 4 4" xfId="16486" xr:uid="{00000000-0005-0000-0000-0000B6860000}"/>
    <cellStyle name="40% - Accent6 2 3 3 4 4 2" xfId="42360" xr:uid="{00000000-0005-0000-0000-0000B7860000}"/>
    <cellStyle name="40% - Accent6 2 3 3 4 5" xfId="29412" xr:uid="{00000000-0005-0000-0000-0000B8860000}"/>
    <cellStyle name="40% - Accent6 2 3 3 5" xfId="5182" xr:uid="{00000000-0005-0000-0000-0000B9860000}"/>
    <cellStyle name="40% - Accent6 2 3 3 5 2" xfId="11641" xr:uid="{00000000-0005-0000-0000-0000BA860000}"/>
    <cellStyle name="40% - Accent6 2 3 3 5 2 2" xfId="24558" xr:uid="{00000000-0005-0000-0000-0000BB860000}"/>
    <cellStyle name="40% - Accent6 2 3 3 5 2 2 2" xfId="50432" xr:uid="{00000000-0005-0000-0000-0000BC860000}"/>
    <cellStyle name="40% - Accent6 2 3 3 5 2 3" xfId="37516" xr:uid="{00000000-0005-0000-0000-0000BD860000}"/>
    <cellStyle name="40% - Accent6 2 3 3 5 3" xfId="18100" xr:uid="{00000000-0005-0000-0000-0000BE860000}"/>
    <cellStyle name="40% - Accent6 2 3 3 5 3 2" xfId="43974" xr:uid="{00000000-0005-0000-0000-0000BF860000}"/>
    <cellStyle name="40% - Accent6 2 3 3 5 4" xfId="31058" xr:uid="{00000000-0005-0000-0000-0000C0860000}"/>
    <cellStyle name="40% - Accent6 2 3 3 6" xfId="8412" xr:uid="{00000000-0005-0000-0000-0000C1860000}"/>
    <cellStyle name="40% - Accent6 2 3 3 6 2" xfId="21329" xr:uid="{00000000-0005-0000-0000-0000C2860000}"/>
    <cellStyle name="40% - Accent6 2 3 3 6 2 2" xfId="47203" xr:uid="{00000000-0005-0000-0000-0000C3860000}"/>
    <cellStyle name="40% - Accent6 2 3 3 6 3" xfId="34287" xr:uid="{00000000-0005-0000-0000-0000C4860000}"/>
    <cellStyle name="40% - Accent6 2 3 3 7" xfId="14871" xr:uid="{00000000-0005-0000-0000-0000C5860000}"/>
    <cellStyle name="40% - Accent6 2 3 3 7 2" xfId="40745" xr:uid="{00000000-0005-0000-0000-0000C6860000}"/>
    <cellStyle name="40% - Accent6 2 3 3 8" xfId="27797" xr:uid="{00000000-0005-0000-0000-0000C7860000}"/>
    <cellStyle name="40% - Accent6 2 3 3 9" xfId="53660" xr:uid="{00000000-0005-0000-0000-0000C8860000}"/>
    <cellStyle name="40% - Accent6 2 3 4" xfId="781" xr:uid="{00000000-0005-0000-0000-0000C9860000}"/>
    <cellStyle name="40% - Accent6 2 3 4 2" xfId="2922" xr:uid="{00000000-0005-0000-0000-0000CA860000}"/>
    <cellStyle name="40% - Accent6 2 3 4 2 2" xfId="4579" xr:uid="{00000000-0005-0000-0000-0000CB860000}"/>
    <cellStyle name="40% - Accent6 2 3 4 2 2 2" xfId="7810" xr:uid="{00000000-0005-0000-0000-0000CC860000}"/>
    <cellStyle name="40% - Accent6 2 3 4 2 2 2 2" xfId="14269" xr:uid="{00000000-0005-0000-0000-0000CD860000}"/>
    <cellStyle name="40% - Accent6 2 3 4 2 2 2 2 2" xfId="27186" xr:uid="{00000000-0005-0000-0000-0000CE860000}"/>
    <cellStyle name="40% - Accent6 2 3 4 2 2 2 2 2 2" xfId="53060" xr:uid="{00000000-0005-0000-0000-0000CF860000}"/>
    <cellStyle name="40% - Accent6 2 3 4 2 2 2 2 3" xfId="40144" xr:uid="{00000000-0005-0000-0000-0000D0860000}"/>
    <cellStyle name="40% - Accent6 2 3 4 2 2 2 3" xfId="20728" xr:uid="{00000000-0005-0000-0000-0000D1860000}"/>
    <cellStyle name="40% - Accent6 2 3 4 2 2 2 3 2" xfId="46602" xr:uid="{00000000-0005-0000-0000-0000D2860000}"/>
    <cellStyle name="40% - Accent6 2 3 4 2 2 2 4" xfId="33686" xr:uid="{00000000-0005-0000-0000-0000D3860000}"/>
    <cellStyle name="40% - Accent6 2 3 4 2 2 3" xfId="11041" xr:uid="{00000000-0005-0000-0000-0000D4860000}"/>
    <cellStyle name="40% - Accent6 2 3 4 2 2 3 2" xfId="23958" xr:uid="{00000000-0005-0000-0000-0000D5860000}"/>
    <cellStyle name="40% - Accent6 2 3 4 2 2 3 2 2" xfId="49832" xr:uid="{00000000-0005-0000-0000-0000D6860000}"/>
    <cellStyle name="40% - Accent6 2 3 4 2 2 3 3" xfId="36916" xr:uid="{00000000-0005-0000-0000-0000D7860000}"/>
    <cellStyle name="40% - Accent6 2 3 4 2 2 4" xfId="17500" xr:uid="{00000000-0005-0000-0000-0000D8860000}"/>
    <cellStyle name="40% - Accent6 2 3 4 2 2 4 2" xfId="43374" xr:uid="{00000000-0005-0000-0000-0000D9860000}"/>
    <cellStyle name="40% - Accent6 2 3 4 2 2 5" xfId="30426" xr:uid="{00000000-0005-0000-0000-0000DA860000}"/>
    <cellStyle name="40% - Accent6 2 3 4 2 3" xfId="6196" xr:uid="{00000000-0005-0000-0000-0000DB860000}"/>
    <cellStyle name="40% - Accent6 2 3 4 2 3 2" xfId="12655" xr:uid="{00000000-0005-0000-0000-0000DC860000}"/>
    <cellStyle name="40% - Accent6 2 3 4 2 3 2 2" xfId="25572" xr:uid="{00000000-0005-0000-0000-0000DD860000}"/>
    <cellStyle name="40% - Accent6 2 3 4 2 3 2 2 2" xfId="51446" xr:uid="{00000000-0005-0000-0000-0000DE860000}"/>
    <cellStyle name="40% - Accent6 2 3 4 2 3 2 3" xfId="38530" xr:uid="{00000000-0005-0000-0000-0000DF860000}"/>
    <cellStyle name="40% - Accent6 2 3 4 2 3 3" xfId="19114" xr:uid="{00000000-0005-0000-0000-0000E0860000}"/>
    <cellStyle name="40% - Accent6 2 3 4 2 3 3 2" xfId="44988" xr:uid="{00000000-0005-0000-0000-0000E1860000}"/>
    <cellStyle name="40% - Accent6 2 3 4 2 3 4" xfId="32072" xr:uid="{00000000-0005-0000-0000-0000E2860000}"/>
    <cellStyle name="40% - Accent6 2 3 4 2 4" xfId="9427" xr:uid="{00000000-0005-0000-0000-0000E3860000}"/>
    <cellStyle name="40% - Accent6 2 3 4 2 4 2" xfId="22344" xr:uid="{00000000-0005-0000-0000-0000E4860000}"/>
    <cellStyle name="40% - Accent6 2 3 4 2 4 2 2" xfId="48218" xr:uid="{00000000-0005-0000-0000-0000E5860000}"/>
    <cellStyle name="40% - Accent6 2 3 4 2 4 3" xfId="35302" xr:uid="{00000000-0005-0000-0000-0000E6860000}"/>
    <cellStyle name="40% - Accent6 2 3 4 2 5" xfId="15886" xr:uid="{00000000-0005-0000-0000-0000E7860000}"/>
    <cellStyle name="40% - Accent6 2 3 4 2 5 2" xfId="41760" xr:uid="{00000000-0005-0000-0000-0000E8860000}"/>
    <cellStyle name="40% - Accent6 2 3 4 2 6" xfId="28812" xr:uid="{00000000-0005-0000-0000-0000E9860000}"/>
    <cellStyle name="40% - Accent6 2 3 4 3" xfId="3749" xr:uid="{00000000-0005-0000-0000-0000EA860000}"/>
    <cellStyle name="40% - Accent6 2 3 4 3 2" xfId="7003" xr:uid="{00000000-0005-0000-0000-0000EB860000}"/>
    <cellStyle name="40% - Accent6 2 3 4 3 2 2" xfId="13462" xr:uid="{00000000-0005-0000-0000-0000EC860000}"/>
    <cellStyle name="40% - Accent6 2 3 4 3 2 2 2" xfId="26379" xr:uid="{00000000-0005-0000-0000-0000ED860000}"/>
    <cellStyle name="40% - Accent6 2 3 4 3 2 2 2 2" xfId="52253" xr:uid="{00000000-0005-0000-0000-0000EE860000}"/>
    <cellStyle name="40% - Accent6 2 3 4 3 2 2 3" xfId="39337" xr:uid="{00000000-0005-0000-0000-0000EF860000}"/>
    <cellStyle name="40% - Accent6 2 3 4 3 2 3" xfId="19921" xr:uid="{00000000-0005-0000-0000-0000F0860000}"/>
    <cellStyle name="40% - Accent6 2 3 4 3 2 3 2" xfId="45795" xr:uid="{00000000-0005-0000-0000-0000F1860000}"/>
    <cellStyle name="40% - Accent6 2 3 4 3 2 4" xfId="32879" xr:uid="{00000000-0005-0000-0000-0000F2860000}"/>
    <cellStyle name="40% - Accent6 2 3 4 3 3" xfId="10234" xr:uid="{00000000-0005-0000-0000-0000F3860000}"/>
    <cellStyle name="40% - Accent6 2 3 4 3 3 2" xfId="23151" xr:uid="{00000000-0005-0000-0000-0000F4860000}"/>
    <cellStyle name="40% - Accent6 2 3 4 3 3 2 2" xfId="49025" xr:uid="{00000000-0005-0000-0000-0000F5860000}"/>
    <cellStyle name="40% - Accent6 2 3 4 3 3 3" xfId="36109" xr:uid="{00000000-0005-0000-0000-0000F6860000}"/>
    <cellStyle name="40% - Accent6 2 3 4 3 4" xfId="16693" xr:uid="{00000000-0005-0000-0000-0000F7860000}"/>
    <cellStyle name="40% - Accent6 2 3 4 3 4 2" xfId="42567" xr:uid="{00000000-0005-0000-0000-0000F8860000}"/>
    <cellStyle name="40% - Accent6 2 3 4 3 5" xfId="29619" xr:uid="{00000000-0005-0000-0000-0000F9860000}"/>
    <cellStyle name="40% - Accent6 2 3 4 4" xfId="5389" xr:uid="{00000000-0005-0000-0000-0000FA860000}"/>
    <cellStyle name="40% - Accent6 2 3 4 4 2" xfId="11848" xr:uid="{00000000-0005-0000-0000-0000FB860000}"/>
    <cellStyle name="40% - Accent6 2 3 4 4 2 2" xfId="24765" xr:uid="{00000000-0005-0000-0000-0000FC860000}"/>
    <cellStyle name="40% - Accent6 2 3 4 4 2 2 2" xfId="50639" xr:uid="{00000000-0005-0000-0000-0000FD860000}"/>
    <cellStyle name="40% - Accent6 2 3 4 4 2 3" xfId="37723" xr:uid="{00000000-0005-0000-0000-0000FE860000}"/>
    <cellStyle name="40% - Accent6 2 3 4 4 3" xfId="18307" xr:uid="{00000000-0005-0000-0000-0000FF860000}"/>
    <cellStyle name="40% - Accent6 2 3 4 4 3 2" xfId="44181" xr:uid="{00000000-0005-0000-0000-000000870000}"/>
    <cellStyle name="40% - Accent6 2 3 4 4 4" xfId="31265" xr:uid="{00000000-0005-0000-0000-000001870000}"/>
    <cellStyle name="40% - Accent6 2 3 4 5" xfId="8620" xr:uid="{00000000-0005-0000-0000-000002870000}"/>
    <cellStyle name="40% - Accent6 2 3 4 5 2" xfId="21537" xr:uid="{00000000-0005-0000-0000-000003870000}"/>
    <cellStyle name="40% - Accent6 2 3 4 5 2 2" xfId="47411" xr:uid="{00000000-0005-0000-0000-000004870000}"/>
    <cellStyle name="40% - Accent6 2 3 4 5 3" xfId="34495" xr:uid="{00000000-0005-0000-0000-000005870000}"/>
    <cellStyle name="40% - Accent6 2 3 4 6" xfId="15079" xr:uid="{00000000-0005-0000-0000-000006870000}"/>
    <cellStyle name="40% - Accent6 2 3 4 6 2" xfId="40953" xr:uid="{00000000-0005-0000-0000-000007870000}"/>
    <cellStyle name="40% - Accent6 2 3 4 7" xfId="28005" xr:uid="{00000000-0005-0000-0000-000008870000}"/>
    <cellStyle name="40% - Accent6 2 3 4 8" xfId="53867" xr:uid="{00000000-0005-0000-0000-000009870000}"/>
    <cellStyle name="40% - Accent6 2 3 4 9" xfId="2106" xr:uid="{00000000-0005-0000-0000-00000A870000}"/>
    <cellStyle name="40% - Accent6 2 3 5" xfId="2520" xr:uid="{00000000-0005-0000-0000-00000B870000}"/>
    <cellStyle name="40% - Accent6 2 3 5 2" xfId="4177" xr:uid="{00000000-0005-0000-0000-00000C870000}"/>
    <cellStyle name="40% - Accent6 2 3 5 2 2" xfId="7408" xr:uid="{00000000-0005-0000-0000-00000D870000}"/>
    <cellStyle name="40% - Accent6 2 3 5 2 2 2" xfId="13867" xr:uid="{00000000-0005-0000-0000-00000E870000}"/>
    <cellStyle name="40% - Accent6 2 3 5 2 2 2 2" xfId="26784" xr:uid="{00000000-0005-0000-0000-00000F870000}"/>
    <cellStyle name="40% - Accent6 2 3 5 2 2 2 2 2" xfId="52658" xr:uid="{00000000-0005-0000-0000-000010870000}"/>
    <cellStyle name="40% - Accent6 2 3 5 2 2 2 3" xfId="39742" xr:uid="{00000000-0005-0000-0000-000011870000}"/>
    <cellStyle name="40% - Accent6 2 3 5 2 2 3" xfId="20326" xr:uid="{00000000-0005-0000-0000-000012870000}"/>
    <cellStyle name="40% - Accent6 2 3 5 2 2 3 2" xfId="46200" xr:uid="{00000000-0005-0000-0000-000013870000}"/>
    <cellStyle name="40% - Accent6 2 3 5 2 2 4" xfId="33284" xr:uid="{00000000-0005-0000-0000-000014870000}"/>
    <cellStyle name="40% - Accent6 2 3 5 2 3" xfId="10639" xr:uid="{00000000-0005-0000-0000-000015870000}"/>
    <cellStyle name="40% - Accent6 2 3 5 2 3 2" xfId="23556" xr:uid="{00000000-0005-0000-0000-000016870000}"/>
    <cellStyle name="40% - Accent6 2 3 5 2 3 2 2" xfId="49430" xr:uid="{00000000-0005-0000-0000-000017870000}"/>
    <cellStyle name="40% - Accent6 2 3 5 2 3 3" xfId="36514" xr:uid="{00000000-0005-0000-0000-000018870000}"/>
    <cellStyle name="40% - Accent6 2 3 5 2 4" xfId="17098" xr:uid="{00000000-0005-0000-0000-000019870000}"/>
    <cellStyle name="40% - Accent6 2 3 5 2 4 2" xfId="42972" xr:uid="{00000000-0005-0000-0000-00001A870000}"/>
    <cellStyle name="40% - Accent6 2 3 5 2 5" xfId="30024" xr:uid="{00000000-0005-0000-0000-00001B870000}"/>
    <cellStyle name="40% - Accent6 2 3 5 3" xfId="5794" xr:uid="{00000000-0005-0000-0000-00001C870000}"/>
    <cellStyle name="40% - Accent6 2 3 5 3 2" xfId="12253" xr:uid="{00000000-0005-0000-0000-00001D870000}"/>
    <cellStyle name="40% - Accent6 2 3 5 3 2 2" xfId="25170" xr:uid="{00000000-0005-0000-0000-00001E870000}"/>
    <cellStyle name="40% - Accent6 2 3 5 3 2 2 2" xfId="51044" xr:uid="{00000000-0005-0000-0000-00001F870000}"/>
    <cellStyle name="40% - Accent6 2 3 5 3 2 3" xfId="38128" xr:uid="{00000000-0005-0000-0000-000020870000}"/>
    <cellStyle name="40% - Accent6 2 3 5 3 3" xfId="18712" xr:uid="{00000000-0005-0000-0000-000021870000}"/>
    <cellStyle name="40% - Accent6 2 3 5 3 3 2" xfId="44586" xr:uid="{00000000-0005-0000-0000-000022870000}"/>
    <cellStyle name="40% - Accent6 2 3 5 3 4" xfId="31670" xr:uid="{00000000-0005-0000-0000-000023870000}"/>
    <cellStyle name="40% - Accent6 2 3 5 4" xfId="9025" xr:uid="{00000000-0005-0000-0000-000024870000}"/>
    <cellStyle name="40% - Accent6 2 3 5 4 2" xfId="21942" xr:uid="{00000000-0005-0000-0000-000025870000}"/>
    <cellStyle name="40% - Accent6 2 3 5 4 2 2" xfId="47816" xr:uid="{00000000-0005-0000-0000-000026870000}"/>
    <cellStyle name="40% - Accent6 2 3 5 4 3" xfId="34900" xr:uid="{00000000-0005-0000-0000-000027870000}"/>
    <cellStyle name="40% - Accent6 2 3 5 5" xfId="15484" xr:uid="{00000000-0005-0000-0000-000028870000}"/>
    <cellStyle name="40% - Accent6 2 3 5 5 2" xfId="41358" xr:uid="{00000000-0005-0000-0000-000029870000}"/>
    <cellStyle name="40% - Accent6 2 3 5 6" xfId="28410" xr:uid="{00000000-0005-0000-0000-00002A870000}"/>
    <cellStyle name="40% - Accent6 2 3 6" xfId="3340" xr:uid="{00000000-0005-0000-0000-00002B870000}"/>
    <cellStyle name="40% - Accent6 2 3 6 2" xfId="6601" xr:uid="{00000000-0005-0000-0000-00002C870000}"/>
    <cellStyle name="40% - Accent6 2 3 6 2 2" xfId="13060" xr:uid="{00000000-0005-0000-0000-00002D870000}"/>
    <cellStyle name="40% - Accent6 2 3 6 2 2 2" xfId="25977" xr:uid="{00000000-0005-0000-0000-00002E870000}"/>
    <cellStyle name="40% - Accent6 2 3 6 2 2 2 2" xfId="51851" xr:uid="{00000000-0005-0000-0000-00002F870000}"/>
    <cellStyle name="40% - Accent6 2 3 6 2 2 3" xfId="38935" xr:uid="{00000000-0005-0000-0000-000030870000}"/>
    <cellStyle name="40% - Accent6 2 3 6 2 3" xfId="19519" xr:uid="{00000000-0005-0000-0000-000031870000}"/>
    <cellStyle name="40% - Accent6 2 3 6 2 3 2" xfId="45393" xr:uid="{00000000-0005-0000-0000-000032870000}"/>
    <cellStyle name="40% - Accent6 2 3 6 2 4" xfId="32477" xr:uid="{00000000-0005-0000-0000-000033870000}"/>
    <cellStyle name="40% - Accent6 2 3 6 3" xfId="9832" xr:uid="{00000000-0005-0000-0000-000034870000}"/>
    <cellStyle name="40% - Accent6 2 3 6 3 2" xfId="22749" xr:uid="{00000000-0005-0000-0000-000035870000}"/>
    <cellStyle name="40% - Accent6 2 3 6 3 2 2" xfId="48623" xr:uid="{00000000-0005-0000-0000-000036870000}"/>
    <cellStyle name="40% - Accent6 2 3 6 3 3" xfId="35707" xr:uid="{00000000-0005-0000-0000-000037870000}"/>
    <cellStyle name="40% - Accent6 2 3 6 4" xfId="16291" xr:uid="{00000000-0005-0000-0000-000038870000}"/>
    <cellStyle name="40% - Accent6 2 3 6 4 2" xfId="42165" xr:uid="{00000000-0005-0000-0000-000039870000}"/>
    <cellStyle name="40% - Accent6 2 3 6 5" xfId="29217" xr:uid="{00000000-0005-0000-0000-00003A870000}"/>
    <cellStyle name="40% - Accent6 2 3 7" xfId="4987" xr:uid="{00000000-0005-0000-0000-00003B870000}"/>
    <cellStyle name="40% - Accent6 2 3 7 2" xfId="11446" xr:uid="{00000000-0005-0000-0000-00003C870000}"/>
    <cellStyle name="40% - Accent6 2 3 7 2 2" xfId="24363" xr:uid="{00000000-0005-0000-0000-00003D870000}"/>
    <cellStyle name="40% - Accent6 2 3 7 2 2 2" xfId="50237" xr:uid="{00000000-0005-0000-0000-00003E870000}"/>
    <cellStyle name="40% - Accent6 2 3 7 2 3" xfId="37321" xr:uid="{00000000-0005-0000-0000-00003F870000}"/>
    <cellStyle name="40% - Accent6 2 3 7 3" xfId="17905" xr:uid="{00000000-0005-0000-0000-000040870000}"/>
    <cellStyle name="40% - Accent6 2 3 7 3 2" xfId="43779" xr:uid="{00000000-0005-0000-0000-000041870000}"/>
    <cellStyle name="40% - Accent6 2 3 7 4" xfId="30863" xr:uid="{00000000-0005-0000-0000-000042870000}"/>
    <cellStyle name="40% - Accent6 2 3 8" xfId="8218" xr:uid="{00000000-0005-0000-0000-000043870000}"/>
    <cellStyle name="40% - Accent6 2 3 8 2" xfId="21135" xr:uid="{00000000-0005-0000-0000-000044870000}"/>
    <cellStyle name="40% - Accent6 2 3 8 2 2" xfId="47009" xr:uid="{00000000-0005-0000-0000-000045870000}"/>
    <cellStyle name="40% - Accent6 2 3 8 3" xfId="34093" xr:uid="{00000000-0005-0000-0000-000046870000}"/>
    <cellStyle name="40% - Accent6 2 3 9" xfId="14677" xr:uid="{00000000-0005-0000-0000-000047870000}"/>
    <cellStyle name="40% - Accent6 2 3 9 2" xfId="40551" xr:uid="{00000000-0005-0000-0000-000048870000}"/>
    <cellStyle name="40% - Accent6 2 4" xfId="1540" xr:uid="{00000000-0005-0000-0000-000049870000}"/>
    <cellStyle name="40% - Accent6 2 4 10" xfId="53488" xr:uid="{00000000-0005-0000-0000-00004A870000}"/>
    <cellStyle name="40% - Accent6 2 4 2" xfId="1897" xr:uid="{00000000-0005-0000-0000-00004B870000}"/>
    <cellStyle name="40% - Accent6 2 4 2 2" xfId="2328" xr:uid="{00000000-0005-0000-0000-00004C870000}"/>
    <cellStyle name="40% - Accent6 2 4 2 2 2" xfId="3141" xr:uid="{00000000-0005-0000-0000-00004D870000}"/>
    <cellStyle name="40% - Accent6 2 4 2 2 2 2" xfId="4798" xr:uid="{00000000-0005-0000-0000-00004E870000}"/>
    <cellStyle name="40% - Accent6 2 4 2 2 2 2 2" xfId="8029" xr:uid="{00000000-0005-0000-0000-00004F870000}"/>
    <cellStyle name="40% - Accent6 2 4 2 2 2 2 2 2" xfId="14488" xr:uid="{00000000-0005-0000-0000-000050870000}"/>
    <cellStyle name="40% - Accent6 2 4 2 2 2 2 2 2 2" xfId="27405" xr:uid="{00000000-0005-0000-0000-000051870000}"/>
    <cellStyle name="40% - Accent6 2 4 2 2 2 2 2 2 2 2" xfId="53279" xr:uid="{00000000-0005-0000-0000-000052870000}"/>
    <cellStyle name="40% - Accent6 2 4 2 2 2 2 2 2 3" xfId="40363" xr:uid="{00000000-0005-0000-0000-000053870000}"/>
    <cellStyle name="40% - Accent6 2 4 2 2 2 2 2 3" xfId="20947" xr:uid="{00000000-0005-0000-0000-000054870000}"/>
    <cellStyle name="40% - Accent6 2 4 2 2 2 2 2 3 2" xfId="46821" xr:uid="{00000000-0005-0000-0000-000055870000}"/>
    <cellStyle name="40% - Accent6 2 4 2 2 2 2 2 4" xfId="33905" xr:uid="{00000000-0005-0000-0000-000056870000}"/>
    <cellStyle name="40% - Accent6 2 4 2 2 2 2 3" xfId="11260" xr:uid="{00000000-0005-0000-0000-000057870000}"/>
    <cellStyle name="40% - Accent6 2 4 2 2 2 2 3 2" xfId="24177" xr:uid="{00000000-0005-0000-0000-000058870000}"/>
    <cellStyle name="40% - Accent6 2 4 2 2 2 2 3 2 2" xfId="50051" xr:uid="{00000000-0005-0000-0000-000059870000}"/>
    <cellStyle name="40% - Accent6 2 4 2 2 2 2 3 3" xfId="37135" xr:uid="{00000000-0005-0000-0000-00005A870000}"/>
    <cellStyle name="40% - Accent6 2 4 2 2 2 2 4" xfId="17719" xr:uid="{00000000-0005-0000-0000-00005B870000}"/>
    <cellStyle name="40% - Accent6 2 4 2 2 2 2 4 2" xfId="43593" xr:uid="{00000000-0005-0000-0000-00005C870000}"/>
    <cellStyle name="40% - Accent6 2 4 2 2 2 2 5" xfId="30645" xr:uid="{00000000-0005-0000-0000-00005D870000}"/>
    <cellStyle name="40% - Accent6 2 4 2 2 2 3" xfId="6415" xr:uid="{00000000-0005-0000-0000-00005E870000}"/>
    <cellStyle name="40% - Accent6 2 4 2 2 2 3 2" xfId="12874" xr:uid="{00000000-0005-0000-0000-00005F870000}"/>
    <cellStyle name="40% - Accent6 2 4 2 2 2 3 2 2" xfId="25791" xr:uid="{00000000-0005-0000-0000-000060870000}"/>
    <cellStyle name="40% - Accent6 2 4 2 2 2 3 2 2 2" xfId="51665" xr:uid="{00000000-0005-0000-0000-000061870000}"/>
    <cellStyle name="40% - Accent6 2 4 2 2 2 3 2 3" xfId="38749" xr:uid="{00000000-0005-0000-0000-000062870000}"/>
    <cellStyle name="40% - Accent6 2 4 2 2 2 3 3" xfId="19333" xr:uid="{00000000-0005-0000-0000-000063870000}"/>
    <cellStyle name="40% - Accent6 2 4 2 2 2 3 3 2" xfId="45207" xr:uid="{00000000-0005-0000-0000-000064870000}"/>
    <cellStyle name="40% - Accent6 2 4 2 2 2 3 4" xfId="32291" xr:uid="{00000000-0005-0000-0000-000065870000}"/>
    <cellStyle name="40% - Accent6 2 4 2 2 2 4" xfId="9646" xr:uid="{00000000-0005-0000-0000-000066870000}"/>
    <cellStyle name="40% - Accent6 2 4 2 2 2 4 2" xfId="22563" xr:uid="{00000000-0005-0000-0000-000067870000}"/>
    <cellStyle name="40% - Accent6 2 4 2 2 2 4 2 2" xfId="48437" xr:uid="{00000000-0005-0000-0000-000068870000}"/>
    <cellStyle name="40% - Accent6 2 4 2 2 2 4 3" xfId="35521" xr:uid="{00000000-0005-0000-0000-000069870000}"/>
    <cellStyle name="40% - Accent6 2 4 2 2 2 5" xfId="16105" xr:uid="{00000000-0005-0000-0000-00006A870000}"/>
    <cellStyle name="40% - Accent6 2 4 2 2 2 5 2" xfId="41979" xr:uid="{00000000-0005-0000-0000-00006B870000}"/>
    <cellStyle name="40% - Accent6 2 4 2 2 2 6" xfId="29031" xr:uid="{00000000-0005-0000-0000-00006C870000}"/>
    <cellStyle name="40% - Accent6 2 4 2 2 3" xfId="3968" xr:uid="{00000000-0005-0000-0000-00006D870000}"/>
    <cellStyle name="40% - Accent6 2 4 2 2 3 2" xfId="7222" xr:uid="{00000000-0005-0000-0000-00006E870000}"/>
    <cellStyle name="40% - Accent6 2 4 2 2 3 2 2" xfId="13681" xr:uid="{00000000-0005-0000-0000-00006F870000}"/>
    <cellStyle name="40% - Accent6 2 4 2 2 3 2 2 2" xfId="26598" xr:uid="{00000000-0005-0000-0000-000070870000}"/>
    <cellStyle name="40% - Accent6 2 4 2 2 3 2 2 2 2" xfId="52472" xr:uid="{00000000-0005-0000-0000-000071870000}"/>
    <cellStyle name="40% - Accent6 2 4 2 2 3 2 2 3" xfId="39556" xr:uid="{00000000-0005-0000-0000-000072870000}"/>
    <cellStyle name="40% - Accent6 2 4 2 2 3 2 3" xfId="20140" xr:uid="{00000000-0005-0000-0000-000073870000}"/>
    <cellStyle name="40% - Accent6 2 4 2 2 3 2 3 2" xfId="46014" xr:uid="{00000000-0005-0000-0000-000074870000}"/>
    <cellStyle name="40% - Accent6 2 4 2 2 3 2 4" xfId="33098" xr:uid="{00000000-0005-0000-0000-000075870000}"/>
    <cellStyle name="40% - Accent6 2 4 2 2 3 3" xfId="10453" xr:uid="{00000000-0005-0000-0000-000076870000}"/>
    <cellStyle name="40% - Accent6 2 4 2 2 3 3 2" xfId="23370" xr:uid="{00000000-0005-0000-0000-000077870000}"/>
    <cellStyle name="40% - Accent6 2 4 2 2 3 3 2 2" xfId="49244" xr:uid="{00000000-0005-0000-0000-000078870000}"/>
    <cellStyle name="40% - Accent6 2 4 2 2 3 3 3" xfId="36328" xr:uid="{00000000-0005-0000-0000-000079870000}"/>
    <cellStyle name="40% - Accent6 2 4 2 2 3 4" xfId="16912" xr:uid="{00000000-0005-0000-0000-00007A870000}"/>
    <cellStyle name="40% - Accent6 2 4 2 2 3 4 2" xfId="42786" xr:uid="{00000000-0005-0000-0000-00007B870000}"/>
    <cellStyle name="40% - Accent6 2 4 2 2 3 5" xfId="29838" xr:uid="{00000000-0005-0000-0000-00007C870000}"/>
    <cellStyle name="40% - Accent6 2 4 2 2 4" xfId="5608" xr:uid="{00000000-0005-0000-0000-00007D870000}"/>
    <cellStyle name="40% - Accent6 2 4 2 2 4 2" xfId="12067" xr:uid="{00000000-0005-0000-0000-00007E870000}"/>
    <cellStyle name="40% - Accent6 2 4 2 2 4 2 2" xfId="24984" xr:uid="{00000000-0005-0000-0000-00007F870000}"/>
    <cellStyle name="40% - Accent6 2 4 2 2 4 2 2 2" xfId="50858" xr:uid="{00000000-0005-0000-0000-000080870000}"/>
    <cellStyle name="40% - Accent6 2 4 2 2 4 2 3" xfId="37942" xr:uid="{00000000-0005-0000-0000-000081870000}"/>
    <cellStyle name="40% - Accent6 2 4 2 2 4 3" xfId="18526" xr:uid="{00000000-0005-0000-0000-000082870000}"/>
    <cellStyle name="40% - Accent6 2 4 2 2 4 3 2" xfId="44400" xr:uid="{00000000-0005-0000-0000-000083870000}"/>
    <cellStyle name="40% - Accent6 2 4 2 2 4 4" xfId="31484" xr:uid="{00000000-0005-0000-0000-000084870000}"/>
    <cellStyle name="40% - Accent6 2 4 2 2 5" xfId="8839" xr:uid="{00000000-0005-0000-0000-000085870000}"/>
    <cellStyle name="40% - Accent6 2 4 2 2 5 2" xfId="21756" xr:uid="{00000000-0005-0000-0000-000086870000}"/>
    <cellStyle name="40% - Accent6 2 4 2 2 5 2 2" xfId="47630" xr:uid="{00000000-0005-0000-0000-000087870000}"/>
    <cellStyle name="40% - Accent6 2 4 2 2 5 3" xfId="34714" xr:uid="{00000000-0005-0000-0000-000088870000}"/>
    <cellStyle name="40% - Accent6 2 4 2 2 6" xfId="15298" xr:uid="{00000000-0005-0000-0000-000089870000}"/>
    <cellStyle name="40% - Accent6 2 4 2 2 6 2" xfId="41172" xr:uid="{00000000-0005-0000-0000-00008A870000}"/>
    <cellStyle name="40% - Accent6 2 4 2 2 7" xfId="28224" xr:uid="{00000000-0005-0000-0000-00008B870000}"/>
    <cellStyle name="40% - Accent6 2 4 2 2 8" xfId="54086" xr:uid="{00000000-0005-0000-0000-00008C870000}"/>
    <cellStyle name="40% - Accent6 2 4 2 3" xfId="2737" xr:uid="{00000000-0005-0000-0000-00008D870000}"/>
    <cellStyle name="40% - Accent6 2 4 2 3 2" xfId="4394" xr:uid="{00000000-0005-0000-0000-00008E870000}"/>
    <cellStyle name="40% - Accent6 2 4 2 3 2 2" xfId="7625" xr:uid="{00000000-0005-0000-0000-00008F870000}"/>
    <cellStyle name="40% - Accent6 2 4 2 3 2 2 2" xfId="14084" xr:uid="{00000000-0005-0000-0000-000090870000}"/>
    <cellStyle name="40% - Accent6 2 4 2 3 2 2 2 2" xfId="27001" xr:uid="{00000000-0005-0000-0000-000091870000}"/>
    <cellStyle name="40% - Accent6 2 4 2 3 2 2 2 2 2" xfId="52875" xr:uid="{00000000-0005-0000-0000-000092870000}"/>
    <cellStyle name="40% - Accent6 2 4 2 3 2 2 2 3" xfId="39959" xr:uid="{00000000-0005-0000-0000-000093870000}"/>
    <cellStyle name="40% - Accent6 2 4 2 3 2 2 3" xfId="20543" xr:uid="{00000000-0005-0000-0000-000094870000}"/>
    <cellStyle name="40% - Accent6 2 4 2 3 2 2 3 2" xfId="46417" xr:uid="{00000000-0005-0000-0000-000095870000}"/>
    <cellStyle name="40% - Accent6 2 4 2 3 2 2 4" xfId="33501" xr:uid="{00000000-0005-0000-0000-000096870000}"/>
    <cellStyle name="40% - Accent6 2 4 2 3 2 3" xfId="10856" xr:uid="{00000000-0005-0000-0000-000097870000}"/>
    <cellStyle name="40% - Accent6 2 4 2 3 2 3 2" xfId="23773" xr:uid="{00000000-0005-0000-0000-000098870000}"/>
    <cellStyle name="40% - Accent6 2 4 2 3 2 3 2 2" xfId="49647" xr:uid="{00000000-0005-0000-0000-000099870000}"/>
    <cellStyle name="40% - Accent6 2 4 2 3 2 3 3" xfId="36731" xr:uid="{00000000-0005-0000-0000-00009A870000}"/>
    <cellStyle name="40% - Accent6 2 4 2 3 2 4" xfId="17315" xr:uid="{00000000-0005-0000-0000-00009B870000}"/>
    <cellStyle name="40% - Accent6 2 4 2 3 2 4 2" xfId="43189" xr:uid="{00000000-0005-0000-0000-00009C870000}"/>
    <cellStyle name="40% - Accent6 2 4 2 3 2 5" xfId="30241" xr:uid="{00000000-0005-0000-0000-00009D870000}"/>
    <cellStyle name="40% - Accent6 2 4 2 3 3" xfId="6011" xr:uid="{00000000-0005-0000-0000-00009E870000}"/>
    <cellStyle name="40% - Accent6 2 4 2 3 3 2" xfId="12470" xr:uid="{00000000-0005-0000-0000-00009F870000}"/>
    <cellStyle name="40% - Accent6 2 4 2 3 3 2 2" xfId="25387" xr:uid="{00000000-0005-0000-0000-0000A0870000}"/>
    <cellStyle name="40% - Accent6 2 4 2 3 3 2 2 2" xfId="51261" xr:uid="{00000000-0005-0000-0000-0000A1870000}"/>
    <cellStyle name="40% - Accent6 2 4 2 3 3 2 3" xfId="38345" xr:uid="{00000000-0005-0000-0000-0000A2870000}"/>
    <cellStyle name="40% - Accent6 2 4 2 3 3 3" xfId="18929" xr:uid="{00000000-0005-0000-0000-0000A3870000}"/>
    <cellStyle name="40% - Accent6 2 4 2 3 3 3 2" xfId="44803" xr:uid="{00000000-0005-0000-0000-0000A4870000}"/>
    <cellStyle name="40% - Accent6 2 4 2 3 3 4" xfId="31887" xr:uid="{00000000-0005-0000-0000-0000A5870000}"/>
    <cellStyle name="40% - Accent6 2 4 2 3 4" xfId="9242" xr:uid="{00000000-0005-0000-0000-0000A6870000}"/>
    <cellStyle name="40% - Accent6 2 4 2 3 4 2" xfId="22159" xr:uid="{00000000-0005-0000-0000-0000A7870000}"/>
    <cellStyle name="40% - Accent6 2 4 2 3 4 2 2" xfId="48033" xr:uid="{00000000-0005-0000-0000-0000A8870000}"/>
    <cellStyle name="40% - Accent6 2 4 2 3 4 3" xfId="35117" xr:uid="{00000000-0005-0000-0000-0000A9870000}"/>
    <cellStyle name="40% - Accent6 2 4 2 3 5" xfId="15701" xr:uid="{00000000-0005-0000-0000-0000AA870000}"/>
    <cellStyle name="40% - Accent6 2 4 2 3 5 2" xfId="41575" xr:uid="{00000000-0005-0000-0000-0000AB870000}"/>
    <cellStyle name="40% - Accent6 2 4 2 3 6" xfId="28627" xr:uid="{00000000-0005-0000-0000-0000AC870000}"/>
    <cellStyle name="40% - Accent6 2 4 2 4" xfId="3564" xr:uid="{00000000-0005-0000-0000-0000AD870000}"/>
    <cellStyle name="40% - Accent6 2 4 2 4 2" xfId="6818" xr:uid="{00000000-0005-0000-0000-0000AE870000}"/>
    <cellStyle name="40% - Accent6 2 4 2 4 2 2" xfId="13277" xr:uid="{00000000-0005-0000-0000-0000AF870000}"/>
    <cellStyle name="40% - Accent6 2 4 2 4 2 2 2" xfId="26194" xr:uid="{00000000-0005-0000-0000-0000B0870000}"/>
    <cellStyle name="40% - Accent6 2 4 2 4 2 2 2 2" xfId="52068" xr:uid="{00000000-0005-0000-0000-0000B1870000}"/>
    <cellStyle name="40% - Accent6 2 4 2 4 2 2 3" xfId="39152" xr:uid="{00000000-0005-0000-0000-0000B2870000}"/>
    <cellStyle name="40% - Accent6 2 4 2 4 2 3" xfId="19736" xr:uid="{00000000-0005-0000-0000-0000B3870000}"/>
    <cellStyle name="40% - Accent6 2 4 2 4 2 3 2" xfId="45610" xr:uid="{00000000-0005-0000-0000-0000B4870000}"/>
    <cellStyle name="40% - Accent6 2 4 2 4 2 4" xfId="32694" xr:uid="{00000000-0005-0000-0000-0000B5870000}"/>
    <cellStyle name="40% - Accent6 2 4 2 4 3" xfId="10049" xr:uid="{00000000-0005-0000-0000-0000B6870000}"/>
    <cellStyle name="40% - Accent6 2 4 2 4 3 2" xfId="22966" xr:uid="{00000000-0005-0000-0000-0000B7870000}"/>
    <cellStyle name="40% - Accent6 2 4 2 4 3 2 2" xfId="48840" xr:uid="{00000000-0005-0000-0000-0000B8870000}"/>
    <cellStyle name="40% - Accent6 2 4 2 4 3 3" xfId="35924" xr:uid="{00000000-0005-0000-0000-0000B9870000}"/>
    <cellStyle name="40% - Accent6 2 4 2 4 4" xfId="16508" xr:uid="{00000000-0005-0000-0000-0000BA870000}"/>
    <cellStyle name="40% - Accent6 2 4 2 4 4 2" xfId="42382" xr:uid="{00000000-0005-0000-0000-0000BB870000}"/>
    <cellStyle name="40% - Accent6 2 4 2 4 5" xfId="29434" xr:uid="{00000000-0005-0000-0000-0000BC870000}"/>
    <cellStyle name="40% - Accent6 2 4 2 5" xfId="5204" xr:uid="{00000000-0005-0000-0000-0000BD870000}"/>
    <cellStyle name="40% - Accent6 2 4 2 5 2" xfId="11663" xr:uid="{00000000-0005-0000-0000-0000BE870000}"/>
    <cellStyle name="40% - Accent6 2 4 2 5 2 2" xfId="24580" xr:uid="{00000000-0005-0000-0000-0000BF870000}"/>
    <cellStyle name="40% - Accent6 2 4 2 5 2 2 2" xfId="50454" xr:uid="{00000000-0005-0000-0000-0000C0870000}"/>
    <cellStyle name="40% - Accent6 2 4 2 5 2 3" xfId="37538" xr:uid="{00000000-0005-0000-0000-0000C1870000}"/>
    <cellStyle name="40% - Accent6 2 4 2 5 3" xfId="18122" xr:uid="{00000000-0005-0000-0000-0000C2870000}"/>
    <cellStyle name="40% - Accent6 2 4 2 5 3 2" xfId="43996" xr:uid="{00000000-0005-0000-0000-0000C3870000}"/>
    <cellStyle name="40% - Accent6 2 4 2 5 4" xfId="31080" xr:uid="{00000000-0005-0000-0000-0000C4870000}"/>
    <cellStyle name="40% - Accent6 2 4 2 6" xfId="8435" xr:uid="{00000000-0005-0000-0000-0000C5870000}"/>
    <cellStyle name="40% - Accent6 2 4 2 6 2" xfId="21352" xr:uid="{00000000-0005-0000-0000-0000C6870000}"/>
    <cellStyle name="40% - Accent6 2 4 2 6 2 2" xfId="47226" xr:uid="{00000000-0005-0000-0000-0000C7870000}"/>
    <cellStyle name="40% - Accent6 2 4 2 6 3" xfId="34310" xr:uid="{00000000-0005-0000-0000-0000C8870000}"/>
    <cellStyle name="40% - Accent6 2 4 2 7" xfId="14894" xr:uid="{00000000-0005-0000-0000-0000C9870000}"/>
    <cellStyle name="40% - Accent6 2 4 2 7 2" xfId="40768" xr:uid="{00000000-0005-0000-0000-0000CA870000}"/>
    <cellStyle name="40% - Accent6 2 4 2 8" xfId="27819" xr:uid="{00000000-0005-0000-0000-0000CB870000}"/>
    <cellStyle name="40% - Accent6 2 4 2 9" xfId="53682" xr:uid="{00000000-0005-0000-0000-0000CC870000}"/>
    <cellStyle name="40% - Accent6 2 4 3" xfId="2132" xr:uid="{00000000-0005-0000-0000-0000CD870000}"/>
    <cellStyle name="40% - Accent6 2 4 3 2" xfId="2946" xr:uid="{00000000-0005-0000-0000-0000CE870000}"/>
    <cellStyle name="40% - Accent6 2 4 3 2 2" xfId="4603" xr:uid="{00000000-0005-0000-0000-0000CF870000}"/>
    <cellStyle name="40% - Accent6 2 4 3 2 2 2" xfId="7834" xr:uid="{00000000-0005-0000-0000-0000D0870000}"/>
    <cellStyle name="40% - Accent6 2 4 3 2 2 2 2" xfId="14293" xr:uid="{00000000-0005-0000-0000-0000D1870000}"/>
    <cellStyle name="40% - Accent6 2 4 3 2 2 2 2 2" xfId="27210" xr:uid="{00000000-0005-0000-0000-0000D2870000}"/>
    <cellStyle name="40% - Accent6 2 4 3 2 2 2 2 2 2" xfId="53084" xr:uid="{00000000-0005-0000-0000-0000D3870000}"/>
    <cellStyle name="40% - Accent6 2 4 3 2 2 2 2 3" xfId="40168" xr:uid="{00000000-0005-0000-0000-0000D4870000}"/>
    <cellStyle name="40% - Accent6 2 4 3 2 2 2 3" xfId="20752" xr:uid="{00000000-0005-0000-0000-0000D5870000}"/>
    <cellStyle name="40% - Accent6 2 4 3 2 2 2 3 2" xfId="46626" xr:uid="{00000000-0005-0000-0000-0000D6870000}"/>
    <cellStyle name="40% - Accent6 2 4 3 2 2 2 4" xfId="33710" xr:uid="{00000000-0005-0000-0000-0000D7870000}"/>
    <cellStyle name="40% - Accent6 2 4 3 2 2 3" xfId="11065" xr:uid="{00000000-0005-0000-0000-0000D8870000}"/>
    <cellStyle name="40% - Accent6 2 4 3 2 2 3 2" xfId="23982" xr:uid="{00000000-0005-0000-0000-0000D9870000}"/>
    <cellStyle name="40% - Accent6 2 4 3 2 2 3 2 2" xfId="49856" xr:uid="{00000000-0005-0000-0000-0000DA870000}"/>
    <cellStyle name="40% - Accent6 2 4 3 2 2 3 3" xfId="36940" xr:uid="{00000000-0005-0000-0000-0000DB870000}"/>
    <cellStyle name="40% - Accent6 2 4 3 2 2 4" xfId="17524" xr:uid="{00000000-0005-0000-0000-0000DC870000}"/>
    <cellStyle name="40% - Accent6 2 4 3 2 2 4 2" xfId="43398" xr:uid="{00000000-0005-0000-0000-0000DD870000}"/>
    <cellStyle name="40% - Accent6 2 4 3 2 2 5" xfId="30450" xr:uid="{00000000-0005-0000-0000-0000DE870000}"/>
    <cellStyle name="40% - Accent6 2 4 3 2 3" xfId="6220" xr:uid="{00000000-0005-0000-0000-0000DF870000}"/>
    <cellStyle name="40% - Accent6 2 4 3 2 3 2" xfId="12679" xr:uid="{00000000-0005-0000-0000-0000E0870000}"/>
    <cellStyle name="40% - Accent6 2 4 3 2 3 2 2" xfId="25596" xr:uid="{00000000-0005-0000-0000-0000E1870000}"/>
    <cellStyle name="40% - Accent6 2 4 3 2 3 2 2 2" xfId="51470" xr:uid="{00000000-0005-0000-0000-0000E2870000}"/>
    <cellStyle name="40% - Accent6 2 4 3 2 3 2 3" xfId="38554" xr:uid="{00000000-0005-0000-0000-0000E3870000}"/>
    <cellStyle name="40% - Accent6 2 4 3 2 3 3" xfId="19138" xr:uid="{00000000-0005-0000-0000-0000E4870000}"/>
    <cellStyle name="40% - Accent6 2 4 3 2 3 3 2" xfId="45012" xr:uid="{00000000-0005-0000-0000-0000E5870000}"/>
    <cellStyle name="40% - Accent6 2 4 3 2 3 4" xfId="32096" xr:uid="{00000000-0005-0000-0000-0000E6870000}"/>
    <cellStyle name="40% - Accent6 2 4 3 2 4" xfId="9451" xr:uid="{00000000-0005-0000-0000-0000E7870000}"/>
    <cellStyle name="40% - Accent6 2 4 3 2 4 2" xfId="22368" xr:uid="{00000000-0005-0000-0000-0000E8870000}"/>
    <cellStyle name="40% - Accent6 2 4 3 2 4 2 2" xfId="48242" xr:uid="{00000000-0005-0000-0000-0000E9870000}"/>
    <cellStyle name="40% - Accent6 2 4 3 2 4 3" xfId="35326" xr:uid="{00000000-0005-0000-0000-0000EA870000}"/>
    <cellStyle name="40% - Accent6 2 4 3 2 5" xfId="15910" xr:uid="{00000000-0005-0000-0000-0000EB870000}"/>
    <cellStyle name="40% - Accent6 2 4 3 2 5 2" xfId="41784" xr:uid="{00000000-0005-0000-0000-0000EC870000}"/>
    <cellStyle name="40% - Accent6 2 4 3 2 6" xfId="28836" xr:uid="{00000000-0005-0000-0000-0000ED870000}"/>
    <cellStyle name="40% - Accent6 2 4 3 3" xfId="3773" xr:uid="{00000000-0005-0000-0000-0000EE870000}"/>
    <cellStyle name="40% - Accent6 2 4 3 3 2" xfId="7027" xr:uid="{00000000-0005-0000-0000-0000EF870000}"/>
    <cellStyle name="40% - Accent6 2 4 3 3 2 2" xfId="13486" xr:uid="{00000000-0005-0000-0000-0000F0870000}"/>
    <cellStyle name="40% - Accent6 2 4 3 3 2 2 2" xfId="26403" xr:uid="{00000000-0005-0000-0000-0000F1870000}"/>
    <cellStyle name="40% - Accent6 2 4 3 3 2 2 2 2" xfId="52277" xr:uid="{00000000-0005-0000-0000-0000F2870000}"/>
    <cellStyle name="40% - Accent6 2 4 3 3 2 2 3" xfId="39361" xr:uid="{00000000-0005-0000-0000-0000F3870000}"/>
    <cellStyle name="40% - Accent6 2 4 3 3 2 3" xfId="19945" xr:uid="{00000000-0005-0000-0000-0000F4870000}"/>
    <cellStyle name="40% - Accent6 2 4 3 3 2 3 2" xfId="45819" xr:uid="{00000000-0005-0000-0000-0000F5870000}"/>
    <cellStyle name="40% - Accent6 2 4 3 3 2 4" xfId="32903" xr:uid="{00000000-0005-0000-0000-0000F6870000}"/>
    <cellStyle name="40% - Accent6 2 4 3 3 3" xfId="10258" xr:uid="{00000000-0005-0000-0000-0000F7870000}"/>
    <cellStyle name="40% - Accent6 2 4 3 3 3 2" xfId="23175" xr:uid="{00000000-0005-0000-0000-0000F8870000}"/>
    <cellStyle name="40% - Accent6 2 4 3 3 3 2 2" xfId="49049" xr:uid="{00000000-0005-0000-0000-0000F9870000}"/>
    <cellStyle name="40% - Accent6 2 4 3 3 3 3" xfId="36133" xr:uid="{00000000-0005-0000-0000-0000FA870000}"/>
    <cellStyle name="40% - Accent6 2 4 3 3 4" xfId="16717" xr:uid="{00000000-0005-0000-0000-0000FB870000}"/>
    <cellStyle name="40% - Accent6 2 4 3 3 4 2" xfId="42591" xr:uid="{00000000-0005-0000-0000-0000FC870000}"/>
    <cellStyle name="40% - Accent6 2 4 3 3 5" xfId="29643" xr:uid="{00000000-0005-0000-0000-0000FD870000}"/>
    <cellStyle name="40% - Accent6 2 4 3 4" xfId="5413" xr:uid="{00000000-0005-0000-0000-0000FE870000}"/>
    <cellStyle name="40% - Accent6 2 4 3 4 2" xfId="11872" xr:uid="{00000000-0005-0000-0000-0000FF870000}"/>
    <cellStyle name="40% - Accent6 2 4 3 4 2 2" xfId="24789" xr:uid="{00000000-0005-0000-0000-000000880000}"/>
    <cellStyle name="40% - Accent6 2 4 3 4 2 2 2" xfId="50663" xr:uid="{00000000-0005-0000-0000-000001880000}"/>
    <cellStyle name="40% - Accent6 2 4 3 4 2 3" xfId="37747" xr:uid="{00000000-0005-0000-0000-000002880000}"/>
    <cellStyle name="40% - Accent6 2 4 3 4 3" xfId="18331" xr:uid="{00000000-0005-0000-0000-000003880000}"/>
    <cellStyle name="40% - Accent6 2 4 3 4 3 2" xfId="44205" xr:uid="{00000000-0005-0000-0000-000004880000}"/>
    <cellStyle name="40% - Accent6 2 4 3 4 4" xfId="31289" xr:uid="{00000000-0005-0000-0000-000005880000}"/>
    <cellStyle name="40% - Accent6 2 4 3 5" xfId="8644" xr:uid="{00000000-0005-0000-0000-000006880000}"/>
    <cellStyle name="40% - Accent6 2 4 3 5 2" xfId="21561" xr:uid="{00000000-0005-0000-0000-000007880000}"/>
    <cellStyle name="40% - Accent6 2 4 3 5 2 2" xfId="47435" xr:uid="{00000000-0005-0000-0000-000008880000}"/>
    <cellStyle name="40% - Accent6 2 4 3 5 3" xfId="34519" xr:uid="{00000000-0005-0000-0000-000009880000}"/>
    <cellStyle name="40% - Accent6 2 4 3 6" xfId="15103" xr:uid="{00000000-0005-0000-0000-00000A880000}"/>
    <cellStyle name="40% - Accent6 2 4 3 6 2" xfId="40977" xr:uid="{00000000-0005-0000-0000-00000B880000}"/>
    <cellStyle name="40% - Accent6 2 4 3 7" xfId="28029" xr:uid="{00000000-0005-0000-0000-00000C880000}"/>
    <cellStyle name="40% - Accent6 2 4 3 8" xfId="53891" xr:uid="{00000000-0005-0000-0000-00000D880000}"/>
    <cellStyle name="40% - Accent6 2 4 4" xfId="2543" xr:uid="{00000000-0005-0000-0000-00000E880000}"/>
    <cellStyle name="40% - Accent6 2 4 4 2" xfId="4200" xr:uid="{00000000-0005-0000-0000-00000F880000}"/>
    <cellStyle name="40% - Accent6 2 4 4 2 2" xfId="7431" xr:uid="{00000000-0005-0000-0000-000010880000}"/>
    <cellStyle name="40% - Accent6 2 4 4 2 2 2" xfId="13890" xr:uid="{00000000-0005-0000-0000-000011880000}"/>
    <cellStyle name="40% - Accent6 2 4 4 2 2 2 2" xfId="26807" xr:uid="{00000000-0005-0000-0000-000012880000}"/>
    <cellStyle name="40% - Accent6 2 4 4 2 2 2 2 2" xfId="52681" xr:uid="{00000000-0005-0000-0000-000013880000}"/>
    <cellStyle name="40% - Accent6 2 4 4 2 2 2 3" xfId="39765" xr:uid="{00000000-0005-0000-0000-000014880000}"/>
    <cellStyle name="40% - Accent6 2 4 4 2 2 3" xfId="20349" xr:uid="{00000000-0005-0000-0000-000015880000}"/>
    <cellStyle name="40% - Accent6 2 4 4 2 2 3 2" xfId="46223" xr:uid="{00000000-0005-0000-0000-000016880000}"/>
    <cellStyle name="40% - Accent6 2 4 4 2 2 4" xfId="33307" xr:uid="{00000000-0005-0000-0000-000017880000}"/>
    <cellStyle name="40% - Accent6 2 4 4 2 3" xfId="10662" xr:uid="{00000000-0005-0000-0000-000018880000}"/>
    <cellStyle name="40% - Accent6 2 4 4 2 3 2" xfId="23579" xr:uid="{00000000-0005-0000-0000-000019880000}"/>
    <cellStyle name="40% - Accent6 2 4 4 2 3 2 2" xfId="49453" xr:uid="{00000000-0005-0000-0000-00001A880000}"/>
    <cellStyle name="40% - Accent6 2 4 4 2 3 3" xfId="36537" xr:uid="{00000000-0005-0000-0000-00001B880000}"/>
    <cellStyle name="40% - Accent6 2 4 4 2 4" xfId="17121" xr:uid="{00000000-0005-0000-0000-00001C880000}"/>
    <cellStyle name="40% - Accent6 2 4 4 2 4 2" xfId="42995" xr:uid="{00000000-0005-0000-0000-00001D880000}"/>
    <cellStyle name="40% - Accent6 2 4 4 2 5" xfId="30047" xr:uid="{00000000-0005-0000-0000-00001E880000}"/>
    <cellStyle name="40% - Accent6 2 4 4 3" xfId="5817" xr:uid="{00000000-0005-0000-0000-00001F880000}"/>
    <cellStyle name="40% - Accent6 2 4 4 3 2" xfId="12276" xr:uid="{00000000-0005-0000-0000-000020880000}"/>
    <cellStyle name="40% - Accent6 2 4 4 3 2 2" xfId="25193" xr:uid="{00000000-0005-0000-0000-000021880000}"/>
    <cellStyle name="40% - Accent6 2 4 4 3 2 2 2" xfId="51067" xr:uid="{00000000-0005-0000-0000-000022880000}"/>
    <cellStyle name="40% - Accent6 2 4 4 3 2 3" xfId="38151" xr:uid="{00000000-0005-0000-0000-000023880000}"/>
    <cellStyle name="40% - Accent6 2 4 4 3 3" xfId="18735" xr:uid="{00000000-0005-0000-0000-000024880000}"/>
    <cellStyle name="40% - Accent6 2 4 4 3 3 2" xfId="44609" xr:uid="{00000000-0005-0000-0000-000025880000}"/>
    <cellStyle name="40% - Accent6 2 4 4 3 4" xfId="31693" xr:uid="{00000000-0005-0000-0000-000026880000}"/>
    <cellStyle name="40% - Accent6 2 4 4 4" xfId="9048" xr:uid="{00000000-0005-0000-0000-000027880000}"/>
    <cellStyle name="40% - Accent6 2 4 4 4 2" xfId="21965" xr:uid="{00000000-0005-0000-0000-000028880000}"/>
    <cellStyle name="40% - Accent6 2 4 4 4 2 2" xfId="47839" xr:uid="{00000000-0005-0000-0000-000029880000}"/>
    <cellStyle name="40% - Accent6 2 4 4 4 3" xfId="34923" xr:uid="{00000000-0005-0000-0000-00002A880000}"/>
    <cellStyle name="40% - Accent6 2 4 4 5" xfId="15507" xr:uid="{00000000-0005-0000-0000-00002B880000}"/>
    <cellStyle name="40% - Accent6 2 4 4 5 2" xfId="41381" xr:uid="{00000000-0005-0000-0000-00002C880000}"/>
    <cellStyle name="40% - Accent6 2 4 4 6" xfId="28433" xr:uid="{00000000-0005-0000-0000-00002D880000}"/>
    <cellStyle name="40% - Accent6 2 4 5" xfId="3365" xr:uid="{00000000-0005-0000-0000-00002E880000}"/>
    <cellStyle name="40% - Accent6 2 4 5 2" xfId="6624" xr:uid="{00000000-0005-0000-0000-00002F880000}"/>
    <cellStyle name="40% - Accent6 2 4 5 2 2" xfId="13083" xr:uid="{00000000-0005-0000-0000-000030880000}"/>
    <cellStyle name="40% - Accent6 2 4 5 2 2 2" xfId="26000" xr:uid="{00000000-0005-0000-0000-000031880000}"/>
    <cellStyle name="40% - Accent6 2 4 5 2 2 2 2" xfId="51874" xr:uid="{00000000-0005-0000-0000-000032880000}"/>
    <cellStyle name="40% - Accent6 2 4 5 2 2 3" xfId="38958" xr:uid="{00000000-0005-0000-0000-000033880000}"/>
    <cellStyle name="40% - Accent6 2 4 5 2 3" xfId="19542" xr:uid="{00000000-0005-0000-0000-000034880000}"/>
    <cellStyle name="40% - Accent6 2 4 5 2 3 2" xfId="45416" xr:uid="{00000000-0005-0000-0000-000035880000}"/>
    <cellStyle name="40% - Accent6 2 4 5 2 4" xfId="32500" xr:uid="{00000000-0005-0000-0000-000036880000}"/>
    <cellStyle name="40% - Accent6 2 4 5 3" xfId="9855" xr:uid="{00000000-0005-0000-0000-000037880000}"/>
    <cellStyle name="40% - Accent6 2 4 5 3 2" xfId="22772" xr:uid="{00000000-0005-0000-0000-000038880000}"/>
    <cellStyle name="40% - Accent6 2 4 5 3 2 2" xfId="48646" xr:uid="{00000000-0005-0000-0000-000039880000}"/>
    <cellStyle name="40% - Accent6 2 4 5 3 3" xfId="35730" xr:uid="{00000000-0005-0000-0000-00003A880000}"/>
    <cellStyle name="40% - Accent6 2 4 5 4" xfId="16314" xr:uid="{00000000-0005-0000-0000-00003B880000}"/>
    <cellStyle name="40% - Accent6 2 4 5 4 2" xfId="42188" xr:uid="{00000000-0005-0000-0000-00003C880000}"/>
    <cellStyle name="40% - Accent6 2 4 5 5" xfId="29240" xr:uid="{00000000-0005-0000-0000-00003D880000}"/>
    <cellStyle name="40% - Accent6 2 4 6" xfId="5010" xr:uid="{00000000-0005-0000-0000-00003E880000}"/>
    <cellStyle name="40% - Accent6 2 4 6 2" xfId="11469" xr:uid="{00000000-0005-0000-0000-00003F880000}"/>
    <cellStyle name="40% - Accent6 2 4 6 2 2" xfId="24386" xr:uid="{00000000-0005-0000-0000-000040880000}"/>
    <cellStyle name="40% - Accent6 2 4 6 2 2 2" xfId="50260" xr:uid="{00000000-0005-0000-0000-000041880000}"/>
    <cellStyle name="40% - Accent6 2 4 6 2 3" xfId="37344" xr:uid="{00000000-0005-0000-0000-000042880000}"/>
    <cellStyle name="40% - Accent6 2 4 6 3" xfId="17928" xr:uid="{00000000-0005-0000-0000-000043880000}"/>
    <cellStyle name="40% - Accent6 2 4 6 3 2" xfId="43802" xr:uid="{00000000-0005-0000-0000-000044880000}"/>
    <cellStyle name="40% - Accent6 2 4 6 4" xfId="30886" xr:uid="{00000000-0005-0000-0000-000045880000}"/>
    <cellStyle name="40% - Accent6 2 4 7" xfId="8240" xr:uid="{00000000-0005-0000-0000-000046880000}"/>
    <cellStyle name="40% - Accent6 2 4 7 2" xfId="21157" xr:uid="{00000000-0005-0000-0000-000047880000}"/>
    <cellStyle name="40% - Accent6 2 4 7 2 2" xfId="47031" xr:uid="{00000000-0005-0000-0000-000048880000}"/>
    <cellStyle name="40% - Accent6 2 4 7 3" xfId="34115" xr:uid="{00000000-0005-0000-0000-000049880000}"/>
    <cellStyle name="40% - Accent6 2 4 8" xfId="14699" xr:uid="{00000000-0005-0000-0000-00004A880000}"/>
    <cellStyle name="40% - Accent6 2 4 8 2" xfId="40573" xr:uid="{00000000-0005-0000-0000-00004B880000}"/>
    <cellStyle name="40% - Accent6 2 4 9" xfId="27623" xr:uid="{00000000-0005-0000-0000-00004C880000}"/>
    <cellStyle name="40% - Accent6 2 5" xfId="1781" xr:uid="{00000000-0005-0000-0000-00004D880000}"/>
    <cellStyle name="40% - Accent6 2 5 2" xfId="2274" xr:uid="{00000000-0005-0000-0000-00004E880000}"/>
    <cellStyle name="40% - Accent6 2 5 2 2" xfId="3088" xr:uid="{00000000-0005-0000-0000-00004F880000}"/>
    <cellStyle name="40% - Accent6 2 5 2 2 2" xfId="4745" xr:uid="{00000000-0005-0000-0000-000050880000}"/>
    <cellStyle name="40% - Accent6 2 5 2 2 2 2" xfId="7976" xr:uid="{00000000-0005-0000-0000-000051880000}"/>
    <cellStyle name="40% - Accent6 2 5 2 2 2 2 2" xfId="14435" xr:uid="{00000000-0005-0000-0000-000052880000}"/>
    <cellStyle name="40% - Accent6 2 5 2 2 2 2 2 2" xfId="27352" xr:uid="{00000000-0005-0000-0000-000053880000}"/>
    <cellStyle name="40% - Accent6 2 5 2 2 2 2 2 2 2" xfId="53226" xr:uid="{00000000-0005-0000-0000-000054880000}"/>
    <cellStyle name="40% - Accent6 2 5 2 2 2 2 2 3" xfId="40310" xr:uid="{00000000-0005-0000-0000-000055880000}"/>
    <cellStyle name="40% - Accent6 2 5 2 2 2 2 3" xfId="20894" xr:uid="{00000000-0005-0000-0000-000056880000}"/>
    <cellStyle name="40% - Accent6 2 5 2 2 2 2 3 2" xfId="46768" xr:uid="{00000000-0005-0000-0000-000057880000}"/>
    <cellStyle name="40% - Accent6 2 5 2 2 2 2 4" xfId="33852" xr:uid="{00000000-0005-0000-0000-000058880000}"/>
    <cellStyle name="40% - Accent6 2 5 2 2 2 3" xfId="11207" xr:uid="{00000000-0005-0000-0000-000059880000}"/>
    <cellStyle name="40% - Accent6 2 5 2 2 2 3 2" xfId="24124" xr:uid="{00000000-0005-0000-0000-00005A880000}"/>
    <cellStyle name="40% - Accent6 2 5 2 2 2 3 2 2" xfId="49998" xr:uid="{00000000-0005-0000-0000-00005B880000}"/>
    <cellStyle name="40% - Accent6 2 5 2 2 2 3 3" xfId="37082" xr:uid="{00000000-0005-0000-0000-00005C880000}"/>
    <cellStyle name="40% - Accent6 2 5 2 2 2 4" xfId="17666" xr:uid="{00000000-0005-0000-0000-00005D880000}"/>
    <cellStyle name="40% - Accent6 2 5 2 2 2 4 2" xfId="43540" xr:uid="{00000000-0005-0000-0000-00005E880000}"/>
    <cellStyle name="40% - Accent6 2 5 2 2 2 5" xfId="30592" xr:uid="{00000000-0005-0000-0000-00005F880000}"/>
    <cellStyle name="40% - Accent6 2 5 2 2 3" xfId="6362" xr:uid="{00000000-0005-0000-0000-000060880000}"/>
    <cellStyle name="40% - Accent6 2 5 2 2 3 2" xfId="12821" xr:uid="{00000000-0005-0000-0000-000061880000}"/>
    <cellStyle name="40% - Accent6 2 5 2 2 3 2 2" xfId="25738" xr:uid="{00000000-0005-0000-0000-000062880000}"/>
    <cellStyle name="40% - Accent6 2 5 2 2 3 2 2 2" xfId="51612" xr:uid="{00000000-0005-0000-0000-000063880000}"/>
    <cellStyle name="40% - Accent6 2 5 2 2 3 2 3" xfId="38696" xr:uid="{00000000-0005-0000-0000-000064880000}"/>
    <cellStyle name="40% - Accent6 2 5 2 2 3 3" xfId="19280" xr:uid="{00000000-0005-0000-0000-000065880000}"/>
    <cellStyle name="40% - Accent6 2 5 2 2 3 3 2" xfId="45154" xr:uid="{00000000-0005-0000-0000-000066880000}"/>
    <cellStyle name="40% - Accent6 2 5 2 2 3 4" xfId="32238" xr:uid="{00000000-0005-0000-0000-000067880000}"/>
    <cellStyle name="40% - Accent6 2 5 2 2 4" xfId="9593" xr:uid="{00000000-0005-0000-0000-000068880000}"/>
    <cellStyle name="40% - Accent6 2 5 2 2 4 2" xfId="22510" xr:uid="{00000000-0005-0000-0000-000069880000}"/>
    <cellStyle name="40% - Accent6 2 5 2 2 4 2 2" xfId="48384" xr:uid="{00000000-0005-0000-0000-00006A880000}"/>
    <cellStyle name="40% - Accent6 2 5 2 2 4 3" xfId="35468" xr:uid="{00000000-0005-0000-0000-00006B880000}"/>
    <cellStyle name="40% - Accent6 2 5 2 2 5" xfId="16052" xr:uid="{00000000-0005-0000-0000-00006C880000}"/>
    <cellStyle name="40% - Accent6 2 5 2 2 5 2" xfId="41926" xr:uid="{00000000-0005-0000-0000-00006D880000}"/>
    <cellStyle name="40% - Accent6 2 5 2 2 6" xfId="28978" xr:uid="{00000000-0005-0000-0000-00006E880000}"/>
    <cellStyle name="40% - Accent6 2 5 2 3" xfId="3915" xr:uid="{00000000-0005-0000-0000-00006F880000}"/>
    <cellStyle name="40% - Accent6 2 5 2 3 2" xfId="7169" xr:uid="{00000000-0005-0000-0000-000070880000}"/>
    <cellStyle name="40% - Accent6 2 5 2 3 2 2" xfId="13628" xr:uid="{00000000-0005-0000-0000-000071880000}"/>
    <cellStyle name="40% - Accent6 2 5 2 3 2 2 2" xfId="26545" xr:uid="{00000000-0005-0000-0000-000072880000}"/>
    <cellStyle name="40% - Accent6 2 5 2 3 2 2 2 2" xfId="52419" xr:uid="{00000000-0005-0000-0000-000073880000}"/>
    <cellStyle name="40% - Accent6 2 5 2 3 2 2 3" xfId="39503" xr:uid="{00000000-0005-0000-0000-000074880000}"/>
    <cellStyle name="40% - Accent6 2 5 2 3 2 3" xfId="20087" xr:uid="{00000000-0005-0000-0000-000075880000}"/>
    <cellStyle name="40% - Accent6 2 5 2 3 2 3 2" xfId="45961" xr:uid="{00000000-0005-0000-0000-000076880000}"/>
    <cellStyle name="40% - Accent6 2 5 2 3 2 4" xfId="33045" xr:uid="{00000000-0005-0000-0000-000077880000}"/>
    <cellStyle name="40% - Accent6 2 5 2 3 3" xfId="10400" xr:uid="{00000000-0005-0000-0000-000078880000}"/>
    <cellStyle name="40% - Accent6 2 5 2 3 3 2" xfId="23317" xr:uid="{00000000-0005-0000-0000-000079880000}"/>
    <cellStyle name="40% - Accent6 2 5 2 3 3 2 2" xfId="49191" xr:uid="{00000000-0005-0000-0000-00007A880000}"/>
    <cellStyle name="40% - Accent6 2 5 2 3 3 3" xfId="36275" xr:uid="{00000000-0005-0000-0000-00007B880000}"/>
    <cellStyle name="40% - Accent6 2 5 2 3 4" xfId="16859" xr:uid="{00000000-0005-0000-0000-00007C880000}"/>
    <cellStyle name="40% - Accent6 2 5 2 3 4 2" xfId="42733" xr:uid="{00000000-0005-0000-0000-00007D880000}"/>
    <cellStyle name="40% - Accent6 2 5 2 3 5" xfId="29785" xr:uid="{00000000-0005-0000-0000-00007E880000}"/>
    <cellStyle name="40% - Accent6 2 5 2 4" xfId="5555" xr:uid="{00000000-0005-0000-0000-00007F880000}"/>
    <cellStyle name="40% - Accent6 2 5 2 4 2" xfId="12014" xr:uid="{00000000-0005-0000-0000-000080880000}"/>
    <cellStyle name="40% - Accent6 2 5 2 4 2 2" xfId="24931" xr:uid="{00000000-0005-0000-0000-000081880000}"/>
    <cellStyle name="40% - Accent6 2 5 2 4 2 2 2" xfId="50805" xr:uid="{00000000-0005-0000-0000-000082880000}"/>
    <cellStyle name="40% - Accent6 2 5 2 4 2 3" xfId="37889" xr:uid="{00000000-0005-0000-0000-000083880000}"/>
    <cellStyle name="40% - Accent6 2 5 2 4 3" xfId="18473" xr:uid="{00000000-0005-0000-0000-000084880000}"/>
    <cellStyle name="40% - Accent6 2 5 2 4 3 2" xfId="44347" xr:uid="{00000000-0005-0000-0000-000085880000}"/>
    <cellStyle name="40% - Accent6 2 5 2 4 4" xfId="31431" xr:uid="{00000000-0005-0000-0000-000086880000}"/>
    <cellStyle name="40% - Accent6 2 5 2 5" xfId="8786" xr:uid="{00000000-0005-0000-0000-000087880000}"/>
    <cellStyle name="40% - Accent6 2 5 2 5 2" xfId="21703" xr:uid="{00000000-0005-0000-0000-000088880000}"/>
    <cellStyle name="40% - Accent6 2 5 2 5 2 2" xfId="47577" xr:uid="{00000000-0005-0000-0000-000089880000}"/>
    <cellStyle name="40% - Accent6 2 5 2 5 3" xfId="34661" xr:uid="{00000000-0005-0000-0000-00008A880000}"/>
    <cellStyle name="40% - Accent6 2 5 2 6" xfId="15245" xr:uid="{00000000-0005-0000-0000-00008B880000}"/>
    <cellStyle name="40% - Accent6 2 5 2 6 2" xfId="41119" xr:uid="{00000000-0005-0000-0000-00008C880000}"/>
    <cellStyle name="40% - Accent6 2 5 2 7" xfId="28171" xr:uid="{00000000-0005-0000-0000-00008D880000}"/>
    <cellStyle name="40% - Accent6 2 5 2 8" xfId="54033" xr:uid="{00000000-0005-0000-0000-00008E880000}"/>
    <cellStyle name="40% - Accent6 2 5 3" xfId="2685" xr:uid="{00000000-0005-0000-0000-00008F880000}"/>
    <cellStyle name="40% - Accent6 2 5 3 2" xfId="4342" xr:uid="{00000000-0005-0000-0000-000090880000}"/>
    <cellStyle name="40% - Accent6 2 5 3 2 2" xfId="7573" xr:uid="{00000000-0005-0000-0000-000091880000}"/>
    <cellStyle name="40% - Accent6 2 5 3 2 2 2" xfId="14032" xr:uid="{00000000-0005-0000-0000-000092880000}"/>
    <cellStyle name="40% - Accent6 2 5 3 2 2 2 2" xfId="26949" xr:uid="{00000000-0005-0000-0000-000093880000}"/>
    <cellStyle name="40% - Accent6 2 5 3 2 2 2 2 2" xfId="52823" xr:uid="{00000000-0005-0000-0000-000094880000}"/>
    <cellStyle name="40% - Accent6 2 5 3 2 2 2 3" xfId="39907" xr:uid="{00000000-0005-0000-0000-000095880000}"/>
    <cellStyle name="40% - Accent6 2 5 3 2 2 3" xfId="20491" xr:uid="{00000000-0005-0000-0000-000096880000}"/>
    <cellStyle name="40% - Accent6 2 5 3 2 2 3 2" xfId="46365" xr:uid="{00000000-0005-0000-0000-000097880000}"/>
    <cellStyle name="40% - Accent6 2 5 3 2 2 4" xfId="33449" xr:uid="{00000000-0005-0000-0000-000098880000}"/>
    <cellStyle name="40% - Accent6 2 5 3 2 3" xfId="10804" xr:uid="{00000000-0005-0000-0000-000099880000}"/>
    <cellStyle name="40% - Accent6 2 5 3 2 3 2" xfId="23721" xr:uid="{00000000-0005-0000-0000-00009A880000}"/>
    <cellStyle name="40% - Accent6 2 5 3 2 3 2 2" xfId="49595" xr:uid="{00000000-0005-0000-0000-00009B880000}"/>
    <cellStyle name="40% - Accent6 2 5 3 2 3 3" xfId="36679" xr:uid="{00000000-0005-0000-0000-00009C880000}"/>
    <cellStyle name="40% - Accent6 2 5 3 2 4" xfId="17263" xr:uid="{00000000-0005-0000-0000-00009D880000}"/>
    <cellStyle name="40% - Accent6 2 5 3 2 4 2" xfId="43137" xr:uid="{00000000-0005-0000-0000-00009E880000}"/>
    <cellStyle name="40% - Accent6 2 5 3 2 5" xfId="30189" xr:uid="{00000000-0005-0000-0000-00009F880000}"/>
    <cellStyle name="40% - Accent6 2 5 3 3" xfId="5959" xr:uid="{00000000-0005-0000-0000-0000A0880000}"/>
    <cellStyle name="40% - Accent6 2 5 3 3 2" xfId="12418" xr:uid="{00000000-0005-0000-0000-0000A1880000}"/>
    <cellStyle name="40% - Accent6 2 5 3 3 2 2" xfId="25335" xr:uid="{00000000-0005-0000-0000-0000A2880000}"/>
    <cellStyle name="40% - Accent6 2 5 3 3 2 2 2" xfId="51209" xr:uid="{00000000-0005-0000-0000-0000A3880000}"/>
    <cellStyle name="40% - Accent6 2 5 3 3 2 3" xfId="38293" xr:uid="{00000000-0005-0000-0000-0000A4880000}"/>
    <cellStyle name="40% - Accent6 2 5 3 3 3" xfId="18877" xr:uid="{00000000-0005-0000-0000-0000A5880000}"/>
    <cellStyle name="40% - Accent6 2 5 3 3 3 2" xfId="44751" xr:uid="{00000000-0005-0000-0000-0000A6880000}"/>
    <cellStyle name="40% - Accent6 2 5 3 3 4" xfId="31835" xr:uid="{00000000-0005-0000-0000-0000A7880000}"/>
    <cellStyle name="40% - Accent6 2 5 3 4" xfId="9190" xr:uid="{00000000-0005-0000-0000-0000A8880000}"/>
    <cellStyle name="40% - Accent6 2 5 3 4 2" xfId="22107" xr:uid="{00000000-0005-0000-0000-0000A9880000}"/>
    <cellStyle name="40% - Accent6 2 5 3 4 2 2" xfId="47981" xr:uid="{00000000-0005-0000-0000-0000AA880000}"/>
    <cellStyle name="40% - Accent6 2 5 3 4 3" xfId="35065" xr:uid="{00000000-0005-0000-0000-0000AB880000}"/>
    <cellStyle name="40% - Accent6 2 5 3 5" xfId="15649" xr:uid="{00000000-0005-0000-0000-0000AC880000}"/>
    <cellStyle name="40% - Accent6 2 5 3 5 2" xfId="41523" xr:uid="{00000000-0005-0000-0000-0000AD880000}"/>
    <cellStyle name="40% - Accent6 2 5 3 6" xfId="28575" xr:uid="{00000000-0005-0000-0000-0000AE880000}"/>
    <cellStyle name="40% - Accent6 2 5 4" xfId="3512" xr:uid="{00000000-0005-0000-0000-0000AF880000}"/>
    <cellStyle name="40% - Accent6 2 5 4 2" xfId="6766" xr:uid="{00000000-0005-0000-0000-0000B0880000}"/>
    <cellStyle name="40% - Accent6 2 5 4 2 2" xfId="13225" xr:uid="{00000000-0005-0000-0000-0000B1880000}"/>
    <cellStyle name="40% - Accent6 2 5 4 2 2 2" xfId="26142" xr:uid="{00000000-0005-0000-0000-0000B2880000}"/>
    <cellStyle name="40% - Accent6 2 5 4 2 2 2 2" xfId="52016" xr:uid="{00000000-0005-0000-0000-0000B3880000}"/>
    <cellStyle name="40% - Accent6 2 5 4 2 2 3" xfId="39100" xr:uid="{00000000-0005-0000-0000-0000B4880000}"/>
    <cellStyle name="40% - Accent6 2 5 4 2 3" xfId="19684" xr:uid="{00000000-0005-0000-0000-0000B5880000}"/>
    <cellStyle name="40% - Accent6 2 5 4 2 3 2" xfId="45558" xr:uid="{00000000-0005-0000-0000-0000B6880000}"/>
    <cellStyle name="40% - Accent6 2 5 4 2 4" xfId="32642" xr:uid="{00000000-0005-0000-0000-0000B7880000}"/>
    <cellStyle name="40% - Accent6 2 5 4 3" xfId="9997" xr:uid="{00000000-0005-0000-0000-0000B8880000}"/>
    <cellStyle name="40% - Accent6 2 5 4 3 2" xfId="22914" xr:uid="{00000000-0005-0000-0000-0000B9880000}"/>
    <cellStyle name="40% - Accent6 2 5 4 3 2 2" xfId="48788" xr:uid="{00000000-0005-0000-0000-0000BA880000}"/>
    <cellStyle name="40% - Accent6 2 5 4 3 3" xfId="35872" xr:uid="{00000000-0005-0000-0000-0000BB880000}"/>
    <cellStyle name="40% - Accent6 2 5 4 4" xfId="16456" xr:uid="{00000000-0005-0000-0000-0000BC880000}"/>
    <cellStyle name="40% - Accent6 2 5 4 4 2" xfId="42330" xr:uid="{00000000-0005-0000-0000-0000BD880000}"/>
    <cellStyle name="40% - Accent6 2 5 4 5" xfId="29382" xr:uid="{00000000-0005-0000-0000-0000BE880000}"/>
    <cellStyle name="40% - Accent6 2 5 5" xfId="5152" xr:uid="{00000000-0005-0000-0000-0000BF880000}"/>
    <cellStyle name="40% - Accent6 2 5 5 2" xfId="11611" xr:uid="{00000000-0005-0000-0000-0000C0880000}"/>
    <cellStyle name="40% - Accent6 2 5 5 2 2" xfId="24528" xr:uid="{00000000-0005-0000-0000-0000C1880000}"/>
    <cellStyle name="40% - Accent6 2 5 5 2 2 2" xfId="50402" xr:uid="{00000000-0005-0000-0000-0000C2880000}"/>
    <cellStyle name="40% - Accent6 2 5 5 2 3" xfId="37486" xr:uid="{00000000-0005-0000-0000-0000C3880000}"/>
    <cellStyle name="40% - Accent6 2 5 5 3" xfId="18070" xr:uid="{00000000-0005-0000-0000-0000C4880000}"/>
    <cellStyle name="40% - Accent6 2 5 5 3 2" xfId="43944" xr:uid="{00000000-0005-0000-0000-0000C5880000}"/>
    <cellStyle name="40% - Accent6 2 5 5 4" xfId="31028" xr:uid="{00000000-0005-0000-0000-0000C6880000}"/>
    <cellStyle name="40% - Accent6 2 5 6" xfId="8382" xr:uid="{00000000-0005-0000-0000-0000C7880000}"/>
    <cellStyle name="40% - Accent6 2 5 6 2" xfId="21299" xr:uid="{00000000-0005-0000-0000-0000C8880000}"/>
    <cellStyle name="40% - Accent6 2 5 6 2 2" xfId="47173" xr:uid="{00000000-0005-0000-0000-0000C9880000}"/>
    <cellStyle name="40% - Accent6 2 5 6 3" xfId="34257" xr:uid="{00000000-0005-0000-0000-0000CA880000}"/>
    <cellStyle name="40% - Accent6 2 5 7" xfId="14841" xr:uid="{00000000-0005-0000-0000-0000CB880000}"/>
    <cellStyle name="40% - Accent6 2 5 7 2" xfId="40715" xr:uid="{00000000-0005-0000-0000-0000CC880000}"/>
    <cellStyle name="40% - Accent6 2 5 8" xfId="27767" xr:uid="{00000000-0005-0000-0000-0000CD880000}"/>
    <cellStyle name="40% - Accent6 2 5 9" xfId="53630" xr:uid="{00000000-0005-0000-0000-0000CE880000}"/>
    <cellStyle name="40% - Accent6 2 6" xfId="2079" xr:uid="{00000000-0005-0000-0000-0000CF880000}"/>
    <cellStyle name="40% - Accent6 2 6 2" xfId="2897" xr:uid="{00000000-0005-0000-0000-0000D0880000}"/>
    <cellStyle name="40% - Accent6 2 6 2 2" xfId="4554" xr:uid="{00000000-0005-0000-0000-0000D1880000}"/>
    <cellStyle name="40% - Accent6 2 6 2 2 2" xfId="7785" xr:uid="{00000000-0005-0000-0000-0000D2880000}"/>
    <cellStyle name="40% - Accent6 2 6 2 2 2 2" xfId="14244" xr:uid="{00000000-0005-0000-0000-0000D3880000}"/>
    <cellStyle name="40% - Accent6 2 6 2 2 2 2 2" xfId="27161" xr:uid="{00000000-0005-0000-0000-0000D4880000}"/>
    <cellStyle name="40% - Accent6 2 6 2 2 2 2 2 2" xfId="53035" xr:uid="{00000000-0005-0000-0000-0000D5880000}"/>
    <cellStyle name="40% - Accent6 2 6 2 2 2 2 3" xfId="40119" xr:uid="{00000000-0005-0000-0000-0000D6880000}"/>
    <cellStyle name="40% - Accent6 2 6 2 2 2 3" xfId="20703" xr:uid="{00000000-0005-0000-0000-0000D7880000}"/>
    <cellStyle name="40% - Accent6 2 6 2 2 2 3 2" xfId="46577" xr:uid="{00000000-0005-0000-0000-0000D8880000}"/>
    <cellStyle name="40% - Accent6 2 6 2 2 2 4" xfId="33661" xr:uid="{00000000-0005-0000-0000-0000D9880000}"/>
    <cellStyle name="40% - Accent6 2 6 2 2 3" xfId="11016" xr:uid="{00000000-0005-0000-0000-0000DA880000}"/>
    <cellStyle name="40% - Accent6 2 6 2 2 3 2" xfId="23933" xr:uid="{00000000-0005-0000-0000-0000DB880000}"/>
    <cellStyle name="40% - Accent6 2 6 2 2 3 2 2" xfId="49807" xr:uid="{00000000-0005-0000-0000-0000DC880000}"/>
    <cellStyle name="40% - Accent6 2 6 2 2 3 3" xfId="36891" xr:uid="{00000000-0005-0000-0000-0000DD880000}"/>
    <cellStyle name="40% - Accent6 2 6 2 2 4" xfId="17475" xr:uid="{00000000-0005-0000-0000-0000DE880000}"/>
    <cellStyle name="40% - Accent6 2 6 2 2 4 2" xfId="43349" xr:uid="{00000000-0005-0000-0000-0000DF880000}"/>
    <cellStyle name="40% - Accent6 2 6 2 2 5" xfId="30401" xr:uid="{00000000-0005-0000-0000-0000E0880000}"/>
    <cellStyle name="40% - Accent6 2 6 2 3" xfId="6171" xr:uid="{00000000-0005-0000-0000-0000E1880000}"/>
    <cellStyle name="40% - Accent6 2 6 2 3 2" xfId="12630" xr:uid="{00000000-0005-0000-0000-0000E2880000}"/>
    <cellStyle name="40% - Accent6 2 6 2 3 2 2" xfId="25547" xr:uid="{00000000-0005-0000-0000-0000E3880000}"/>
    <cellStyle name="40% - Accent6 2 6 2 3 2 2 2" xfId="51421" xr:uid="{00000000-0005-0000-0000-0000E4880000}"/>
    <cellStyle name="40% - Accent6 2 6 2 3 2 3" xfId="38505" xr:uid="{00000000-0005-0000-0000-0000E5880000}"/>
    <cellStyle name="40% - Accent6 2 6 2 3 3" xfId="19089" xr:uid="{00000000-0005-0000-0000-0000E6880000}"/>
    <cellStyle name="40% - Accent6 2 6 2 3 3 2" xfId="44963" xr:uid="{00000000-0005-0000-0000-0000E7880000}"/>
    <cellStyle name="40% - Accent6 2 6 2 3 4" xfId="32047" xr:uid="{00000000-0005-0000-0000-0000E8880000}"/>
    <cellStyle name="40% - Accent6 2 6 2 4" xfId="9402" xr:uid="{00000000-0005-0000-0000-0000E9880000}"/>
    <cellStyle name="40% - Accent6 2 6 2 4 2" xfId="22319" xr:uid="{00000000-0005-0000-0000-0000EA880000}"/>
    <cellStyle name="40% - Accent6 2 6 2 4 2 2" xfId="48193" xr:uid="{00000000-0005-0000-0000-0000EB880000}"/>
    <cellStyle name="40% - Accent6 2 6 2 4 3" xfId="35277" xr:uid="{00000000-0005-0000-0000-0000EC880000}"/>
    <cellStyle name="40% - Accent6 2 6 2 5" xfId="15861" xr:uid="{00000000-0005-0000-0000-0000ED880000}"/>
    <cellStyle name="40% - Accent6 2 6 2 5 2" xfId="41735" xr:uid="{00000000-0005-0000-0000-0000EE880000}"/>
    <cellStyle name="40% - Accent6 2 6 2 6" xfId="28787" xr:uid="{00000000-0005-0000-0000-0000EF880000}"/>
    <cellStyle name="40% - Accent6 2 6 3" xfId="3724" xr:uid="{00000000-0005-0000-0000-0000F0880000}"/>
    <cellStyle name="40% - Accent6 2 6 3 2" xfId="6978" xr:uid="{00000000-0005-0000-0000-0000F1880000}"/>
    <cellStyle name="40% - Accent6 2 6 3 2 2" xfId="13437" xr:uid="{00000000-0005-0000-0000-0000F2880000}"/>
    <cellStyle name="40% - Accent6 2 6 3 2 2 2" xfId="26354" xr:uid="{00000000-0005-0000-0000-0000F3880000}"/>
    <cellStyle name="40% - Accent6 2 6 3 2 2 2 2" xfId="52228" xr:uid="{00000000-0005-0000-0000-0000F4880000}"/>
    <cellStyle name="40% - Accent6 2 6 3 2 2 3" xfId="39312" xr:uid="{00000000-0005-0000-0000-0000F5880000}"/>
    <cellStyle name="40% - Accent6 2 6 3 2 3" xfId="19896" xr:uid="{00000000-0005-0000-0000-0000F6880000}"/>
    <cellStyle name="40% - Accent6 2 6 3 2 3 2" xfId="45770" xr:uid="{00000000-0005-0000-0000-0000F7880000}"/>
    <cellStyle name="40% - Accent6 2 6 3 2 4" xfId="32854" xr:uid="{00000000-0005-0000-0000-0000F8880000}"/>
    <cellStyle name="40% - Accent6 2 6 3 3" xfId="10209" xr:uid="{00000000-0005-0000-0000-0000F9880000}"/>
    <cellStyle name="40% - Accent6 2 6 3 3 2" xfId="23126" xr:uid="{00000000-0005-0000-0000-0000FA880000}"/>
    <cellStyle name="40% - Accent6 2 6 3 3 2 2" xfId="49000" xr:uid="{00000000-0005-0000-0000-0000FB880000}"/>
    <cellStyle name="40% - Accent6 2 6 3 3 3" xfId="36084" xr:uid="{00000000-0005-0000-0000-0000FC880000}"/>
    <cellStyle name="40% - Accent6 2 6 3 4" xfId="16668" xr:uid="{00000000-0005-0000-0000-0000FD880000}"/>
    <cellStyle name="40% - Accent6 2 6 3 4 2" xfId="42542" xr:uid="{00000000-0005-0000-0000-0000FE880000}"/>
    <cellStyle name="40% - Accent6 2 6 3 5" xfId="29594" xr:uid="{00000000-0005-0000-0000-0000FF880000}"/>
    <cellStyle name="40% - Accent6 2 6 4" xfId="5364" xr:uid="{00000000-0005-0000-0000-000000890000}"/>
    <cellStyle name="40% - Accent6 2 6 4 2" xfId="11823" xr:uid="{00000000-0005-0000-0000-000001890000}"/>
    <cellStyle name="40% - Accent6 2 6 4 2 2" xfId="24740" xr:uid="{00000000-0005-0000-0000-000002890000}"/>
    <cellStyle name="40% - Accent6 2 6 4 2 2 2" xfId="50614" xr:uid="{00000000-0005-0000-0000-000003890000}"/>
    <cellStyle name="40% - Accent6 2 6 4 2 3" xfId="37698" xr:uid="{00000000-0005-0000-0000-000004890000}"/>
    <cellStyle name="40% - Accent6 2 6 4 3" xfId="18282" xr:uid="{00000000-0005-0000-0000-000005890000}"/>
    <cellStyle name="40% - Accent6 2 6 4 3 2" xfId="44156" xr:uid="{00000000-0005-0000-0000-000006890000}"/>
    <cellStyle name="40% - Accent6 2 6 4 4" xfId="31240" xr:uid="{00000000-0005-0000-0000-000007890000}"/>
    <cellStyle name="40% - Accent6 2 6 5" xfId="8595" xr:uid="{00000000-0005-0000-0000-000008890000}"/>
    <cellStyle name="40% - Accent6 2 6 5 2" xfId="21512" xr:uid="{00000000-0005-0000-0000-000009890000}"/>
    <cellStyle name="40% - Accent6 2 6 5 2 2" xfId="47386" xr:uid="{00000000-0005-0000-0000-00000A890000}"/>
    <cellStyle name="40% - Accent6 2 6 5 3" xfId="34470" xr:uid="{00000000-0005-0000-0000-00000B890000}"/>
    <cellStyle name="40% - Accent6 2 6 6" xfId="15054" xr:uid="{00000000-0005-0000-0000-00000C890000}"/>
    <cellStyle name="40% - Accent6 2 6 6 2" xfId="40928" xr:uid="{00000000-0005-0000-0000-00000D890000}"/>
    <cellStyle name="40% - Accent6 2 6 7" xfId="27980" xr:uid="{00000000-0005-0000-0000-00000E890000}"/>
    <cellStyle name="40% - Accent6 2 6 8" xfId="53842" xr:uid="{00000000-0005-0000-0000-00000F890000}"/>
    <cellStyle name="40% - Accent6 2 7" xfId="2490" xr:uid="{00000000-0005-0000-0000-000010890000}"/>
    <cellStyle name="40% - Accent6 2 7 2" xfId="4147" xr:uid="{00000000-0005-0000-0000-000011890000}"/>
    <cellStyle name="40% - Accent6 2 7 2 2" xfId="7378" xr:uid="{00000000-0005-0000-0000-000012890000}"/>
    <cellStyle name="40% - Accent6 2 7 2 2 2" xfId="13837" xr:uid="{00000000-0005-0000-0000-000013890000}"/>
    <cellStyle name="40% - Accent6 2 7 2 2 2 2" xfId="26754" xr:uid="{00000000-0005-0000-0000-000014890000}"/>
    <cellStyle name="40% - Accent6 2 7 2 2 2 2 2" xfId="52628" xr:uid="{00000000-0005-0000-0000-000015890000}"/>
    <cellStyle name="40% - Accent6 2 7 2 2 2 3" xfId="39712" xr:uid="{00000000-0005-0000-0000-000016890000}"/>
    <cellStyle name="40% - Accent6 2 7 2 2 3" xfId="20296" xr:uid="{00000000-0005-0000-0000-000017890000}"/>
    <cellStyle name="40% - Accent6 2 7 2 2 3 2" xfId="46170" xr:uid="{00000000-0005-0000-0000-000018890000}"/>
    <cellStyle name="40% - Accent6 2 7 2 2 4" xfId="33254" xr:uid="{00000000-0005-0000-0000-000019890000}"/>
    <cellStyle name="40% - Accent6 2 7 2 3" xfId="10609" xr:uid="{00000000-0005-0000-0000-00001A890000}"/>
    <cellStyle name="40% - Accent6 2 7 2 3 2" xfId="23526" xr:uid="{00000000-0005-0000-0000-00001B890000}"/>
    <cellStyle name="40% - Accent6 2 7 2 3 2 2" xfId="49400" xr:uid="{00000000-0005-0000-0000-00001C890000}"/>
    <cellStyle name="40% - Accent6 2 7 2 3 3" xfId="36484" xr:uid="{00000000-0005-0000-0000-00001D890000}"/>
    <cellStyle name="40% - Accent6 2 7 2 4" xfId="17068" xr:uid="{00000000-0005-0000-0000-00001E890000}"/>
    <cellStyle name="40% - Accent6 2 7 2 4 2" xfId="42942" xr:uid="{00000000-0005-0000-0000-00001F890000}"/>
    <cellStyle name="40% - Accent6 2 7 2 5" xfId="29994" xr:uid="{00000000-0005-0000-0000-000020890000}"/>
    <cellStyle name="40% - Accent6 2 7 3" xfId="5764" xr:uid="{00000000-0005-0000-0000-000021890000}"/>
    <cellStyle name="40% - Accent6 2 7 3 2" xfId="12223" xr:uid="{00000000-0005-0000-0000-000022890000}"/>
    <cellStyle name="40% - Accent6 2 7 3 2 2" xfId="25140" xr:uid="{00000000-0005-0000-0000-000023890000}"/>
    <cellStyle name="40% - Accent6 2 7 3 2 2 2" xfId="51014" xr:uid="{00000000-0005-0000-0000-000024890000}"/>
    <cellStyle name="40% - Accent6 2 7 3 2 3" xfId="38098" xr:uid="{00000000-0005-0000-0000-000025890000}"/>
    <cellStyle name="40% - Accent6 2 7 3 3" xfId="18682" xr:uid="{00000000-0005-0000-0000-000026890000}"/>
    <cellStyle name="40% - Accent6 2 7 3 3 2" xfId="44556" xr:uid="{00000000-0005-0000-0000-000027890000}"/>
    <cellStyle name="40% - Accent6 2 7 3 4" xfId="31640" xr:uid="{00000000-0005-0000-0000-000028890000}"/>
    <cellStyle name="40% - Accent6 2 7 4" xfId="8995" xr:uid="{00000000-0005-0000-0000-000029890000}"/>
    <cellStyle name="40% - Accent6 2 7 4 2" xfId="21912" xr:uid="{00000000-0005-0000-0000-00002A890000}"/>
    <cellStyle name="40% - Accent6 2 7 4 2 2" xfId="47786" xr:uid="{00000000-0005-0000-0000-00002B890000}"/>
    <cellStyle name="40% - Accent6 2 7 4 3" xfId="34870" xr:uid="{00000000-0005-0000-0000-00002C890000}"/>
    <cellStyle name="40% - Accent6 2 7 5" xfId="15454" xr:uid="{00000000-0005-0000-0000-00002D890000}"/>
    <cellStyle name="40% - Accent6 2 7 5 2" xfId="41328" xr:uid="{00000000-0005-0000-0000-00002E890000}"/>
    <cellStyle name="40% - Accent6 2 7 6" xfId="28380" xr:uid="{00000000-0005-0000-0000-00002F890000}"/>
    <cellStyle name="40% - Accent6 2 8" xfId="3300" xr:uid="{00000000-0005-0000-0000-000030890000}"/>
    <cellStyle name="40% - Accent6 2 8 2" xfId="6571" xr:uid="{00000000-0005-0000-0000-000031890000}"/>
    <cellStyle name="40% - Accent6 2 8 2 2" xfId="13030" xr:uid="{00000000-0005-0000-0000-000032890000}"/>
    <cellStyle name="40% - Accent6 2 8 2 2 2" xfId="25947" xr:uid="{00000000-0005-0000-0000-000033890000}"/>
    <cellStyle name="40% - Accent6 2 8 2 2 2 2" xfId="51821" xr:uid="{00000000-0005-0000-0000-000034890000}"/>
    <cellStyle name="40% - Accent6 2 8 2 2 3" xfId="38905" xr:uid="{00000000-0005-0000-0000-000035890000}"/>
    <cellStyle name="40% - Accent6 2 8 2 3" xfId="19489" xr:uid="{00000000-0005-0000-0000-000036890000}"/>
    <cellStyle name="40% - Accent6 2 8 2 3 2" xfId="45363" xr:uid="{00000000-0005-0000-0000-000037890000}"/>
    <cellStyle name="40% - Accent6 2 8 2 4" xfId="32447" xr:uid="{00000000-0005-0000-0000-000038890000}"/>
    <cellStyle name="40% - Accent6 2 8 3" xfId="9802" xr:uid="{00000000-0005-0000-0000-000039890000}"/>
    <cellStyle name="40% - Accent6 2 8 3 2" xfId="22719" xr:uid="{00000000-0005-0000-0000-00003A890000}"/>
    <cellStyle name="40% - Accent6 2 8 3 2 2" xfId="48593" xr:uid="{00000000-0005-0000-0000-00003B890000}"/>
    <cellStyle name="40% - Accent6 2 8 3 3" xfId="35677" xr:uid="{00000000-0005-0000-0000-00003C890000}"/>
    <cellStyle name="40% - Accent6 2 8 4" xfId="16261" xr:uid="{00000000-0005-0000-0000-00003D890000}"/>
    <cellStyle name="40% - Accent6 2 8 4 2" xfId="42135" xr:uid="{00000000-0005-0000-0000-00003E890000}"/>
    <cellStyle name="40% - Accent6 2 8 5" xfId="29187" xr:uid="{00000000-0005-0000-0000-00003F890000}"/>
    <cellStyle name="40% - Accent6 2 9" xfId="4957" xr:uid="{00000000-0005-0000-0000-000040890000}"/>
    <cellStyle name="40% - Accent6 2 9 2" xfId="11416" xr:uid="{00000000-0005-0000-0000-000041890000}"/>
    <cellStyle name="40% - Accent6 2 9 2 2" xfId="24333" xr:uid="{00000000-0005-0000-0000-000042890000}"/>
    <cellStyle name="40% - Accent6 2 9 2 2 2" xfId="50207" xr:uid="{00000000-0005-0000-0000-000043890000}"/>
    <cellStyle name="40% - Accent6 2 9 2 3" xfId="37291" xr:uid="{00000000-0005-0000-0000-000044890000}"/>
    <cellStyle name="40% - Accent6 2 9 3" xfId="17875" xr:uid="{00000000-0005-0000-0000-000045890000}"/>
    <cellStyle name="40% - Accent6 2 9 3 2" xfId="43749" xr:uid="{00000000-0005-0000-0000-000046890000}"/>
    <cellStyle name="40% - Accent6 2 9 4" xfId="30833" xr:uid="{00000000-0005-0000-0000-000047890000}"/>
    <cellStyle name="40% - Accent6 20" xfId="27576" xr:uid="{00000000-0005-0000-0000-000048890000}"/>
    <cellStyle name="40% - Accent6 21" xfId="53423" xr:uid="{00000000-0005-0000-0000-000049890000}"/>
    <cellStyle name="40% - Accent6 22" xfId="200" xr:uid="{00000000-0005-0000-0000-00004A890000}"/>
    <cellStyle name="40% - Accent6 3" xfId="85" xr:uid="{00000000-0005-0000-0000-00004B890000}"/>
    <cellStyle name="40% - Accent6 3 2" xfId="273" xr:uid="{00000000-0005-0000-0000-00004C890000}"/>
    <cellStyle name="40% - Accent6 3 2 10" xfId="53558" xr:uid="{00000000-0005-0000-0000-00004D890000}"/>
    <cellStyle name="40% - Accent6 3 2 11" xfId="1642" xr:uid="{00000000-0005-0000-0000-00004E890000}"/>
    <cellStyle name="40% - Accent6 3 2 2" xfId="447" xr:uid="{00000000-0005-0000-0000-00004F890000}"/>
    <cellStyle name="40% - Accent6 3 2 2 10" xfId="1967" xr:uid="{00000000-0005-0000-0000-000050890000}"/>
    <cellStyle name="40% - Accent6 3 2 2 2" xfId="788" xr:uid="{00000000-0005-0000-0000-000051890000}"/>
    <cellStyle name="40% - Accent6 3 2 2 2 2" xfId="3211" xr:uid="{00000000-0005-0000-0000-000052890000}"/>
    <cellStyle name="40% - Accent6 3 2 2 2 2 2" xfId="4868" xr:uid="{00000000-0005-0000-0000-000053890000}"/>
    <cellStyle name="40% - Accent6 3 2 2 2 2 2 2" xfId="8099" xr:uid="{00000000-0005-0000-0000-000054890000}"/>
    <cellStyle name="40% - Accent6 3 2 2 2 2 2 2 2" xfId="14558" xr:uid="{00000000-0005-0000-0000-000055890000}"/>
    <cellStyle name="40% - Accent6 3 2 2 2 2 2 2 2 2" xfId="27475" xr:uid="{00000000-0005-0000-0000-000056890000}"/>
    <cellStyle name="40% - Accent6 3 2 2 2 2 2 2 2 2 2" xfId="53349" xr:uid="{00000000-0005-0000-0000-000057890000}"/>
    <cellStyle name="40% - Accent6 3 2 2 2 2 2 2 2 3" xfId="40433" xr:uid="{00000000-0005-0000-0000-000058890000}"/>
    <cellStyle name="40% - Accent6 3 2 2 2 2 2 2 3" xfId="21017" xr:uid="{00000000-0005-0000-0000-000059890000}"/>
    <cellStyle name="40% - Accent6 3 2 2 2 2 2 2 3 2" xfId="46891" xr:uid="{00000000-0005-0000-0000-00005A890000}"/>
    <cellStyle name="40% - Accent6 3 2 2 2 2 2 2 4" xfId="33975" xr:uid="{00000000-0005-0000-0000-00005B890000}"/>
    <cellStyle name="40% - Accent6 3 2 2 2 2 2 3" xfId="11330" xr:uid="{00000000-0005-0000-0000-00005C890000}"/>
    <cellStyle name="40% - Accent6 3 2 2 2 2 2 3 2" xfId="24247" xr:uid="{00000000-0005-0000-0000-00005D890000}"/>
    <cellStyle name="40% - Accent6 3 2 2 2 2 2 3 2 2" xfId="50121" xr:uid="{00000000-0005-0000-0000-00005E890000}"/>
    <cellStyle name="40% - Accent6 3 2 2 2 2 2 3 3" xfId="37205" xr:uid="{00000000-0005-0000-0000-00005F890000}"/>
    <cellStyle name="40% - Accent6 3 2 2 2 2 2 4" xfId="17789" xr:uid="{00000000-0005-0000-0000-000060890000}"/>
    <cellStyle name="40% - Accent6 3 2 2 2 2 2 4 2" xfId="43663" xr:uid="{00000000-0005-0000-0000-000061890000}"/>
    <cellStyle name="40% - Accent6 3 2 2 2 2 2 5" xfId="30715" xr:uid="{00000000-0005-0000-0000-000062890000}"/>
    <cellStyle name="40% - Accent6 3 2 2 2 2 3" xfId="6485" xr:uid="{00000000-0005-0000-0000-000063890000}"/>
    <cellStyle name="40% - Accent6 3 2 2 2 2 3 2" xfId="12944" xr:uid="{00000000-0005-0000-0000-000064890000}"/>
    <cellStyle name="40% - Accent6 3 2 2 2 2 3 2 2" xfId="25861" xr:uid="{00000000-0005-0000-0000-000065890000}"/>
    <cellStyle name="40% - Accent6 3 2 2 2 2 3 2 2 2" xfId="51735" xr:uid="{00000000-0005-0000-0000-000066890000}"/>
    <cellStyle name="40% - Accent6 3 2 2 2 2 3 2 3" xfId="38819" xr:uid="{00000000-0005-0000-0000-000067890000}"/>
    <cellStyle name="40% - Accent6 3 2 2 2 2 3 3" xfId="19403" xr:uid="{00000000-0005-0000-0000-000068890000}"/>
    <cellStyle name="40% - Accent6 3 2 2 2 2 3 3 2" xfId="45277" xr:uid="{00000000-0005-0000-0000-000069890000}"/>
    <cellStyle name="40% - Accent6 3 2 2 2 2 3 4" xfId="32361" xr:uid="{00000000-0005-0000-0000-00006A890000}"/>
    <cellStyle name="40% - Accent6 3 2 2 2 2 4" xfId="9716" xr:uid="{00000000-0005-0000-0000-00006B890000}"/>
    <cellStyle name="40% - Accent6 3 2 2 2 2 4 2" xfId="22633" xr:uid="{00000000-0005-0000-0000-00006C890000}"/>
    <cellStyle name="40% - Accent6 3 2 2 2 2 4 2 2" xfId="48507" xr:uid="{00000000-0005-0000-0000-00006D890000}"/>
    <cellStyle name="40% - Accent6 3 2 2 2 2 4 3" xfId="35591" xr:uid="{00000000-0005-0000-0000-00006E890000}"/>
    <cellStyle name="40% - Accent6 3 2 2 2 2 5" xfId="16175" xr:uid="{00000000-0005-0000-0000-00006F890000}"/>
    <cellStyle name="40% - Accent6 3 2 2 2 2 5 2" xfId="42049" xr:uid="{00000000-0005-0000-0000-000070890000}"/>
    <cellStyle name="40% - Accent6 3 2 2 2 2 6" xfId="29101" xr:uid="{00000000-0005-0000-0000-000071890000}"/>
    <cellStyle name="40% - Accent6 3 2 2 2 3" xfId="4038" xr:uid="{00000000-0005-0000-0000-000072890000}"/>
    <cellStyle name="40% - Accent6 3 2 2 2 3 2" xfId="7292" xr:uid="{00000000-0005-0000-0000-000073890000}"/>
    <cellStyle name="40% - Accent6 3 2 2 2 3 2 2" xfId="13751" xr:uid="{00000000-0005-0000-0000-000074890000}"/>
    <cellStyle name="40% - Accent6 3 2 2 2 3 2 2 2" xfId="26668" xr:uid="{00000000-0005-0000-0000-000075890000}"/>
    <cellStyle name="40% - Accent6 3 2 2 2 3 2 2 2 2" xfId="52542" xr:uid="{00000000-0005-0000-0000-000076890000}"/>
    <cellStyle name="40% - Accent6 3 2 2 2 3 2 2 3" xfId="39626" xr:uid="{00000000-0005-0000-0000-000077890000}"/>
    <cellStyle name="40% - Accent6 3 2 2 2 3 2 3" xfId="20210" xr:uid="{00000000-0005-0000-0000-000078890000}"/>
    <cellStyle name="40% - Accent6 3 2 2 2 3 2 3 2" xfId="46084" xr:uid="{00000000-0005-0000-0000-000079890000}"/>
    <cellStyle name="40% - Accent6 3 2 2 2 3 2 4" xfId="33168" xr:uid="{00000000-0005-0000-0000-00007A890000}"/>
    <cellStyle name="40% - Accent6 3 2 2 2 3 3" xfId="10523" xr:uid="{00000000-0005-0000-0000-00007B890000}"/>
    <cellStyle name="40% - Accent6 3 2 2 2 3 3 2" xfId="23440" xr:uid="{00000000-0005-0000-0000-00007C890000}"/>
    <cellStyle name="40% - Accent6 3 2 2 2 3 3 2 2" xfId="49314" xr:uid="{00000000-0005-0000-0000-00007D890000}"/>
    <cellStyle name="40% - Accent6 3 2 2 2 3 3 3" xfId="36398" xr:uid="{00000000-0005-0000-0000-00007E890000}"/>
    <cellStyle name="40% - Accent6 3 2 2 2 3 4" xfId="16982" xr:uid="{00000000-0005-0000-0000-00007F890000}"/>
    <cellStyle name="40% - Accent6 3 2 2 2 3 4 2" xfId="42856" xr:uid="{00000000-0005-0000-0000-000080890000}"/>
    <cellStyle name="40% - Accent6 3 2 2 2 3 5" xfId="29908" xr:uid="{00000000-0005-0000-0000-000081890000}"/>
    <cellStyle name="40% - Accent6 3 2 2 2 4" xfId="5678" xr:uid="{00000000-0005-0000-0000-000082890000}"/>
    <cellStyle name="40% - Accent6 3 2 2 2 4 2" xfId="12137" xr:uid="{00000000-0005-0000-0000-000083890000}"/>
    <cellStyle name="40% - Accent6 3 2 2 2 4 2 2" xfId="25054" xr:uid="{00000000-0005-0000-0000-000084890000}"/>
    <cellStyle name="40% - Accent6 3 2 2 2 4 2 2 2" xfId="50928" xr:uid="{00000000-0005-0000-0000-000085890000}"/>
    <cellStyle name="40% - Accent6 3 2 2 2 4 2 3" xfId="38012" xr:uid="{00000000-0005-0000-0000-000086890000}"/>
    <cellStyle name="40% - Accent6 3 2 2 2 4 3" xfId="18596" xr:uid="{00000000-0005-0000-0000-000087890000}"/>
    <cellStyle name="40% - Accent6 3 2 2 2 4 3 2" xfId="44470" xr:uid="{00000000-0005-0000-0000-000088890000}"/>
    <cellStyle name="40% - Accent6 3 2 2 2 4 4" xfId="31554" xr:uid="{00000000-0005-0000-0000-000089890000}"/>
    <cellStyle name="40% - Accent6 3 2 2 2 5" xfId="8909" xr:uid="{00000000-0005-0000-0000-00008A890000}"/>
    <cellStyle name="40% - Accent6 3 2 2 2 5 2" xfId="21826" xr:uid="{00000000-0005-0000-0000-00008B890000}"/>
    <cellStyle name="40% - Accent6 3 2 2 2 5 2 2" xfId="47700" xr:uid="{00000000-0005-0000-0000-00008C890000}"/>
    <cellStyle name="40% - Accent6 3 2 2 2 5 3" xfId="34784" xr:uid="{00000000-0005-0000-0000-00008D890000}"/>
    <cellStyle name="40% - Accent6 3 2 2 2 6" xfId="15368" xr:uid="{00000000-0005-0000-0000-00008E890000}"/>
    <cellStyle name="40% - Accent6 3 2 2 2 6 2" xfId="41242" xr:uid="{00000000-0005-0000-0000-00008F890000}"/>
    <cellStyle name="40% - Accent6 3 2 2 2 7" xfId="28294" xr:uid="{00000000-0005-0000-0000-000090890000}"/>
    <cellStyle name="40% - Accent6 3 2 2 2 8" xfId="54156" xr:uid="{00000000-0005-0000-0000-000091890000}"/>
    <cellStyle name="40% - Accent6 3 2 2 2 9" xfId="2398" xr:uid="{00000000-0005-0000-0000-000092890000}"/>
    <cellStyle name="40% - Accent6 3 2 2 3" xfId="787" xr:uid="{00000000-0005-0000-0000-000093890000}"/>
    <cellStyle name="40% - Accent6 3 2 2 3 2" xfId="4464" xr:uid="{00000000-0005-0000-0000-000094890000}"/>
    <cellStyle name="40% - Accent6 3 2 2 3 2 2" xfId="7695" xr:uid="{00000000-0005-0000-0000-000095890000}"/>
    <cellStyle name="40% - Accent6 3 2 2 3 2 2 2" xfId="14154" xr:uid="{00000000-0005-0000-0000-000096890000}"/>
    <cellStyle name="40% - Accent6 3 2 2 3 2 2 2 2" xfId="27071" xr:uid="{00000000-0005-0000-0000-000097890000}"/>
    <cellStyle name="40% - Accent6 3 2 2 3 2 2 2 2 2" xfId="52945" xr:uid="{00000000-0005-0000-0000-000098890000}"/>
    <cellStyle name="40% - Accent6 3 2 2 3 2 2 2 3" xfId="40029" xr:uid="{00000000-0005-0000-0000-000099890000}"/>
    <cellStyle name="40% - Accent6 3 2 2 3 2 2 3" xfId="20613" xr:uid="{00000000-0005-0000-0000-00009A890000}"/>
    <cellStyle name="40% - Accent6 3 2 2 3 2 2 3 2" xfId="46487" xr:uid="{00000000-0005-0000-0000-00009B890000}"/>
    <cellStyle name="40% - Accent6 3 2 2 3 2 2 4" xfId="33571" xr:uid="{00000000-0005-0000-0000-00009C890000}"/>
    <cellStyle name="40% - Accent6 3 2 2 3 2 3" xfId="10926" xr:uid="{00000000-0005-0000-0000-00009D890000}"/>
    <cellStyle name="40% - Accent6 3 2 2 3 2 3 2" xfId="23843" xr:uid="{00000000-0005-0000-0000-00009E890000}"/>
    <cellStyle name="40% - Accent6 3 2 2 3 2 3 2 2" xfId="49717" xr:uid="{00000000-0005-0000-0000-00009F890000}"/>
    <cellStyle name="40% - Accent6 3 2 2 3 2 3 3" xfId="36801" xr:uid="{00000000-0005-0000-0000-0000A0890000}"/>
    <cellStyle name="40% - Accent6 3 2 2 3 2 4" xfId="17385" xr:uid="{00000000-0005-0000-0000-0000A1890000}"/>
    <cellStyle name="40% - Accent6 3 2 2 3 2 4 2" xfId="43259" xr:uid="{00000000-0005-0000-0000-0000A2890000}"/>
    <cellStyle name="40% - Accent6 3 2 2 3 2 5" xfId="30311" xr:uid="{00000000-0005-0000-0000-0000A3890000}"/>
    <cellStyle name="40% - Accent6 3 2 2 3 3" xfId="6081" xr:uid="{00000000-0005-0000-0000-0000A4890000}"/>
    <cellStyle name="40% - Accent6 3 2 2 3 3 2" xfId="12540" xr:uid="{00000000-0005-0000-0000-0000A5890000}"/>
    <cellStyle name="40% - Accent6 3 2 2 3 3 2 2" xfId="25457" xr:uid="{00000000-0005-0000-0000-0000A6890000}"/>
    <cellStyle name="40% - Accent6 3 2 2 3 3 2 2 2" xfId="51331" xr:uid="{00000000-0005-0000-0000-0000A7890000}"/>
    <cellStyle name="40% - Accent6 3 2 2 3 3 2 3" xfId="38415" xr:uid="{00000000-0005-0000-0000-0000A8890000}"/>
    <cellStyle name="40% - Accent6 3 2 2 3 3 3" xfId="18999" xr:uid="{00000000-0005-0000-0000-0000A9890000}"/>
    <cellStyle name="40% - Accent6 3 2 2 3 3 3 2" xfId="44873" xr:uid="{00000000-0005-0000-0000-0000AA890000}"/>
    <cellStyle name="40% - Accent6 3 2 2 3 3 4" xfId="31957" xr:uid="{00000000-0005-0000-0000-0000AB890000}"/>
    <cellStyle name="40% - Accent6 3 2 2 3 4" xfId="9312" xr:uid="{00000000-0005-0000-0000-0000AC890000}"/>
    <cellStyle name="40% - Accent6 3 2 2 3 4 2" xfId="22229" xr:uid="{00000000-0005-0000-0000-0000AD890000}"/>
    <cellStyle name="40% - Accent6 3 2 2 3 4 2 2" xfId="48103" xr:uid="{00000000-0005-0000-0000-0000AE890000}"/>
    <cellStyle name="40% - Accent6 3 2 2 3 4 3" xfId="35187" xr:uid="{00000000-0005-0000-0000-0000AF890000}"/>
    <cellStyle name="40% - Accent6 3 2 2 3 5" xfId="15771" xr:uid="{00000000-0005-0000-0000-0000B0890000}"/>
    <cellStyle name="40% - Accent6 3 2 2 3 5 2" xfId="41645" xr:uid="{00000000-0005-0000-0000-0000B1890000}"/>
    <cellStyle name="40% - Accent6 3 2 2 3 6" xfId="28697" xr:uid="{00000000-0005-0000-0000-0000B2890000}"/>
    <cellStyle name="40% - Accent6 3 2 2 3 7" xfId="2807" xr:uid="{00000000-0005-0000-0000-0000B3890000}"/>
    <cellStyle name="40% - Accent6 3 2 2 4" xfId="3634" xr:uid="{00000000-0005-0000-0000-0000B4890000}"/>
    <cellStyle name="40% - Accent6 3 2 2 4 2" xfId="6888" xr:uid="{00000000-0005-0000-0000-0000B5890000}"/>
    <cellStyle name="40% - Accent6 3 2 2 4 2 2" xfId="13347" xr:uid="{00000000-0005-0000-0000-0000B6890000}"/>
    <cellStyle name="40% - Accent6 3 2 2 4 2 2 2" xfId="26264" xr:uid="{00000000-0005-0000-0000-0000B7890000}"/>
    <cellStyle name="40% - Accent6 3 2 2 4 2 2 2 2" xfId="52138" xr:uid="{00000000-0005-0000-0000-0000B8890000}"/>
    <cellStyle name="40% - Accent6 3 2 2 4 2 2 3" xfId="39222" xr:uid="{00000000-0005-0000-0000-0000B9890000}"/>
    <cellStyle name="40% - Accent6 3 2 2 4 2 3" xfId="19806" xr:uid="{00000000-0005-0000-0000-0000BA890000}"/>
    <cellStyle name="40% - Accent6 3 2 2 4 2 3 2" xfId="45680" xr:uid="{00000000-0005-0000-0000-0000BB890000}"/>
    <cellStyle name="40% - Accent6 3 2 2 4 2 4" xfId="32764" xr:uid="{00000000-0005-0000-0000-0000BC890000}"/>
    <cellStyle name="40% - Accent6 3 2 2 4 3" xfId="10119" xr:uid="{00000000-0005-0000-0000-0000BD890000}"/>
    <cellStyle name="40% - Accent6 3 2 2 4 3 2" xfId="23036" xr:uid="{00000000-0005-0000-0000-0000BE890000}"/>
    <cellStyle name="40% - Accent6 3 2 2 4 3 2 2" xfId="48910" xr:uid="{00000000-0005-0000-0000-0000BF890000}"/>
    <cellStyle name="40% - Accent6 3 2 2 4 3 3" xfId="35994" xr:uid="{00000000-0005-0000-0000-0000C0890000}"/>
    <cellStyle name="40% - Accent6 3 2 2 4 4" xfId="16578" xr:uid="{00000000-0005-0000-0000-0000C1890000}"/>
    <cellStyle name="40% - Accent6 3 2 2 4 4 2" xfId="42452" xr:uid="{00000000-0005-0000-0000-0000C2890000}"/>
    <cellStyle name="40% - Accent6 3 2 2 4 5" xfId="29504" xr:uid="{00000000-0005-0000-0000-0000C3890000}"/>
    <cellStyle name="40% - Accent6 3 2 2 5" xfId="5274" xr:uid="{00000000-0005-0000-0000-0000C4890000}"/>
    <cellStyle name="40% - Accent6 3 2 2 5 2" xfId="11733" xr:uid="{00000000-0005-0000-0000-0000C5890000}"/>
    <cellStyle name="40% - Accent6 3 2 2 5 2 2" xfId="24650" xr:uid="{00000000-0005-0000-0000-0000C6890000}"/>
    <cellStyle name="40% - Accent6 3 2 2 5 2 2 2" xfId="50524" xr:uid="{00000000-0005-0000-0000-0000C7890000}"/>
    <cellStyle name="40% - Accent6 3 2 2 5 2 3" xfId="37608" xr:uid="{00000000-0005-0000-0000-0000C8890000}"/>
    <cellStyle name="40% - Accent6 3 2 2 5 3" xfId="18192" xr:uid="{00000000-0005-0000-0000-0000C9890000}"/>
    <cellStyle name="40% - Accent6 3 2 2 5 3 2" xfId="44066" xr:uid="{00000000-0005-0000-0000-0000CA890000}"/>
    <cellStyle name="40% - Accent6 3 2 2 5 4" xfId="31150" xr:uid="{00000000-0005-0000-0000-0000CB890000}"/>
    <cellStyle name="40% - Accent6 3 2 2 6" xfId="8505" xr:uid="{00000000-0005-0000-0000-0000CC890000}"/>
    <cellStyle name="40% - Accent6 3 2 2 6 2" xfId="21422" xr:uid="{00000000-0005-0000-0000-0000CD890000}"/>
    <cellStyle name="40% - Accent6 3 2 2 6 2 2" xfId="47296" xr:uid="{00000000-0005-0000-0000-0000CE890000}"/>
    <cellStyle name="40% - Accent6 3 2 2 6 3" xfId="34380" xr:uid="{00000000-0005-0000-0000-0000CF890000}"/>
    <cellStyle name="40% - Accent6 3 2 2 7" xfId="14964" xr:uid="{00000000-0005-0000-0000-0000D0890000}"/>
    <cellStyle name="40% - Accent6 3 2 2 7 2" xfId="40838" xr:uid="{00000000-0005-0000-0000-0000D1890000}"/>
    <cellStyle name="40% - Accent6 3 2 2 8" xfId="27889" xr:uid="{00000000-0005-0000-0000-0000D2890000}"/>
    <cellStyle name="40% - Accent6 3 2 2 9" xfId="53752" xr:uid="{00000000-0005-0000-0000-0000D3890000}"/>
    <cellStyle name="40% - Accent6 3 2 3" xfId="789" xr:uid="{00000000-0005-0000-0000-0000D4890000}"/>
    <cellStyle name="40% - Accent6 3 2 3 2" xfId="3016" xr:uid="{00000000-0005-0000-0000-0000D5890000}"/>
    <cellStyle name="40% - Accent6 3 2 3 2 2" xfId="4673" xr:uid="{00000000-0005-0000-0000-0000D6890000}"/>
    <cellStyle name="40% - Accent6 3 2 3 2 2 2" xfId="7904" xr:uid="{00000000-0005-0000-0000-0000D7890000}"/>
    <cellStyle name="40% - Accent6 3 2 3 2 2 2 2" xfId="14363" xr:uid="{00000000-0005-0000-0000-0000D8890000}"/>
    <cellStyle name="40% - Accent6 3 2 3 2 2 2 2 2" xfId="27280" xr:uid="{00000000-0005-0000-0000-0000D9890000}"/>
    <cellStyle name="40% - Accent6 3 2 3 2 2 2 2 2 2" xfId="53154" xr:uid="{00000000-0005-0000-0000-0000DA890000}"/>
    <cellStyle name="40% - Accent6 3 2 3 2 2 2 2 3" xfId="40238" xr:uid="{00000000-0005-0000-0000-0000DB890000}"/>
    <cellStyle name="40% - Accent6 3 2 3 2 2 2 3" xfId="20822" xr:uid="{00000000-0005-0000-0000-0000DC890000}"/>
    <cellStyle name="40% - Accent6 3 2 3 2 2 2 3 2" xfId="46696" xr:uid="{00000000-0005-0000-0000-0000DD890000}"/>
    <cellStyle name="40% - Accent6 3 2 3 2 2 2 4" xfId="33780" xr:uid="{00000000-0005-0000-0000-0000DE890000}"/>
    <cellStyle name="40% - Accent6 3 2 3 2 2 3" xfId="11135" xr:uid="{00000000-0005-0000-0000-0000DF890000}"/>
    <cellStyle name="40% - Accent6 3 2 3 2 2 3 2" xfId="24052" xr:uid="{00000000-0005-0000-0000-0000E0890000}"/>
    <cellStyle name="40% - Accent6 3 2 3 2 2 3 2 2" xfId="49926" xr:uid="{00000000-0005-0000-0000-0000E1890000}"/>
    <cellStyle name="40% - Accent6 3 2 3 2 2 3 3" xfId="37010" xr:uid="{00000000-0005-0000-0000-0000E2890000}"/>
    <cellStyle name="40% - Accent6 3 2 3 2 2 4" xfId="17594" xr:uid="{00000000-0005-0000-0000-0000E3890000}"/>
    <cellStyle name="40% - Accent6 3 2 3 2 2 4 2" xfId="43468" xr:uid="{00000000-0005-0000-0000-0000E4890000}"/>
    <cellStyle name="40% - Accent6 3 2 3 2 2 5" xfId="30520" xr:uid="{00000000-0005-0000-0000-0000E5890000}"/>
    <cellStyle name="40% - Accent6 3 2 3 2 3" xfId="6290" xr:uid="{00000000-0005-0000-0000-0000E6890000}"/>
    <cellStyle name="40% - Accent6 3 2 3 2 3 2" xfId="12749" xr:uid="{00000000-0005-0000-0000-0000E7890000}"/>
    <cellStyle name="40% - Accent6 3 2 3 2 3 2 2" xfId="25666" xr:uid="{00000000-0005-0000-0000-0000E8890000}"/>
    <cellStyle name="40% - Accent6 3 2 3 2 3 2 2 2" xfId="51540" xr:uid="{00000000-0005-0000-0000-0000E9890000}"/>
    <cellStyle name="40% - Accent6 3 2 3 2 3 2 3" xfId="38624" xr:uid="{00000000-0005-0000-0000-0000EA890000}"/>
    <cellStyle name="40% - Accent6 3 2 3 2 3 3" xfId="19208" xr:uid="{00000000-0005-0000-0000-0000EB890000}"/>
    <cellStyle name="40% - Accent6 3 2 3 2 3 3 2" xfId="45082" xr:uid="{00000000-0005-0000-0000-0000EC890000}"/>
    <cellStyle name="40% - Accent6 3 2 3 2 3 4" xfId="32166" xr:uid="{00000000-0005-0000-0000-0000ED890000}"/>
    <cellStyle name="40% - Accent6 3 2 3 2 4" xfId="9521" xr:uid="{00000000-0005-0000-0000-0000EE890000}"/>
    <cellStyle name="40% - Accent6 3 2 3 2 4 2" xfId="22438" xr:uid="{00000000-0005-0000-0000-0000EF890000}"/>
    <cellStyle name="40% - Accent6 3 2 3 2 4 2 2" xfId="48312" xr:uid="{00000000-0005-0000-0000-0000F0890000}"/>
    <cellStyle name="40% - Accent6 3 2 3 2 4 3" xfId="35396" xr:uid="{00000000-0005-0000-0000-0000F1890000}"/>
    <cellStyle name="40% - Accent6 3 2 3 2 5" xfId="15980" xr:uid="{00000000-0005-0000-0000-0000F2890000}"/>
    <cellStyle name="40% - Accent6 3 2 3 2 5 2" xfId="41854" xr:uid="{00000000-0005-0000-0000-0000F3890000}"/>
    <cellStyle name="40% - Accent6 3 2 3 2 6" xfId="28906" xr:uid="{00000000-0005-0000-0000-0000F4890000}"/>
    <cellStyle name="40% - Accent6 3 2 3 3" xfId="3843" xr:uid="{00000000-0005-0000-0000-0000F5890000}"/>
    <cellStyle name="40% - Accent6 3 2 3 3 2" xfId="7097" xr:uid="{00000000-0005-0000-0000-0000F6890000}"/>
    <cellStyle name="40% - Accent6 3 2 3 3 2 2" xfId="13556" xr:uid="{00000000-0005-0000-0000-0000F7890000}"/>
    <cellStyle name="40% - Accent6 3 2 3 3 2 2 2" xfId="26473" xr:uid="{00000000-0005-0000-0000-0000F8890000}"/>
    <cellStyle name="40% - Accent6 3 2 3 3 2 2 2 2" xfId="52347" xr:uid="{00000000-0005-0000-0000-0000F9890000}"/>
    <cellStyle name="40% - Accent6 3 2 3 3 2 2 3" xfId="39431" xr:uid="{00000000-0005-0000-0000-0000FA890000}"/>
    <cellStyle name="40% - Accent6 3 2 3 3 2 3" xfId="20015" xr:uid="{00000000-0005-0000-0000-0000FB890000}"/>
    <cellStyle name="40% - Accent6 3 2 3 3 2 3 2" xfId="45889" xr:uid="{00000000-0005-0000-0000-0000FC890000}"/>
    <cellStyle name="40% - Accent6 3 2 3 3 2 4" xfId="32973" xr:uid="{00000000-0005-0000-0000-0000FD890000}"/>
    <cellStyle name="40% - Accent6 3 2 3 3 3" xfId="10328" xr:uid="{00000000-0005-0000-0000-0000FE890000}"/>
    <cellStyle name="40% - Accent6 3 2 3 3 3 2" xfId="23245" xr:uid="{00000000-0005-0000-0000-0000FF890000}"/>
    <cellStyle name="40% - Accent6 3 2 3 3 3 2 2" xfId="49119" xr:uid="{00000000-0005-0000-0000-0000008A0000}"/>
    <cellStyle name="40% - Accent6 3 2 3 3 3 3" xfId="36203" xr:uid="{00000000-0005-0000-0000-0000018A0000}"/>
    <cellStyle name="40% - Accent6 3 2 3 3 4" xfId="16787" xr:uid="{00000000-0005-0000-0000-0000028A0000}"/>
    <cellStyle name="40% - Accent6 3 2 3 3 4 2" xfId="42661" xr:uid="{00000000-0005-0000-0000-0000038A0000}"/>
    <cellStyle name="40% - Accent6 3 2 3 3 5" xfId="29713" xr:uid="{00000000-0005-0000-0000-0000048A0000}"/>
    <cellStyle name="40% - Accent6 3 2 3 4" xfId="5483" xr:uid="{00000000-0005-0000-0000-0000058A0000}"/>
    <cellStyle name="40% - Accent6 3 2 3 4 2" xfId="11942" xr:uid="{00000000-0005-0000-0000-0000068A0000}"/>
    <cellStyle name="40% - Accent6 3 2 3 4 2 2" xfId="24859" xr:uid="{00000000-0005-0000-0000-0000078A0000}"/>
    <cellStyle name="40% - Accent6 3 2 3 4 2 2 2" xfId="50733" xr:uid="{00000000-0005-0000-0000-0000088A0000}"/>
    <cellStyle name="40% - Accent6 3 2 3 4 2 3" xfId="37817" xr:uid="{00000000-0005-0000-0000-0000098A0000}"/>
    <cellStyle name="40% - Accent6 3 2 3 4 3" xfId="18401" xr:uid="{00000000-0005-0000-0000-00000A8A0000}"/>
    <cellStyle name="40% - Accent6 3 2 3 4 3 2" xfId="44275" xr:uid="{00000000-0005-0000-0000-00000B8A0000}"/>
    <cellStyle name="40% - Accent6 3 2 3 4 4" xfId="31359" xr:uid="{00000000-0005-0000-0000-00000C8A0000}"/>
    <cellStyle name="40% - Accent6 3 2 3 5" xfId="8714" xr:uid="{00000000-0005-0000-0000-00000D8A0000}"/>
    <cellStyle name="40% - Accent6 3 2 3 5 2" xfId="21631" xr:uid="{00000000-0005-0000-0000-00000E8A0000}"/>
    <cellStyle name="40% - Accent6 3 2 3 5 2 2" xfId="47505" xr:uid="{00000000-0005-0000-0000-00000F8A0000}"/>
    <cellStyle name="40% - Accent6 3 2 3 5 3" xfId="34589" xr:uid="{00000000-0005-0000-0000-0000108A0000}"/>
    <cellStyle name="40% - Accent6 3 2 3 6" xfId="15173" xr:uid="{00000000-0005-0000-0000-0000118A0000}"/>
    <cellStyle name="40% - Accent6 3 2 3 6 2" xfId="41047" xr:uid="{00000000-0005-0000-0000-0000128A0000}"/>
    <cellStyle name="40% - Accent6 3 2 3 7" xfId="28099" xr:uid="{00000000-0005-0000-0000-0000138A0000}"/>
    <cellStyle name="40% - Accent6 3 2 3 8" xfId="53961" xr:uid="{00000000-0005-0000-0000-0000148A0000}"/>
    <cellStyle name="40% - Accent6 3 2 3 9" xfId="2202" xr:uid="{00000000-0005-0000-0000-0000158A0000}"/>
    <cellStyle name="40% - Accent6 3 2 4" xfId="786" xr:uid="{00000000-0005-0000-0000-0000168A0000}"/>
    <cellStyle name="40% - Accent6 3 2 4 2" xfId="4270" xr:uid="{00000000-0005-0000-0000-0000178A0000}"/>
    <cellStyle name="40% - Accent6 3 2 4 2 2" xfId="7501" xr:uid="{00000000-0005-0000-0000-0000188A0000}"/>
    <cellStyle name="40% - Accent6 3 2 4 2 2 2" xfId="13960" xr:uid="{00000000-0005-0000-0000-0000198A0000}"/>
    <cellStyle name="40% - Accent6 3 2 4 2 2 2 2" xfId="26877" xr:uid="{00000000-0005-0000-0000-00001A8A0000}"/>
    <cellStyle name="40% - Accent6 3 2 4 2 2 2 2 2" xfId="52751" xr:uid="{00000000-0005-0000-0000-00001B8A0000}"/>
    <cellStyle name="40% - Accent6 3 2 4 2 2 2 3" xfId="39835" xr:uid="{00000000-0005-0000-0000-00001C8A0000}"/>
    <cellStyle name="40% - Accent6 3 2 4 2 2 3" xfId="20419" xr:uid="{00000000-0005-0000-0000-00001D8A0000}"/>
    <cellStyle name="40% - Accent6 3 2 4 2 2 3 2" xfId="46293" xr:uid="{00000000-0005-0000-0000-00001E8A0000}"/>
    <cellStyle name="40% - Accent6 3 2 4 2 2 4" xfId="33377" xr:uid="{00000000-0005-0000-0000-00001F8A0000}"/>
    <cellStyle name="40% - Accent6 3 2 4 2 3" xfId="10732" xr:uid="{00000000-0005-0000-0000-0000208A0000}"/>
    <cellStyle name="40% - Accent6 3 2 4 2 3 2" xfId="23649" xr:uid="{00000000-0005-0000-0000-0000218A0000}"/>
    <cellStyle name="40% - Accent6 3 2 4 2 3 2 2" xfId="49523" xr:uid="{00000000-0005-0000-0000-0000228A0000}"/>
    <cellStyle name="40% - Accent6 3 2 4 2 3 3" xfId="36607" xr:uid="{00000000-0005-0000-0000-0000238A0000}"/>
    <cellStyle name="40% - Accent6 3 2 4 2 4" xfId="17191" xr:uid="{00000000-0005-0000-0000-0000248A0000}"/>
    <cellStyle name="40% - Accent6 3 2 4 2 4 2" xfId="43065" xr:uid="{00000000-0005-0000-0000-0000258A0000}"/>
    <cellStyle name="40% - Accent6 3 2 4 2 5" xfId="30117" xr:uid="{00000000-0005-0000-0000-0000268A0000}"/>
    <cellStyle name="40% - Accent6 3 2 4 3" xfId="5887" xr:uid="{00000000-0005-0000-0000-0000278A0000}"/>
    <cellStyle name="40% - Accent6 3 2 4 3 2" xfId="12346" xr:uid="{00000000-0005-0000-0000-0000288A0000}"/>
    <cellStyle name="40% - Accent6 3 2 4 3 2 2" xfId="25263" xr:uid="{00000000-0005-0000-0000-0000298A0000}"/>
    <cellStyle name="40% - Accent6 3 2 4 3 2 2 2" xfId="51137" xr:uid="{00000000-0005-0000-0000-00002A8A0000}"/>
    <cellStyle name="40% - Accent6 3 2 4 3 2 3" xfId="38221" xr:uid="{00000000-0005-0000-0000-00002B8A0000}"/>
    <cellStyle name="40% - Accent6 3 2 4 3 3" xfId="18805" xr:uid="{00000000-0005-0000-0000-00002C8A0000}"/>
    <cellStyle name="40% - Accent6 3 2 4 3 3 2" xfId="44679" xr:uid="{00000000-0005-0000-0000-00002D8A0000}"/>
    <cellStyle name="40% - Accent6 3 2 4 3 4" xfId="31763" xr:uid="{00000000-0005-0000-0000-00002E8A0000}"/>
    <cellStyle name="40% - Accent6 3 2 4 4" xfId="9118" xr:uid="{00000000-0005-0000-0000-00002F8A0000}"/>
    <cellStyle name="40% - Accent6 3 2 4 4 2" xfId="22035" xr:uid="{00000000-0005-0000-0000-0000308A0000}"/>
    <cellStyle name="40% - Accent6 3 2 4 4 2 2" xfId="47909" xr:uid="{00000000-0005-0000-0000-0000318A0000}"/>
    <cellStyle name="40% - Accent6 3 2 4 4 3" xfId="34993" xr:uid="{00000000-0005-0000-0000-0000328A0000}"/>
    <cellStyle name="40% - Accent6 3 2 4 5" xfId="15577" xr:uid="{00000000-0005-0000-0000-0000338A0000}"/>
    <cellStyle name="40% - Accent6 3 2 4 5 2" xfId="41451" xr:uid="{00000000-0005-0000-0000-0000348A0000}"/>
    <cellStyle name="40% - Accent6 3 2 4 6" xfId="28503" xr:uid="{00000000-0005-0000-0000-0000358A0000}"/>
    <cellStyle name="40% - Accent6 3 2 4 7" xfId="2613" xr:uid="{00000000-0005-0000-0000-0000368A0000}"/>
    <cellStyle name="40% - Accent6 3 2 5" xfId="3440" xr:uid="{00000000-0005-0000-0000-0000378A0000}"/>
    <cellStyle name="40% - Accent6 3 2 5 2" xfId="6694" xr:uid="{00000000-0005-0000-0000-0000388A0000}"/>
    <cellStyle name="40% - Accent6 3 2 5 2 2" xfId="13153" xr:uid="{00000000-0005-0000-0000-0000398A0000}"/>
    <cellStyle name="40% - Accent6 3 2 5 2 2 2" xfId="26070" xr:uid="{00000000-0005-0000-0000-00003A8A0000}"/>
    <cellStyle name="40% - Accent6 3 2 5 2 2 2 2" xfId="51944" xr:uid="{00000000-0005-0000-0000-00003B8A0000}"/>
    <cellStyle name="40% - Accent6 3 2 5 2 2 3" xfId="39028" xr:uid="{00000000-0005-0000-0000-00003C8A0000}"/>
    <cellStyle name="40% - Accent6 3 2 5 2 3" xfId="19612" xr:uid="{00000000-0005-0000-0000-00003D8A0000}"/>
    <cellStyle name="40% - Accent6 3 2 5 2 3 2" xfId="45486" xr:uid="{00000000-0005-0000-0000-00003E8A0000}"/>
    <cellStyle name="40% - Accent6 3 2 5 2 4" xfId="32570" xr:uid="{00000000-0005-0000-0000-00003F8A0000}"/>
    <cellStyle name="40% - Accent6 3 2 5 3" xfId="9925" xr:uid="{00000000-0005-0000-0000-0000408A0000}"/>
    <cellStyle name="40% - Accent6 3 2 5 3 2" xfId="22842" xr:uid="{00000000-0005-0000-0000-0000418A0000}"/>
    <cellStyle name="40% - Accent6 3 2 5 3 2 2" xfId="48716" xr:uid="{00000000-0005-0000-0000-0000428A0000}"/>
    <cellStyle name="40% - Accent6 3 2 5 3 3" xfId="35800" xr:uid="{00000000-0005-0000-0000-0000438A0000}"/>
    <cellStyle name="40% - Accent6 3 2 5 4" xfId="16384" xr:uid="{00000000-0005-0000-0000-0000448A0000}"/>
    <cellStyle name="40% - Accent6 3 2 5 4 2" xfId="42258" xr:uid="{00000000-0005-0000-0000-0000458A0000}"/>
    <cellStyle name="40% - Accent6 3 2 5 5" xfId="29310" xr:uid="{00000000-0005-0000-0000-0000468A0000}"/>
    <cellStyle name="40% - Accent6 3 2 6" xfId="5080" xr:uid="{00000000-0005-0000-0000-0000478A0000}"/>
    <cellStyle name="40% - Accent6 3 2 6 2" xfId="11539" xr:uid="{00000000-0005-0000-0000-0000488A0000}"/>
    <cellStyle name="40% - Accent6 3 2 6 2 2" xfId="24456" xr:uid="{00000000-0005-0000-0000-0000498A0000}"/>
    <cellStyle name="40% - Accent6 3 2 6 2 2 2" xfId="50330" xr:uid="{00000000-0005-0000-0000-00004A8A0000}"/>
    <cellStyle name="40% - Accent6 3 2 6 2 3" xfId="37414" xr:uid="{00000000-0005-0000-0000-00004B8A0000}"/>
    <cellStyle name="40% - Accent6 3 2 6 3" xfId="17998" xr:uid="{00000000-0005-0000-0000-00004C8A0000}"/>
    <cellStyle name="40% - Accent6 3 2 6 3 2" xfId="43872" xr:uid="{00000000-0005-0000-0000-00004D8A0000}"/>
    <cellStyle name="40% - Accent6 3 2 6 4" xfId="30956" xr:uid="{00000000-0005-0000-0000-00004E8A0000}"/>
    <cellStyle name="40% - Accent6 3 2 7" xfId="8310" xr:uid="{00000000-0005-0000-0000-00004F8A0000}"/>
    <cellStyle name="40% - Accent6 3 2 7 2" xfId="21227" xr:uid="{00000000-0005-0000-0000-0000508A0000}"/>
    <cellStyle name="40% - Accent6 3 2 7 2 2" xfId="47101" xr:uid="{00000000-0005-0000-0000-0000518A0000}"/>
    <cellStyle name="40% - Accent6 3 2 7 3" xfId="34185" xr:uid="{00000000-0005-0000-0000-0000528A0000}"/>
    <cellStyle name="40% - Accent6 3 2 8" xfId="14769" xr:uid="{00000000-0005-0000-0000-0000538A0000}"/>
    <cellStyle name="40% - Accent6 3 2 8 2" xfId="40643" xr:uid="{00000000-0005-0000-0000-0000548A0000}"/>
    <cellStyle name="40% - Accent6 3 2 9" xfId="27693" xr:uid="{00000000-0005-0000-0000-0000558A0000}"/>
    <cellStyle name="40% - Accent6 3 3" xfId="328" xr:uid="{00000000-0005-0000-0000-0000568A0000}"/>
    <cellStyle name="40% - Accent6 3 3 10" xfId="53524" xr:uid="{00000000-0005-0000-0000-0000578A0000}"/>
    <cellStyle name="40% - Accent6 3 3 11" xfId="1607" xr:uid="{00000000-0005-0000-0000-0000588A0000}"/>
    <cellStyle name="40% - Accent6 3 3 2" xfId="465" xr:uid="{00000000-0005-0000-0000-0000598A0000}"/>
    <cellStyle name="40% - Accent6 3 3 2 10" xfId="1933" xr:uid="{00000000-0005-0000-0000-00005A8A0000}"/>
    <cellStyle name="40% - Accent6 3 3 2 2" xfId="792" xr:uid="{00000000-0005-0000-0000-00005B8A0000}"/>
    <cellStyle name="40% - Accent6 3 3 2 2 2" xfId="3177" xr:uid="{00000000-0005-0000-0000-00005C8A0000}"/>
    <cellStyle name="40% - Accent6 3 3 2 2 2 2" xfId="4834" xr:uid="{00000000-0005-0000-0000-00005D8A0000}"/>
    <cellStyle name="40% - Accent6 3 3 2 2 2 2 2" xfId="8065" xr:uid="{00000000-0005-0000-0000-00005E8A0000}"/>
    <cellStyle name="40% - Accent6 3 3 2 2 2 2 2 2" xfId="14524" xr:uid="{00000000-0005-0000-0000-00005F8A0000}"/>
    <cellStyle name="40% - Accent6 3 3 2 2 2 2 2 2 2" xfId="27441" xr:uid="{00000000-0005-0000-0000-0000608A0000}"/>
    <cellStyle name="40% - Accent6 3 3 2 2 2 2 2 2 2 2" xfId="53315" xr:uid="{00000000-0005-0000-0000-0000618A0000}"/>
    <cellStyle name="40% - Accent6 3 3 2 2 2 2 2 2 3" xfId="40399" xr:uid="{00000000-0005-0000-0000-0000628A0000}"/>
    <cellStyle name="40% - Accent6 3 3 2 2 2 2 2 3" xfId="20983" xr:uid="{00000000-0005-0000-0000-0000638A0000}"/>
    <cellStyle name="40% - Accent6 3 3 2 2 2 2 2 3 2" xfId="46857" xr:uid="{00000000-0005-0000-0000-0000648A0000}"/>
    <cellStyle name="40% - Accent6 3 3 2 2 2 2 2 4" xfId="33941" xr:uid="{00000000-0005-0000-0000-0000658A0000}"/>
    <cellStyle name="40% - Accent6 3 3 2 2 2 2 3" xfId="11296" xr:uid="{00000000-0005-0000-0000-0000668A0000}"/>
    <cellStyle name="40% - Accent6 3 3 2 2 2 2 3 2" xfId="24213" xr:uid="{00000000-0005-0000-0000-0000678A0000}"/>
    <cellStyle name="40% - Accent6 3 3 2 2 2 2 3 2 2" xfId="50087" xr:uid="{00000000-0005-0000-0000-0000688A0000}"/>
    <cellStyle name="40% - Accent6 3 3 2 2 2 2 3 3" xfId="37171" xr:uid="{00000000-0005-0000-0000-0000698A0000}"/>
    <cellStyle name="40% - Accent6 3 3 2 2 2 2 4" xfId="17755" xr:uid="{00000000-0005-0000-0000-00006A8A0000}"/>
    <cellStyle name="40% - Accent6 3 3 2 2 2 2 4 2" xfId="43629" xr:uid="{00000000-0005-0000-0000-00006B8A0000}"/>
    <cellStyle name="40% - Accent6 3 3 2 2 2 2 5" xfId="30681" xr:uid="{00000000-0005-0000-0000-00006C8A0000}"/>
    <cellStyle name="40% - Accent6 3 3 2 2 2 3" xfId="6451" xr:uid="{00000000-0005-0000-0000-00006D8A0000}"/>
    <cellStyle name="40% - Accent6 3 3 2 2 2 3 2" xfId="12910" xr:uid="{00000000-0005-0000-0000-00006E8A0000}"/>
    <cellStyle name="40% - Accent6 3 3 2 2 2 3 2 2" xfId="25827" xr:uid="{00000000-0005-0000-0000-00006F8A0000}"/>
    <cellStyle name="40% - Accent6 3 3 2 2 2 3 2 2 2" xfId="51701" xr:uid="{00000000-0005-0000-0000-0000708A0000}"/>
    <cellStyle name="40% - Accent6 3 3 2 2 2 3 2 3" xfId="38785" xr:uid="{00000000-0005-0000-0000-0000718A0000}"/>
    <cellStyle name="40% - Accent6 3 3 2 2 2 3 3" xfId="19369" xr:uid="{00000000-0005-0000-0000-0000728A0000}"/>
    <cellStyle name="40% - Accent6 3 3 2 2 2 3 3 2" xfId="45243" xr:uid="{00000000-0005-0000-0000-0000738A0000}"/>
    <cellStyle name="40% - Accent6 3 3 2 2 2 3 4" xfId="32327" xr:uid="{00000000-0005-0000-0000-0000748A0000}"/>
    <cellStyle name="40% - Accent6 3 3 2 2 2 4" xfId="9682" xr:uid="{00000000-0005-0000-0000-0000758A0000}"/>
    <cellStyle name="40% - Accent6 3 3 2 2 2 4 2" xfId="22599" xr:uid="{00000000-0005-0000-0000-0000768A0000}"/>
    <cellStyle name="40% - Accent6 3 3 2 2 2 4 2 2" xfId="48473" xr:uid="{00000000-0005-0000-0000-0000778A0000}"/>
    <cellStyle name="40% - Accent6 3 3 2 2 2 4 3" xfId="35557" xr:uid="{00000000-0005-0000-0000-0000788A0000}"/>
    <cellStyle name="40% - Accent6 3 3 2 2 2 5" xfId="16141" xr:uid="{00000000-0005-0000-0000-0000798A0000}"/>
    <cellStyle name="40% - Accent6 3 3 2 2 2 5 2" xfId="42015" xr:uid="{00000000-0005-0000-0000-00007A8A0000}"/>
    <cellStyle name="40% - Accent6 3 3 2 2 2 6" xfId="29067" xr:uid="{00000000-0005-0000-0000-00007B8A0000}"/>
    <cellStyle name="40% - Accent6 3 3 2 2 3" xfId="4004" xr:uid="{00000000-0005-0000-0000-00007C8A0000}"/>
    <cellStyle name="40% - Accent6 3 3 2 2 3 2" xfId="7258" xr:uid="{00000000-0005-0000-0000-00007D8A0000}"/>
    <cellStyle name="40% - Accent6 3 3 2 2 3 2 2" xfId="13717" xr:uid="{00000000-0005-0000-0000-00007E8A0000}"/>
    <cellStyle name="40% - Accent6 3 3 2 2 3 2 2 2" xfId="26634" xr:uid="{00000000-0005-0000-0000-00007F8A0000}"/>
    <cellStyle name="40% - Accent6 3 3 2 2 3 2 2 2 2" xfId="52508" xr:uid="{00000000-0005-0000-0000-0000808A0000}"/>
    <cellStyle name="40% - Accent6 3 3 2 2 3 2 2 3" xfId="39592" xr:uid="{00000000-0005-0000-0000-0000818A0000}"/>
    <cellStyle name="40% - Accent6 3 3 2 2 3 2 3" xfId="20176" xr:uid="{00000000-0005-0000-0000-0000828A0000}"/>
    <cellStyle name="40% - Accent6 3 3 2 2 3 2 3 2" xfId="46050" xr:uid="{00000000-0005-0000-0000-0000838A0000}"/>
    <cellStyle name="40% - Accent6 3 3 2 2 3 2 4" xfId="33134" xr:uid="{00000000-0005-0000-0000-0000848A0000}"/>
    <cellStyle name="40% - Accent6 3 3 2 2 3 3" xfId="10489" xr:uid="{00000000-0005-0000-0000-0000858A0000}"/>
    <cellStyle name="40% - Accent6 3 3 2 2 3 3 2" xfId="23406" xr:uid="{00000000-0005-0000-0000-0000868A0000}"/>
    <cellStyle name="40% - Accent6 3 3 2 2 3 3 2 2" xfId="49280" xr:uid="{00000000-0005-0000-0000-0000878A0000}"/>
    <cellStyle name="40% - Accent6 3 3 2 2 3 3 3" xfId="36364" xr:uid="{00000000-0005-0000-0000-0000888A0000}"/>
    <cellStyle name="40% - Accent6 3 3 2 2 3 4" xfId="16948" xr:uid="{00000000-0005-0000-0000-0000898A0000}"/>
    <cellStyle name="40% - Accent6 3 3 2 2 3 4 2" xfId="42822" xr:uid="{00000000-0005-0000-0000-00008A8A0000}"/>
    <cellStyle name="40% - Accent6 3 3 2 2 3 5" xfId="29874" xr:uid="{00000000-0005-0000-0000-00008B8A0000}"/>
    <cellStyle name="40% - Accent6 3 3 2 2 4" xfId="5644" xr:uid="{00000000-0005-0000-0000-00008C8A0000}"/>
    <cellStyle name="40% - Accent6 3 3 2 2 4 2" xfId="12103" xr:uid="{00000000-0005-0000-0000-00008D8A0000}"/>
    <cellStyle name="40% - Accent6 3 3 2 2 4 2 2" xfId="25020" xr:uid="{00000000-0005-0000-0000-00008E8A0000}"/>
    <cellStyle name="40% - Accent6 3 3 2 2 4 2 2 2" xfId="50894" xr:uid="{00000000-0005-0000-0000-00008F8A0000}"/>
    <cellStyle name="40% - Accent6 3 3 2 2 4 2 3" xfId="37978" xr:uid="{00000000-0005-0000-0000-0000908A0000}"/>
    <cellStyle name="40% - Accent6 3 3 2 2 4 3" xfId="18562" xr:uid="{00000000-0005-0000-0000-0000918A0000}"/>
    <cellStyle name="40% - Accent6 3 3 2 2 4 3 2" xfId="44436" xr:uid="{00000000-0005-0000-0000-0000928A0000}"/>
    <cellStyle name="40% - Accent6 3 3 2 2 4 4" xfId="31520" xr:uid="{00000000-0005-0000-0000-0000938A0000}"/>
    <cellStyle name="40% - Accent6 3 3 2 2 5" xfId="8875" xr:uid="{00000000-0005-0000-0000-0000948A0000}"/>
    <cellStyle name="40% - Accent6 3 3 2 2 5 2" xfId="21792" xr:uid="{00000000-0005-0000-0000-0000958A0000}"/>
    <cellStyle name="40% - Accent6 3 3 2 2 5 2 2" xfId="47666" xr:uid="{00000000-0005-0000-0000-0000968A0000}"/>
    <cellStyle name="40% - Accent6 3 3 2 2 5 3" xfId="34750" xr:uid="{00000000-0005-0000-0000-0000978A0000}"/>
    <cellStyle name="40% - Accent6 3 3 2 2 6" xfId="15334" xr:uid="{00000000-0005-0000-0000-0000988A0000}"/>
    <cellStyle name="40% - Accent6 3 3 2 2 6 2" xfId="41208" xr:uid="{00000000-0005-0000-0000-0000998A0000}"/>
    <cellStyle name="40% - Accent6 3 3 2 2 7" xfId="28260" xr:uid="{00000000-0005-0000-0000-00009A8A0000}"/>
    <cellStyle name="40% - Accent6 3 3 2 2 8" xfId="54122" xr:uid="{00000000-0005-0000-0000-00009B8A0000}"/>
    <cellStyle name="40% - Accent6 3 3 2 2 9" xfId="2364" xr:uid="{00000000-0005-0000-0000-00009C8A0000}"/>
    <cellStyle name="40% - Accent6 3 3 2 3" xfId="791" xr:uid="{00000000-0005-0000-0000-00009D8A0000}"/>
    <cellStyle name="40% - Accent6 3 3 2 3 2" xfId="4430" xr:uid="{00000000-0005-0000-0000-00009E8A0000}"/>
    <cellStyle name="40% - Accent6 3 3 2 3 2 2" xfId="7661" xr:uid="{00000000-0005-0000-0000-00009F8A0000}"/>
    <cellStyle name="40% - Accent6 3 3 2 3 2 2 2" xfId="14120" xr:uid="{00000000-0005-0000-0000-0000A08A0000}"/>
    <cellStyle name="40% - Accent6 3 3 2 3 2 2 2 2" xfId="27037" xr:uid="{00000000-0005-0000-0000-0000A18A0000}"/>
    <cellStyle name="40% - Accent6 3 3 2 3 2 2 2 2 2" xfId="52911" xr:uid="{00000000-0005-0000-0000-0000A28A0000}"/>
    <cellStyle name="40% - Accent6 3 3 2 3 2 2 2 3" xfId="39995" xr:uid="{00000000-0005-0000-0000-0000A38A0000}"/>
    <cellStyle name="40% - Accent6 3 3 2 3 2 2 3" xfId="20579" xr:uid="{00000000-0005-0000-0000-0000A48A0000}"/>
    <cellStyle name="40% - Accent6 3 3 2 3 2 2 3 2" xfId="46453" xr:uid="{00000000-0005-0000-0000-0000A58A0000}"/>
    <cellStyle name="40% - Accent6 3 3 2 3 2 2 4" xfId="33537" xr:uid="{00000000-0005-0000-0000-0000A68A0000}"/>
    <cellStyle name="40% - Accent6 3 3 2 3 2 3" xfId="10892" xr:uid="{00000000-0005-0000-0000-0000A78A0000}"/>
    <cellStyle name="40% - Accent6 3 3 2 3 2 3 2" xfId="23809" xr:uid="{00000000-0005-0000-0000-0000A88A0000}"/>
    <cellStyle name="40% - Accent6 3 3 2 3 2 3 2 2" xfId="49683" xr:uid="{00000000-0005-0000-0000-0000A98A0000}"/>
    <cellStyle name="40% - Accent6 3 3 2 3 2 3 3" xfId="36767" xr:uid="{00000000-0005-0000-0000-0000AA8A0000}"/>
    <cellStyle name="40% - Accent6 3 3 2 3 2 4" xfId="17351" xr:uid="{00000000-0005-0000-0000-0000AB8A0000}"/>
    <cellStyle name="40% - Accent6 3 3 2 3 2 4 2" xfId="43225" xr:uid="{00000000-0005-0000-0000-0000AC8A0000}"/>
    <cellStyle name="40% - Accent6 3 3 2 3 2 5" xfId="30277" xr:uid="{00000000-0005-0000-0000-0000AD8A0000}"/>
    <cellStyle name="40% - Accent6 3 3 2 3 3" xfId="6047" xr:uid="{00000000-0005-0000-0000-0000AE8A0000}"/>
    <cellStyle name="40% - Accent6 3 3 2 3 3 2" xfId="12506" xr:uid="{00000000-0005-0000-0000-0000AF8A0000}"/>
    <cellStyle name="40% - Accent6 3 3 2 3 3 2 2" xfId="25423" xr:uid="{00000000-0005-0000-0000-0000B08A0000}"/>
    <cellStyle name="40% - Accent6 3 3 2 3 3 2 2 2" xfId="51297" xr:uid="{00000000-0005-0000-0000-0000B18A0000}"/>
    <cellStyle name="40% - Accent6 3 3 2 3 3 2 3" xfId="38381" xr:uid="{00000000-0005-0000-0000-0000B28A0000}"/>
    <cellStyle name="40% - Accent6 3 3 2 3 3 3" xfId="18965" xr:uid="{00000000-0005-0000-0000-0000B38A0000}"/>
    <cellStyle name="40% - Accent6 3 3 2 3 3 3 2" xfId="44839" xr:uid="{00000000-0005-0000-0000-0000B48A0000}"/>
    <cellStyle name="40% - Accent6 3 3 2 3 3 4" xfId="31923" xr:uid="{00000000-0005-0000-0000-0000B58A0000}"/>
    <cellStyle name="40% - Accent6 3 3 2 3 4" xfId="9278" xr:uid="{00000000-0005-0000-0000-0000B68A0000}"/>
    <cellStyle name="40% - Accent6 3 3 2 3 4 2" xfId="22195" xr:uid="{00000000-0005-0000-0000-0000B78A0000}"/>
    <cellStyle name="40% - Accent6 3 3 2 3 4 2 2" xfId="48069" xr:uid="{00000000-0005-0000-0000-0000B88A0000}"/>
    <cellStyle name="40% - Accent6 3 3 2 3 4 3" xfId="35153" xr:uid="{00000000-0005-0000-0000-0000B98A0000}"/>
    <cellStyle name="40% - Accent6 3 3 2 3 5" xfId="15737" xr:uid="{00000000-0005-0000-0000-0000BA8A0000}"/>
    <cellStyle name="40% - Accent6 3 3 2 3 5 2" xfId="41611" xr:uid="{00000000-0005-0000-0000-0000BB8A0000}"/>
    <cellStyle name="40% - Accent6 3 3 2 3 6" xfId="28663" xr:uid="{00000000-0005-0000-0000-0000BC8A0000}"/>
    <cellStyle name="40% - Accent6 3 3 2 3 7" xfId="2773" xr:uid="{00000000-0005-0000-0000-0000BD8A0000}"/>
    <cellStyle name="40% - Accent6 3 3 2 4" xfId="3600" xr:uid="{00000000-0005-0000-0000-0000BE8A0000}"/>
    <cellStyle name="40% - Accent6 3 3 2 4 2" xfId="6854" xr:uid="{00000000-0005-0000-0000-0000BF8A0000}"/>
    <cellStyle name="40% - Accent6 3 3 2 4 2 2" xfId="13313" xr:uid="{00000000-0005-0000-0000-0000C08A0000}"/>
    <cellStyle name="40% - Accent6 3 3 2 4 2 2 2" xfId="26230" xr:uid="{00000000-0005-0000-0000-0000C18A0000}"/>
    <cellStyle name="40% - Accent6 3 3 2 4 2 2 2 2" xfId="52104" xr:uid="{00000000-0005-0000-0000-0000C28A0000}"/>
    <cellStyle name="40% - Accent6 3 3 2 4 2 2 3" xfId="39188" xr:uid="{00000000-0005-0000-0000-0000C38A0000}"/>
    <cellStyle name="40% - Accent6 3 3 2 4 2 3" xfId="19772" xr:uid="{00000000-0005-0000-0000-0000C48A0000}"/>
    <cellStyle name="40% - Accent6 3 3 2 4 2 3 2" xfId="45646" xr:uid="{00000000-0005-0000-0000-0000C58A0000}"/>
    <cellStyle name="40% - Accent6 3 3 2 4 2 4" xfId="32730" xr:uid="{00000000-0005-0000-0000-0000C68A0000}"/>
    <cellStyle name="40% - Accent6 3 3 2 4 3" xfId="10085" xr:uid="{00000000-0005-0000-0000-0000C78A0000}"/>
    <cellStyle name="40% - Accent6 3 3 2 4 3 2" xfId="23002" xr:uid="{00000000-0005-0000-0000-0000C88A0000}"/>
    <cellStyle name="40% - Accent6 3 3 2 4 3 2 2" xfId="48876" xr:uid="{00000000-0005-0000-0000-0000C98A0000}"/>
    <cellStyle name="40% - Accent6 3 3 2 4 3 3" xfId="35960" xr:uid="{00000000-0005-0000-0000-0000CA8A0000}"/>
    <cellStyle name="40% - Accent6 3 3 2 4 4" xfId="16544" xr:uid="{00000000-0005-0000-0000-0000CB8A0000}"/>
    <cellStyle name="40% - Accent6 3 3 2 4 4 2" xfId="42418" xr:uid="{00000000-0005-0000-0000-0000CC8A0000}"/>
    <cellStyle name="40% - Accent6 3 3 2 4 5" xfId="29470" xr:uid="{00000000-0005-0000-0000-0000CD8A0000}"/>
    <cellStyle name="40% - Accent6 3 3 2 5" xfId="5240" xr:uid="{00000000-0005-0000-0000-0000CE8A0000}"/>
    <cellStyle name="40% - Accent6 3 3 2 5 2" xfId="11699" xr:uid="{00000000-0005-0000-0000-0000CF8A0000}"/>
    <cellStyle name="40% - Accent6 3 3 2 5 2 2" xfId="24616" xr:uid="{00000000-0005-0000-0000-0000D08A0000}"/>
    <cellStyle name="40% - Accent6 3 3 2 5 2 2 2" xfId="50490" xr:uid="{00000000-0005-0000-0000-0000D18A0000}"/>
    <cellStyle name="40% - Accent6 3 3 2 5 2 3" xfId="37574" xr:uid="{00000000-0005-0000-0000-0000D28A0000}"/>
    <cellStyle name="40% - Accent6 3 3 2 5 3" xfId="18158" xr:uid="{00000000-0005-0000-0000-0000D38A0000}"/>
    <cellStyle name="40% - Accent6 3 3 2 5 3 2" xfId="44032" xr:uid="{00000000-0005-0000-0000-0000D48A0000}"/>
    <cellStyle name="40% - Accent6 3 3 2 5 4" xfId="31116" xr:uid="{00000000-0005-0000-0000-0000D58A0000}"/>
    <cellStyle name="40% - Accent6 3 3 2 6" xfId="8471" xr:uid="{00000000-0005-0000-0000-0000D68A0000}"/>
    <cellStyle name="40% - Accent6 3 3 2 6 2" xfId="21388" xr:uid="{00000000-0005-0000-0000-0000D78A0000}"/>
    <cellStyle name="40% - Accent6 3 3 2 6 2 2" xfId="47262" xr:uid="{00000000-0005-0000-0000-0000D88A0000}"/>
    <cellStyle name="40% - Accent6 3 3 2 6 3" xfId="34346" xr:uid="{00000000-0005-0000-0000-0000D98A0000}"/>
    <cellStyle name="40% - Accent6 3 3 2 7" xfId="14930" xr:uid="{00000000-0005-0000-0000-0000DA8A0000}"/>
    <cellStyle name="40% - Accent6 3 3 2 7 2" xfId="40804" xr:uid="{00000000-0005-0000-0000-0000DB8A0000}"/>
    <cellStyle name="40% - Accent6 3 3 2 8" xfId="27855" xr:uid="{00000000-0005-0000-0000-0000DC8A0000}"/>
    <cellStyle name="40% - Accent6 3 3 2 9" xfId="53718" xr:uid="{00000000-0005-0000-0000-0000DD8A0000}"/>
    <cellStyle name="40% - Accent6 3 3 3" xfId="793" xr:uid="{00000000-0005-0000-0000-0000DE8A0000}"/>
    <cellStyle name="40% - Accent6 3 3 3 2" xfId="2982" xr:uid="{00000000-0005-0000-0000-0000DF8A0000}"/>
    <cellStyle name="40% - Accent6 3 3 3 2 2" xfId="4639" xr:uid="{00000000-0005-0000-0000-0000E08A0000}"/>
    <cellStyle name="40% - Accent6 3 3 3 2 2 2" xfId="7870" xr:uid="{00000000-0005-0000-0000-0000E18A0000}"/>
    <cellStyle name="40% - Accent6 3 3 3 2 2 2 2" xfId="14329" xr:uid="{00000000-0005-0000-0000-0000E28A0000}"/>
    <cellStyle name="40% - Accent6 3 3 3 2 2 2 2 2" xfId="27246" xr:uid="{00000000-0005-0000-0000-0000E38A0000}"/>
    <cellStyle name="40% - Accent6 3 3 3 2 2 2 2 2 2" xfId="53120" xr:uid="{00000000-0005-0000-0000-0000E48A0000}"/>
    <cellStyle name="40% - Accent6 3 3 3 2 2 2 2 3" xfId="40204" xr:uid="{00000000-0005-0000-0000-0000E58A0000}"/>
    <cellStyle name="40% - Accent6 3 3 3 2 2 2 3" xfId="20788" xr:uid="{00000000-0005-0000-0000-0000E68A0000}"/>
    <cellStyle name="40% - Accent6 3 3 3 2 2 2 3 2" xfId="46662" xr:uid="{00000000-0005-0000-0000-0000E78A0000}"/>
    <cellStyle name="40% - Accent6 3 3 3 2 2 2 4" xfId="33746" xr:uid="{00000000-0005-0000-0000-0000E88A0000}"/>
    <cellStyle name="40% - Accent6 3 3 3 2 2 3" xfId="11101" xr:uid="{00000000-0005-0000-0000-0000E98A0000}"/>
    <cellStyle name="40% - Accent6 3 3 3 2 2 3 2" xfId="24018" xr:uid="{00000000-0005-0000-0000-0000EA8A0000}"/>
    <cellStyle name="40% - Accent6 3 3 3 2 2 3 2 2" xfId="49892" xr:uid="{00000000-0005-0000-0000-0000EB8A0000}"/>
    <cellStyle name="40% - Accent6 3 3 3 2 2 3 3" xfId="36976" xr:uid="{00000000-0005-0000-0000-0000EC8A0000}"/>
    <cellStyle name="40% - Accent6 3 3 3 2 2 4" xfId="17560" xr:uid="{00000000-0005-0000-0000-0000ED8A0000}"/>
    <cellStyle name="40% - Accent6 3 3 3 2 2 4 2" xfId="43434" xr:uid="{00000000-0005-0000-0000-0000EE8A0000}"/>
    <cellStyle name="40% - Accent6 3 3 3 2 2 5" xfId="30486" xr:uid="{00000000-0005-0000-0000-0000EF8A0000}"/>
    <cellStyle name="40% - Accent6 3 3 3 2 3" xfId="6256" xr:uid="{00000000-0005-0000-0000-0000F08A0000}"/>
    <cellStyle name="40% - Accent6 3 3 3 2 3 2" xfId="12715" xr:uid="{00000000-0005-0000-0000-0000F18A0000}"/>
    <cellStyle name="40% - Accent6 3 3 3 2 3 2 2" xfId="25632" xr:uid="{00000000-0005-0000-0000-0000F28A0000}"/>
    <cellStyle name="40% - Accent6 3 3 3 2 3 2 2 2" xfId="51506" xr:uid="{00000000-0005-0000-0000-0000F38A0000}"/>
    <cellStyle name="40% - Accent6 3 3 3 2 3 2 3" xfId="38590" xr:uid="{00000000-0005-0000-0000-0000F48A0000}"/>
    <cellStyle name="40% - Accent6 3 3 3 2 3 3" xfId="19174" xr:uid="{00000000-0005-0000-0000-0000F58A0000}"/>
    <cellStyle name="40% - Accent6 3 3 3 2 3 3 2" xfId="45048" xr:uid="{00000000-0005-0000-0000-0000F68A0000}"/>
    <cellStyle name="40% - Accent6 3 3 3 2 3 4" xfId="32132" xr:uid="{00000000-0005-0000-0000-0000F78A0000}"/>
    <cellStyle name="40% - Accent6 3 3 3 2 4" xfId="9487" xr:uid="{00000000-0005-0000-0000-0000F88A0000}"/>
    <cellStyle name="40% - Accent6 3 3 3 2 4 2" xfId="22404" xr:uid="{00000000-0005-0000-0000-0000F98A0000}"/>
    <cellStyle name="40% - Accent6 3 3 3 2 4 2 2" xfId="48278" xr:uid="{00000000-0005-0000-0000-0000FA8A0000}"/>
    <cellStyle name="40% - Accent6 3 3 3 2 4 3" xfId="35362" xr:uid="{00000000-0005-0000-0000-0000FB8A0000}"/>
    <cellStyle name="40% - Accent6 3 3 3 2 5" xfId="15946" xr:uid="{00000000-0005-0000-0000-0000FC8A0000}"/>
    <cellStyle name="40% - Accent6 3 3 3 2 5 2" xfId="41820" xr:uid="{00000000-0005-0000-0000-0000FD8A0000}"/>
    <cellStyle name="40% - Accent6 3 3 3 2 6" xfId="28872" xr:uid="{00000000-0005-0000-0000-0000FE8A0000}"/>
    <cellStyle name="40% - Accent6 3 3 3 3" xfId="3809" xr:uid="{00000000-0005-0000-0000-0000FF8A0000}"/>
    <cellStyle name="40% - Accent6 3 3 3 3 2" xfId="7063" xr:uid="{00000000-0005-0000-0000-0000008B0000}"/>
    <cellStyle name="40% - Accent6 3 3 3 3 2 2" xfId="13522" xr:uid="{00000000-0005-0000-0000-0000018B0000}"/>
    <cellStyle name="40% - Accent6 3 3 3 3 2 2 2" xfId="26439" xr:uid="{00000000-0005-0000-0000-0000028B0000}"/>
    <cellStyle name="40% - Accent6 3 3 3 3 2 2 2 2" xfId="52313" xr:uid="{00000000-0005-0000-0000-0000038B0000}"/>
    <cellStyle name="40% - Accent6 3 3 3 3 2 2 3" xfId="39397" xr:uid="{00000000-0005-0000-0000-0000048B0000}"/>
    <cellStyle name="40% - Accent6 3 3 3 3 2 3" xfId="19981" xr:uid="{00000000-0005-0000-0000-0000058B0000}"/>
    <cellStyle name="40% - Accent6 3 3 3 3 2 3 2" xfId="45855" xr:uid="{00000000-0005-0000-0000-0000068B0000}"/>
    <cellStyle name="40% - Accent6 3 3 3 3 2 4" xfId="32939" xr:uid="{00000000-0005-0000-0000-0000078B0000}"/>
    <cellStyle name="40% - Accent6 3 3 3 3 3" xfId="10294" xr:uid="{00000000-0005-0000-0000-0000088B0000}"/>
    <cellStyle name="40% - Accent6 3 3 3 3 3 2" xfId="23211" xr:uid="{00000000-0005-0000-0000-0000098B0000}"/>
    <cellStyle name="40% - Accent6 3 3 3 3 3 2 2" xfId="49085" xr:uid="{00000000-0005-0000-0000-00000A8B0000}"/>
    <cellStyle name="40% - Accent6 3 3 3 3 3 3" xfId="36169" xr:uid="{00000000-0005-0000-0000-00000B8B0000}"/>
    <cellStyle name="40% - Accent6 3 3 3 3 4" xfId="16753" xr:uid="{00000000-0005-0000-0000-00000C8B0000}"/>
    <cellStyle name="40% - Accent6 3 3 3 3 4 2" xfId="42627" xr:uid="{00000000-0005-0000-0000-00000D8B0000}"/>
    <cellStyle name="40% - Accent6 3 3 3 3 5" xfId="29679" xr:uid="{00000000-0005-0000-0000-00000E8B0000}"/>
    <cellStyle name="40% - Accent6 3 3 3 4" xfId="5449" xr:uid="{00000000-0005-0000-0000-00000F8B0000}"/>
    <cellStyle name="40% - Accent6 3 3 3 4 2" xfId="11908" xr:uid="{00000000-0005-0000-0000-0000108B0000}"/>
    <cellStyle name="40% - Accent6 3 3 3 4 2 2" xfId="24825" xr:uid="{00000000-0005-0000-0000-0000118B0000}"/>
    <cellStyle name="40% - Accent6 3 3 3 4 2 2 2" xfId="50699" xr:uid="{00000000-0005-0000-0000-0000128B0000}"/>
    <cellStyle name="40% - Accent6 3 3 3 4 2 3" xfId="37783" xr:uid="{00000000-0005-0000-0000-0000138B0000}"/>
    <cellStyle name="40% - Accent6 3 3 3 4 3" xfId="18367" xr:uid="{00000000-0005-0000-0000-0000148B0000}"/>
    <cellStyle name="40% - Accent6 3 3 3 4 3 2" xfId="44241" xr:uid="{00000000-0005-0000-0000-0000158B0000}"/>
    <cellStyle name="40% - Accent6 3 3 3 4 4" xfId="31325" xr:uid="{00000000-0005-0000-0000-0000168B0000}"/>
    <cellStyle name="40% - Accent6 3 3 3 5" xfId="8680" xr:uid="{00000000-0005-0000-0000-0000178B0000}"/>
    <cellStyle name="40% - Accent6 3 3 3 5 2" xfId="21597" xr:uid="{00000000-0005-0000-0000-0000188B0000}"/>
    <cellStyle name="40% - Accent6 3 3 3 5 2 2" xfId="47471" xr:uid="{00000000-0005-0000-0000-0000198B0000}"/>
    <cellStyle name="40% - Accent6 3 3 3 5 3" xfId="34555" xr:uid="{00000000-0005-0000-0000-00001A8B0000}"/>
    <cellStyle name="40% - Accent6 3 3 3 6" xfId="15139" xr:uid="{00000000-0005-0000-0000-00001B8B0000}"/>
    <cellStyle name="40% - Accent6 3 3 3 6 2" xfId="41013" xr:uid="{00000000-0005-0000-0000-00001C8B0000}"/>
    <cellStyle name="40% - Accent6 3 3 3 7" xfId="28065" xr:uid="{00000000-0005-0000-0000-00001D8B0000}"/>
    <cellStyle name="40% - Accent6 3 3 3 8" xfId="53927" xr:uid="{00000000-0005-0000-0000-00001E8B0000}"/>
    <cellStyle name="40% - Accent6 3 3 3 9" xfId="2168" xr:uid="{00000000-0005-0000-0000-00001F8B0000}"/>
    <cellStyle name="40% - Accent6 3 3 4" xfId="790" xr:uid="{00000000-0005-0000-0000-0000208B0000}"/>
    <cellStyle name="40% - Accent6 3 3 4 2" xfId="4236" xr:uid="{00000000-0005-0000-0000-0000218B0000}"/>
    <cellStyle name="40% - Accent6 3 3 4 2 2" xfId="7467" xr:uid="{00000000-0005-0000-0000-0000228B0000}"/>
    <cellStyle name="40% - Accent6 3 3 4 2 2 2" xfId="13926" xr:uid="{00000000-0005-0000-0000-0000238B0000}"/>
    <cellStyle name="40% - Accent6 3 3 4 2 2 2 2" xfId="26843" xr:uid="{00000000-0005-0000-0000-0000248B0000}"/>
    <cellStyle name="40% - Accent6 3 3 4 2 2 2 2 2" xfId="52717" xr:uid="{00000000-0005-0000-0000-0000258B0000}"/>
    <cellStyle name="40% - Accent6 3 3 4 2 2 2 3" xfId="39801" xr:uid="{00000000-0005-0000-0000-0000268B0000}"/>
    <cellStyle name="40% - Accent6 3 3 4 2 2 3" xfId="20385" xr:uid="{00000000-0005-0000-0000-0000278B0000}"/>
    <cellStyle name="40% - Accent6 3 3 4 2 2 3 2" xfId="46259" xr:uid="{00000000-0005-0000-0000-0000288B0000}"/>
    <cellStyle name="40% - Accent6 3 3 4 2 2 4" xfId="33343" xr:uid="{00000000-0005-0000-0000-0000298B0000}"/>
    <cellStyle name="40% - Accent6 3 3 4 2 3" xfId="10698" xr:uid="{00000000-0005-0000-0000-00002A8B0000}"/>
    <cellStyle name="40% - Accent6 3 3 4 2 3 2" xfId="23615" xr:uid="{00000000-0005-0000-0000-00002B8B0000}"/>
    <cellStyle name="40% - Accent6 3 3 4 2 3 2 2" xfId="49489" xr:uid="{00000000-0005-0000-0000-00002C8B0000}"/>
    <cellStyle name="40% - Accent6 3 3 4 2 3 3" xfId="36573" xr:uid="{00000000-0005-0000-0000-00002D8B0000}"/>
    <cellStyle name="40% - Accent6 3 3 4 2 4" xfId="17157" xr:uid="{00000000-0005-0000-0000-00002E8B0000}"/>
    <cellStyle name="40% - Accent6 3 3 4 2 4 2" xfId="43031" xr:uid="{00000000-0005-0000-0000-00002F8B0000}"/>
    <cellStyle name="40% - Accent6 3 3 4 2 5" xfId="30083" xr:uid="{00000000-0005-0000-0000-0000308B0000}"/>
    <cellStyle name="40% - Accent6 3 3 4 3" xfId="5853" xr:uid="{00000000-0005-0000-0000-0000318B0000}"/>
    <cellStyle name="40% - Accent6 3 3 4 3 2" xfId="12312" xr:uid="{00000000-0005-0000-0000-0000328B0000}"/>
    <cellStyle name="40% - Accent6 3 3 4 3 2 2" xfId="25229" xr:uid="{00000000-0005-0000-0000-0000338B0000}"/>
    <cellStyle name="40% - Accent6 3 3 4 3 2 2 2" xfId="51103" xr:uid="{00000000-0005-0000-0000-0000348B0000}"/>
    <cellStyle name="40% - Accent6 3 3 4 3 2 3" xfId="38187" xr:uid="{00000000-0005-0000-0000-0000358B0000}"/>
    <cellStyle name="40% - Accent6 3 3 4 3 3" xfId="18771" xr:uid="{00000000-0005-0000-0000-0000368B0000}"/>
    <cellStyle name="40% - Accent6 3 3 4 3 3 2" xfId="44645" xr:uid="{00000000-0005-0000-0000-0000378B0000}"/>
    <cellStyle name="40% - Accent6 3 3 4 3 4" xfId="31729" xr:uid="{00000000-0005-0000-0000-0000388B0000}"/>
    <cellStyle name="40% - Accent6 3 3 4 4" xfId="9084" xr:uid="{00000000-0005-0000-0000-0000398B0000}"/>
    <cellStyle name="40% - Accent6 3 3 4 4 2" xfId="22001" xr:uid="{00000000-0005-0000-0000-00003A8B0000}"/>
    <cellStyle name="40% - Accent6 3 3 4 4 2 2" xfId="47875" xr:uid="{00000000-0005-0000-0000-00003B8B0000}"/>
    <cellStyle name="40% - Accent6 3 3 4 4 3" xfId="34959" xr:uid="{00000000-0005-0000-0000-00003C8B0000}"/>
    <cellStyle name="40% - Accent6 3 3 4 5" xfId="15543" xr:uid="{00000000-0005-0000-0000-00003D8B0000}"/>
    <cellStyle name="40% - Accent6 3 3 4 5 2" xfId="41417" xr:uid="{00000000-0005-0000-0000-00003E8B0000}"/>
    <cellStyle name="40% - Accent6 3 3 4 6" xfId="28469" xr:uid="{00000000-0005-0000-0000-00003F8B0000}"/>
    <cellStyle name="40% - Accent6 3 3 4 7" xfId="2579" xr:uid="{00000000-0005-0000-0000-0000408B0000}"/>
    <cellStyle name="40% - Accent6 3 3 5" xfId="3405" xr:uid="{00000000-0005-0000-0000-0000418B0000}"/>
    <cellStyle name="40% - Accent6 3 3 5 2" xfId="6660" xr:uid="{00000000-0005-0000-0000-0000428B0000}"/>
    <cellStyle name="40% - Accent6 3 3 5 2 2" xfId="13119" xr:uid="{00000000-0005-0000-0000-0000438B0000}"/>
    <cellStyle name="40% - Accent6 3 3 5 2 2 2" xfId="26036" xr:uid="{00000000-0005-0000-0000-0000448B0000}"/>
    <cellStyle name="40% - Accent6 3 3 5 2 2 2 2" xfId="51910" xr:uid="{00000000-0005-0000-0000-0000458B0000}"/>
    <cellStyle name="40% - Accent6 3 3 5 2 2 3" xfId="38994" xr:uid="{00000000-0005-0000-0000-0000468B0000}"/>
    <cellStyle name="40% - Accent6 3 3 5 2 3" xfId="19578" xr:uid="{00000000-0005-0000-0000-0000478B0000}"/>
    <cellStyle name="40% - Accent6 3 3 5 2 3 2" xfId="45452" xr:uid="{00000000-0005-0000-0000-0000488B0000}"/>
    <cellStyle name="40% - Accent6 3 3 5 2 4" xfId="32536" xr:uid="{00000000-0005-0000-0000-0000498B0000}"/>
    <cellStyle name="40% - Accent6 3 3 5 3" xfId="9891" xr:uid="{00000000-0005-0000-0000-00004A8B0000}"/>
    <cellStyle name="40% - Accent6 3 3 5 3 2" xfId="22808" xr:uid="{00000000-0005-0000-0000-00004B8B0000}"/>
    <cellStyle name="40% - Accent6 3 3 5 3 2 2" xfId="48682" xr:uid="{00000000-0005-0000-0000-00004C8B0000}"/>
    <cellStyle name="40% - Accent6 3 3 5 3 3" xfId="35766" xr:uid="{00000000-0005-0000-0000-00004D8B0000}"/>
    <cellStyle name="40% - Accent6 3 3 5 4" xfId="16350" xr:uid="{00000000-0005-0000-0000-00004E8B0000}"/>
    <cellStyle name="40% - Accent6 3 3 5 4 2" xfId="42224" xr:uid="{00000000-0005-0000-0000-00004F8B0000}"/>
    <cellStyle name="40% - Accent6 3 3 5 5" xfId="29276" xr:uid="{00000000-0005-0000-0000-0000508B0000}"/>
    <cellStyle name="40% - Accent6 3 3 6" xfId="5046" xr:uid="{00000000-0005-0000-0000-0000518B0000}"/>
    <cellStyle name="40% - Accent6 3 3 6 2" xfId="11505" xr:uid="{00000000-0005-0000-0000-0000528B0000}"/>
    <cellStyle name="40% - Accent6 3 3 6 2 2" xfId="24422" xr:uid="{00000000-0005-0000-0000-0000538B0000}"/>
    <cellStyle name="40% - Accent6 3 3 6 2 2 2" xfId="50296" xr:uid="{00000000-0005-0000-0000-0000548B0000}"/>
    <cellStyle name="40% - Accent6 3 3 6 2 3" xfId="37380" xr:uid="{00000000-0005-0000-0000-0000558B0000}"/>
    <cellStyle name="40% - Accent6 3 3 6 3" xfId="17964" xr:uid="{00000000-0005-0000-0000-0000568B0000}"/>
    <cellStyle name="40% - Accent6 3 3 6 3 2" xfId="43838" xr:uid="{00000000-0005-0000-0000-0000578B0000}"/>
    <cellStyle name="40% - Accent6 3 3 6 4" xfId="30922" xr:uid="{00000000-0005-0000-0000-0000588B0000}"/>
    <cellStyle name="40% - Accent6 3 3 7" xfId="8276" xr:uid="{00000000-0005-0000-0000-0000598B0000}"/>
    <cellStyle name="40% - Accent6 3 3 7 2" xfId="21193" xr:uid="{00000000-0005-0000-0000-00005A8B0000}"/>
    <cellStyle name="40% - Accent6 3 3 7 2 2" xfId="47067" xr:uid="{00000000-0005-0000-0000-00005B8B0000}"/>
    <cellStyle name="40% - Accent6 3 3 7 3" xfId="34151" xr:uid="{00000000-0005-0000-0000-00005C8B0000}"/>
    <cellStyle name="40% - Accent6 3 3 8" xfId="14735" xr:uid="{00000000-0005-0000-0000-00005D8B0000}"/>
    <cellStyle name="40% - Accent6 3 3 8 2" xfId="40609" xr:uid="{00000000-0005-0000-0000-00005E8B0000}"/>
    <cellStyle name="40% - Accent6 3 3 9" xfId="27659" xr:uid="{00000000-0005-0000-0000-00005F8B0000}"/>
    <cellStyle name="40% - Accent6 3 4" xfId="225" xr:uid="{00000000-0005-0000-0000-0000608B0000}"/>
    <cellStyle name="40% - Accent6 3 4 2" xfId="416" xr:uid="{00000000-0005-0000-0000-0000618B0000}"/>
    <cellStyle name="40% - Accent6 3 4 2 2" xfId="796" xr:uid="{00000000-0005-0000-0000-0000628B0000}"/>
    <cellStyle name="40% - Accent6 3 4 2 3" xfId="795" xr:uid="{00000000-0005-0000-0000-0000638B0000}"/>
    <cellStyle name="40% - Accent6 3 4 3" xfId="797" xr:uid="{00000000-0005-0000-0000-0000648B0000}"/>
    <cellStyle name="40% - Accent6 3 4 4" xfId="794" xr:uid="{00000000-0005-0000-0000-0000658B0000}"/>
    <cellStyle name="40% - Accent6 3 4 5" xfId="1686" xr:uid="{00000000-0005-0000-0000-0000668B0000}"/>
    <cellStyle name="40% - Accent6 3 5" xfId="384" xr:uid="{00000000-0005-0000-0000-0000678B0000}"/>
    <cellStyle name="40% - Accent6 3 5 10" xfId="53506" xr:uid="{00000000-0005-0000-0000-0000688B0000}"/>
    <cellStyle name="40% - Accent6 3 5 11" xfId="1582" xr:uid="{00000000-0005-0000-0000-0000698B0000}"/>
    <cellStyle name="40% - Accent6 3 5 2" xfId="799" xr:uid="{00000000-0005-0000-0000-00006A8B0000}"/>
    <cellStyle name="40% - Accent6 3 5 2 10" xfId="1915" xr:uid="{00000000-0005-0000-0000-00006B8B0000}"/>
    <cellStyle name="40% - Accent6 3 5 2 2" xfId="2346" xr:uid="{00000000-0005-0000-0000-00006C8B0000}"/>
    <cellStyle name="40% - Accent6 3 5 2 2 2" xfId="3159" xr:uid="{00000000-0005-0000-0000-00006D8B0000}"/>
    <cellStyle name="40% - Accent6 3 5 2 2 2 2" xfId="4816" xr:uid="{00000000-0005-0000-0000-00006E8B0000}"/>
    <cellStyle name="40% - Accent6 3 5 2 2 2 2 2" xfId="8047" xr:uid="{00000000-0005-0000-0000-00006F8B0000}"/>
    <cellStyle name="40% - Accent6 3 5 2 2 2 2 2 2" xfId="14506" xr:uid="{00000000-0005-0000-0000-0000708B0000}"/>
    <cellStyle name="40% - Accent6 3 5 2 2 2 2 2 2 2" xfId="27423" xr:uid="{00000000-0005-0000-0000-0000718B0000}"/>
    <cellStyle name="40% - Accent6 3 5 2 2 2 2 2 2 2 2" xfId="53297" xr:uid="{00000000-0005-0000-0000-0000728B0000}"/>
    <cellStyle name="40% - Accent6 3 5 2 2 2 2 2 2 3" xfId="40381" xr:uid="{00000000-0005-0000-0000-0000738B0000}"/>
    <cellStyle name="40% - Accent6 3 5 2 2 2 2 2 3" xfId="20965" xr:uid="{00000000-0005-0000-0000-0000748B0000}"/>
    <cellStyle name="40% - Accent6 3 5 2 2 2 2 2 3 2" xfId="46839" xr:uid="{00000000-0005-0000-0000-0000758B0000}"/>
    <cellStyle name="40% - Accent6 3 5 2 2 2 2 2 4" xfId="33923" xr:uid="{00000000-0005-0000-0000-0000768B0000}"/>
    <cellStyle name="40% - Accent6 3 5 2 2 2 2 3" xfId="11278" xr:uid="{00000000-0005-0000-0000-0000778B0000}"/>
    <cellStyle name="40% - Accent6 3 5 2 2 2 2 3 2" xfId="24195" xr:uid="{00000000-0005-0000-0000-0000788B0000}"/>
    <cellStyle name="40% - Accent6 3 5 2 2 2 2 3 2 2" xfId="50069" xr:uid="{00000000-0005-0000-0000-0000798B0000}"/>
    <cellStyle name="40% - Accent6 3 5 2 2 2 2 3 3" xfId="37153" xr:uid="{00000000-0005-0000-0000-00007A8B0000}"/>
    <cellStyle name="40% - Accent6 3 5 2 2 2 2 4" xfId="17737" xr:uid="{00000000-0005-0000-0000-00007B8B0000}"/>
    <cellStyle name="40% - Accent6 3 5 2 2 2 2 4 2" xfId="43611" xr:uid="{00000000-0005-0000-0000-00007C8B0000}"/>
    <cellStyle name="40% - Accent6 3 5 2 2 2 2 5" xfId="30663" xr:uid="{00000000-0005-0000-0000-00007D8B0000}"/>
    <cellStyle name="40% - Accent6 3 5 2 2 2 3" xfId="6433" xr:uid="{00000000-0005-0000-0000-00007E8B0000}"/>
    <cellStyle name="40% - Accent6 3 5 2 2 2 3 2" xfId="12892" xr:uid="{00000000-0005-0000-0000-00007F8B0000}"/>
    <cellStyle name="40% - Accent6 3 5 2 2 2 3 2 2" xfId="25809" xr:uid="{00000000-0005-0000-0000-0000808B0000}"/>
    <cellStyle name="40% - Accent6 3 5 2 2 2 3 2 2 2" xfId="51683" xr:uid="{00000000-0005-0000-0000-0000818B0000}"/>
    <cellStyle name="40% - Accent6 3 5 2 2 2 3 2 3" xfId="38767" xr:uid="{00000000-0005-0000-0000-0000828B0000}"/>
    <cellStyle name="40% - Accent6 3 5 2 2 2 3 3" xfId="19351" xr:uid="{00000000-0005-0000-0000-0000838B0000}"/>
    <cellStyle name="40% - Accent6 3 5 2 2 2 3 3 2" xfId="45225" xr:uid="{00000000-0005-0000-0000-0000848B0000}"/>
    <cellStyle name="40% - Accent6 3 5 2 2 2 3 4" xfId="32309" xr:uid="{00000000-0005-0000-0000-0000858B0000}"/>
    <cellStyle name="40% - Accent6 3 5 2 2 2 4" xfId="9664" xr:uid="{00000000-0005-0000-0000-0000868B0000}"/>
    <cellStyle name="40% - Accent6 3 5 2 2 2 4 2" xfId="22581" xr:uid="{00000000-0005-0000-0000-0000878B0000}"/>
    <cellStyle name="40% - Accent6 3 5 2 2 2 4 2 2" xfId="48455" xr:uid="{00000000-0005-0000-0000-0000888B0000}"/>
    <cellStyle name="40% - Accent6 3 5 2 2 2 4 3" xfId="35539" xr:uid="{00000000-0005-0000-0000-0000898B0000}"/>
    <cellStyle name="40% - Accent6 3 5 2 2 2 5" xfId="16123" xr:uid="{00000000-0005-0000-0000-00008A8B0000}"/>
    <cellStyle name="40% - Accent6 3 5 2 2 2 5 2" xfId="41997" xr:uid="{00000000-0005-0000-0000-00008B8B0000}"/>
    <cellStyle name="40% - Accent6 3 5 2 2 2 6" xfId="29049" xr:uid="{00000000-0005-0000-0000-00008C8B0000}"/>
    <cellStyle name="40% - Accent6 3 5 2 2 3" xfId="3986" xr:uid="{00000000-0005-0000-0000-00008D8B0000}"/>
    <cellStyle name="40% - Accent6 3 5 2 2 3 2" xfId="7240" xr:uid="{00000000-0005-0000-0000-00008E8B0000}"/>
    <cellStyle name="40% - Accent6 3 5 2 2 3 2 2" xfId="13699" xr:uid="{00000000-0005-0000-0000-00008F8B0000}"/>
    <cellStyle name="40% - Accent6 3 5 2 2 3 2 2 2" xfId="26616" xr:uid="{00000000-0005-0000-0000-0000908B0000}"/>
    <cellStyle name="40% - Accent6 3 5 2 2 3 2 2 2 2" xfId="52490" xr:uid="{00000000-0005-0000-0000-0000918B0000}"/>
    <cellStyle name="40% - Accent6 3 5 2 2 3 2 2 3" xfId="39574" xr:uid="{00000000-0005-0000-0000-0000928B0000}"/>
    <cellStyle name="40% - Accent6 3 5 2 2 3 2 3" xfId="20158" xr:uid="{00000000-0005-0000-0000-0000938B0000}"/>
    <cellStyle name="40% - Accent6 3 5 2 2 3 2 3 2" xfId="46032" xr:uid="{00000000-0005-0000-0000-0000948B0000}"/>
    <cellStyle name="40% - Accent6 3 5 2 2 3 2 4" xfId="33116" xr:uid="{00000000-0005-0000-0000-0000958B0000}"/>
    <cellStyle name="40% - Accent6 3 5 2 2 3 3" xfId="10471" xr:uid="{00000000-0005-0000-0000-0000968B0000}"/>
    <cellStyle name="40% - Accent6 3 5 2 2 3 3 2" xfId="23388" xr:uid="{00000000-0005-0000-0000-0000978B0000}"/>
    <cellStyle name="40% - Accent6 3 5 2 2 3 3 2 2" xfId="49262" xr:uid="{00000000-0005-0000-0000-0000988B0000}"/>
    <cellStyle name="40% - Accent6 3 5 2 2 3 3 3" xfId="36346" xr:uid="{00000000-0005-0000-0000-0000998B0000}"/>
    <cellStyle name="40% - Accent6 3 5 2 2 3 4" xfId="16930" xr:uid="{00000000-0005-0000-0000-00009A8B0000}"/>
    <cellStyle name="40% - Accent6 3 5 2 2 3 4 2" xfId="42804" xr:uid="{00000000-0005-0000-0000-00009B8B0000}"/>
    <cellStyle name="40% - Accent6 3 5 2 2 3 5" xfId="29856" xr:uid="{00000000-0005-0000-0000-00009C8B0000}"/>
    <cellStyle name="40% - Accent6 3 5 2 2 4" xfId="5626" xr:uid="{00000000-0005-0000-0000-00009D8B0000}"/>
    <cellStyle name="40% - Accent6 3 5 2 2 4 2" xfId="12085" xr:uid="{00000000-0005-0000-0000-00009E8B0000}"/>
    <cellStyle name="40% - Accent6 3 5 2 2 4 2 2" xfId="25002" xr:uid="{00000000-0005-0000-0000-00009F8B0000}"/>
    <cellStyle name="40% - Accent6 3 5 2 2 4 2 2 2" xfId="50876" xr:uid="{00000000-0005-0000-0000-0000A08B0000}"/>
    <cellStyle name="40% - Accent6 3 5 2 2 4 2 3" xfId="37960" xr:uid="{00000000-0005-0000-0000-0000A18B0000}"/>
    <cellStyle name="40% - Accent6 3 5 2 2 4 3" xfId="18544" xr:uid="{00000000-0005-0000-0000-0000A28B0000}"/>
    <cellStyle name="40% - Accent6 3 5 2 2 4 3 2" xfId="44418" xr:uid="{00000000-0005-0000-0000-0000A38B0000}"/>
    <cellStyle name="40% - Accent6 3 5 2 2 4 4" xfId="31502" xr:uid="{00000000-0005-0000-0000-0000A48B0000}"/>
    <cellStyle name="40% - Accent6 3 5 2 2 5" xfId="8857" xr:uid="{00000000-0005-0000-0000-0000A58B0000}"/>
    <cellStyle name="40% - Accent6 3 5 2 2 5 2" xfId="21774" xr:uid="{00000000-0005-0000-0000-0000A68B0000}"/>
    <cellStyle name="40% - Accent6 3 5 2 2 5 2 2" xfId="47648" xr:uid="{00000000-0005-0000-0000-0000A78B0000}"/>
    <cellStyle name="40% - Accent6 3 5 2 2 5 3" xfId="34732" xr:uid="{00000000-0005-0000-0000-0000A88B0000}"/>
    <cellStyle name="40% - Accent6 3 5 2 2 6" xfId="15316" xr:uid="{00000000-0005-0000-0000-0000A98B0000}"/>
    <cellStyle name="40% - Accent6 3 5 2 2 6 2" xfId="41190" xr:uid="{00000000-0005-0000-0000-0000AA8B0000}"/>
    <cellStyle name="40% - Accent6 3 5 2 2 7" xfId="28242" xr:uid="{00000000-0005-0000-0000-0000AB8B0000}"/>
    <cellStyle name="40% - Accent6 3 5 2 2 8" xfId="54104" xr:uid="{00000000-0005-0000-0000-0000AC8B0000}"/>
    <cellStyle name="40% - Accent6 3 5 2 3" xfId="2755" xr:uid="{00000000-0005-0000-0000-0000AD8B0000}"/>
    <cellStyle name="40% - Accent6 3 5 2 3 2" xfId="4412" xr:uid="{00000000-0005-0000-0000-0000AE8B0000}"/>
    <cellStyle name="40% - Accent6 3 5 2 3 2 2" xfId="7643" xr:uid="{00000000-0005-0000-0000-0000AF8B0000}"/>
    <cellStyle name="40% - Accent6 3 5 2 3 2 2 2" xfId="14102" xr:uid="{00000000-0005-0000-0000-0000B08B0000}"/>
    <cellStyle name="40% - Accent6 3 5 2 3 2 2 2 2" xfId="27019" xr:uid="{00000000-0005-0000-0000-0000B18B0000}"/>
    <cellStyle name="40% - Accent6 3 5 2 3 2 2 2 2 2" xfId="52893" xr:uid="{00000000-0005-0000-0000-0000B28B0000}"/>
    <cellStyle name="40% - Accent6 3 5 2 3 2 2 2 3" xfId="39977" xr:uid="{00000000-0005-0000-0000-0000B38B0000}"/>
    <cellStyle name="40% - Accent6 3 5 2 3 2 2 3" xfId="20561" xr:uid="{00000000-0005-0000-0000-0000B48B0000}"/>
    <cellStyle name="40% - Accent6 3 5 2 3 2 2 3 2" xfId="46435" xr:uid="{00000000-0005-0000-0000-0000B58B0000}"/>
    <cellStyle name="40% - Accent6 3 5 2 3 2 2 4" xfId="33519" xr:uid="{00000000-0005-0000-0000-0000B68B0000}"/>
    <cellStyle name="40% - Accent6 3 5 2 3 2 3" xfId="10874" xr:uid="{00000000-0005-0000-0000-0000B78B0000}"/>
    <cellStyle name="40% - Accent6 3 5 2 3 2 3 2" xfId="23791" xr:uid="{00000000-0005-0000-0000-0000B88B0000}"/>
    <cellStyle name="40% - Accent6 3 5 2 3 2 3 2 2" xfId="49665" xr:uid="{00000000-0005-0000-0000-0000B98B0000}"/>
    <cellStyle name="40% - Accent6 3 5 2 3 2 3 3" xfId="36749" xr:uid="{00000000-0005-0000-0000-0000BA8B0000}"/>
    <cellStyle name="40% - Accent6 3 5 2 3 2 4" xfId="17333" xr:uid="{00000000-0005-0000-0000-0000BB8B0000}"/>
    <cellStyle name="40% - Accent6 3 5 2 3 2 4 2" xfId="43207" xr:uid="{00000000-0005-0000-0000-0000BC8B0000}"/>
    <cellStyle name="40% - Accent6 3 5 2 3 2 5" xfId="30259" xr:uid="{00000000-0005-0000-0000-0000BD8B0000}"/>
    <cellStyle name="40% - Accent6 3 5 2 3 3" xfId="6029" xr:uid="{00000000-0005-0000-0000-0000BE8B0000}"/>
    <cellStyle name="40% - Accent6 3 5 2 3 3 2" xfId="12488" xr:uid="{00000000-0005-0000-0000-0000BF8B0000}"/>
    <cellStyle name="40% - Accent6 3 5 2 3 3 2 2" xfId="25405" xr:uid="{00000000-0005-0000-0000-0000C08B0000}"/>
    <cellStyle name="40% - Accent6 3 5 2 3 3 2 2 2" xfId="51279" xr:uid="{00000000-0005-0000-0000-0000C18B0000}"/>
    <cellStyle name="40% - Accent6 3 5 2 3 3 2 3" xfId="38363" xr:uid="{00000000-0005-0000-0000-0000C28B0000}"/>
    <cellStyle name="40% - Accent6 3 5 2 3 3 3" xfId="18947" xr:uid="{00000000-0005-0000-0000-0000C38B0000}"/>
    <cellStyle name="40% - Accent6 3 5 2 3 3 3 2" xfId="44821" xr:uid="{00000000-0005-0000-0000-0000C48B0000}"/>
    <cellStyle name="40% - Accent6 3 5 2 3 3 4" xfId="31905" xr:uid="{00000000-0005-0000-0000-0000C58B0000}"/>
    <cellStyle name="40% - Accent6 3 5 2 3 4" xfId="9260" xr:uid="{00000000-0005-0000-0000-0000C68B0000}"/>
    <cellStyle name="40% - Accent6 3 5 2 3 4 2" xfId="22177" xr:uid="{00000000-0005-0000-0000-0000C78B0000}"/>
    <cellStyle name="40% - Accent6 3 5 2 3 4 2 2" xfId="48051" xr:uid="{00000000-0005-0000-0000-0000C88B0000}"/>
    <cellStyle name="40% - Accent6 3 5 2 3 4 3" xfId="35135" xr:uid="{00000000-0005-0000-0000-0000C98B0000}"/>
    <cellStyle name="40% - Accent6 3 5 2 3 5" xfId="15719" xr:uid="{00000000-0005-0000-0000-0000CA8B0000}"/>
    <cellStyle name="40% - Accent6 3 5 2 3 5 2" xfId="41593" xr:uid="{00000000-0005-0000-0000-0000CB8B0000}"/>
    <cellStyle name="40% - Accent6 3 5 2 3 6" xfId="28645" xr:uid="{00000000-0005-0000-0000-0000CC8B0000}"/>
    <cellStyle name="40% - Accent6 3 5 2 4" xfId="3582" xr:uid="{00000000-0005-0000-0000-0000CD8B0000}"/>
    <cellStyle name="40% - Accent6 3 5 2 4 2" xfId="6836" xr:uid="{00000000-0005-0000-0000-0000CE8B0000}"/>
    <cellStyle name="40% - Accent6 3 5 2 4 2 2" xfId="13295" xr:uid="{00000000-0005-0000-0000-0000CF8B0000}"/>
    <cellStyle name="40% - Accent6 3 5 2 4 2 2 2" xfId="26212" xr:uid="{00000000-0005-0000-0000-0000D08B0000}"/>
    <cellStyle name="40% - Accent6 3 5 2 4 2 2 2 2" xfId="52086" xr:uid="{00000000-0005-0000-0000-0000D18B0000}"/>
    <cellStyle name="40% - Accent6 3 5 2 4 2 2 3" xfId="39170" xr:uid="{00000000-0005-0000-0000-0000D28B0000}"/>
    <cellStyle name="40% - Accent6 3 5 2 4 2 3" xfId="19754" xr:uid="{00000000-0005-0000-0000-0000D38B0000}"/>
    <cellStyle name="40% - Accent6 3 5 2 4 2 3 2" xfId="45628" xr:uid="{00000000-0005-0000-0000-0000D48B0000}"/>
    <cellStyle name="40% - Accent6 3 5 2 4 2 4" xfId="32712" xr:uid="{00000000-0005-0000-0000-0000D58B0000}"/>
    <cellStyle name="40% - Accent6 3 5 2 4 3" xfId="10067" xr:uid="{00000000-0005-0000-0000-0000D68B0000}"/>
    <cellStyle name="40% - Accent6 3 5 2 4 3 2" xfId="22984" xr:uid="{00000000-0005-0000-0000-0000D78B0000}"/>
    <cellStyle name="40% - Accent6 3 5 2 4 3 2 2" xfId="48858" xr:uid="{00000000-0005-0000-0000-0000D88B0000}"/>
    <cellStyle name="40% - Accent6 3 5 2 4 3 3" xfId="35942" xr:uid="{00000000-0005-0000-0000-0000D98B0000}"/>
    <cellStyle name="40% - Accent6 3 5 2 4 4" xfId="16526" xr:uid="{00000000-0005-0000-0000-0000DA8B0000}"/>
    <cellStyle name="40% - Accent6 3 5 2 4 4 2" xfId="42400" xr:uid="{00000000-0005-0000-0000-0000DB8B0000}"/>
    <cellStyle name="40% - Accent6 3 5 2 4 5" xfId="29452" xr:uid="{00000000-0005-0000-0000-0000DC8B0000}"/>
    <cellStyle name="40% - Accent6 3 5 2 5" xfId="5222" xr:uid="{00000000-0005-0000-0000-0000DD8B0000}"/>
    <cellStyle name="40% - Accent6 3 5 2 5 2" xfId="11681" xr:uid="{00000000-0005-0000-0000-0000DE8B0000}"/>
    <cellStyle name="40% - Accent6 3 5 2 5 2 2" xfId="24598" xr:uid="{00000000-0005-0000-0000-0000DF8B0000}"/>
    <cellStyle name="40% - Accent6 3 5 2 5 2 2 2" xfId="50472" xr:uid="{00000000-0005-0000-0000-0000E08B0000}"/>
    <cellStyle name="40% - Accent6 3 5 2 5 2 3" xfId="37556" xr:uid="{00000000-0005-0000-0000-0000E18B0000}"/>
    <cellStyle name="40% - Accent6 3 5 2 5 3" xfId="18140" xr:uid="{00000000-0005-0000-0000-0000E28B0000}"/>
    <cellStyle name="40% - Accent6 3 5 2 5 3 2" xfId="44014" xr:uid="{00000000-0005-0000-0000-0000E38B0000}"/>
    <cellStyle name="40% - Accent6 3 5 2 5 4" xfId="31098" xr:uid="{00000000-0005-0000-0000-0000E48B0000}"/>
    <cellStyle name="40% - Accent6 3 5 2 6" xfId="8453" xr:uid="{00000000-0005-0000-0000-0000E58B0000}"/>
    <cellStyle name="40% - Accent6 3 5 2 6 2" xfId="21370" xr:uid="{00000000-0005-0000-0000-0000E68B0000}"/>
    <cellStyle name="40% - Accent6 3 5 2 6 2 2" xfId="47244" xr:uid="{00000000-0005-0000-0000-0000E78B0000}"/>
    <cellStyle name="40% - Accent6 3 5 2 6 3" xfId="34328" xr:uid="{00000000-0005-0000-0000-0000E88B0000}"/>
    <cellStyle name="40% - Accent6 3 5 2 7" xfId="14912" xr:uid="{00000000-0005-0000-0000-0000E98B0000}"/>
    <cellStyle name="40% - Accent6 3 5 2 7 2" xfId="40786" xr:uid="{00000000-0005-0000-0000-0000EA8B0000}"/>
    <cellStyle name="40% - Accent6 3 5 2 8" xfId="27837" xr:uid="{00000000-0005-0000-0000-0000EB8B0000}"/>
    <cellStyle name="40% - Accent6 3 5 2 9" xfId="53700" xr:uid="{00000000-0005-0000-0000-0000EC8B0000}"/>
    <cellStyle name="40% - Accent6 3 5 3" xfId="798" xr:uid="{00000000-0005-0000-0000-0000ED8B0000}"/>
    <cellStyle name="40% - Accent6 3 5 3 2" xfId="2964" xr:uid="{00000000-0005-0000-0000-0000EE8B0000}"/>
    <cellStyle name="40% - Accent6 3 5 3 2 2" xfId="4621" xr:uid="{00000000-0005-0000-0000-0000EF8B0000}"/>
    <cellStyle name="40% - Accent6 3 5 3 2 2 2" xfId="7852" xr:uid="{00000000-0005-0000-0000-0000F08B0000}"/>
    <cellStyle name="40% - Accent6 3 5 3 2 2 2 2" xfId="14311" xr:uid="{00000000-0005-0000-0000-0000F18B0000}"/>
    <cellStyle name="40% - Accent6 3 5 3 2 2 2 2 2" xfId="27228" xr:uid="{00000000-0005-0000-0000-0000F28B0000}"/>
    <cellStyle name="40% - Accent6 3 5 3 2 2 2 2 2 2" xfId="53102" xr:uid="{00000000-0005-0000-0000-0000F38B0000}"/>
    <cellStyle name="40% - Accent6 3 5 3 2 2 2 2 3" xfId="40186" xr:uid="{00000000-0005-0000-0000-0000F48B0000}"/>
    <cellStyle name="40% - Accent6 3 5 3 2 2 2 3" xfId="20770" xr:uid="{00000000-0005-0000-0000-0000F58B0000}"/>
    <cellStyle name="40% - Accent6 3 5 3 2 2 2 3 2" xfId="46644" xr:uid="{00000000-0005-0000-0000-0000F68B0000}"/>
    <cellStyle name="40% - Accent6 3 5 3 2 2 2 4" xfId="33728" xr:uid="{00000000-0005-0000-0000-0000F78B0000}"/>
    <cellStyle name="40% - Accent6 3 5 3 2 2 3" xfId="11083" xr:uid="{00000000-0005-0000-0000-0000F88B0000}"/>
    <cellStyle name="40% - Accent6 3 5 3 2 2 3 2" xfId="24000" xr:uid="{00000000-0005-0000-0000-0000F98B0000}"/>
    <cellStyle name="40% - Accent6 3 5 3 2 2 3 2 2" xfId="49874" xr:uid="{00000000-0005-0000-0000-0000FA8B0000}"/>
    <cellStyle name="40% - Accent6 3 5 3 2 2 3 3" xfId="36958" xr:uid="{00000000-0005-0000-0000-0000FB8B0000}"/>
    <cellStyle name="40% - Accent6 3 5 3 2 2 4" xfId="17542" xr:uid="{00000000-0005-0000-0000-0000FC8B0000}"/>
    <cellStyle name="40% - Accent6 3 5 3 2 2 4 2" xfId="43416" xr:uid="{00000000-0005-0000-0000-0000FD8B0000}"/>
    <cellStyle name="40% - Accent6 3 5 3 2 2 5" xfId="30468" xr:uid="{00000000-0005-0000-0000-0000FE8B0000}"/>
    <cellStyle name="40% - Accent6 3 5 3 2 3" xfId="6238" xr:uid="{00000000-0005-0000-0000-0000FF8B0000}"/>
    <cellStyle name="40% - Accent6 3 5 3 2 3 2" xfId="12697" xr:uid="{00000000-0005-0000-0000-0000008C0000}"/>
    <cellStyle name="40% - Accent6 3 5 3 2 3 2 2" xfId="25614" xr:uid="{00000000-0005-0000-0000-0000018C0000}"/>
    <cellStyle name="40% - Accent6 3 5 3 2 3 2 2 2" xfId="51488" xr:uid="{00000000-0005-0000-0000-0000028C0000}"/>
    <cellStyle name="40% - Accent6 3 5 3 2 3 2 3" xfId="38572" xr:uid="{00000000-0005-0000-0000-0000038C0000}"/>
    <cellStyle name="40% - Accent6 3 5 3 2 3 3" xfId="19156" xr:uid="{00000000-0005-0000-0000-0000048C0000}"/>
    <cellStyle name="40% - Accent6 3 5 3 2 3 3 2" xfId="45030" xr:uid="{00000000-0005-0000-0000-0000058C0000}"/>
    <cellStyle name="40% - Accent6 3 5 3 2 3 4" xfId="32114" xr:uid="{00000000-0005-0000-0000-0000068C0000}"/>
    <cellStyle name="40% - Accent6 3 5 3 2 4" xfId="9469" xr:uid="{00000000-0005-0000-0000-0000078C0000}"/>
    <cellStyle name="40% - Accent6 3 5 3 2 4 2" xfId="22386" xr:uid="{00000000-0005-0000-0000-0000088C0000}"/>
    <cellStyle name="40% - Accent6 3 5 3 2 4 2 2" xfId="48260" xr:uid="{00000000-0005-0000-0000-0000098C0000}"/>
    <cellStyle name="40% - Accent6 3 5 3 2 4 3" xfId="35344" xr:uid="{00000000-0005-0000-0000-00000A8C0000}"/>
    <cellStyle name="40% - Accent6 3 5 3 2 5" xfId="15928" xr:uid="{00000000-0005-0000-0000-00000B8C0000}"/>
    <cellStyle name="40% - Accent6 3 5 3 2 5 2" xfId="41802" xr:uid="{00000000-0005-0000-0000-00000C8C0000}"/>
    <cellStyle name="40% - Accent6 3 5 3 2 6" xfId="28854" xr:uid="{00000000-0005-0000-0000-00000D8C0000}"/>
    <cellStyle name="40% - Accent6 3 5 3 3" xfId="3791" xr:uid="{00000000-0005-0000-0000-00000E8C0000}"/>
    <cellStyle name="40% - Accent6 3 5 3 3 2" xfId="7045" xr:uid="{00000000-0005-0000-0000-00000F8C0000}"/>
    <cellStyle name="40% - Accent6 3 5 3 3 2 2" xfId="13504" xr:uid="{00000000-0005-0000-0000-0000108C0000}"/>
    <cellStyle name="40% - Accent6 3 5 3 3 2 2 2" xfId="26421" xr:uid="{00000000-0005-0000-0000-0000118C0000}"/>
    <cellStyle name="40% - Accent6 3 5 3 3 2 2 2 2" xfId="52295" xr:uid="{00000000-0005-0000-0000-0000128C0000}"/>
    <cellStyle name="40% - Accent6 3 5 3 3 2 2 3" xfId="39379" xr:uid="{00000000-0005-0000-0000-0000138C0000}"/>
    <cellStyle name="40% - Accent6 3 5 3 3 2 3" xfId="19963" xr:uid="{00000000-0005-0000-0000-0000148C0000}"/>
    <cellStyle name="40% - Accent6 3 5 3 3 2 3 2" xfId="45837" xr:uid="{00000000-0005-0000-0000-0000158C0000}"/>
    <cellStyle name="40% - Accent6 3 5 3 3 2 4" xfId="32921" xr:uid="{00000000-0005-0000-0000-0000168C0000}"/>
    <cellStyle name="40% - Accent6 3 5 3 3 3" xfId="10276" xr:uid="{00000000-0005-0000-0000-0000178C0000}"/>
    <cellStyle name="40% - Accent6 3 5 3 3 3 2" xfId="23193" xr:uid="{00000000-0005-0000-0000-0000188C0000}"/>
    <cellStyle name="40% - Accent6 3 5 3 3 3 2 2" xfId="49067" xr:uid="{00000000-0005-0000-0000-0000198C0000}"/>
    <cellStyle name="40% - Accent6 3 5 3 3 3 3" xfId="36151" xr:uid="{00000000-0005-0000-0000-00001A8C0000}"/>
    <cellStyle name="40% - Accent6 3 5 3 3 4" xfId="16735" xr:uid="{00000000-0005-0000-0000-00001B8C0000}"/>
    <cellStyle name="40% - Accent6 3 5 3 3 4 2" xfId="42609" xr:uid="{00000000-0005-0000-0000-00001C8C0000}"/>
    <cellStyle name="40% - Accent6 3 5 3 3 5" xfId="29661" xr:uid="{00000000-0005-0000-0000-00001D8C0000}"/>
    <cellStyle name="40% - Accent6 3 5 3 4" xfId="5431" xr:uid="{00000000-0005-0000-0000-00001E8C0000}"/>
    <cellStyle name="40% - Accent6 3 5 3 4 2" xfId="11890" xr:uid="{00000000-0005-0000-0000-00001F8C0000}"/>
    <cellStyle name="40% - Accent6 3 5 3 4 2 2" xfId="24807" xr:uid="{00000000-0005-0000-0000-0000208C0000}"/>
    <cellStyle name="40% - Accent6 3 5 3 4 2 2 2" xfId="50681" xr:uid="{00000000-0005-0000-0000-0000218C0000}"/>
    <cellStyle name="40% - Accent6 3 5 3 4 2 3" xfId="37765" xr:uid="{00000000-0005-0000-0000-0000228C0000}"/>
    <cellStyle name="40% - Accent6 3 5 3 4 3" xfId="18349" xr:uid="{00000000-0005-0000-0000-0000238C0000}"/>
    <cellStyle name="40% - Accent6 3 5 3 4 3 2" xfId="44223" xr:uid="{00000000-0005-0000-0000-0000248C0000}"/>
    <cellStyle name="40% - Accent6 3 5 3 4 4" xfId="31307" xr:uid="{00000000-0005-0000-0000-0000258C0000}"/>
    <cellStyle name="40% - Accent6 3 5 3 5" xfId="8662" xr:uid="{00000000-0005-0000-0000-0000268C0000}"/>
    <cellStyle name="40% - Accent6 3 5 3 5 2" xfId="21579" xr:uid="{00000000-0005-0000-0000-0000278C0000}"/>
    <cellStyle name="40% - Accent6 3 5 3 5 2 2" xfId="47453" xr:uid="{00000000-0005-0000-0000-0000288C0000}"/>
    <cellStyle name="40% - Accent6 3 5 3 5 3" xfId="34537" xr:uid="{00000000-0005-0000-0000-0000298C0000}"/>
    <cellStyle name="40% - Accent6 3 5 3 6" xfId="15121" xr:uid="{00000000-0005-0000-0000-00002A8C0000}"/>
    <cellStyle name="40% - Accent6 3 5 3 6 2" xfId="40995" xr:uid="{00000000-0005-0000-0000-00002B8C0000}"/>
    <cellStyle name="40% - Accent6 3 5 3 7" xfId="28047" xr:uid="{00000000-0005-0000-0000-00002C8C0000}"/>
    <cellStyle name="40% - Accent6 3 5 3 8" xfId="53909" xr:uid="{00000000-0005-0000-0000-00002D8C0000}"/>
    <cellStyle name="40% - Accent6 3 5 3 9" xfId="2150" xr:uid="{00000000-0005-0000-0000-00002E8C0000}"/>
    <cellStyle name="40% - Accent6 3 5 4" xfId="2561" xr:uid="{00000000-0005-0000-0000-00002F8C0000}"/>
    <cellStyle name="40% - Accent6 3 5 4 2" xfId="4218" xr:uid="{00000000-0005-0000-0000-0000308C0000}"/>
    <cellStyle name="40% - Accent6 3 5 4 2 2" xfId="7449" xr:uid="{00000000-0005-0000-0000-0000318C0000}"/>
    <cellStyle name="40% - Accent6 3 5 4 2 2 2" xfId="13908" xr:uid="{00000000-0005-0000-0000-0000328C0000}"/>
    <cellStyle name="40% - Accent6 3 5 4 2 2 2 2" xfId="26825" xr:uid="{00000000-0005-0000-0000-0000338C0000}"/>
    <cellStyle name="40% - Accent6 3 5 4 2 2 2 2 2" xfId="52699" xr:uid="{00000000-0005-0000-0000-0000348C0000}"/>
    <cellStyle name="40% - Accent6 3 5 4 2 2 2 3" xfId="39783" xr:uid="{00000000-0005-0000-0000-0000358C0000}"/>
    <cellStyle name="40% - Accent6 3 5 4 2 2 3" xfId="20367" xr:uid="{00000000-0005-0000-0000-0000368C0000}"/>
    <cellStyle name="40% - Accent6 3 5 4 2 2 3 2" xfId="46241" xr:uid="{00000000-0005-0000-0000-0000378C0000}"/>
    <cellStyle name="40% - Accent6 3 5 4 2 2 4" xfId="33325" xr:uid="{00000000-0005-0000-0000-0000388C0000}"/>
    <cellStyle name="40% - Accent6 3 5 4 2 3" xfId="10680" xr:uid="{00000000-0005-0000-0000-0000398C0000}"/>
    <cellStyle name="40% - Accent6 3 5 4 2 3 2" xfId="23597" xr:uid="{00000000-0005-0000-0000-00003A8C0000}"/>
    <cellStyle name="40% - Accent6 3 5 4 2 3 2 2" xfId="49471" xr:uid="{00000000-0005-0000-0000-00003B8C0000}"/>
    <cellStyle name="40% - Accent6 3 5 4 2 3 3" xfId="36555" xr:uid="{00000000-0005-0000-0000-00003C8C0000}"/>
    <cellStyle name="40% - Accent6 3 5 4 2 4" xfId="17139" xr:uid="{00000000-0005-0000-0000-00003D8C0000}"/>
    <cellStyle name="40% - Accent6 3 5 4 2 4 2" xfId="43013" xr:uid="{00000000-0005-0000-0000-00003E8C0000}"/>
    <cellStyle name="40% - Accent6 3 5 4 2 5" xfId="30065" xr:uid="{00000000-0005-0000-0000-00003F8C0000}"/>
    <cellStyle name="40% - Accent6 3 5 4 3" xfId="5835" xr:uid="{00000000-0005-0000-0000-0000408C0000}"/>
    <cellStyle name="40% - Accent6 3 5 4 3 2" xfId="12294" xr:uid="{00000000-0005-0000-0000-0000418C0000}"/>
    <cellStyle name="40% - Accent6 3 5 4 3 2 2" xfId="25211" xr:uid="{00000000-0005-0000-0000-0000428C0000}"/>
    <cellStyle name="40% - Accent6 3 5 4 3 2 2 2" xfId="51085" xr:uid="{00000000-0005-0000-0000-0000438C0000}"/>
    <cellStyle name="40% - Accent6 3 5 4 3 2 3" xfId="38169" xr:uid="{00000000-0005-0000-0000-0000448C0000}"/>
    <cellStyle name="40% - Accent6 3 5 4 3 3" xfId="18753" xr:uid="{00000000-0005-0000-0000-0000458C0000}"/>
    <cellStyle name="40% - Accent6 3 5 4 3 3 2" xfId="44627" xr:uid="{00000000-0005-0000-0000-0000468C0000}"/>
    <cellStyle name="40% - Accent6 3 5 4 3 4" xfId="31711" xr:uid="{00000000-0005-0000-0000-0000478C0000}"/>
    <cellStyle name="40% - Accent6 3 5 4 4" xfId="9066" xr:uid="{00000000-0005-0000-0000-0000488C0000}"/>
    <cellStyle name="40% - Accent6 3 5 4 4 2" xfId="21983" xr:uid="{00000000-0005-0000-0000-0000498C0000}"/>
    <cellStyle name="40% - Accent6 3 5 4 4 2 2" xfId="47857" xr:uid="{00000000-0005-0000-0000-00004A8C0000}"/>
    <cellStyle name="40% - Accent6 3 5 4 4 3" xfId="34941" xr:uid="{00000000-0005-0000-0000-00004B8C0000}"/>
    <cellStyle name="40% - Accent6 3 5 4 5" xfId="15525" xr:uid="{00000000-0005-0000-0000-00004C8C0000}"/>
    <cellStyle name="40% - Accent6 3 5 4 5 2" xfId="41399" xr:uid="{00000000-0005-0000-0000-00004D8C0000}"/>
    <cellStyle name="40% - Accent6 3 5 4 6" xfId="28451" xr:uid="{00000000-0005-0000-0000-00004E8C0000}"/>
    <cellStyle name="40% - Accent6 3 5 5" xfId="3386" xr:uid="{00000000-0005-0000-0000-00004F8C0000}"/>
    <cellStyle name="40% - Accent6 3 5 5 2" xfId="6642" xr:uid="{00000000-0005-0000-0000-0000508C0000}"/>
    <cellStyle name="40% - Accent6 3 5 5 2 2" xfId="13101" xr:uid="{00000000-0005-0000-0000-0000518C0000}"/>
    <cellStyle name="40% - Accent6 3 5 5 2 2 2" xfId="26018" xr:uid="{00000000-0005-0000-0000-0000528C0000}"/>
    <cellStyle name="40% - Accent6 3 5 5 2 2 2 2" xfId="51892" xr:uid="{00000000-0005-0000-0000-0000538C0000}"/>
    <cellStyle name="40% - Accent6 3 5 5 2 2 3" xfId="38976" xr:uid="{00000000-0005-0000-0000-0000548C0000}"/>
    <cellStyle name="40% - Accent6 3 5 5 2 3" xfId="19560" xr:uid="{00000000-0005-0000-0000-0000558C0000}"/>
    <cellStyle name="40% - Accent6 3 5 5 2 3 2" xfId="45434" xr:uid="{00000000-0005-0000-0000-0000568C0000}"/>
    <cellStyle name="40% - Accent6 3 5 5 2 4" xfId="32518" xr:uid="{00000000-0005-0000-0000-0000578C0000}"/>
    <cellStyle name="40% - Accent6 3 5 5 3" xfId="9873" xr:uid="{00000000-0005-0000-0000-0000588C0000}"/>
    <cellStyle name="40% - Accent6 3 5 5 3 2" xfId="22790" xr:uid="{00000000-0005-0000-0000-0000598C0000}"/>
    <cellStyle name="40% - Accent6 3 5 5 3 2 2" xfId="48664" xr:uid="{00000000-0005-0000-0000-00005A8C0000}"/>
    <cellStyle name="40% - Accent6 3 5 5 3 3" xfId="35748" xr:uid="{00000000-0005-0000-0000-00005B8C0000}"/>
    <cellStyle name="40% - Accent6 3 5 5 4" xfId="16332" xr:uid="{00000000-0005-0000-0000-00005C8C0000}"/>
    <cellStyle name="40% - Accent6 3 5 5 4 2" xfId="42206" xr:uid="{00000000-0005-0000-0000-00005D8C0000}"/>
    <cellStyle name="40% - Accent6 3 5 5 5" xfId="29258" xr:uid="{00000000-0005-0000-0000-00005E8C0000}"/>
    <cellStyle name="40% - Accent6 3 5 6" xfId="5028" xr:uid="{00000000-0005-0000-0000-00005F8C0000}"/>
    <cellStyle name="40% - Accent6 3 5 6 2" xfId="11487" xr:uid="{00000000-0005-0000-0000-0000608C0000}"/>
    <cellStyle name="40% - Accent6 3 5 6 2 2" xfId="24404" xr:uid="{00000000-0005-0000-0000-0000618C0000}"/>
    <cellStyle name="40% - Accent6 3 5 6 2 2 2" xfId="50278" xr:uid="{00000000-0005-0000-0000-0000628C0000}"/>
    <cellStyle name="40% - Accent6 3 5 6 2 3" xfId="37362" xr:uid="{00000000-0005-0000-0000-0000638C0000}"/>
    <cellStyle name="40% - Accent6 3 5 6 3" xfId="17946" xr:uid="{00000000-0005-0000-0000-0000648C0000}"/>
    <cellStyle name="40% - Accent6 3 5 6 3 2" xfId="43820" xr:uid="{00000000-0005-0000-0000-0000658C0000}"/>
    <cellStyle name="40% - Accent6 3 5 6 4" xfId="30904" xr:uid="{00000000-0005-0000-0000-0000668C0000}"/>
    <cellStyle name="40% - Accent6 3 5 7" xfId="8258" xr:uid="{00000000-0005-0000-0000-0000678C0000}"/>
    <cellStyle name="40% - Accent6 3 5 7 2" xfId="21175" xr:uid="{00000000-0005-0000-0000-0000688C0000}"/>
    <cellStyle name="40% - Accent6 3 5 7 2 2" xfId="47049" xr:uid="{00000000-0005-0000-0000-0000698C0000}"/>
    <cellStyle name="40% - Accent6 3 5 7 3" xfId="34133" xr:uid="{00000000-0005-0000-0000-00006A8C0000}"/>
    <cellStyle name="40% - Accent6 3 5 8" xfId="14717" xr:uid="{00000000-0005-0000-0000-00006B8C0000}"/>
    <cellStyle name="40% - Accent6 3 5 8 2" xfId="40591" xr:uid="{00000000-0005-0000-0000-00006C8C0000}"/>
    <cellStyle name="40% - Accent6 3 5 9" xfId="27641" xr:uid="{00000000-0005-0000-0000-00006D8C0000}"/>
    <cellStyle name="40% - Accent6 3 6" xfId="800" xr:uid="{00000000-0005-0000-0000-00006E8C0000}"/>
    <cellStyle name="40% - Accent6 3 7" xfId="785" xr:uid="{00000000-0005-0000-0000-00006F8C0000}"/>
    <cellStyle name="40% - Accent6 3 8" xfId="1139" xr:uid="{00000000-0005-0000-0000-0000708C0000}"/>
    <cellStyle name="40% - Accent6 4" xfId="491" xr:uid="{00000000-0005-0000-0000-0000718C0000}"/>
    <cellStyle name="40% - Accent6 4 2" xfId="802" xr:uid="{00000000-0005-0000-0000-0000728C0000}"/>
    <cellStyle name="40% - Accent6 4 3" xfId="801" xr:uid="{00000000-0005-0000-0000-0000738C0000}"/>
    <cellStyle name="40% - Accent6 4 4" xfId="1140" xr:uid="{00000000-0005-0000-0000-0000748C0000}"/>
    <cellStyle name="40% - Accent6 5" xfId="398" xr:uid="{00000000-0005-0000-0000-0000758C0000}"/>
    <cellStyle name="40% - Accent6 5 2" xfId="804" xr:uid="{00000000-0005-0000-0000-0000768C0000}"/>
    <cellStyle name="40% - Accent6 5 3" xfId="803" xr:uid="{00000000-0005-0000-0000-0000778C0000}"/>
    <cellStyle name="40% - Accent6 5 4" xfId="1141" xr:uid="{00000000-0005-0000-0000-0000788C0000}"/>
    <cellStyle name="40% - Accent6 6" xfId="805" xr:uid="{00000000-0005-0000-0000-0000798C0000}"/>
    <cellStyle name="40% - Accent6 6 2" xfId="1142" xr:uid="{00000000-0005-0000-0000-00007A8C0000}"/>
    <cellStyle name="40% - Accent6 7" xfId="780" xr:uid="{00000000-0005-0000-0000-00007B8C0000}"/>
    <cellStyle name="40% - Accent6 7 2" xfId="1144" xr:uid="{00000000-0005-0000-0000-00007C8C0000}"/>
    <cellStyle name="40% - Accent6 7 3" xfId="1145" xr:uid="{00000000-0005-0000-0000-00007D8C0000}"/>
    <cellStyle name="40% - Accent6 7 3 10" xfId="27600" xr:uid="{00000000-0005-0000-0000-00007E8C0000}"/>
    <cellStyle name="40% - Accent6 7 3 11" xfId="53466" xr:uid="{00000000-0005-0000-0000-00007F8C0000}"/>
    <cellStyle name="40% - Accent6 7 3 2" xfId="1680" xr:uid="{00000000-0005-0000-0000-0000808C0000}"/>
    <cellStyle name="40% - Accent6 7 3 2 10" xfId="53581" xr:uid="{00000000-0005-0000-0000-0000818C0000}"/>
    <cellStyle name="40% - Accent6 7 3 2 2" xfId="1990" xr:uid="{00000000-0005-0000-0000-0000828C0000}"/>
    <cellStyle name="40% - Accent6 7 3 2 2 2" xfId="2421" xr:uid="{00000000-0005-0000-0000-0000838C0000}"/>
    <cellStyle name="40% - Accent6 7 3 2 2 2 2" xfId="3234" xr:uid="{00000000-0005-0000-0000-0000848C0000}"/>
    <cellStyle name="40% - Accent6 7 3 2 2 2 2 2" xfId="4891" xr:uid="{00000000-0005-0000-0000-0000858C0000}"/>
    <cellStyle name="40% - Accent6 7 3 2 2 2 2 2 2" xfId="8122" xr:uid="{00000000-0005-0000-0000-0000868C0000}"/>
    <cellStyle name="40% - Accent6 7 3 2 2 2 2 2 2 2" xfId="14581" xr:uid="{00000000-0005-0000-0000-0000878C0000}"/>
    <cellStyle name="40% - Accent6 7 3 2 2 2 2 2 2 2 2" xfId="27498" xr:uid="{00000000-0005-0000-0000-0000888C0000}"/>
    <cellStyle name="40% - Accent6 7 3 2 2 2 2 2 2 2 2 2" xfId="53372" xr:uid="{00000000-0005-0000-0000-0000898C0000}"/>
    <cellStyle name="40% - Accent6 7 3 2 2 2 2 2 2 2 3" xfId="40456" xr:uid="{00000000-0005-0000-0000-00008A8C0000}"/>
    <cellStyle name="40% - Accent6 7 3 2 2 2 2 2 2 3" xfId="21040" xr:uid="{00000000-0005-0000-0000-00008B8C0000}"/>
    <cellStyle name="40% - Accent6 7 3 2 2 2 2 2 2 3 2" xfId="46914" xr:uid="{00000000-0005-0000-0000-00008C8C0000}"/>
    <cellStyle name="40% - Accent6 7 3 2 2 2 2 2 2 4" xfId="33998" xr:uid="{00000000-0005-0000-0000-00008D8C0000}"/>
    <cellStyle name="40% - Accent6 7 3 2 2 2 2 2 3" xfId="11353" xr:uid="{00000000-0005-0000-0000-00008E8C0000}"/>
    <cellStyle name="40% - Accent6 7 3 2 2 2 2 2 3 2" xfId="24270" xr:uid="{00000000-0005-0000-0000-00008F8C0000}"/>
    <cellStyle name="40% - Accent6 7 3 2 2 2 2 2 3 2 2" xfId="50144" xr:uid="{00000000-0005-0000-0000-0000908C0000}"/>
    <cellStyle name="40% - Accent6 7 3 2 2 2 2 2 3 3" xfId="37228" xr:uid="{00000000-0005-0000-0000-0000918C0000}"/>
    <cellStyle name="40% - Accent6 7 3 2 2 2 2 2 4" xfId="17812" xr:uid="{00000000-0005-0000-0000-0000928C0000}"/>
    <cellStyle name="40% - Accent6 7 3 2 2 2 2 2 4 2" xfId="43686" xr:uid="{00000000-0005-0000-0000-0000938C0000}"/>
    <cellStyle name="40% - Accent6 7 3 2 2 2 2 2 5" xfId="30738" xr:uid="{00000000-0005-0000-0000-0000948C0000}"/>
    <cellStyle name="40% - Accent6 7 3 2 2 2 2 3" xfId="6508" xr:uid="{00000000-0005-0000-0000-0000958C0000}"/>
    <cellStyle name="40% - Accent6 7 3 2 2 2 2 3 2" xfId="12967" xr:uid="{00000000-0005-0000-0000-0000968C0000}"/>
    <cellStyle name="40% - Accent6 7 3 2 2 2 2 3 2 2" xfId="25884" xr:uid="{00000000-0005-0000-0000-0000978C0000}"/>
    <cellStyle name="40% - Accent6 7 3 2 2 2 2 3 2 2 2" xfId="51758" xr:uid="{00000000-0005-0000-0000-0000988C0000}"/>
    <cellStyle name="40% - Accent6 7 3 2 2 2 2 3 2 3" xfId="38842" xr:uid="{00000000-0005-0000-0000-0000998C0000}"/>
    <cellStyle name="40% - Accent6 7 3 2 2 2 2 3 3" xfId="19426" xr:uid="{00000000-0005-0000-0000-00009A8C0000}"/>
    <cellStyle name="40% - Accent6 7 3 2 2 2 2 3 3 2" xfId="45300" xr:uid="{00000000-0005-0000-0000-00009B8C0000}"/>
    <cellStyle name="40% - Accent6 7 3 2 2 2 2 3 4" xfId="32384" xr:uid="{00000000-0005-0000-0000-00009C8C0000}"/>
    <cellStyle name="40% - Accent6 7 3 2 2 2 2 4" xfId="9739" xr:uid="{00000000-0005-0000-0000-00009D8C0000}"/>
    <cellStyle name="40% - Accent6 7 3 2 2 2 2 4 2" xfId="22656" xr:uid="{00000000-0005-0000-0000-00009E8C0000}"/>
    <cellStyle name="40% - Accent6 7 3 2 2 2 2 4 2 2" xfId="48530" xr:uid="{00000000-0005-0000-0000-00009F8C0000}"/>
    <cellStyle name="40% - Accent6 7 3 2 2 2 2 4 3" xfId="35614" xr:uid="{00000000-0005-0000-0000-0000A08C0000}"/>
    <cellStyle name="40% - Accent6 7 3 2 2 2 2 5" xfId="16198" xr:uid="{00000000-0005-0000-0000-0000A18C0000}"/>
    <cellStyle name="40% - Accent6 7 3 2 2 2 2 5 2" xfId="42072" xr:uid="{00000000-0005-0000-0000-0000A28C0000}"/>
    <cellStyle name="40% - Accent6 7 3 2 2 2 2 6" xfId="29124" xr:uid="{00000000-0005-0000-0000-0000A38C0000}"/>
    <cellStyle name="40% - Accent6 7 3 2 2 2 3" xfId="4061" xr:uid="{00000000-0005-0000-0000-0000A48C0000}"/>
    <cellStyle name="40% - Accent6 7 3 2 2 2 3 2" xfId="7315" xr:uid="{00000000-0005-0000-0000-0000A58C0000}"/>
    <cellStyle name="40% - Accent6 7 3 2 2 2 3 2 2" xfId="13774" xr:uid="{00000000-0005-0000-0000-0000A68C0000}"/>
    <cellStyle name="40% - Accent6 7 3 2 2 2 3 2 2 2" xfId="26691" xr:uid="{00000000-0005-0000-0000-0000A78C0000}"/>
    <cellStyle name="40% - Accent6 7 3 2 2 2 3 2 2 2 2" xfId="52565" xr:uid="{00000000-0005-0000-0000-0000A88C0000}"/>
    <cellStyle name="40% - Accent6 7 3 2 2 2 3 2 2 3" xfId="39649" xr:uid="{00000000-0005-0000-0000-0000A98C0000}"/>
    <cellStyle name="40% - Accent6 7 3 2 2 2 3 2 3" xfId="20233" xr:uid="{00000000-0005-0000-0000-0000AA8C0000}"/>
    <cellStyle name="40% - Accent6 7 3 2 2 2 3 2 3 2" xfId="46107" xr:uid="{00000000-0005-0000-0000-0000AB8C0000}"/>
    <cellStyle name="40% - Accent6 7 3 2 2 2 3 2 4" xfId="33191" xr:uid="{00000000-0005-0000-0000-0000AC8C0000}"/>
    <cellStyle name="40% - Accent6 7 3 2 2 2 3 3" xfId="10546" xr:uid="{00000000-0005-0000-0000-0000AD8C0000}"/>
    <cellStyle name="40% - Accent6 7 3 2 2 2 3 3 2" xfId="23463" xr:uid="{00000000-0005-0000-0000-0000AE8C0000}"/>
    <cellStyle name="40% - Accent6 7 3 2 2 2 3 3 2 2" xfId="49337" xr:uid="{00000000-0005-0000-0000-0000AF8C0000}"/>
    <cellStyle name="40% - Accent6 7 3 2 2 2 3 3 3" xfId="36421" xr:uid="{00000000-0005-0000-0000-0000B08C0000}"/>
    <cellStyle name="40% - Accent6 7 3 2 2 2 3 4" xfId="17005" xr:uid="{00000000-0005-0000-0000-0000B18C0000}"/>
    <cellStyle name="40% - Accent6 7 3 2 2 2 3 4 2" xfId="42879" xr:uid="{00000000-0005-0000-0000-0000B28C0000}"/>
    <cellStyle name="40% - Accent6 7 3 2 2 2 3 5" xfId="29931" xr:uid="{00000000-0005-0000-0000-0000B38C0000}"/>
    <cellStyle name="40% - Accent6 7 3 2 2 2 4" xfId="5701" xr:uid="{00000000-0005-0000-0000-0000B48C0000}"/>
    <cellStyle name="40% - Accent6 7 3 2 2 2 4 2" xfId="12160" xr:uid="{00000000-0005-0000-0000-0000B58C0000}"/>
    <cellStyle name="40% - Accent6 7 3 2 2 2 4 2 2" xfId="25077" xr:uid="{00000000-0005-0000-0000-0000B68C0000}"/>
    <cellStyle name="40% - Accent6 7 3 2 2 2 4 2 2 2" xfId="50951" xr:uid="{00000000-0005-0000-0000-0000B78C0000}"/>
    <cellStyle name="40% - Accent6 7 3 2 2 2 4 2 3" xfId="38035" xr:uid="{00000000-0005-0000-0000-0000B88C0000}"/>
    <cellStyle name="40% - Accent6 7 3 2 2 2 4 3" xfId="18619" xr:uid="{00000000-0005-0000-0000-0000B98C0000}"/>
    <cellStyle name="40% - Accent6 7 3 2 2 2 4 3 2" xfId="44493" xr:uid="{00000000-0005-0000-0000-0000BA8C0000}"/>
    <cellStyle name="40% - Accent6 7 3 2 2 2 4 4" xfId="31577" xr:uid="{00000000-0005-0000-0000-0000BB8C0000}"/>
    <cellStyle name="40% - Accent6 7 3 2 2 2 5" xfId="8932" xr:uid="{00000000-0005-0000-0000-0000BC8C0000}"/>
    <cellStyle name="40% - Accent6 7 3 2 2 2 5 2" xfId="21849" xr:uid="{00000000-0005-0000-0000-0000BD8C0000}"/>
    <cellStyle name="40% - Accent6 7 3 2 2 2 5 2 2" xfId="47723" xr:uid="{00000000-0005-0000-0000-0000BE8C0000}"/>
    <cellStyle name="40% - Accent6 7 3 2 2 2 5 3" xfId="34807" xr:uid="{00000000-0005-0000-0000-0000BF8C0000}"/>
    <cellStyle name="40% - Accent6 7 3 2 2 2 6" xfId="15391" xr:uid="{00000000-0005-0000-0000-0000C08C0000}"/>
    <cellStyle name="40% - Accent6 7 3 2 2 2 6 2" xfId="41265" xr:uid="{00000000-0005-0000-0000-0000C18C0000}"/>
    <cellStyle name="40% - Accent6 7 3 2 2 2 7" xfId="28317" xr:uid="{00000000-0005-0000-0000-0000C28C0000}"/>
    <cellStyle name="40% - Accent6 7 3 2 2 2 8" xfId="54179" xr:uid="{00000000-0005-0000-0000-0000C38C0000}"/>
    <cellStyle name="40% - Accent6 7 3 2 2 3" xfId="2830" xr:uid="{00000000-0005-0000-0000-0000C48C0000}"/>
    <cellStyle name="40% - Accent6 7 3 2 2 3 2" xfId="4487" xr:uid="{00000000-0005-0000-0000-0000C58C0000}"/>
    <cellStyle name="40% - Accent6 7 3 2 2 3 2 2" xfId="7718" xr:uid="{00000000-0005-0000-0000-0000C68C0000}"/>
    <cellStyle name="40% - Accent6 7 3 2 2 3 2 2 2" xfId="14177" xr:uid="{00000000-0005-0000-0000-0000C78C0000}"/>
    <cellStyle name="40% - Accent6 7 3 2 2 3 2 2 2 2" xfId="27094" xr:uid="{00000000-0005-0000-0000-0000C88C0000}"/>
    <cellStyle name="40% - Accent6 7 3 2 2 3 2 2 2 2 2" xfId="52968" xr:uid="{00000000-0005-0000-0000-0000C98C0000}"/>
    <cellStyle name="40% - Accent6 7 3 2 2 3 2 2 2 3" xfId="40052" xr:uid="{00000000-0005-0000-0000-0000CA8C0000}"/>
    <cellStyle name="40% - Accent6 7 3 2 2 3 2 2 3" xfId="20636" xr:uid="{00000000-0005-0000-0000-0000CB8C0000}"/>
    <cellStyle name="40% - Accent6 7 3 2 2 3 2 2 3 2" xfId="46510" xr:uid="{00000000-0005-0000-0000-0000CC8C0000}"/>
    <cellStyle name="40% - Accent6 7 3 2 2 3 2 2 4" xfId="33594" xr:uid="{00000000-0005-0000-0000-0000CD8C0000}"/>
    <cellStyle name="40% - Accent6 7 3 2 2 3 2 3" xfId="10949" xr:uid="{00000000-0005-0000-0000-0000CE8C0000}"/>
    <cellStyle name="40% - Accent6 7 3 2 2 3 2 3 2" xfId="23866" xr:uid="{00000000-0005-0000-0000-0000CF8C0000}"/>
    <cellStyle name="40% - Accent6 7 3 2 2 3 2 3 2 2" xfId="49740" xr:uid="{00000000-0005-0000-0000-0000D08C0000}"/>
    <cellStyle name="40% - Accent6 7 3 2 2 3 2 3 3" xfId="36824" xr:uid="{00000000-0005-0000-0000-0000D18C0000}"/>
    <cellStyle name="40% - Accent6 7 3 2 2 3 2 4" xfId="17408" xr:uid="{00000000-0005-0000-0000-0000D28C0000}"/>
    <cellStyle name="40% - Accent6 7 3 2 2 3 2 4 2" xfId="43282" xr:uid="{00000000-0005-0000-0000-0000D38C0000}"/>
    <cellStyle name="40% - Accent6 7 3 2 2 3 2 5" xfId="30334" xr:uid="{00000000-0005-0000-0000-0000D48C0000}"/>
    <cellStyle name="40% - Accent6 7 3 2 2 3 3" xfId="6104" xr:uid="{00000000-0005-0000-0000-0000D58C0000}"/>
    <cellStyle name="40% - Accent6 7 3 2 2 3 3 2" xfId="12563" xr:uid="{00000000-0005-0000-0000-0000D68C0000}"/>
    <cellStyle name="40% - Accent6 7 3 2 2 3 3 2 2" xfId="25480" xr:uid="{00000000-0005-0000-0000-0000D78C0000}"/>
    <cellStyle name="40% - Accent6 7 3 2 2 3 3 2 2 2" xfId="51354" xr:uid="{00000000-0005-0000-0000-0000D88C0000}"/>
    <cellStyle name="40% - Accent6 7 3 2 2 3 3 2 3" xfId="38438" xr:uid="{00000000-0005-0000-0000-0000D98C0000}"/>
    <cellStyle name="40% - Accent6 7 3 2 2 3 3 3" xfId="19022" xr:uid="{00000000-0005-0000-0000-0000DA8C0000}"/>
    <cellStyle name="40% - Accent6 7 3 2 2 3 3 3 2" xfId="44896" xr:uid="{00000000-0005-0000-0000-0000DB8C0000}"/>
    <cellStyle name="40% - Accent6 7 3 2 2 3 3 4" xfId="31980" xr:uid="{00000000-0005-0000-0000-0000DC8C0000}"/>
    <cellStyle name="40% - Accent6 7 3 2 2 3 4" xfId="9335" xr:uid="{00000000-0005-0000-0000-0000DD8C0000}"/>
    <cellStyle name="40% - Accent6 7 3 2 2 3 4 2" xfId="22252" xr:uid="{00000000-0005-0000-0000-0000DE8C0000}"/>
    <cellStyle name="40% - Accent6 7 3 2 2 3 4 2 2" xfId="48126" xr:uid="{00000000-0005-0000-0000-0000DF8C0000}"/>
    <cellStyle name="40% - Accent6 7 3 2 2 3 4 3" xfId="35210" xr:uid="{00000000-0005-0000-0000-0000E08C0000}"/>
    <cellStyle name="40% - Accent6 7 3 2 2 3 5" xfId="15794" xr:uid="{00000000-0005-0000-0000-0000E18C0000}"/>
    <cellStyle name="40% - Accent6 7 3 2 2 3 5 2" xfId="41668" xr:uid="{00000000-0005-0000-0000-0000E28C0000}"/>
    <cellStyle name="40% - Accent6 7 3 2 2 3 6" xfId="28720" xr:uid="{00000000-0005-0000-0000-0000E38C0000}"/>
    <cellStyle name="40% - Accent6 7 3 2 2 4" xfId="3657" xr:uid="{00000000-0005-0000-0000-0000E48C0000}"/>
    <cellStyle name="40% - Accent6 7 3 2 2 4 2" xfId="6911" xr:uid="{00000000-0005-0000-0000-0000E58C0000}"/>
    <cellStyle name="40% - Accent6 7 3 2 2 4 2 2" xfId="13370" xr:uid="{00000000-0005-0000-0000-0000E68C0000}"/>
    <cellStyle name="40% - Accent6 7 3 2 2 4 2 2 2" xfId="26287" xr:uid="{00000000-0005-0000-0000-0000E78C0000}"/>
    <cellStyle name="40% - Accent6 7 3 2 2 4 2 2 2 2" xfId="52161" xr:uid="{00000000-0005-0000-0000-0000E88C0000}"/>
    <cellStyle name="40% - Accent6 7 3 2 2 4 2 2 3" xfId="39245" xr:uid="{00000000-0005-0000-0000-0000E98C0000}"/>
    <cellStyle name="40% - Accent6 7 3 2 2 4 2 3" xfId="19829" xr:uid="{00000000-0005-0000-0000-0000EA8C0000}"/>
    <cellStyle name="40% - Accent6 7 3 2 2 4 2 3 2" xfId="45703" xr:uid="{00000000-0005-0000-0000-0000EB8C0000}"/>
    <cellStyle name="40% - Accent6 7 3 2 2 4 2 4" xfId="32787" xr:uid="{00000000-0005-0000-0000-0000EC8C0000}"/>
    <cellStyle name="40% - Accent6 7 3 2 2 4 3" xfId="10142" xr:uid="{00000000-0005-0000-0000-0000ED8C0000}"/>
    <cellStyle name="40% - Accent6 7 3 2 2 4 3 2" xfId="23059" xr:uid="{00000000-0005-0000-0000-0000EE8C0000}"/>
    <cellStyle name="40% - Accent6 7 3 2 2 4 3 2 2" xfId="48933" xr:uid="{00000000-0005-0000-0000-0000EF8C0000}"/>
    <cellStyle name="40% - Accent6 7 3 2 2 4 3 3" xfId="36017" xr:uid="{00000000-0005-0000-0000-0000F08C0000}"/>
    <cellStyle name="40% - Accent6 7 3 2 2 4 4" xfId="16601" xr:uid="{00000000-0005-0000-0000-0000F18C0000}"/>
    <cellStyle name="40% - Accent6 7 3 2 2 4 4 2" xfId="42475" xr:uid="{00000000-0005-0000-0000-0000F28C0000}"/>
    <cellStyle name="40% - Accent6 7 3 2 2 4 5" xfId="29527" xr:uid="{00000000-0005-0000-0000-0000F38C0000}"/>
    <cellStyle name="40% - Accent6 7 3 2 2 5" xfId="5297" xr:uid="{00000000-0005-0000-0000-0000F48C0000}"/>
    <cellStyle name="40% - Accent6 7 3 2 2 5 2" xfId="11756" xr:uid="{00000000-0005-0000-0000-0000F58C0000}"/>
    <cellStyle name="40% - Accent6 7 3 2 2 5 2 2" xfId="24673" xr:uid="{00000000-0005-0000-0000-0000F68C0000}"/>
    <cellStyle name="40% - Accent6 7 3 2 2 5 2 2 2" xfId="50547" xr:uid="{00000000-0005-0000-0000-0000F78C0000}"/>
    <cellStyle name="40% - Accent6 7 3 2 2 5 2 3" xfId="37631" xr:uid="{00000000-0005-0000-0000-0000F88C0000}"/>
    <cellStyle name="40% - Accent6 7 3 2 2 5 3" xfId="18215" xr:uid="{00000000-0005-0000-0000-0000F98C0000}"/>
    <cellStyle name="40% - Accent6 7 3 2 2 5 3 2" xfId="44089" xr:uid="{00000000-0005-0000-0000-0000FA8C0000}"/>
    <cellStyle name="40% - Accent6 7 3 2 2 5 4" xfId="31173" xr:uid="{00000000-0005-0000-0000-0000FB8C0000}"/>
    <cellStyle name="40% - Accent6 7 3 2 2 6" xfId="8528" xr:uid="{00000000-0005-0000-0000-0000FC8C0000}"/>
    <cellStyle name="40% - Accent6 7 3 2 2 6 2" xfId="21445" xr:uid="{00000000-0005-0000-0000-0000FD8C0000}"/>
    <cellStyle name="40% - Accent6 7 3 2 2 6 2 2" xfId="47319" xr:uid="{00000000-0005-0000-0000-0000FE8C0000}"/>
    <cellStyle name="40% - Accent6 7 3 2 2 6 3" xfId="34403" xr:uid="{00000000-0005-0000-0000-0000FF8C0000}"/>
    <cellStyle name="40% - Accent6 7 3 2 2 7" xfId="14987" xr:uid="{00000000-0005-0000-0000-0000008D0000}"/>
    <cellStyle name="40% - Accent6 7 3 2 2 7 2" xfId="40861" xr:uid="{00000000-0005-0000-0000-0000018D0000}"/>
    <cellStyle name="40% - Accent6 7 3 2 2 8" xfId="27912" xr:uid="{00000000-0005-0000-0000-0000028D0000}"/>
    <cellStyle name="40% - Accent6 7 3 2 2 9" xfId="53775" xr:uid="{00000000-0005-0000-0000-0000038D0000}"/>
    <cellStyle name="40% - Accent6 7 3 2 3" xfId="2225" xr:uid="{00000000-0005-0000-0000-0000048D0000}"/>
    <cellStyle name="40% - Accent6 7 3 2 3 2" xfId="3039" xr:uid="{00000000-0005-0000-0000-0000058D0000}"/>
    <cellStyle name="40% - Accent6 7 3 2 3 2 2" xfId="4696" xr:uid="{00000000-0005-0000-0000-0000068D0000}"/>
    <cellStyle name="40% - Accent6 7 3 2 3 2 2 2" xfId="7927" xr:uid="{00000000-0005-0000-0000-0000078D0000}"/>
    <cellStyle name="40% - Accent6 7 3 2 3 2 2 2 2" xfId="14386" xr:uid="{00000000-0005-0000-0000-0000088D0000}"/>
    <cellStyle name="40% - Accent6 7 3 2 3 2 2 2 2 2" xfId="27303" xr:uid="{00000000-0005-0000-0000-0000098D0000}"/>
    <cellStyle name="40% - Accent6 7 3 2 3 2 2 2 2 2 2" xfId="53177" xr:uid="{00000000-0005-0000-0000-00000A8D0000}"/>
    <cellStyle name="40% - Accent6 7 3 2 3 2 2 2 2 3" xfId="40261" xr:uid="{00000000-0005-0000-0000-00000B8D0000}"/>
    <cellStyle name="40% - Accent6 7 3 2 3 2 2 2 3" xfId="20845" xr:uid="{00000000-0005-0000-0000-00000C8D0000}"/>
    <cellStyle name="40% - Accent6 7 3 2 3 2 2 2 3 2" xfId="46719" xr:uid="{00000000-0005-0000-0000-00000D8D0000}"/>
    <cellStyle name="40% - Accent6 7 3 2 3 2 2 2 4" xfId="33803" xr:uid="{00000000-0005-0000-0000-00000E8D0000}"/>
    <cellStyle name="40% - Accent6 7 3 2 3 2 2 3" xfId="11158" xr:uid="{00000000-0005-0000-0000-00000F8D0000}"/>
    <cellStyle name="40% - Accent6 7 3 2 3 2 2 3 2" xfId="24075" xr:uid="{00000000-0005-0000-0000-0000108D0000}"/>
    <cellStyle name="40% - Accent6 7 3 2 3 2 2 3 2 2" xfId="49949" xr:uid="{00000000-0005-0000-0000-0000118D0000}"/>
    <cellStyle name="40% - Accent6 7 3 2 3 2 2 3 3" xfId="37033" xr:uid="{00000000-0005-0000-0000-0000128D0000}"/>
    <cellStyle name="40% - Accent6 7 3 2 3 2 2 4" xfId="17617" xr:uid="{00000000-0005-0000-0000-0000138D0000}"/>
    <cellStyle name="40% - Accent6 7 3 2 3 2 2 4 2" xfId="43491" xr:uid="{00000000-0005-0000-0000-0000148D0000}"/>
    <cellStyle name="40% - Accent6 7 3 2 3 2 2 5" xfId="30543" xr:uid="{00000000-0005-0000-0000-0000158D0000}"/>
    <cellStyle name="40% - Accent6 7 3 2 3 2 3" xfId="6313" xr:uid="{00000000-0005-0000-0000-0000168D0000}"/>
    <cellStyle name="40% - Accent6 7 3 2 3 2 3 2" xfId="12772" xr:uid="{00000000-0005-0000-0000-0000178D0000}"/>
    <cellStyle name="40% - Accent6 7 3 2 3 2 3 2 2" xfId="25689" xr:uid="{00000000-0005-0000-0000-0000188D0000}"/>
    <cellStyle name="40% - Accent6 7 3 2 3 2 3 2 2 2" xfId="51563" xr:uid="{00000000-0005-0000-0000-0000198D0000}"/>
    <cellStyle name="40% - Accent6 7 3 2 3 2 3 2 3" xfId="38647" xr:uid="{00000000-0005-0000-0000-00001A8D0000}"/>
    <cellStyle name="40% - Accent6 7 3 2 3 2 3 3" xfId="19231" xr:uid="{00000000-0005-0000-0000-00001B8D0000}"/>
    <cellStyle name="40% - Accent6 7 3 2 3 2 3 3 2" xfId="45105" xr:uid="{00000000-0005-0000-0000-00001C8D0000}"/>
    <cellStyle name="40% - Accent6 7 3 2 3 2 3 4" xfId="32189" xr:uid="{00000000-0005-0000-0000-00001D8D0000}"/>
    <cellStyle name="40% - Accent6 7 3 2 3 2 4" xfId="9544" xr:uid="{00000000-0005-0000-0000-00001E8D0000}"/>
    <cellStyle name="40% - Accent6 7 3 2 3 2 4 2" xfId="22461" xr:uid="{00000000-0005-0000-0000-00001F8D0000}"/>
    <cellStyle name="40% - Accent6 7 3 2 3 2 4 2 2" xfId="48335" xr:uid="{00000000-0005-0000-0000-0000208D0000}"/>
    <cellStyle name="40% - Accent6 7 3 2 3 2 4 3" xfId="35419" xr:uid="{00000000-0005-0000-0000-0000218D0000}"/>
    <cellStyle name="40% - Accent6 7 3 2 3 2 5" xfId="16003" xr:uid="{00000000-0005-0000-0000-0000228D0000}"/>
    <cellStyle name="40% - Accent6 7 3 2 3 2 5 2" xfId="41877" xr:uid="{00000000-0005-0000-0000-0000238D0000}"/>
    <cellStyle name="40% - Accent6 7 3 2 3 2 6" xfId="28929" xr:uid="{00000000-0005-0000-0000-0000248D0000}"/>
    <cellStyle name="40% - Accent6 7 3 2 3 3" xfId="3866" xr:uid="{00000000-0005-0000-0000-0000258D0000}"/>
    <cellStyle name="40% - Accent6 7 3 2 3 3 2" xfId="7120" xr:uid="{00000000-0005-0000-0000-0000268D0000}"/>
    <cellStyle name="40% - Accent6 7 3 2 3 3 2 2" xfId="13579" xr:uid="{00000000-0005-0000-0000-0000278D0000}"/>
    <cellStyle name="40% - Accent6 7 3 2 3 3 2 2 2" xfId="26496" xr:uid="{00000000-0005-0000-0000-0000288D0000}"/>
    <cellStyle name="40% - Accent6 7 3 2 3 3 2 2 2 2" xfId="52370" xr:uid="{00000000-0005-0000-0000-0000298D0000}"/>
    <cellStyle name="40% - Accent6 7 3 2 3 3 2 2 3" xfId="39454" xr:uid="{00000000-0005-0000-0000-00002A8D0000}"/>
    <cellStyle name="40% - Accent6 7 3 2 3 3 2 3" xfId="20038" xr:uid="{00000000-0005-0000-0000-00002B8D0000}"/>
    <cellStyle name="40% - Accent6 7 3 2 3 3 2 3 2" xfId="45912" xr:uid="{00000000-0005-0000-0000-00002C8D0000}"/>
    <cellStyle name="40% - Accent6 7 3 2 3 3 2 4" xfId="32996" xr:uid="{00000000-0005-0000-0000-00002D8D0000}"/>
    <cellStyle name="40% - Accent6 7 3 2 3 3 3" xfId="10351" xr:uid="{00000000-0005-0000-0000-00002E8D0000}"/>
    <cellStyle name="40% - Accent6 7 3 2 3 3 3 2" xfId="23268" xr:uid="{00000000-0005-0000-0000-00002F8D0000}"/>
    <cellStyle name="40% - Accent6 7 3 2 3 3 3 2 2" xfId="49142" xr:uid="{00000000-0005-0000-0000-0000308D0000}"/>
    <cellStyle name="40% - Accent6 7 3 2 3 3 3 3" xfId="36226" xr:uid="{00000000-0005-0000-0000-0000318D0000}"/>
    <cellStyle name="40% - Accent6 7 3 2 3 3 4" xfId="16810" xr:uid="{00000000-0005-0000-0000-0000328D0000}"/>
    <cellStyle name="40% - Accent6 7 3 2 3 3 4 2" xfId="42684" xr:uid="{00000000-0005-0000-0000-0000338D0000}"/>
    <cellStyle name="40% - Accent6 7 3 2 3 3 5" xfId="29736" xr:uid="{00000000-0005-0000-0000-0000348D0000}"/>
    <cellStyle name="40% - Accent6 7 3 2 3 4" xfId="5506" xr:uid="{00000000-0005-0000-0000-0000358D0000}"/>
    <cellStyle name="40% - Accent6 7 3 2 3 4 2" xfId="11965" xr:uid="{00000000-0005-0000-0000-0000368D0000}"/>
    <cellStyle name="40% - Accent6 7 3 2 3 4 2 2" xfId="24882" xr:uid="{00000000-0005-0000-0000-0000378D0000}"/>
    <cellStyle name="40% - Accent6 7 3 2 3 4 2 2 2" xfId="50756" xr:uid="{00000000-0005-0000-0000-0000388D0000}"/>
    <cellStyle name="40% - Accent6 7 3 2 3 4 2 3" xfId="37840" xr:uid="{00000000-0005-0000-0000-0000398D0000}"/>
    <cellStyle name="40% - Accent6 7 3 2 3 4 3" xfId="18424" xr:uid="{00000000-0005-0000-0000-00003A8D0000}"/>
    <cellStyle name="40% - Accent6 7 3 2 3 4 3 2" xfId="44298" xr:uid="{00000000-0005-0000-0000-00003B8D0000}"/>
    <cellStyle name="40% - Accent6 7 3 2 3 4 4" xfId="31382" xr:uid="{00000000-0005-0000-0000-00003C8D0000}"/>
    <cellStyle name="40% - Accent6 7 3 2 3 5" xfId="8737" xr:uid="{00000000-0005-0000-0000-00003D8D0000}"/>
    <cellStyle name="40% - Accent6 7 3 2 3 5 2" xfId="21654" xr:uid="{00000000-0005-0000-0000-00003E8D0000}"/>
    <cellStyle name="40% - Accent6 7 3 2 3 5 2 2" xfId="47528" xr:uid="{00000000-0005-0000-0000-00003F8D0000}"/>
    <cellStyle name="40% - Accent6 7 3 2 3 5 3" xfId="34612" xr:uid="{00000000-0005-0000-0000-0000408D0000}"/>
    <cellStyle name="40% - Accent6 7 3 2 3 6" xfId="15196" xr:uid="{00000000-0005-0000-0000-0000418D0000}"/>
    <cellStyle name="40% - Accent6 7 3 2 3 6 2" xfId="41070" xr:uid="{00000000-0005-0000-0000-0000428D0000}"/>
    <cellStyle name="40% - Accent6 7 3 2 3 7" xfId="28122" xr:uid="{00000000-0005-0000-0000-0000438D0000}"/>
    <cellStyle name="40% - Accent6 7 3 2 3 8" xfId="53984" xr:uid="{00000000-0005-0000-0000-0000448D0000}"/>
    <cellStyle name="40% - Accent6 7 3 2 4" xfId="2636" xr:uid="{00000000-0005-0000-0000-0000458D0000}"/>
    <cellStyle name="40% - Accent6 7 3 2 4 2" xfId="4293" xr:uid="{00000000-0005-0000-0000-0000468D0000}"/>
    <cellStyle name="40% - Accent6 7 3 2 4 2 2" xfId="7524" xr:uid="{00000000-0005-0000-0000-0000478D0000}"/>
    <cellStyle name="40% - Accent6 7 3 2 4 2 2 2" xfId="13983" xr:uid="{00000000-0005-0000-0000-0000488D0000}"/>
    <cellStyle name="40% - Accent6 7 3 2 4 2 2 2 2" xfId="26900" xr:uid="{00000000-0005-0000-0000-0000498D0000}"/>
    <cellStyle name="40% - Accent6 7 3 2 4 2 2 2 2 2" xfId="52774" xr:uid="{00000000-0005-0000-0000-00004A8D0000}"/>
    <cellStyle name="40% - Accent6 7 3 2 4 2 2 2 3" xfId="39858" xr:uid="{00000000-0005-0000-0000-00004B8D0000}"/>
    <cellStyle name="40% - Accent6 7 3 2 4 2 2 3" xfId="20442" xr:uid="{00000000-0005-0000-0000-00004C8D0000}"/>
    <cellStyle name="40% - Accent6 7 3 2 4 2 2 3 2" xfId="46316" xr:uid="{00000000-0005-0000-0000-00004D8D0000}"/>
    <cellStyle name="40% - Accent6 7 3 2 4 2 2 4" xfId="33400" xr:uid="{00000000-0005-0000-0000-00004E8D0000}"/>
    <cellStyle name="40% - Accent6 7 3 2 4 2 3" xfId="10755" xr:uid="{00000000-0005-0000-0000-00004F8D0000}"/>
    <cellStyle name="40% - Accent6 7 3 2 4 2 3 2" xfId="23672" xr:uid="{00000000-0005-0000-0000-0000508D0000}"/>
    <cellStyle name="40% - Accent6 7 3 2 4 2 3 2 2" xfId="49546" xr:uid="{00000000-0005-0000-0000-0000518D0000}"/>
    <cellStyle name="40% - Accent6 7 3 2 4 2 3 3" xfId="36630" xr:uid="{00000000-0005-0000-0000-0000528D0000}"/>
    <cellStyle name="40% - Accent6 7 3 2 4 2 4" xfId="17214" xr:uid="{00000000-0005-0000-0000-0000538D0000}"/>
    <cellStyle name="40% - Accent6 7 3 2 4 2 4 2" xfId="43088" xr:uid="{00000000-0005-0000-0000-0000548D0000}"/>
    <cellStyle name="40% - Accent6 7 3 2 4 2 5" xfId="30140" xr:uid="{00000000-0005-0000-0000-0000558D0000}"/>
    <cellStyle name="40% - Accent6 7 3 2 4 3" xfId="5910" xr:uid="{00000000-0005-0000-0000-0000568D0000}"/>
    <cellStyle name="40% - Accent6 7 3 2 4 3 2" xfId="12369" xr:uid="{00000000-0005-0000-0000-0000578D0000}"/>
    <cellStyle name="40% - Accent6 7 3 2 4 3 2 2" xfId="25286" xr:uid="{00000000-0005-0000-0000-0000588D0000}"/>
    <cellStyle name="40% - Accent6 7 3 2 4 3 2 2 2" xfId="51160" xr:uid="{00000000-0005-0000-0000-0000598D0000}"/>
    <cellStyle name="40% - Accent6 7 3 2 4 3 2 3" xfId="38244" xr:uid="{00000000-0005-0000-0000-00005A8D0000}"/>
    <cellStyle name="40% - Accent6 7 3 2 4 3 3" xfId="18828" xr:uid="{00000000-0005-0000-0000-00005B8D0000}"/>
    <cellStyle name="40% - Accent6 7 3 2 4 3 3 2" xfId="44702" xr:uid="{00000000-0005-0000-0000-00005C8D0000}"/>
    <cellStyle name="40% - Accent6 7 3 2 4 3 4" xfId="31786" xr:uid="{00000000-0005-0000-0000-00005D8D0000}"/>
    <cellStyle name="40% - Accent6 7 3 2 4 4" xfId="9141" xr:uid="{00000000-0005-0000-0000-00005E8D0000}"/>
    <cellStyle name="40% - Accent6 7 3 2 4 4 2" xfId="22058" xr:uid="{00000000-0005-0000-0000-00005F8D0000}"/>
    <cellStyle name="40% - Accent6 7 3 2 4 4 2 2" xfId="47932" xr:uid="{00000000-0005-0000-0000-0000608D0000}"/>
    <cellStyle name="40% - Accent6 7 3 2 4 4 3" xfId="35016" xr:uid="{00000000-0005-0000-0000-0000618D0000}"/>
    <cellStyle name="40% - Accent6 7 3 2 4 5" xfId="15600" xr:uid="{00000000-0005-0000-0000-0000628D0000}"/>
    <cellStyle name="40% - Accent6 7 3 2 4 5 2" xfId="41474" xr:uid="{00000000-0005-0000-0000-0000638D0000}"/>
    <cellStyle name="40% - Accent6 7 3 2 4 6" xfId="28526" xr:uid="{00000000-0005-0000-0000-0000648D0000}"/>
    <cellStyle name="40% - Accent6 7 3 2 5" xfId="3463" xr:uid="{00000000-0005-0000-0000-0000658D0000}"/>
    <cellStyle name="40% - Accent6 7 3 2 5 2" xfId="6717" xr:uid="{00000000-0005-0000-0000-0000668D0000}"/>
    <cellStyle name="40% - Accent6 7 3 2 5 2 2" xfId="13176" xr:uid="{00000000-0005-0000-0000-0000678D0000}"/>
    <cellStyle name="40% - Accent6 7 3 2 5 2 2 2" xfId="26093" xr:uid="{00000000-0005-0000-0000-0000688D0000}"/>
    <cellStyle name="40% - Accent6 7 3 2 5 2 2 2 2" xfId="51967" xr:uid="{00000000-0005-0000-0000-0000698D0000}"/>
    <cellStyle name="40% - Accent6 7 3 2 5 2 2 3" xfId="39051" xr:uid="{00000000-0005-0000-0000-00006A8D0000}"/>
    <cellStyle name="40% - Accent6 7 3 2 5 2 3" xfId="19635" xr:uid="{00000000-0005-0000-0000-00006B8D0000}"/>
    <cellStyle name="40% - Accent6 7 3 2 5 2 3 2" xfId="45509" xr:uid="{00000000-0005-0000-0000-00006C8D0000}"/>
    <cellStyle name="40% - Accent6 7 3 2 5 2 4" xfId="32593" xr:uid="{00000000-0005-0000-0000-00006D8D0000}"/>
    <cellStyle name="40% - Accent6 7 3 2 5 3" xfId="9948" xr:uid="{00000000-0005-0000-0000-00006E8D0000}"/>
    <cellStyle name="40% - Accent6 7 3 2 5 3 2" xfId="22865" xr:uid="{00000000-0005-0000-0000-00006F8D0000}"/>
    <cellStyle name="40% - Accent6 7 3 2 5 3 2 2" xfId="48739" xr:uid="{00000000-0005-0000-0000-0000708D0000}"/>
    <cellStyle name="40% - Accent6 7 3 2 5 3 3" xfId="35823" xr:uid="{00000000-0005-0000-0000-0000718D0000}"/>
    <cellStyle name="40% - Accent6 7 3 2 5 4" xfId="16407" xr:uid="{00000000-0005-0000-0000-0000728D0000}"/>
    <cellStyle name="40% - Accent6 7 3 2 5 4 2" xfId="42281" xr:uid="{00000000-0005-0000-0000-0000738D0000}"/>
    <cellStyle name="40% - Accent6 7 3 2 5 5" xfId="29333" xr:uid="{00000000-0005-0000-0000-0000748D0000}"/>
    <cellStyle name="40% - Accent6 7 3 2 6" xfId="5103" xr:uid="{00000000-0005-0000-0000-0000758D0000}"/>
    <cellStyle name="40% - Accent6 7 3 2 6 2" xfId="11562" xr:uid="{00000000-0005-0000-0000-0000768D0000}"/>
    <cellStyle name="40% - Accent6 7 3 2 6 2 2" xfId="24479" xr:uid="{00000000-0005-0000-0000-0000778D0000}"/>
    <cellStyle name="40% - Accent6 7 3 2 6 2 2 2" xfId="50353" xr:uid="{00000000-0005-0000-0000-0000788D0000}"/>
    <cellStyle name="40% - Accent6 7 3 2 6 2 3" xfId="37437" xr:uid="{00000000-0005-0000-0000-0000798D0000}"/>
    <cellStyle name="40% - Accent6 7 3 2 6 3" xfId="18021" xr:uid="{00000000-0005-0000-0000-00007A8D0000}"/>
    <cellStyle name="40% - Accent6 7 3 2 6 3 2" xfId="43895" xr:uid="{00000000-0005-0000-0000-00007B8D0000}"/>
    <cellStyle name="40% - Accent6 7 3 2 6 4" xfId="30979" xr:uid="{00000000-0005-0000-0000-00007C8D0000}"/>
    <cellStyle name="40% - Accent6 7 3 2 7" xfId="8333" xr:uid="{00000000-0005-0000-0000-00007D8D0000}"/>
    <cellStyle name="40% - Accent6 7 3 2 7 2" xfId="21250" xr:uid="{00000000-0005-0000-0000-00007E8D0000}"/>
    <cellStyle name="40% - Accent6 7 3 2 7 2 2" xfId="47124" xr:uid="{00000000-0005-0000-0000-00007F8D0000}"/>
    <cellStyle name="40% - Accent6 7 3 2 7 3" xfId="34208" xr:uid="{00000000-0005-0000-0000-0000808D0000}"/>
    <cellStyle name="40% - Accent6 7 3 2 8" xfId="14792" xr:uid="{00000000-0005-0000-0000-0000818D0000}"/>
    <cellStyle name="40% - Accent6 7 3 2 8 2" xfId="40666" xr:uid="{00000000-0005-0000-0000-0000828D0000}"/>
    <cellStyle name="40% - Accent6 7 3 2 9" xfId="27718" xr:uid="{00000000-0005-0000-0000-0000838D0000}"/>
    <cellStyle name="40% - Accent6 7 3 3" xfId="1863" xr:uid="{00000000-0005-0000-0000-0000848D0000}"/>
    <cellStyle name="40% - Accent6 7 3 3 2" xfId="2305" xr:uid="{00000000-0005-0000-0000-0000858D0000}"/>
    <cellStyle name="40% - Accent6 7 3 3 2 2" xfId="3119" xr:uid="{00000000-0005-0000-0000-0000868D0000}"/>
    <cellStyle name="40% - Accent6 7 3 3 2 2 2" xfId="4776" xr:uid="{00000000-0005-0000-0000-0000878D0000}"/>
    <cellStyle name="40% - Accent6 7 3 3 2 2 2 2" xfId="8007" xr:uid="{00000000-0005-0000-0000-0000888D0000}"/>
    <cellStyle name="40% - Accent6 7 3 3 2 2 2 2 2" xfId="14466" xr:uid="{00000000-0005-0000-0000-0000898D0000}"/>
    <cellStyle name="40% - Accent6 7 3 3 2 2 2 2 2 2" xfId="27383" xr:uid="{00000000-0005-0000-0000-00008A8D0000}"/>
    <cellStyle name="40% - Accent6 7 3 3 2 2 2 2 2 2 2" xfId="53257" xr:uid="{00000000-0005-0000-0000-00008B8D0000}"/>
    <cellStyle name="40% - Accent6 7 3 3 2 2 2 2 2 3" xfId="40341" xr:uid="{00000000-0005-0000-0000-00008C8D0000}"/>
    <cellStyle name="40% - Accent6 7 3 3 2 2 2 2 3" xfId="20925" xr:uid="{00000000-0005-0000-0000-00008D8D0000}"/>
    <cellStyle name="40% - Accent6 7 3 3 2 2 2 2 3 2" xfId="46799" xr:uid="{00000000-0005-0000-0000-00008E8D0000}"/>
    <cellStyle name="40% - Accent6 7 3 3 2 2 2 2 4" xfId="33883" xr:uid="{00000000-0005-0000-0000-00008F8D0000}"/>
    <cellStyle name="40% - Accent6 7 3 3 2 2 2 3" xfId="11238" xr:uid="{00000000-0005-0000-0000-0000908D0000}"/>
    <cellStyle name="40% - Accent6 7 3 3 2 2 2 3 2" xfId="24155" xr:uid="{00000000-0005-0000-0000-0000918D0000}"/>
    <cellStyle name="40% - Accent6 7 3 3 2 2 2 3 2 2" xfId="50029" xr:uid="{00000000-0005-0000-0000-0000928D0000}"/>
    <cellStyle name="40% - Accent6 7 3 3 2 2 2 3 3" xfId="37113" xr:uid="{00000000-0005-0000-0000-0000938D0000}"/>
    <cellStyle name="40% - Accent6 7 3 3 2 2 2 4" xfId="17697" xr:uid="{00000000-0005-0000-0000-0000948D0000}"/>
    <cellStyle name="40% - Accent6 7 3 3 2 2 2 4 2" xfId="43571" xr:uid="{00000000-0005-0000-0000-0000958D0000}"/>
    <cellStyle name="40% - Accent6 7 3 3 2 2 2 5" xfId="30623" xr:uid="{00000000-0005-0000-0000-0000968D0000}"/>
    <cellStyle name="40% - Accent6 7 3 3 2 2 3" xfId="6393" xr:uid="{00000000-0005-0000-0000-0000978D0000}"/>
    <cellStyle name="40% - Accent6 7 3 3 2 2 3 2" xfId="12852" xr:uid="{00000000-0005-0000-0000-0000988D0000}"/>
    <cellStyle name="40% - Accent6 7 3 3 2 2 3 2 2" xfId="25769" xr:uid="{00000000-0005-0000-0000-0000998D0000}"/>
    <cellStyle name="40% - Accent6 7 3 3 2 2 3 2 2 2" xfId="51643" xr:uid="{00000000-0005-0000-0000-00009A8D0000}"/>
    <cellStyle name="40% - Accent6 7 3 3 2 2 3 2 3" xfId="38727" xr:uid="{00000000-0005-0000-0000-00009B8D0000}"/>
    <cellStyle name="40% - Accent6 7 3 3 2 2 3 3" xfId="19311" xr:uid="{00000000-0005-0000-0000-00009C8D0000}"/>
    <cellStyle name="40% - Accent6 7 3 3 2 2 3 3 2" xfId="45185" xr:uid="{00000000-0005-0000-0000-00009D8D0000}"/>
    <cellStyle name="40% - Accent6 7 3 3 2 2 3 4" xfId="32269" xr:uid="{00000000-0005-0000-0000-00009E8D0000}"/>
    <cellStyle name="40% - Accent6 7 3 3 2 2 4" xfId="9624" xr:uid="{00000000-0005-0000-0000-00009F8D0000}"/>
    <cellStyle name="40% - Accent6 7 3 3 2 2 4 2" xfId="22541" xr:uid="{00000000-0005-0000-0000-0000A08D0000}"/>
    <cellStyle name="40% - Accent6 7 3 3 2 2 4 2 2" xfId="48415" xr:uid="{00000000-0005-0000-0000-0000A18D0000}"/>
    <cellStyle name="40% - Accent6 7 3 3 2 2 4 3" xfId="35499" xr:uid="{00000000-0005-0000-0000-0000A28D0000}"/>
    <cellStyle name="40% - Accent6 7 3 3 2 2 5" xfId="16083" xr:uid="{00000000-0005-0000-0000-0000A38D0000}"/>
    <cellStyle name="40% - Accent6 7 3 3 2 2 5 2" xfId="41957" xr:uid="{00000000-0005-0000-0000-0000A48D0000}"/>
    <cellStyle name="40% - Accent6 7 3 3 2 2 6" xfId="29009" xr:uid="{00000000-0005-0000-0000-0000A58D0000}"/>
    <cellStyle name="40% - Accent6 7 3 3 2 3" xfId="3946" xr:uid="{00000000-0005-0000-0000-0000A68D0000}"/>
    <cellStyle name="40% - Accent6 7 3 3 2 3 2" xfId="7200" xr:uid="{00000000-0005-0000-0000-0000A78D0000}"/>
    <cellStyle name="40% - Accent6 7 3 3 2 3 2 2" xfId="13659" xr:uid="{00000000-0005-0000-0000-0000A88D0000}"/>
    <cellStyle name="40% - Accent6 7 3 3 2 3 2 2 2" xfId="26576" xr:uid="{00000000-0005-0000-0000-0000A98D0000}"/>
    <cellStyle name="40% - Accent6 7 3 3 2 3 2 2 2 2" xfId="52450" xr:uid="{00000000-0005-0000-0000-0000AA8D0000}"/>
    <cellStyle name="40% - Accent6 7 3 3 2 3 2 2 3" xfId="39534" xr:uid="{00000000-0005-0000-0000-0000AB8D0000}"/>
    <cellStyle name="40% - Accent6 7 3 3 2 3 2 3" xfId="20118" xr:uid="{00000000-0005-0000-0000-0000AC8D0000}"/>
    <cellStyle name="40% - Accent6 7 3 3 2 3 2 3 2" xfId="45992" xr:uid="{00000000-0005-0000-0000-0000AD8D0000}"/>
    <cellStyle name="40% - Accent6 7 3 3 2 3 2 4" xfId="33076" xr:uid="{00000000-0005-0000-0000-0000AE8D0000}"/>
    <cellStyle name="40% - Accent6 7 3 3 2 3 3" xfId="10431" xr:uid="{00000000-0005-0000-0000-0000AF8D0000}"/>
    <cellStyle name="40% - Accent6 7 3 3 2 3 3 2" xfId="23348" xr:uid="{00000000-0005-0000-0000-0000B08D0000}"/>
    <cellStyle name="40% - Accent6 7 3 3 2 3 3 2 2" xfId="49222" xr:uid="{00000000-0005-0000-0000-0000B18D0000}"/>
    <cellStyle name="40% - Accent6 7 3 3 2 3 3 3" xfId="36306" xr:uid="{00000000-0005-0000-0000-0000B28D0000}"/>
    <cellStyle name="40% - Accent6 7 3 3 2 3 4" xfId="16890" xr:uid="{00000000-0005-0000-0000-0000B38D0000}"/>
    <cellStyle name="40% - Accent6 7 3 3 2 3 4 2" xfId="42764" xr:uid="{00000000-0005-0000-0000-0000B48D0000}"/>
    <cellStyle name="40% - Accent6 7 3 3 2 3 5" xfId="29816" xr:uid="{00000000-0005-0000-0000-0000B58D0000}"/>
    <cellStyle name="40% - Accent6 7 3 3 2 4" xfId="5586" xr:uid="{00000000-0005-0000-0000-0000B68D0000}"/>
    <cellStyle name="40% - Accent6 7 3 3 2 4 2" xfId="12045" xr:uid="{00000000-0005-0000-0000-0000B78D0000}"/>
    <cellStyle name="40% - Accent6 7 3 3 2 4 2 2" xfId="24962" xr:uid="{00000000-0005-0000-0000-0000B88D0000}"/>
    <cellStyle name="40% - Accent6 7 3 3 2 4 2 2 2" xfId="50836" xr:uid="{00000000-0005-0000-0000-0000B98D0000}"/>
    <cellStyle name="40% - Accent6 7 3 3 2 4 2 3" xfId="37920" xr:uid="{00000000-0005-0000-0000-0000BA8D0000}"/>
    <cellStyle name="40% - Accent6 7 3 3 2 4 3" xfId="18504" xr:uid="{00000000-0005-0000-0000-0000BB8D0000}"/>
    <cellStyle name="40% - Accent6 7 3 3 2 4 3 2" xfId="44378" xr:uid="{00000000-0005-0000-0000-0000BC8D0000}"/>
    <cellStyle name="40% - Accent6 7 3 3 2 4 4" xfId="31462" xr:uid="{00000000-0005-0000-0000-0000BD8D0000}"/>
    <cellStyle name="40% - Accent6 7 3 3 2 5" xfId="8817" xr:uid="{00000000-0005-0000-0000-0000BE8D0000}"/>
    <cellStyle name="40% - Accent6 7 3 3 2 5 2" xfId="21734" xr:uid="{00000000-0005-0000-0000-0000BF8D0000}"/>
    <cellStyle name="40% - Accent6 7 3 3 2 5 2 2" xfId="47608" xr:uid="{00000000-0005-0000-0000-0000C08D0000}"/>
    <cellStyle name="40% - Accent6 7 3 3 2 5 3" xfId="34692" xr:uid="{00000000-0005-0000-0000-0000C18D0000}"/>
    <cellStyle name="40% - Accent6 7 3 3 2 6" xfId="15276" xr:uid="{00000000-0005-0000-0000-0000C28D0000}"/>
    <cellStyle name="40% - Accent6 7 3 3 2 6 2" xfId="41150" xr:uid="{00000000-0005-0000-0000-0000C38D0000}"/>
    <cellStyle name="40% - Accent6 7 3 3 2 7" xfId="28202" xr:uid="{00000000-0005-0000-0000-0000C48D0000}"/>
    <cellStyle name="40% - Accent6 7 3 3 2 8" xfId="54064" xr:uid="{00000000-0005-0000-0000-0000C58D0000}"/>
    <cellStyle name="40% - Accent6 7 3 3 3" xfId="2716" xr:uid="{00000000-0005-0000-0000-0000C68D0000}"/>
    <cellStyle name="40% - Accent6 7 3 3 3 2" xfId="4373" xr:uid="{00000000-0005-0000-0000-0000C78D0000}"/>
    <cellStyle name="40% - Accent6 7 3 3 3 2 2" xfId="7604" xr:uid="{00000000-0005-0000-0000-0000C88D0000}"/>
    <cellStyle name="40% - Accent6 7 3 3 3 2 2 2" xfId="14063" xr:uid="{00000000-0005-0000-0000-0000C98D0000}"/>
    <cellStyle name="40% - Accent6 7 3 3 3 2 2 2 2" xfId="26980" xr:uid="{00000000-0005-0000-0000-0000CA8D0000}"/>
    <cellStyle name="40% - Accent6 7 3 3 3 2 2 2 2 2" xfId="52854" xr:uid="{00000000-0005-0000-0000-0000CB8D0000}"/>
    <cellStyle name="40% - Accent6 7 3 3 3 2 2 2 3" xfId="39938" xr:uid="{00000000-0005-0000-0000-0000CC8D0000}"/>
    <cellStyle name="40% - Accent6 7 3 3 3 2 2 3" xfId="20522" xr:uid="{00000000-0005-0000-0000-0000CD8D0000}"/>
    <cellStyle name="40% - Accent6 7 3 3 3 2 2 3 2" xfId="46396" xr:uid="{00000000-0005-0000-0000-0000CE8D0000}"/>
    <cellStyle name="40% - Accent6 7 3 3 3 2 2 4" xfId="33480" xr:uid="{00000000-0005-0000-0000-0000CF8D0000}"/>
    <cellStyle name="40% - Accent6 7 3 3 3 2 3" xfId="10835" xr:uid="{00000000-0005-0000-0000-0000D08D0000}"/>
    <cellStyle name="40% - Accent6 7 3 3 3 2 3 2" xfId="23752" xr:uid="{00000000-0005-0000-0000-0000D18D0000}"/>
    <cellStyle name="40% - Accent6 7 3 3 3 2 3 2 2" xfId="49626" xr:uid="{00000000-0005-0000-0000-0000D28D0000}"/>
    <cellStyle name="40% - Accent6 7 3 3 3 2 3 3" xfId="36710" xr:uid="{00000000-0005-0000-0000-0000D38D0000}"/>
    <cellStyle name="40% - Accent6 7 3 3 3 2 4" xfId="17294" xr:uid="{00000000-0005-0000-0000-0000D48D0000}"/>
    <cellStyle name="40% - Accent6 7 3 3 3 2 4 2" xfId="43168" xr:uid="{00000000-0005-0000-0000-0000D58D0000}"/>
    <cellStyle name="40% - Accent6 7 3 3 3 2 5" xfId="30220" xr:uid="{00000000-0005-0000-0000-0000D68D0000}"/>
    <cellStyle name="40% - Accent6 7 3 3 3 3" xfId="5990" xr:uid="{00000000-0005-0000-0000-0000D78D0000}"/>
    <cellStyle name="40% - Accent6 7 3 3 3 3 2" xfId="12449" xr:uid="{00000000-0005-0000-0000-0000D88D0000}"/>
    <cellStyle name="40% - Accent6 7 3 3 3 3 2 2" xfId="25366" xr:uid="{00000000-0005-0000-0000-0000D98D0000}"/>
    <cellStyle name="40% - Accent6 7 3 3 3 3 2 2 2" xfId="51240" xr:uid="{00000000-0005-0000-0000-0000DA8D0000}"/>
    <cellStyle name="40% - Accent6 7 3 3 3 3 2 3" xfId="38324" xr:uid="{00000000-0005-0000-0000-0000DB8D0000}"/>
    <cellStyle name="40% - Accent6 7 3 3 3 3 3" xfId="18908" xr:uid="{00000000-0005-0000-0000-0000DC8D0000}"/>
    <cellStyle name="40% - Accent6 7 3 3 3 3 3 2" xfId="44782" xr:uid="{00000000-0005-0000-0000-0000DD8D0000}"/>
    <cellStyle name="40% - Accent6 7 3 3 3 3 4" xfId="31866" xr:uid="{00000000-0005-0000-0000-0000DE8D0000}"/>
    <cellStyle name="40% - Accent6 7 3 3 3 4" xfId="9221" xr:uid="{00000000-0005-0000-0000-0000DF8D0000}"/>
    <cellStyle name="40% - Accent6 7 3 3 3 4 2" xfId="22138" xr:uid="{00000000-0005-0000-0000-0000E08D0000}"/>
    <cellStyle name="40% - Accent6 7 3 3 3 4 2 2" xfId="48012" xr:uid="{00000000-0005-0000-0000-0000E18D0000}"/>
    <cellStyle name="40% - Accent6 7 3 3 3 4 3" xfId="35096" xr:uid="{00000000-0005-0000-0000-0000E28D0000}"/>
    <cellStyle name="40% - Accent6 7 3 3 3 5" xfId="15680" xr:uid="{00000000-0005-0000-0000-0000E38D0000}"/>
    <cellStyle name="40% - Accent6 7 3 3 3 5 2" xfId="41554" xr:uid="{00000000-0005-0000-0000-0000E48D0000}"/>
    <cellStyle name="40% - Accent6 7 3 3 3 6" xfId="28606" xr:uid="{00000000-0005-0000-0000-0000E58D0000}"/>
    <cellStyle name="40% - Accent6 7 3 3 4" xfId="3543" xr:uid="{00000000-0005-0000-0000-0000E68D0000}"/>
    <cellStyle name="40% - Accent6 7 3 3 4 2" xfId="6797" xr:uid="{00000000-0005-0000-0000-0000E78D0000}"/>
    <cellStyle name="40% - Accent6 7 3 3 4 2 2" xfId="13256" xr:uid="{00000000-0005-0000-0000-0000E88D0000}"/>
    <cellStyle name="40% - Accent6 7 3 3 4 2 2 2" xfId="26173" xr:uid="{00000000-0005-0000-0000-0000E98D0000}"/>
    <cellStyle name="40% - Accent6 7 3 3 4 2 2 2 2" xfId="52047" xr:uid="{00000000-0005-0000-0000-0000EA8D0000}"/>
    <cellStyle name="40% - Accent6 7 3 3 4 2 2 3" xfId="39131" xr:uid="{00000000-0005-0000-0000-0000EB8D0000}"/>
    <cellStyle name="40% - Accent6 7 3 3 4 2 3" xfId="19715" xr:uid="{00000000-0005-0000-0000-0000EC8D0000}"/>
    <cellStyle name="40% - Accent6 7 3 3 4 2 3 2" xfId="45589" xr:uid="{00000000-0005-0000-0000-0000ED8D0000}"/>
    <cellStyle name="40% - Accent6 7 3 3 4 2 4" xfId="32673" xr:uid="{00000000-0005-0000-0000-0000EE8D0000}"/>
    <cellStyle name="40% - Accent6 7 3 3 4 3" xfId="10028" xr:uid="{00000000-0005-0000-0000-0000EF8D0000}"/>
    <cellStyle name="40% - Accent6 7 3 3 4 3 2" xfId="22945" xr:uid="{00000000-0005-0000-0000-0000F08D0000}"/>
    <cellStyle name="40% - Accent6 7 3 3 4 3 2 2" xfId="48819" xr:uid="{00000000-0005-0000-0000-0000F18D0000}"/>
    <cellStyle name="40% - Accent6 7 3 3 4 3 3" xfId="35903" xr:uid="{00000000-0005-0000-0000-0000F28D0000}"/>
    <cellStyle name="40% - Accent6 7 3 3 4 4" xfId="16487" xr:uid="{00000000-0005-0000-0000-0000F38D0000}"/>
    <cellStyle name="40% - Accent6 7 3 3 4 4 2" xfId="42361" xr:uid="{00000000-0005-0000-0000-0000F48D0000}"/>
    <cellStyle name="40% - Accent6 7 3 3 4 5" xfId="29413" xr:uid="{00000000-0005-0000-0000-0000F58D0000}"/>
    <cellStyle name="40% - Accent6 7 3 3 5" xfId="5183" xr:uid="{00000000-0005-0000-0000-0000F68D0000}"/>
    <cellStyle name="40% - Accent6 7 3 3 5 2" xfId="11642" xr:uid="{00000000-0005-0000-0000-0000F78D0000}"/>
    <cellStyle name="40% - Accent6 7 3 3 5 2 2" xfId="24559" xr:uid="{00000000-0005-0000-0000-0000F88D0000}"/>
    <cellStyle name="40% - Accent6 7 3 3 5 2 2 2" xfId="50433" xr:uid="{00000000-0005-0000-0000-0000F98D0000}"/>
    <cellStyle name="40% - Accent6 7 3 3 5 2 3" xfId="37517" xr:uid="{00000000-0005-0000-0000-0000FA8D0000}"/>
    <cellStyle name="40% - Accent6 7 3 3 5 3" xfId="18101" xr:uid="{00000000-0005-0000-0000-0000FB8D0000}"/>
    <cellStyle name="40% - Accent6 7 3 3 5 3 2" xfId="43975" xr:uid="{00000000-0005-0000-0000-0000FC8D0000}"/>
    <cellStyle name="40% - Accent6 7 3 3 5 4" xfId="31059" xr:uid="{00000000-0005-0000-0000-0000FD8D0000}"/>
    <cellStyle name="40% - Accent6 7 3 3 6" xfId="8413" xr:uid="{00000000-0005-0000-0000-0000FE8D0000}"/>
    <cellStyle name="40% - Accent6 7 3 3 6 2" xfId="21330" xr:uid="{00000000-0005-0000-0000-0000FF8D0000}"/>
    <cellStyle name="40% - Accent6 7 3 3 6 2 2" xfId="47204" xr:uid="{00000000-0005-0000-0000-0000008E0000}"/>
    <cellStyle name="40% - Accent6 7 3 3 6 3" xfId="34288" xr:uid="{00000000-0005-0000-0000-0000018E0000}"/>
    <cellStyle name="40% - Accent6 7 3 3 7" xfId="14872" xr:uid="{00000000-0005-0000-0000-0000028E0000}"/>
    <cellStyle name="40% - Accent6 7 3 3 7 2" xfId="40746" xr:uid="{00000000-0005-0000-0000-0000038E0000}"/>
    <cellStyle name="40% - Accent6 7 3 3 8" xfId="27798" xr:uid="{00000000-0005-0000-0000-0000048E0000}"/>
    <cellStyle name="40% - Accent6 7 3 3 9" xfId="53661" xr:uid="{00000000-0005-0000-0000-0000058E0000}"/>
    <cellStyle name="40% - Accent6 7 3 4" xfId="2107" xr:uid="{00000000-0005-0000-0000-0000068E0000}"/>
    <cellStyle name="40% - Accent6 7 3 4 2" xfId="2923" xr:uid="{00000000-0005-0000-0000-0000078E0000}"/>
    <cellStyle name="40% - Accent6 7 3 4 2 2" xfId="4580" xr:uid="{00000000-0005-0000-0000-0000088E0000}"/>
    <cellStyle name="40% - Accent6 7 3 4 2 2 2" xfId="7811" xr:uid="{00000000-0005-0000-0000-0000098E0000}"/>
    <cellStyle name="40% - Accent6 7 3 4 2 2 2 2" xfId="14270" xr:uid="{00000000-0005-0000-0000-00000A8E0000}"/>
    <cellStyle name="40% - Accent6 7 3 4 2 2 2 2 2" xfId="27187" xr:uid="{00000000-0005-0000-0000-00000B8E0000}"/>
    <cellStyle name="40% - Accent6 7 3 4 2 2 2 2 2 2" xfId="53061" xr:uid="{00000000-0005-0000-0000-00000C8E0000}"/>
    <cellStyle name="40% - Accent6 7 3 4 2 2 2 2 3" xfId="40145" xr:uid="{00000000-0005-0000-0000-00000D8E0000}"/>
    <cellStyle name="40% - Accent6 7 3 4 2 2 2 3" xfId="20729" xr:uid="{00000000-0005-0000-0000-00000E8E0000}"/>
    <cellStyle name="40% - Accent6 7 3 4 2 2 2 3 2" xfId="46603" xr:uid="{00000000-0005-0000-0000-00000F8E0000}"/>
    <cellStyle name="40% - Accent6 7 3 4 2 2 2 4" xfId="33687" xr:uid="{00000000-0005-0000-0000-0000108E0000}"/>
    <cellStyle name="40% - Accent6 7 3 4 2 2 3" xfId="11042" xr:uid="{00000000-0005-0000-0000-0000118E0000}"/>
    <cellStyle name="40% - Accent6 7 3 4 2 2 3 2" xfId="23959" xr:uid="{00000000-0005-0000-0000-0000128E0000}"/>
    <cellStyle name="40% - Accent6 7 3 4 2 2 3 2 2" xfId="49833" xr:uid="{00000000-0005-0000-0000-0000138E0000}"/>
    <cellStyle name="40% - Accent6 7 3 4 2 2 3 3" xfId="36917" xr:uid="{00000000-0005-0000-0000-0000148E0000}"/>
    <cellStyle name="40% - Accent6 7 3 4 2 2 4" xfId="17501" xr:uid="{00000000-0005-0000-0000-0000158E0000}"/>
    <cellStyle name="40% - Accent6 7 3 4 2 2 4 2" xfId="43375" xr:uid="{00000000-0005-0000-0000-0000168E0000}"/>
    <cellStyle name="40% - Accent6 7 3 4 2 2 5" xfId="30427" xr:uid="{00000000-0005-0000-0000-0000178E0000}"/>
    <cellStyle name="40% - Accent6 7 3 4 2 3" xfId="6197" xr:uid="{00000000-0005-0000-0000-0000188E0000}"/>
    <cellStyle name="40% - Accent6 7 3 4 2 3 2" xfId="12656" xr:uid="{00000000-0005-0000-0000-0000198E0000}"/>
    <cellStyle name="40% - Accent6 7 3 4 2 3 2 2" xfId="25573" xr:uid="{00000000-0005-0000-0000-00001A8E0000}"/>
    <cellStyle name="40% - Accent6 7 3 4 2 3 2 2 2" xfId="51447" xr:uid="{00000000-0005-0000-0000-00001B8E0000}"/>
    <cellStyle name="40% - Accent6 7 3 4 2 3 2 3" xfId="38531" xr:uid="{00000000-0005-0000-0000-00001C8E0000}"/>
    <cellStyle name="40% - Accent6 7 3 4 2 3 3" xfId="19115" xr:uid="{00000000-0005-0000-0000-00001D8E0000}"/>
    <cellStyle name="40% - Accent6 7 3 4 2 3 3 2" xfId="44989" xr:uid="{00000000-0005-0000-0000-00001E8E0000}"/>
    <cellStyle name="40% - Accent6 7 3 4 2 3 4" xfId="32073" xr:uid="{00000000-0005-0000-0000-00001F8E0000}"/>
    <cellStyle name="40% - Accent6 7 3 4 2 4" xfId="9428" xr:uid="{00000000-0005-0000-0000-0000208E0000}"/>
    <cellStyle name="40% - Accent6 7 3 4 2 4 2" xfId="22345" xr:uid="{00000000-0005-0000-0000-0000218E0000}"/>
    <cellStyle name="40% - Accent6 7 3 4 2 4 2 2" xfId="48219" xr:uid="{00000000-0005-0000-0000-0000228E0000}"/>
    <cellStyle name="40% - Accent6 7 3 4 2 4 3" xfId="35303" xr:uid="{00000000-0005-0000-0000-0000238E0000}"/>
    <cellStyle name="40% - Accent6 7 3 4 2 5" xfId="15887" xr:uid="{00000000-0005-0000-0000-0000248E0000}"/>
    <cellStyle name="40% - Accent6 7 3 4 2 5 2" xfId="41761" xr:uid="{00000000-0005-0000-0000-0000258E0000}"/>
    <cellStyle name="40% - Accent6 7 3 4 2 6" xfId="28813" xr:uid="{00000000-0005-0000-0000-0000268E0000}"/>
    <cellStyle name="40% - Accent6 7 3 4 3" xfId="3750" xr:uid="{00000000-0005-0000-0000-0000278E0000}"/>
    <cellStyle name="40% - Accent6 7 3 4 3 2" xfId="7004" xr:uid="{00000000-0005-0000-0000-0000288E0000}"/>
    <cellStyle name="40% - Accent6 7 3 4 3 2 2" xfId="13463" xr:uid="{00000000-0005-0000-0000-0000298E0000}"/>
    <cellStyle name="40% - Accent6 7 3 4 3 2 2 2" xfId="26380" xr:uid="{00000000-0005-0000-0000-00002A8E0000}"/>
    <cellStyle name="40% - Accent6 7 3 4 3 2 2 2 2" xfId="52254" xr:uid="{00000000-0005-0000-0000-00002B8E0000}"/>
    <cellStyle name="40% - Accent6 7 3 4 3 2 2 3" xfId="39338" xr:uid="{00000000-0005-0000-0000-00002C8E0000}"/>
    <cellStyle name="40% - Accent6 7 3 4 3 2 3" xfId="19922" xr:uid="{00000000-0005-0000-0000-00002D8E0000}"/>
    <cellStyle name="40% - Accent6 7 3 4 3 2 3 2" xfId="45796" xr:uid="{00000000-0005-0000-0000-00002E8E0000}"/>
    <cellStyle name="40% - Accent6 7 3 4 3 2 4" xfId="32880" xr:uid="{00000000-0005-0000-0000-00002F8E0000}"/>
    <cellStyle name="40% - Accent6 7 3 4 3 3" xfId="10235" xr:uid="{00000000-0005-0000-0000-0000308E0000}"/>
    <cellStyle name="40% - Accent6 7 3 4 3 3 2" xfId="23152" xr:uid="{00000000-0005-0000-0000-0000318E0000}"/>
    <cellStyle name="40% - Accent6 7 3 4 3 3 2 2" xfId="49026" xr:uid="{00000000-0005-0000-0000-0000328E0000}"/>
    <cellStyle name="40% - Accent6 7 3 4 3 3 3" xfId="36110" xr:uid="{00000000-0005-0000-0000-0000338E0000}"/>
    <cellStyle name="40% - Accent6 7 3 4 3 4" xfId="16694" xr:uid="{00000000-0005-0000-0000-0000348E0000}"/>
    <cellStyle name="40% - Accent6 7 3 4 3 4 2" xfId="42568" xr:uid="{00000000-0005-0000-0000-0000358E0000}"/>
    <cellStyle name="40% - Accent6 7 3 4 3 5" xfId="29620" xr:uid="{00000000-0005-0000-0000-0000368E0000}"/>
    <cellStyle name="40% - Accent6 7 3 4 4" xfId="5390" xr:uid="{00000000-0005-0000-0000-0000378E0000}"/>
    <cellStyle name="40% - Accent6 7 3 4 4 2" xfId="11849" xr:uid="{00000000-0005-0000-0000-0000388E0000}"/>
    <cellStyle name="40% - Accent6 7 3 4 4 2 2" xfId="24766" xr:uid="{00000000-0005-0000-0000-0000398E0000}"/>
    <cellStyle name="40% - Accent6 7 3 4 4 2 2 2" xfId="50640" xr:uid="{00000000-0005-0000-0000-00003A8E0000}"/>
    <cellStyle name="40% - Accent6 7 3 4 4 2 3" xfId="37724" xr:uid="{00000000-0005-0000-0000-00003B8E0000}"/>
    <cellStyle name="40% - Accent6 7 3 4 4 3" xfId="18308" xr:uid="{00000000-0005-0000-0000-00003C8E0000}"/>
    <cellStyle name="40% - Accent6 7 3 4 4 3 2" xfId="44182" xr:uid="{00000000-0005-0000-0000-00003D8E0000}"/>
    <cellStyle name="40% - Accent6 7 3 4 4 4" xfId="31266" xr:uid="{00000000-0005-0000-0000-00003E8E0000}"/>
    <cellStyle name="40% - Accent6 7 3 4 5" xfId="8621" xr:uid="{00000000-0005-0000-0000-00003F8E0000}"/>
    <cellStyle name="40% - Accent6 7 3 4 5 2" xfId="21538" xr:uid="{00000000-0005-0000-0000-0000408E0000}"/>
    <cellStyle name="40% - Accent6 7 3 4 5 2 2" xfId="47412" xr:uid="{00000000-0005-0000-0000-0000418E0000}"/>
    <cellStyle name="40% - Accent6 7 3 4 5 3" xfId="34496" xr:uid="{00000000-0005-0000-0000-0000428E0000}"/>
    <cellStyle name="40% - Accent6 7 3 4 6" xfId="15080" xr:uid="{00000000-0005-0000-0000-0000438E0000}"/>
    <cellStyle name="40% - Accent6 7 3 4 6 2" xfId="40954" xr:uid="{00000000-0005-0000-0000-0000448E0000}"/>
    <cellStyle name="40% - Accent6 7 3 4 7" xfId="28006" xr:uid="{00000000-0005-0000-0000-0000458E0000}"/>
    <cellStyle name="40% - Accent6 7 3 4 8" xfId="53868" xr:uid="{00000000-0005-0000-0000-0000468E0000}"/>
    <cellStyle name="40% - Accent6 7 3 5" xfId="2521" xr:uid="{00000000-0005-0000-0000-0000478E0000}"/>
    <cellStyle name="40% - Accent6 7 3 5 2" xfId="4178" xr:uid="{00000000-0005-0000-0000-0000488E0000}"/>
    <cellStyle name="40% - Accent6 7 3 5 2 2" xfId="7409" xr:uid="{00000000-0005-0000-0000-0000498E0000}"/>
    <cellStyle name="40% - Accent6 7 3 5 2 2 2" xfId="13868" xr:uid="{00000000-0005-0000-0000-00004A8E0000}"/>
    <cellStyle name="40% - Accent6 7 3 5 2 2 2 2" xfId="26785" xr:uid="{00000000-0005-0000-0000-00004B8E0000}"/>
    <cellStyle name="40% - Accent6 7 3 5 2 2 2 2 2" xfId="52659" xr:uid="{00000000-0005-0000-0000-00004C8E0000}"/>
    <cellStyle name="40% - Accent6 7 3 5 2 2 2 3" xfId="39743" xr:uid="{00000000-0005-0000-0000-00004D8E0000}"/>
    <cellStyle name="40% - Accent6 7 3 5 2 2 3" xfId="20327" xr:uid="{00000000-0005-0000-0000-00004E8E0000}"/>
    <cellStyle name="40% - Accent6 7 3 5 2 2 3 2" xfId="46201" xr:uid="{00000000-0005-0000-0000-00004F8E0000}"/>
    <cellStyle name="40% - Accent6 7 3 5 2 2 4" xfId="33285" xr:uid="{00000000-0005-0000-0000-0000508E0000}"/>
    <cellStyle name="40% - Accent6 7 3 5 2 3" xfId="10640" xr:uid="{00000000-0005-0000-0000-0000518E0000}"/>
    <cellStyle name="40% - Accent6 7 3 5 2 3 2" xfId="23557" xr:uid="{00000000-0005-0000-0000-0000528E0000}"/>
    <cellStyle name="40% - Accent6 7 3 5 2 3 2 2" xfId="49431" xr:uid="{00000000-0005-0000-0000-0000538E0000}"/>
    <cellStyle name="40% - Accent6 7 3 5 2 3 3" xfId="36515" xr:uid="{00000000-0005-0000-0000-0000548E0000}"/>
    <cellStyle name="40% - Accent6 7 3 5 2 4" xfId="17099" xr:uid="{00000000-0005-0000-0000-0000558E0000}"/>
    <cellStyle name="40% - Accent6 7 3 5 2 4 2" xfId="42973" xr:uid="{00000000-0005-0000-0000-0000568E0000}"/>
    <cellStyle name="40% - Accent6 7 3 5 2 5" xfId="30025" xr:uid="{00000000-0005-0000-0000-0000578E0000}"/>
    <cellStyle name="40% - Accent6 7 3 5 3" xfId="5795" xr:uid="{00000000-0005-0000-0000-0000588E0000}"/>
    <cellStyle name="40% - Accent6 7 3 5 3 2" xfId="12254" xr:uid="{00000000-0005-0000-0000-0000598E0000}"/>
    <cellStyle name="40% - Accent6 7 3 5 3 2 2" xfId="25171" xr:uid="{00000000-0005-0000-0000-00005A8E0000}"/>
    <cellStyle name="40% - Accent6 7 3 5 3 2 2 2" xfId="51045" xr:uid="{00000000-0005-0000-0000-00005B8E0000}"/>
    <cellStyle name="40% - Accent6 7 3 5 3 2 3" xfId="38129" xr:uid="{00000000-0005-0000-0000-00005C8E0000}"/>
    <cellStyle name="40% - Accent6 7 3 5 3 3" xfId="18713" xr:uid="{00000000-0005-0000-0000-00005D8E0000}"/>
    <cellStyle name="40% - Accent6 7 3 5 3 3 2" xfId="44587" xr:uid="{00000000-0005-0000-0000-00005E8E0000}"/>
    <cellStyle name="40% - Accent6 7 3 5 3 4" xfId="31671" xr:uid="{00000000-0005-0000-0000-00005F8E0000}"/>
    <cellStyle name="40% - Accent6 7 3 5 4" xfId="9026" xr:uid="{00000000-0005-0000-0000-0000608E0000}"/>
    <cellStyle name="40% - Accent6 7 3 5 4 2" xfId="21943" xr:uid="{00000000-0005-0000-0000-0000618E0000}"/>
    <cellStyle name="40% - Accent6 7 3 5 4 2 2" xfId="47817" xr:uid="{00000000-0005-0000-0000-0000628E0000}"/>
    <cellStyle name="40% - Accent6 7 3 5 4 3" xfId="34901" xr:uid="{00000000-0005-0000-0000-0000638E0000}"/>
    <cellStyle name="40% - Accent6 7 3 5 5" xfId="15485" xr:uid="{00000000-0005-0000-0000-0000648E0000}"/>
    <cellStyle name="40% - Accent6 7 3 5 5 2" xfId="41359" xr:uid="{00000000-0005-0000-0000-0000658E0000}"/>
    <cellStyle name="40% - Accent6 7 3 5 6" xfId="28411" xr:uid="{00000000-0005-0000-0000-0000668E0000}"/>
    <cellStyle name="40% - Accent6 7 3 6" xfId="3341" xr:uid="{00000000-0005-0000-0000-0000678E0000}"/>
    <cellStyle name="40% - Accent6 7 3 6 2" xfId="6602" xr:uid="{00000000-0005-0000-0000-0000688E0000}"/>
    <cellStyle name="40% - Accent6 7 3 6 2 2" xfId="13061" xr:uid="{00000000-0005-0000-0000-0000698E0000}"/>
    <cellStyle name="40% - Accent6 7 3 6 2 2 2" xfId="25978" xr:uid="{00000000-0005-0000-0000-00006A8E0000}"/>
    <cellStyle name="40% - Accent6 7 3 6 2 2 2 2" xfId="51852" xr:uid="{00000000-0005-0000-0000-00006B8E0000}"/>
    <cellStyle name="40% - Accent6 7 3 6 2 2 3" xfId="38936" xr:uid="{00000000-0005-0000-0000-00006C8E0000}"/>
    <cellStyle name="40% - Accent6 7 3 6 2 3" xfId="19520" xr:uid="{00000000-0005-0000-0000-00006D8E0000}"/>
    <cellStyle name="40% - Accent6 7 3 6 2 3 2" xfId="45394" xr:uid="{00000000-0005-0000-0000-00006E8E0000}"/>
    <cellStyle name="40% - Accent6 7 3 6 2 4" xfId="32478" xr:uid="{00000000-0005-0000-0000-00006F8E0000}"/>
    <cellStyle name="40% - Accent6 7 3 6 3" xfId="9833" xr:uid="{00000000-0005-0000-0000-0000708E0000}"/>
    <cellStyle name="40% - Accent6 7 3 6 3 2" xfId="22750" xr:uid="{00000000-0005-0000-0000-0000718E0000}"/>
    <cellStyle name="40% - Accent6 7 3 6 3 2 2" xfId="48624" xr:uid="{00000000-0005-0000-0000-0000728E0000}"/>
    <cellStyle name="40% - Accent6 7 3 6 3 3" xfId="35708" xr:uid="{00000000-0005-0000-0000-0000738E0000}"/>
    <cellStyle name="40% - Accent6 7 3 6 4" xfId="16292" xr:uid="{00000000-0005-0000-0000-0000748E0000}"/>
    <cellStyle name="40% - Accent6 7 3 6 4 2" xfId="42166" xr:uid="{00000000-0005-0000-0000-0000758E0000}"/>
    <cellStyle name="40% - Accent6 7 3 6 5" xfId="29218" xr:uid="{00000000-0005-0000-0000-0000768E0000}"/>
    <cellStyle name="40% - Accent6 7 3 7" xfId="4988" xr:uid="{00000000-0005-0000-0000-0000778E0000}"/>
    <cellStyle name="40% - Accent6 7 3 7 2" xfId="11447" xr:uid="{00000000-0005-0000-0000-0000788E0000}"/>
    <cellStyle name="40% - Accent6 7 3 7 2 2" xfId="24364" xr:uid="{00000000-0005-0000-0000-0000798E0000}"/>
    <cellStyle name="40% - Accent6 7 3 7 2 2 2" xfId="50238" xr:uid="{00000000-0005-0000-0000-00007A8E0000}"/>
    <cellStyle name="40% - Accent6 7 3 7 2 3" xfId="37322" xr:uid="{00000000-0005-0000-0000-00007B8E0000}"/>
    <cellStyle name="40% - Accent6 7 3 7 3" xfId="17906" xr:uid="{00000000-0005-0000-0000-00007C8E0000}"/>
    <cellStyle name="40% - Accent6 7 3 7 3 2" xfId="43780" xr:uid="{00000000-0005-0000-0000-00007D8E0000}"/>
    <cellStyle name="40% - Accent6 7 3 7 4" xfId="30864" xr:uid="{00000000-0005-0000-0000-00007E8E0000}"/>
    <cellStyle name="40% - Accent6 7 3 8" xfId="8219" xr:uid="{00000000-0005-0000-0000-00007F8E0000}"/>
    <cellStyle name="40% - Accent6 7 3 8 2" xfId="21136" xr:uid="{00000000-0005-0000-0000-0000808E0000}"/>
    <cellStyle name="40% - Accent6 7 3 8 2 2" xfId="47010" xr:uid="{00000000-0005-0000-0000-0000818E0000}"/>
    <cellStyle name="40% - Accent6 7 3 8 3" xfId="34094" xr:uid="{00000000-0005-0000-0000-0000828E0000}"/>
    <cellStyle name="40% - Accent6 7 3 9" xfId="14678" xr:uid="{00000000-0005-0000-0000-0000838E0000}"/>
    <cellStyle name="40% - Accent6 7 3 9 2" xfId="40552" xr:uid="{00000000-0005-0000-0000-0000848E0000}"/>
    <cellStyle name="40% - Accent6 7 4" xfId="1143" xr:uid="{00000000-0005-0000-0000-0000858E0000}"/>
    <cellStyle name="40% - Accent6 8" xfId="1506" xr:uid="{00000000-0005-0000-0000-0000868E0000}"/>
    <cellStyle name="40% - Accent6 9" xfId="1514" xr:uid="{00000000-0005-0000-0000-0000878E0000}"/>
    <cellStyle name="60% - Accent1 10" xfId="27564" xr:uid="{00000000-0005-0000-0000-0000888E0000}"/>
    <cellStyle name="60% - Accent1 11" xfId="190" xr:uid="{00000000-0005-0000-0000-0000898E0000}"/>
    <cellStyle name="60% - Accent1 2" xfId="32" xr:uid="{00000000-0005-0000-0000-00008A8E0000}"/>
    <cellStyle name="60% - Accent1 2 2" xfId="282" xr:uid="{00000000-0005-0000-0000-00008B8E0000}"/>
    <cellStyle name="60% - Accent1 2 3" xfId="240" xr:uid="{00000000-0005-0000-0000-00008C8E0000}"/>
    <cellStyle name="60% - Accent1 3" xfId="86" xr:uid="{00000000-0005-0000-0000-00008D8E0000}"/>
    <cellStyle name="60% - Accent1 3 2" xfId="1687" xr:uid="{00000000-0005-0000-0000-00008E8E0000}"/>
    <cellStyle name="60% - Accent1 3 3" xfId="1572" xr:uid="{00000000-0005-0000-0000-00008F8E0000}"/>
    <cellStyle name="60% - Accent1 3 4" xfId="1146" xr:uid="{00000000-0005-0000-0000-0000908E0000}"/>
    <cellStyle name="60% - Accent1 4" xfId="1147" xr:uid="{00000000-0005-0000-0000-0000918E0000}"/>
    <cellStyle name="60% - Accent1 5" xfId="1148" xr:uid="{00000000-0005-0000-0000-0000928E0000}"/>
    <cellStyle name="60% - Accent1 6" xfId="1149" xr:uid="{00000000-0005-0000-0000-0000938E0000}"/>
    <cellStyle name="60% - Accent1 7" xfId="1150" xr:uid="{00000000-0005-0000-0000-0000948E0000}"/>
    <cellStyle name="60% - Accent1 8" xfId="1459" xr:uid="{00000000-0005-0000-0000-0000958E0000}"/>
    <cellStyle name="60% - Accent1 9" xfId="1421" xr:uid="{00000000-0005-0000-0000-0000968E0000}"/>
    <cellStyle name="60% - Accent2 10" xfId="30780" xr:uid="{00000000-0005-0000-0000-0000978E0000}"/>
    <cellStyle name="60% - Accent2 11" xfId="87" xr:uid="{00000000-0005-0000-0000-0000988E0000}"/>
    <cellStyle name="60% - Accent2 2" xfId="33" xr:uid="{00000000-0005-0000-0000-0000998E0000}"/>
    <cellStyle name="60% - Accent2 2 2" xfId="1152" xr:uid="{00000000-0005-0000-0000-00009A8E0000}"/>
    <cellStyle name="60% - Accent2 2 3" xfId="1688" xr:uid="{00000000-0005-0000-0000-00009B8E0000}"/>
    <cellStyle name="60% - Accent2 2 4" xfId="1151" xr:uid="{00000000-0005-0000-0000-00009C8E0000}"/>
    <cellStyle name="60% - Accent2 3" xfId="1153" xr:uid="{00000000-0005-0000-0000-00009D8E0000}"/>
    <cellStyle name="60% - Accent2 4" xfId="1154" xr:uid="{00000000-0005-0000-0000-00009E8E0000}"/>
    <cellStyle name="60% - Accent2 5" xfId="1155" xr:uid="{00000000-0005-0000-0000-00009F8E0000}"/>
    <cellStyle name="60% - Accent2 6" xfId="1156" xr:uid="{00000000-0005-0000-0000-0000A08E0000}"/>
    <cellStyle name="60% - Accent2 7" xfId="1157" xr:uid="{00000000-0005-0000-0000-0000A18E0000}"/>
    <cellStyle name="60% - Accent2 8" xfId="1419" xr:uid="{00000000-0005-0000-0000-0000A28E0000}"/>
    <cellStyle name="60% - Accent2 9" xfId="1417" xr:uid="{00000000-0005-0000-0000-0000A38E0000}"/>
    <cellStyle name="60% - Accent3 10" xfId="30779" xr:uid="{00000000-0005-0000-0000-0000A48E0000}"/>
    <cellStyle name="60% - Accent3 11" xfId="195" xr:uid="{00000000-0005-0000-0000-0000A58E0000}"/>
    <cellStyle name="60% - Accent3 2" xfId="34" xr:uid="{00000000-0005-0000-0000-0000A68E0000}"/>
    <cellStyle name="60% - Accent3 2 2" xfId="283" xr:uid="{00000000-0005-0000-0000-0000A78E0000}"/>
    <cellStyle name="60% - Accent3 2 3" xfId="241" xr:uid="{00000000-0005-0000-0000-0000A88E0000}"/>
    <cellStyle name="60% - Accent3 3" xfId="88" xr:uid="{00000000-0005-0000-0000-0000A98E0000}"/>
    <cellStyle name="60% - Accent3 3 2" xfId="1689" xr:uid="{00000000-0005-0000-0000-0000AA8E0000}"/>
    <cellStyle name="60% - Accent3 3 3" xfId="1577" xr:uid="{00000000-0005-0000-0000-0000AB8E0000}"/>
    <cellStyle name="60% - Accent3 3 4" xfId="1158" xr:uid="{00000000-0005-0000-0000-0000AC8E0000}"/>
    <cellStyle name="60% - Accent3 4" xfId="1159" xr:uid="{00000000-0005-0000-0000-0000AD8E0000}"/>
    <cellStyle name="60% - Accent3 5" xfId="1160" xr:uid="{00000000-0005-0000-0000-0000AE8E0000}"/>
    <cellStyle name="60% - Accent3 6" xfId="1161" xr:uid="{00000000-0005-0000-0000-0000AF8E0000}"/>
    <cellStyle name="60% - Accent3 7" xfId="1162" xr:uid="{00000000-0005-0000-0000-0000B08E0000}"/>
    <cellStyle name="60% - Accent3 8" xfId="1461" xr:uid="{00000000-0005-0000-0000-0000B18E0000}"/>
    <cellStyle name="60% - Accent3 9" xfId="1415" xr:uid="{00000000-0005-0000-0000-0000B28E0000}"/>
    <cellStyle name="60% - Accent4 10" xfId="30777" xr:uid="{00000000-0005-0000-0000-0000B38E0000}"/>
    <cellStyle name="60% - Accent4 11" xfId="199" xr:uid="{00000000-0005-0000-0000-0000B48E0000}"/>
    <cellStyle name="60% - Accent4 2" xfId="35" xr:uid="{00000000-0005-0000-0000-0000B58E0000}"/>
    <cellStyle name="60% - Accent4 2 2" xfId="284" xr:uid="{00000000-0005-0000-0000-0000B68E0000}"/>
    <cellStyle name="60% - Accent4 2 3" xfId="242" xr:uid="{00000000-0005-0000-0000-0000B78E0000}"/>
    <cellStyle name="60% - Accent4 3" xfId="89" xr:uid="{00000000-0005-0000-0000-0000B88E0000}"/>
    <cellStyle name="60% - Accent4 3 2" xfId="1690" xr:uid="{00000000-0005-0000-0000-0000B98E0000}"/>
    <cellStyle name="60% - Accent4 3 3" xfId="1581" xr:uid="{00000000-0005-0000-0000-0000BA8E0000}"/>
    <cellStyle name="60% - Accent4 3 4" xfId="1163" xr:uid="{00000000-0005-0000-0000-0000BB8E0000}"/>
    <cellStyle name="60% - Accent4 4" xfId="1164" xr:uid="{00000000-0005-0000-0000-0000BC8E0000}"/>
    <cellStyle name="60% - Accent4 5" xfId="1165" xr:uid="{00000000-0005-0000-0000-0000BD8E0000}"/>
    <cellStyle name="60% - Accent4 6" xfId="1166" xr:uid="{00000000-0005-0000-0000-0000BE8E0000}"/>
    <cellStyle name="60% - Accent4 7" xfId="1167" xr:uid="{00000000-0005-0000-0000-0000BF8E0000}"/>
    <cellStyle name="60% - Accent4 8" xfId="1436" xr:uid="{00000000-0005-0000-0000-0000C08E0000}"/>
    <cellStyle name="60% - Accent4 9" xfId="1520" xr:uid="{00000000-0005-0000-0000-0000C18E0000}"/>
    <cellStyle name="60% - Accent5 10" xfId="30793" xr:uid="{00000000-0005-0000-0000-0000C28E0000}"/>
    <cellStyle name="60% - Accent5 11" xfId="90" xr:uid="{00000000-0005-0000-0000-0000C38E0000}"/>
    <cellStyle name="60% - Accent5 2" xfId="36" xr:uid="{00000000-0005-0000-0000-0000C48E0000}"/>
    <cellStyle name="60% - Accent5 2 2" xfId="1169" xr:uid="{00000000-0005-0000-0000-0000C58E0000}"/>
    <cellStyle name="60% - Accent5 2 3" xfId="1691" xr:uid="{00000000-0005-0000-0000-0000C68E0000}"/>
    <cellStyle name="60% - Accent5 2 4" xfId="1168" xr:uid="{00000000-0005-0000-0000-0000C78E0000}"/>
    <cellStyle name="60% - Accent5 3" xfId="1170" xr:uid="{00000000-0005-0000-0000-0000C88E0000}"/>
    <cellStyle name="60% - Accent5 4" xfId="1171" xr:uid="{00000000-0005-0000-0000-0000C98E0000}"/>
    <cellStyle name="60% - Accent5 5" xfId="1172" xr:uid="{00000000-0005-0000-0000-0000CA8E0000}"/>
    <cellStyle name="60% - Accent5 6" xfId="1173" xr:uid="{00000000-0005-0000-0000-0000CB8E0000}"/>
    <cellStyle name="60% - Accent5 7" xfId="1174" xr:uid="{00000000-0005-0000-0000-0000CC8E0000}"/>
    <cellStyle name="60% - Accent5 8" xfId="1463" xr:uid="{00000000-0005-0000-0000-0000CD8E0000}"/>
    <cellStyle name="60% - Accent5 9" xfId="1458" xr:uid="{00000000-0005-0000-0000-0000CE8E0000}"/>
    <cellStyle name="60% - Accent6 10" xfId="30784" xr:uid="{00000000-0005-0000-0000-0000CF8E0000}"/>
    <cellStyle name="60% - Accent6 11" xfId="201" xr:uid="{00000000-0005-0000-0000-0000D08E0000}"/>
    <cellStyle name="60% - Accent6 2" xfId="37" xr:uid="{00000000-0005-0000-0000-0000D18E0000}"/>
    <cellStyle name="60% - Accent6 2 2" xfId="285" xr:uid="{00000000-0005-0000-0000-0000D28E0000}"/>
    <cellStyle name="60% - Accent6 2 3" xfId="243" xr:uid="{00000000-0005-0000-0000-0000D38E0000}"/>
    <cellStyle name="60% - Accent6 3" xfId="91" xr:uid="{00000000-0005-0000-0000-0000D48E0000}"/>
    <cellStyle name="60% - Accent6 3 2" xfId="1692" xr:uid="{00000000-0005-0000-0000-0000D58E0000}"/>
    <cellStyle name="60% - Accent6 3 3" xfId="1583" xr:uid="{00000000-0005-0000-0000-0000D68E0000}"/>
    <cellStyle name="60% - Accent6 3 4" xfId="1175" xr:uid="{00000000-0005-0000-0000-0000D78E0000}"/>
    <cellStyle name="60% - Accent6 4" xfId="1176" xr:uid="{00000000-0005-0000-0000-0000D88E0000}"/>
    <cellStyle name="60% - Accent6 5" xfId="1177" xr:uid="{00000000-0005-0000-0000-0000D98E0000}"/>
    <cellStyle name="60% - Accent6 6" xfId="1178" xr:uid="{00000000-0005-0000-0000-0000DA8E0000}"/>
    <cellStyle name="60% - Accent6 7" xfId="1179" xr:uid="{00000000-0005-0000-0000-0000DB8E0000}"/>
    <cellStyle name="60% - Accent6 8" xfId="1412" xr:uid="{00000000-0005-0000-0000-0000DC8E0000}"/>
    <cellStyle name="60% - Accent6 9" xfId="1434" xr:uid="{00000000-0005-0000-0000-0000DD8E0000}"/>
    <cellStyle name="Accent1 10" xfId="27717" xr:uid="{00000000-0005-0000-0000-0000DE8E0000}"/>
    <cellStyle name="Accent1 11" xfId="187" xr:uid="{00000000-0005-0000-0000-0000DF8E0000}"/>
    <cellStyle name="Accent1 2" xfId="43" xr:uid="{00000000-0005-0000-0000-0000E08E0000}"/>
    <cellStyle name="Accent1 2 2" xfId="286" xr:uid="{00000000-0005-0000-0000-0000E18E0000}"/>
    <cellStyle name="Accent1 2 3" xfId="244" xr:uid="{00000000-0005-0000-0000-0000E28E0000}"/>
    <cellStyle name="Accent1 3" xfId="92" xr:uid="{00000000-0005-0000-0000-0000E38E0000}"/>
    <cellStyle name="Accent1 3 2" xfId="1693" xr:uid="{00000000-0005-0000-0000-0000E48E0000}"/>
    <cellStyle name="Accent1 3 3" xfId="1569" xr:uid="{00000000-0005-0000-0000-0000E58E0000}"/>
    <cellStyle name="Accent1 3 4" xfId="1180" xr:uid="{00000000-0005-0000-0000-0000E68E0000}"/>
    <cellStyle name="Accent1 4" xfId="1181" xr:uid="{00000000-0005-0000-0000-0000E78E0000}"/>
    <cellStyle name="Accent1 5" xfId="1182" xr:uid="{00000000-0005-0000-0000-0000E88E0000}"/>
    <cellStyle name="Accent1 6" xfId="1183" xr:uid="{00000000-0005-0000-0000-0000E98E0000}"/>
    <cellStyle name="Accent1 7" xfId="1184" xr:uid="{00000000-0005-0000-0000-0000EA8E0000}"/>
    <cellStyle name="Accent1 8" xfId="1416" xr:uid="{00000000-0005-0000-0000-0000EB8E0000}"/>
    <cellStyle name="Accent1 9" xfId="1511" xr:uid="{00000000-0005-0000-0000-0000EC8E0000}"/>
    <cellStyle name="Accent2 10" xfId="27538" xr:uid="{00000000-0005-0000-0000-0000ED8E0000}"/>
    <cellStyle name="Accent2 11" xfId="93" xr:uid="{00000000-0005-0000-0000-0000EE8E0000}"/>
    <cellStyle name="Accent2 2" xfId="44" xr:uid="{00000000-0005-0000-0000-0000EF8E0000}"/>
    <cellStyle name="Accent2 2 2" xfId="1186" xr:uid="{00000000-0005-0000-0000-0000F08E0000}"/>
    <cellStyle name="Accent2 2 3" xfId="1694" xr:uid="{00000000-0005-0000-0000-0000F18E0000}"/>
    <cellStyle name="Accent2 2 4" xfId="1185" xr:uid="{00000000-0005-0000-0000-0000F28E0000}"/>
    <cellStyle name="Accent2 3" xfId="1187" xr:uid="{00000000-0005-0000-0000-0000F38E0000}"/>
    <cellStyle name="Accent2 4" xfId="1188" xr:uid="{00000000-0005-0000-0000-0000F48E0000}"/>
    <cellStyle name="Accent2 5" xfId="1189" xr:uid="{00000000-0005-0000-0000-0000F58E0000}"/>
    <cellStyle name="Accent2 6" xfId="1190" xr:uid="{00000000-0005-0000-0000-0000F68E0000}"/>
    <cellStyle name="Accent2 7" xfId="1191" xr:uid="{00000000-0005-0000-0000-0000F78E0000}"/>
    <cellStyle name="Accent2 8" xfId="1440" xr:uid="{00000000-0005-0000-0000-0000F88E0000}"/>
    <cellStyle name="Accent2 9" xfId="1518" xr:uid="{00000000-0005-0000-0000-0000F98E0000}"/>
    <cellStyle name="Accent3 10" xfId="30790" xr:uid="{00000000-0005-0000-0000-0000FA8E0000}"/>
    <cellStyle name="Accent3 11" xfId="192" xr:uid="{00000000-0005-0000-0000-0000FB8E0000}"/>
    <cellStyle name="Accent3 2" xfId="45" xr:uid="{00000000-0005-0000-0000-0000FC8E0000}"/>
    <cellStyle name="Accent3 2 2" xfId="287" xr:uid="{00000000-0005-0000-0000-0000FD8E0000}"/>
    <cellStyle name="Accent3 2 3" xfId="245" xr:uid="{00000000-0005-0000-0000-0000FE8E0000}"/>
    <cellStyle name="Accent3 3" xfId="94" xr:uid="{00000000-0005-0000-0000-0000FF8E0000}"/>
    <cellStyle name="Accent3 3 2" xfId="1695" xr:uid="{00000000-0005-0000-0000-0000008F0000}"/>
    <cellStyle name="Accent3 3 3" xfId="1574" xr:uid="{00000000-0005-0000-0000-0000018F0000}"/>
    <cellStyle name="Accent3 3 4" xfId="1192" xr:uid="{00000000-0005-0000-0000-0000028F0000}"/>
    <cellStyle name="Accent3 4" xfId="1193" xr:uid="{00000000-0005-0000-0000-0000038F0000}"/>
    <cellStyle name="Accent3 5" xfId="1194" xr:uid="{00000000-0005-0000-0000-0000048F0000}"/>
    <cellStyle name="Accent3 6" xfId="1195" xr:uid="{00000000-0005-0000-0000-0000058F0000}"/>
    <cellStyle name="Accent3 7" xfId="1196" xr:uid="{00000000-0005-0000-0000-0000068F0000}"/>
    <cellStyle name="Accent3 8" xfId="1445" xr:uid="{00000000-0005-0000-0000-0000078F0000}"/>
    <cellStyle name="Accent3 9" xfId="1424" xr:uid="{00000000-0005-0000-0000-0000088F0000}"/>
    <cellStyle name="Accent4 10" xfId="30803" xr:uid="{00000000-0005-0000-0000-0000098F0000}"/>
    <cellStyle name="Accent4 11" xfId="196" xr:uid="{00000000-0005-0000-0000-00000A8F0000}"/>
    <cellStyle name="Accent4 2" xfId="46" xr:uid="{00000000-0005-0000-0000-00000B8F0000}"/>
    <cellStyle name="Accent4 2 2" xfId="288" xr:uid="{00000000-0005-0000-0000-00000C8F0000}"/>
    <cellStyle name="Accent4 2 3" xfId="246" xr:uid="{00000000-0005-0000-0000-00000D8F0000}"/>
    <cellStyle name="Accent4 3" xfId="95" xr:uid="{00000000-0005-0000-0000-00000E8F0000}"/>
    <cellStyle name="Accent4 3 2" xfId="1696" xr:uid="{00000000-0005-0000-0000-00000F8F0000}"/>
    <cellStyle name="Accent4 3 3" xfId="1578" xr:uid="{00000000-0005-0000-0000-0000108F0000}"/>
    <cellStyle name="Accent4 3 4" xfId="1197" xr:uid="{00000000-0005-0000-0000-0000118F0000}"/>
    <cellStyle name="Accent4 4" xfId="1198" xr:uid="{00000000-0005-0000-0000-0000128F0000}"/>
    <cellStyle name="Accent4 5" xfId="1199" xr:uid="{00000000-0005-0000-0000-0000138F0000}"/>
    <cellStyle name="Accent4 6" xfId="1200" xr:uid="{00000000-0005-0000-0000-0000148F0000}"/>
    <cellStyle name="Accent4 7" xfId="1201" xr:uid="{00000000-0005-0000-0000-0000158F0000}"/>
    <cellStyle name="Accent4 8" xfId="1413" xr:uid="{00000000-0005-0000-0000-0000168F0000}"/>
    <cellStyle name="Accent4 9" xfId="1399" xr:uid="{00000000-0005-0000-0000-0000178F0000}"/>
    <cellStyle name="Accent5 10" xfId="30799" xr:uid="{00000000-0005-0000-0000-0000188F0000}"/>
    <cellStyle name="Accent5 11" xfId="96" xr:uid="{00000000-0005-0000-0000-0000198F0000}"/>
    <cellStyle name="Accent5 2" xfId="47" xr:uid="{00000000-0005-0000-0000-00001A8F0000}"/>
    <cellStyle name="Accent5 2 2" xfId="1203" xr:uid="{00000000-0005-0000-0000-00001B8F0000}"/>
    <cellStyle name="Accent5 2 3" xfId="1697" xr:uid="{00000000-0005-0000-0000-00001C8F0000}"/>
    <cellStyle name="Accent5 2 4" xfId="1202" xr:uid="{00000000-0005-0000-0000-00001D8F0000}"/>
    <cellStyle name="Accent5 3" xfId="1204" xr:uid="{00000000-0005-0000-0000-00001E8F0000}"/>
    <cellStyle name="Accent5 4" xfId="1205" xr:uid="{00000000-0005-0000-0000-00001F8F0000}"/>
    <cellStyle name="Accent5 5" xfId="1206" xr:uid="{00000000-0005-0000-0000-0000208F0000}"/>
    <cellStyle name="Accent5 6" xfId="1207" xr:uid="{00000000-0005-0000-0000-0000218F0000}"/>
    <cellStyle name="Accent5 7" xfId="1208" xr:uid="{00000000-0005-0000-0000-0000228F0000}"/>
    <cellStyle name="Accent5 8" xfId="1453" xr:uid="{00000000-0005-0000-0000-0000238F0000}"/>
    <cellStyle name="Accent5 9" xfId="1410" xr:uid="{00000000-0005-0000-0000-0000248F0000}"/>
    <cellStyle name="Accent6 10" xfId="27570" xr:uid="{00000000-0005-0000-0000-0000258F0000}"/>
    <cellStyle name="Accent6 11" xfId="97" xr:uid="{00000000-0005-0000-0000-0000268F0000}"/>
    <cellStyle name="Accent6 2" xfId="48" xr:uid="{00000000-0005-0000-0000-0000278F0000}"/>
    <cellStyle name="Accent6 2 2" xfId="1210" xr:uid="{00000000-0005-0000-0000-0000288F0000}"/>
    <cellStyle name="Accent6 2 3" xfId="1698" xr:uid="{00000000-0005-0000-0000-0000298F0000}"/>
    <cellStyle name="Accent6 2 4" xfId="1209" xr:uid="{00000000-0005-0000-0000-00002A8F0000}"/>
    <cellStyle name="Accent6 3" xfId="1211" xr:uid="{00000000-0005-0000-0000-00002B8F0000}"/>
    <cellStyle name="Accent6 4" xfId="1212" xr:uid="{00000000-0005-0000-0000-00002C8F0000}"/>
    <cellStyle name="Accent6 5" xfId="1213" xr:uid="{00000000-0005-0000-0000-00002D8F0000}"/>
    <cellStyle name="Accent6 6" xfId="1214" xr:uid="{00000000-0005-0000-0000-00002E8F0000}"/>
    <cellStyle name="Accent6 7" xfId="1215" xr:uid="{00000000-0005-0000-0000-00002F8F0000}"/>
    <cellStyle name="Accent6 8" xfId="1430" xr:uid="{00000000-0005-0000-0000-0000308F0000}"/>
    <cellStyle name="Accent6 9" xfId="1446" xr:uid="{00000000-0005-0000-0000-0000318F0000}"/>
    <cellStyle name="AZ1" xfId="8" xr:uid="{00000000-0005-0000-0000-0000328F0000}"/>
    <cellStyle name="Bad 10" xfId="30792" xr:uid="{00000000-0005-0000-0000-0000338F0000}"/>
    <cellStyle name="Bad 11" xfId="183" xr:uid="{00000000-0005-0000-0000-0000348F0000}"/>
    <cellStyle name="Bad 2" xfId="50" xr:uid="{00000000-0005-0000-0000-0000358F0000}"/>
    <cellStyle name="Bad 2 2" xfId="289" xr:uid="{00000000-0005-0000-0000-0000368F0000}"/>
    <cellStyle name="Bad 2 3" xfId="247" xr:uid="{00000000-0005-0000-0000-0000378F0000}"/>
    <cellStyle name="Bad 3" xfId="98" xr:uid="{00000000-0005-0000-0000-0000388F0000}"/>
    <cellStyle name="Bad 3 2" xfId="1699" xr:uid="{00000000-0005-0000-0000-0000398F0000}"/>
    <cellStyle name="Bad 3 3" xfId="1565" xr:uid="{00000000-0005-0000-0000-00003A8F0000}"/>
    <cellStyle name="Bad 3 4" xfId="1216" xr:uid="{00000000-0005-0000-0000-00003B8F0000}"/>
    <cellStyle name="Bad 4" xfId="1217" xr:uid="{00000000-0005-0000-0000-00003C8F0000}"/>
    <cellStyle name="Bad 5" xfId="1218" xr:uid="{00000000-0005-0000-0000-00003D8F0000}"/>
    <cellStyle name="Bad 6" xfId="1219" xr:uid="{00000000-0005-0000-0000-00003E8F0000}"/>
    <cellStyle name="Bad 7" xfId="1220" xr:uid="{00000000-0005-0000-0000-00003F8F0000}"/>
    <cellStyle name="Bad 8" xfId="1470" xr:uid="{00000000-0005-0000-0000-0000408F0000}"/>
    <cellStyle name="Bad 9" xfId="1513" xr:uid="{00000000-0005-0000-0000-0000418F0000}"/>
    <cellStyle name="Calculation 10" xfId="30791" xr:uid="{00000000-0005-0000-0000-0000428F0000}"/>
    <cellStyle name="Calculation 11" xfId="185" xr:uid="{00000000-0005-0000-0000-0000438F0000}"/>
    <cellStyle name="Calculation 2" xfId="39" xr:uid="{00000000-0005-0000-0000-0000448F0000}"/>
    <cellStyle name="Calculation 2 2" xfId="290" xr:uid="{00000000-0005-0000-0000-0000458F0000}"/>
    <cellStyle name="Calculation 2 3" xfId="248" xr:uid="{00000000-0005-0000-0000-0000468F0000}"/>
    <cellStyle name="Calculation 3" xfId="99" xr:uid="{00000000-0005-0000-0000-0000478F0000}"/>
    <cellStyle name="Calculation 3 2" xfId="1701" xr:uid="{00000000-0005-0000-0000-0000488F0000}"/>
    <cellStyle name="Calculation 3 3" xfId="1567" xr:uid="{00000000-0005-0000-0000-0000498F0000}"/>
    <cellStyle name="Calculation 3 4" xfId="1221" xr:uid="{00000000-0005-0000-0000-00004A8F0000}"/>
    <cellStyle name="Calculation 4" xfId="1222" xr:uid="{00000000-0005-0000-0000-00004B8F0000}"/>
    <cellStyle name="Calculation 5" xfId="1223" xr:uid="{00000000-0005-0000-0000-00004C8F0000}"/>
    <cellStyle name="Calculation 6" xfId="1224" xr:uid="{00000000-0005-0000-0000-00004D8F0000}"/>
    <cellStyle name="Calculation 7" xfId="1225" xr:uid="{00000000-0005-0000-0000-00004E8F0000}"/>
    <cellStyle name="Calculation 8" xfId="1423" xr:uid="{00000000-0005-0000-0000-00004F8F0000}"/>
    <cellStyle name="Calculation 9" xfId="1457" xr:uid="{00000000-0005-0000-0000-0000508F0000}"/>
    <cellStyle name="Check Cell 10" xfId="30782" xr:uid="{00000000-0005-0000-0000-0000518F0000}"/>
    <cellStyle name="Check Cell 11" xfId="100" xr:uid="{00000000-0005-0000-0000-0000528F0000}"/>
    <cellStyle name="Check Cell 2" xfId="40" xr:uid="{00000000-0005-0000-0000-0000538F0000}"/>
    <cellStyle name="Check Cell 2 2" xfId="1227" xr:uid="{00000000-0005-0000-0000-0000548F0000}"/>
    <cellStyle name="Check Cell 2 3" xfId="1702" xr:uid="{00000000-0005-0000-0000-0000558F0000}"/>
    <cellStyle name="Check Cell 2 4" xfId="1226" xr:uid="{00000000-0005-0000-0000-0000568F0000}"/>
    <cellStyle name="Check Cell 3" xfId="1228" xr:uid="{00000000-0005-0000-0000-0000578F0000}"/>
    <cellStyle name="Check Cell 4" xfId="1229" xr:uid="{00000000-0005-0000-0000-0000588F0000}"/>
    <cellStyle name="Check Cell 5" xfId="1230" xr:uid="{00000000-0005-0000-0000-0000598F0000}"/>
    <cellStyle name="Check Cell 6" xfId="1231" xr:uid="{00000000-0005-0000-0000-00005A8F0000}"/>
    <cellStyle name="Check Cell 7" xfId="1232" xr:uid="{00000000-0005-0000-0000-00005B8F0000}"/>
    <cellStyle name="Check Cell 8" xfId="1449" xr:uid="{00000000-0005-0000-0000-00005C8F0000}"/>
    <cellStyle name="Check Cell 9" xfId="1468" xr:uid="{00000000-0005-0000-0000-00005D8F0000}"/>
    <cellStyle name="Comma 10" xfId="102" xr:uid="{00000000-0005-0000-0000-00005E8F0000}"/>
    <cellStyle name="Comma 10 10" xfId="8192" xr:uid="{00000000-0005-0000-0000-00005F8F0000}"/>
    <cellStyle name="Comma 10 10 2" xfId="21110" xr:uid="{00000000-0005-0000-0000-0000608F0000}"/>
    <cellStyle name="Comma 10 10 2 2" xfId="46984" xr:uid="{00000000-0005-0000-0000-0000618F0000}"/>
    <cellStyle name="Comma 10 10 3" xfId="34068" xr:uid="{00000000-0005-0000-0000-0000628F0000}"/>
    <cellStyle name="Comma 10 11" xfId="14652" xr:uid="{00000000-0005-0000-0000-0000638F0000}"/>
    <cellStyle name="Comma 10 11 2" xfId="40526" xr:uid="{00000000-0005-0000-0000-0000648F0000}"/>
    <cellStyle name="Comma 10 12" xfId="27574" xr:uid="{00000000-0005-0000-0000-0000658F0000}"/>
    <cellStyle name="Comma 10 13" xfId="53442" xr:uid="{00000000-0005-0000-0000-0000668F0000}"/>
    <cellStyle name="Comma 10 14" xfId="1233" xr:uid="{00000000-0005-0000-0000-0000678F0000}"/>
    <cellStyle name="Comma 10 2" xfId="303" xr:uid="{00000000-0005-0000-0000-0000688F0000}"/>
    <cellStyle name="Comma 10 2 10" xfId="53562" xr:uid="{00000000-0005-0000-0000-0000698F0000}"/>
    <cellStyle name="Comma 10 2 11" xfId="1646" xr:uid="{00000000-0005-0000-0000-00006A8F0000}"/>
    <cellStyle name="Comma 10 2 2" xfId="451" xr:uid="{00000000-0005-0000-0000-00006B8F0000}"/>
    <cellStyle name="Comma 10 2 2 10" xfId="1971" xr:uid="{00000000-0005-0000-0000-00006C8F0000}"/>
    <cellStyle name="Comma 10 2 2 2" xfId="809" xr:uid="{00000000-0005-0000-0000-00006D8F0000}"/>
    <cellStyle name="Comma 10 2 2 2 2" xfId="3215" xr:uid="{00000000-0005-0000-0000-00006E8F0000}"/>
    <cellStyle name="Comma 10 2 2 2 2 2" xfId="4872" xr:uid="{00000000-0005-0000-0000-00006F8F0000}"/>
    <cellStyle name="Comma 10 2 2 2 2 2 2" xfId="8103" xr:uid="{00000000-0005-0000-0000-0000708F0000}"/>
    <cellStyle name="Comma 10 2 2 2 2 2 2 2" xfId="14562" xr:uid="{00000000-0005-0000-0000-0000718F0000}"/>
    <cellStyle name="Comma 10 2 2 2 2 2 2 2 2" xfId="27479" xr:uid="{00000000-0005-0000-0000-0000728F0000}"/>
    <cellStyle name="Comma 10 2 2 2 2 2 2 2 2 2" xfId="53353" xr:uid="{00000000-0005-0000-0000-0000738F0000}"/>
    <cellStyle name="Comma 10 2 2 2 2 2 2 2 3" xfId="40437" xr:uid="{00000000-0005-0000-0000-0000748F0000}"/>
    <cellStyle name="Comma 10 2 2 2 2 2 2 3" xfId="21021" xr:uid="{00000000-0005-0000-0000-0000758F0000}"/>
    <cellStyle name="Comma 10 2 2 2 2 2 2 3 2" xfId="46895" xr:uid="{00000000-0005-0000-0000-0000768F0000}"/>
    <cellStyle name="Comma 10 2 2 2 2 2 2 4" xfId="33979" xr:uid="{00000000-0005-0000-0000-0000778F0000}"/>
    <cellStyle name="Comma 10 2 2 2 2 2 3" xfId="11334" xr:uid="{00000000-0005-0000-0000-0000788F0000}"/>
    <cellStyle name="Comma 10 2 2 2 2 2 3 2" xfId="24251" xr:uid="{00000000-0005-0000-0000-0000798F0000}"/>
    <cellStyle name="Comma 10 2 2 2 2 2 3 2 2" xfId="50125" xr:uid="{00000000-0005-0000-0000-00007A8F0000}"/>
    <cellStyle name="Comma 10 2 2 2 2 2 3 3" xfId="37209" xr:uid="{00000000-0005-0000-0000-00007B8F0000}"/>
    <cellStyle name="Comma 10 2 2 2 2 2 4" xfId="17793" xr:uid="{00000000-0005-0000-0000-00007C8F0000}"/>
    <cellStyle name="Comma 10 2 2 2 2 2 4 2" xfId="43667" xr:uid="{00000000-0005-0000-0000-00007D8F0000}"/>
    <cellStyle name="Comma 10 2 2 2 2 2 5" xfId="30719" xr:uid="{00000000-0005-0000-0000-00007E8F0000}"/>
    <cellStyle name="Comma 10 2 2 2 2 3" xfId="6489" xr:uid="{00000000-0005-0000-0000-00007F8F0000}"/>
    <cellStyle name="Comma 10 2 2 2 2 3 2" xfId="12948" xr:uid="{00000000-0005-0000-0000-0000808F0000}"/>
    <cellStyle name="Comma 10 2 2 2 2 3 2 2" xfId="25865" xr:uid="{00000000-0005-0000-0000-0000818F0000}"/>
    <cellStyle name="Comma 10 2 2 2 2 3 2 2 2" xfId="51739" xr:uid="{00000000-0005-0000-0000-0000828F0000}"/>
    <cellStyle name="Comma 10 2 2 2 2 3 2 3" xfId="38823" xr:uid="{00000000-0005-0000-0000-0000838F0000}"/>
    <cellStyle name="Comma 10 2 2 2 2 3 3" xfId="19407" xr:uid="{00000000-0005-0000-0000-0000848F0000}"/>
    <cellStyle name="Comma 10 2 2 2 2 3 3 2" xfId="45281" xr:uid="{00000000-0005-0000-0000-0000858F0000}"/>
    <cellStyle name="Comma 10 2 2 2 2 3 4" xfId="32365" xr:uid="{00000000-0005-0000-0000-0000868F0000}"/>
    <cellStyle name="Comma 10 2 2 2 2 4" xfId="9720" xr:uid="{00000000-0005-0000-0000-0000878F0000}"/>
    <cellStyle name="Comma 10 2 2 2 2 4 2" xfId="22637" xr:uid="{00000000-0005-0000-0000-0000888F0000}"/>
    <cellStyle name="Comma 10 2 2 2 2 4 2 2" xfId="48511" xr:uid="{00000000-0005-0000-0000-0000898F0000}"/>
    <cellStyle name="Comma 10 2 2 2 2 4 3" xfId="35595" xr:uid="{00000000-0005-0000-0000-00008A8F0000}"/>
    <cellStyle name="Comma 10 2 2 2 2 5" xfId="16179" xr:uid="{00000000-0005-0000-0000-00008B8F0000}"/>
    <cellStyle name="Comma 10 2 2 2 2 5 2" xfId="42053" xr:uid="{00000000-0005-0000-0000-00008C8F0000}"/>
    <cellStyle name="Comma 10 2 2 2 2 6" xfId="29105" xr:uid="{00000000-0005-0000-0000-00008D8F0000}"/>
    <cellStyle name="Comma 10 2 2 2 3" xfId="4042" xr:uid="{00000000-0005-0000-0000-00008E8F0000}"/>
    <cellStyle name="Comma 10 2 2 2 3 2" xfId="7296" xr:uid="{00000000-0005-0000-0000-00008F8F0000}"/>
    <cellStyle name="Comma 10 2 2 2 3 2 2" xfId="13755" xr:uid="{00000000-0005-0000-0000-0000908F0000}"/>
    <cellStyle name="Comma 10 2 2 2 3 2 2 2" xfId="26672" xr:uid="{00000000-0005-0000-0000-0000918F0000}"/>
    <cellStyle name="Comma 10 2 2 2 3 2 2 2 2" xfId="52546" xr:uid="{00000000-0005-0000-0000-0000928F0000}"/>
    <cellStyle name="Comma 10 2 2 2 3 2 2 3" xfId="39630" xr:uid="{00000000-0005-0000-0000-0000938F0000}"/>
    <cellStyle name="Comma 10 2 2 2 3 2 3" xfId="20214" xr:uid="{00000000-0005-0000-0000-0000948F0000}"/>
    <cellStyle name="Comma 10 2 2 2 3 2 3 2" xfId="46088" xr:uid="{00000000-0005-0000-0000-0000958F0000}"/>
    <cellStyle name="Comma 10 2 2 2 3 2 4" xfId="33172" xr:uid="{00000000-0005-0000-0000-0000968F0000}"/>
    <cellStyle name="Comma 10 2 2 2 3 3" xfId="10527" xr:uid="{00000000-0005-0000-0000-0000978F0000}"/>
    <cellStyle name="Comma 10 2 2 2 3 3 2" xfId="23444" xr:uid="{00000000-0005-0000-0000-0000988F0000}"/>
    <cellStyle name="Comma 10 2 2 2 3 3 2 2" xfId="49318" xr:uid="{00000000-0005-0000-0000-0000998F0000}"/>
    <cellStyle name="Comma 10 2 2 2 3 3 3" xfId="36402" xr:uid="{00000000-0005-0000-0000-00009A8F0000}"/>
    <cellStyle name="Comma 10 2 2 2 3 4" xfId="16986" xr:uid="{00000000-0005-0000-0000-00009B8F0000}"/>
    <cellStyle name="Comma 10 2 2 2 3 4 2" xfId="42860" xr:uid="{00000000-0005-0000-0000-00009C8F0000}"/>
    <cellStyle name="Comma 10 2 2 2 3 5" xfId="29912" xr:uid="{00000000-0005-0000-0000-00009D8F0000}"/>
    <cellStyle name="Comma 10 2 2 2 4" xfId="5682" xr:uid="{00000000-0005-0000-0000-00009E8F0000}"/>
    <cellStyle name="Comma 10 2 2 2 4 2" xfId="12141" xr:uid="{00000000-0005-0000-0000-00009F8F0000}"/>
    <cellStyle name="Comma 10 2 2 2 4 2 2" xfId="25058" xr:uid="{00000000-0005-0000-0000-0000A08F0000}"/>
    <cellStyle name="Comma 10 2 2 2 4 2 2 2" xfId="50932" xr:uid="{00000000-0005-0000-0000-0000A18F0000}"/>
    <cellStyle name="Comma 10 2 2 2 4 2 3" xfId="38016" xr:uid="{00000000-0005-0000-0000-0000A28F0000}"/>
    <cellStyle name="Comma 10 2 2 2 4 3" xfId="18600" xr:uid="{00000000-0005-0000-0000-0000A38F0000}"/>
    <cellStyle name="Comma 10 2 2 2 4 3 2" xfId="44474" xr:uid="{00000000-0005-0000-0000-0000A48F0000}"/>
    <cellStyle name="Comma 10 2 2 2 4 4" xfId="31558" xr:uid="{00000000-0005-0000-0000-0000A58F0000}"/>
    <cellStyle name="Comma 10 2 2 2 5" xfId="8913" xr:uid="{00000000-0005-0000-0000-0000A68F0000}"/>
    <cellStyle name="Comma 10 2 2 2 5 2" xfId="21830" xr:uid="{00000000-0005-0000-0000-0000A78F0000}"/>
    <cellStyle name="Comma 10 2 2 2 5 2 2" xfId="47704" xr:uid="{00000000-0005-0000-0000-0000A88F0000}"/>
    <cellStyle name="Comma 10 2 2 2 5 3" xfId="34788" xr:uid="{00000000-0005-0000-0000-0000A98F0000}"/>
    <cellStyle name="Comma 10 2 2 2 6" xfId="15372" xr:uid="{00000000-0005-0000-0000-0000AA8F0000}"/>
    <cellStyle name="Comma 10 2 2 2 6 2" xfId="41246" xr:uid="{00000000-0005-0000-0000-0000AB8F0000}"/>
    <cellStyle name="Comma 10 2 2 2 7" xfId="28298" xr:uid="{00000000-0005-0000-0000-0000AC8F0000}"/>
    <cellStyle name="Comma 10 2 2 2 8" xfId="54160" xr:uid="{00000000-0005-0000-0000-0000AD8F0000}"/>
    <cellStyle name="Comma 10 2 2 2 9" xfId="2402" xr:uid="{00000000-0005-0000-0000-0000AE8F0000}"/>
    <cellStyle name="Comma 10 2 2 3" xfId="808" xr:uid="{00000000-0005-0000-0000-0000AF8F0000}"/>
    <cellStyle name="Comma 10 2 2 3 2" xfId="4468" xr:uid="{00000000-0005-0000-0000-0000B08F0000}"/>
    <cellStyle name="Comma 10 2 2 3 2 2" xfId="7699" xr:uid="{00000000-0005-0000-0000-0000B18F0000}"/>
    <cellStyle name="Comma 10 2 2 3 2 2 2" xfId="14158" xr:uid="{00000000-0005-0000-0000-0000B28F0000}"/>
    <cellStyle name="Comma 10 2 2 3 2 2 2 2" xfId="27075" xr:uid="{00000000-0005-0000-0000-0000B38F0000}"/>
    <cellStyle name="Comma 10 2 2 3 2 2 2 2 2" xfId="52949" xr:uid="{00000000-0005-0000-0000-0000B48F0000}"/>
    <cellStyle name="Comma 10 2 2 3 2 2 2 3" xfId="40033" xr:uid="{00000000-0005-0000-0000-0000B58F0000}"/>
    <cellStyle name="Comma 10 2 2 3 2 2 3" xfId="20617" xr:uid="{00000000-0005-0000-0000-0000B68F0000}"/>
    <cellStyle name="Comma 10 2 2 3 2 2 3 2" xfId="46491" xr:uid="{00000000-0005-0000-0000-0000B78F0000}"/>
    <cellStyle name="Comma 10 2 2 3 2 2 4" xfId="33575" xr:uid="{00000000-0005-0000-0000-0000B88F0000}"/>
    <cellStyle name="Comma 10 2 2 3 2 3" xfId="10930" xr:uid="{00000000-0005-0000-0000-0000B98F0000}"/>
    <cellStyle name="Comma 10 2 2 3 2 3 2" xfId="23847" xr:uid="{00000000-0005-0000-0000-0000BA8F0000}"/>
    <cellStyle name="Comma 10 2 2 3 2 3 2 2" xfId="49721" xr:uid="{00000000-0005-0000-0000-0000BB8F0000}"/>
    <cellStyle name="Comma 10 2 2 3 2 3 3" xfId="36805" xr:uid="{00000000-0005-0000-0000-0000BC8F0000}"/>
    <cellStyle name="Comma 10 2 2 3 2 4" xfId="17389" xr:uid="{00000000-0005-0000-0000-0000BD8F0000}"/>
    <cellStyle name="Comma 10 2 2 3 2 4 2" xfId="43263" xr:uid="{00000000-0005-0000-0000-0000BE8F0000}"/>
    <cellStyle name="Comma 10 2 2 3 2 5" xfId="30315" xr:uid="{00000000-0005-0000-0000-0000BF8F0000}"/>
    <cellStyle name="Comma 10 2 2 3 3" xfId="6085" xr:uid="{00000000-0005-0000-0000-0000C08F0000}"/>
    <cellStyle name="Comma 10 2 2 3 3 2" xfId="12544" xr:uid="{00000000-0005-0000-0000-0000C18F0000}"/>
    <cellStyle name="Comma 10 2 2 3 3 2 2" xfId="25461" xr:uid="{00000000-0005-0000-0000-0000C28F0000}"/>
    <cellStyle name="Comma 10 2 2 3 3 2 2 2" xfId="51335" xr:uid="{00000000-0005-0000-0000-0000C38F0000}"/>
    <cellStyle name="Comma 10 2 2 3 3 2 3" xfId="38419" xr:uid="{00000000-0005-0000-0000-0000C48F0000}"/>
    <cellStyle name="Comma 10 2 2 3 3 3" xfId="19003" xr:uid="{00000000-0005-0000-0000-0000C58F0000}"/>
    <cellStyle name="Comma 10 2 2 3 3 3 2" xfId="44877" xr:uid="{00000000-0005-0000-0000-0000C68F0000}"/>
    <cellStyle name="Comma 10 2 2 3 3 4" xfId="31961" xr:uid="{00000000-0005-0000-0000-0000C78F0000}"/>
    <cellStyle name="Comma 10 2 2 3 4" xfId="9316" xr:uid="{00000000-0005-0000-0000-0000C88F0000}"/>
    <cellStyle name="Comma 10 2 2 3 4 2" xfId="22233" xr:uid="{00000000-0005-0000-0000-0000C98F0000}"/>
    <cellStyle name="Comma 10 2 2 3 4 2 2" xfId="48107" xr:uid="{00000000-0005-0000-0000-0000CA8F0000}"/>
    <cellStyle name="Comma 10 2 2 3 4 3" xfId="35191" xr:uid="{00000000-0005-0000-0000-0000CB8F0000}"/>
    <cellStyle name="Comma 10 2 2 3 5" xfId="15775" xr:uid="{00000000-0005-0000-0000-0000CC8F0000}"/>
    <cellStyle name="Comma 10 2 2 3 5 2" xfId="41649" xr:uid="{00000000-0005-0000-0000-0000CD8F0000}"/>
    <cellStyle name="Comma 10 2 2 3 6" xfId="28701" xr:uid="{00000000-0005-0000-0000-0000CE8F0000}"/>
    <cellStyle name="Comma 10 2 2 3 7" xfId="2811" xr:uid="{00000000-0005-0000-0000-0000CF8F0000}"/>
    <cellStyle name="Comma 10 2 2 4" xfId="3638" xr:uid="{00000000-0005-0000-0000-0000D08F0000}"/>
    <cellStyle name="Comma 10 2 2 4 2" xfId="6892" xr:uid="{00000000-0005-0000-0000-0000D18F0000}"/>
    <cellStyle name="Comma 10 2 2 4 2 2" xfId="13351" xr:uid="{00000000-0005-0000-0000-0000D28F0000}"/>
    <cellStyle name="Comma 10 2 2 4 2 2 2" xfId="26268" xr:uid="{00000000-0005-0000-0000-0000D38F0000}"/>
    <cellStyle name="Comma 10 2 2 4 2 2 2 2" xfId="52142" xr:uid="{00000000-0005-0000-0000-0000D48F0000}"/>
    <cellStyle name="Comma 10 2 2 4 2 2 3" xfId="39226" xr:uid="{00000000-0005-0000-0000-0000D58F0000}"/>
    <cellStyle name="Comma 10 2 2 4 2 3" xfId="19810" xr:uid="{00000000-0005-0000-0000-0000D68F0000}"/>
    <cellStyle name="Comma 10 2 2 4 2 3 2" xfId="45684" xr:uid="{00000000-0005-0000-0000-0000D78F0000}"/>
    <cellStyle name="Comma 10 2 2 4 2 4" xfId="32768" xr:uid="{00000000-0005-0000-0000-0000D88F0000}"/>
    <cellStyle name="Comma 10 2 2 4 3" xfId="10123" xr:uid="{00000000-0005-0000-0000-0000D98F0000}"/>
    <cellStyle name="Comma 10 2 2 4 3 2" xfId="23040" xr:uid="{00000000-0005-0000-0000-0000DA8F0000}"/>
    <cellStyle name="Comma 10 2 2 4 3 2 2" xfId="48914" xr:uid="{00000000-0005-0000-0000-0000DB8F0000}"/>
    <cellStyle name="Comma 10 2 2 4 3 3" xfId="35998" xr:uid="{00000000-0005-0000-0000-0000DC8F0000}"/>
    <cellStyle name="Comma 10 2 2 4 4" xfId="16582" xr:uid="{00000000-0005-0000-0000-0000DD8F0000}"/>
    <cellStyle name="Comma 10 2 2 4 4 2" xfId="42456" xr:uid="{00000000-0005-0000-0000-0000DE8F0000}"/>
    <cellStyle name="Comma 10 2 2 4 5" xfId="29508" xr:uid="{00000000-0005-0000-0000-0000DF8F0000}"/>
    <cellStyle name="Comma 10 2 2 5" xfId="5278" xr:uid="{00000000-0005-0000-0000-0000E08F0000}"/>
    <cellStyle name="Comma 10 2 2 5 2" xfId="11737" xr:uid="{00000000-0005-0000-0000-0000E18F0000}"/>
    <cellStyle name="Comma 10 2 2 5 2 2" xfId="24654" xr:uid="{00000000-0005-0000-0000-0000E28F0000}"/>
    <cellStyle name="Comma 10 2 2 5 2 2 2" xfId="50528" xr:uid="{00000000-0005-0000-0000-0000E38F0000}"/>
    <cellStyle name="Comma 10 2 2 5 2 3" xfId="37612" xr:uid="{00000000-0005-0000-0000-0000E48F0000}"/>
    <cellStyle name="Comma 10 2 2 5 3" xfId="18196" xr:uid="{00000000-0005-0000-0000-0000E58F0000}"/>
    <cellStyle name="Comma 10 2 2 5 3 2" xfId="44070" xr:uid="{00000000-0005-0000-0000-0000E68F0000}"/>
    <cellStyle name="Comma 10 2 2 5 4" xfId="31154" xr:uid="{00000000-0005-0000-0000-0000E78F0000}"/>
    <cellStyle name="Comma 10 2 2 6" xfId="8509" xr:uid="{00000000-0005-0000-0000-0000E88F0000}"/>
    <cellStyle name="Comma 10 2 2 6 2" xfId="21426" xr:uid="{00000000-0005-0000-0000-0000E98F0000}"/>
    <cellStyle name="Comma 10 2 2 6 2 2" xfId="47300" xr:uid="{00000000-0005-0000-0000-0000EA8F0000}"/>
    <cellStyle name="Comma 10 2 2 6 3" xfId="34384" xr:uid="{00000000-0005-0000-0000-0000EB8F0000}"/>
    <cellStyle name="Comma 10 2 2 7" xfId="14968" xr:uid="{00000000-0005-0000-0000-0000EC8F0000}"/>
    <cellStyle name="Comma 10 2 2 7 2" xfId="40842" xr:uid="{00000000-0005-0000-0000-0000ED8F0000}"/>
    <cellStyle name="Comma 10 2 2 8" xfId="27893" xr:uid="{00000000-0005-0000-0000-0000EE8F0000}"/>
    <cellStyle name="Comma 10 2 2 9" xfId="53756" xr:uid="{00000000-0005-0000-0000-0000EF8F0000}"/>
    <cellStyle name="Comma 10 2 3" xfId="810" xr:uid="{00000000-0005-0000-0000-0000F08F0000}"/>
    <cellStyle name="Comma 10 2 3 2" xfId="3020" xr:uid="{00000000-0005-0000-0000-0000F18F0000}"/>
    <cellStyle name="Comma 10 2 3 2 2" xfId="4677" xr:uid="{00000000-0005-0000-0000-0000F28F0000}"/>
    <cellStyle name="Comma 10 2 3 2 2 2" xfId="7908" xr:uid="{00000000-0005-0000-0000-0000F38F0000}"/>
    <cellStyle name="Comma 10 2 3 2 2 2 2" xfId="14367" xr:uid="{00000000-0005-0000-0000-0000F48F0000}"/>
    <cellStyle name="Comma 10 2 3 2 2 2 2 2" xfId="27284" xr:uid="{00000000-0005-0000-0000-0000F58F0000}"/>
    <cellStyle name="Comma 10 2 3 2 2 2 2 2 2" xfId="53158" xr:uid="{00000000-0005-0000-0000-0000F68F0000}"/>
    <cellStyle name="Comma 10 2 3 2 2 2 2 3" xfId="40242" xr:uid="{00000000-0005-0000-0000-0000F78F0000}"/>
    <cellStyle name="Comma 10 2 3 2 2 2 3" xfId="20826" xr:uid="{00000000-0005-0000-0000-0000F88F0000}"/>
    <cellStyle name="Comma 10 2 3 2 2 2 3 2" xfId="46700" xr:uid="{00000000-0005-0000-0000-0000F98F0000}"/>
    <cellStyle name="Comma 10 2 3 2 2 2 4" xfId="33784" xr:uid="{00000000-0005-0000-0000-0000FA8F0000}"/>
    <cellStyle name="Comma 10 2 3 2 2 3" xfId="11139" xr:uid="{00000000-0005-0000-0000-0000FB8F0000}"/>
    <cellStyle name="Comma 10 2 3 2 2 3 2" xfId="24056" xr:uid="{00000000-0005-0000-0000-0000FC8F0000}"/>
    <cellStyle name="Comma 10 2 3 2 2 3 2 2" xfId="49930" xr:uid="{00000000-0005-0000-0000-0000FD8F0000}"/>
    <cellStyle name="Comma 10 2 3 2 2 3 3" xfId="37014" xr:uid="{00000000-0005-0000-0000-0000FE8F0000}"/>
    <cellStyle name="Comma 10 2 3 2 2 4" xfId="17598" xr:uid="{00000000-0005-0000-0000-0000FF8F0000}"/>
    <cellStyle name="Comma 10 2 3 2 2 4 2" xfId="43472" xr:uid="{00000000-0005-0000-0000-000000900000}"/>
    <cellStyle name="Comma 10 2 3 2 2 5" xfId="30524" xr:uid="{00000000-0005-0000-0000-000001900000}"/>
    <cellStyle name="Comma 10 2 3 2 3" xfId="6294" xr:uid="{00000000-0005-0000-0000-000002900000}"/>
    <cellStyle name="Comma 10 2 3 2 3 2" xfId="12753" xr:uid="{00000000-0005-0000-0000-000003900000}"/>
    <cellStyle name="Comma 10 2 3 2 3 2 2" xfId="25670" xr:uid="{00000000-0005-0000-0000-000004900000}"/>
    <cellStyle name="Comma 10 2 3 2 3 2 2 2" xfId="51544" xr:uid="{00000000-0005-0000-0000-000005900000}"/>
    <cellStyle name="Comma 10 2 3 2 3 2 3" xfId="38628" xr:uid="{00000000-0005-0000-0000-000006900000}"/>
    <cellStyle name="Comma 10 2 3 2 3 3" xfId="19212" xr:uid="{00000000-0005-0000-0000-000007900000}"/>
    <cellStyle name="Comma 10 2 3 2 3 3 2" xfId="45086" xr:uid="{00000000-0005-0000-0000-000008900000}"/>
    <cellStyle name="Comma 10 2 3 2 3 4" xfId="32170" xr:uid="{00000000-0005-0000-0000-000009900000}"/>
    <cellStyle name="Comma 10 2 3 2 4" xfId="9525" xr:uid="{00000000-0005-0000-0000-00000A900000}"/>
    <cellStyle name="Comma 10 2 3 2 4 2" xfId="22442" xr:uid="{00000000-0005-0000-0000-00000B900000}"/>
    <cellStyle name="Comma 10 2 3 2 4 2 2" xfId="48316" xr:uid="{00000000-0005-0000-0000-00000C900000}"/>
    <cellStyle name="Comma 10 2 3 2 4 3" xfId="35400" xr:uid="{00000000-0005-0000-0000-00000D900000}"/>
    <cellStyle name="Comma 10 2 3 2 5" xfId="15984" xr:uid="{00000000-0005-0000-0000-00000E900000}"/>
    <cellStyle name="Comma 10 2 3 2 5 2" xfId="41858" xr:uid="{00000000-0005-0000-0000-00000F900000}"/>
    <cellStyle name="Comma 10 2 3 2 6" xfId="28910" xr:uid="{00000000-0005-0000-0000-000010900000}"/>
    <cellStyle name="Comma 10 2 3 3" xfId="3847" xr:uid="{00000000-0005-0000-0000-000011900000}"/>
    <cellStyle name="Comma 10 2 3 3 2" xfId="7101" xr:uid="{00000000-0005-0000-0000-000012900000}"/>
    <cellStyle name="Comma 10 2 3 3 2 2" xfId="13560" xr:uid="{00000000-0005-0000-0000-000013900000}"/>
    <cellStyle name="Comma 10 2 3 3 2 2 2" xfId="26477" xr:uid="{00000000-0005-0000-0000-000014900000}"/>
    <cellStyle name="Comma 10 2 3 3 2 2 2 2" xfId="52351" xr:uid="{00000000-0005-0000-0000-000015900000}"/>
    <cellStyle name="Comma 10 2 3 3 2 2 3" xfId="39435" xr:uid="{00000000-0005-0000-0000-000016900000}"/>
    <cellStyle name="Comma 10 2 3 3 2 3" xfId="20019" xr:uid="{00000000-0005-0000-0000-000017900000}"/>
    <cellStyle name="Comma 10 2 3 3 2 3 2" xfId="45893" xr:uid="{00000000-0005-0000-0000-000018900000}"/>
    <cellStyle name="Comma 10 2 3 3 2 4" xfId="32977" xr:uid="{00000000-0005-0000-0000-000019900000}"/>
    <cellStyle name="Comma 10 2 3 3 3" xfId="10332" xr:uid="{00000000-0005-0000-0000-00001A900000}"/>
    <cellStyle name="Comma 10 2 3 3 3 2" xfId="23249" xr:uid="{00000000-0005-0000-0000-00001B900000}"/>
    <cellStyle name="Comma 10 2 3 3 3 2 2" xfId="49123" xr:uid="{00000000-0005-0000-0000-00001C900000}"/>
    <cellStyle name="Comma 10 2 3 3 3 3" xfId="36207" xr:uid="{00000000-0005-0000-0000-00001D900000}"/>
    <cellStyle name="Comma 10 2 3 3 4" xfId="16791" xr:uid="{00000000-0005-0000-0000-00001E900000}"/>
    <cellStyle name="Comma 10 2 3 3 4 2" xfId="42665" xr:uid="{00000000-0005-0000-0000-00001F900000}"/>
    <cellStyle name="Comma 10 2 3 3 5" xfId="29717" xr:uid="{00000000-0005-0000-0000-000020900000}"/>
    <cellStyle name="Comma 10 2 3 4" xfId="5487" xr:uid="{00000000-0005-0000-0000-000021900000}"/>
    <cellStyle name="Comma 10 2 3 4 2" xfId="11946" xr:uid="{00000000-0005-0000-0000-000022900000}"/>
    <cellStyle name="Comma 10 2 3 4 2 2" xfId="24863" xr:uid="{00000000-0005-0000-0000-000023900000}"/>
    <cellStyle name="Comma 10 2 3 4 2 2 2" xfId="50737" xr:uid="{00000000-0005-0000-0000-000024900000}"/>
    <cellStyle name="Comma 10 2 3 4 2 3" xfId="37821" xr:uid="{00000000-0005-0000-0000-000025900000}"/>
    <cellStyle name="Comma 10 2 3 4 3" xfId="18405" xr:uid="{00000000-0005-0000-0000-000026900000}"/>
    <cellStyle name="Comma 10 2 3 4 3 2" xfId="44279" xr:uid="{00000000-0005-0000-0000-000027900000}"/>
    <cellStyle name="Comma 10 2 3 4 4" xfId="31363" xr:uid="{00000000-0005-0000-0000-000028900000}"/>
    <cellStyle name="Comma 10 2 3 5" xfId="8718" xr:uid="{00000000-0005-0000-0000-000029900000}"/>
    <cellStyle name="Comma 10 2 3 5 2" xfId="21635" xr:uid="{00000000-0005-0000-0000-00002A900000}"/>
    <cellStyle name="Comma 10 2 3 5 2 2" xfId="47509" xr:uid="{00000000-0005-0000-0000-00002B900000}"/>
    <cellStyle name="Comma 10 2 3 5 3" xfId="34593" xr:uid="{00000000-0005-0000-0000-00002C900000}"/>
    <cellStyle name="Comma 10 2 3 6" xfId="15177" xr:uid="{00000000-0005-0000-0000-00002D900000}"/>
    <cellStyle name="Comma 10 2 3 6 2" xfId="41051" xr:uid="{00000000-0005-0000-0000-00002E900000}"/>
    <cellStyle name="Comma 10 2 3 7" xfId="28103" xr:uid="{00000000-0005-0000-0000-00002F900000}"/>
    <cellStyle name="Comma 10 2 3 8" xfId="53965" xr:uid="{00000000-0005-0000-0000-000030900000}"/>
    <cellStyle name="Comma 10 2 3 9" xfId="2206" xr:uid="{00000000-0005-0000-0000-000031900000}"/>
    <cellStyle name="Comma 10 2 4" xfId="807" xr:uid="{00000000-0005-0000-0000-000032900000}"/>
    <cellStyle name="Comma 10 2 4 2" xfId="4274" xr:uid="{00000000-0005-0000-0000-000033900000}"/>
    <cellStyle name="Comma 10 2 4 2 2" xfId="7505" xr:uid="{00000000-0005-0000-0000-000034900000}"/>
    <cellStyle name="Comma 10 2 4 2 2 2" xfId="13964" xr:uid="{00000000-0005-0000-0000-000035900000}"/>
    <cellStyle name="Comma 10 2 4 2 2 2 2" xfId="26881" xr:uid="{00000000-0005-0000-0000-000036900000}"/>
    <cellStyle name="Comma 10 2 4 2 2 2 2 2" xfId="52755" xr:uid="{00000000-0005-0000-0000-000037900000}"/>
    <cellStyle name="Comma 10 2 4 2 2 2 3" xfId="39839" xr:uid="{00000000-0005-0000-0000-000038900000}"/>
    <cellStyle name="Comma 10 2 4 2 2 3" xfId="20423" xr:uid="{00000000-0005-0000-0000-000039900000}"/>
    <cellStyle name="Comma 10 2 4 2 2 3 2" xfId="46297" xr:uid="{00000000-0005-0000-0000-00003A900000}"/>
    <cellStyle name="Comma 10 2 4 2 2 4" xfId="33381" xr:uid="{00000000-0005-0000-0000-00003B900000}"/>
    <cellStyle name="Comma 10 2 4 2 3" xfId="10736" xr:uid="{00000000-0005-0000-0000-00003C900000}"/>
    <cellStyle name="Comma 10 2 4 2 3 2" xfId="23653" xr:uid="{00000000-0005-0000-0000-00003D900000}"/>
    <cellStyle name="Comma 10 2 4 2 3 2 2" xfId="49527" xr:uid="{00000000-0005-0000-0000-00003E900000}"/>
    <cellStyle name="Comma 10 2 4 2 3 3" xfId="36611" xr:uid="{00000000-0005-0000-0000-00003F900000}"/>
    <cellStyle name="Comma 10 2 4 2 4" xfId="17195" xr:uid="{00000000-0005-0000-0000-000040900000}"/>
    <cellStyle name="Comma 10 2 4 2 4 2" xfId="43069" xr:uid="{00000000-0005-0000-0000-000041900000}"/>
    <cellStyle name="Comma 10 2 4 2 5" xfId="30121" xr:uid="{00000000-0005-0000-0000-000042900000}"/>
    <cellStyle name="Comma 10 2 4 3" xfId="5891" xr:uid="{00000000-0005-0000-0000-000043900000}"/>
    <cellStyle name="Comma 10 2 4 3 2" xfId="12350" xr:uid="{00000000-0005-0000-0000-000044900000}"/>
    <cellStyle name="Comma 10 2 4 3 2 2" xfId="25267" xr:uid="{00000000-0005-0000-0000-000045900000}"/>
    <cellStyle name="Comma 10 2 4 3 2 2 2" xfId="51141" xr:uid="{00000000-0005-0000-0000-000046900000}"/>
    <cellStyle name="Comma 10 2 4 3 2 3" xfId="38225" xr:uid="{00000000-0005-0000-0000-000047900000}"/>
    <cellStyle name="Comma 10 2 4 3 3" xfId="18809" xr:uid="{00000000-0005-0000-0000-000048900000}"/>
    <cellStyle name="Comma 10 2 4 3 3 2" xfId="44683" xr:uid="{00000000-0005-0000-0000-000049900000}"/>
    <cellStyle name="Comma 10 2 4 3 4" xfId="31767" xr:uid="{00000000-0005-0000-0000-00004A900000}"/>
    <cellStyle name="Comma 10 2 4 4" xfId="9122" xr:uid="{00000000-0005-0000-0000-00004B900000}"/>
    <cellStyle name="Comma 10 2 4 4 2" xfId="22039" xr:uid="{00000000-0005-0000-0000-00004C900000}"/>
    <cellStyle name="Comma 10 2 4 4 2 2" xfId="47913" xr:uid="{00000000-0005-0000-0000-00004D900000}"/>
    <cellStyle name="Comma 10 2 4 4 3" xfId="34997" xr:uid="{00000000-0005-0000-0000-00004E900000}"/>
    <cellStyle name="Comma 10 2 4 5" xfId="15581" xr:uid="{00000000-0005-0000-0000-00004F900000}"/>
    <cellStyle name="Comma 10 2 4 5 2" xfId="41455" xr:uid="{00000000-0005-0000-0000-000050900000}"/>
    <cellStyle name="Comma 10 2 4 6" xfId="28507" xr:uid="{00000000-0005-0000-0000-000051900000}"/>
    <cellStyle name="Comma 10 2 4 7" xfId="2617" xr:uid="{00000000-0005-0000-0000-000052900000}"/>
    <cellStyle name="Comma 10 2 5" xfId="3444" xr:uid="{00000000-0005-0000-0000-000053900000}"/>
    <cellStyle name="Comma 10 2 5 2" xfId="6698" xr:uid="{00000000-0005-0000-0000-000054900000}"/>
    <cellStyle name="Comma 10 2 5 2 2" xfId="13157" xr:uid="{00000000-0005-0000-0000-000055900000}"/>
    <cellStyle name="Comma 10 2 5 2 2 2" xfId="26074" xr:uid="{00000000-0005-0000-0000-000056900000}"/>
    <cellStyle name="Comma 10 2 5 2 2 2 2" xfId="51948" xr:uid="{00000000-0005-0000-0000-000057900000}"/>
    <cellStyle name="Comma 10 2 5 2 2 3" xfId="39032" xr:uid="{00000000-0005-0000-0000-000058900000}"/>
    <cellStyle name="Comma 10 2 5 2 3" xfId="19616" xr:uid="{00000000-0005-0000-0000-000059900000}"/>
    <cellStyle name="Comma 10 2 5 2 3 2" xfId="45490" xr:uid="{00000000-0005-0000-0000-00005A900000}"/>
    <cellStyle name="Comma 10 2 5 2 4" xfId="32574" xr:uid="{00000000-0005-0000-0000-00005B900000}"/>
    <cellStyle name="Comma 10 2 5 3" xfId="9929" xr:uid="{00000000-0005-0000-0000-00005C900000}"/>
    <cellStyle name="Comma 10 2 5 3 2" xfId="22846" xr:uid="{00000000-0005-0000-0000-00005D900000}"/>
    <cellStyle name="Comma 10 2 5 3 2 2" xfId="48720" xr:uid="{00000000-0005-0000-0000-00005E900000}"/>
    <cellStyle name="Comma 10 2 5 3 3" xfId="35804" xr:uid="{00000000-0005-0000-0000-00005F900000}"/>
    <cellStyle name="Comma 10 2 5 4" xfId="16388" xr:uid="{00000000-0005-0000-0000-000060900000}"/>
    <cellStyle name="Comma 10 2 5 4 2" xfId="42262" xr:uid="{00000000-0005-0000-0000-000061900000}"/>
    <cellStyle name="Comma 10 2 5 5" xfId="29314" xr:uid="{00000000-0005-0000-0000-000062900000}"/>
    <cellStyle name="Comma 10 2 6" xfId="5084" xr:uid="{00000000-0005-0000-0000-000063900000}"/>
    <cellStyle name="Comma 10 2 6 2" xfId="11543" xr:uid="{00000000-0005-0000-0000-000064900000}"/>
    <cellStyle name="Comma 10 2 6 2 2" xfId="24460" xr:uid="{00000000-0005-0000-0000-000065900000}"/>
    <cellStyle name="Comma 10 2 6 2 2 2" xfId="50334" xr:uid="{00000000-0005-0000-0000-000066900000}"/>
    <cellStyle name="Comma 10 2 6 2 3" xfId="37418" xr:uid="{00000000-0005-0000-0000-000067900000}"/>
    <cellStyle name="Comma 10 2 6 3" xfId="18002" xr:uid="{00000000-0005-0000-0000-000068900000}"/>
    <cellStyle name="Comma 10 2 6 3 2" xfId="43876" xr:uid="{00000000-0005-0000-0000-000069900000}"/>
    <cellStyle name="Comma 10 2 6 4" xfId="30960" xr:uid="{00000000-0005-0000-0000-00006A900000}"/>
    <cellStyle name="Comma 10 2 7" xfId="8314" xr:uid="{00000000-0005-0000-0000-00006B900000}"/>
    <cellStyle name="Comma 10 2 7 2" xfId="21231" xr:uid="{00000000-0005-0000-0000-00006C900000}"/>
    <cellStyle name="Comma 10 2 7 2 2" xfId="47105" xr:uid="{00000000-0005-0000-0000-00006D900000}"/>
    <cellStyle name="Comma 10 2 7 3" xfId="34189" xr:uid="{00000000-0005-0000-0000-00006E900000}"/>
    <cellStyle name="Comma 10 2 8" xfId="14773" xr:uid="{00000000-0005-0000-0000-00006F900000}"/>
    <cellStyle name="Comma 10 2 8 2" xfId="40647" xr:uid="{00000000-0005-0000-0000-000070900000}"/>
    <cellStyle name="Comma 10 2 9" xfId="27697" xr:uid="{00000000-0005-0000-0000-000071900000}"/>
    <cellStyle name="Comma 10 3" xfId="337" xr:uid="{00000000-0005-0000-0000-000072900000}"/>
    <cellStyle name="Comma 10 3 10" xfId="53528" xr:uid="{00000000-0005-0000-0000-000073900000}"/>
    <cellStyle name="Comma 10 3 11" xfId="1611" xr:uid="{00000000-0005-0000-0000-000074900000}"/>
    <cellStyle name="Comma 10 3 2" xfId="469" xr:uid="{00000000-0005-0000-0000-000075900000}"/>
    <cellStyle name="Comma 10 3 2 10" xfId="1937" xr:uid="{00000000-0005-0000-0000-000076900000}"/>
    <cellStyle name="Comma 10 3 2 2" xfId="813" xr:uid="{00000000-0005-0000-0000-000077900000}"/>
    <cellStyle name="Comma 10 3 2 2 2" xfId="3181" xr:uid="{00000000-0005-0000-0000-000078900000}"/>
    <cellStyle name="Comma 10 3 2 2 2 2" xfId="4838" xr:uid="{00000000-0005-0000-0000-000079900000}"/>
    <cellStyle name="Comma 10 3 2 2 2 2 2" xfId="8069" xr:uid="{00000000-0005-0000-0000-00007A900000}"/>
    <cellStyle name="Comma 10 3 2 2 2 2 2 2" xfId="14528" xr:uid="{00000000-0005-0000-0000-00007B900000}"/>
    <cellStyle name="Comma 10 3 2 2 2 2 2 2 2" xfId="27445" xr:uid="{00000000-0005-0000-0000-00007C900000}"/>
    <cellStyle name="Comma 10 3 2 2 2 2 2 2 2 2" xfId="53319" xr:uid="{00000000-0005-0000-0000-00007D900000}"/>
    <cellStyle name="Comma 10 3 2 2 2 2 2 2 3" xfId="40403" xr:uid="{00000000-0005-0000-0000-00007E900000}"/>
    <cellStyle name="Comma 10 3 2 2 2 2 2 3" xfId="20987" xr:uid="{00000000-0005-0000-0000-00007F900000}"/>
    <cellStyle name="Comma 10 3 2 2 2 2 2 3 2" xfId="46861" xr:uid="{00000000-0005-0000-0000-000080900000}"/>
    <cellStyle name="Comma 10 3 2 2 2 2 2 4" xfId="33945" xr:uid="{00000000-0005-0000-0000-000081900000}"/>
    <cellStyle name="Comma 10 3 2 2 2 2 3" xfId="11300" xr:uid="{00000000-0005-0000-0000-000082900000}"/>
    <cellStyle name="Comma 10 3 2 2 2 2 3 2" xfId="24217" xr:uid="{00000000-0005-0000-0000-000083900000}"/>
    <cellStyle name="Comma 10 3 2 2 2 2 3 2 2" xfId="50091" xr:uid="{00000000-0005-0000-0000-000084900000}"/>
    <cellStyle name="Comma 10 3 2 2 2 2 3 3" xfId="37175" xr:uid="{00000000-0005-0000-0000-000085900000}"/>
    <cellStyle name="Comma 10 3 2 2 2 2 4" xfId="17759" xr:uid="{00000000-0005-0000-0000-000086900000}"/>
    <cellStyle name="Comma 10 3 2 2 2 2 4 2" xfId="43633" xr:uid="{00000000-0005-0000-0000-000087900000}"/>
    <cellStyle name="Comma 10 3 2 2 2 2 5" xfId="30685" xr:uid="{00000000-0005-0000-0000-000088900000}"/>
    <cellStyle name="Comma 10 3 2 2 2 3" xfId="6455" xr:uid="{00000000-0005-0000-0000-000089900000}"/>
    <cellStyle name="Comma 10 3 2 2 2 3 2" xfId="12914" xr:uid="{00000000-0005-0000-0000-00008A900000}"/>
    <cellStyle name="Comma 10 3 2 2 2 3 2 2" xfId="25831" xr:uid="{00000000-0005-0000-0000-00008B900000}"/>
    <cellStyle name="Comma 10 3 2 2 2 3 2 2 2" xfId="51705" xr:uid="{00000000-0005-0000-0000-00008C900000}"/>
    <cellStyle name="Comma 10 3 2 2 2 3 2 3" xfId="38789" xr:uid="{00000000-0005-0000-0000-00008D900000}"/>
    <cellStyle name="Comma 10 3 2 2 2 3 3" xfId="19373" xr:uid="{00000000-0005-0000-0000-00008E900000}"/>
    <cellStyle name="Comma 10 3 2 2 2 3 3 2" xfId="45247" xr:uid="{00000000-0005-0000-0000-00008F900000}"/>
    <cellStyle name="Comma 10 3 2 2 2 3 4" xfId="32331" xr:uid="{00000000-0005-0000-0000-000090900000}"/>
    <cellStyle name="Comma 10 3 2 2 2 4" xfId="9686" xr:uid="{00000000-0005-0000-0000-000091900000}"/>
    <cellStyle name="Comma 10 3 2 2 2 4 2" xfId="22603" xr:uid="{00000000-0005-0000-0000-000092900000}"/>
    <cellStyle name="Comma 10 3 2 2 2 4 2 2" xfId="48477" xr:uid="{00000000-0005-0000-0000-000093900000}"/>
    <cellStyle name="Comma 10 3 2 2 2 4 3" xfId="35561" xr:uid="{00000000-0005-0000-0000-000094900000}"/>
    <cellStyle name="Comma 10 3 2 2 2 5" xfId="16145" xr:uid="{00000000-0005-0000-0000-000095900000}"/>
    <cellStyle name="Comma 10 3 2 2 2 5 2" xfId="42019" xr:uid="{00000000-0005-0000-0000-000096900000}"/>
    <cellStyle name="Comma 10 3 2 2 2 6" xfId="29071" xr:uid="{00000000-0005-0000-0000-000097900000}"/>
    <cellStyle name="Comma 10 3 2 2 3" xfId="4008" xr:uid="{00000000-0005-0000-0000-000098900000}"/>
    <cellStyle name="Comma 10 3 2 2 3 2" xfId="7262" xr:uid="{00000000-0005-0000-0000-000099900000}"/>
    <cellStyle name="Comma 10 3 2 2 3 2 2" xfId="13721" xr:uid="{00000000-0005-0000-0000-00009A900000}"/>
    <cellStyle name="Comma 10 3 2 2 3 2 2 2" xfId="26638" xr:uid="{00000000-0005-0000-0000-00009B900000}"/>
    <cellStyle name="Comma 10 3 2 2 3 2 2 2 2" xfId="52512" xr:uid="{00000000-0005-0000-0000-00009C900000}"/>
    <cellStyle name="Comma 10 3 2 2 3 2 2 3" xfId="39596" xr:uid="{00000000-0005-0000-0000-00009D900000}"/>
    <cellStyle name="Comma 10 3 2 2 3 2 3" xfId="20180" xr:uid="{00000000-0005-0000-0000-00009E900000}"/>
    <cellStyle name="Comma 10 3 2 2 3 2 3 2" xfId="46054" xr:uid="{00000000-0005-0000-0000-00009F900000}"/>
    <cellStyle name="Comma 10 3 2 2 3 2 4" xfId="33138" xr:uid="{00000000-0005-0000-0000-0000A0900000}"/>
    <cellStyle name="Comma 10 3 2 2 3 3" xfId="10493" xr:uid="{00000000-0005-0000-0000-0000A1900000}"/>
    <cellStyle name="Comma 10 3 2 2 3 3 2" xfId="23410" xr:uid="{00000000-0005-0000-0000-0000A2900000}"/>
    <cellStyle name="Comma 10 3 2 2 3 3 2 2" xfId="49284" xr:uid="{00000000-0005-0000-0000-0000A3900000}"/>
    <cellStyle name="Comma 10 3 2 2 3 3 3" xfId="36368" xr:uid="{00000000-0005-0000-0000-0000A4900000}"/>
    <cellStyle name="Comma 10 3 2 2 3 4" xfId="16952" xr:uid="{00000000-0005-0000-0000-0000A5900000}"/>
    <cellStyle name="Comma 10 3 2 2 3 4 2" xfId="42826" xr:uid="{00000000-0005-0000-0000-0000A6900000}"/>
    <cellStyle name="Comma 10 3 2 2 3 5" xfId="29878" xr:uid="{00000000-0005-0000-0000-0000A7900000}"/>
    <cellStyle name="Comma 10 3 2 2 4" xfId="5648" xr:uid="{00000000-0005-0000-0000-0000A8900000}"/>
    <cellStyle name="Comma 10 3 2 2 4 2" xfId="12107" xr:uid="{00000000-0005-0000-0000-0000A9900000}"/>
    <cellStyle name="Comma 10 3 2 2 4 2 2" xfId="25024" xr:uid="{00000000-0005-0000-0000-0000AA900000}"/>
    <cellStyle name="Comma 10 3 2 2 4 2 2 2" xfId="50898" xr:uid="{00000000-0005-0000-0000-0000AB900000}"/>
    <cellStyle name="Comma 10 3 2 2 4 2 3" xfId="37982" xr:uid="{00000000-0005-0000-0000-0000AC900000}"/>
    <cellStyle name="Comma 10 3 2 2 4 3" xfId="18566" xr:uid="{00000000-0005-0000-0000-0000AD900000}"/>
    <cellStyle name="Comma 10 3 2 2 4 3 2" xfId="44440" xr:uid="{00000000-0005-0000-0000-0000AE900000}"/>
    <cellStyle name="Comma 10 3 2 2 4 4" xfId="31524" xr:uid="{00000000-0005-0000-0000-0000AF900000}"/>
    <cellStyle name="Comma 10 3 2 2 5" xfId="8879" xr:uid="{00000000-0005-0000-0000-0000B0900000}"/>
    <cellStyle name="Comma 10 3 2 2 5 2" xfId="21796" xr:uid="{00000000-0005-0000-0000-0000B1900000}"/>
    <cellStyle name="Comma 10 3 2 2 5 2 2" xfId="47670" xr:uid="{00000000-0005-0000-0000-0000B2900000}"/>
    <cellStyle name="Comma 10 3 2 2 5 3" xfId="34754" xr:uid="{00000000-0005-0000-0000-0000B3900000}"/>
    <cellStyle name="Comma 10 3 2 2 6" xfId="15338" xr:uid="{00000000-0005-0000-0000-0000B4900000}"/>
    <cellStyle name="Comma 10 3 2 2 6 2" xfId="41212" xr:uid="{00000000-0005-0000-0000-0000B5900000}"/>
    <cellStyle name="Comma 10 3 2 2 7" xfId="28264" xr:uid="{00000000-0005-0000-0000-0000B6900000}"/>
    <cellStyle name="Comma 10 3 2 2 8" xfId="54126" xr:uid="{00000000-0005-0000-0000-0000B7900000}"/>
    <cellStyle name="Comma 10 3 2 2 9" xfId="2368" xr:uid="{00000000-0005-0000-0000-0000B8900000}"/>
    <cellStyle name="Comma 10 3 2 3" xfId="812" xr:uid="{00000000-0005-0000-0000-0000B9900000}"/>
    <cellStyle name="Comma 10 3 2 3 2" xfId="4434" xr:uid="{00000000-0005-0000-0000-0000BA900000}"/>
    <cellStyle name="Comma 10 3 2 3 2 2" xfId="7665" xr:uid="{00000000-0005-0000-0000-0000BB900000}"/>
    <cellStyle name="Comma 10 3 2 3 2 2 2" xfId="14124" xr:uid="{00000000-0005-0000-0000-0000BC900000}"/>
    <cellStyle name="Comma 10 3 2 3 2 2 2 2" xfId="27041" xr:uid="{00000000-0005-0000-0000-0000BD900000}"/>
    <cellStyle name="Comma 10 3 2 3 2 2 2 2 2" xfId="52915" xr:uid="{00000000-0005-0000-0000-0000BE900000}"/>
    <cellStyle name="Comma 10 3 2 3 2 2 2 3" xfId="39999" xr:uid="{00000000-0005-0000-0000-0000BF900000}"/>
    <cellStyle name="Comma 10 3 2 3 2 2 3" xfId="20583" xr:uid="{00000000-0005-0000-0000-0000C0900000}"/>
    <cellStyle name="Comma 10 3 2 3 2 2 3 2" xfId="46457" xr:uid="{00000000-0005-0000-0000-0000C1900000}"/>
    <cellStyle name="Comma 10 3 2 3 2 2 4" xfId="33541" xr:uid="{00000000-0005-0000-0000-0000C2900000}"/>
    <cellStyle name="Comma 10 3 2 3 2 3" xfId="10896" xr:uid="{00000000-0005-0000-0000-0000C3900000}"/>
    <cellStyle name="Comma 10 3 2 3 2 3 2" xfId="23813" xr:uid="{00000000-0005-0000-0000-0000C4900000}"/>
    <cellStyle name="Comma 10 3 2 3 2 3 2 2" xfId="49687" xr:uid="{00000000-0005-0000-0000-0000C5900000}"/>
    <cellStyle name="Comma 10 3 2 3 2 3 3" xfId="36771" xr:uid="{00000000-0005-0000-0000-0000C6900000}"/>
    <cellStyle name="Comma 10 3 2 3 2 4" xfId="17355" xr:uid="{00000000-0005-0000-0000-0000C7900000}"/>
    <cellStyle name="Comma 10 3 2 3 2 4 2" xfId="43229" xr:uid="{00000000-0005-0000-0000-0000C8900000}"/>
    <cellStyle name="Comma 10 3 2 3 2 5" xfId="30281" xr:uid="{00000000-0005-0000-0000-0000C9900000}"/>
    <cellStyle name="Comma 10 3 2 3 3" xfId="6051" xr:uid="{00000000-0005-0000-0000-0000CA900000}"/>
    <cellStyle name="Comma 10 3 2 3 3 2" xfId="12510" xr:uid="{00000000-0005-0000-0000-0000CB900000}"/>
    <cellStyle name="Comma 10 3 2 3 3 2 2" xfId="25427" xr:uid="{00000000-0005-0000-0000-0000CC900000}"/>
    <cellStyle name="Comma 10 3 2 3 3 2 2 2" xfId="51301" xr:uid="{00000000-0005-0000-0000-0000CD900000}"/>
    <cellStyle name="Comma 10 3 2 3 3 2 3" xfId="38385" xr:uid="{00000000-0005-0000-0000-0000CE900000}"/>
    <cellStyle name="Comma 10 3 2 3 3 3" xfId="18969" xr:uid="{00000000-0005-0000-0000-0000CF900000}"/>
    <cellStyle name="Comma 10 3 2 3 3 3 2" xfId="44843" xr:uid="{00000000-0005-0000-0000-0000D0900000}"/>
    <cellStyle name="Comma 10 3 2 3 3 4" xfId="31927" xr:uid="{00000000-0005-0000-0000-0000D1900000}"/>
    <cellStyle name="Comma 10 3 2 3 4" xfId="9282" xr:uid="{00000000-0005-0000-0000-0000D2900000}"/>
    <cellStyle name="Comma 10 3 2 3 4 2" xfId="22199" xr:uid="{00000000-0005-0000-0000-0000D3900000}"/>
    <cellStyle name="Comma 10 3 2 3 4 2 2" xfId="48073" xr:uid="{00000000-0005-0000-0000-0000D4900000}"/>
    <cellStyle name="Comma 10 3 2 3 4 3" xfId="35157" xr:uid="{00000000-0005-0000-0000-0000D5900000}"/>
    <cellStyle name="Comma 10 3 2 3 5" xfId="15741" xr:uid="{00000000-0005-0000-0000-0000D6900000}"/>
    <cellStyle name="Comma 10 3 2 3 5 2" xfId="41615" xr:uid="{00000000-0005-0000-0000-0000D7900000}"/>
    <cellStyle name="Comma 10 3 2 3 6" xfId="28667" xr:uid="{00000000-0005-0000-0000-0000D8900000}"/>
    <cellStyle name="Comma 10 3 2 3 7" xfId="2777" xr:uid="{00000000-0005-0000-0000-0000D9900000}"/>
    <cellStyle name="Comma 10 3 2 4" xfId="3604" xr:uid="{00000000-0005-0000-0000-0000DA900000}"/>
    <cellStyle name="Comma 10 3 2 4 2" xfId="6858" xr:uid="{00000000-0005-0000-0000-0000DB900000}"/>
    <cellStyle name="Comma 10 3 2 4 2 2" xfId="13317" xr:uid="{00000000-0005-0000-0000-0000DC900000}"/>
    <cellStyle name="Comma 10 3 2 4 2 2 2" xfId="26234" xr:uid="{00000000-0005-0000-0000-0000DD900000}"/>
    <cellStyle name="Comma 10 3 2 4 2 2 2 2" xfId="52108" xr:uid="{00000000-0005-0000-0000-0000DE900000}"/>
    <cellStyle name="Comma 10 3 2 4 2 2 3" xfId="39192" xr:uid="{00000000-0005-0000-0000-0000DF900000}"/>
    <cellStyle name="Comma 10 3 2 4 2 3" xfId="19776" xr:uid="{00000000-0005-0000-0000-0000E0900000}"/>
    <cellStyle name="Comma 10 3 2 4 2 3 2" xfId="45650" xr:uid="{00000000-0005-0000-0000-0000E1900000}"/>
    <cellStyle name="Comma 10 3 2 4 2 4" xfId="32734" xr:uid="{00000000-0005-0000-0000-0000E2900000}"/>
    <cellStyle name="Comma 10 3 2 4 3" xfId="10089" xr:uid="{00000000-0005-0000-0000-0000E3900000}"/>
    <cellStyle name="Comma 10 3 2 4 3 2" xfId="23006" xr:uid="{00000000-0005-0000-0000-0000E4900000}"/>
    <cellStyle name="Comma 10 3 2 4 3 2 2" xfId="48880" xr:uid="{00000000-0005-0000-0000-0000E5900000}"/>
    <cellStyle name="Comma 10 3 2 4 3 3" xfId="35964" xr:uid="{00000000-0005-0000-0000-0000E6900000}"/>
    <cellStyle name="Comma 10 3 2 4 4" xfId="16548" xr:uid="{00000000-0005-0000-0000-0000E7900000}"/>
    <cellStyle name="Comma 10 3 2 4 4 2" xfId="42422" xr:uid="{00000000-0005-0000-0000-0000E8900000}"/>
    <cellStyle name="Comma 10 3 2 4 5" xfId="29474" xr:uid="{00000000-0005-0000-0000-0000E9900000}"/>
    <cellStyle name="Comma 10 3 2 5" xfId="5244" xr:uid="{00000000-0005-0000-0000-0000EA900000}"/>
    <cellStyle name="Comma 10 3 2 5 2" xfId="11703" xr:uid="{00000000-0005-0000-0000-0000EB900000}"/>
    <cellStyle name="Comma 10 3 2 5 2 2" xfId="24620" xr:uid="{00000000-0005-0000-0000-0000EC900000}"/>
    <cellStyle name="Comma 10 3 2 5 2 2 2" xfId="50494" xr:uid="{00000000-0005-0000-0000-0000ED900000}"/>
    <cellStyle name="Comma 10 3 2 5 2 3" xfId="37578" xr:uid="{00000000-0005-0000-0000-0000EE900000}"/>
    <cellStyle name="Comma 10 3 2 5 3" xfId="18162" xr:uid="{00000000-0005-0000-0000-0000EF900000}"/>
    <cellStyle name="Comma 10 3 2 5 3 2" xfId="44036" xr:uid="{00000000-0005-0000-0000-0000F0900000}"/>
    <cellStyle name="Comma 10 3 2 5 4" xfId="31120" xr:uid="{00000000-0005-0000-0000-0000F1900000}"/>
    <cellStyle name="Comma 10 3 2 6" xfId="8475" xr:uid="{00000000-0005-0000-0000-0000F2900000}"/>
    <cellStyle name="Comma 10 3 2 6 2" xfId="21392" xr:uid="{00000000-0005-0000-0000-0000F3900000}"/>
    <cellStyle name="Comma 10 3 2 6 2 2" xfId="47266" xr:uid="{00000000-0005-0000-0000-0000F4900000}"/>
    <cellStyle name="Comma 10 3 2 6 3" xfId="34350" xr:uid="{00000000-0005-0000-0000-0000F5900000}"/>
    <cellStyle name="Comma 10 3 2 7" xfId="14934" xr:uid="{00000000-0005-0000-0000-0000F6900000}"/>
    <cellStyle name="Comma 10 3 2 7 2" xfId="40808" xr:uid="{00000000-0005-0000-0000-0000F7900000}"/>
    <cellStyle name="Comma 10 3 2 8" xfId="27859" xr:uid="{00000000-0005-0000-0000-0000F8900000}"/>
    <cellStyle name="Comma 10 3 2 9" xfId="53722" xr:uid="{00000000-0005-0000-0000-0000F9900000}"/>
    <cellStyle name="Comma 10 3 3" xfId="814" xr:uid="{00000000-0005-0000-0000-0000FA900000}"/>
    <cellStyle name="Comma 10 3 3 2" xfId="2986" xr:uid="{00000000-0005-0000-0000-0000FB900000}"/>
    <cellStyle name="Comma 10 3 3 2 2" xfId="4643" xr:uid="{00000000-0005-0000-0000-0000FC900000}"/>
    <cellStyle name="Comma 10 3 3 2 2 2" xfId="7874" xr:uid="{00000000-0005-0000-0000-0000FD900000}"/>
    <cellStyle name="Comma 10 3 3 2 2 2 2" xfId="14333" xr:uid="{00000000-0005-0000-0000-0000FE900000}"/>
    <cellStyle name="Comma 10 3 3 2 2 2 2 2" xfId="27250" xr:uid="{00000000-0005-0000-0000-0000FF900000}"/>
    <cellStyle name="Comma 10 3 3 2 2 2 2 2 2" xfId="53124" xr:uid="{00000000-0005-0000-0000-000000910000}"/>
    <cellStyle name="Comma 10 3 3 2 2 2 2 3" xfId="40208" xr:uid="{00000000-0005-0000-0000-000001910000}"/>
    <cellStyle name="Comma 10 3 3 2 2 2 3" xfId="20792" xr:uid="{00000000-0005-0000-0000-000002910000}"/>
    <cellStyle name="Comma 10 3 3 2 2 2 3 2" xfId="46666" xr:uid="{00000000-0005-0000-0000-000003910000}"/>
    <cellStyle name="Comma 10 3 3 2 2 2 4" xfId="33750" xr:uid="{00000000-0005-0000-0000-000004910000}"/>
    <cellStyle name="Comma 10 3 3 2 2 3" xfId="11105" xr:uid="{00000000-0005-0000-0000-000005910000}"/>
    <cellStyle name="Comma 10 3 3 2 2 3 2" xfId="24022" xr:uid="{00000000-0005-0000-0000-000006910000}"/>
    <cellStyle name="Comma 10 3 3 2 2 3 2 2" xfId="49896" xr:uid="{00000000-0005-0000-0000-000007910000}"/>
    <cellStyle name="Comma 10 3 3 2 2 3 3" xfId="36980" xr:uid="{00000000-0005-0000-0000-000008910000}"/>
    <cellStyle name="Comma 10 3 3 2 2 4" xfId="17564" xr:uid="{00000000-0005-0000-0000-000009910000}"/>
    <cellStyle name="Comma 10 3 3 2 2 4 2" xfId="43438" xr:uid="{00000000-0005-0000-0000-00000A910000}"/>
    <cellStyle name="Comma 10 3 3 2 2 5" xfId="30490" xr:uid="{00000000-0005-0000-0000-00000B910000}"/>
    <cellStyle name="Comma 10 3 3 2 3" xfId="6260" xr:uid="{00000000-0005-0000-0000-00000C910000}"/>
    <cellStyle name="Comma 10 3 3 2 3 2" xfId="12719" xr:uid="{00000000-0005-0000-0000-00000D910000}"/>
    <cellStyle name="Comma 10 3 3 2 3 2 2" xfId="25636" xr:uid="{00000000-0005-0000-0000-00000E910000}"/>
    <cellStyle name="Comma 10 3 3 2 3 2 2 2" xfId="51510" xr:uid="{00000000-0005-0000-0000-00000F910000}"/>
    <cellStyle name="Comma 10 3 3 2 3 2 3" xfId="38594" xr:uid="{00000000-0005-0000-0000-000010910000}"/>
    <cellStyle name="Comma 10 3 3 2 3 3" xfId="19178" xr:uid="{00000000-0005-0000-0000-000011910000}"/>
    <cellStyle name="Comma 10 3 3 2 3 3 2" xfId="45052" xr:uid="{00000000-0005-0000-0000-000012910000}"/>
    <cellStyle name="Comma 10 3 3 2 3 4" xfId="32136" xr:uid="{00000000-0005-0000-0000-000013910000}"/>
    <cellStyle name="Comma 10 3 3 2 4" xfId="9491" xr:uid="{00000000-0005-0000-0000-000014910000}"/>
    <cellStyle name="Comma 10 3 3 2 4 2" xfId="22408" xr:uid="{00000000-0005-0000-0000-000015910000}"/>
    <cellStyle name="Comma 10 3 3 2 4 2 2" xfId="48282" xr:uid="{00000000-0005-0000-0000-000016910000}"/>
    <cellStyle name="Comma 10 3 3 2 4 3" xfId="35366" xr:uid="{00000000-0005-0000-0000-000017910000}"/>
    <cellStyle name="Comma 10 3 3 2 5" xfId="15950" xr:uid="{00000000-0005-0000-0000-000018910000}"/>
    <cellStyle name="Comma 10 3 3 2 5 2" xfId="41824" xr:uid="{00000000-0005-0000-0000-000019910000}"/>
    <cellStyle name="Comma 10 3 3 2 6" xfId="28876" xr:uid="{00000000-0005-0000-0000-00001A910000}"/>
    <cellStyle name="Comma 10 3 3 3" xfId="3813" xr:uid="{00000000-0005-0000-0000-00001B910000}"/>
    <cellStyle name="Comma 10 3 3 3 2" xfId="7067" xr:uid="{00000000-0005-0000-0000-00001C910000}"/>
    <cellStyle name="Comma 10 3 3 3 2 2" xfId="13526" xr:uid="{00000000-0005-0000-0000-00001D910000}"/>
    <cellStyle name="Comma 10 3 3 3 2 2 2" xfId="26443" xr:uid="{00000000-0005-0000-0000-00001E910000}"/>
    <cellStyle name="Comma 10 3 3 3 2 2 2 2" xfId="52317" xr:uid="{00000000-0005-0000-0000-00001F910000}"/>
    <cellStyle name="Comma 10 3 3 3 2 2 3" xfId="39401" xr:uid="{00000000-0005-0000-0000-000020910000}"/>
    <cellStyle name="Comma 10 3 3 3 2 3" xfId="19985" xr:uid="{00000000-0005-0000-0000-000021910000}"/>
    <cellStyle name="Comma 10 3 3 3 2 3 2" xfId="45859" xr:uid="{00000000-0005-0000-0000-000022910000}"/>
    <cellStyle name="Comma 10 3 3 3 2 4" xfId="32943" xr:uid="{00000000-0005-0000-0000-000023910000}"/>
    <cellStyle name="Comma 10 3 3 3 3" xfId="10298" xr:uid="{00000000-0005-0000-0000-000024910000}"/>
    <cellStyle name="Comma 10 3 3 3 3 2" xfId="23215" xr:uid="{00000000-0005-0000-0000-000025910000}"/>
    <cellStyle name="Comma 10 3 3 3 3 2 2" xfId="49089" xr:uid="{00000000-0005-0000-0000-000026910000}"/>
    <cellStyle name="Comma 10 3 3 3 3 3" xfId="36173" xr:uid="{00000000-0005-0000-0000-000027910000}"/>
    <cellStyle name="Comma 10 3 3 3 4" xfId="16757" xr:uid="{00000000-0005-0000-0000-000028910000}"/>
    <cellStyle name="Comma 10 3 3 3 4 2" xfId="42631" xr:uid="{00000000-0005-0000-0000-000029910000}"/>
    <cellStyle name="Comma 10 3 3 3 5" xfId="29683" xr:uid="{00000000-0005-0000-0000-00002A910000}"/>
    <cellStyle name="Comma 10 3 3 4" xfId="5453" xr:uid="{00000000-0005-0000-0000-00002B910000}"/>
    <cellStyle name="Comma 10 3 3 4 2" xfId="11912" xr:uid="{00000000-0005-0000-0000-00002C910000}"/>
    <cellStyle name="Comma 10 3 3 4 2 2" xfId="24829" xr:uid="{00000000-0005-0000-0000-00002D910000}"/>
    <cellStyle name="Comma 10 3 3 4 2 2 2" xfId="50703" xr:uid="{00000000-0005-0000-0000-00002E910000}"/>
    <cellStyle name="Comma 10 3 3 4 2 3" xfId="37787" xr:uid="{00000000-0005-0000-0000-00002F910000}"/>
    <cellStyle name="Comma 10 3 3 4 3" xfId="18371" xr:uid="{00000000-0005-0000-0000-000030910000}"/>
    <cellStyle name="Comma 10 3 3 4 3 2" xfId="44245" xr:uid="{00000000-0005-0000-0000-000031910000}"/>
    <cellStyle name="Comma 10 3 3 4 4" xfId="31329" xr:uid="{00000000-0005-0000-0000-000032910000}"/>
    <cellStyle name="Comma 10 3 3 5" xfId="8684" xr:uid="{00000000-0005-0000-0000-000033910000}"/>
    <cellStyle name="Comma 10 3 3 5 2" xfId="21601" xr:uid="{00000000-0005-0000-0000-000034910000}"/>
    <cellStyle name="Comma 10 3 3 5 2 2" xfId="47475" xr:uid="{00000000-0005-0000-0000-000035910000}"/>
    <cellStyle name="Comma 10 3 3 5 3" xfId="34559" xr:uid="{00000000-0005-0000-0000-000036910000}"/>
    <cellStyle name="Comma 10 3 3 6" xfId="15143" xr:uid="{00000000-0005-0000-0000-000037910000}"/>
    <cellStyle name="Comma 10 3 3 6 2" xfId="41017" xr:uid="{00000000-0005-0000-0000-000038910000}"/>
    <cellStyle name="Comma 10 3 3 7" xfId="28069" xr:uid="{00000000-0005-0000-0000-000039910000}"/>
    <cellStyle name="Comma 10 3 3 8" xfId="53931" xr:uid="{00000000-0005-0000-0000-00003A910000}"/>
    <cellStyle name="Comma 10 3 3 9" xfId="2172" xr:uid="{00000000-0005-0000-0000-00003B910000}"/>
    <cellStyle name="Comma 10 3 4" xfId="811" xr:uid="{00000000-0005-0000-0000-00003C910000}"/>
    <cellStyle name="Comma 10 3 4 2" xfId="4240" xr:uid="{00000000-0005-0000-0000-00003D910000}"/>
    <cellStyle name="Comma 10 3 4 2 2" xfId="7471" xr:uid="{00000000-0005-0000-0000-00003E910000}"/>
    <cellStyle name="Comma 10 3 4 2 2 2" xfId="13930" xr:uid="{00000000-0005-0000-0000-00003F910000}"/>
    <cellStyle name="Comma 10 3 4 2 2 2 2" xfId="26847" xr:uid="{00000000-0005-0000-0000-000040910000}"/>
    <cellStyle name="Comma 10 3 4 2 2 2 2 2" xfId="52721" xr:uid="{00000000-0005-0000-0000-000041910000}"/>
    <cellStyle name="Comma 10 3 4 2 2 2 3" xfId="39805" xr:uid="{00000000-0005-0000-0000-000042910000}"/>
    <cellStyle name="Comma 10 3 4 2 2 3" xfId="20389" xr:uid="{00000000-0005-0000-0000-000043910000}"/>
    <cellStyle name="Comma 10 3 4 2 2 3 2" xfId="46263" xr:uid="{00000000-0005-0000-0000-000044910000}"/>
    <cellStyle name="Comma 10 3 4 2 2 4" xfId="33347" xr:uid="{00000000-0005-0000-0000-000045910000}"/>
    <cellStyle name="Comma 10 3 4 2 3" xfId="10702" xr:uid="{00000000-0005-0000-0000-000046910000}"/>
    <cellStyle name="Comma 10 3 4 2 3 2" xfId="23619" xr:uid="{00000000-0005-0000-0000-000047910000}"/>
    <cellStyle name="Comma 10 3 4 2 3 2 2" xfId="49493" xr:uid="{00000000-0005-0000-0000-000048910000}"/>
    <cellStyle name="Comma 10 3 4 2 3 3" xfId="36577" xr:uid="{00000000-0005-0000-0000-000049910000}"/>
    <cellStyle name="Comma 10 3 4 2 4" xfId="17161" xr:uid="{00000000-0005-0000-0000-00004A910000}"/>
    <cellStyle name="Comma 10 3 4 2 4 2" xfId="43035" xr:uid="{00000000-0005-0000-0000-00004B910000}"/>
    <cellStyle name="Comma 10 3 4 2 5" xfId="30087" xr:uid="{00000000-0005-0000-0000-00004C910000}"/>
    <cellStyle name="Comma 10 3 4 3" xfId="5857" xr:uid="{00000000-0005-0000-0000-00004D910000}"/>
    <cellStyle name="Comma 10 3 4 3 2" xfId="12316" xr:uid="{00000000-0005-0000-0000-00004E910000}"/>
    <cellStyle name="Comma 10 3 4 3 2 2" xfId="25233" xr:uid="{00000000-0005-0000-0000-00004F910000}"/>
    <cellStyle name="Comma 10 3 4 3 2 2 2" xfId="51107" xr:uid="{00000000-0005-0000-0000-000050910000}"/>
    <cellStyle name="Comma 10 3 4 3 2 3" xfId="38191" xr:uid="{00000000-0005-0000-0000-000051910000}"/>
    <cellStyle name="Comma 10 3 4 3 3" xfId="18775" xr:uid="{00000000-0005-0000-0000-000052910000}"/>
    <cellStyle name="Comma 10 3 4 3 3 2" xfId="44649" xr:uid="{00000000-0005-0000-0000-000053910000}"/>
    <cellStyle name="Comma 10 3 4 3 4" xfId="31733" xr:uid="{00000000-0005-0000-0000-000054910000}"/>
    <cellStyle name="Comma 10 3 4 4" xfId="9088" xr:uid="{00000000-0005-0000-0000-000055910000}"/>
    <cellStyle name="Comma 10 3 4 4 2" xfId="22005" xr:uid="{00000000-0005-0000-0000-000056910000}"/>
    <cellStyle name="Comma 10 3 4 4 2 2" xfId="47879" xr:uid="{00000000-0005-0000-0000-000057910000}"/>
    <cellStyle name="Comma 10 3 4 4 3" xfId="34963" xr:uid="{00000000-0005-0000-0000-000058910000}"/>
    <cellStyle name="Comma 10 3 4 5" xfId="15547" xr:uid="{00000000-0005-0000-0000-000059910000}"/>
    <cellStyle name="Comma 10 3 4 5 2" xfId="41421" xr:uid="{00000000-0005-0000-0000-00005A910000}"/>
    <cellStyle name="Comma 10 3 4 6" xfId="28473" xr:uid="{00000000-0005-0000-0000-00005B910000}"/>
    <cellStyle name="Comma 10 3 4 7" xfId="2583" xr:uid="{00000000-0005-0000-0000-00005C910000}"/>
    <cellStyle name="Comma 10 3 5" xfId="3409" xr:uid="{00000000-0005-0000-0000-00005D910000}"/>
    <cellStyle name="Comma 10 3 5 2" xfId="6664" xr:uid="{00000000-0005-0000-0000-00005E910000}"/>
    <cellStyle name="Comma 10 3 5 2 2" xfId="13123" xr:uid="{00000000-0005-0000-0000-00005F910000}"/>
    <cellStyle name="Comma 10 3 5 2 2 2" xfId="26040" xr:uid="{00000000-0005-0000-0000-000060910000}"/>
    <cellStyle name="Comma 10 3 5 2 2 2 2" xfId="51914" xr:uid="{00000000-0005-0000-0000-000061910000}"/>
    <cellStyle name="Comma 10 3 5 2 2 3" xfId="38998" xr:uid="{00000000-0005-0000-0000-000062910000}"/>
    <cellStyle name="Comma 10 3 5 2 3" xfId="19582" xr:uid="{00000000-0005-0000-0000-000063910000}"/>
    <cellStyle name="Comma 10 3 5 2 3 2" xfId="45456" xr:uid="{00000000-0005-0000-0000-000064910000}"/>
    <cellStyle name="Comma 10 3 5 2 4" xfId="32540" xr:uid="{00000000-0005-0000-0000-000065910000}"/>
    <cellStyle name="Comma 10 3 5 3" xfId="9895" xr:uid="{00000000-0005-0000-0000-000066910000}"/>
    <cellStyle name="Comma 10 3 5 3 2" xfId="22812" xr:uid="{00000000-0005-0000-0000-000067910000}"/>
    <cellStyle name="Comma 10 3 5 3 2 2" xfId="48686" xr:uid="{00000000-0005-0000-0000-000068910000}"/>
    <cellStyle name="Comma 10 3 5 3 3" xfId="35770" xr:uid="{00000000-0005-0000-0000-000069910000}"/>
    <cellStyle name="Comma 10 3 5 4" xfId="16354" xr:uid="{00000000-0005-0000-0000-00006A910000}"/>
    <cellStyle name="Comma 10 3 5 4 2" xfId="42228" xr:uid="{00000000-0005-0000-0000-00006B910000}"/>
    <cellStyle name="Comma 10 3 5 5" xfId="29280" xr:uid="{00000000-0005-0000-0000-00006C910000}"/>
    <cellStyle name="Comma 10 3 6" xfId="5050" xr:uid="{00000000-0005-0000-0000-00006D910000}"/>
    <cellStyle name="Comma 10 3 6 2" xfId="11509" xr:uid="{00000000-0005-0000-0000-00006E910000}"/>
    <cellStyle name="Comma 10 3 6 2 2" xfId="24426" xr:uid="{00000000-0005-0000-0000-00006F910000}"/>
    <cellStyle name="Comma 10 3 6 2 2 2" xfId="50300" xr:uid="{00000000-0005-0000-0000-000070910000}"/>
    <cellStyle name="Comma 10 3 6 2 3" xfId="37384" xr:uid="{00000000-0005-0000-0000-000071910000}"/>
    <cellStyle name="Comma 10 3 6 3" xfId="17968" xr:uid="{00000000-0005-0000-0000-000072910000}"/>
    <cellStyle name="Comma 10 3 6 3 2" xfId="43842" xr:uid="{00000000-0005-0000-0000-000073910000}"/>
    <cellStyle name="Comma 10 3 6 4" xfId="30926" xr:uid="{00000000-0005-0000-0000-000074910000}"/>
    <cellStyle name="Comma 10 3 7" xfId="8280" xr:uid="{00000000-0005-0000-0000-000075910000}"/>
    <cellStyle name="Comma 10 3 7 2" xfId="21197" xr:uid="{00000000-0005-0000-0000-000076910000}"/>
    <cellStyle name="Comma 10 3 7 2 2" xfId="47071" xr:uid="{00000000-0005-0000-0000-000077910000}"/>
    <cellStyle name="Comma 10 3 7 3" xfId="34155" xr:uid="{00000000-0005-0000-0000-000078910000}"/>
    <cellStyle name="Comma 10 3 8" xfId="14739" xr:uid="{00000000-0005-0000-0000-000079910000}"/>
    <cellStyle name="Comma 10 3 8 2" xfId="40613" xr:uid="{00000000-0005-0000-0000-00007A910000}"/>
    <cellStyle name="Comma 10 3 9" xfId="27663" xr:uid="{00000000-0005-0000-0000-00007B910000}"/>
    <cellStyle name="Comma 10 4" xfId="227" xr:uid="{00000000-0005-0000-0000-00007C910000}"/>
    <cellStyle name="Comma 10 4 10" xfId="53510" xr:uid="{00000000-0005-0000-0000-00007D910000}"/>
    <cellStyle name="Comma 10 4 11" xfId="1589" xr:uid="{00000000-0005-0000-0000-00007E910000}"/>
    <cellStyle name="Comma 10 4 2" xfId="417" xr:uid="{00000000-0005-0000-0000-00007F910000}"/>
    <cellStyle name="Comma 10 4 2 10" xfId="1919" xr:uid="{00000000-0005-0000-0000-000080910000}"/>
    <cellStyle name="Comma 10 4 2 2" xfId="817" xr:uid="{00000000-0005-0000-0000-000081910000}"/>
    <cellStyle name="Comma 10 4 2 2 2" xfId="3163" xr:uid="{00000000-0005-0000-0000-000082910000}"/>
    <cellStyle name="Comma 10 4 2 2 2 2" xfId="4820" xr:uid="{00000000-0005-0000-0000-000083910000}"/>
    <cellStyle name="Comma 10 4 2 2 2 2 2" xfId="8051" xr:uid="{00000000-0005-0000-0000-000084910000}"/>
    <cellStyle name="Comma 10 4 2 2 2 2 2 2" xfId="14510" xr:uid="{00000000-0005-0000-0000-000085910000}"/>
    <cellStyle name="Comma 10 4 2 2 2 2 2 2 2" xfId="27427" xr:uid="{00000000-0005-0000-0000-000086910000}"/>
    <cellStyle name="Comma 10 4 2 2 2 2 2 2 2 2" xfId="53301" xr:uid="{00000000-0005-0000-0000-000087910000}"/>
    <cellStyle name="Comma 10 4 2 2 2 2 2 2 3" xfId="40385" xr:uid="{00000000-0005-0000-0000-000088910000}"/>
    <cellStyle name="Comma 10 4 2 2 2 2 2 3" xfId="20969" xr:uid="{00000000-0005-0000-0000-000089910000}"/>
    <cellStyle name="Comma 10 4 2 2 2 2 2 3 2" xfId="46843" xr:uid="{00000000-0005-0000-0000-00008A910000}"/>
    <cellStyle name="Comma 10 4 2 2 2 2 2 4" xfId="33927" xr:uid="{00000000-0005-0000-0000-00008B910000}"/>
    <cellStyle name="Comma 10 4 2 2 2 2 3" xfId="11282" xr:uid="{00000000-0005-0000-0000-00008C910000}"/>
    <cellStyle name="Comma 10 4 2 2 2 2 3 2" xfId="24199" xr:uid="{00000000-0005-0000-0000-00008D910000}"/>
    <cellStyle name="Comma 10 4 2 2 2 2 3 2 2" xfId="50073" xr:uid="{00000000-0005-0000-0000-00008E910000}"/>
    <cellStyle name="Comma 10 4 2 2 2 2 3 3" xfId="37157" xr:uid="{00000000-0005-0000-0000-00008F910000}"/>
    <cellStyle name="Comma 10 4 2 2 2 2 4" xfId="17741" xr:uid="{00000000-0005-0000-0000-000090910000}"/>
    <cellStyle name="Comma 10 4 2 2 2 2 4 2" xfId="43615" xr:uid="{00000000-0005-0000-0000-000091910000}"/>
    <cellStyle name="Comma 10 4 2 2 2 2 5" xfId="30667" xr:uid="{00000000-0005-0000-0000-000092910000}"/>
    <cellStyle name="Comma 10 4 2 2 2 3" xfId="6437" xr:uid="{00000000-0005-0000-0000-000093910000}"/>
    <cellStyle name="Comma 10 4 2 2 2 3 2" xfId="12896" xr:uid="{00000000-0005-0000-0000-000094910000}"/>
    <cellStyle name="Comma 10 4 2 2 2 3 2 2" xfId="25813" xr:uid="{00000000-0005-0000-0000-000095910000}"/>
    <cellStyle name="Comma 10 4 2 2 2 3 2 2 2" xfId="51687" xr:uid="{00000000-0005-0000-0000-000096910000}"/>
    <cellStyle name="Comma 10 4 2 2 2 3 2 3" xfId="38771" xr:uid="{00000000-0005-0000-0000-000097910000}"/>
    <cellStyle name="Comma 10 4 2 2 2 3 3" xfId="19355" xr:uid="{00000000-0005-0000-0000-000098910000}"/>
    <cellStyle name="Comma 10 4 2 2 2 3 3 2" xfId="45229" xr:uid="{00000000-0005-0000-0000-000099910000}"/>
    <cellStyle name="Comma 10 4 2 2 2 3 4" xfId="32313" xr:uid="{00000000-0005-0000-0000-00009A910000}"/>
    <cellStyle name="Comma 10 4 2 2 2 4" xfId="9668" xr:uid="{00000000-0005-0000-0000-00009B910000}"/>
    <cellStyle name="Comma 10 4 2 2 2 4 2" xfId="22585" xr:uid="{00000000-0005-0000-0000-00009C910000}"/>
    <cellStyle name="Comma 10 4 2 2 2 4 2 2" xfId="48459" xr:uid="{00000000-0005-0000-0000-00009D910000}"/>
    <cellStyle name="Comma 10 4 2 2 2 4 3" xfId="35543" xr:uid="{00000000-0005-0000-0000-00009E910000}"/>
    <cellStyle name="Comma 10 4 2 2 2 5" xfId="16127" xr:uid="{00000000-0005-0000-0000-00009F910000}"/>
    <cellStyle name="Comma 10 4 2 2 2 5 2" xfId="42001" xr:uid="{00000000-0005-0000-0000-0000A0910000}"/>
    <cellStyle name="Comma 10 4 2 2 2 6" xfId="29053" xr:uid="{00000000-0005-0000-0000-0000A1910000}"/>
    <cellStyle name="Comma 10 4 2 2 3" xfId="3990" xr:uid="{00000000-0005-0000-0000-0000A2910000}"/>
    <cellStyle name="Comma 10 4 2 2 3 2" xfId="7244" xr:uid="{00000000-0005-0000-0000-0000A3910000}"/>
    <cellStyle name="Comma 10 4 2 2 3 2 2" xfId="13703" xr:uid="{00000000-0005-0000-0000-0000A4910000}"/>
    <cellStyle name="Comma 10 4 2 2 3 2 2 2" xfId="26620" xr:uid="{00000000-0005-0000-0000-0000A5910000}"/>
    <cellStyle name="Comma 10 4 2 2 3 2 2 2 2" xfId="52494" xr:uid="{00000000-0005-0000-0000-0000A6910000}"/>
    <cellStyle name="Comma 10 4 2 2 3 2 2 3" xfId="39578" xr:uid="{00000000-0005-0000-0000-0000A7910000}"/>
    <cellStyle name="Comma 10 4 2 2 3 2 3" xfId="20162" xr:uid="{00000000-0005-0000-0000-0000A8910000}"/>
    <cellStyle name="Comma 10 4 2 2 3 2 3 2" xfId="46036" xr:uid="{00000000-0005-0000-0000-0000A9910000}"/>
    <cellStyle name="Comma 10 4 2 2 3 2 4" xfId="33120" xr:uid="{00000000-0005-0000-0000-0000AA910000}"/>
    <cellStyle name="Comma 10 4 2 2 3 3" xfId="10475" xr:uid="{00000000-0005-0000-0000-0000AB910000}"/>
    <cellStyle name="Comma 10 4 2 2 3 3 2" xfId="23392" xr:uid="{00000000-0005-0000-0000-0000AC910000}"/>
    <cellStyle name="Comma 10 4 2 2 3 3 2 2" xfId="49266" xr:uid="{00000000-0005-0000-0000-0000AD910000}"/>
    <cellStyle name="Comma 10 4 2 2 3 3 3" xfId="36350" xr:uid="{00000000-0005-0000-0000-0000AE910000}"/>
    <cellStyle name="Comma 10 4 2 2 3 4" xfId="16934" xr:uid="{00000000-0005-0000-0000-0000AF910000}"/>
    <cellStyle name="Comma 10 4 2 2 3 4 2" xfId="42808" xr:uid="{00000000-0005-0000-0000-0000B0910000}"/>
    <cellStyle name="Comma 10 4 2 2 3 5" xfId="29860" xr:uid="{00000000-0005-0000-0000-0000B1910000}"/>
    <cellStyle name="Comma 10 4 2 2 4" xfId="5630" xr:uid="{00000000-0005-0000-0000-0000B2910000}"/>
    <cellStyle name="Comma 10 4 2 2 4 2" xfId="12089" xr:uid="{00000000-0005-0000-0000-0000B3910000}"/>
    <cellStyle name="Comma 10 4 2 2 4 2 2" xfId="25006" xr:uid="{00000000-0005-0000-0000-0000B4910000}"/>
    <cellStyle name="Comma 10 4 2 2 4 2 2 2" xfId="50880" xr:uid="{00000000-0005-0000-0000-0000B5910000}"/>
    <cellStyle name="Comma 10 4 2 2 4 2 3" xfId="37964" xr:uid="{00000000-0005-0000-0000-0000B6910000}"/>
    <cellStyle name="Comma 10 4 2 2 4 3" xfId="18548" xr:uid="{00000000-0005-0000-0000-0000B7910000}"/>
    <cellStyle name="Comma 10 4 2 2 4 3 2" xfId="44422" xr:uid="{00000000-0005-0000-0000-0000B8910000}"/>
    <cellStyle name="Comma 10 4 2 2 4 4" xfId="31506" xr:uid="{00000000-0005-0000-0000-0000B9910000}"/>
    <cellStyle name="Comma 10 4 2 2 5" xfId="8861" xr:uid="{00000000-0005-0000-0000-0000BA910000}"/>
    <cellStyle name="Comma 10 4 2 2 5 2" xfId="21778" xr:uid="{00000000-0005-0000-0000-0000BB910000}"/>
    <cellStyle name="Comma 10 4 2 2 5 2 2" xfId="47652" xr:uid="{00000000-0005-0000-0000-0000BC910000}"/>
    <cellStyle name="Comma 10 4 2 2 5 3" xfId="34736" xr:uid="{00000000-0005-0000-0000-0000BD910000}"/>
    <cellStyle name="Comma 10 4 2 2 6" xfId="15320" xr:uid="{00000000-0005-0000-0000-0000BE910000}"/>
    <cellStyle name="Comma 10 4 2 2 6 2" xfId="41194" xr:uid="{00000000-0005-0000-0000-0000BF910000}"/>
    <cellStyle name="Comma 10 4 2 2 7" xfId="28246" xr:uid="{00000000-0005-0000-0000-0000C0910000}"/>
    <cellStyle name="Comma 10 4 2 2 8" xfId="54108" xr:uid="{00000000-0005-0000-0000-0000C1910000}"/>
    <cellStyle name="Comma 10 4 2 2 9" xfId="2350" xr:uid="{00000000-0005-0000-0000-0000C2910000}"/>
    <cellStyle name="Comma 10 4 2 3" xfId="816" xr:uid="{00000000-0005-0000-0000-0000C3910000}"/>
    <cellStyle name="Comma 10 4 2 3 2" xfId="4416" xr:uid="{00000000-0005-0000-0000-0000C4910000}"/>
    <cellStyle name="Comma 10 4 2 3 2 2" xfId="7647" xr:uid="{00000000-0005-0000-0000-0000C5910000}"/>
    <cellStyle name="Comma 10 4 2 3 2 2 2" xfId="14106" xr:uid="{00000000-0005-0000-0000-0000C6910000}"/>
    <cellStyle name="Comma 10 4 2 3 2 2 2 2" xfId="27023" xr:uid="{00000000-0005-0000-0000-0000C7910000}"/>
    <cellStyle name="Comma 10 4 2 3 2 2 2 2 2" xfId="52897" xr:uid="{00000000-0005-0000-0000-0000C8910000}"/>
    <cellStyle name="Comma 10 4 2 3 2 2 2 3" xfId="39981" xr:uid="{00000000-0005-0000-0000-0000C9910000}"/>
    <cellStyle name="Comma 10 4 2 3 2 2 3" xfId="20565" xr:uid="{00000000-0005-0000-0000-0000CA910000}"/>
    <cellStyle name="Comma 10 4 2 3 2 2 3 2" xfId="46439" xr:uid="{00000000-0005-0000-0000-0000CB910000}"/>
    <cellStyle name="Comma 10 4 2 3 2 2 4" xfId="33523" xr:uid="{00000000-0005-0000-0000-0000CC910000}"/>
    <cellStyle name="Comma 10 4 2 3 2 3" xfId="10878" xr:uid="{00000000-0005-0000-0000-0000CD910000}"/>
    <cellStyle name="Comma 10 4 2 3 2 3 2" xfId="23795" xr:uid="{00000000-0005-0000-0000-0000CE910000}"/>
    <cellStyle name="Comma 10 4 2 3 2 3 2 2" xfId="49669" xr:uid="{00000000-0005-0000-0000-0000CF910000}"/>
    <cellStyle name="Comma 10 4 2 3 2 3 3" xfId="36753" xr:uid="{00000000-0005-0000-0000-0000D0910000}"/>
    <cellStyle name="Comma 10 4 2 3 2 4" xfId="17337" xr:uid="{00000000-0005-0000-0000-0000D1910000}"/>
    <cellStyle name="Comma 10 4 2 3 2 4 2" xfId="43211" xr:uid="{00000000-0005-0000-0000-0000D2910000}"/>
    <cellStyle name="Comma 10 4 2 3 2 5" xfId="30263" xr:uid="{00000000-0005-0000-0000-0000D3910000}"/>
    <cellStyle name="Comma 10 4 2 3 3" xfId="6033" xr:uid="{00000000-0005-0000-0000-0000D4910000}"/>
    <cellStyle name="Comma 10 4 2 3 3 2" xfId="12492" xr:uid="{00000000-0005-0000-0000-0000D5910000}"/>
    <cellStyle name="Comma 10 4 2 3 3 2 2" xfId="25409" xr:uid="{00000000-0005-0000-0000-0000D6910000}"/>
    <cellStyle name="Comma 10 4 2 3 3 2 2 2" xfId="51283" xr:uid="{00000000-0005-0000-0000-0000D7910000}"/>
    <cellStyle name="Comma 10 4 2 3 3 2 3" xfId="38367" xr:uid="{00000000-0005-0000-0000-0000D8910000}"/>
    <cellStyle name="Comma 10 4 2 3 3 3" xfId="18951" xr:uid="{00000000-0005-0000-0000-0000D9910000}"/>
    <cellStyle name="Comma 10 4 2 3 3 3 2" xfId="44825" xr:uid="{00000000-0005-0000-0000-0000DA910000}"/>
    <cellStyle name="Comma 10 4 2 3 3 4" xfId="31909" xr:uid="{00000000-0005-0000-0000-0000DB910000}"/>
    <cellStyle name="Comma 10 4 2 3 4" xfId="9264" xr:uid="{00000000-0005-0000-0000-0000DC910000}"/>
    <cellStyle name="Comma 10 4 2 3 4 2" xfId="22181" xr:uid="{00000000-0005-0000-0000-0000DD910000}"/>
    <cellStyle name="Comma 10 4 2 3 4 2 2" xfId="48055" xr:uid="{00000000-0005-0000-0000-0000DE910000}"/>
    <cellStyle name="Comma 10 4 2 3 4 3" xfId="35139" xr:uid="{00000000-0005-0000-0000-0000DF910000}"/>
    <cellStyle name="Comma 10 4 2 3 5" xfId="15723" xr:uid="{00000000-0005-0000-0000-0000E0910000}"/>
    <cellStyle name="Comma 10 4 2 3 5 2" xfId="41597" xr:uid="{00000000-0005-0000-0000-0000E1910000}"/>
    <cellStyle name="Comma 10 4 2 3 6" xfId="28649" xr:uid="{00000000-0005-0000-0000-0000E2910000}"/>
    <cellStyle name="Comma 10 4 2 3 7" xfId="2759" xr:uid="{00000000-0005-0000-0000-0000E3910000}"/>
    <cellStyle name="Comma 10 4 2 4" xfId="3586" xr:uid="{00000000-0005-0000-0000-0000E4910000}"/>
    <cellStyle name="Comma 10 4 2 4 2" xfId="6840" xr:uid="{00000000-0005-0000-0000-0000E5910000}"/>
    <cellStyle name="Comma 10 4 2 4 2 2" xfId="13299" xr:uid="{00000000-0005-0000-0000-0000E6910000}"/>
    <cellStyle name="Comma 10 4 2 4 2 2 2" xfId="26216" xr:uid="{00000000-0005-0000-0000-0000E7910000}"/>
    <cellStyle name="Comma 10 4 2 4 2 2 2 2" xfId="52090" xr:uid="{00000000-0005-0000-0000-0000E8910000}"/>
    <cellStyle name="Comma 10 4 2 4 2 2 3" xfId="39174" xr:uid="{00000000-0005-0000-0000-0000E9910000}"/>
    <cellStyle name="Comma 10 4 2 4 2 3" xfId="19758" xr:uid="{00000000-0005-0000-0000-0000EA910000}"/>
    <cellStyle name="Comma 10 4 2 4 2 3 2" xfId="45632" xr:uid="{00000000-0005-0000-0000-0000EB910000}"/>
    <cellStyle name="Comma 10 4 2 4 2 4" xfId="32716" xr:uid="{00000000-0005-0000-0000-0000EC910000}"/>
    <cellStyle name="Comma 10 4 2 4 3" xfId="10071" xr:uid="{00000000-0005-0000-0000-0000ED910000}"/>
    <cellStyle name="Comma 10 4 2 4 3 2" xfId="22988" xr:uid="{00000000-0005-0000-0000-0000EE910000}"/>
    <cellStyle name="Comma 10 4 2 4 3 2 2" xfId="48862" xr:uid="{00000000-0005-0000-0000-0000EF910000}"/>
    <cellStyle name="Comma 10 4 2 4 3 3" xfId="35946" xr:uid="{00000000-0005-0000-0000-0000F0910000}"/>
    <cellStyle name="Comma 10 4 2 4 4" xfId="16530" xr:uid="{00000000-0005-0000-0000-0000F1910000}"/>
    <cellStyle name="Comma 10 4 2 4 4 2" xfId="42404" xr:uid="{00000000-0005-0000-0000-0000F2910000}"/>
    <cellStyle name="Comma 10 4 2 4 5" xfId="29456" xr:uid="{00000000-0005-0000-0000-0000F3910000}"/>
    <cellStyle name="Comma 10 4 2 5" xfId="5226" xr:uid="{00000000-0005-0000-0000-0000F4910000}"/>
    <cellStyle name="Comma 10 4 2 5 2" xfId="11685" xr:uid="{00000000-0005-0000-0000-0000F5910000}"/>
    <cellStyle name="Comma 10 4 2 5 2 2" xfId="24602" xr:uid="{00000000-0005-0000-0000-0000F6910000}"/>
    <cellStyle name="Comma 10 4 2 5 2 2 2" xfId="50476" xr:uid="{00000000-0005-0000-0000-0000F7910000}"/>
    <cellStyle name="Comma 10 4 2 5 2 3" xfId="37560" xr:uid="{00000000-0005-0000-0000-0000F8910000}"/>
    <cellStyle name="Comma 10 4 2 5 3" xfId="18144" xr:uid="{00000000-0005-0000-0000-0000F9910000}"/>
    <cellStyle name="Comma 10 4 2 5 3 2" xfId="44018" xr:uid="{00000000-0005-0000-0000-0000FA910000}"/>
    <cellStyle name="Comma 10 4 2 5 4" xfId="31102" xr:uid="{00000000-0005-0000-0000-0000FB910000}"/>
    <cellStyle name="Comma 10 4 2 6" xfId="8457" xr:uid="{00000000-0005-0000-0000-0000FC910000}"/>
    <cellStyle name="Comma 10 4 2 6 2" xfId="21374" xr:uid="{00000000-0005-0000-0000-0000FD910000}"/>
    <cellStyle name="Comma 10 4 2 6 2 2" xfId="47248" xr:uid="{00000000-0005-0000-0000-0000FE910000}"/>
    <cellStyle name="Comma 10 4 2 6 3" xfId="34332" xr:uid="{00000000-0005-0000-0000-0000FF910000}"/>
    <cellStyle name="Comma 10 4 2 7" xfId="14916" xr:uid="{00000000-0005-0000-0000-000000920000}"/>
    <cellStyle name="Comma 10 4 2 7 2" xfId="40790" xr:uid="{00000000-0005-0000-0000-000001920000}"/>
    <cellStyle name="Comma 10 4 2 8" xfId="27841" xr:uid="{00000000-0005-0000-0000-000002920000}"/>
    <cellStyle name="Comma 10 4 2 9" xfId="53704" xr:uid="{00000000-0005-0000-0000-000003920000}"/>
    <cellStyle name="Comma 10 4 3" xfId="818" xr:uid="{00000000-0005-0000-0000-000004920000}"/>
    <cellStyle name="Comma 10 4 3 2" xfId="2968" xr:uid="{00000000-0005-0000-0000-000005920000}"/>
    <cellStyle name="Comma 10 4 3 2 2" xfId="4625" xr:uid="{00000000-0005-0000-0000-000006920000}"/>
    <cellStyle name="Comma 10 4 3 2 2 2" xfId="7856" xr:uid="{00000000-0005-0000-0000-000007920000}"/>
    <cellStyle name="Comma 10 4 3 2 2 2 2" xfId="14315" xr:uid="{00000000-0005-0000-0000-000008920000}"/>
    <cellStyle name="Comma 10 4 3 2 2 2 2 2" xfId="27232" xr:uid="{00000000-0005-0000-0000-000009920000}"/>
    <cellStyle name="Comma 10 4 3 2 2 2 2 2 2" xfId="53106" xr:uid="{00000000-0005-0000-0000-00000A920000}"/>
    <cellStyle name="Comma 10 4 3 2 2 2 2 3" xfId="40190" xr:uid="{00000000-0005-0000-0000-00000B920000}"/>
    <cellStyle name="Comma 10 4 3 2 2 2 3" xfId="20774" xr:uid="{00000000-0005-0000-0000-00000C920000}"/>
    <cellStyle name="Comma 10 4 3 2 2 2 3 2" xfId="46648" xr:uid="{00000000-0005-0000-0000-00000D920000}"/>
    <cellStyle name="Comma 10 4 3 2 2 2 4" xfId="33732" xr:uid="{00000000-0005-0000-0000-00000E920000}"/>
    <cellStyle name="Comma 10 4 3 2 2 3" xfId="11087" xr:uid="{00000000-0005-0000-0000-00000F920000}"/>
    <cellStyle name="Comma 10 4 3 2 2 3 2" xfId="24004" xr:uid="{00000000-0005-0000-0000-000010920000}"/>
    <cellStyle name="Comma 10 4 3 2 2 3 2 2" xfId="49878" xr:uid="{00000000-0005-0000-0000-000011920000}"/>
    <cellStyle name="Comma 10 4 3 2 2 3 3" xfId="36962" xr:uid="{00000000-0005-0000-0000-000012920000}"/>
    <cellStyle name="Comma 10 4 3 2 2 4" xfId="17546" xr:uid="{00000000-0005-0000-0000-000013920000}"/>
    <cellStyle name="Comma 10 4 3 2 2 4 2" xfId="43420" xr:uid="{00000000-0005-0000-0000-000014920000}"/>
    <cellStyle name="Comma 10 4 3 2 2 5" xfId="30472" xr:uid="{00000000-0005-0000-0000-000015920000}"/>
    <cellStyle name="Comma 10 4 3 2 3" xfId="6242" xr:uid="{00000000-0005-0000-0000-000016920000}"/>
    <cellStyle name="Comma 10 4 3 2 3 2" xfId="12701" xr:uid="{00000000-0005-0000-0000-000017920000}"/>
    <cellStyle name="Comma 10 4 3 2 3 2 2" xfId="25618" xr:uid="{00000000-0005-0000-0000-000018920000}"/>
    <cellStyle name="Comma 10 4 3 2 3 2 2 2" xfId="51492" xr:uid="{00000000-0005-0000-0000-000019920000}"/>
    <cellStyle name="Comma 10 4 3 2 3 2 3" xfId="38576" xr:uid="{00000000-0005-0000-0000-00001A920000}"/>
    <cellStyle name="Comma 10 4 3 2 3 3" xfId="19160" xr:uid="{00000000-0005-0000-0000-00001B920000}"/>
    <cellStyle name="Comma 10 4 3 2 3 3 2" xfId="45034" xr:uid="{00000000-0005-0000-0000-00001C920000}"/>
    <cellStyle name="Comma 10 4 3 2 3 4" xfId="32118" xr:uid="{00000000-0005-0000-0000-00001D920000}"/>
    <cellStyle name="Comma 10 4 3 2 4" xfId="9473" xr:uid="{00000000-0005-0000-0000-00001E920000}"/>
    <cellStyle name="Comma 10 4 3 2 4 2" xfId="22390" xr:uid="{00000000-0005-0000-0000-00001F920000}"/>
    <cellStyle name="Comma 10 4 3 2 4 2 2" xfId="48264" xr:uid="{00000000-0005-0000-0000-000020920000}"/>
    <cellStyle name="Comma 10 4 3 2 4 3" xfId="35348" xr:uid="{00000000-0005-0000-0000-000021920000}"/>
    <cellStyle name="Comma 10 4 3 2 5" xfId="15932" xr:uid="{00000000-0005-0000-0000-000022920000}"/>
    <cellStyle name="Comma 10 4 3 2 5 2" xfId="41806" xr:uid="{00000000-0005-0000-0000-000023920000}"/>
    <cellStyle name="Comma 10 4 3 2 6" xfId="28858" xr:uid="{00000000-0005-0000-0000-000024920000}"/>
    <cellStyle name="Comma 10 4 3 3" xfId="3795" xr:uid="{00000000-0005-0000-0000-000025920000}"/>
    <cellStyle name="Comma 10 4 3 3 2" xfId="7049" xr:uid="{00000000-0005-0000-0000-000026920000}"/>
    <cellStyle name="Comma 10 4 3 3 2 2" xfId="13508" xr:uid="{00000000-0005-0000-0000-000027920000}"/>
    <cellStyle name="Comma 10 4 3 3 2 2 2" xfId="26425" xr:uid="{00000000-0005-0000-0000-000028920000}"/>
    <cellStyle name="Comma 10 4 3 3 2 2 2 2" xfId="52299" xr:uid="{00000000-0005-0000-0000-000029920000}"/>
    <cellStyle name="Comma 10 4 3 3 2 2 3" xfId="39383" xr:uid="{00000000-0005-0000-0000-00002A920000}"/>
    <cellStyle name="Comma 10 4 3 3 2 3" xfId="19967" xr:uid="{00000000-0005-0000-0000-00002B920000}"/>
    <cellStyle name="Comma 10 4 3 3 2 3 2" xfId="45841" xr:uid="{00000000-0005-0000-0000-00002C920000}"/>
    <cellStyle name="Comma 10 4 3 3 2 4" xfId="32925" xr:uid="{00000000-0005-0000-0000-00002D920000}"/>
    <cellStyle name="Comma 10 4 3 3 3" xfId="10280" xr:uid="{00000000-0005-0000-0000-00002E920000}"/>
    <cellStyle name="Comma 10 4 3 3 3 2" xfId="23197" xr:uid="{00000000-0005-0000-0000-00002F920000}"/>
    <cellStyle name="Comma 10 4 3 3 3 2 2" xfId="49071" xr:uid="{00000000-0005-0000-0000-000030920000}"/>
    <cellStyle name="Comma 10 4 3 3 3 3" xfId="36155" xr:uid="{00000000-0005-0000-0000-000031920000}"/>
    <cellStyle name="Comma 10 4 3 3 4" xfId="16739" xr:uid="{00000000-0005-0000-0000-000032920000}"/>
    <cellStyle name="Comma 10 4 3 3 4 2" xfId="42613" xr:uid="{00000000-0005-0000-0000-000033920000}"/>
    <cellStyle name="Comma 10 4 3 3 5" xfId="29665" xr:uid="{00000000-0005-0000-0000-000034920000}"/>
    <cellStyle name="Comma 10 4 3 4" xfId="5435" xr:uid="{00000000-0005-0000-0000-000035920000}"/>
    <cellStyle name="Comma 10 4 3 4 2" xfId="11894" xr:uid="{00000000-0005-0000-0000-000036920000}"/>
    <cellStyle name="Comma 10 4 3 4 2 2" xfId="24811" xr:uid="{00000000-0005-0000-0000-000037920000}"/>
    <cellStyle name="Comma 10 4 3 4 2 2 2" xfId="50685" xr:uid="{00000000-0005-0000-0000-000038920000}"/>
    <cellStyle name="Comma 10 4 3 4 2 3" xfId="37769" xr:uid="{00000000-0005-0000-0000-000039920000}"/>
    <cellStyle name="Comma 10 4 3 4 3" xfId="18353" xr:uid="{00000000-0005-0000-0000-00003A920000}"/>
    <cellStyle name="Comma 10 4 3 4 3 2" xfId="44227" xr:uid="{00000000-0005-0000-0000-00003B920000}"/>
    <cellStyle name="Comma 10 4 3 4 4" xfId="31311" xr:uid="{00000000-0005-0000-0000-00003C920000}"/>
    <cellStyle name="Comma 10 4 3 5" xfId="8666" xr:uid="{00000000-0005-0000-0000-00003D920000}"/>
    <cellStyle name="Comma 10 4 3 5 2" xfId="21583" xr:uid="{00000000-0005-0000-0000-00003E920000}"/>
    <cellStyle name="Comma 10 4 3 5 2 2" xfId="47457" xr:uid="{00000000-0005-0000-0000-00003F920000}"/>
    <cellStyle name="Comma 10 4 3 5 3" xfId="34541" xr:uid="{00000000-0005-0000-0000-000040920000}"/>
    <cellStyle name="Comma 10 4 3 6" xfId="15125" xr:uid="{00000000-0005-0000-0000-000041920000}"/>
    <cellStyle name="Comma 10 4 3 6 2" xfId="40999" xr:uid="{00000000-0005-0000-0000-000042920000}"/>
    <cellStyle name="Comma 10 4 3 7" xfId="28051" xr:uid="{00000000-0005-0000-0000-000043920000}"/>
    <cellStyle name="Comma 10 4 3 8" xfId="53913" xr:uid="{00000000-0005-0000-0000-000044920000}"/>
    <cellStyle name="Comma 10 4 3 9" xfId="2154" xr:uid="{00000000-0005-0000-0000-000045920000}"/>
    <cellStyle name="Comma 10 4 4" xfId="815" xr:uid="{00000000-0005-0000-0000-000046920000}"/>
    <cellStyle name="Comma 10 4 4 2" xfId="4222" xr:uid="{00000000-0005-0000-0000-000047920000}"/>
    <cellStyle name="Comma 10 4 4 2 2" xfId="7453" xr:uid="{00000000-0005-0000-0000-000048920000}"/>
    <cellStyle name="Comma 10 4 4 2 2 2" xfId="13912" xr:uid="{00000000-0005-0000-0000-000049920000}"/>
    <cellStyle name="Comma 10 4 4 2 2 2 2" xfId="26829" xr:uid="{00000000-0005-0000-0000-00004A920000}"/>
    <cellStyle name="Comma 10 4 4 2 2 2 2 2" xfId="52703" xr:uid="{00000000-0005-0000-0000-00004B920000}"/>
    <cellStyle name="Comma 10 4 4 2 2 2 3" xfId="39787" xr:uid="{00000000-0005-0000-0000-00004C920000}"/>
    <cellStyle name="Comma 10 4 4 2 2 3" xfId="20371" xr:uid="{00000000-0005-0000-0000-00004D920000}"/>
    <cellStyle name="Comma 10 4 4 2 2 3 2" xfId="46245" xr:uid="{00000000-0005-0000-0000-00004E920000}"/>
    <cellStyle name="Comma 10 4 4 2 2 4" xfId="33329" xr:uid="{00000000-0005-0000-0000-00004F920000}"/>
    <cellStyle name="Comma 10 4 4 2 3" xfId="10684" xr:uid="{00000000-0005-0000-0000-000050920000}"/>
    <cellStyle name="Comma 10 4 4 2 3 2" xfId="23601" xr:uid="{00000000-0005-0000-0000-000051920000}"/>
    <cellStyle name="Comma 10 4 4 2 3 2 2" xfId="49475" xr:uid="{00000000-0005-0000-0000-000052920000}"/>
    <cellStyle name="Comma 10 4 4 2 3 3" xfId="36559" xr:uid="{00000000-0005-0000-0000-000053920000}"/>
    <cellStyle name="Comma 10 4 4 2 4" xfId="17143" xr:uid="{00000000-0005-0000-0000-000054920000}"/>
    <cellStyle name="Comma 10 4 4 2 4 2" xfId="43017" xr:uid="{00000000-0005-0000-0000-000055920000}"/>
    <cellStyle name="Comma 10 4 4 2 5" xfId="30069" xr:uid="{00000000-0005-0000-0000-000056920000}"/>
    <cellStyle name="Comma 10 4 4 3" xfId="5839" xr:uid="{00000000-0005-0000-0000-000057920000}"/>
    <cellStyle name="Comma 10 4 4 3 2" xfId="12298" xr:uid="{00000000-0005-0000-0000-000058920000}"/>
    <cellStyle name="Comma 10 4 4 3 2 2" xfId="25215" xr:uid="{00000000-0005-0000-0000-000059920000}"/>
    <cellStyle name="Comma 10 4 4 3 2 2 2" xfId="51089" xr:uid="{00000000-0005-0000-0000-00005A920000}"/>
    <cellStyle name="Comma 10 4 4 3 2 3" xfId="38173" xr:uid="{00000000-0005-0000-0000-00005B920000}"/>
    <cellStyle name="Comma 10 4 4 3 3" xfId="18757" xr:uid="{00000000-0005-0000-0000-00005C920000}"/>
    <cellStyle name="Comma 10 4 4 3 3 2" xfId="44631" xr:uid="{00000000-0005-0000-0000-00005D920000}"/>
    <cellStyle name="Comma 10 4 4 3 4" xfId="31715" xr:uid="{00000000-0005-0000-0000-00005E920000}"/>
    <cellStyle name="Comma 10 4 4 4" xfId="9070" xr:uid="{00000000-0005-0000-0000-00005F920000}"/>
    <cellStyle name="Comma 10 4 4 4 2" xfId="21987" xr:uid="{00000000-0005-0000-0000-000060920000}"/>
    <cellStyle name="Comma 10 4 4 4 2 2" xfId="47861" xr:uid="{00000000-0005-0000-0000-000061920000}"/>
    <cellStyle name="Comma 10 4 4 4 3" xfId="34945" xr:uid="{00000000-0005-0000-0000-000062920000}"/>
    <cellStyle name="Comma 10 4 4 5" xfId="15529" xr:uid="{00000000-0005-0000-0000-000063920000}"/>
    <cellStyle name="Comma 10 4 4 5 2" xfId="41403" xr:uid="{00000000-0005-0000-0000-000064920000}"/>
    <cellStyle name="Comma 10 4 4 6" xfId="28455" xr:uid="{00000000-0005-0000-0000-000065920000}"/>
    <cellStyle name="Comma 10 4 4 7" xfId="2565" xr:uid="{00000000-0005-0000-0000-000066920000}"/>
    <cellStyle name="Comma 10 4 5" xfId="3390" xr:uid="{00000000-0005-0000-0000-000067920000}"/>
    <cellStyle name="Comma 10 4 5 2" xfId="6646" xr:uid="{00000000-0005-0000-0000-000068920000}"/>
    <cellStyle name="Comma 10 4 5 2 2" xfId="13105" xr:uid="{00000000-0005-0000-0000-000069920000}"/>
    <cellStyle name="Comma 10 4 5 2 2 2" xfId="26022" xr:uid="{00000000-0005-0000-0000-00006A920000}"/>
    <cellStyle name="Comma 10 4 5 2 2 2 2" xfId="51896" xr:uid="{00000000-0005-0000-0000-00006B920000}"/>
    <cellStyle name="Comma 10 4 5 2 2 3" xfId="38980" xr:uid="{00000000-0005-0000-0000-00006C920000}"/>
    <cellStyle name="Comma 10 4 5 2 3" xfId="19564" xr:uid="{00000000-0005-0000-0000-00006D920000}"/>
    <cellStyle name="Comma 10 4 5 2 3 2" xfId="45438" xr:uid="{00000000-0005-0000-0000-00006E920000}"/>
    <cellStyle name="Comma 10 4 5 2 4" xfId="32522" xr:uid="{00000000-0005-0000-0000-00006F920000}"/>
    <cellStyle name="Comma 10 4 5 3" xfId="9877" xr:uid="{00000000-0005-0000-0000-000070920000}"/>
    <cellStyle name="Comma 10 4 5 3 2" xfId="22794" xr:uid="{00000000-0005-0000-0000-000071920000}"/>
    <cellStyle name="Comma 10 4 5 3 2 2" xfId="48668" xr:uid="{00000000-0005-0000-0000-000072920000}"/>
    <cellStyle name="Comma 10 4 5 3 3" xfId="35752" xr:uid="{00000000-0005-0000-0000-000073920000}"/>
    <cellStyle name="Comma 10 4 5 4" xfId="16336" xr:uid="{00000000-0005-0000-0000-000074920000}"/>
    <cellStyle name="Comma 10 4 5 4 2" xfId="42210" xr:uid="{00000000-0005-0000-0000-000075920000}"/>
    <cellStyle name="Comma 10 4 5 5" xfId="29262" xr:uid="{00000000-0005-0000-0000-000076920000}"/>
    <cellStyle name="Comma 10 4 6" xfId="5032" xr:uid="{00000000-0005-0000-0000-000077920000}"/>
    <cellStyle name="Comma 10 4 6 2" xfId="11491" xr:uid="{00000000-0005-0000-0000-000078920000}"/>
    <cellStyle name="Comma 10 4 6 2 2" xfId="24408" xr:uid="{00000000-0005-0000-0000-000079920000}"/>
    <cellStyle name="Comma 10 4 6 2 2 2" xfId="50282" xr:uid="{00000000-0005-0000-0000-00007A920000}"/>
    <cellStyle name="Comma 10 4 6 2 3" xfId="37366" xr:uid="{00000000-0005-0000-0000-00007B920000}"/>
    <cellStyle name="Comma 10 4 6 3" xfId="17950" xr:uid="{00000000-0005-0000-0000-00007C920000}"/>
    <cellStyle name="Comma 10 4 6 3 2" xfId="43824" xr:uid="{00000000-0005-0000-0000-00007D920000}"/>
    <cellStyle name="Comma 10 4 6 4" xfId="30908" xr:uid="{00000000-0005-0000-0000-00007E920000}"/>
    <cellStyle name="Comma 10 4 7" xfId="8262" xr:uid="{00000000-0005-0000-0000-00007F920000}"/>
    <cellStyle name="Comma 10 4 7 2" xfId="21179" xr:uid="{00000000-0005-0000-0000-000080920000}"/>
    <cellStyle name="Comma 10 4 7 2 2" xfId="47053" xr:uid="{00000000-0005-0000-0000-000081920000}"/>
    <cellStyle name="Comma 10 4 7 3" xfId="34137" xr:uid="{00000000-0005-0000-0000-000082920000}"/>
    <cellStyle name="Comma 10 4 8" xfId="14721" xr:uid="{00000000-0005-0000-0000-000083920000}"/>
    <cellStyle name="Comma 10 4 8 2" xfId="40595" xr:uid="{00000000-0005-0000-0000-000084920000}"/>
    <cellStyle name="Comma 10 4 9" xfId="27645" xr:uid="{00000000-0005-0000-0000-000085920000}"/>
    <cellStyle name="Comma 10 5" xfId="385" xr:uid="{00000000-0005-0000-0000-000086920000}"/>
    <cellStyle name="Comma 10 5 10" xfId="1788" xr:uid="{00000000-0005-0000-0000-000087920000}"/>
    <cellStyle name="Comma 10 5 2" xfId="820" xr:uid="{00000000-0005-0000-0000-000088920000}"/>
    <cellStyle name="Comma 10 5 2 2" xfId="3095" xr:uid="{00000000-0005-0000-0000-000089920000}"/>
    <cellStyle name="Comma 10 5 2 2 2" xfId="4752" xr:uid="{00000000-0005-0000-0000-00008A920000}"/>
    <cellStyle name="Comma 10 5 2 2 2 2" xfId="7983" xr:uid="{00000000-0005-0000-0000-00008B920000}"/>
    <cellStyle name="Comma 10 5 2 2 2 2 2" xfId="14442" xr:uid="{00000000-0005-0000-0000-00008C920000}"/>
    <cellStyle name="Comma 10 5 2 2 2 2 2 2" xfId="27359" xr:uid="{00000000-0005-0000-0000-00008D920000}"/>
    <cellStyle name="Comma 10 5 2 2 2 2 2 2 2" xfId="53233" xr:uid="{00000000-0005-0000-0000-00008E920000}"/>
    <cellStyle name="Comma 10 5 2 2 2 2 2 3" xfId="40317" xr:uid="{00000000-0005-0000-0000-00008F920000}"/>
    <cellStyle name="Comma 10 5 2 2 2 2 3" xfId="20901" xr:uid="{00000000-0005-0000-0000-000090920000}"/>
    <cellStyle name="Comma 10 5 2 2 2 2 3 2" xfId="46775" xr:uid="{00000000-0005-0000-0000-000091920000}"/>
    <cellStyle name="Comma 10 5 2 2 2 2 4" xfId="33859" xr:uid="{00000000-0005-0000-0000-000092920000}"/>
    <cellStyle name="Comma 10 5 2 2 2 3" xfId="11214" xr:uid="{00000000-0005-0000-0000-000093920000}"/>
    <cellStyle name="Comma 10 5 2 2 2 3 2" xfId="24131" xr:uid="{00000000-0005-0000-0000-000094920000}"/>
    <cellStyle name="Comma 10 5 2 2 2 3 2 2" xfId="50005" xr:uid="{00000000-0005-0000-0000-000095920000}"/>
    <cellStyle name="Comma 10 5 2 2 2 3 3" xfId="37089" xr:uid="{00000000-0005-0000-0000-000096920000}"/>
    <cellStyle name="Comma 10 5 2 2 2 4" xfId="17673" xr:uid="{00000000-0005-0000-0000-000097920000}"/>
    <cellStyle name="Comma 10 5 2 2 2 4 2" xfId="43547" xr:uid="{00000000-0005-0000-0000-000098920000}"/>
    <cellStyle name="Comma 10 5 2 2 2 5" xfId="30599" xr:uid="{00000000-0005-0000-0000-000099920000}"/>
    <cellStyle name="Comma 10 5 2 2 3" xfId="6369" xr:uid="{00000000-0005-0000-0000-00009A920000}"/>
    <cellStyle name="Comma 10 5 2 2 3 2" xfId="12828" xr:uid="{00000000-0005-0000-0000-00009B920000}"/>
    <cellStyle name="Comma 10 5 2 2 3 2 2" xfId="25745" xr:uid="{00000000-0005-0000-0000-00009C920000}"/>
    <cellStyle name="Comma 10 5 2 2 3 2 2 2" xfId="51619" xr:uid="{00000000-0005-0000-0000-00009D920000}"/>
    <cellStyle name="Comma 10 5 2 2 3 2 3" xfId="38703" xr:uid="{00000000-0005-0000-0000-00009E920000}"/>
    <cellStyle name="Comma 10 5 2 2 3 3" xfId="19287" xr:uid="{00000000-0005-0000-0000-00009F920000}"/>
    <cellStyle name="Comma 10 5 2 2 3 3 2" xfId="45161" xr:uid="{00000000-0005-0000-0000-0000A0920000}"/>
    <cellStyle name="Comma 10 5 2 2 3 4" xfId="32245" xr:uid="{00000000-0005-0000-0000-0000A1920000}"/>
    <cellStyle name="Comma 10 5 2 2 4" xfId="9600" xr:uid="{00000000-0005-0000-0000-0000A2920000}"/>
    <cellStyle name="Comma 10 5 2 2 4 2" xfId="22517" xr:uid="{00000000-0005-0000-0000-0000A3920000}"/>
    <cellStyle name="Comma 10 5 2 2 4 2 2" xfId="48391" xr:uid="{00000000-0005-0000-0000-0000A4920000}"/>
    <cellStyle name="Comma 10 5 2 2 4 3" xfId="35475" xr:uid="{00000000-0005-0000-0000-0000A5920000}"/>
    <cellStyle name="Comma 10 5 2 2 5" xfId="16059" xr:uid="{00000000-0005-0000-0000-0000A6920000}"/>
    <cellStyle name="Comma 10 5 2 2 5 2" xfId="41933" xr:uid="{00000000-0005-0000-0000-0000A7920000}"/>
    <cellStyle name="Comma 10 5 2 2 6" xfId="28985" xr:uid="{00000000-0005-0000-0000-0000A8920000}"/>
    <cellStyle name="Comma 10 5 2 3" xfId="3922" xr:uid="{00000000-0005-0000-0000-0000A9920000}"/>
    <cellStyle name="Comma 10 5 2 3 2" xfId="7176" xr:uid="{00000000-0005-0000-0000-0000AA920000}"/>
    <cellStyle name="Comma 10 5 2 3 2 2" xfId="13635" xr:uid="{00000000-0005-0000-0000-0000AB920000}"/>
    <cellStyle name="Comma 10 5 2 3 2 2 2" xfId="26552" xr:uid="{00000000-0005-0000-0000-0000AC920000}"/>
    <cellStyle name="Comma 10 5 2 3 2 2 2 2" xfId="52426" xr:uid="{00000000-0005-0000-0000-0000AD920000}"/>
    <cellStyle name="Comma 10 5 2 3 2 2 3" xfId="39510" xr:uid="{00000000-0005-0000-0000-0000AE920000}"/>
    <cellStyle name="Comma 10 5 2 3 2 3" xfId="20094" xr:uid="{00000000-0005-0000-0000-0000AF920000}"/>
    <cellStyle name="Comma 10 5 2 3 2 3 2" xfId="45968" xr:uid="{00000000-0005-0000-0000-0000B0920000}"/>
    <cellStyle name="Comma 10 5 2 3 2 4" xfId="33052" xr:uid="{00000000-0005-0000-0000-0000B1920000}"/>
    <cellStyle name="Comma 10 5 2 3 3" xfId="10407" xr:uid="{00000000-0005-0000-0000-0000B2920000}"/>
    <cellStyle name="Comma 10 5 2 3 3 2" xfId="23324" xr:uid="{00000000-0005-0000-0000-0000B3920000}"/>
    <cellStyle name="Comma 10 5 2 3 3 2 2" xfId="49198" xr:uid="{00000000-0005-0000-0000-0000B4920000}"/>
    <cellStyle name="Comma 10 5 2 3 3 3" xfId="36282" xr:uid="{00000000-0005-0000-0000-0000B5920000}"/>
    <cellStyle name="Comma 10 5 2 3 4" xfId="16866" xr:uid="{00000000-0005-0000-0000-0000B6920000}"/>
    <cellStyle name="Comma 10 5 2 3 4 2" xfId="42740" xr:uid="{00000000-0005-0000-0000-0000B7920000}"/>
    <cellStyle name="Comma 10 5 2 3 5" xfId="29792" xr:uid="{00000000-0005-0000-0000-0000B8920000}"/>
    <cellStyle name="Comma 10 5 2 4" xfId="5562" xr:uid="{00000000-0005-0000-0000-0000B9920000}"/>
    <cellStyle name="Comma 10 5 2 4 2" xfId="12021" xr:uid="{00000000-0005-0000-0000-0000BA920000}"/>
    <cellStyle name="Comma 10 5 2 4 2 2" xfId="24938" xr:uid="{00000000-0005-0000-0000-0000BB920000}"/>
    <cellStyle name="Comma 10 5 2 4 2 2 2" xfId="50812" xr:uid="{00000000-0005-0000-0000-0000BC920000}"/>
    <cellStyle name="Comma 10 5 2 4 2 3" xfId="37896" xr:uid="{00000000-0005-0000-0000-0000BD920000}"/>
    <cellStyle name="Comma 10 5 2 4 3" xfId="18480" xr:uid="{00000000-0005-0000-0000-0000BE920000}"/>
    <cellStyle name="Comma 10 5 2 4 3 2" xfId="44354" xr:uid="{00000000-0005-0000-0000-0000BF920000}"/>
    <cellStyle name="Comma 10 5 2 4 4" xfId="31438" xr:uid="{00000000-0005-0000-0000-0000C0920000}"/>
    <cellStyle name="Comma 10 5 2 5" xfId="8793" xr:uid="{00000000-0005-0000-0000-0000C1920000}"/>
    <cellStyle name="Comma 10 5 2 5 2" xfId="21710" xr:uid="{00000000-0005-0000-0000-0000C2920000}"/>
    <cellStyle name="Comma 10 5 2 5 2 2" xfId="47584" xr:uid="{00000000-0005-0000-0000-0000C3920000}"/>
    <cellStyle name="Comma 10 5 2 5 3" xfId="34668" xr:uid="{00000000-0005-0000-0000-0000C4920000}"/>
    <cellStyle name="Comma 10 5 2 6" xfId="15252" xr:uid="{00000000-0005-0000-0000-0000C5920000}"/>
    <cellStyle name="Comma 10 5 2 6 2" xfId="41126" xr:uid="{00000000-0005-0000-0000-0000C6920000}"/>
    <cellStyle name="Comma 10 5 2 7" xfId="28178" xr:uid="{00000000-0005-0000-0000-0000C7920000}"/>
    <cellStyle name="Comma 10 5 2 8" xfId="54040" xr:uid="{00000000-0005-0000-0000-0000C8920000}"/>
    <cellStyle name="Comma 10 5 2 9" xfId="2281" xr:uid="{00000000-0005-0000-0000-0000C9920000}"/>
    <cellStyle name="Comma 10 5 3" xfId="819" xr:uid="{00000000-0005-0000-0000-0000CA920000}"/>
    <cellStyle name="Comma 10 5 3 2" xfId="4349" xr:uid="{00000000-0005-0000-0000-0000CB920000}"/>
    <cellStyle name="Comma 10 5 3 2 2" xfId="7580" xr:uid="{00000000-0005-0000-0000-0000CC920000}"/>
    <cellStyle name="Comma 10 5 3 2 2 2" xfId="14039" xr:uid="{00000000-0005-0000-0000-0000CD920000}"/>
    <cellStyle name="Comma 10 5 3 2 2 2 2" xfId="26956" xr:uid="{00000000-0005-0000-0000-0000CE920000}"/>
    <cellStyle name="Comma 10 5 3 2 2 2 2 2" xfId="52830" xr:uid="{00000000-0005-0000-0000-0000CF920000}"/>
    <cellStyle name="Comma 10 5 3 2 2 2 3" xfId="39914" xr:uid="{00000000-0005-0000-0000-0000D0920000}"/>
    <cellStyle name="Comma 10 5 3 2 2 3" xfId="20498" xr:uid="{00000000-0005-0000-0000-0000D1920000}"/>
    <cellStyle name="Comma 10 5 3 2 2 3 2" xfId="46372" xr:uid="{00000000-0005-0000-0000-0000D2920000}"/>
    <cellStyle name="Comma 10 5 3 2 2 4" xfId="33456" xr:uid="{00000000-0005-0000-0000-0000D3920000}"/>
    <cellStyle name="Comma 10 5 3 2 3" xfId="10811" xr:uid="{00000000-0005-0000-0000-0000D4920000}"/>
    <cellStyle name="Comma 10 5 3 2 3 2" xfId="23728" xr:uid="{00000000-0005-0000-0000-0000D5920000}"/>
    <cellStyle name="Comma 10 5 3 2 3 2 2" xfId="49602" xr:uid="{00000000-0005-0000-0000-0000D6920000}"/>
    <cellStyle name="Comma 10 5 3 2 3 3" xfId="36686" xr:uid="{00000000-0005-0000-0000-0000D7920000}"/>
    <cellStyle name="Comma 10 5 3 2 4" xfId="17270" xr:uid="{00000000-0005-0000-0000-0000D8920000}"/>
    <cellStyle name="Comma 10 5 3 2 4 2" xfId="43144" xr:uid="{00000000-0005-0000-0000-0000D9920000}"/>
    <cellStyle name="Comma 10 5 3 2 5" xfId="30196" xr:uid="{00000000-0005-0000-0000-0000DA920000}"/>
    <cellStyle name="Comma 10 5 3 3" xfId="5966" xr:uid="{00000000-0005-0000-0000-0000DB920000}"/>
    <cellStyle name="Comma 10 5 3 3 2" xfId="12425" xr:uid="{00000000-0005-0000-0000-0000DC920000}"/>
    <cellStyle name="Comma 10 5 3 3 2 2" xfId="25342" xr:uid="{00000000-0005-0000-0000-0000DD920000}"/>
    <cellStyle name="Comma 10 5 3 3 2 2 2" xfId="51216" xr:uid="{00000000-0005-0000-0000-0000DE920000}"/>
    <cellStyle name="Comma 10 5 3 3 2 3" xfId="38300" xr:uid="{00000000-0005-0000-0000-0000DF920000}"/>
    <cellStyle name="Comma 10 5 3 3 3" xfId="18884" xr:uid="{00000000-0005-0000-0000-0000E0920000}"/>
    <cellStyle name="Comma 10 5 3 3 3 2" xfId="44758" xr:uid="{00000000-0005-0000-0000-0000E1920000}"/>
    <cellStyle name="Comma 10 5 3 3 4" xfId="31842" xr:uid="{00000000-0005-0000-0000-0000E2920000}"/>
    <cellStyle name="Comma 10 5 3 4" xfId="9197" xr:uid="{00000000-0005-0000-0000-0000E3920000}"/>
    <cellStyle name="Comma 10 5 3 4 2" xfId="22114" xr:uid="{00000000-0005-0000-0000-0000E4920000}"/>
    <cellStyle name="Comma 10 5 3 4 2 2" xfId="47988" xr:uid="{00000000-0005-0000-0000-0000E5920000}"/>
    <cellStyle name="Comma 10 5 3 4 3" xfId="35072" xr:uid="{00000000-0005-0000-0000-0000E6920000}"/>
    <cellStyle name="Comma 10 5 3 5" xfId="15656" xr:uid="{00000000-0005-0000-0000-0000E7920000}"/>
    <cellStyle name="Comma 10 5 3 5 2" xfId="41530" xr:uid="{00000000-0005-0000-0000-0000E8920000}"/>
    <cellStyle name="Comma 10 5 3 6" xfId="28582" xr:uid="{00000000-0005-0000-0000-0000E9920000}"/>
    <cellStyle name="Comma 10 5 3 7" xfId="2692" xr:uid="{00000000-0005-0000-0000-0000EA920000}"/>
    <cellStyle name="Comma 10 5 4" xfId="3519" xr:uid="{00000000-0005-0000-0000-0000EB920000}"/>
    <cellStyle name="Comma 10 5 4 2" xfId="6773" xr:uid="{00000000-0005-0000-0000-0000EC920000}"/>
    <cellStyle name="Comma 10 5 4 2 2" xfId="13232" xr:uid="{00000000-0005-0000-0000-0000ED920000}"/>
    <cellStyle name="Comma 10 5 4 2 2 2" xfId="26149" xr:uid="{00000000-0005-0000-0000-0000EE920000}"/>
    <cellStyle name="Comma 10 5 4 2 2 2 2" xfId="52023" xr:uid="{00000000-0005-0000-0000-0000EF920000}"/>
    <cellStyle name="Comma 10 5 4 2 2 3" xfId="39107" xr:uid="{00000000-0005-0000-0000-0000F0920000}"/>
    <cellStyle name="Comma 10 5 4 2 3" xfId="19691" xr:uid="{00000000-0005-0000-0000-0000F1920000}"/>
    <cellStyle name="Comma 10 5 4 2 3 2" xfId="45565" xr:uid="{00000000-0005-0000-0000-0000F2920000}"/>
    <cellStyle name="Comma 10 5 4 2 4" xfId="32649" xr:uid="{00000000-0005-0000-0000-0000F3920000}"/>
    <cellStyle name="Comma 10 5 4 3" xfId="10004" xr:uid="{00000000-0005-0000-0000-0000F4920000}"/>
    <cellStyle name="Comma 10 5 4 3 2" xfId="22921" xr:uid="{00000000-0005-0000-0000-0000F5920000}"/>
    <cellStyle name="Comma 10 5 4 3 2 2" xfId="48795" xr:uid="{00000000-0005-0000-0000-0000F6920000}"/>
    <cellStyle name="Comma 10 5 4 3 3" xfId="35879" xr:uid="{00000000-0005-0000-0000-0000F7920000}"/>
    <cellStyle name="Comma 10 5 4 4" xfId="16463" xr:uid="{00000000-0005-0000-0000-0000F8920000}"/>
    <cellStyle name="Comma 10 5 4 4 2" xfId="42337" xr:uid="{00000000-0005-0000-0000-0000F9920000}"/>
    <cellStyle name="Comma 10 5 4 5" xfId="29389" xr:uid="{00000000-0005-0000-0000-0000FA920000}"/>
    <cellStyle name="Comma 10 5 5" xfId="5159" xr:uid="{00000000-0005-0000-0000-0000FB920000}"/>
    <cellStyle name="Comma 10 5 5 2" xfId="11618" xr:uid="{00000000-0005-0000-0000-0000FC920000}"/>
    <cellStyle name="Comma 10 5 5 2 2" xfId="24535" xr:uid="{00000000-0005-0000-0000-0000FD920000}"/>
    <cellStyle name="Comma 10 5 5 2 2 2" xfId="50409" xr:uid="{00000000-0005-0000-0000-0000FE920000}"/>
    <cellStyle name="Comma 10 5 5 2 3" xfId="37493" xr:uid="{00000000-0005-0000-0000-0000FF920000}"/>
    <cellStyle name="Comma 10 5 5 3" xfId="18077" xr:uid="{00000000-0005-0000-0000-000000930000}"/>
    <cellStyle name="Comma 10 5 5 3 2" xfId="43951" xr:uid="{00000000-0005-0000-0000-000001930000}"/>
    <cellStyle name="Comma 10 5 5 4" xfId="31035" xr:uid="{00000000-0005-0000-0000-000002930000}"/>
    <cellStyle name="Comma 10 5 6" xfId="8389" xr:uid="{00000000-0005-0000-0000-000003930000}"/>
    <cellStyle name="Comma 10 5 6 2" xfId="21306" xr:uid="{00000000-0005-0000-0000-000004930000}"/>
    <cellStyle name="Comma 10 5 6 2 2" xfId="47180" xr:uid="{00000000-0005-0000-0000-000005930000}"/>
    <cellStyle name="Comma 10 5 6 3" xfId="34264" xr:uid="{00000000-0005-0000-0000-000006930000}"/>
    <cellStyle name="Comma 10 5 7" xfId="14848" xr:uid="{00000000-0005-0000-0000-000007930000}"/>
    <cellStyle name="Comma 10 5 7 2" xfId="40722" xr:uid="{00000000-0005-0000-0000-000008930000}"/>
    <cellStyle name="Comma 10 5 8" xfId="27774" xr:uid="{00000000-0005-0000-0000-000009930000}"/>
    <cellStyle name="Comma 10 5 9" xfId="53637" xr:uid="{00000000-0005-0000-0000-00000A930000}"/>
    <cellStyle name="Comma 10 6" xfId="821" xr:uid="{00000000-0005-0000-0000-00000B930000}"/>
    <cellStyle name="Comma 10 6 2" xfId="2924" xr:uid="{00000000-0005-0000-0000-00000C930000}"/>
    <cellStyle name="Comma 10 6 2 2" xfId="4581" xr:uid="{00000000-0005-0000-0000-00000D930000}"/>
    <cellStyle name="Comma 10 6 2 2 2" xfId="7812" xr:uid="{00000000-0005-0000-0000-00000E930000}"/>
    <cellStyle name="Comma 10 6 2 2 2 2" xfId="14271" xr:uid="{00000000-0005-0000-0000-00000F930000}"/>
    <cellStyle name="Comma 10 6 2 2 2 2 2" xfId="27188" xr:uid="{00000000-0005-0000-0000-000010930000}"/>
    <cellStyle name="Comma 10 6 2 2 2 2 2 2" xfId="53062" xr:uid="{00000000-0005-0000-0000-000011930000}"/>
    <cellStyle name="Comma 10 6 2 2 2 2 3" xfId="40146" xr:uid="{00000000-0005-0000-0000-000012930000}"/>
    <cellStyle name="Comma 10 6 2 2 2 3" xfId="20730" xr:uid="{00000000-0005-0000-0000-000013930000}"/>
    <cellStyle name="Comma 10 6 2 2 2 3 2" xfId="46604" xr:uid="{00000000-0005-0000-0000-000014930000}"/>
    <cellStyle name="Comma 10 6 2 2 2 4" xfId="33688" xr:uid="{00000000-0005-0000-0000-000015930000}"/>
    <cellStyle name="Comma 10 6 2 2 3" xfId="11043" xr:uid="{00000000-0005-0000-0000-000016930000}"/>
    <cellStyle name="Comma 10 6 2 2 3 2" xfId="23960" xr:uid="{00000000-0005-0000-0000-000017930000}"/>
    <cellStyle name="Comma 10 6 2 2 3 2 2" xfId="49834" xr:uid="{00000000-0005-0000-0000-000018930000}"/>
    <cellStyle name="Comma 10 6 2 2 3 3" xfId="36918" xr:uid="{00000000-0005-0000-0000-000019930000}"/>
    <cellStyle name="Comma 10 6 2 2 4" xfId="17502" xr:uid="{00000000-0005-0000-0000-00001A930000}"/>
    <cellStyle name="Comma 10 6 2 2 4 2" xfId="43376" xr:uid="{00000000-0005-0000-0000-00001B930000}"/>
    <cellStyle name="Comma 10 6 2 2 5" xfId="30428" xr:uid="{00000000-0005-0000-0000-00001C930000}"/>
    <cellStyle name="Comma 10 6 2 3" xfId="6198" xr:uid="{00000000-0005-0000-0000-00001D930000}"/>
    <cellStyle name="Comma 10 6 2 3 2" xfId="12657" xr:uid="{00000000-0005-0000-0000-00001E930000}"/>
    <cellStyle name="Comma 10 6 2 3 2 2" xfId="25574" xr:uid="{00000000-0005-0000-0000-00001F930000}"/>
    <cellStyle name="Comma 10 6 2 3 2 2 2" xfId="51448" xr:uid="{00000000-0005-0000-0000-000020930000}"/>
    <cellStyle name="Comma 10 6 2 3 2 3" xfId="38532" xr:uid="{00000000-0005-0000-0000-000021930000}"/>
    <cellStyle name="Comma 10 6 2 3 3" xfId="19116" xr:uid="{00000000-0005-0000-0000-000022930000}"/>
    <cellStyle name="Comma 10 6 2 3 3 2" xfId="44990" xr:uid="{00000000-0005-0000-0000-000023930000}"/>
    <cellStyle name="Comma 10 6 2 3 4" xfId="32074" xr:uid="{00000000-0005-0000-0000-000024930000}"/>
    <cellStyle name="Comma 10 6 2 4" xfId="9429" xr:uid="{00000000-0005-0000-0000-000025930000}"/>
    <cellStyle name="Comma 10 6 2 4 2" xfId="22346" xr:uid="{00000000-0005-0000-0000-000026930000}"/>
    <cellStyle name="Comma 10 6 2 4 2 2" xfId="48220" xr:uid="{00000000-0005-0000-0000-000027930000}"/>
    <cellStyle name="Comma 10 6 2 4 3" xfId="35304" xr:uid="{00000000-0005-0000-0000-000028930000}"/>
    <cellStyle name="Comma 10 6 2 5" xfId="15888" xr:uid="{00000000-0005-0000-0000-000029930000}"/>
    <cellStyle name="Comma 10 6 2 5 2" xfId="41762" xr:uid="{00000000-0005-0000-0000-00002A930000}"/>
    <cellStyle name="Comma 10 6 2 6" xfId="28814" xr:uid="{00000000-0005-0000-0000-00002B930000}"/>
    <cellStyle name="Comma 10 6 3" xfId="3751" xr:uid="{00000000-0005-0000-0000-00002C930000}"/>
    <cellStyle name="Comma 10 6 3 2" xfId="7005" xr:uid="{00000000-0005-0000-0000-00002D930000}"/>
    <cellStyle name="Comma 10 6 3 2 2" xfId="13464" xr:uid="{00000000-0005-0000-0000-00002E930000}"/>
    <cellStyle name="Comma 10 6 3 2 2 2" xfId="26381" xr:uid="{00000000-0005-0000-0000-00002F930000}"/>
    <cellStyle name="Comma 10 6 3 2 2 2 2" xfId="52255" xr:uid="{00000000-0005-0000-0000-000030930000}"/>
    <cellStyle name="Comma 10 6 3 2 2 3" xfId="39339" xr:uid="{00000000-0005-0000-0000-000031930000}"/>
    <cellStyle name="Comma 10 6 3 2 3" xfId="19923" xr:uid="{00000000-0005-0000-0000-000032930000}"/>
    <cellStyle name="Comma 10 6 3 2 3 2" xfId="45797" xr:uid="{00000000-0005-0000-0000-000033930000}"/>
    <cellStyle name="Comma 10 6 3 2 4" xfId="32881" xr:uid="{00000000-0005-0000-0000-000034930000}"/>
    <cellStyle name="Comma 10 6 3 3" xfId="10236" xr:uid="{00000000-0005-0000-0000-000035930000}"/>
    <cellStyle name="Comma 10 6 3 3 2" xfId="23153" xr:uid="{00000000-0005-0000-0000-000036930000}"/>
    <cellStyle name="Comma 10 6 3 3 2 2" xfId="49027" xr:uid="{00000000-0005-0000-0000-000037930000}"/>
    <cellStyle name="Comma 10 6 3 3 3" xfId="36111" xr:uid="{00000000-0005-0000-0000-000038930000}"/>
    <cellStyle name="Comma 10 6 3 4" xfId="16695" xr:uid="{00000000-0005-0000-0000-000039930000}"/>
    <cellStyle name="Comma 10 6 3 4 2" xfId="42569" xr:uid="{00000000-0005-0000-0000-00003A930000}"/>
    <cellStyle name="Comma 10 6 3 5" xfId="29621" xr:uid="{00000000-0005-0000-0000-00003B930000}"/>
    <cellStyle name="Comma 10 6 4" xfId="5391" xr:uid="{00000000-0005-0000-0000-00003C930000}"/>
    <cellStyle name="Comma 10 6 4 2" xfId="11850" xr:uid="{00000000-0005-0000-0000-00003D930000}"/>
    <cellStyle name="Comma 10 6 4 2 2" xfId="24767" xr:uid="{00000000-0005-0000-0000-00003E930000}"/>
    <cellStyle name="Comma 10 6 4 2 2 2" xfId="50641" xr:uid="{00000000-0005-0000-0000-00003F930000}"/>
    <cellStyle name="Comma 10 6 4 2 3" xfId="37725" xr:uid="{00000000-0005-0000-0000-000040930000}"/>
    <cellStyle name="Comma 10 6 4 3" xfId="18309" xr:uid="{00000000-0005-0000-0000-000041930000}"/>
    <cellStyle name="Comma 10 6 4 3 2" xfId="44183" xr:uid="{00000000-0005-0000-0000-000042930000}"/>
    <cellStyle name="Comma 10 6 4 4" xfId="31267" xr:uid="{00000000-0005-0000-0000-000043930000}"/>
    <cellStyle name="Comma 10 6 5" xfId="8622" xr:uid="{00000000-0005-0000-0000-000044930000}"/>
    <cellStyle name="Comma 10 6 5 2" xfId="21539" xr:uid="{00000000-0005-0000-0000-000045930000}"/>
    <cellStyle name="Comma 10 6 5 2 2" xfId="47413" xr:uid="{00000000-0005-0000-0000-000046930000}"/>
    <cellStyle name="Comma 10 6 5 3" xfId="34497" xr:uid="{00000000-0005-0000-0000-000047930000}"/>
    <cellStyle name="Comma 10 6 6" xfId="15081" xr:uid="{00000000-0005-0000-0000-000048930000}"/>
    <cellStyle name="Comma 10 6 6 2" xfId="40955" xr:uid="{00000000-0005-0000-0000-000049930000}"/>
    <cellStyle name="Comma 10 6 7" xfId="28007" xr:uid="{00000000-0005-0000-0000-00004A930000}"/>
    <cellStyle name="Comma 10 6 8" xfId="53869" xr:uid="{00000000-0005-0000-0000-00004B930000}"/>
    <cellStyle name="Comma 10 6 9" xfId="2108" xr:uid="{00000000-0005-0000-0000-00004C930000}"/>
    <cellStyle name="Comma 10 7" xfId="806" xr:uid="{00000000-0005-0000-0000-00004D930000}"/>
    <cellStyle name="Comma 10 7 2" xfId="4154" xr:uid="{00000000-0005-0000-0000-00004E930000}"/>
    <cellStyle name="Comma 10 7 2 2" xfId="7385" xr:uid="{00000000-0005-0000-0000-00004F930000}"/>
    <cellStyle name="Comma 10 7 2 2 2" xfId="13844" xr:uid="{00000000-0005-0000-0000-000050930000}"/>
    <cellStyle name="Comma 10 7 2 2 2 2" xfId="26761" xr:uid="{00000000-0005-0000-0000-000051930000}"/>
    <cellStyle name="Comma 10 7 2 2 2 2 2" xfId="52635" xr:uid="{00000000-0005-0000-0000-000052930000}"/>
    <cellStyle name="Comma 10 7 2 2 2 3" xfId="39719" xr:uid="{00000000-0005-0000-0000-000053930000}"/>
    <cellStyle name="Comma 10 7 2 2 3" xfId="20303" xr:uid="{00000000-0005-0000-0000-000054930000}"/>
    <cellStyle name="Comma 10 7 2 2 3 2" xfId="46177" xr:uid="{00000000-0005-0000-0000-000055930000}"/>
    <cellStyle name="Comma 10 7 2 2 4" xfId="33261" xr:uid="{00000000-0005-0000-0000-000056930000}"/>
    <cellStyle name="Comma 10 7 2 3" xfId="10616" xr:uid="{00000000-0005-0000-0000-000057930000}"/>
    <cellStyle name="Comma 10 7 2 3 2" xfId="23533" xr:uid="{00000000-0005-0000-0000-000058930000}"/>
    <cellStyle name="Comma 10 7 2 3 2 2" xfId="49407" xr:uid="{00000000-0005-0000-0000-000059930000}"/>
    <cellStyle name="Comma 10 7 2 3 3" xfId="36491" xr:uid="{00000000-0005-0000-0000-00005A930000}"/>
    <cellStyle name="Comma 10 7 2 4" xfId="17075" xr:uid="{00000000-0005-0000-0000-00005B930000}"/>
    <cellStyle name="Comma 10 7 2 4 2" xfId="42949" xr:uid="{00000000-0005-0000-0000-00005C930000}"/>
    <cellStyle name="Comma 10 7 2 5" xfId="30001" xr:uid="{00000000-0005-0000-0000-00005D930000}"/>
    <cellStyle name="Comma 10 7 3" xfId="5771" xr:uid="{00000000-0005-0000-0000-00005E930000}"/>
    <cellStyle name="Comma 10 7 3 2" xfId="12230" xr:uid="{00000000-0005-0000-0000-00005F930000}"/>
    <cellStyle name="Comma 10 7 3 2 2" xfId="25147" xr:uid="{00000000-0005-0000-0000-000060930000}"/>
    <cellStyle name="Comma 10 7 3 2 2 2" xfId="51021" xr:uid="{00000000-0005-0000-0000-000061930000}"/>
    <cellStyle name="Comma 10 7 3 2 3" xfId="38105" xr:uid="{00000000-0005-0000-0000-000062930000}"/>
    <cellStyle name="Comma 10 7 3 3" xfId="18689" xr:uid="{00000000-0005-0000-0000-000063930000}"/>
    <cellStyle name="Comma 10 7 3 3 2" xfId="44563" xr:uid="{00000000-0005-0000-0000-000064930000}"/>
    <cellStyle name="Comma 10 7 3 4" xfId="31647" xr:uid="{00000000-0005-0000-0000-000065930000}"/>
    <cellStyle name="Comma 10 7 4" xfId="9002" xr:uid="{00000000-0005-0000-0000-000066930000}"/>
    <cellStyle name="Comma 10 7 4 2" xfId="21919" xr:uid="{00000000-0005-0000-0000-000067930000}"/>
    <cellStyle name="Comma 10 7 4 2 2" xfId="47793" xr:uid="{00000000-0005-0000-0000-000068930000}"/>
    <cellStyle name="Comma 10 7 4 3" xfId="34877" xr:uid="{00000000-0005-0000-0000-000069930000}"/>
    <cellStyle name="Comma 10 7 5" xfId="15461" xr:uid="{00000000-0005-0000-0000-00006A930000}"/>
    <cellStyle name="Comma 10 7 5 2" xfId="41335" xr:uid="{00000000-0005-0000-0000-00006B930000}"/>
    <cellStyle name="Comma 10 7 6" xfId="28387" xr:uid="{00000000-0005-0000-0000-00006C930000}"/>
    <cellStyle name="Comma 10 7 7" xfId="2497" xr:uid="{00000000-0005-0000-0000-00006D930000}"/>
    <cellStyle name="Comma 10 8" xfId="3316" xr:uid="{00000000-0005-0000-0000-00006E930000}"/>
    <cellStyle name="Comma 10 8 2" xfId="6578" xr:uid="{00000000-0005-0000-0000-00006F930000}"/>
    <cellStyle name="Comma 10 8 2 2" xfId="13037" xr:uid="{00000000-0005-0000-0000-000070930000}"/>
    <cellStyle name="Comma 10 8 2 2 2" xfId="25954" xr:uid="{00000000-0005-0000-0000-000071930000}"/>
    <cellStyle name="Comma 10 8 2 2 2 2" xfId="51828" xr:uid="{00000000-0005-0000-0000-000072930000}"/>
    <cellStyle name="Comma 10 8 2 2 3" xfId="38912" xr:uid="{00000000-0005-0000-0000-000073930000}"/>
    <cellStyle name="Comma 10 8 2 3" xfId="19496" xr:uid="{00000000-0005-0000-0000-000074930000}"/>
    <cellStyle name="Comma 10 8 2 3 2" xfId="45370" xr:uid="{00000000-0005-0000-0000-000075930000}"/>
    <cellStyle name="Comma 10 8 2 4" xfId="32454" xr:uid="{00000000-0005-0000-0000-000076930000}"/>
    <cellStyle name="Comma 10 8 3" xfId="9809" xr:uid="{00000000-0005-0000-0000-000077930000}"/>
    <cellStyle name="Comma 10 8 3 2" xfId="22726" xr:uid="{00000000-0005-0000-0000-000078930000}"/>
    <cellStyle name="Comma 10 8 3 2 2" xfId="48600" xr:uid="{00000000-0005-0000-0000-000079930000}"/>
    <cellStyle name="Comma 10 8 3 3" xfId="35684" xr:uid="{00000000-0005-0000-0000-00007A930000}"/>
    <cellStyle name="Comma 10 8 4" xfId="16268" xr:uid="{00000000-0005-0000-0000-00007B930000}"/>
    <cellStyle name="Comma 10 8 4 2" xfId="42142" xr:uid="{00000000-0005-0000-0000-00007C930000}"/>
    <cellStyle name="Comma 10 8 5" xfId="29194" xr:uid="{00000000-0005-0000-0000-00007D930000}"/>
    <cellStyle name="Comma 10 9" xfId="4964" xr:uid="{00000000-0005-0000-0000-00007E930000}"/>
    <cellStyle name="Comma 10 9 2" xfId="11423" xr:uid="{00000000-0005-0000-0000-00007F930000}"/>
    <cellStyle name="Comma 10 9 2 2" xfId="24340" xr:uid="{00000000-0005-0000-0000-000080930000}"/>
    <cellStyle name="Comma 10 9 2 2 2" xfId="50214" xr:uid="{00000000-0005-0000-0000-000081930000}"/>
    <cellStyle name="Comma 10 9 2 3" xfId="37298" xr:uid="{00000000-0005-0000-0000-000082930000}"/>
    <cellStyle name="Comma 10 9 3" xfId="17882" xr:uid="{00000000-0005-0000-0000-000083930000}"/>
    <cellStyle name="Comma 10 9 3 2" xfId="43756" xr:uid="{00000000-0005-0000-0000-000084930000}"/>
    <cellStyle name="Comma 10 9 4" xfId="30840" xr:uid="{00000000-0005-0000-0000-000085930000}"/>
    <cellStyle name="Comma 11" xfId="214" xr:uid="{00000000-0005-0000-0000-000086930000}"/>
    <cellStyle name="Comma 11 2" xfId="408" xr:uid="{00000000-0005-0000-0000-000087930000}"/>
    <cellStyle name="Comma 11 2 2" xfId="824" xr:uid="{00000000-0005-0000-0000-000088930000}"/>
    <cellStyle name="Comma 11 2 3" xfId="823" xr:uid="{00000000-0005-0000-0000-000089930000}"/>
    <cellStyle name="Comma 11 2 4" xfId="1750" xr:uid="{00000000-0005-0000-0000-00008A930000}"/>
    <cellStyle name="Comma 11 3" xfId="825" xr:uid="{00000000-0005-0000-0000-00008B930000}"/>
    <cellStyle name="Comma 11 3 10" xfId="53565" xr:uid="{00000000-0005-0000-0000-00008C930000}"/>
    <cellStyle name="Comma 11 3 11" xfId="1649" xr:uid="{00000000-0005-0000-0000-00008D930000}"/>
    <cellStyle name="Comma 11 3 2" xfId="1974" xr:uid="{00000000-0005-0000-0000-00008E930000}"/>
    <cellStyle name="Comma 11 3 2 2" xfId="2405" xr:uid="{00000000-0005-0000-0000-00008F930000}"/>
    <cellStyle name="Comma 11 3 2 2 2" xfId="3218" xr:uid="{00000000-0005-0000-0000-000090930000}"/>
    <cellStyle name="Comma 11 3 2 2 2 2" xfId="4875" xr:uid="{00000000-0005-0000-0000-000091930000}"/>
    <cellStyle name="Comma 11 3 2 2 2 2 2" xfId="8106" xr:uid="{00000000-0005-0000-0000-000092930000}"/>
    <cellStyle name="Comma 11 3 2 2 2 2 2 2" xfId="14565" xr:uid="{00000000-0005-0000-0000-000093930000}"/>
    <cellStyle name="Comma 11 3 2 2 2 2 2 2 2" xfId="27482" xr:uid="{00000000-0005-0000-0000-000094930000}"/>
    <cellStyle name="Comma 11 3 2 2 2 2 2 2 2 2" xfId="53356" xr:uid="{00000000-0005-0000-0000-000095930000}"/>
    <cellStyle name="Comma 11 3 2 2 2 2 2 2 3" xfId="40440" xr:uid="{00000000-0005-0000-0000-000096930000}"/>
    <cellStyle name="Comma 11 3 2 2 2 2 2 3" xfId="21024" xr:uid="{00000000-0005-0000-0000-000097930000}"/>
    <cellStyle name="Comma 11 3 2 2 2 2 2 3 2" xfId="46898" xr:uid="{00000000-0005-0000-0000-000098930000}"/>
    <cellStyle name="Comma 11 3 2 2 2 2 2 4" xfId="33982" xr:uid="{00000000-0005-0000-0000-000099930000}"/>
    <cellStyle name="Comma 11 3 2 2 2 2 3" xfId="11337" xr:uid="{00000000-0005-0000-0000-00009A930000}"/>
    <cellStyle name="Comma 11 3 2 2 2 2 3 2" xfId="24254" xr:uid="{00000000-0005-0000-0000-00009B930000}"/>
    <cellStyle name="Comma 11 3 2 2 2 2 3 2 2" xfId="50128" xr:uid="{00000000-0005-0000-0000-00009C930000}"/>
    <cellStyle name="Comma 11 3 2 2 2 2 3 3" xfId="37212" xr:uid="{00000000-0005-0000-0000-00009D930000}"/>
    <cellStyle name="Comma 11 3 2 2 2 2 4" xfId="17796" xr:uid="{00000000-0005-0000-0000-00009E930000}"/>
    <cellStyle name="Comma 11 3 2 2 2 2 4 2" xfId="43670" xr:uid="{00000000-0005-0000-0000-00009F930000}"/>
    <cellStyle name="Comma 11 3 2 2 2 2 5" xfId="30722" xr:uid="{00000000-0005-0000-0000-0000A0930000}"/>
    <cellStyle name="Comma 11 3 2 2 2 3" xfId="6492" xr:uid="{00000000-0005-0000-0000-0000A1930000}"/>
    <cellStyle name="Comma 11 3 2 2 2 3 2" xfId="12951" xr:uid="{00000000-0005-0000-0000-0000A2930000}"/>
    <cellStyle name="Comma 11 3 2 2 2 3 2 2" xfId="25868" xr:uid="{00000000-0005-0000-0000-0000A3930000}"/>
    <cellStyle name="Comma 11 3 2 2 2 3 2 2 2" xfId="51742" xr:uid="{00000000-0005-0000-0000-0000A4930000}"/>
    <cellStyle name="Comma 11 3 2 2 2 3 2 3" xfId="38826" xr:uid="{00000000-0005-0000-0000-0000A5930000}"/>
    <cellStyle name="Comma 11 3 2 2 2 3 3" xfId="19410" xr:uid="{00000000-0005-0000-0000-0000A6930000}"/>
    <cellStyle name="Comma 11 3 2 2 2 3 3 2" xfId="45284" xr:uid="{00000000-0005-0000-0000-0000A7930000}"/>
    <cellStyle name="Comma 11 3 2 2 2 3 4" xfId="32368" xr:uid="{00000000-0005-0000-0000-0000A8930000}"/>
    <cellStyle name="Comma 11 3 2 2 2 4" xfId="9723" xr:uid="{00000000-0005-0000-0000-0000A9930000}"/>
    <cellStyle name="Comma 11 3 2 2 2 4 2" xfId="22640" xr:uid="{00000000-0005-0000-0000-0000AA930000}"/>
    <cellStyle name="Comma 11 3 2 2 2 4 2 2" xfId="48514" xr:uid="{00000000-0005-0000-0000-0000AB930000}"/>
    <cellStyle name="Comma 11 3 2 2 2 4 3" xfId="35598" xr:uid="{00000000-0005-0000-0000-0000AC930000}"/>
    <cellStyle name="Comma 11 3 2 2 2 5" xfId="16182" xr:uid="{00000000-0005-0000-0000-0000AD930000}"/>
    <cellStyle name="Comma 11 3 2 2 2 5 2" xfId="42056" xr:uid="{00000000-0005-0000-0000-0000AE930000}"/>
    <cellStyle name="Comma 11 3 2 2 2 6" xfId="29108" xr:uid="{00000000-0005-0000-0000-0000AF930000}"/>
    <cellStyle name="Comma 11 3 2 2 3" xfId="4045" xr:uid="{00000000-0005-0000-0000-0000B0930000}"/>
    <cellStyle name="Comma 11 3 2 2 3 2" xfId="7299" xr:uid="{00000000-0005-0000-0000-0000B1930000}"/>
    <cellStyle name="Comma 11 3 2 2 3 2 2" xfId="13758" xr:uid="{00000000-0005-0000-0000-0000B2930000}"/>
    <cellStyle name="Comma 11 3 2 2 3 2 2 2" xfId="26675" xr:uid="{00000000-0005-0000-0000-0000B3930000}"/>
    <cellStyle name="Comma 11 3 2 2 3 2 2 2 2" xfId="52549" xr:uid="{00000000-0005-0000-0000-0000B4930000}"/>
    <cellStyle name="Comma 11 3 2 2 3 2 2 3" xfId="39633" xr:uid="{00000000-0005-0000-0000-0000B5930000}"/>
    <cellStyle name="Comma 11 3 2 2 3 2 3" xfId="20217" xr:uid="{00000000-0005-0000-0000-0000B6930000}"/>
    <cellStyle name="Comma 11 3 2 2 3 2 3 2" xfId="46091" xr:uid="{00000000-0005-0000-0000-0000B7930000}"/>
    <cellStyle name="Comma 11 3 2 2 3 2 4" xfId="33175" xr:uid="{00000000-0005-0000-0000-0000B8930000}"/>
    <cellStyle name="Comma 11 3 2 2 3 3" xfId="10530" xr:uid="{00000000-0005-0000-0000-0000B9930000}"/>
    <cellStyle name="Comma 11 3 2 2 3 3 2" xfId="23447" xr:uid="{00000000-0005-0000-0000-0000BA930000}"/>
    <cellStyle name="Comma 11 3 2 2 3 3 2 2" xfId="49321" xr:uid="{00000000-0005-0000-0000-0000BB930000}"/>
    <cellStyle name="Comma 11 3 2 2 3 3 3" xfId="36405" xr:uid="{00000000-0005-0000-0000-0000BC930000}"/>
    <cellStyle name="Comma 11 3 2 2 3 4" xfId="16989" xr:uid="{00000000-0005-0000-0000-0000BD930000}"/>
    <cellStyle name="Comma 11 3 2 2 3 4 2" xfId="42863" xr:uid="{00000000-0005-0000-0000-0000BE930000}"/>
    <cellStyle name="Comma 11 3 2 2 3 5" xfId="29915" xr:uid="{00000000-0005-0000-0000-0000BF930000}"/>
    <cellStyle name="Comma 11 3 2 2 4" xfId="5685" xr:uid="{00000000-0005-0000-0000-0000C0930000}"/>
    <cellStyle name="Comma 11 3 2 2 4 2" xfId="12144" xr:uid="{00000000-0005-0000-0000-0000C1930000}"/>
    <cellStyle name="Comma 11 3 2 2 4 2 2" xfId="25061" xr:uid="{00000000-0005-0000-0000-0000C2930000}"/>
    <cellStyle name="Comma 11 3 2 2 4 2 2 2" xfId="50935" xr:uid="{00000000-0005-0000-0000-0000C3930000}"/>
    <cellStyle name="Comma 11 3 2 2 4 2 3" xfId="38019" xr:uid="{00000000-0005-0000-0000-0000C4930000}"/>
    <cellStyle name="Comma 11 3 2 2 4 3" xfId="18603" xr:uid="{00000000-0005-0000-0000-0000C5930000}"/>
    <cellStyle name="Comma 11 3 2 2 4 3 2" xfId="44477" xr:uid="{00000000-0005-0000-0000-0000C6930000}"/>
    <cellStyle name="Comma 11 3 2 2 4 4" xfId="31561" xr:uid="{00000000-0005-0000-0000-0000C7930000}"/>
    <cellStyle name="Comma 11 3 2 2 5" xfId="8916" xr:uid="{00000000-0005-0000-0000-0000C8930000}"/>
    <cellStyle name="Comma 11 3 2 2 5 2" xfId="21833" xr:uid="{00000000-0005-0000-0000-0000C9930000}"/>
    <cellStyle name="Comma 11 3 2 2 5 2 2" xfId="47707" xr:uid="{00000000-0005-0000-0000-0000CA930000}"/>
    <cellStyle name="Comma 11 3 2 2 5 3" xfId="34791" xr:uid="{00000000-0005-0000-0000-0000CB930000}"/>
    <cellStyle name="Comma 11 3 2 2 6" xfId="15375" xr:uid="{00000000-0005-0000-0000-0000CC930000}"/>
    <cellStyle name="Comma 11 3 2 2 6 2" xfId="41249" xr:uid="{00000000-0005-0000-0000-0000CD930000}"/>
    <cellStyle name="Comma 11 3 2 2 7" xfId="28301" xr:uid="{00000000-0005-0000-0000-0000CE930000}"/>
    <cellStyle name="Comma 11 3 2 2 8" xfId="54163" xr:uid="{00000000-0005-0000-0000-0000CF930000}"/>
    <cellStyle name="Comma 11 3 2 3" xfId="2814" xr:uid="{00000000-0005-0000-0000-0000D0930000}"/>
    <cellStyle name="Comma 11 3 2 3 2" xfId="4471" xr:uid="{00000000-0005-0000-0000-0000D1930000}"/>
    <cellStyle name="Comma 11 3 2 3 2 2" xfId="7702" xr:uid="{00000000-0005-0000-0000-0000D2930000}"/>
    <cellStyle name="Comma 11 3 2 3 2 2 2" xfId="14161" xr:uid="{00000000-0005-0000-0000-0000D3930000}"/>
    <cellStyle name="Comma 11 3 2 3 2 2 2 2" xfId="27078" xr:uid="{00000000-0005-0000-0000-0000D4930000}"/>
    <cellStyle name="Comma 11 3 2 3 2 2 2 2 2" xfId="52952" xr:uid="{00000000-0005-0000-0000-0000D5930000}"/>
    <cellStyle name="Comma 11 3 2 3 2 2 2 3" xfId="40036" xr:uid="{00000000-0005-0000-0000-0000D6930000}"/>
    <cellStyle name="Comma 11 3 2 3 2 2 3" xfId="20620" xr:uid="{00000000-0005-0000-0000-0000D7930000}"/>
    <cellStyle name="Comma 11 3 2 3 2 2 3 2" xfId="46494" xr:uid="{00000000-0005-0000-0000-0000D8930000}"/>
    <cellStyle name="Comma 11 3 2 3 2 2 4" xfId="33578" xr:uid="{00000000-0005-0000-0000-0000D9930000}"/>
    <cellStyle name="Comma 11 3 2 3 2 3" xfId="10933" xr:uid="{00000000-0005-0000-0000-0000DA930000}"/>
    <cellStyle name="Comma 11 3 2 3 2 3 2" xfId="23850" xr:uid="{00000000-0005-0000-0000-0000DB930000}"/>
    <cellStyle name="Comma 11 3 2 3 2 3 2 2" xfId="49724" xr:uid="{00000000-0005-0000-0000-0000DC930000}"/>
    <cellStyle name="Comma 11 3 2 3 2 3 3" xfId="36808" xr:uid="{00000000-0005-0000-0000-0000DD930000}"/>
    <cellStyle name="Comma 11 3 2 3 2 4" xfId="17392" xr:uid="{00000000-0005-0000-0000-0000DE930000}"/>
    <cellStyle name="Comma 11 3 2 3 2 4 2" xfId="43266" xr:uid="{00000000-0005-0000-0000-0000DF930000}"/>
    <cellStyle name="Comma 11 3 2 3 2 5" xfId="30318" xr:uid="{00000000-0005-0000-0000-0000E0930000}"/>
    <cellStyle name="Comma 11 3 2 3 3" xfId="6088" xr:uid="{00000000-0005-0000-0000-0000E1930000}"/>
    <cellStyle name="Comma 11 3 2 3 3 2" xfId="12547" xr:uid="{00000000-0005-0000-0000-0000E2930000}"/>
    <cellStyle name="Comma 11 3 2 3 3 2 2" xfId="25464" xr:uid="{00000000-0005-0000-0000-0000E3930000}"/>
    <cellStyle name="Comma 11 3 2 3 3 2 2 2" xfId="51338" xr:uid="{00000000-0005-0000-0000-0000E4930000}"/>
    <cellStyle name="Comma 11 3 2 3 3 2 3" xfId="38422" xr:uid="{00000000-0005-0000-0000-0000E5930000}"/>
    <cellStyle name="Comma 11 3 2 3 3 3" xfId="19006" xr:uid="{00000000-0005-0000-0000-0000E6930000}"/>
    <cellStyle name="Comma 11 3 2 3 3 3 2" xfId="44880" xr:uid="{00000000-0005-0000-0000-0000E7930000}"/>
    <cellStyle name="Comma 11 3 2 3 3 4" xfId="31964" xr:uid="{00000000-0005-0000-0000-0000E8930000}"/>
    <cellStyle name="Comma 11 3 2 3 4" xfId="9319" xr:uid="{00000000-0005-0000-0000-0000E9930000}"/>
    <cellStyle name="Comma 11 3 2 3 4 2" xfId="22236" xr:uid="{00000000-0005-0000-0000-0000EA930000}"/>
    <cellStyle name="Comma 11 3 2 3 4 2 2" xfId="48110" xr:uid="{00000000-0005-0000-0000-0000EB930000}"/>
    <cellStyle name="Comma 11 3 2 3 4 3" xfId="35194" xr:uid="{00000000-0005-0000-0000-0000EC930000}"/>
    <cellStyle name="Comma 11 3 2 3 5" xfId="15778" xr:uid="{00000000-0005-0000-0000-0000ED930000}"/>
    <cellStyle name="Comma 11 3 2 3 5 2" xfId="41652" xr:uid="{00000000-0005-0000-0000-0000EE930000}"/>
    <cellStyle name="Comma 11 3 2 3 6" xfId="28704" xr:uid="{00000000-0005-0000-0000-0000EF930000}"/>
    <cellStyle name="Comma 11 3 2 4" xfId="3641" xr:uid="{00000000-0005-0000-0000-0000F0930000}"/>
    <cellStyle name="Comma 11 3 2 4 2" xfId="6895" xr:uid="{00000000-0005-0000-0000-0000F1930000}"/>
    <cellStyle name="Comma 11 3 2 4 2 2" xfId="13354" xr:uid="{00000000-0005-0000-0000-0000F2930000}"/>
    <cellStyle name="Comma 11 3 2 4 2 2 2" xfId="26271" xr:uid="{00000000-0005-0000-0000-0000F3930000}"/>
    <cellStyle name="Comma 11 3 2 4 2 2 2 2" xfId="52145" xr:uid="{00000000-0005-0000-0000-0000F4930000}"/>
    <cellStyle name="Comma 11 3 2 4 2 2 3" xfId="39229" xr:uid="{00000000-0005-0000-0000-0000F5930000}"/>
    <cellStyle name="Comma 11 3 2 4 2 3" xfId="19813" xr:uid="{00000000-0005-0000-0000-0000F6930000}"/>
    <cellStyle name="Comma 11 3 2 4 2 3 2" xfId="45687" xr:uid="{00000000-0005-0000-0000-0000F7930000}"/>
    <cellStyle name="Comma 11 3 2 4 2 4" xfId="32771" xr:uid="{00000000-0005-0000-0000-0000F8930000}"/>
    <cellStyle name="Comma 11 3 2 4 3" xfId="10126" xr:uid="{00000000-0005-0000-0000-0000F9930000}"/>
    <cellStyle name="Comma 11 3 2 4 3 2" xfId="23043" xr:uid="{00000000-0005-0000-0000-0000FA930000}"/>
    <cellStyle name="Comma 11 3 2 4 3 2 2" xfId="48917" xr:uid="{00000000-0005-0000-0000-0000FB930000}"/>
    <cellStyle name="Comma 11 3 2 4 3 3" xfId="36001" xr:uid="{00000000-0005-0000-0000-0000FC930000}"/>
    <cellStyle name="Comma 11 3 2 4 4" xfId="16585" xr:uid="{00000000-0005-0000-0000-0000FD930000}"/>
    <cellStyle name="Comma 11 3 2 4 4 2" xfId="42459" xr:uid="{00000000-0005-0000-0000-0000FE930000}"/>
    <cellStyle name="Comma 11 3 2 4 5" xfId="29511" xr:uid="{00000000-0005-0000-0000-0000FF930000}"/>
    <cellStyle name="Comma 11 3 2 5" xfId="5281" xr:uid="{00000000-0005-0000-0000-000000940000}"/>
    <cellStyle name="Comma 11 3 2 5 2" xfId="11740" xr:uid="{00000000-0005-0000-0000-000001940000}"/>
    <cellStyle name="Comma 11 3 2 5 2 2" xfId="24657" xr:uid="{00000000-0005-0000-0000-000002940000}"/>
    <cellStyle name="Comma 11 3 2 5 2 2 2" xfId="50531" xr:uid="{00000000-0005-0000-0000-000003940000}"/>
    <cellStyle name="Comma 11 3 2 5 2 3" xfId="37615" xr:uid="{00000000-0005-0000-0000-000004940000}"/>
    <cellStyle name="Comma 11 3 2 5 3" xfId="18199" xr:uid="{00000000-0005-0000-0000-000005940000}"/>
    <cellStyle name="Comma 11 3 2 5 3 2" xfId="44073" xr:uid="{00000000-0005-0000-0000-000006940000}"/>
    <cellStyle name="Comma 11 3 2 5 4" xfId="31157" xr:uid="{00000000-0005-0000-0000-000007940000}"/>
    <cellStyle name="Comma 11 3 2 6" xfId="8512" xr:uid="{00000000-0005-0000-0000-000008940000}"/>
    <cellStyle name="Comma 11 3 2 6 2" xfId="21429" xr:uid="{00000000-0005-0000-0000-000009940000}"/>
    <cellStyle name="Comma 11 3 2 6 2 2" xfId="47303" xr:uid="{00000000-0005-0000-0000-00000A940000}"/>
    <cellStyle name="Comma 11 3 2 6 3" xfId="34387" xr:uid="{00000000-0005-0000-0000-00000B940000}"/>
    <cellStyle name="Comma 11 3 2 7" xfId="14971" xr:uid="{00000000-0005-0000-0000-00000C940000}"/>
    <cellStyle name="Comma 11 3 2 7 2" xfId="40845" xr:uid="{00000000-0005-0000-0000-00000D940000}"/>
    <cellStyle name="Comma 11 3 2 8" xfId="27896" xr:uid="{00000000-0005-0000-0000-00000E940000}"/>
    <cellStyle name="Comma 11 3 2 9" xfId="53759" xr:uid="{00000000-0005-0000-0000-00000F940000}"/>
    <cellStyle name="Comma 11 3 3" xfId="2209" xr:uid="{00000000-0005-0000-0000-000010940000}"/>
    <cellStyle name="Comma 11 3 3 2" xfId="3023" xr:uid="{00000000-0005-0000-0000-000011940000}"/>
    <cellStyle name="Comma 11 3 3 2 2" xfId="4680" xr:uid="{00000000-0005-0000-0000-000012940000}"/>
    <cellStyle name="Comma 11 3 3 2 2 2" xfId="7911" xr:uid="{00000000-0005-0000-0000-000013940000}"/>
    <cellStyle name="Comma 11 3 3 2 2 2 2" xfId="14370" xr:uid="{00000000-0005-0000-0000-000014940000}"/>
    <cellStyle name="Comma 11 3 3 2 2 2 2 2" xfId="27287" xr:uid="{00000000-0005-0000-0000-000015940000}"/>
    <cellStyle name="Comma 11 3 3 2 2 2 2 2 2" xfId="53161" xr:uid="{00000000-0005-0000-0000-000016940000}"/>
    <cellStyle name="Comma 11 3 3 2 2 2 2 3" xfId="40245" xr:uid="{00000000-0005-0000-0000-000017940000}"/>
    <cellStyle name="Comma 11 3 3 2 2 2 3" xfId="20829" xr:uid="{00000000-0005-0000-0000-000018940000}"/>
    <cellStyle name="Comma 11 3 3 2 2 2 3 2" xfId="46703" xr:uid="{00000000-0005-0000-0000-000019940000}"/>
    <cellStyle name="Comma 11 3 3 2 2 2 4" xfId="33787" xr:uid="{00000000-0005-0000-0000-00001A940000}"/>
    <cellStyle name="Comma 11 3 3 2 2 3" xfId="11142" xr:uid="{00000000-0005-0000-0000-00001B940000}"/>
    <cellStyle name="Comma 11 3 3 2 2 3 2" xfId="24059" xr:uid="{00000000-0005-0000-0000-00001C940000}"/>
    <cellStyle name="Comma 11 3 3 2 2 3 2 2" xfId="49933" xr:uid="{00000000-0005-0000-0000-00001D940000}"/>
    <cellStyle name="Comma 11 3 3 2 2 3 3" xfId="37017" xr:uid="{00000000-0005-0000-0000-00001E940000}"/>
    <cellStyle name="Comma 11 3 3 2 2 4" xfId="17601" xr:uid="{00000000-0005-0000-0000-00001F940000}"/>
    <cellStyle name="Comma 11 3 3 2 2 4 2" xfId="43475" xr:uid="{00000000-0005-0000-0000-000020940000}"/>
    <cellStyle name="Comma 11 3 3 2 2 5" xfId="30527" xr:uid="{00000000-0005-0000-0000-000021940000}"/>
    <cellStyle name="Comma 11 3 3 2 3" xfId="6297" xr:uid="{00000000-0005-0000-0000-000022940000}"/>
    <cellStyle name="Comma 11 3 3 2 3 2" xfId="12756" xr:uid="{00000000-0005-0000-0000-000023940000}"/>
    <cellStyle name="Comma 11 3 3 2 3 2 2" xfId="25673" xr:uid="{00000000-0005-0000-0000-000024940000}"/>
    <cellStyle name="Comma 11 3 3 2 3 2 2 2" xfId="51547" xr:uid="{00000000-0005-0000-0000-000025940000}"/>
    <cellStyle name="Comma 11 3 3 2 3 2 3" xfId="38631" xr:uid="{00000000-0005-0000-0000-000026940000}"/>
    <cellStyle name="Comma 11 3 3 2 3 3" xfId="19215" xr:uid="{00000000-0005-0000-0000-000027940000}"/>
    <cellStyle name="Comma 11 3 3 2 3 3 2" xfId="45089" xr:uid="{00000000-0005-0000-0000-000028940000}"/>
    <cellStyle name="Comma 11 3 3 2 3 4" xfId="32173" xr:uid="{00000000-0005-0000-0000-000029940000}"/>
    <cellStyle name="Comma 11 3 3 2 4" xfId="9528" xr:uid="{00000000-0005-0000-0000-00002A940000}"/>
    <cellStyle name="Comma 11 3 3 2 4 2" xfId="22445" xr:uid="{00000000-0005-0000-0000-00002B940000}"/>
    <cellStyle name="Comma 11 3 3 2 4 2 2" xfId="48319" xr:uid="{00000000-0005-0000-0000-00002C940000}"/>
    <cellStyle name="Comma 11 3 3 2 4 3" xfId="35403" xr:uid="{00000000-0005-0000-0000-00002D940000}"/>
    <cellStyle name="Comma 11 3 3 2 5" xfId="15987" xr:uid="{00000000-0005-0000-0000-00002E940000}"/>
    <cellStyle name="Comma 11 3 3 2 5 2" xfId="41861" xr:uid="{00000000-0005-0000-0000-00002F940000}"/>
    <cellStyle name="Comma 11 3 3 2 6" xfId="28913" xr:uid="{00000000-0005-0000-0000-000030940000}"/>
    <cellStyle name="Comma 11 3 3 3" xfId="3850" xr:uid="{00000000-0005-0000-0000-000031940000}"/>
    <cellStyle name="Comma 11 3 3 3 2" xfId="7104" xr:uid="{00000000-0005-0000-0000-000032940000}"/>
    <cellStyle name="Comma 11 3 3 3 2 2" xfId="13563" xr:uid="{00000000-0005-0000-0000-000033940000}"/>
    <cellStyle name="Comma 11 3 3 3 2 2 2" xfId="26480" xr:uid="{00000000-0005-0000-0000-000034940000}"/>
    <cellStyle name="Comma 11 3 3 3 2 2 2 2" xfId="52354" xr:uid="{00000000-0005-0000-0000-000035940000}"/>
    <cellStyle name="Comma 11 3 3 3 2 2 3" xfId="39438" xr:uid="{00000000-0005-0000-0000-000036940000}"/>
    <cellStyle name="Comma 11 3 3 3 2 3" xfId="20022" xr:uid="{00000000-0005-0000-0000-000037940000}"/>
    <cellStyle name="Comma 11 3 3 3 2 3 2" xfId="45896" xr:uid="{00000000-0005-0000-0000-000038940000}"/>
    <cellStyle name="Comma 11 3 3 3 2 4" xfId="32980" xr:uid="{00000000-0005-0000-0000-000039940000}"/>
    <cellStyle name="Comma 11 3 3 3 3" xfId="10335" xr:uid="{00000000-0005-0000-0000-00003A940000}"/>
    <cellStyle name="Comma 11 3 3 3 3 2" xfId="23252" xr:uid="{00000000-0005-0000-0000-00003B940000}"/>
    <cellStyle name="Comma 11 3 3 3 3 2 2" xfId="49126" xr:uid="{00000000-0005-0000-0000-00003C940000}"/>
    <cellStyle name="Comma 11 3 3 3 3 3" xfId="36210" xr:uid="{00000000-0005-0000-0000-00003D940000}"/>
    <cellStyle name="Comma 11 3 3 3 4" xfId="16794" xr:uid="{00000000-0005-0000-0000-00003E940000}"/>
    <cellStyle name="Comma 11 3 3 3 4 2" xfId="42668" xr:uid="{00000000-0005-0000-0000-00003F940000}"/>
    <cellStyle name="Comma 11 3 3 3 5" xfId="29720" xr:uid="{00000000-0005-0000-0000-000040940000}"/>
    <cellStyle name="Comma 11 3 3 4" xfId="5490" xr:uid="{00000000-0005-0000-0000-000041940000}"/>
    <cellStyle name="Comma 11 3 3 4 2" xfId="11949" xr:uid="{00000000-0005-0000-0000-000042940000}"/>
    <cellStyle name="Comma 11 3 3 4 2 2" xfId="24866" xr:uid="{00000000-0005-0000-0000-000043940000}"/>
    <cellStyle name="Comma 11 3 3 4 2 2 2" xfId="50740" xr:uid="{00000000-0005-0000-0000-000044940000}"/>
    <cellStyle name="Comma 11 3 3 4 2 3" xfId="37824" xr:uid="{00000000-0005-0000-0000-000045940000}"/>
    <cellStyle name="Comma 11 3 3 4 3" xfId="18408" xr:uid="{00000000-0005-0000-0000-000046940000}"/>
    <cellStyle name="Comma 11 3 3 4 3 2" xfId="44282" xr:uid="{00000000-0005-0000-0000-000047940000}"/>
    <cellStyle name="Comma 11 3 3 4 4" xfId="31366" xr:uid="{00000000-0005-0000-0000-000048940000}"/>
    <cellStyle name="Comma 11 3 3 5" xfId="8721" xr:uid="{00000000-0005-0000-0000-000049940000}"/>
    <cellStyle name="Comma 11 3 3 5 2" xfId="21638" xr:uid="{00000000-0005-0000-0000-00004A940000}"/>
    <cellStyle name="Comma 11 3 3 5 2 2" xfId="47512" xr:uid="{00000000-0005-0000-0000-00004B940000}"/>
    <cellStyle name="Comma 11 3 3 5 3" xfId="34596" xr:uid="{00000000-0005-0000-0000-00004C940000}"/>
    <cellStyle name="Comma 11 3 3 6" xfId="15180" xr:uid="{00000000-0005-0000-0000-00004D940000}"/>
    <cellStyle name="Comma 11 3 3 6 2" xfId="41054" xr:uid="{00000000-0005-0000-0000-00004E940000}"/>
    <cellStyle name="Comma 11 3 3 7" xfId="28106" xr:uid="{00000000-0005-0000-0000-00004F940000}"/>
    <cellStyle name="Comma 11 3 3 8" xfId="53968" xr:uid="{00000000-0005-0000-0000-000050940000}"/>
    <cellStyle name="Comma 11 3 4" xfId="2620" xr:uid="{00000000-0005-0000-0000-000051940000}"/>
    <cellStyle name="Comma 11 3 4 2" xfId="4277" xr:uid="{00000000-0005-0000-0000-000052940000}"/>
    <cellStyle name="Comma 11 3 4 2 2" xfId="7508" xr:uid="{00000000-0005-0000-0000-000053940000}"/>
    <cellStyle name="Comma 11 3 4 2 2 2" xfId="13967" xr:uid="{00000000-0005-0000-0000-000054940000}"/>
    <cellStyle name="Comma 11 3 4 2 2 2 2" xfId="26884" xr:uid="{00000000-0005-0000-0000-000055940000}"/>
    <cellStyle name="Comma 11 3 4 2 2 2 2 2" xfId="52758" xr:uid="{00000000-0005-0000-0000-000056940000}"/>
    <cellStyle name="Comma 11 3 4 2 2 2 3" xfId="39842" xr:uid="{00000000-0005-0000-0000-000057940000}"/>
    <cellStyle name="Comma 11 3 4 2 2 3" xfId="20426" xr:uid="{00000000-0005-0000-0000-000058940000}"/>
    <cellStyle name="Comma 11 3 4 2 2 3 2" xfId="46300" xr:uid="{00000000-0005-0000-0000-000059940000}"/>
    <cellStyle name="Comma 11 3 4 2 2 4" xfId="33384" xr:uid="{00000000-0005-0000-0000-00005A940000}"/>
    <cellStyle name="Comma 11 3 4 2 3" xfId="10739" xr:uid="{00000000-0005-0000-0000-00005B940000}"/>
    <cellStyle name="Comma 11 3 4 2 3 2" xfId="23656" xr:uid="{00000000-0005-0000-0000-00005C940000}"/>
    <cellStyle name="Comma 11 3 4 2 3 2 2" xfId="49530" xr:uid="{00000000-0005-0000-0000-00005D940000}"/>
    <cellStyle name="Comma 11 3 4 2 3 3" xfId="36614" xr:uid="{00000000-0005-0000-0000-00005E940000}"/>
    <cellStyle name="Comma 11 3 4 2 4" xfId="17198" xr:uid="{00000000-0005-0000-0000-00005F940000}"/>
    <cellStyle name="Comma 11 3 4 2 4 2" xfId="43072" xr:uid="{00000000-0005-0000-0000-000060940000}"/>
    <cellStyle name="Comma 11 3 4 2 5" xfId="30124" xr:uid="{00000000-0005-0000-0000-000061940000}"/>
    <cellStyle name="Comma 11 3 4 3" xfId="5894" xr:uid="{00000000-0005-0000-0000-000062940000}"/>
    <cellStyle name="Comma 11 3 4 3 2" xfId="12353" xr:uid="{00000000-0005-0000-0000-000063940000}"/>
    <cellStyle name="Comma 11 3 4 3 2 2" xfId="25270" xr:uid="{00000000-0005-0000-0000-000064940000}"/>
    <cellStyle name="Comma 11 3 4 3 2 2 2" xfId="51144" xr:uid="{00000000-0005-0000-0000-000065940000}"/>
    <cellStyle name="Comma 11 3 4 3 2 3" xfId="38228" xr:uid="{00000000-0005-0000-0000-000066940000}"/>
    <cellStyle name="Comma 11 3 4 3 3" xfId="18812" xr:uid="{00000000-0005-0000-0000-000067940000}"/>
    <cellStyle name="Comma 11 3 4 3 3 2" xfId="44686" xr:uid="{00000000-0005-0000-0000-000068940000}"/>
    <cellStyle name="Comma 11 3 4 3 4" xfId="31770" xr:uid="{00000000-0005-0000-0000-000069940000}"/>
    <cellStyle name="Comma 11 3 4 4" xfId="9125" xr:uid="{00000000-0005-0000-0000-00006A940000}"/>
    <cellStyle name="Comma 11 3 4 4 2" xfId="22042" xr:uid="{00000000-0005-0000-0000-00006B940000}"/>
    <cellStyle name="Comma 11 3 4 4 2 2" xfId="47916" xr:uid="{00000000-0005-0000-0000-00006C940000}"/>
    <cellStyle name="Comma 11 3 4 4 3" xfId="35000" xr:uid="{00000000-0005-0000-0000-00006D940000}"/>
    <cellStyle name="Comma 11 3 4 5" xfId="15584" xr:uid="{00000000-0005-0000-0000-00006E940000}"/>
    <cellStyle name="Comma 11 3 4 5 2" xfId="41458" xr:uid="{00000000-0005-0000-0000-00006F940000}"/>
    <cellStyle name="Comma 11 3 4 6" xfId="28510" xr:uid="{00000000-0005-0000-0000-000070940000}"/>
    <cellStyle name="Comma 11 3 5" xfId="3447" xr:uid="{00000000-0005-0000-0000-000071940000}"/>
    <cellStyle name="Comma 11 3 5 2" xfId="6701" xr:uid="{00000000-0005-0000-0000-000072940000}"/>
    <cellStyle name="Comma 11 3 5 2 2" xfId="13160" xr:uid="{00000000-0005-0000-0000-000073940000}"/>
    <cellStyle name="Comma 11 3 5 2 2 2" xfId="26077" xr:uid="{00000000-0005-0000-0000-000074940000}"/>
    <cellStyle name="Comma 11 3 5 2 2 2 2" xfId="51951" xr:uid="{00000000-0005-0000-0000-000075940000}"/>
    <cellStyle name="Comma 11 3 5 2 2 3" xfId="39035" xr:uid="{00000000-0005-0000-0000-000076940000}"/>
    <cellStyle name="Comma 11 3 5 2 3" xfId="19619" xr:uid="{00000000-0005-0000-0000-000077940000}"/>
    <cellStyle name="Comma 11 3 5 2 3 2" xfId="45493" xr:uid="{00000000-0005-0000-0000-000078940000}"/>
    <cellStyle name="Comma 11 3 5 2 4" xfId="32577" xr:uid="{00000000-0005-0000-0000-000079940000}"/>
    <cellStyle name="Comma 11 3 5 3" xfId="9932" xr:uid="{00000000-0005-0000-0000-00007A940000}"/>
    <cellStyle name="Comma 11 3 5 3 2" xfId="22849" xr:uid="{00000000-0005-0000-0000-00007B940000}"/>
    <cellStyle name="Comma 11 3 5 3 2 2" xfId="48723" xr:uid="{00000000-0005-0000-0000-00007C940000}"/>
    <cellStyle name="Comma 11 3 5 3 3" xfId="35807" xr:uid="{00000000-0005-0000-0000-00007D940000}"/>
    <cellStyle name="Comma 11 3 5 4" xfId="16391" xr:uid="{00000000-0005-0000-0000-00007E940000}"/>
    <cellStyle name="Comma 11 3 5 4 2" xfId="42265" xr:uid="{00000000-0005-0000-0000-00007F940000}"/>
    <cellStyle name="Comma 11 3 5 5" xfId="29317" xr:uid="{00000000-0005-0000-0000-000080940000}"/>
    <cellStyle name="Comma 11 3 6" xfId="5087" xr:uid="{00000000-0005-0000-0000-000081940000}"/>
    <cellStyle name="Comma 11 3 6 2" xfId="11546" xr:uid="{00000000-0005-0000-0000-000082940000}"/>
    <cellStyle name="Comma 11 3 6 2 2" xfId="24463" xr:uid="{00000000-0005-0000-0000-000083940000}"/>
    <cellStyle name="Comma 11 3 6 2 2 2" xfId="50337" xr:uid="{00000000-0005-0000-0000-000084940000}"/>
    <cellStyle name="Comma 11 3 6 2 3" xfId="37421" xr:uid="{00000000-0005-0000-0000-000085940000}"/>
    <cellStyle name="Comma 11 3 6 3" xfId="18005" xr:uid="{00000000-0005-0000-0000-000086940000}"/>
    <cellStyle name="Comma 11 3 6 3 2" xfId="43879" xr:uid="{00000000-0005-0000-0000-000087940000}"/>
    <cellStyle name="Comma 11 3 6 4" xfId="30963" xr:uid="{00000000-0005-0000-0000-000088940000}"/>
    <cellStyle name="Comma 11 3 7" xfId="8317" xr:uid="{00000000-0005-0000-0000-000089940000}"/>
    <cellStyle name="Comma 11 3 7 2" xfId="21234" xr:uid="{00000000-0005-0000-0000-00008A940000}"/>
    <cellStyle name="Comma 11 3 7 2 2" xfId="47108" xr:uid="{00000000-0005-0000-0000-00008B940000}"/>
    <cellStyle name="Comma 11 3 7 3" xfId="34192" xr:uid="{00000000-0005-0000-0000-00008C940000}"/>
    <cellStyle name="Comma 11 3 8" xfId="14776" xr:uid="{00000000-0005-0000-0000-00008D940000}"/>
    <cellStyle name="Comma 11 3 8 2" xfId="40650" xr:uid="{00000000-0005-0000-0000-00008E940000}"/>
    <cellStyle name="Comma 11 3 9" xfId="27700" xr:uid="{00000000-0005-0000-0000-00008F940000}"/>
    <cellStyle name="Comma 11 4" xfId="822" xr:uid="{00000000-0005-0000-0000-000090940000}"/>
    <cellStyle name="Comma 11 5" xfId="1460" xr:uid="{00000000-0005-0000-0000-000091940000}"/>
    <cellStyle name="Comma 12" xfId="826" xr:uid="{00000000-0005-0000-0000-000092940000}"/>
    <cellStyle name="Comma 13" xfId="1754" xr:uid="{00000000-0005-0000-0000-000093940000}"/>
    <cellStyle name="Comma 13 10" xfId="53604" xr:uid="{00000000-0005-0000-0000-000094940000}"/>
    <cellStyle name="Comma 13 2" xfId="2013" xr:uid="{00000000-0005-0000-0000-000095940000}"/>
    <cellStyle name="Comma 13 2 2" xfId="2444" xr:uid="{00000000-0005-0000-0000-000096940000}"/>
    <cellStyle name="Comma 13 2 2 2" xfId="3257" xr:uid="{00000000-0005-0000-0000-000097940000}"/>
    <cellStyle name="Comma 13 2 2 2 2" xfId="4914" xr:uid="{00000000-0005-0000-0000-000098940000}"/>
    <cellStyle name="Comma 13 2 2 2 2 2" xfId="8145" xr:uid="{00000000-0005-0000-0000-000099940000}"/>
    <cellStyle name="Comma 13 2 2 2 2 2 2" xfId="14604" xr:uid="{00000000-0005-0000-0000-00009A940000}"/>
    <cellStyle name="Comma 13 2 2 2 2 2 2 2" xfId="27521" xr:uid="{00000000-0005-0000-0000-00009B940000}"/>
    <cellStyle name="Comma 13 2 2 2 2 2 2 2 2" xfId="53395" xr:uid="{00000000-0005-0000-0000-00009C940000}"/>
    <cellStyle name="Comma 13 2 2 2 2 2 2 3" xfId="40479" xr:uid="{00000000-0005-0000-0000-00009D940000}"/>
    <cellStyle name="Comma 13 2 2 2 2 2 3" xfId="21063" xr:uid="{00000000-0005-0000-0000-00009E940000}"/>
    <cellStyle name="Comma 13 2 2 2 2 2 3 2" xfId="46937" xr:uid="{00000000-0005-0000-0000-00009F940000}"/>
    <cellStyle name="Comma 13 2 2 2 2 2 4" xfId="34021" xr:uid="{00000000-0005-0000-0000-0000A0940000}"/>
    <cellStyle name="Comma 13 2 2 2 2 3" xfId="11376" xr:uid="{00000000-0005-0000-0000-0000A1940000}"/>
    <cellStyle name="Comma 13 2 2 2 2 3 2" xfId="24293" xr:uid="{00000000-0005-0000-0000-0000A2940000}"/>
    <cellStyle name="Comma 13 2 2 2 2 3 2 2" xfId="50167" xr:uid="{00000000-0005-0000-0000-0000A3940000}"/>
    <cellStyle name="Comma 13 2 2 2 2 3 3" xfId="37251" xr:uid="{00000000-0005-0000-0000-0000A4940000}"/>
    <cellStyle name="Comma 13 2 2 2 2 4" xfId="17835" xr:uid="{00000000-0005-0000-0000-0000A5940000}"/>
    <cellStyle name="Comma 13 2 2 2 2 4 2" xfId="43709" xr:uid="{00000000-0005-0000-0000-0000A6940000}"/>
    <cellStyle name="Comma 13 2 2 2 2 5" xfId="30761" xr:uid="{00000000-0005-0000-0000-0000A7940000}"/>
    <cellStyle name="Comma 13 2 2 2 3" xfId="6531" xr:uid="{00000000-0005-0000-0000-0000A8940000}"/>
    <cellStyle name="Comma 13 2 2 2 3 2" xfId="12990" xr:uid="{00000000-0005-0000-0000-0000A9940000}"/>
    <cellStyle name="Comma 13 2 2 2 3 2 2" xfId="25907" xr:uid="{00000000-0005-0000-0000-0000AA940000}"/>
    <cellStyle name="Comma 13 2 2 2 3 2 2 2" xfId="51781" xr:uid="{00000000-0005-0000-0000-0000AB940000}"/>
    <cellStyle name="Comma 13 2 2 2 3 2 3" xfId="38865" xr:uid="{00000000-0005-0000-0000-0000AC940000}"/>
    <cellStyle name="Comma 13 2 2 2 3 3" xfId="19449" xr:uid="{00000000-0005-0000-0000-0000AD940000}"/>
    <cellStyle name="Comma 13 2 2 2 3 3 2" xfId="45323" xr:uid="{00000000-0005-0000-0000-0000AE940000}"/>
    <cellStyle name="Comma 13 2 2 2 3 4" xfId="32407" xr:uid="{00000000-0005-0000-0000-0000AF940000}"/>
    <cellStyle name="Comma 13 2 2 2 4" xfId="9762" xr:uid="{00000000-0005-0000-0000-0000B0940000}"/>
    <cellStyle name="Comma 13 2 2 2 4 2" xfId="22679" xr:uid="{00000000-0005-0000-0000-0000B1940000}"/>
    <cellStyle name="Comma 13 2 2 2 4 2 2" xfId="48553" xr:uid="{00000000-0005-0000-0000-0000B2940000}"/>
    <cellStyle name="Comma 13 2 2 2 4 3" xfId="35637" xr:uid="{00000000-0005-0000-0000-0000B3940000}"/>
    <cellStyle name="Comma 13 2 2 2 5" xfId="16221" xr:uid="{00000000-0005-0000-0000-0000B4940000}"/>
    <cellStyle name="Comma 13 2 2 2 5 2" xfId="42095" xr:uid="{00000000-0005-0000-0000-0000B5940000}"/>
    <cellStyle name="Comma 13 2 2 2 6" xfId="29147" xr:uid="{00000000-0005-0000-0000-0000B6940000}"/>
    <cellStyle name="Comma 13 2 2 3" xfId="4084" xr:uid="{00000000-0005-0000-0000-0000B7940000}"/>
    <cellStyle name="Comma 13 2 2 3 2" xfId="7338" xr:uid="{00000000-0005-0000-0000-0000B8940000}"/>
    <cellStyle name="Comma 13 2 2 3 2 2" xfId="13797" xr:uid="{00000000-0005-0000-0000-0000B9940000}"/>
    <cellStyle name="Comma 13 2 2 3 2 2 2" xfId="26714" xr:uid="{00000000-0005-0000-0000-0000BA940000}"/>
    <cellStyle name="Comma 13 2 2 3 2 2 2 2" xfId="52588" xr:uid="{00000000-0005-0000-0000-0000BB940000}"/>
    <cellStyle name="Comma 13 2 2 3 2 2 3" xfId="39672" xr:uid="{00000000-0005-0000-0000-0000BC940000}"/>
    <cellStyle name="Comma 13 2 2 3 2 3" xfId="20256" xr:uid="{00000000-0005-0000-0000-0000BD940000}"/>
    <cellStyle name="Comma 13 2 2 3 2 3 2" xfId="46130" xr:uid="{00000000-0005-0000-0000-0000BE940000}"/>
    <cellStyle name="Comma 13 2 2 3 2 4" xfId="33214" xr:uid="{00000000-0005-0000-0000-0000BF940000}"/>
    <cellStyle name="Comma 13 2 2 3 3" xfId="10569" xr:uid="{00000000-0005-0000-0000-0000C0940000}"/>
    <cellStyle name="Comma 13 2 2 3 3 2" xfId="23486" xr:uid="{00000000-0005-0000-0000-0000C1940000}"/>
    <cellStyle name="Comma 13 2 2 3 3 2 2" xfId="49360" xr:uid="{00000000-0005-0000-0000-0000C2940000}"/>
    <cellStyle name="Comma 13 2 2 3 3 3" xfId="36444" xr:uid="{00000000-0005-0000-0000-0000C3940000}"/>
    <cellStyle name="Comma 13 2 2 3 4" xfId="17028" xr:uid="{00000000-0005-0000-0000-0000C4940000}"/>
    <cellStyle name="Comma 13 2 2 3 4 2" xfId="42902" xr:uid="{00000000-0005-0000-0000-0000C5940000}"/>
    <cellStyle name="Comma 13 2 2 3 5" xfId="29954" xr:uid="{00000000-0005-0000-0000-0000C6940000}"/>
    <cellStyle name="Comma 13 2 2 4" xfId="5724" xr:uid="{00000000-0005-0000-0000-0000C7940000}"/>
    <cellStyle name="Comma 13 2 2 4 2" xfId="12183" xr:uid="{00000000-0005-0000-0000-0000C8940000}"/>
    <cellStyle name="Comma 13 2 2 4 2 2" xfId="25100" xr:uid="{00000000-0005-0000-0000-0000C9940000}"/>
    <cellStyle name="Comma 13 2 2 4 2 2 2" xfId="50974" xr:uid="{00000000-0005-0000-0000-0000CA940000}"/>
    <cellStyle name="Comma 13 2 2 4 2 3" xfId="38058" xr:uid="{00000000-0005-0000-0000-0000CB940000}"/>
    <cellStyle name="Comma 13 2 2 4 3" xfId="18642" xr:uid="{00000000-0005-0000-0000-0000CC940000}"/>
    <cellStyle name="Comma 13 2 2 4 3 2" xfId="44516" xr:uid="{00000000-0005-0000-0000-0000CD940000}"/>
    <cellStyle name="Comma 13 2 2 4 4" xfId="31600" xr:uid="{00000000-0005-0000-0000-0000CE940000}"/>
    <cellStyle name="Comma 13 2 2 5" xfId="8955" xr:uid="{00000000-0005-0000-0000-0000CF940000}"/>
    <cellStyle name="Comma 13 2 2 5 2" xfId="21872" xr:uid="{00000000-0005-0000-0000-0000D0940000}"/>
    <cellStyle name="Comma 13 2 2 5 2 2" xfId="47746" xr:uid="{00000000-0005-0000-0000-0000D1940000}"/>
    <cellStyle name="Comma 13 2 2 5 3" xfId="34830" xr:uid="{00000000-0005-0000-0000-0000D2940000}"/>
    <cellStyle name="Comma 13 2 2 6" xfId="15414" xr:uid="{00000000-0005-0000-0000-0000D3940000}"/>
    <cellStyle name="Comma 13 2 2 6 2" xfId="41288" xr:uid="{00000000-0005-0000-0000-0000D4940000}"/>
    <cellStyle name="Comma 13 2 2 7" xfId="28340" xr:uid="{00000000-0005-0000-0000-0000D5940000}"/>
    <cellStyle name="Comma 13 2 2 8" xfId="54202" xr:uid="{00000000-0005-0000-0000-0000D6940000}"/>
    <cellStyle name="Comma 13 2 3" xfId="2853" xr:uid="{00000000-0005-0000-0000-0000D7940000}"/>
    <cellStyle name="Comma 13 2 3 2" xfId="4510" xr:uid="{00000000-0005-0000-0000-0000D8940000}"/>
    <cellStyle name="Comma 13 2 3 2 2" xfId="7741" xr:uid="{00000000-0005-0000-0000-0000D9940000}"/>
    <cellStyle name="Comma 13 2 3 2 2 2" xfId="14200" xr:uid="{00000000-0005-0000-0000-0000DA940000}"/>
    <cellStyle name="Comma 13 2 3 2 2 2 2" xfId="27117" xr:uid="{00000000-0005-0000-0000-0000DB940000}"/>
    <cellStyle name="Comma 13 2 3 2 2 2 2 2" xfId="52991" xr:uid="{00000000-0005-0000-0000-0000DC940000}"/>
    <cellStyle name="Comma 13 2 3 2 2 2 3" xfId="40075" xr:uid="{00000000-0005-0000-0000-0000DD940000}"/>
    <cellStyle name="Comma 13 2 3 2 2 3" xfId="20659" xr:uid="{00000000-0005-0000-0000-0000DE940000}"/>
    <cellStyle name="Comma 13 2 3 2 2 3 2" xfId="46533" xr:uid="{00000000-0005-0000-0000-0000DF940000}"/>
    <cellStyle name="Comma 13 2 3 2 2 4" xfId="33617" xr:uid="{00000000-0005-0000-0000-0000E0940000}"/>
    <cellStyle name="Comma 13 2 3 2 3" xfId="10972" xr:uid="{00000000-0005-0000-0000-0000E1940000}"/>
    <cellStyle name="Comma 13 2 3 2 3 2" xfId="23889" xr:uid="{00000000-0005-0000-0000-0000E2940000}"/>
    <cellStyle name="Comma 13 2 3 2 3 2 2" xfId="49763" xr:uid="{00000000-0005-0000-0000-0000E3940000}"/>
    <cellStyle name="Comma 13 2 3 2 3 3" xfId="36847" xr:uid="{00000000-0005-0000-0000-0000E4940000}"/>
    <cellStyle name="Comma 13 2 3 2 4" xfId="17431" xr:uid="{00000000-0005-0000-0000-0000E5940000}"/>
    <cellStyle name="Comma 13 2 3 2 4 2" xfId="43305" xr:uid="{00000000-0005-0000-0000-0000E6940000}"/>
    <cellStyle name="Comma 13 2 3 2 5" xfId="30357" xr:uid="{00000000-0005-0000-0000-0000E7940000}"/>
    <cellStyle name="Comma 13 2 3 3" xfId="6127" xr:uid="{00000000-0005-0000-0000-0000E8940000}"/>
    <cellStyle name="Comma 13 2 3 3 2" xfId="12586" xr:uid="{00000000-0005-0000-0000-0000E9940000}"/>
    <cellStyle name="Comma 13 2 3 3 2 2" xfId="25503" xr:uid="{00000000-0005-0000-0000-0000EA940000}"/>
    <cellStyle name="Comma 13 2 3 3 2 2 2" xfId="51377" xr:uid="{00000000-0005-0000-0000-0000EB940000}"/>
    <cellStyle name="Comma 13 2 3 3 2 3" xfId="38461" xr:uid="{00000000-0005-0000-0000-0000EC940000}"/>
    <cellStyle name="Comma 13 2 3 3 3" xfId="19045" xr:uid="{00000000-0005-0000-0000-0000ED940000}"/>
    <cellStyle name="Comma 13 2 3 3 3 2" xfId="44919" xr:uid="{00000000-0005-0000-0000-0000EE940000}"/>
    <cellStyle name="Comma 13 2 3 3 4" xfId="32003" xr:uid="{00000000-0005-0000-0000-0000EF940000}"/>
    <cellStyle name="Comma 13 2 3 4" xfId="9358" xr:uid="{00000000-0005-0000-0000-0000F0940000}"/>
    <cellStyle name="Comma 13 2 3 4 2" xfId="22275" xr:uid="{00000000-0005-0000-0000-0000F1940000}"/>
    <cellStyle name="Comma 13 2 3 4 2 2" xfId="48149" xr:uid="{00000000-0005-0000-0000-0000F2940000}"/>
    <cellStyle name="Comma 13 2 3 4 3" xfId="35233" xr:uid="{00000000-0005-0000-0000-0000F3940000}"/>
    <cellStyle name="Comma 13 2 3 5" xfId="15817" xr:uid="{00000000-0005-0000-0000-0000F4940000}"/>
    <cellStyle name="Comma 13 2 3 5 2" xfId="41691" xr:uid="{00000000-0005-0000-0000-0000F5940000}"/>
    <cellStyle name="Comma 13 2 3 6" xfId="28743" xr:uid="{00000000-0005-0000-0000-0000F6940000}"/>
    <cellStyle name="Comma 13 2 4" xfId="3680" xr:uid="{00000000-0005-0000-0000-0000F7940000}"/>
    <cellStyle name="Comma 13 2 4 2" xfId="6934" xr:uid="{00000000-0005-0000-0000-0000F8940000}"/>
    <cellStyle name="Comma 13 2 4 2 2" xfId="13393" xr:uid="{00000000-0005-0000-0000-0000F9940000}"/>
    <cellStyle name="Comma 13 2 4 2 2 2" xfId="26310" xr:uid="{00000000-0005-0000-0000-0000FA940000}"/>
    <cellStyle name="Comma 13 2 4 2 2 2 2" xfId="52184" xr:uid="{00000000-0005-0000-0000-0000FB940000}"/>
    <cellStyle name="Comma 13 2 4 2 2 3" xfId="39268" xr:uid="{00000000-0005-0000-0000-0000FC940000}"/>
    <cellStyle name="Comma 13 2 4 2 3" xfId="19852" xr:uid="{00000000-0005-0000-0000-0000FD940000}"/>
    <cellStyle name="Comma 13 2 4 2 3 2" xfId="45726" xr:uid="{00000000-0005-0000-0000-0000FE940000}"/>
    <cellStyle name="Comma 13 2 4 2 4" xfId="32810" xr:uid="{00000000-0005-0000-0000-0000FF940000}"/>
    <cellStyle name="Comma 13 2 4 3" xfId="10165" xr:uid="{00000000-0005-0000-0000-000000950000}"/>
    <cellStyle name="Comma 13 2 4 3 2" xfId="23082" xr:uid="{00000000-0005-0000-0000-000001950000}"/>
    <cellStyle name="Comma 13 2 4 3 2 2" xfId="48956" xr:uid="{00000000-0005-0000-0000-000002950000}"/>
    <cellStyle name="Comma 13 2 4 3 3" xfId="36040" xr:uid="{00000000-0005-0000-0000-000003950000}"/>
    <cellStyle name="Comma 13 2 4 4" xfId="16624" xr:uid="{00000000-0005-0000-0000-000004950000}"/>
    <cellStyle name="Comma 13 2 4 4 2" xfId="42498" xr:uid="{00000000-0005-0000-0000-000005950000}"/>
    <cellStyle name="Comma 13 2 4 5" xfId="29550" xr:uid="{00000000-0005-0000-0000-000006950000}"/>
    <cellStyle name="Comma 13 2 5" xfId="5320" xr:uid="{00000000-0005-0000-0000-000007950000}"/>
    <cellStyle name="Comma 13 2 5 2" xfId="11779" xr:uid="{00000000-0005-0000-0000-000008950000}"/>
    <cellStyle name="Comma 13 2 5 2 2" xfId="24696" xr:uid="{00000000-0005-0000-0000-000009950000}"/>
    <cellStyle name="Comma 13 2 5 2 2 2" xfId="50570" xr:uid="{00000000-0005-0000-0000-00000A950000}"/>
    <cellStyle name="Comma 13 2 5 2 3" xfId="37654" xr:uid="{00000000-0005-0000-0000-00000B950000}"/>
    <cellStyle name="Comma 13 2 5 3" xfId="18238" xr:uid="{00000000-0005-0000-0000-00000C950000}"/>
    <cellStyle name="Comma 13 2 5 3 2" xfId="44112" xr:uid="{00000000-0005-0000-0000-00000D950000}"/>
    <cellStyle name="Comma 13 2 5 4" xfId="31196" xr:uid="{00000000-0005-0000-0000-00000E950000}"/>
    <cellStyle name="Comma 13 2 6" xfId="8551" xr:uid="{00000000-0005-0000-0000-00000F950000}"/>
    <cellStyle name="Comma 13 2 6 2" xfId="21468" xr:uid="{00000000-0005-0000-0000-000010950000}"/>
    <cellStyle name="Comma 13 2 6 2 2" xfId="47342" xr:uid="{00000000-0005-0000-0000-000011950000}"/>
    <cellStyle name="Comma 13 2 6 3" xfId="34426" xr:uid="{00000000-0005-0000-0000-000012950000}"/>
    <cellStyle name="Comma 13 2 7" xfId="15010" xr:uid="{00000000-0005-0000-0000-000013950000}"/>
    <cellStyle name="Comma 13 2 7 2" xfId="40884" xr:uid="{00000000-0005-0000-0000-000014950000}"/>
    <cellStyle name="Comma 13 2 8" xfId="27935" xr:uid="{00000000-0005-0000-0000-000015950000}"/>
    <cellStyle name="Comma 13 2 9" xfId="53798" xr:uid="{00000000-0005-0000-0000-000016950000}"/>
    <cellStyle name="Comma 13 3" xfId="2248" xr:uid="{00000000-0005-0000-0000-000017950000}"/>
    <cellStyle name="Comma 13 3 2" xfId="3062" xr:uid="{00000000-0005-0000-0000-000018950000}"/>
    <cellStyle name="Comma 13 3 2 2" xfId="4719" xr:uid="{00000000-0005-0000-0000-000019950000}"/>
    <cellStyle name="Comma 13 3 2 2 2" xfId="7950" xr:uid="{00000000-0005-0000-0000-00001A950000}"/>
    <cellStyle name="Comma 13 3 2 2 2 2" xfId="14409" xr:uid="{00000000-0005-0000-0000-00001B950000}"/>
    <cellStyle name="Comma 13 3 2 2 2 2 2" xfId="27326" xr:uid="{00000000-0005-0000-0000-00001C950000}"/>
    <cellStyle name="Comma 13 3 2 2 2 2 2 2" xfId="53200" xr:uid="{00000000-0005-0000-0000-00001D950000}"/>
    <cellStyle name="Comma 13 3 2 2 2 2 3" xfId="40284" xr:uid="{00000000-0005-0000-0000-00001E950000}"/>
    <cellStyle name="Comma 13 3 2 2 2 3" xfId="20868" xr:uid="{00000000-0005-0000-0000-00001F950000}"/>
    <cellStyle name="Comma 13 3 2 2 2 3 2" xfId="46742" xr:uid="{00000000-0005-0000-0000-000020950000}"/>
    <cellStyle name="Comma 13 3 2 2 2 4" xfId="33826" xr:uid="{00000000-0005-0000-0000-000021950000}"/>
    <cellStyle name="Comma 13 3 2 2 3" xfId="11181" xr:uid="{00000000-0005-0000-0000-000022950000}"/>
    <cellStyle name="Comma 13 3 2 2 3 2" xfId="24098" xr:uid="{00000000-0005-0000-0000-000023950000}"/>
    <cellStyle name="Comma 13 3 2 2 3 2 2" xfId="49972" xr:uid="{00000000-0005-0000-0000-000024950000}"/>
    <cellStyle name="Comma 13 3 2 2 3 3" xfId="37056" xr:uid="{00000000-0005-0000-0000-000025950000}"/>
    <cellStyle name="Comma 13 3 2 2 4" xfId="17640" xr:uid="{00000000-0005-0000-0000-000026950000}"/>
    <cellStyle name="Comma 13 3 2 2 4 2" xfId="43514" xr:uid="{00000000-0005-0000-0000-000027950000}"/>
    <cellStyle name="Comma 13 3 2 2 5" xfId="30566" xr:uid="{00000000-0005-0000-0000-000028950000}"/>
    <cellStyle name="Comma 13 3 2 3" xfId="6336" xr:uid="{00000000-0005-0000-0000-000029950000}"/>
    <cellStyle name="Comma 13 3 2 3 2" xfId="12795" xr:uid="{00000000-0005-0000-0000-00002A950000}"/>
    <cellStyle name="Comma 13 3 2 3 2 2" xfId="25712" xr:uid="{00000000-0005-0000-0000-00002B950000}"/>
    <cellStyle name="Comma 13 3 2 3 2 2 2" xfId="51586" xr:uid="{00000000-0005-0000-0000-00002C950000}"/>
    <cellStyle name="Comma 13 3 2 3 2 3" xfId="38670" xr:uid="{00000000-0005-0000-0000-00002D950000}"/>
    <cellStyle name="Comma 13 3 2 3 3" xfId="19254" xr:uid="{00000000-0005-0000-0000-00002E950000}"/>
    <cellStyle name="Comma 13 3 2 3 3 2" xfId="45128" xr:uid="{00000000-0005-0000-0000-00002F950000}"/>
    <cellStyle name="Comma 13 3 2 3 4" xfId="32212" xr:uid="{00000000-0005-0000-0000-000030950000}"/>
    <cellStyle name="Comma 13 3 2 4" xfId="9567" xr:uid="{00000000-0005-0000-0000-000031950000}"/>
    <cellStyle name="Comma 13 3 2 4 2" xfId="22484" xr:uid="{00000000-0005-0000-0000-000032950000}"/>
    <cellStyle name="Comma 13 3 2 4 2 2" xfId="48358" xr:uid="{00000000-0005-0000-0000-000033950000}"/>
    <cellStyle name="Comma 13 3 2 4 3" xfId="35442" xr:uid="{00000000-0005-0000-0000-000034950000}"/>
    <cellStyle name="Comma 13 3 2 5" xfId="16026" xr:uid="{00000000-0005-0000-0000-000035950000}"/>
    <cellStyle name="Comma 13 3 2 5 2" xfId="41900" xr:uid="{00000000-0005-0000-0000-000036950000}"/>
    <cellStyle name="Comma 13 3 2 6" xfId="28952" xr:uid="{00000000-0005-0000-0000-000037950000}"/>
    <cellStyle name="Comma 13 3 3" xfId="3889" xr:uid="{00000000-0005-0000-0000-000038950000}"/>
    <cellStyle name="Comma 13 3 3 2" xfId="7143" xr:uid="{00000000-0005-0000-0000-000039950000}"/>
    <cellStyle name="Comma 13 3 3 2 2" xfId="13602" xr:uid="{00000000-0005-0000-0000-00003A950000}"/>
    <cellStyle name="Comma 13 3 3 2 2 2" xfId="26519" xr:uid="{00000000-0005-0000-0000-00003B950000}"/>
    <cellStyle name="Comma 13 3 3 2 2 2 2" xfId="52393" xr:uid="{00000000-0005-0000-0000-00003C950000}"/>
    <cellStyle name="Comma 13 3 3 2 2 3" xfId="39477" xr:uid="{00000000-0005-0000-0000-00003D950000}"/>
    <cellStyle name="Comma 13 3 3 2 3" xfId="20061" xr:uid="{00000000-0005-0000-0000-00003E950000}"/>
    <cellStyle name="Comma 13 3 3 2 3 2" xfId="45935" xr:uid="{00000000-0005-0000-0000-00003F950000}"/>
    <cellStyle name="Comma 13 3 3 2 4" xfId="33019" xr:uid="{00000000-0005-0000-0000-000040950000}"/>
    <cellStyle name="Comma 13 3 3 3" xfId="10374" xr:uid="{00000000-0005-0000-0000-000041950000}"/>
    <cellStyle name="Comma 13 3 3 3 2" xfId="23291" xr:uid="{00000000-0005-0000-0000-000042950000}"/>
    <cellStyle name="Comma 13 3 3 3 2 2" xfId="49165" xr:uid="{00000000-0005-0000-0000-000043950000}"/>
    <cellStyle name="Comma 13 3 3 3 3" xfId="36249" xr:uid="{00000000-0005-0000-0000-000044950000}"/>
    <cellStyle name="Comma 13 3 3 4" xfId="16833" xr:uid="{00000000-0005-0000-0000-000045950000}"/>
    <cellStyle name="Comma 13 3 3 4 2" xfId="42707" xr:uid="{00000000-0005-0000-0000-000046950000}"/>
    <cellStyle name="Comma 13 3 3 5" xfId="29759" xr:uid="{00000000-0005-0000-0000-000047950000}"/>
    <cellStyle name="Comma 13 3 4" xfId="5529" xr:uid="{00000000-0005-0000-0000-000048950000}"/>
    <cellStyle name="Comma 13 3 4 2" xfId="11988" xr:uid="{00000000-0005-0000-0000-000049950000}"/>
    <cellStyle name="Comma 13 3 4 2 2" xfId="24905" xr:uid="{00000000-0005-0000-0000-00004A950000}"/>
    <cellStyle name="Comma 13 3 4 2 2 2" xfId="50779" xr:uid="{00000000-0005-0000-0000-00004B950000}"/>
    <cellStyle name="Comma 13 3 4 2 3" xfId="37863" xr:uid="{00000000-0005-0000-0000-00004C950000}"/>
    <cellStyle name="Comma 13 3 4 3" xfId="18447" xr:uid="{00000000-0005-0000-0000-00004D950000}"/>
    <cellStyle name="Comma 13 3 4 3 2" xfId="44321" xr:uid="{00000000-0005-0000-0000-00004E950000}"/>
    <cellStyle name="Comma 13 3 4 4" xfId="31405" xr:uid="{00000000-0005-0000-0000-00004F950000}"/>
    <cellStyle name="Comma 13 3 5" xfId="8760" xr:uid="{00000000-0005-0000-0000-000050950000}"/>
    <cellStyle name="Comma 13 3 5 2" xfId="21677" xr:uid="{00000000-0005-0000-0000-000051950000}"/>
    <cellStyle name="Comma 13 3 5 2 2" xfId="47551" xr:uid="{00000000-0005-0000-0000-000052950000}"/>
    <cellStyle name="Comma 13 3 5 3" xfId="34635" xr:uid="{00000000-0005-0000-0000-000053950000}"/>
    <cellStyle name="Comma 13 3 6" xfId="15219" xr:uid="{00000000-0005-0000-0000-000054950000}"/>
    <cellStyle name="Comma 13 3 6 2" xfId="41093" xr:uid="{00000000-0005-0000-0000-000055950000}"/>
    <cellStyle name="Comma 13 3 7" xfId="28145" xr:uid="{00000000-0005-0000-0000-000056950000}"/>
    <cellStyle name="Comma 13 3 8" xfId="54007" xr:uid="{00000000-0005-0000-0000-000057950000}"/>
    <cellStyle name="Comma 13 4" xfId="2659" xr:uid="{00000000-0005-0000-0000-000058950000}"/>
    <cellStyle name="Comma 13 4 2" xfId="4316" xr:uid="{00000000-0005-0000-0000-000059950000}"/>
    <cellStyle name="Comma 13 4 2 2" xfId="7547" xr:uid="{00000000-0005-0000-0000-00005A950000}"/>
    <cellStyle name="Comma 13 4 2 2 2" xfId="14006" xr:uid="{00000000-0005-0000-0000-00005B950000}"/>
    <cellStyle name="Comma 13 4 2 2 2 2" xfId="26923" xr:uid="{00000000-0005-0000-0000-00005C950000}"/>
    <cellStyle name="Comma 13 4 2 2 2 2 2" xfId="52797" xr:uid="{00000000-0005-0000-0000-00005D950000}"/>
    <cellStyle name="Comma 13 4 2 2 2 3" xfId="39881" xr:uid="{00000000-0005-0000-0000-00005E950000}"/>
    <cellStyle name="Comma 13 4 2 2 3" xfId="20465" xr:uid="{00000000-0005-0000-0000-00005F950000}"/>
    <cellStyle name="Comma 13 4 2 2 3 2" xfId="46339" xr:uid="{00000000-0005-0000-0000-000060950000}"/>
    <cellStyle name="Comma 13 4 2 2 4" xfId="33423" xr:uid="{00000000-0005-0000-0000-000061950000}"/>
    <cellStyle name="Comma 13 4 2 3" xfId="10778" xr:uid="{00000000-0005-0000-0000-000062950000}"/>
    <cellStyle name="Comma 13 4 2 3 2" xfId="23695" xr:uid="{00000000-0005-0000-0000-000063950000}"/>
    <cellStyle name="Comma 13 4 2 3 2 2" xfId="49569" xr:uid="{00000000-0005-0000-0000-000064950000}"/>
    <cellStyle name="Comma 13 4 2 3 3" xfId="36653" xr:uid="{00000000-0005-0000-0000-000065950000}"/>
    <cellStyle name="Comma 13 4 2 4" xfId="17237" xr:uid="{00000000-0005-0000-0000-000066950000}"/>
    <cellStyle name="Comma 13 4 2 4 2" xfId="43111" xr:uid="{00000000-0005-0000-0000-000067950000}"/>
    <cellStyle name="Comma 13 4 2 5" xfId="30163" xr:uid="{00000000-0005-0000-0000-000068950000}"/>
    <cellStyle name="Comma 13 4 3" xfId="5933" xr:uid="{00000000-0005-0000-0000-000069950000}"/>
    <cellStyle name="Comma 13 4 3 2" xfId="12392" xr:uid="{00000000-0005-0000-0000-00006A950000}"/>
    <cellStyle name="Comma 13 4 3 2 2" xfId="25309" xr:uid="{00000000-0005-0000-0000-00006B950000}"/>
    <cellStyle name="Comma 13 4 3 2 2 2" xfId="51183" xr:uid="{00000000-0005-0000-0000-00006C950000}"/>
    <cellStyle name="Comma 13 4 3 2 3" xfId="38267" xr:uid="{00000000-0005-0000-0000-00006D950000}"/>
    <cellStyle name="Comma 13 4 3 3" xfId="18851" xr:uid="{00000000-0005-0000-0000-00006E950000}"/>
    <cellStyle name="Comma 13 4 3 3 2" xfId="44725" xr:uid="{00000000-0005-0000-0000-00006F950000}"/>
    <cellStyle name="Comma 13 4 3 4" xfId="31809" xr:uid="{00000000-0005-0000-0000-000070950000}"/>
    <cellStyle name="Comma 13 4 4" xfId="9164" xr:uid="{00000000-0005-0000-0000-000071950000}"/>
    <cellStyle name="Comma 13 4 4 2" xfId="22081" xr:uid="{00000000-0005-0000-0000-000072950000}"/>
    <cellStyle name="Comma 13 4 4 2 2" xfId="47955" xr:uid="{00000000-0005-0000-0000-000073950000}"/>
    <cellStyle name="Comma 13 4 4 3" xfId="35039" xr:uid="{00000000-0005-0000-0000-000074950000}"/>
    <cellStyle name="Comma 13 4 5" xfId="15623" xr:uid="{00000000-0005-0000-0000-000075950000}"/>
    <cellStyle name="Comma 13 4 5 2" xfId="41497" xr:uid="{00000000-0005-0000-0000-000076950000}"/>
    <cellStyle name="Comma 13 4 6" xfId="28549" xr:uid="{00000000-0005-0000-0000-000077950000}"/>
    <cellStyle name="Comma 13 5" xfId="3486" xr:uid="{00000000-0005-0000-0000-000078950000}"/>
    <cellStyle name="Comma 13 5 2" xfId="6740" xr:uid="{00000000-0005-0000-0000-000079950000}"/>
    <cellStyle name="Comma 13 5 2 2" xfId="13199" xr:uid="{00000000-0005-0000-0000-00007A950000}"/>
    <cellStyle name="Comma 13 5 2 2 2" xfId="26116" xr:uid="{00000000-0005-0000-0000-00007B950000}"/>
    <cellStyle name="Comma 13 5 2 2 2 2" xfId="51990" xr:uid="{00000000-0005-0000-0000-00007C950000}"/>
    <cellStyle name="Comma 13 5 2 2 3" xfId="39074" xr:uid="{00000000-0005-0000-0000-00007D950000}"/>
    <cellStyle name="Comma 13 5 2 3" xfId="19658" xr:uid="{00000000-0005-0000-0000-00007E950000}"/>
    <cellStyle name="Comma 13 5 2 3 2" xfId="45532" xr:uid="{00000000-0005-0000-0000-00007F950000}"/>
    <cellStyle name="Comma 13 5 2 4" xfId="32616" xr:uid="{00000000-0005-0000-0000-000080950000}"/>
    <cellStyle name="Comma 13 5 3" xfId="9971" xr:uid="{00000000-0005-0000-0000-000081950000}"/>
    <cellStyle name="Comma 13 5 3 2" xfId="22888" xr:uid="{00000000-0005-0000-0000-000082950000}"/>
    <cellStyle name="Comma 13 5 3 2 2" xfId="48762" xr:uid="{00000000-0005-0000-0000-000083950000}"/>
    <cellStyle name="Comma 13 5 3 3" xfId="35846" xr:uid="{00000000-0005-0000-0000-000084950000}"/>
    <cellStyle name="Comma 13 5 4" xfId="16430" xr:uid="{00000000-0005-0000-0000-000085950000}"/>
    <cellStyle name="Comma 13 5 4 2" xfId="42304" xr:uid="{00000000-0005-0000-0000-000086950000}"/>
    <cellStyle name="Comma 13 5 5" xfId="29356" xr:uid="{00000000-0005-0000-0000-000087950000}"/>
    <cellStyle name="Comma 13 6" xfId="5126" xr:uid="{00000000-0005-0000-0000-000088950000}"/>
    <cellStyle name="Comma 13 6 2" xfId="11585" xr:uid="{00000000-0005-0000-0000-000089950000}"/>
    <cellStyle name="Comma 13 6 2 2" xfId="24502" xr:uid="{00000000-0005-0000-0000-00008A950000}"/>
    <cellStyle name="Comma 13 6 2 2 2" xfId="50376" xr:uid="{00000000-0005-0000-0000-00008B950000}"/>
    <cellStyle name="Comma 13 6 2 3" xfId="37460" xr:uid="{00000000-0005-0000-0000-00008C950000}"/>
    <cellStyle name="Comma 13 6 3" xfId="18044" xr:uid="{00000000-0005-0000-0000-00008D950000}"/>
    <cellStyle name="Comma 13 6 3 2" xfId="43918" xr:uid="{00000000-0005-0000-0000-00008E950000}"/>
    <cellStyle name="Comma 13 6 4" xfId="31002" xr:uid="{00000000-0005-0000-0000-00008F950000}"/>
    <cellStyle name="Comma 13 7" xfId="8356" xr:uid="{00000000-0005-0000-0000-000090950000}"/>
    <cellStyle name="Comma 13 7 2" xfId="21273" xr:uid="{00000000-0005-0000-0000-000091950000}"/>
    <cellStyle name="Comma 13 7 2 2" xfId="47147" xr:uid="{00000000-0005-0000-0000-000092950000}"/>
    <cellStyle name="Comma 13 7 3" xfId="34231" xr:uid="{00000000-0005-0000-0000-000093950000}"/>
    <cellStyle name="Comma 13 8" xfId="14815" xr:uid="{00000000-0005-0000-0000-000094950000}"/>
    <cellStyle name="Comma 13 8 2" xfId="40689" xr:uid="{00000000-0005-0000-0000-000095950000}"/>
    <cellStyle name="Comma 13 9" xfId="27741" xr:uid="{00000000-0005-0000-0000-000096950000}"/>
    <cellStyle name="Comma 14" xfId="8194" xr:uid="{00000000-0005-0000-0000-000097950000}"/>
    <cellStyle name="Comma 14 2" xfId="21112" xr:uid="{00000000-0005-0000-0000-000098950000}"/>
    <cellStyle name="Comma 14 2 2" xfId="46986" xr:uid="{00000000-0005-0000-0000-000099950000}"/>
    <cellStyle name="Comma 14 3" xfId="34070" xr:uid="{00000000-0005-0000-0000-00009A950000}"/>
    <cellStyle name="Comma 15" xfId="14654" xr:uid="{00000000-0005-0000-0000-00009B950000}"/>
    <cellStyle name="Comma 15 2" xfId="40528" xr:uid="{00000000-0005-0000-0000-00009C950000}"/>
    <cellStyle name="Comma 16" xfId="30802" xr:uid="{00000000-0005-0000-0000-00009D950000}"/>
    <cellStyle name="Comma 17" xfId="101" xr:uid="{00000000-0005-0000-0000-00009E950000}"/>
    <cellStyle name="Comma 2" xfId="5" xr:uid="{00000000-0005-0000-0000-00009F950000}"/>
    <cellStyle name="Comma 2 2" xfId="104" xr:uid="{00000000-0005-0000-0000-0000A0950000}"/>
    <cellStyle name="Comma 2 2 2" xfId="342" xr:uid="{00000000-0005-0000-0000-0000A1950000}"/>
    <cellStyle name="Comma 2 2 2 2" xfId="827" xr:uid="{00000000-0005-0000-0000-0000A2950000}"/>
    <cellStyle name="Comma 2 2 3" xfId="828" xr:uid="{00000000-0005-0000-0000-0000A3950000}"/>
    <cellStyle name="Comma 2 3" xfId="309" xr:uid="{00000000-0005-0000-0000-0000A4950000}"/>
    <cellStyle name="Comma 2 3 2" xfId="829" xr:uid="{00000000-0005-0000-0000-0000A5950000}"/>
    <cellStyle name="Comma 2 4" xfId="830" xr:uid="{00000000-0005-0000-0000-0000A6950000}"/>
    <cellStyle name="Comma 2 5" xfId="103" xr:uid="{00000000-0005-0000-0000-0000A7950000}"/>
    <cellStyle name="Comma 3" xfId="105" xr:uid="{00000000-0005-0000-0000-0000A8950000}"/>
    <cellStyle name="Comma 3 2" xfId="106" xr:uid="{00000000-0005-0000-0000-0000A9950000}"/>
    <cellStyle name="Comma 3 2 2" xfId="107" xr:uid="{00000000-0005-0000-0000-0000AA950000}"/>
    <cellStyle name="Comma 3 2 2 2" xfId="343" xr:uid="{00000000-0005-0000-0000-0000AB950000}"/>
    <cellStyle name="Comma 3 2 2 2 2" xfId="831" xr:uid="{00000000-0005-0000-0000-0000AC950000}"/>
    <cellStyle name="Comma 3 2 2 3" xfId="832" xr:uid="{00000000-0005-0000-0000-0000AD950000}"/>
    <cellStyle name="Comma 3 2 3" xfId="330" xr:uid="{00000000-0005-0000-0000-0000AE950000}"/>
    <cellStyle name="Comma 3 2 3 2" xfId="833" xr:uid="{00000000-0005-0000-0000-0000AF950000}"/>
    <cellStyle name="Comma 3 2 4" xfId="834" xr:uid="{00000000-0005-0000-0000-0000B0950000}"/>
    <cellStyle name="Comma 3 3" xfId="108" xr:uid="{00000000-0005-0000-0000-0000B1950000}"/>
    <cellStyle name="Comma 3 3 2" xfId="109" xr:uid="{00000000-0005-0000-0000-0000B2950000}"/>
    <cellStyle name="Comma 3 3 2 2" xfId="344" xr:uid="{00000000-0005-0000-0000-0000B3950000}"/>
    <cellStyle name="Comma 3 3 2 2 2" xfId="835" xr:uid="{00000000-0005-0000-0000-0000B4950000}"/>
    <cellStyle name="Comma 3 3 2 3" xfId="836" xr:uid="{00000000-0005-0000-0000-0000B5950000}"/>
    <cellStyle name="Comma 3 3 3" xfId="339" xr:uid="{00000000-0005-0000-0000-0000B6950000}"/>
    <cellStyle name="Comma 3 3 3 2" xfId="837" xr:uid="{00000000-0005-0000-0000-0000B7950000}"/>
    <cellStyle name="Comma 3 3 4" xfId="838" xr:uid="{00000000-0005-0000-0000-0000B8950000}"/>
    <cellStyle name="Comma 3 4" xfId="310" xr:uid="{00000000-0005-0000-0000-0000B9950000}"/>
    <cellStyle name="Comma 3 4 2" xfId="839" xr:uid="{00000000-0005-0000-0000-0000BA950000}"/>
    <cellStyle name="Comma 3 5" xfId="840" xr:uid="{00000000-0005-0000-0000-0000BB950000}"/>
    <cellStyle name="Comma 4" xfId="110" xr:uid="{00000000-0005-0000-0000-0000BC950000}"/>
    <cellStyle name="Comma 4 2" xfId="111" xr:uid="{00000000-0005-0000-0000-0000BD950000}"/>
    <cellStyle name="Comma 4 2 2" xfId="345" xr:uid="{00000000-0005-0000-0000-0000BE950000}"/>
    <cellStyle name="Comma 4 2 2 2" xfId="841" xr:uid="{00000000-0005-0000-0000-0000BF950000}"/>
    <cellStyle name="Comma 4 2 3" xfId="842" xr:uid="{00000000-0005-0000-0000-0000C0950000}"/>
    <cellStyle name="Comma 4 3" xfId="311" xr:uid="{00000000-0005-0000-0000-0000C1950000}"/>
    <cellStyle name="Comma 4 3 2" xfId="843" xr:uid="{00000000-0005-0000-0000-0000C2950000}"/>
    <cellStyle name="Comma 4 4" xfId="844" xr:uid="{00000000-0005-0000-0000-0000C3950000}"/>
    <cellStyle name="Comma 5" xfId="112" xr:uid="{00000000-0005-0000-0000-0000C4950000}"/>
    <cellStyle name="Comma 5 2" xfId="113" xr:uid="{00000000-0005-0000-0000-0000C5950000}"/>
    <cellStyle name="Comma 5 2 2" xfId="114" xr:uid="{00000000-0005-0000-0000-0000C6950000}"/>
    <cellStyle name="Comma 5 2 2 2" xfId="115" xr:uid="{00000000-0005-0000-0000-0000C7950000}"/>
    <cellStyle name="Comma 5 2 2 2 2" xfId="348" xr:uid="{00000000-0005-0000-0000-0000C8950000}"/>
    <cellStyle name="Comma 5 2 2 2 2 2" xfId="845" xr:uid="{00000000-0005-0000-0000-0000C9950000}"/>
    <cellStyle name="Comma 5 2 2 2 3" xfId="846" xr:uid="{00000000-0005-0000-0000-0000CA950000}"/>
    <cellStyle name="Comma 5 2 2 3" xfId="312" xr:uid="{00000000-0005-0000-0000-0000CB950000}"/>
    <cellStyle name="Comma 5 2 2 3 2" xfId="847" xr:uid="{00000000-0005-0000-0000-0000CC950000}"/>
    <cellStyle name="Comma 5 2 2 4" xfId="848" xr:uid="{00000000-0005-0000-0000-0000CD950000}"/>
    <cellStyle name="Comma 5 2 3" xfId="116" xr:uid="{00000000-0005-0000-0000-0000CE950000}"/>
    <cellStyle name="Comma 5 2 3 2" xfId="117" xr:uid="{00000000-0005-0000-0000-0000CF950000}"/>
    <cellStyle name="Comma 5 2 3 2 2" xfId="347" xr:uid="{00000000-0005-0000-0000-0000D0950000}"/>
    <cellStyle name="Comma 5 2 3 2 2 2" xfId="849" xr:uid="{00000000-0005-0000-0000-0000D1950000}"/>
    <cellStyle name="Comma 5 2 3 2 3" xfId="850" xr:uid="{00000000-0005-0000-0000-0000D2950000}"/>
    <cellStyle name="Comma 5 2 3 3" xfId="1234" xr:uid="{00000000-0005-0000-0000-0000D3950000}"/>
    <cellStyle name="Comma 5 2 3 4" xfId="1235" xr:uid="{00000000-0005-0000-0000-0000D4950000}"/>
    <cellStyle name="Comma 5 2 3 4 2" xfId="1236" xr:uid="{00000000-0005-0000-0000-0000D5950000}"/>
    <cellStyle name="Comma 5 2 3 4 2 2" xfId="1237" xr:uid="{00000000-0005-0000-0000-0000D6950000}"/>
    <cellStyle name="Comma 5 2 3 4 2 2 2" xfId="1794" xr:uid="{00000000-0005-0000-0000-0000D7950000}"/>
    <cellStyle name="Comma 5 2 3 4 2 2 3" xfId="1816" xr:uid="{00000000-0005-0000-0000-0000D8950000}"/>
    <cellStyle name="Comma 5 2 3 4 2 2 3 2" xfId="2030" xr:uid="{00000000-0005-0000-0000-0000D9950000}"/>
    <cellStyle name="Comma 5 2 3 4 2 2 3 3" xfId="2088" xr:uid="{00000000-0005-0000-0000-0000DA950000}"/>
    <cellStyle name="Comma 5 2 3 4 2 2 3 4" xfId="4116" xr:uid="{00000000-0005-0000-0000-0000DB950000}"/>
    <cellStyle name="Comma 5 2 3 4 2 2 3 4 2" xfId="3312" xr:uid="{00000000-0005-0000-0000-0000DC950000}"/>
    <cellStyle name="Comma 5 2 3 4 2 2 4" xfId="1827" xr:uid="{00000000-0005-0000-0000-0000DD950000}"/>
    <cellStyle name="Comma 5 2 3 4 2 3" xfId="1474" xr:uid="{00000000-0005-0000-0000-0000DE950000}"/>
    <cellStyle name="Comma 5 2 3 5" xfId="1473" xr:uid="{00000000-0005-0000-0000-0000DF950000}"/>
    <cellStyle name="Comma 5 2 3 5 2" xfId="1876" xr:uid="{00000000-0005-0000-0000-0000E0950000}"/>
    <cellStyle name="Comma 5 2 3 5 3" xfId="1806" xr:uid="{00000000-0005-0000-0000-0000E1950000}"/>
    <cellStyle name="Comma 5 2 3 5 3 2" xfId="2020" xr:uid="{00000000-0005-0000-0000-0000E2950000}"/>
    <cellStyle name="Comma 5 2 3 5 3 3" xfId="4106" xr:uid="{00000000-0005-0000-0000-0000E3950000}"/>
    <cellStyle name="Comma 5 2 3 5 3 3 2" xfId="3311" xr:uid="{00000000-0005-0000-0000-0000E4950000}"/>
    <cellStyle name="Comma 5 2 4" xfId="1238" xr:uid="{00000000-0005-0000-0000-0000E5950000}"/>
    <cellStyle name="Comma 5 2 4 2" xfId="1239" xr:uid="{00000000-0005-0000-0000-0000E6950000}"/>
    <cellStyle name="Comma 5 2 4 2 2" xfId="1791" xr:uid="{00000000-0005-0000-0000-0000E7950000}"/>
    <cellStyle name="Comma 5 2 4 2 3" xfId="1813" xr:uid="{00000000-0005-0000-0000-0000E8950000}"/>
    <cellStyle name="Comma 5 2 4 2 3 2" xfId="2027" xr:uid="{00000000-0005-0000-0000-0000E9950000}"/>
    <cellStyle name="Comma 5 2 4 2 3 3" xfId="2461" xr:uid="{00000000-0005-0000-0000-0000EA950000}"/>
    <cellStyle name="Comma 5 2 4 2 3 4" xfId="4113" xr:uid="{00000000-0005-0000-0000-0000EB950000}"/>
    <cellStyle name="Comma 5 2 4 2 3 4 2" xfId="3306" xr:uid="{00000000-0005-0000-0000-0000EC950000}"/>
    <cellStyle name="Comma 5 2 4 2 4" xfId="1824" xr:uid="{00000000-0005-0000-0000-0000ED950000}"/>
    <cellStyle name="Comma 5 2 4 3" xfId="1475" xr:uid="{00000000-0005-0000-0000-0000EE950000}"/>
    <cellStyle name="Comma 5 2 5" xfId="1472" xr:uid="{00000000-0005-0000-0000-0000EF950000}"/>
    <cellStyle name="Comma 5 2 5 2" xfId="1875" xr:uid="{00000000-0005-0000-0000-0000F0950000}"/>
    <cellStyle name="Comma 5 2 5 3" xfId="1801" xr:uid="{00000000-0005-0000-0000-0000F1950000}"/>
    <cellStyle name="Comma 5 2 5 3 2" xfId="2015" xr:uid="{00000000-0005-0000-0000-0000F2950000}"/>
    <cellStyle name="Comma 5 2 5 3 3" xfId="4101" xr:uid="{00000000-0005-0000-0000-0000F3950000}"/>
    <cellStyle name="Comma 5 2 5 3 3 2" xfId="4931" xr:uid="{00000000-0005-0000-0000-0000F4950000}"/>
    <cellStyle name="Comma 5 3" xfId="118" xr:uid="{00000000-0005-0000-0000-0000F5950000}"/>
    <cellStyle name="Comma 5 3 2" xfId="119" xr:uid="{00000000-0005-0000-0000-0000F6950000}"/>
    <cellStyle name="Comma 5 3 2 2" xfId="349" xr:uid="{00000000-0005-0000-0000-0000F7950000}"/>
    <cellStyle name="Comma 5 3 2 2 2" xfId="851" xr:uid="{00000000-0005-0000-0000-0000F8950000}"/>
    <cellStyle name="Comma 5 3 2 3" xfId="852" xr:uid="{00000000-0005-0000-0000-0000F9950000}"/>
    <cellStyle name="Comma 5 3 3" xfId="332" xr:uid="{00000000-0005-0000-0000-0000FA950000}"/>
    <cellStyle name="Comma 5 3 3 2" xfId="853" xr:uid="{00000000-0005-0000-0000-0000FB950000}"/>
    <cellStyle name="Comma 5 3 4" xfId="854" xr:uid="{00000000-0005-0000-0000-0000FC950000}"/>
    <cellStyle name="Comma 5 4" xfId="120" xr:uid="{00000000-0005-0000-0000-0000FD950000}"/>
    <cellStyle name="Comma 5 4 2" xfId="346" xr:uid="{00000000-0005-0000-0000-0000FE950000}"/>
    <cellStyle name="Comma 5 4 2 2" xfId="855" xr:uid="{00000000-0005-0000-0000-0000FF950000}"/>
    <cellStyle name="Comma 5 4 3" xfId="856" xr:uid="{00000000-0005-0000-0000-000000960000}"/>
    <cellStyle name="Comma 6" xfId="121" xr:uid="{00000000-0005-0000-0000-000001960000}"/>
    <cellStyle name="Comma 6 2" xfId="122" xr:uid="{00000000-0005-0000-0000-000002960000}"/>
    <cellStyle name="Comma 6 2 2" xfId="123" xr:uid="{00000000-0005-0000-0000-000003960000}"/>
    <cellStyle name="Comma 6 2 2 2" xfId="351" xr:uid="{00000000-0005-0000-0000-000004960000}"/>
    <cellStyle name="Comma 6 2 2 2 2" xfId="857" xr:uid="{00000000-0005-0000-0000-000005960000}"/>
    <cellStyle name="Comma 6 2 2 3" xfId="858" xr:uid="{00000000-0005-0000-0000-000006960000}"/>
    <cellStyle name="Comma 6 2 3" xfId="313" xr:uid="{00000000-0005-0000-0000-000007960000}"/>
    <cellStyle name="Comma 6 2 3 2" xfId="859" xr:uid="{00000000-0005-0000-0000-000008960000}"/>
    <cellStyle name="Comma 6 2 4" xfId="860" xr:uid="{00000000-0005-0000-0000-000009960000}"/>
    <cellStyle name="Comma 6 3" xfId="124" xr:uid="{00000000-0005-0000-0000-00000A960000}"/>
    <cellStyle name="Comma 6 3 2" xfId="125" xr:uid="{00000000-0005-0000-0000-00000B960000}"/>
    <cellStyle name="Comma 6 3 2 2" xfId="350" xr:uid="{00000000-0005-0000-0000-00000C960000}"/>
    <cellStyle name="Comma 6 3 2 2 2" xfId="861" xr:uid="{00000000-0005-0000-0000-00000D960000}"/>
    <cellStyle name="Comma 6 3 2 3" xfId="862" xr:uid="{00000000-0005-0000-0000-00000E960000}"/>
    <cellStyle name="Comma 7" xfId="126" xr:uid="{00000000-0005-0000-0000-00000F960000}"/>
    <cellStyle name="Comma 7 2" xfId="127" xr:uid="{00000000-0005-0000-0000-000010960000}"/>
    <cellStyle name="Comma 7 2 2" xfId="352" xr:uid="{00000000-0005-0000-0000-000011960000}"/>
    <cellStyle name="Comma 7 2 2 2" xfId="863" xr:uid="{00000000-0005-0000-0000-000012960000}"/>
    <cellStyle name="Comma 7 2 3" xfId="864" xr:uid="{00000000-0005-0000-0000-000013960000}"/>
    <cellStyle name="Comma 7 3" xfId="314" xr:uid="{00000000-0005-0000-0000-000014960000}"/>
    <cellStyle name="Comma 7 3 2" xfId="865" xr:uid="{00000000-0005-0000-0000-000015960000}"/>
    <cellStyle name="Comma 7 4" xfId="866" xr:uid="{00000000-0005-0000-0000-000016960000}"/>
    <cellStyle name="Comma 8" xfId="128" xr:uid="{00000000-0005-0000-0000-000017960000}"/>
    <cellStyle name="Comma 8 2" xfId="129" xr:uid="{00000000-0005-0000-0000-000018960000}"/>
    <cellStyle name="Comma 8 2 2" xfId="338" xr:uid="{00000000-0005-0000-0000-000019960000}"/>
    <cellStyle name="Comma 8 2 2 2" xfId="867" xr:uid="{00000000-0005-0000-0000-00001A960000}"/>
    <cellStyle name="Comma 8 2 3" xfId="868" xr:uid="{00000000-0005-0000-0000-00001B960000}"/>
    <cellStyle name="Comma 9" xfId="130" xr:uid="{00000000-0005-0000-0000-00001C960000}"/>
    <cellStyle name="Comma 9 2" xfId="304" xr:uid="{00000000-0005-0000-0000-00001D960000}"/>
    <cellStyle name="Comma 9 2 2" xfId="366" xr:uid="{00000000-0005-0000-0000-00001E960000}"/>
    <cellStyle name="Comma 9 2 2 2" xfId="869" xr:uid="{00000000-0005-0000-0000-00001F960000}"/>
    <cellStyle name="Comma 9 2 3" xfId="870" xr:uid="{00000000-0005-0000-0000-000020960000}"/>
    <cellStyle name="Comma 9 3" xfId="260" xr:uid="{00000000-0005-0000-0000-000021960000}"/>
    <cellStyle name="Comma 9 3 10" xfId="53545" xr:uid="{00000000-0005-0000-0000-000022960000}"/>
    <cellStyle name="Comma 9 3 11" xfId="1629" xr:uid="{00000000-0005-0000-0000-000023960000}"/>
    <cellStyle name="Comma 9 3 2" xfId="434" xr:uid="{00000000-0005-0000-0000-000024960000}"/>
    <cellStyle name="Comma 9 3 2 10" xfId="1954" xr:uid="{00000000-0005-0000-0000-000025960000}"/>
    <cellStyle name="Comma 9 3 2 2" xfId="873" xr:uid="{00000000-0005-0000-0000-000026960000}"/>
    <cellStyle name="Comma 9 3 2 2 2" xfId="3198" xr:uid="{00000000-0005-0000-0000-000027960000}"/>
    <cellStyle name="Comma 9 3 2 2 2 2" xfId="4855" xr:uid="{00000000-0005-0000-0000-000028960000}"/>
    <cellStyle name="Comma 9 3 2 2 2 2 2" xfId="8086" xr:uid="{00000000-0005-0000-0000-000029960000}"/>
    <cellStyle name="Comma 9 3 2 2 2 2 2 2" xfId="14545" xr:uid="{00000000-0005-0000-0000-00002A960000}"/>
    <cellStyle name="Comma 9 3 2 2 2 2 2 2 2" xfId="27462" xr:uid="{00000000-0005-0000-0000-00002B960000}"/>
    <cellStyle name="Comma 9 3 2 2 2 2 2 2 2 2" xfId="53336" xr:uid="{00000000-0005-0000-0000-00002C960000}"/>
    <cellStyle name="Comma 9 3 2 2 2 2 2 2 3" xfId="40420" xr:uid="{00000000-0005-0000-0000-00002D960000}"/>
    <cellStyle name="Comma 9 3 2 2 2 2 2 3" xfId="21004" xr:uid="{00000000-0005-0000-0000-00002E960000}"/>
    <cellStyle name="Comma 9 3 2 2 2 2 2 3 2" xfId="46878" xr:uid="{00000000-0005-0000-0000-00002F960000}"/>
    <cellStyle name="Comma 9 3 2 2 2 2 2 4" xfId="33962" xr:uid="{00000000-0005-0000-0000-000030960000}"/>
    <cellStyle name="Comma 9 3 2 2 2 2 3" xfId="11317" xr:uid="{00000000-0005-0000-0000-000031960000}"/>
    <cellStyle name="Comma 9 3 2 2 2 2 3 2" xfId="24234" xr:uid="{00000000-0005-0000-0000-000032960000}"/>
    <cellStyle name="Comma 9 3 2 2 2 2 3 2 2" xfId="50108" xr:uid="{00000000-0005-0000-0000-000033960000}"/>
    <cellStyle name="Comma 9 3 2 2 2 2 3 3" xfId="37192" xr:uid="{00000000-0005-0000-0000-000034960000}"/>
    <cellStyle name="Comma 9 3 2 2 2 2 4" xfId="17776" xr:uid="{00000000-0005-0000-0000-000035960000}"/>
    <cellStyle name="Comma 9 3 2 2 2 2 4 2" xfId="43650" xr:uid="{00000000-0005-0000-0000-000036960000}"/>
    <cellStyle name="Comma 9 3 2 2 2 2 5" xfId="30702" xr:uid="{00000000-0005-0000-0000-000037960000}"/>
    <cellStyle name="Comma 9 3 2 2 2 3" xfId="6472" xr:uid="{00000000-0005-0000-0000-000038960000}"/>
    <cellStyle name="Comma 9 3 2 2 2 3 2" xfId="12931" xr:uid="{00000000-0005-0000-0000-000039960000}"/>
    <cellStyle name="Comma 9 3 2 2 2 3 2 2" xfId="25848" xr:uid="{00000000-0005-0000-0000-00003A960000}"/>
    <cellStyle name="Comma 9 3 2 2 2 3 2 2 2" xfId="51722" xr:uid="{00000000-0005-0000-0000-00003B960000}"/>
    <cellStyle name="Comma 9 3 2 2 2 3 2 3" xfId="38806" xr:uid="{00000000-0005-0000-0000-00003C960000}"/>
    <cellStyle name="Comma 9 3 2 2 2 3 3" xfId="19390" xr:uid="{00000000-0005-0000-0000-00003D960000}"/>
    <cellStyle name="Comma 9 3 2 2 2 3 3 2" xfId="45264" xr:uid="{00000000-0005-0000-0000-00003E960000}"/>
    <cellStyle name="Comma 9 3 2 2 2 3 4" xfId="32348" xr:uid="{00000000-0005-0000-0000-00003F960000}"/>
    <cellStyle name="Comma 9 3 2 2 2 4" xfId="9703" xr:uid="{00000000-0005-0000-0000-000040960000}"/>
    <cellStyle name="Comma 9 3 2 2 2 4 2" xfId="22620" xr:uid="{00000000-0005-0000-0000-000041960000}"/>
    <cellStyle name="Comma 9 3 2 2 2 4 2 2" xfId="48494" xr:uid="{00000000-0005-0000-0000-000042960000}"/>
    <cellStyle name="Comma 9 3 2 2 2 4 3" xfId="35578" xr:uid="{00000000-0005-0000-0000-000043960000}"/>
    <cellStyle name="Comma 9 3 2 2 2 5" xfId="16162" xr:uid="{00000000-0005-0000-0000-000044960000}"/>
    <cellStyle name="Comma 9 3 2 2 2 5 2" xfId="42036" xr:uid="{00000000-0005-0000-0000-000045960000}"/>
    <cellStyle name="Comma 9 3 2 2 2 6" xfId="29088" xr:uid="{00000000-0005-0000-0000-000046960000}"/>
    <cellStyle name="Comma 9 3 2 2 3" xfId="4025" xr:uid="{00000000-0005-0000-0000-000047960000}"/>
    <cellStyle name="Comma 9 3 2 2 3 2" xfId="7279" xr:uid="{00000000-0005-0000-0000-000048960000}"/>
    <cellStyle name="Comma 9 3 2 2 3 2 2" xfId="13738" xr:uid="{00000000-0005-0000-0000-000049960000}"/>
    <cellStyle name="Comma 9 3 2 2 3 2 2 2" xfId="26655" xr:uid="{00000000-0005-0000-0000-00004A960000}"/>
    <cellStyle name="Comma 9 3 2 2 3 2 2 2 2" xfId="52529" xr:uid="{00000000-0005-0000-0000-00004B960000}"/>
    <cellStyle name="Comma 9 3 2 2 3 2 2 3" xfId="39613" xr:uid="{00000000-0005-0000-0000-00004C960000}"/>
    <cellStyle name="Comma 9 3 2 2 3 2 3" xfId="20197" xr:uid="{00000000-0005-0000-0000-00004D960000}"/>
    <cellStyle name="Comma 9 3 2 2 3 2 3 2" xfId="46071" xr:uid="{00000000-0005-0000-0000-00004E960000}"/>
    <cellStyle name="Comma 9 3 2 2 3 2 4" xfId="33155" xr:uid="{00000000-0005-0000-0000-00004F960000}"/>
    <cellStyle name="Comma 9 3 2 2 3 3" xfId="10510" xr:uid="{00000000-0005-0000-0000-000050960000}"/>
    <cellStyle name="Comma 9 3 2 2 3 3 2" xfId="23427" xr:uid="{00000000-0005-0000-0000-000051960000}"/>
    <cellStyle name="Comma 9 3 2 2 3 3 2 2" xfId="49301" xr:uid="{00000000-0005-0000-0000-000052960000}"/>
    <cellStyle name="Comma 9 3 2 2 3 3 3" xfId="36385" xr:uid="{00000000-0005-0000-0000-000053960000}"/>
    <cellStyle name="Comma 9 3 2 2 3 4" xfId="16969" xr:uid="{00000000-0005-0000-0000-000054960000}"/>
    <cellStyle name="Comma 9 3 2 2 3 4 2" xfId="42843" xr:uid="{00000000-0005-0000-0000-000055960000}"/>
    <cellStyle name="Comma 9 3 2 2 3 5" xfId="29895" xr:uid="{00000000-0005-0000-0000-000056960000}"/>
    <cellStyle name="Comma 9 3 2 2 4" xfId="5665" xr:uid="{00000000-0005-0000-0000-000057960000}"/>
    <cellStyle name="Comma 9 3 2 2 4 2" xfId="12124" xr:uid="{00000000-0005-0000-0000-000058960000}"/>
    <cellStyle name="Comma 9 3 2 2 4 2 2" xfId="25041" xr:uid="{00000000-0005-0000-0000-000059960000}"/>
    <cellStyle name="Comma 9 3 2 2 4 2 2 2" xfId="50915" xr:uid="{00000000-0005-0000-0000-00005A960000}"/>
    <cellStyle name="Comma 9 3 2 2 4 2 3" xfId="37999" xr:uid="{00000000-0005-0000-0000-00005B960000}"/>
    <cellStyle name="Comma 9 3 2 2 4 3" xfId="18583" xr:uid="{00000000-0005-0000-0000-00005C960000}"/>
    <cellStyle name="Comma 9 3 2 2 4 3 2" xfId="44457" xr:uid="{00000000-0005-0000-0000-00005D960000}"/>
    <cellStyle name="Comma 9 3 2 2 4 4" xfId="31541" xr:uid="{00000000-0005-0000-0000-00005E960000}"/>
    <cellStyle name="Comma 9 3 2 2 5" xfId="8896" xr:uid="{00000000-0005-0000-0000-00005F960000}"/>
    <cellStyle name="Comma 9 3 2 2 5 2" xfId="21813" xr:uid="{00000000-0005-0000-0000-000060960000}"/>
    <cellStyle name="Comma 9 3 2 2 5 2 2" xfId="47687" xr:uid="{00000000-0005-0000-0000-000061960000}"/>
    <cellStyle name="Comma 9 3 2 2 5 3" xfId="34771" xr:uid="{00000000-0005-0000-0000-000062960000}"/>
    <cellStyle name="Comma 9 3 2 2 6" xfId="15355" xr:uid="{00000000-0005-0000-0000-000063960000}"/>
    <cellStyle name="Comma 9 3 2 2 6 2" xfId="41229" xr:uid="{00000000-0005-0000-0000-000064960000}"/>
    <cellStyle name="Comma 9 3 2 2 7" xfId="28281" xr:uid="{00000000-0005-0000-0000-000065960000}"/>
    <cellStyle name="Comma 9 3 2 2 8" xfId="54143" xr:uid="{00000000-0005-0000-0000-000066960000}"/>
    <cellStyle name="Comma 9 3 2 2 9" xfId="2385" xr:uid="{00000000-0005-0000-0000-000067960000}"/>
    <cellStyle name="Comma 9 3 2 3" xfId="872" xr:uid="{00000000-0005-0000-0000-000068960000}"/>
    <cellStyle name="Comma 9 3 2 3 2" xfId="4451" xr:uid="{00000000-0005-0000-0000-000069960000}"/>
    <cellStyle name="Comma 9 3 2 3 2 2" xfId="7682" xr:uid="{00000000-0005-0000-0000-00006A960000}"/>
    <cellStyle name="Comma 9 3 2 3 2 2 2" xfId="14141" xr:uid="{00000000-0005-0000-0000-00006B960000}"/>
    <cellStyle name="Comma 9 3 2 3 2 2 2 2" xfId="27058" xr:uid="{00000000-0005-0000-0000-00006C960000}"/>
    <cellStyle name="Comma 9 3 2 3 2 2 2 2 2" xfId="52932" xr:uid="{00000000-0005-0000-0000-00006D960000}"/>
    <cellStyle name="Comma 9 3 2 3 2 2 2 3" xfId="40016" xr:uid="{00000000-0005-0000-0000-00006E960000}"/>
    <cellStyle name="Comma 9 3 2 3 2 2 3" xfId="20600" xr:uid="{00000000-0005-0000-0000-00006F960000}"/>
    <cellStyle name="Comma 9 3 2 3 2 2 3 2" xfId="46474" xr:uid="{00000000-0005-0000-0000-000070960000}"/>
    <cellStyle name="Comma 9 3 2 3 2 2 4" xfId="33558" xr:uid="{00000000-0005-0000-0000-000071960000}"/>
    <cellStyle name="Comma 9 3 2 3 2 3" xfId="10913" xr:uid="{00000000-0005-0000-0000-000072960000}"/>
    <cellStyle name="Comma 9 3 2 3 2 3 2" xfId="23830" xr:uid="{00000000-0005-0000-0000-000073960000}"/>
    <cellStyle name="Comma 9 3 2 3 2 3 2 2" xfId="49704" xr:uid="{00000000-0005-0000-0000-000074960000}"/>
    <cellStyle name="Comma 9 3 2 3 2 3 3" xfId="36788" xr:uid="{00000000-0005-0000-0000-000075960000}"/>
    <cellStyle name="Comma 9 3 2 3 2 4" xfId="17372" xr:uid="{00000000-0005-0000-0000-000076960000}"/>
    <cellStyle name="Comma 9 3 2 3 2 4 2" xfId="43246" xr:uid="{00000000-0005-0000-0000-000077960000}"/>
    <cellStyle name="Comma 9 3 2 3 2 5" xfId="30298" xr:uid="{00000000-0005-0000-0000-000078960000}"/>
    <cellStyle name="Comma 9 3 2 3 3" xfId="6068" xr:uid="{00000000-0005-0000-0000-000079960000}"/>
    <cellStyle name="Comma 9 3 2 3 3 2" xfId="12527" xr:uid="{00000000-0005-0000-0000-00007A960000}"/>
    <cellStyle name="Comma 9 3 2 3 3 2 2" xfId="25444" xr:uid="{00000000-0005-0000-0000-00007B960000}"/>
    <cellStyle name="Comma 9 3 2 3 3 2 2 2" xfId="51318" xr:uid="{00000000-0005-0000-0000-00007C960000}"/>
    <cellStyle name="Comma 9 3 2 3 3 2 3" xfId="38402" xr:uid="{00000000-0005-0000-0000-00007D960000}"/>
    <cellStyle name="Comma 9 3 2 3 3 3" xfId="18986" xr:uid="{00000000-0005-0000-0000-00007E960000}"/>
    <cellStyle name="Comma 9 3 2 3 3 3 2" xfId="44860" xr:uid="{00000000-0005-0000-0000-00007F960000}"/>
    <cellStyle name="Comma 9 3 2 3 3 4" xfId="31944" xr:uid="{00000000-0005-0000-0000-000080960000}"/>
    <cellStyle name="Comma 9 3 2 3 4" xfId="9299" xr:uid="{00000000-0005-0000-0000-000081960000}"/>
    <cellStyle name="Comma 9 3 2 3 4 2" xfId="22216" xr:uid="{00000000-0005-0000-0000-000082960000}"/>
    <cellStyle name="Comma 9 3 2 3 4 2 2" xfId="48090" xr:uid="{00000000-0005-0000-0000-000083960000}"/>
    <cellStyle name="Comma 9 3 2 3 4 3" xfId="35174" xr:uid="{00000000-0005-0000-0000-000084960000}"/>
    <cellStyle name="Comma 9 3 2 3 5" xfId="15758" xr:uid="{00000000-0005-0000-0000-000085960000}"/>
    <cellStyle name="Comma 9 3 2 3 5 2" xfId="41632" xr:uid="{00000000-0005-0000-0000-000086960000}"/>
    <cellStyle name="Comma 9 3 2 3 6" xfId="28684" xr:uid="{00000000-0005-0000-0000-000087960000}"/>
    <cellStyle name="Comma 9 3 2 3 7" xfId="2794" xr:uid="{00000000-0005-0000-0000-000088960000}"/>
    <cellStyle name="Comma 9 3 2 4" xfId="3621" xr:uid="{00000000-0005-0000-0000-000089960000}"/>
    <cellStyle name="Comma 9 3 2 4 2" xfId="6875" xr:uid="{00000000-0005-0000-0000-00008A960000}"/>
    <cellStyle name="Comma 9 3 2 4 2 2" xfId="13334" xr:uid="{00000000-0005-0000-0000-00008B960000}"/>
    <cellStyle name="Comma 9 3 2 4 2 2 2" xfId="26251" xr:uid="{00000000-0005-0000-0000-00008C960000}"/>
    <cellStyle name="Comma 9 3 2 4 2 2 2 2" xfId="52125" xr:uid="{00000000-0005-0000-0000-00008D960000}"/>
    <cellStyle name="Comma 9 3 2 4 2 2 3" xfId="39209" xr:uid="{00000000-0005-0000-0000-00008E960000}"/>
    <cellStyle name="Comma 9 3 2 4 2 3" xfId="19793" xr:uid="{00000000-0005-0000-0000-00008F960000}"/>
    <cellStyle name="Comma 9 3 2 4 2 3 2" xfId="45667" xr:uid="{00000000-0005-0000-0000-000090960000}"/>
    <cellStyle name="Comma 9 3 2 4 2 4" xfId="32751" xr:uid="{00000000-0005-0000-0000-000091960000}"/>
    <cellStyle name="Comma 9 3 2 4 3" xfId="10106" xr:uid="{00000000-0005-0000-0000-000092960000}"/>
    <cellStyle name="Comma 9 3 2 4 3 2" xfId="23023" xr:uid="{00000000-0005-0000-0000-000093960000}"/>
    <cellStyle name="Comma 9 3 2 4 3 2 2" xfId="48897" xr:uid="{00000000-0005-0000-0000-000094960000}"/>
    <cellStyle name="Comma 9 3 2 4 3 3" xfId="35981" xr:uid="{00000000-0005-0000-0000-000095960000}"/>
    <cellStyle name="Comma 9 3 2 4 4" xfId="16565" xr:uid="{00000000-0005-0000-0000-000096960000}"/>
    <cellStyle name="Comma 9 3 2 4 4 2" xfId="42439" xr:uid="{00000000-0005-0000-0000-000097960000}"/>
    <cellStyle name="Comma 9 3 2 4 5" xfId="29491" xr:uid="{00000000-0005-0000-0000-000098960000}"/>
    <cellStyle name="Comma 9 3 2 5" xfId="5261" xr:uid="{00000000-0005-0000-0000-000099960000}"/>
    <cellStyle name="Comma 9 3 2 5 2" xfId="11720" xr:uid="{00000000-0005-0000-0000-00009A960000}"/>
    <cellStyle name="Comma 9 3 2 5 2 2" xfId="24637" xr:uid="{00000000-0005-0000-0000-00009B960000}"/>
    <cellStyle name="Comma 9 3 2 5 2 2 2" xfId="50511" xr:uid="{00000000-0005-0000-0000-00009C960000}"/>
    <cellStyle name="Comma 9 3 2 5 2 3" xfId="37595" xr:uid="{00000000-0005-0000-0000-00009D960000}"/>
    <cellStyle name="Comma 9 3 2 5 3" xfId="18179" xr:uid="{00000000-0005-0000-0000-00009E960000}"/>
    <cellStyle name="Comma 9 3 2 5 3 2" xfId="44053" xr:uid="{00000000-0005-0000-0000-00009F960000}"/>
    <cellStyle name="Comma 9 3 2 5 4" xfId="31137" xr:uid="{00000000-0005-0000-0000-0000A0960000}"/>
    <cellStyle name="Comma 9 3 2 6" xfId="8492" xr:uid="{00000000-0005-0000-0000-0000A1960000}"/>
    <cellStyle name="Comma 9 3 2 6 2" xfId="21409" xr:uid="{00000000-0005-0000-0000-0000A2960000}"/>
    <cellStyle name="Comma 9 3 2 6 2 2" xfId="47283" xr:uid="{00000000-0005-0000-0000-0000A3960000}"/>
    <cellStyle name="Comma 9 3 2 6 3" xfId="34367" xr:uid="{00000000-0005-0000-0000-0000A4960000}"/>
    <cellStyle name="Comma 9 3 2 7" xfId="14951" xr:uid="{00000000-0005-0000-0000-0000A5960000}"/>
    <cellStyle name="Comma 9 3 2 7 2" xfId="40825" xr:uid="{00000000-0005-0000-0000-0000A6960000}"/>
    <cellStyle name="Comma 9 3 2 8" xfId="27876" xr:uid="{00000000-0005-0000-0000-0000A7960000}"/>
    <cellStyle name="Comma 9 3 2 9" xfId="53739" xr:uid="{00000000-0005-0000-0000-0000A8960000}"/>
    <cellStyle name="Comma 9 3 3" xfId="874" xr:uid="{00000000-0005-0000-0000-0000A9960000}"/>
    <cellStyle name="Comma 9 3 3 2" xfId="3003" xr:uid="{00000000-0005-0000-0000-0000AA960000}"/>
    <cellStyle name="Comma 9 3 3 2 2" xfId="4660" xr:uid="{00000000-0005-0000-0000-0000AB960000}"/>
    <cellStyle name="Comma 9 3 3 2 2 2" xfId="7891" xr:uid="{00000000-0005-0000-0000-0000AC960000}"/>
    <cellStyle name="Comma 9 3 3 2 2 2 2" xfId="14350" xr:uid="{00000000-0005-0000-0000-0000AD960000}"/>
    <cellStyle name="Comma 9 3 3 2 2 2 2 2" xfId="27267" xr:uid="{00000000-0005-0000-0000-0000AE960000}"/>
    <cellStyle name="Comma 9 3 3 2 2 2 2 2 2" xfId="53141" xr:uid="{00000000-0005-0000-0000-0000AF960000}"/>
    <cellStyle name="Comma 9 3 3 2 2 2 2 3" xfId="40225" xr:uid="{00000000-0005-0000-0000-0000B0960000}"/>
    <cellStyle name="Comma 9 3 3 2 2 2 3" xfId="20809" xr:uid="{00000000-0005-0000-0000-0000B1960000}"/>
    <cellStyle name="Comma 9 3 3 2 2 2 3 2" xfId="46683" xr:uid="{00000000-0005-0000-0000-0000B2960000}"/>
    <cellStyle name="Comma 9 3 3 2 2 2 4" xfId="33767" xr:uid="{00000000-0005-0000-0000-0000B3960000}"/>
    <cellStyle name="Comma 9 3 3 2 2 3" xfId="11122" xr:uid="{00000000-0005-0000-0000-0000B4960000}"/>
    <cellStyle name="Comma 9 3 3 2 2 3 2" xfId="24039" xr:uid="{00000000-0005-0000-0000-0000B5960000}"/>
    <cellStyle name="Comma 9 3 3 2 2 3 2 2" xfId="49913" xr:uid="{00000000-0005-0000-0000-0000B6960000}"/>
    <cellStyle name="Comma 9 3 3 2 2 3 3" xfId="36997" xr:uid="{00000000-0005-0000-0000-0000B7960000}"/>
    <cellStyle name="Comma 9 3 3 2 2 4" xfId="17581" xr:uid="{00000000-0005-0000-0000-0000B8960000}"/>
    <cellStyle name="Comma 9 3 3 2 2 4 2" xfId="43455" xr:uid="{00000000-0005-0000-0000-0000B9960000}"/>
    <cellStyle name="Comma 9 3 3 2 2 5" xfId="30507" xr:uid="{00000000-0005-0000-0000-0000BA960000}"/>
    <cellStyle name="Comma 9 3 3 2 3" xfId="6277" xr:uid="{00000000-0005-0000-0000-0000BB960000}"/>
    <cellStyle name="Comma 9 3 3 2 3 2" xfId="12736" xr:uid="{00000000-0005-0000-0000-0000BC960000}"/>
    <cellStyle name="Comma 9 3 3 2 3 2 2" xfId="25653" xr:uid="{00000000-0005-0000-0000-0000BD960000}"/>
    <cellStyle name="Comma 9 3 3 2 3 2 2 2" xfId="51527" xr:uid="{00000000-0005-0000-0000-0000BE960000}"/>
    <cellStyle name="Comma 9 3 3 2 3 2 3" xfId="38611" xr:uid="{00000000-0005-0000-0000-0000BF960000}"/>
    <cellStyle name="Comma 9 3 3 2 3 3" xfId="19195" xr:uid="{00000000-0005-0000-0000-0000C0960000}"/>
    <cellStyle name="Comma 9 3 3 2 3 3 2" xfId="45069" xr:uid="{00000000-0005-0000-0000-0000C1960000}"/>
    <cellStyle name="Comma 9 3 3 2 3 4" xfId="32153" xr:uid="{00000000-0005-0000-0000-0000C2960000}"/>
    <cellStyle name="Comma 9 3 3 2 4" xfId="9508" xr:uid="{00000000-0005-0000-0000-0000C3960000}"/>
    <cellStyle name="Comma 9 3 3 2 4 2" xfId="22425" xr:uid="{00000000-0005-0000-0000-0000C4960000}"/>
    <cellStyle name="Comma 9 3 3 2 4 2 2" xfId="48299" xr:uid="{00000000-0005-0000-0000-0000C5960000}"/>
    <cellStyle name="Comma 9 3 3 2 4 3" xfId="35383" xr:uid="{00000000-0005-0000-0000-0000C6960000}"/>
    <cellStyle name="Comma 9 3 3 2 5" xfId="15967" xr:uid="{00000000-0005-0000-0000-0000C7960000}"/>
    <cellStyle name="Comma 9 3 3 2 5 2" xfId="41841" xr:uid="{00000000-0005-0000-0000-0000C8960000}"/>
    <cellStyle name="Comma 9 3 3 2 6" xfId="28893" xr:uid="{00000000-0005-0000-0000-0000C9960000}"/>
    <cellStyle name="Comma 9 3 3 3" xfId="3830" xr:uid="{00000000-0005-0000-0000-0000CA960000}"/>
    <cellStyle name="Comma 9 3 3 3 2" xfId="7084" xr:uid="{00000000-0005-0000-0000-0000CB960000}"/>
    <cellStyle name="Comma 9 3 3 3 2 2" xfId="13543" xr:uid="{00000000-0005-0000-0000-0000CC960000}"/>
    <cellStyle name="Comma 9 3 3 3 2 2 2" xfId="26460" xr:uid="{00000000-0005-0000-0000-0000CD960000}"/>
    <cellStyle name="Comma 9 3 3 3 2 2 2 2" xfId="52334" xr:uid="{00000000-0005-0000-0000-0000CE960000}"/>
    <cellStyle name="Comma 9 3 3 3 2 2 3" xfId="39418" xr:uid="{00000000-0005-0000-0000-0000CF960000}"/>
    <cellStyle name="Comma 9 3 3 3 2 3" xfId="20002" xr:uid="{00000000-0005-0000-0000-0000D0960000}"/>
    <cellStyle name="Comma 9 3 3 3 2 3 2" xfId="45876" xr:uid="{00000000-0005-0000-0000-0000D1960000}"/>
    <cellStyle name="Comma 9 3 3 3 2 4" xfId="32960" xr:uid="{00000000-0005-0000-0000-0000D2960000}"/>
    <cellStyle name="Comma 9 3 3 3 3" xfId="10315" xr:uid="{00000000-0005-0000-0000-0000D3960000}"/>
    <cellStyle name="Comma 9 3 3 3 3 2" xfId="23232" xr:uid="{00000000-0005-0000-0000-0000D4960000}"/>
    <cellStyle name="Comma 9 3 3 3 3 2 2" xfId="49106" xr:uid="{00000000-0005-0000-0000-0000D5960000}"/>
    <cellStyle name="Comma 9 3 3 3 3 3" xfId="36190" xr:uid="{00000000-0005-0000-0000-0000D6960000}"/>
    <cellStyle name="Comma 9 3 3 3 4" xfId="16774" xr:uid="{00000000-0005-0000-0000-0000D7960000}"/>
    <cellStyle name="Comma 9 3 3 3 4 2" xfId="42648" xr:uid="{00000000-0005-0000-0000-0000D8960000}"/>
    <cellStyle name="Comma 9 3 3 3 5" xfId="29700" xr:uid="{00000000-0005-0000-0000-0000D9960000}"/>
    <cellStyle name="Comma 9 3 3 4" xfId="5470" xr:uid="{00000000-0005-0000-0000-0000DA960000}"/>
    <cellStyle name="Comma 9 3 3 4 2" xfId="11929" xr:uid="{00000000-0005-0000-0000-0000DB960000}"/>
    <cellStyle name="Comma 9 3 3 4 2 2" xfId="24846" xr:uid="{00000000-0005-0000-0000-0000DC960000}"/>
    <cellStyle name="Comma 9 3 3 4 2 2 2" xfId="50720" xr:uid="{00000000-0005-0000-0000-0000DD960000}"/>
    <cellStyle name="Comma 9 3 3 4 2 3" xfId="37804" xr:uid="{00000000-0005-0000-0000-0000DE960000}"/>
    <cellStyle name="Comma 9 3 3 4 3" xfId="18388" xr:uid="{00000000-0005-0000-0000-0000DF960000}"/>
    <cellStyle name="Comma 9 3 3 4 3 2" xfId="44262" xr:uid="{00000000-0005-0000-0000-0000E0960000}"/>
    <cellStyle name="Comma 9 3 3 4 4" xfId="31346" xr:uid="{00000000-0005-0000-0000-0000E1960000}"/>
    <cellStyle name="Comma 9 3 3 5" xfId="8701" xr:uid="{00000000-0005-0000-0000-0000E2960000}"/>
    <cellStyle name="Comma 9 3 3 5 2" xfId="21618" xr:uid="{00000000-0005-0000-0000-0000E3960000}"/>
    <cellStyle name="Comma 9 3 3 5 2 2" xfId="47492" xr:uid="{00000000-0005-0000-0000-0000E4960000}"/>
    <cellStyle name="Comma 9 3 3 5 3" xfId="34576" xr:uid="{00000000-0005-0000-0000-0000E5960000}"/>
    <cellStyle name="Comma 9 3 3 6" xfId="15160" xr:uid="{00000000-0005-0000-0000-0000E6960000}"/>
    <cellStyle name="Comma 9 3 3 6 2" xfId="41034" xr:uid="{00000000-0005-0000-0000-0000E7960000}"/>
    <cellStyle name="Comma 9 3 3 7" xfId="28086" xr:uid="{00000000-0005-0000-0000-0000E8960000}"/>
    <cellStyle name="Comma 9 3 3 8" xfId="53948" xr:uid="{00000000-0005-0000-0000-0000E9960000}"/>
    <cellStyle name="Comma 9 3 3 9" xfId="2189" xr:uid="{00000000-0005-0000-0000-0000EA960000}"/>
    <cellStyle name="Comma 9 3 4" xfId="871" xr:uid="{00000000-0005-0000-0000-0000EB960000}"/>
    <cellStyle name="Comma 9 3 4 2" xfId="4257" xr:uid="{00000000-0005-0000-0000-0000EC960000}"/>
    <cellStyle name="Comma 9 3 4 2 2" xfId="7488" xr:uid="{00000000-0005-0000-0000-0000ED960000}"/>
    <cellStyle name="Comma 9 3 4 2 2 2" xfId="13947" xr:uid="{00000000-0005-0000-0000-0000EE960000}"/>
    <cellStyle name="Comma 9 3 4 2 2 2 2" xfId="26864" xr:uid="{00000000-0005-0000-0000-0000EF960000}"/>
    <cellStyle name="Comma 9 3 4 2 2 2 2 2" xfId="52738" xr:uid="{00000000-0005-0000-0000-0000F0960000}"/>
    <cellStyle name="Comma 9 3 4 2 2 2 3" xfId="39822" xr:uid="{00000000-0005-0000-0000-0000F1960000}"/>
    <cellStyle name="Comma 9 3 4 2 2 3" xfId="20406" xr:uid="{00000000-0005-0000-0000-0000F2960000}"/>
    <cellStyle name="Comma 9 3 4 2 2 3 2" xfId="46280" xr:uid="{00000000-0005-0000-0000-0000F3960000}"/>
    <cellStyle name="Comma 9 3 4 2 2 4" xfId="33364" xr:uid="{00000000-0005-0000-0000-0000F4960000}"/>
    <cellStyle name="Comma 9 3 4 2 3" xfId="10719" xr:uid="{00000000-0005-0000-0000-0000F5960000}"/>
    <cellStyle name="Comma 9 3 4 2 3 2" xfId="23636" xr:uid="{00000000-0005-0000-0000-0000F6960000}"/>
    <cellStyle name="Comma 9 3 4 2 3 2 2" xfId="49510" xr:uid="{00000000-0005-0000-0000-0000F7960000}"/>
    <cellStyle name="Comma 9 3 4 2 3 3" xfId="36594" xr:uid="{00000000-0005-0000-0000-0000F8960000}"/>
    <cellStyle name="Comma 9 3 4 2 4" xfId="17178" xr:uid="{00000000-0005-0000-0000-0000F9960000}"/>
    <cellStyle name="Comma 9 3 4 2 4 2" xfId="43052" xr:uid="{00000000-0005-0000-0000-0000FA960000}"/>
    <cellStyle name="Comma 9 3 4 2 5" xfId="30104" xr:uid="{00000000-0005-0000-0000-0000FB960000}"/>
    <cellStyle name="Comma 9 3 4 3" xfId="5874" xr:uid="{00000000-0005-0000-0000-0000FC960000}"/>
    <cellStyle name="Comma 9 3 4 3 2" xfId="12333" xr:uid="{00000000-0005-0000-0000-0000FD960000}"/>
    <cellStyle name="Comma 9 3 4 3 2 2" xfId="25250" xr:uid="{00000000-0005-0000-0000-0000FE960000}"/>
    <cellStyle name="Comma 9 3 4 3 2 2 2" xfId="51124" xr:uid="{00000000-0005-0000-0000-0000FF960000}"/>
    <cellStyle name="Comma 9 3 4 3 2 3" xfId="38208" xr:uid="{00000000-0005-0000-0000-000000970000}"/>
    <cellStyle name="Comma 9 3 4 3 3" xfId="18792" xr:uid="{00000000-0005-0000-0000-000001970000}"/>
    <cellStyle name="Comma 9 3 4 3 3 2" xfId="44666" xr:uid="{00000000-0005-0000-0000-000002970000}"/>
    <cellStyle name="Comma 9 3 4 3 4" xfId="31750" xr:uid="{00000000-0005-0000-0000-000003970000}"/>
    <cellStyle name="Comma 9 3 4 4" xfId="9105" xr:uid="{00000000-0005-0000-0000-000004970000}"/>
    <cellStyle name="Comma 9 3 4 4 2" xfId="22022" xr:uid="{00000000-0005-0000-0000-000005970000}"/>
    <cellStyle name="Comma 9 3 4 4 2 2" xfId="47896" xr:uid="{00000000-0005-0000-0000-000006970000}"/>
    <cellStyle name="Comma 9 3 4 4 3" xfId="34980" xr:uid="{00000000-0005-0000-0000-000007970000}"/>
    <cellStyle name="Comma 9 3 4 5" xfId="15564" xr:uid="{00000000-0005-0000-0000-000008970000}"/>
    <cellStyle name="Comma 9 3 4 5 2" xfId="41438" xr:uid="{00000000-0005-0000-0000-000009970000}"/>
    <cellStyle name="Comma 9 3 4 6" xfId="28490" xr:uid="{00000000-0005-0000-0000-00000A970000}"/>
    <cellStyle name="Comma 9 3 4 7" xfId="2600" xr:uid="{00000000-0005-0000-0000-00000B970000}"/>
    <cellStyle name="Comma 9 3 5" xfId="3427" xr:uid="{00000000-0005-0000-0000-00000C970000}"/>
    <cellStyle name="Comma 9 3 5 2" xfId="6681" xr:uid="{00000000-0005-0000-0000-00000D970000}"/>
    <cellStyle name="Comma 9 3 5 2 2" xfId="13140" xr:uid="{00000000-0005-0000-0000-00000E970000}"/>
    <cellStyle name="Comma 9 3 5 2 2 2" xfId="26057" xr:uid="{00000000-0005-0000-0000-00000F970000}"/>
    <cellStyle name="Comma 9 3 5 2 2 2 2" xfId="51931" xr:uid="{00000000-0005-0000-0000-000010970000}"/>
    <cellStyle name="Comma 9 3 5 2 2 3" xfId="39015" xr:uid="{00000000-0005-0000-0000-000011970000}"/>
    <cellStyle name="Comma 9 3 5 2 3" xfId="19599" xr:uid="{00000000-0005-0000-0000-000012970000}"/>
    <cellStyle name="Comma 9 3 5 2 3 2" xfId="45473" xr:uid="{00000000-0005-0000-0000-000013970000}"/>
    <cellStyle name="Comma 9 3 5 2 4" xfId="32557" xr:uid="{00000000-0005-0000-0000-000014970000}"/>
    <cellStyle name="Comma 9 3 5 3" xfId="9912" xr:uid="{00000000-0005-0000-0000-000015970000}"/>
    <cellStyle name="Comma 9 3 5 3 2" xfId="22829" xr:uid="{00000000-0005-0000-0000-000016970000}"/>
    <cellStyle name="Comma 9 3 5 3 2 2" xfId="48703" xr:uid="{00000000-0005-0000-0000-000017970000}"/>
    <cellStyle name="Comma 9 3 5 3 3" xfId="35787" xr:uid="{00000000-0005-0000-0000-000018970000}"/>
    <cellStyle name="Comma 9 3 5 4" xfId="16371" xr:uid="{00000000-0005-0000-0000-000019970000}"/>
    <cellStyle name="Comma 9 3 5 4 2" xfId="42245" xr:uid="{00000000-0005-0000-0000-00001A970000}"/>
    <cellStyle name="Comma 9 3 5 5" xfId="29297" xr:uid="{00000000-0005-0000-0000-00001B970000}"/>
    <cellStyle name="Comma 9 3 6" xfId="5067" xr:uid="{00000000-0005-0000-0000-00001C970000}"/>
    <cellStyle name="Comma 9 3 6 2" xfId="11526" xr:uid="{00000000-0005-0000-0000-00001D970000}"/>
    <cellStyle name="Comma 9 3 6 2 2" xfId="24443" xr:uid="{00000000-0005-0000-0000-00001E970000}"/>
    <cellStyle name="Comma 9 3 6 2 2 2" xfId="50317" xr:uid="{00000000-0005-0000-0000-00001F970000}"/>
    <cellStyle name="Comma 9 3 6 2 3" xfId="37401" xr:uid="{00000000-0005-0000-0000-000020970000}"/>
    <cellStyle name="Comma 9 3 6 3" xfId="17985" xr:uid="{00000000-0005-0000-0000-000021970000}"/>
    <cellStyle name="Comma 9 3 6 3 2" xfId="43859" xr:uid="{00000000-0005-0000-0000-000022970000}"/>
    <cellStyle name="Comma 9 3 6 4" xfId="30943" xr:uid="{00000000-0005-0000-0000-000023970000}"/>
    <cellStyle name="Comma 9 3 7" xfId="8297" xr:uid="{00000000-0005-0000-0000-000024970000}"/>
    <cellStyle name="Comma 9 3 7 2" xfId="21214" xr:uid="{00000000-0005-0000-0000-000025970000}"/>
    <cellStyle name="Comma 9 3 7 2 2" xfId="47088" xr:uid="{00000000-0005-0000-0000-000026970000}"/>
    <cellStyle name="Comma 9 3 7 3" xfId="34172" xr:uid="{00000000-0005-0000-0000-000027970000}"/>
    <cellStyle name="Comma 9 3 8" xfId="14756" xr:uid="{00000000-0005-0000-0000-000028970000}"/>
    <cellStyle name="Comma 9 3 8 2" xfId="40630" xr:uid="{00000000-0005-0000-0000-000029970000}"/>
    <cellStyle name="Comma 9 3 9" xfId="27680" xr:uid="{00000000-0005-0000-0000-00002A970000}"/>
    <cellStyle name="Comma 9 4" xfId="341" xr:uid="{00000000-0005-0000-0000-00002B970000}"/>
    <cellStyle name="Comma 9 4 2" xfId="875" xr:uid="{00000000-0005-0000-0000-00002C970000}"/>
    <cellStyle name="Comma 9 5" xfId="876" xr:uid="{00000000-0005-0000-0000-00002D970000}"/>
    <cellStyle name="Comma 9 5 10" xfId="53493" xr:uid="{00000000-0005-0000-0000-00002E970000}"/>
    <cellStyle name="Comma 9 5 11" xfId="1553" xr:uid="{00000000-0005-0000-0000-00002F970000}"/>
    <cellStyle name="Comma 9 5 2" xfId="1902" xr:uid="{00000000-0005-0000-0000-000030970000}"/>
    <cellStyle name="Comma 9 5 2 2" xfId="2333" xr:uid="{00000000-0005-0000-0000-000031970000}"/>
    <cellStyle name="Comma 9 5 2 2 2" xfId="3146" xr:uid="{00000000-0005-0000-0000-000032970000}"/>
    <cellStyle name="Comma 9 5 2 2 2 2" xfId="4803" xr:uid="{00000000-0005-0000-0000-000033970000}"/>
    <cellStyle name="Comma 9 5 2 2 2 2 2" xfId="8034" xr:uid="{00000000-0005-0000-0000-000034970000}"/>
    <cellStyle name="Comma 9 5 2 2 2 2 2 2" xfId="14493" xr:uid="{00000000-0005-0000-0000-000035970000}"/>
    <cellStyle name="Comma 9 5 2 2 2 2 2 2 2" xfId="27410" xr:uid="{00000000-0005-0000-0000-000036970000}"/>
    <cellStyle name="Comma 9 5 2 2 2 2 2 2 2 2" xfId="53284" xr:uid="{00000000-0005-0000-0000-000037970000}"/>
    <cellStyle name="Comma 9 5 2 2 2 2 2 2 3" xfId="40368" xr:uid="{00000000-0005-0000-0000-000038970000}"/>
    <cellStyle name="Comma 9 5 2 2 2 2 2 3" xfId="20952" xr:uid="{00000000-0005-0000-0000-000039970000}"/>
    <cellStyle name="Comma 9 5 2 2 2 2 2 3 2" xfId="46826" xr:uid="{00000000-0005-0000-0000-00003A970000}"/>
    <cellStyle name="Comma 9 5 2 2 2 2 2 4" xfId="33910" xr:uid="{00000000-0005-0000-0000-00003B970000}"/>
    <cellStyle name="Comma 9 5 2 2 2 2 3" xfId="11265" xr:uid="{00000000-0005-0000-0000-00003C970000}"/>
    <cellStyle name="Comma 9 5 2 2 2 2 3 2" xfId="24182" xr:uid="{00000000-0005-0000-0000-00003D970000}"/>
    <cellStyle name="Comma 9 5 2 2 2 2 3 2 2" xfId="50056" xr:uid="{00000000-0005-0000-0000-00003E970000}"/>
    <cellStyle name="Comma 9 5 2 2 2 2 3 3" xfId="37140" xr:uid="{00000000-0005-0000-0000-00003F970000}"/>
    <cellStyle name="Comma 9 5 2 2 2 2 4" xfId="17724" xr:uid="{00000000-0005-0000-0000-000040970000}"/>
    <cellStyle name="Comma 9 5 2 2 2 2 4 2" xfId="43598" xr:uid="{00000000-0005-0000-0000-000041970000}"/>
    <cellStyle name="Comma 9 5 2 2 2 2 5" xfId="30650" xr:uid="{00000000-0005-0000-0000-000042970000}"/>
    <cellStyle name="Comma 9 5 2 2 2 3" xfId="6420" xr:uid="{00000000-0005-0000-0000-000043970000}"/>
    <cellStyle name="Comma 9 5 2 2 2 3 2" xfId="12879" xr:uid="{00000000-0005-0000-0000-000044970000}"/>
    <cellStyle name="Comma 9 5 2 2 2 3 2 2" xfId="25796" xr:uid="{00000000-0005-0000-0000-000045970000}"/>
    <cellStyle name="Comma 9 5 2 2 2 3 2 2 2" xfId="51670" xr:uid="{00000000-0005-0000-0000-000046970000}"/>
    <cellStyle name="Comma 9 5 2 2 2 3 2 3" xfId="38754" xr:uid="{00000000-0005-0000-0000-000047970000}"/>
    <cellStyle name="Comma 9 5 2 2 2 3 3" xfId="19338" xr:uid="{00000000-0005-0000-0000-000048970000}"/>
    <cellStyle name="Comma 9 5 2 2 2 3 3 2" xfId="45212" xr:uid="{00000000-0005-0000-0000-000049970000}"/>
    <cellStyle name="Comma 9 5 2 2 2 3 4" xfId="32296" xr:uid="{00000000-0005-0000-0000-00004A970000}"/>
    <cellStyle name="Comma 9 5 2 2 2 4" xfId="9651" xr:uid="{00000000-0005-0000-0000-00004B970000}"/>
    <cellStyle name="Comma 9 5 2 2 2 4 2" xfId="22568" xr:uid="{00000000-0005-0000-0000-00004C970000}"/>
    <cellStyle name="Comma 9 5 2 2 2 4 2 2" xfId="48442" xr:uid="{00000000-0005-0000-0000-00004D970000}"/>
    <cellStyle name="Comma 9 5 2 2 2 4 3" xfId="35526" xr:uid="{00000000-0005-0000-0000-00004E970000}"/>
    <cellStyle name="Comma 9 5 2 2 2 5" xfId="16110" xr:uid="{00000000-0005-0000-0000-00004F970000}"/>
    <cellStyle name="Comma 9 5 2 2 2 5 2" xfId="41984" xr:uid="{00000000-0005-0000-0000-000050970000}"/>
    <cellStyle name="Comma 9 5 2 2 2 6" xfId="29036" xr:uid="{00000000-0005-0000-0000-000051970000}"/>
    <cellStyle name="Comma 9 5 2 2 3" xfId="3973" xr:uid="{00000000-0005-0000-0000-000052970000}"/>
    <cellStyle name="Comma 9 5 2 2 3 2" xfId="7227" xr:uid="{00000000-0005-0000-0000-000053970000}"/>
    <cellStyle name="Comma 9 5 2 2 3 2 2" xfId="13686" xr:uid="{00000000-0005-0000-0000-000054970000}"/>
    <cellStyle name="Comma 9 5 2 2 3 2 2 2" xfId="26603" xr:uid="{00000000-0005-0000-0000-000055970000}"/>
    <cellStyle name="Comma 9 5 2 2 3 2 2 2 2" xfId="52477" xr:uid="{00000000-0005-0000-0000-000056970000}"/>
    <cellStyle name="Comma 9 5 2 2 3 2 2 3" xfId="39561" xr:uid="{00000000-0005-0000-0000-000057970000}"/>
    <cellStyle name="Comma 9 5 2 2 3 2 3" xfId="20145" xr:uid="{00000000-0005-0000-0000-000058970000}"/>
    <cellStyle name="Comma 9 5 2 2 3 2 3 2" xfId="46019" xr:uid="{00000000-0005-0000-0000-000059970000}"/>
    <cellStyle name="Comma 9 5 2 2 3 2 4" xfId="33103" xr:uid="{00000000-0005-0000-0000-00005A970000}"/>
    <cellStyle name="Comma 9 5 2 2 3 3" xfId="10458" xr:uid="{00000000-0005-0000-0000-00005B970000}"/>
    <cellStyle name="Comma 9 5 2 2 3 3 2" xfId="23375" xr:uid="{00000000-0005-0000-0000-00005C970000}"/>
    <cellStyle name="Comma 9 5 2 2 3 3 2 2" xfId="49249" xr:uid="{00000000-0005-0000-0000-00005D970000}"/>
    <cellStyle name="Comma 9 5 2 2 3 3 3" xfId="36333" xr:uid="{00000000-0005-0000-0000-00005E970000}"/>
    <cellStyle name="Comma 9 5 2 2 3 4" xfId="16917" xr:uid="{00000000-0005-0000-0000-00005F970000}"/>
    <cellStyle name="Comma 9 5 2 2 3 4 2" xfId="42791" xr:uid="{00000000-0005-0000-0000-000060970000}"/>
    <cellStyle name="Comma 9 5 2 2 3 5" xfId="29843" xr:uid="{00000000-0005-0000-0000-000061970000}"/>
    <cellStyle name="Comma 9 5 2 2 4" xfId="5613" xr:uid="{00000000-0005-0000-0000-000062970000}"/>
    <cellStyle name="Comma 9 5 2 2 4 2" xfId="12072" xr:uid="{00000000-0005-0000-0000-000063970000}"/>
    <cellStyle name="Comma 9 5 2 2 4 2 2" xfId="24989" xr:uid="{00000000-0005-0000-0000-000064970000}"/>
    <cellStyle name="Comma 9 5 2 2 4 2 2 2" xfId="50863" xr:uid="{00000000-0005-0000-0000-000065970000}"/>
    <cellStyle name="Comma 9 5 2 2 4 2 3" xfId="37947" xr:uid="{00000000-0005-0000-0000-000066970000}"/>
    <cellStyle name="Comma 9 5 2 2 4 3" xfId="18531" xr:uid="{00000000-0005-0000-0000-000067970000}"/>
    <cellStyle name="Comma 9 5 2 2 4 3 2" xfId="44405" xr:uid="{00000000-0005-0000-0000-000068970000}"/>
    <cellStyle name="Comma 9 5 2 2 4 4" xfId="31489" xr:uid="{00000000-0005-0000-0000-000069970000}"/>
    <cellStyle name="Comma 9 5 2 2 5" xfId="8844" xr:uid="{00000000-0005-0000-0000-00006A970000}"/>
    <cellStyle name="Comma 9 5 2 2 5 2" xfId="21761" xr:uid="{00000000-0005-0000-0000-00006B970000}"/>
    <cellStyle name="Comma 9 5 2 2 5 2 2" xfId="47635" xr:uid="{00000000-0005-0000-0000-00006C970000}"/>
    <cellStyle name="Comma 9 5 2 2 5 3" xfId="34719" xr:uid="{00000000-0005-0000-0000-00006D970000}"/>
    <cellStyle name="Comma 9 5 2 2 6" xfId="15303" xr:uid="{00000000-0005-0000-0000-00006E970000}"/>
    <cellStyle name="Comma 9 5 2 2 6 2" xfId="41177" xr:uid="{00000000-0005-0000-0000-00006F970000}"/>
    <cellStyle name="Comma 9 5 2 2 7" xfId="28229" xr:uid="{00000000-0005-0000-0000-000070970000}"/>
    <cellStyle name="Comma 9 5 2 2 8" xfId="54091" xr:uid="{00000000-0005-0000-0000-000071970000}"/>
    <cellStyle name="Comma 9 5 2 3" xfId="2742" xr:uid="{00000000-0005-0000-0000-000072970000}"/>
    <cellStyle name="Comma 9 5 2 3 2" xfId="4399" xr:uid="{00000000-0005-0000-0000-000073970000}"/>
    <cellStyle name="Comma 9 5 2 3 2 2" xfId="7630" xr:uid="{00000000-0005-0000-0000-000074970000}"/>
    <cellStyle name="Comma 9 5 2 3 2 2 2" xfId="14089" xr:uid="{00000000-0005-0000-0000-000075970000}"/>
    <cellStyle name="Comma 9 5 2 3 2 2 2 2" xfId="27006" xr:uid="{00000000-0005-0000-0000-000076970000}"/>
    <cellStyle name="Comma 9 5 2 3 2 2 2 2 2" xfId="52880" xr:uid="{00000000-0005-0000-0000-000077970000}"/>
    <cellStyle name="Comma 9 5 2 3 2 2 2 3" xfId="39964" xr:uid="{00000000-0005-0000-0000-000078970000}"/>
    <cellStyle name="Comma 9 5 2 3 2 2 3" xfId="20548" xr:uid="{00000000-0005-0000-0000-000079970000}"/>
    <cellStyle name="Comma 9 5 2 3 2 2 3 2" xfId="46422" xr:uid="{00000000-0005-0000-0000-00007A970000}"/>
    <cellStyle name="Comma 9 5 2 3 2 2 4" xfId="33506" xr:uid="{00000000-0005-0000-0000-00007B970000}"/>
    <cellStyle name="Comma 9 5 2 3 2 3" xfId="10861" xr:uid="{00000000-0005-0000-0000-00007C970000}"/>
    <cellStyle name="Comma 9 5 2 3 2 3 2" xfId="23778" xr:uid="{00000000-0005-0000-0000-00007D970000}"/>
    <cellStyle name="Comma 9 5 2 3 2 3 2 2" xfId="49652" xr:uid="{00000000-0005-0000-0000-00007E970000}"/>
    <cellStyle name="Comma 9 5 2 3 2 3 3" xfId="36736" xr:uid="{00000000-0005-0000-0000-00007F970000}"/>
    <cellStyle name="Comma 9 5 2 3 2 4" xfId="17320" xr:uid="{00000000-0005-0000-0000-000080970000}"/>
    <cellStyle name="Comma 9 5 2 3 2 4 2" xfId="43194" xr:uid="{00000000-0005-0000-0000-000081970000}"/>
    <cellStyle name="Comma 9 5 2 3 2 5" xfId="30246" xr:uid="{00000000-0005-0000-0000-000082970000}"/>
    <cellStyle name="Comma 9 5 2 3 3" xfId="6016" xr:uid="{00000000-0005-0000-0000-000083970000}"/>
    <cellStyle name="Comma 9 5 2 3 3 2" xfId="12475" xr:uid="{00000000-0005-0000-0000-000084970000}"/>
    <cellStyle name="Comma 9 5 2 3 3 2 2" xfId="25392" xr:uid="{00000000-0005-0000-0000-000085970000}"/>
    <cellStyle name="Comma 9 5 2 3 3 2 2 2" xfId="51266" xr:uid="{00000000-0005-0000-0000-000086970000}"/>
    <cellStyle name="Comma 9 5 2 3 3 2 3" xfId="38350" xr:uid="{00000000-0005-0000-0000-000087970000}"/>
    <cellStyle name="Comma 9 5 2 3 3 3" xfId="18934" xr:uid="{00000000-0005-0000-0000-000088970000}"/>
    <cellStyle name="Comma 9 5 2 3 3 3 2" xfId="44808" xr:uid="{00000000-0005-0000-0000-000089970000}"/>
    <cellStyle name="Comma 9 5 2 3 3 4" xfId="31892" xr:uid="{00000000-0005-0000-0000-00008A970000}"/>
    <cellStyle name="Comma 9 5 2 3 4" xfId="9247" xr:uid="{00000000-0005-0000-0000-00008B970000}"/>
    <cellStyle name="Comma 9 5 2 3 4 2" xfId="22164" xr:uid="{00000000-0005-0000-0000-00008C970000}"/>
    <cellStyle name="Comma 9 5 2 3 4 2 2" xfId="48038" xr:uid="{00000000-0005-0000-0000-00008D970000}"/>
    <cellStyle name="Comma 9 5 2 3 4 3" xfId="35122" xr:uid="{00000000-0005-0000-0000-00008E970000}"/>
    <cellStyle name="Comma 9 5 2 3 5" xfId="15706" xr:uid="{00000000-0005-0000-0000-00008F970000}"/>
    <cellStyle name="Comma 9 5 2 3 5 2" xfId="41580" xr:uid="{00000000-0005-0000-0000-000090970000}"/>
    <cellStyle name="Comma 9 5 2 3 6" xfId="28632" xr:uid="{00000000-0005-0000-0000-000091970000}"/>
    <cellStyle name="Comma 9 5 2 4" xfId="3569" xr:uid="{00000000-0005-0000-0000-000092970000}"/>
    <cellStyle name="Comma 9 5 2 4 2" xfId="6823" xr:uid="{00000000-0005-0000-0000-000093970000}"/>
    <cellStyle name="Comma 9 5 2 4 2 2" xfId="13282" xr:uid="{00000000-0005-0000-0000-000094970000}"/>
    <cellStyle name="Comma 9 5 2 4 2 2 2" xfId="26199" xr:uid="{00000000-0005-0000-0000-000095970000}"/>
    <cellStyle name="Comma 9 5 2 4 2 2 2 2" xfId="52073" xr:uid="{00000000-0005-0000-0000-000096970000}"/>
    <cellStyle name="Comma 9 5 2 4 2 2 3" xfId="39157" xr:uid="{00000000-0005-0000-0000-000097970000}"/>
    <cellStyle name="Comma 9 5 2 4 2 3" xfId="19741" xr:uid="{00000000-0005-0000-0000-000098970000}"/>
    <cellStyle name="Comma 9 5 2 4 2 3 2" xfId="45615" xr:uid="{00000000-0005-0000-0000-000099970000}"/>
    <cellStyle name="Comma 9 5 2 4 2 4" xfId="32699" xr:uid="{00000000-0005-0000-0000-00009A970000}"/>
    <cellStyle name="Comma 9 5 2 4 3" xfId="10054" xr:uid="{00000000-0005-0000-0000-00009B970000}"/>
    <cellStyle name="Comma 9 5 2 4 3 2" xfId="22971" xr:uid="{00000000-0005-0000-0000-00009C970000}"/>
    <cellStyle name="Comma 9 5 2 4 3 2 2" xfId="48845" xr:uid="{00000000-0005-0000-0000-00009D970000}"/>
    <cellStyle name="Comma 9 5 2 4 3 3" xfId="35929" xr:uid="{00000000-0005-0000-0000-00009E970000}"/>
    <cellStyle name="Comma 9 5 2 4 4" xfId="16513" xr:uid="{00000000-0005-0000-0000-00009F970000}"/>
    <cellStyle name="Comma 9 5 2 4 4 2" xfId="42387" xr:uid="{00000000-0005-0000-0000-0000A0970000}"/>
    <cellStyle name="Comma 9 5 2 4 5" xfId="29439" xr:uid="{00000000-0005-0000-0000-0000A1970000}"/>
    <cellStyle name="Comma 9 5 2 5" xfId="5209" xr:uid="{00000000-0005-0000-0000-0000A2970000}"/>
    <cellStyle name="Comma 9 5 2 5 2" xfId="11668" xr:uid="{00000000-0005-0000-0000-0000A3970000}"/>
    <cellStyle name="Comma 9 5 2 5 2 2" xfId="24585" xr:uid="{00000000-0005-0000-0000-0000A4970000}"/>
    <cellStyle name="Comma 9 5 2 5 2 2 2" xfId="50459" xr:uid="{00000000-0005-0000-0000-0000A5970000}"/>
    <cellStyle name="Comma 9 5 2 5 2 3" xfId="37543" xr:uid="{00000000-0005-0000-0000-0000A6970000}"/>
    <cellStyle name="Comma 9 5 2 5 3" xfId="18127" xr:uid="{00000000-0005-0000-0000-0000A7970000}"/>
    <cellStyle name="Comma 9 5 2 5 3 2" xfId="44001" xr:uid="{00000000-0005-0000-0000-0000A8970000}"/>
    <cellStyle name="Comma 9 5 2 5 4" xfId="31085" xr:uid="{00000000-0005-0000-0000-0000A9970000}"/>
    <cellStyle name="Comma 9 5 2 6" xfId="8440" xr:uid="{00000000-0005-0000-0000-0000AA970000}"/>
    <cellStyle name="Comma 9 5 2 6 2" xfId="21357" xr:uid="{00000000-0005-0000-0000-0000AB970000}"/>
    <cellStyle name="Comma 9 5 2 6 2 2" xfId="47231" xr:uid="{00000000-0005-0000-0000-0000AC970000}"/>
    <cellStyle name="Comma 9 5 2 6 3" xfId="34315" xr:uid="{00000000-0005-0000-0000-0000AD970000}"/>
    <cellStyle name="Comma 9 5 2 7" xfId="14899" xr:uid="{00000000-0005-0000-0000-0000AE970000}"/>
    <cellStyle name="Comma 9 5 2 7 2" xfId="40773" xr:uid="{00000000-0005-0000-0000-0000AF970000}"/>
    <cellStyle name="Comma 9 5 2 8" xfId="27824" xr:uid="{00000000-0005-0000-0000-0000B0970000}"/>
    <cellStyle name="Comma 9 5 2 9" xfId="53687" xr:uid="{00000000-0005-0000-0000-0000B1970000}"/>
    <cellStyle name="Comma 9 5 3" xfId="2137" xr:uid="{00000000-0005-0000-0000-0000B2970000}"/>
    <cellStyle name="Comma 9 5 3 2" xfId="2951" xr:uid="{00000000-0005-0000-0000-0000B3970000}"/>
    <cellStyle name="Comma 9 5 3 2 2" xfId="4608" xr:uid="{00000000-0005-0000-0000-0000B4970000}"/>
    <cellStyle name="Comma 9 5 3 2 2 2" xfId="7839" xr:uid="{00000000-0005-0000-0000-0000B5970000}"/>
    <cellStyle name="Comma 9 5 3 2 2 2 2" xfId="14298" xr:uid="{00000000-0005-0000-0000-0000B6970000}"/>
    <cellStyle name="Comma 9 5 3 2 2 2 2 2" xfId="27215" xr:uid="{00000000-0005-0000-0000-0000B7970000}"/>
    <cellStyle name="Comma 9 5 3 2 2 2 2 2 2" xfId="53089" xr:uid="{00000000-0005-0000-0000-0000B8970000}"/>
    <cellStyle name="Comma 9 5 3 2 2 2 2 3" xfId="40173" xr:uid="{00000000-0005-0000-0000-0000B9970000}"/>
    <cellStyle name="Comma 9 5 3 2 2 2 3" xfId="20757" xr:uid="{00000000-0005-0000-0000-0000BA970000}"/>
    <cellStyle name="Comma 9 5 3 2 2 2 3 2" xfId="46631" xr:uid="{00000000-0005-0000-0000-0000BB970000}"/>
    <cellStyle name="Comma 9 5 3 2 2 2 4" xfId="33715" xr:uid="{00000000-0005-0000-0000-0000BC970000}"/>
    <cellStyle name="Comma 9 5 3 2 2 3" xfId="11070" xr:uid="{00000000-0005-0000-0000-0000BD970000}"/>
    <cellStyle name="Comma 9 5 3 2 2 3 2" xfId="23987" xr:uid="{00000000-0005-0000-0000-0000BE970000}"/>
    <cellStyle name="Comma 9 5 3 2 2 3 2 2" xfId="49861" xr:uid="{00000000-0005-0000-0000-0000BF970000}"/>
    <cellStyle name="Comma 9 5 3 2 2 3 3" xfId="36945" xr:uid="{00000000-0005-0000-0000-0000C0970000}"/>
    <cellStyle name="Comma 9 5 3 2 2 4" xfId="17529" xr:uid="{00000000-0005-0000-0000-0000C1970000}"/>
    <cellStyle name="Comma 9 5 3 2 2 4 2" xfId="43403" xr:uid="{00000000-0005-0000-0000-0000C2970000}"/>
    <cellStyle name="Comma 9 5 3 2 2 5" xfId="30455" xr:uid="{00000000-0005-0000-0000-0000C3970000}"/>
    <cellStyle name="Comma 9 5 3 2 3" xfId="6225" xr:uid="{00000000-0005-0000-0000-0000C4970000}"/>
    <cellStyle name="Comma 9 5 3 2 3 2" xfId="12684" xr:uid="{00000000-0005-0000-0000-0000C5970000}"/>
    <cellStyle name="Comma 9 5 3 2 3 2 2" xfId="25601" xr:uid="{00000000-0005-0000-0000-0000C6970000}"/>
    <cellStyle name="Comma 9 5 3 2 3 2 2 2" xfId="51475" xr:uid="{00000000-0005-0000-0000-0000C7970000}"/>
    <cellStyle name="Comma 9 5 3 2 3 2 3" xfId="38559" xr:uid="{00000000-0005-0000-0000-0000C8970000}"/>
    <cellStyle name="Comma 9 5 3 2 3 3" xfId="19143" xr:uid="{00000000-0005-0000-0000-0000C9970000}"/>
    <cellStyle name="Comma 9 5 3 2 3 3 2" xfId="45017" xr:uid="{00000000-0005-0000-0000-0000CA970000}"/>
    <cellStyle name="Comma 9 5 3 2 3 4" xfId="32101" xr:uid="{00000000-0005-0000-0000-0000CB970000}"/>
    <cellStyle name="Comma 9 5 3 2 4" xfId="9456" xr:uid="{00000000-0005-0000-0000-0000CC970000}"/>
    <cellStyle name="Comma 9 5 3 2 4 2" xfId="22373" xr:uid="{00000000-0005-0000-0000-0000CD970000}"/>
    <cellStyle name="Comma 9 5 3 2 4 2 2" xfId="48247" xr:uid="{00000000-0005-0000-0000-0000CE970000}"/>
    <cellStyle name="Comma 9 5 3 2 4 3" xfId="35331" xr:uid="{00000000-0005-0000-0000-0000CF970000}"/>
    <cellStyle name="Comma 9 5 3 2 5" xfId="15915" xr:uid="{00000000-0005-0000-0000-0000D0970000}"/>
    <cellStyle name="Comma 9 5 3 2 5 2" xfId="41789" xr:uid="{00000000-0005-0000-0000-0000D1970000}"/>
    <cellStyle name="Comma 9 5 3 2 6" xfId="28841" xr:uid="{00000000-0005-0000-0000-0000D2970000}"/>
    <cellStyle name="Comma 9 5 3 3" xfId="3778" xr:uid="{00000000-0005-0000-0000-0000D3970000}"/>
    <cellStyle name="Comma 9 5 3 3 2" xfId="7032" xr:uid="{00000000-0005-0000-0000-0000D4970000}"/>
    <cellStyle name="Comma 9 5 3 3 2 2" xfId="13491" xr:uid="{00000000-0005-0000-0000-0000D5970000}"/>
    <cellStyle name="Comma 9 5 3 3 2 2 2" xfId="26408" xr:uid="{00000000-0005-0000-0000-0000D6970000}"/>
    <cellStyle name="Comma 9 5 3 3 2 2 2 2" xfId="52282" xr:uid="{00000000-0005-0000-0000-0000D7970000}"/>
    <cellStyle name="Comma 9 5 3 3 2 2 3" xfId="39366" xr:uid="{00000000-0005-0000-0000-0000D8970000}"/>
    <cellStyle name="Comma 9 5 3 3 2 3" xfId="19950" xr:uid="{00000000-0005-0000-0000-0000D9970000}"/>
    <cellStyle name="Comma 9 5 3 3 2 3 2" xfId="45824" xr:uid="{00000000-0005-0000-0000-0000DA970000}"/>
    <cellStyle name="Comma 9 5 3 3 2 4" xfId="32908" xr:uid="{00000000-0005-0000-0000-0000DB970000}"/>
    <cellStyle name="Comma 9 5 3 3 3" xfId="10263" xr:uid="{00000000-0005-0000-0000-0000DC970000}"/>
    <cellStyle name="Comma 9 5 3 3 3 2" xfId="23180" xr:uid="{00000000-0005-0000-0000-0000DD970000}"/>
    <cellStyle name="Comma 9 5 3 3 3 2 2" xfId="49054" xr:uid="{00000000-0005-0000-0000-0000DE970000}"/>
    <cellStyle name="Comma 9 5 3 3 3 3" xfId="36138" xr:uid="{00000000-0005-0000-0000-0000DF970000}"/>
    <cellStyle name="Comma 9 5 3 3 4" xfId="16722" xr:uid="{00000000-0005-0000-0000-0000E0970000}"/>
    <cellStyle name="Comma 9 5 3 3 4 2" xfId="42596" xr:uid="{00000000-0005-0000-0000-0000E1970000}"/>
    <cellStyle name="Comma 9 5 3 3 5" xfId="29648" xr:uid="{00000000-0005-0000-0000-0000E2970000}"/>
    <cellStyle name="Comma 9 5 3 4" xfId="5418" xr:uid="{00000000-0005-0000-0000-0000E3970000}"/>
    <cellStyle name="Comma 9 5 3 4 2" xfId="11877" xr:uid="{00000000-0005-0000-0000-0000E4970000}"/>
    <cellStyle name="Comma 9 5 3 4 2 2" xfId="24794" xr:uid="{00000000-0005-0000-0000-0000E5970000}"/>
    <cellStyle name="Comma 9 5 3 4 2 2 2" xfId="50668" xr:uid="{00000000-0005-0000-0000-0000E6970000}"/>
    <cellStyle name="Comma 9 5 3 4 2 3" xfId="37752" xr:uid="{00000000-0005-0000-0000-0000E7970000}"/>
    <cellStyle name="Comma 9 5 3 4 3" xfId="18336" xr:uid="{00000000-0005-0000-0000-0000E8970000}"/>
    <cellStyle name="Comma 9 5 3 4 3 2" xfId="44210" xr:uid="{00000000-0005-0000-0000-0000E9970000}"/>
    <cellStyle name="Comma 9 5 3 4 4" xfId="31294" xr:uid="{00000000-0005-0000-0000-0000EA970000}"/>
    <cellStyle name="Comma 9 5 3 5" xfId="8649" xr:uid="{00000000-0005-0000-0000-0000EB970000}"/>
    <cellStyle name="Comma 9 5 3 5 2" xfId="21566" xr:uid="{00000000-0005-0000-0000-0000EC970000}"/>
    <cellStyle name="Comma 9 5 3 5 2 2" xfId="47440" xr:uid="{00000000-0005-0000-0000-0000ED970000}"/>
    <cellStyle name="Comma 9 5 3 5 3" xfId="34524" xr:uid="{00000000-0005-0000-0000-0000EE970000}"/>
    <cellStyle name="Comma 9 5 3 6" xfId="15108" xr:uid="{00000000-0005-0000-0000-0000EF970000}"/>
    <cellStyle name="Comma 9 5 3 6 2" xfId="40982" xr:uid="{00000000-0005-0000-0000-0000F0970000}"/>
    <cellStyle name="Comma 9 5 3 7" xfId="28034" xr:uid="{00000000-0005-0000-0000-0000F1970000}"/>
    <cellStyle name="Comma 9 5 3 8" xfId="53896" xr:uid="{00000000-0005-0000-0000-0000F2970000}"/>
    <cellStyle name="Comma 9 5 4" xfId="2548" xr:uid="{00000000-0005-0000-0000-0000F3970000}"/>
    <cellStyle name="Comma 9 5 4 2" xfId="4205" xr:uid="{00000000-0005-0000-0000-0000F4970000}"/>
    <cellStyle name="Comma 9 5 4 2 2" xfId="7436" xr:uid="{00000000-0005-0000-0000-0000F5970000}"/>
    <cellStyle name="Comma 9 5 4 2 2 2" xfId="13895" xr:uid="{00000000-0005-0000-0000-0000F6970000}"/>
    <cellStyle name="Comma 9 5 4 2 2 2 2" xfId="26812" xr:uid="{00000000-0005-0000-0000-0000F7970000}"/>
    <cellStyle name="Comma 9 5 4 2 2 2 2 2" xfId="52686" xr:uid="{00000000-0005-0000-0000-0000F8970000}"/>
    <cellStyle name="Comma 9 5 4 2 2 2 3" xfId="39770" xr:uid="{00000000-0005-0000-0000-0000F9970000}"/>
    <cellStyle name="Comma 9 5 4 2 2 3" xfId="20354" xr:uid="{00000000-0005-0000-0000-0000FA970000}"/>
    <cellStyle name="Comma 9 5 4 2 2 3 2" xfId="46228" xr:uid="{00000000-0005-0000-0000-0000FB970000}"/>
    <cellStyle name="Comma 9 5 4 2 2 4" xfId="33312" xr:uid="{00000000-0005-0000-0000-0000FC970000}"/>
    <cellStyle name="Comma 9 5 4 2 3" xfId="10667" xr:uid="{00000000-0005-0000-0000-0000FD970000}"/>
    <cellStyle name="Comma 9 5 4 2 3 2" xfId="23584" xr:uid="{00000000-0005-0000-0000-0000FE970000}"/>
    <cellStyle name="Comma 9 5 4 2 3 2 2" xfId="49458" xr:uid="{00000000-0005-0000-0000-0000FF970000}"/>
    <cellStyle name="Comma 9 5 4 2 3 3" xfId="36542" xr:uid="{00000000-0005-0000-0000-000000980000}"/>
    <cellStyle name="Comma 9 5 4 2 4" xfId="17126" xr:uid="{00000000-0005-0000-0000-000001980000}"/>
    <cellStyle name="Comma 9 5 4 2 4 2" xfId="43000" xr:uid="{00000000-0005-0000-0000-000002980000}"/>
    <cellStyle name="Comma 9 5 4 2 5" xfId="30052" xr:uid="{00000000-0005-0000-0000-000003980000}"/>
    <cellStyle name="Comma 9 5 4 3" xfId="5822" xr:uid="{00000000-0005-0000-0000-000004980000}"/>
    <cellStyle name="Comma 9 5 4 3 2" xfId="12281" xr:uid="{00000000-0005-0000-0000-000005980000}"/>
    <cellStyle name="Comma 9 5 4 3 2 2" xfId="25198" xr:uid="{00000000-0005-0000-0000-000006980000}"/>
    <cellStyle name="Comma 9 5 4 3 2 2 2" xfId="51072" xr:uid="{00000000-0005-0000-0000-000007980000}"/>
    <cellStyle name="Comma 9 5 4 3 2 3" xfId="38156" xr:uid="{00000000-0005-0000-0000-000008980000}"/>
    <cellStyle name="Comma 9 5 4 3 3" xfId="18740" xr:uid="{00000000-0005-0000-0000-000009980000}"/>
    <cellStyle name="Comma 9 5 4 3 3 2" xfId="44614" xr:uid="{00000000-0005-0000-0000-00000A980000}"/>
    <cellStyle name="Comma 9 5 4 3 4" xfId="31698" xr:uid="{00000000-0005-0000-0000-00000B980000}"/>
    <cellStyle name="Comma 9 5 4 4" xfId="9053" xr:uid="{00000000-0005-0000-0000-00000C980000}"/>
    <cellStyle name="Comma 9 5 4 4 2" xfId="21970" xr:uid="{00000000-0005-0000-0000-00000D980000}"/>
    <cellStyle name="Comma 9 5 4 4 2 2" xfId="47844" xr:uid="{00000000-0005-0000-0000-00000E980000}"/>
    <cellStyle name="Comma 9 5 4 4 3" xfId="34928" xr:uid="{00000000-0005-0000-0000-00000F980000}"/>
    <cellStyle name="Comma 9 5 4 5" xfId="15512" xr:uid="{00000000-0005-0000-0000-000010980000}"/>
    <cellStyle name="Comma 9 5 4 5 2" xfId="41386" xr:uid="{00000000-0005-0000-0000-000011980000}"/>
    <cellStyle name="Comma 9 5 4 6" xfId="28438" xr:uid="{00000000-0005-0000-0000-000012980000}"/>
    <cellStyle name="Comma 9 5 5" xfId="3373" xr:uid="{00000000-0005-0000-0000-000013980000}"/>
    <cellStyle name="Comma 9 5 5 2" xfId="6629" xr:uid="{00000000-0005-0000-0000-000014980000}"/>
    <cellStyle name="Comma 9 5 5 2 2" xfId="13088" xr:uid="{00000000-0005-0000-0000-000015980000}"/>
    <cellStyle name="Comma 9 5 5 2 2 2" xfId="26005" xr:uid="{00000000-0005-0000-0000-000016980000}"/>
    <cellStyle name="Comma 9 5 5 2 2 2 2" xfId="51879" xr:uid="{00000000-0005-0000-0000-000017980000}"/>
    <cellStyle name="Comma 9 5 5 2 2 3" xfId="38963" xr:uid="{00000000-0005-0000-0000-000018980000}"/>
    <cellStyle name="Comma 9 5 5 2 3" xfId="19547" xr:uid="{00000000-0005-0000-0000-000019980000}"/>
    <cellStyle name="Comma 9 5 5 2 3 2" xfId="45421" xr:uid="{00000000-0005-0000-0000-00001A980000}"/>
    <cellStyle name="Comma 9 5 5 2 4" xfId="32505" xr:uid="{00000000-0005-0000-0000-00001B980000}"/>
    <cellStyle name="Comma 9 5 5 3" xfId="9860" xr:uid="{00000000-0005-0000-0000-00001C980000}"/>
    <cellStyle name="Comma 9 5 5 3 2" xfId="22777" xr:uid="{00000000-0005-0000-0000-00001D980000}"/>
    <cellStyle name="Comma 9 5 5 3 2 2" xfId="48651" xr:uid="{00000000-0005-0000-0000-00001E980000}"/>
    <cellStyle name="Comma 9 5 5 3 3" xfId="35735" xr:uid="{00000000-0005-0000-0000-00001F980000}"/>
    <cellStyle name="Comma 9 5 5 4" xfId="16319" xr:uid="{00000000-0005-0000-0000-000020980000}"/>
    <cellStyle name="Comma 9 5 5 4 2" xfId="42193" xr:uid="{00000000-0005-0000-0000-000021980000}"/>
    <cellStyle name="Comma 9 5 5 5" xfId="29245" xr:uid="{00000000-0005-0000-0000-000022980000}"/>
    <cellStyle name="Comma 9 5 6" xfId="5015" xr:uid="{00000000-0005-0000-0000-000023980000}"/>
    <cellStyle name="Comma 9 5 6 2" xfId="11474" xr:uid="{00000000-0005-0000-0000-000024980000}"/>
    <cellStyle name="Comma 9 5 6 2 2" xfId="24391" xr:uid="{00000000-0005-0000-0000-000025980000}"/>
    <cellStyle name="Comma 9 5 6 2 2 2" xfId="50265" xr:uid="{00000000-0005-0000-0000-000026980000}"/>
    <cellStyle name="Comma 9 5 6 2 3" xfId="37349" xr:uid="{00000000-0005-0000-0000-000027980000}"/>
    <cellStyle name="Comma 9 5 6 3" xfId="17933" xr:uid="{00000000-0005-0000-0000-000028980000}"/>
    <cellStyle name="Comma 9 5 6 3 2" xfId="43807" xr:uid="{00000000-0005-0000-0000-000029980000}"/>
    <cellStyle name="Comma 9 5 6 4" xfId="30891" xr:uid="{00000000-0005-0000-0000-00002A980000}"/>
    <cellStyle name="Comma 9 5 7" xfId="8245" xr:uid="{00000000-0005-0000-0000-00002B980000}"/>
    <cellStyle name="Comma 9 5 7 2" xfId="21162" xr:uid="{00000000-0005-0000-0000-00002C980000}"/>
    <cellStyle name="Comma 9 5 7 2 2" xfId="47036" xr:uid="{00000000-0005-0000-0000-00002D980000}"/>
    <cellStyle name="Comma 9 5 7 3" xfId="34120" xr:uid="{00000000-0005-0000-0000-00002E980000}"/>
    <cellStyle name="Comma 9 5 8" xfId="14704" xr:uid="{00000000-0005-0000-0000-00002F980000}"/>
    <cellStyle name="Comma 9 5 8 2" xfId="40578" xr:uid="{00000000-0005-0000-0000-000030980000}"/>
    <cellStyle name="Comma 9 5 9" xfId="27628" xr:uid="{00000000-0005-0000-0000-000031980000}"/>
    <cellStyle name="Explanatory Text 10" xfId="30787" xr:uid="{00000000-0005-0000-0000-000032980000}"/>
    <cellStyle name="Explanatory Text 11" xfId="131" xr:uid="{00000000-0005-0000-0000-000033980000}"/>
    <cellStyle name="Explanatory Text 2" xfId="57" xr:uid="{00000000-0005-0000-0000-000034980000}"/>
    <cellStyle name="Explanatory Text 2 2" xfId="1241" xr:uid="{00000000-0005-0000-0000-000035980000}"/>
    <cellStyle name="Explanatory Text 2 3" xfId="1703" xr:uid="{00000000-0005-0000-0000-000036980000}"/>
    <cellStyle name="Explanatory Text 2 4" xfId="1240" xr:uid="{00000000-0005-0000-0000-000037980000}"/>
    <cellStyle name="Explanatory Text 3" xfId="1242" xr:uid="{00000000-0005-0000-0000-000038980000}"/>
    <cellStyle name="Explanatory Text 4" xfId="1243" xr:uid="{00000000-0005-0000-0000-000039980000}"/>
    <cellStyle name="Explanatory Text 5" xfId="1244" xr:uid="{00000000-0005-0000-0000-00003A980000}"/>
    <cellStyle name="Explanatory Text 6" xfId="1245" xr:uid="{00000000-0005-0000-0000-00003B980000}"/>
    <cellStyle name="Explanatory Text 7" xfId="1246" xr:uid="{00000000-0005-0000-0000-00003C980000}"/>
    <cellStyle name="Explanatory Text 8" xfId="1432" xr:uid="{00000000-0005-0000-0000-00003D980000}"/>
    <cellStyle name="Explanatory Text 9" xfId="1401" xr:uid="{00000000-0005-0000-0000-00003E980000}"/>
    <cellStyle name="Good 10" xfId="30794" xr:uid="{00000000-0005-0000-0000-00003F980000}"/>
    <cellStyle name="Good 11" xfId="132" xr:uid="{00000000-0005-0000-0000-000040980000}"/>
    <cellStyle name="Good 2" xfId="38" xr:uid="{00000000-0005-0000-0000-000041980000}"/>
    <cellStyle name="Good 2 2" xfId="1248" xr:uid="{00000000-0005-0000-0000-000042980000}"/>
    <cellStyle name="Good 2 3" xfId="1704" xr:uid="{00000000-0005-0000-0000-000043980000}"/>
    <cellStyle name="Good 2 4" xfId="1247" xr:uid="{00000000-0005-0000-0000-000044980000}"/>
    <cellStyle name="Good 3" xfId="1249" xr:uid="{00000000-0005-0000-0000-000045980000}"/>
    <cellStyle name="Good 4" xfId="1250" xr:uid="{00000000-0005-0000-0000-000046980000}"/>
    <cellStyle name="Good 5" xfId="1251" xr:uid="{00000000-0005-0000-0000-000047980000}"/>
    <cellStyle name="Good 6" xfId="1252" xr:uid="{00000000-0005-0000-0000-000048980000}"/>
    <cellStyle name="Good 7" xfId="1253" xr:uid="{00000000-0005-0000-0000-000049980000}"/>
    <cellStyle name="Good 8" xfId="1428" xr:uid="{00000000-0005-0000-0000-00004A980000}"/>
    <cellStyle name="Good 9" xfId="1464" xr:uid="{00000000-0005-0000-0000-00004B980000}"/>
    <cellStyle name="Heading" xfId="133" xr:uid="{00000000-0005-0000-0000-00004C980000}"/>
    <cellStyle name="Heading 1 10" xfId="30795" xr:uid="{00000000-0005-0000-0000-00004D980000}"/>
    <cellStyle name="Heading 1 11" xfId="179" xr:uid="{00000000-0005-0000-0000-00004E980000}"/>
    <cellStyle name="Heading 1 2" xfId="59" xr:uid="{00000000-0005-0000-0000-00004F980000}"/>
    <cellStyle name="Heading 1 2 2" xfId="291" xr:uid="{00000000-0005-0000-0000-000050980000}"/>
    <cellStyle name="Heading 1 2 3" xfId="249" xr:uid="{00000000-0005-0000-0000-000051980000}"/>
    <cellStyle name="Heading 1 3" xfId="134" xr:uid="{00000000-0005-0000-0000-000052980000}"/>
    <cellStyle name="Heading 1 3 2" xfId="1705" xr:uid="{00000000-0005-0000-0000-000053980000}"/>
    <cellStyle name="Heading 1 3 3" xfId="1561" xr:uid="{00000000-0005-0000-0000-000054980000}"/>
    <cellStyle name="Heading 1 3 4" xfId="1254" xr:uid="{00000000-0005-0000-0000-000055980000}"/>
    <cellStyle name="Heading 1 4" xfId="1255" xr:uid="{00000000-0005-0000-0000-000056980000}"/>
    <cellStyle name="Heading 1 5" xfId="1256" xr:uid="{00000000-0005-0000-0000-000057980000}"/>
    <cellStyle name="Heading 1 6" xfId="1257" xr:uid="{00000000-0005-0000-0000-000058980000}"/>
    <cellStyle name="Heading 1 7" xfId="1258" xr:uid="{00000000-0005-0000-0000-000059980000}"/>
    <cellStyle name="Heading 1 8" xfId="1444" xr:uid="{00000000-0005-0000-0000-00005A980000}"/>
    <cellStyle name="Heading 1 9" xfId="1414" xr:uid="{00000000-0005-0000-0000-00005B980000}"/>
    <cellStyle name="Heading 2 10" xfId="27610" xr:uid="{00000000-0005-0000-0000-00005C980000}"/>
    <cellStyle name="Heading 2 11" xfId="180" xr:uid="{00000000-0005-0000-0000-00005D980000}"/>
    <cellStyle name="Heading 2 2" xfId="60" xr:uid="{00000000-0005-0000-0000-00005E980000}"/>
    <cellStyle name="Heading 2 2 2" xfId="292" xr:uid="{00000000-0005-0000-0000-00005F980000}"/>
    <cellStyle name="Heading 2 2 3" xfId="250" xr:uid="{00000000-0005-0000-0000-000060980000}"/>
    <cellStyle name="Heading 2 3" xfId="135" xr:uid="{00000000-0005-0000-0000-000061980000}"/>
    <cellStyle name="Heading 2 3 2" xfId="1706" xr:uid="{00000000-0005-0000-0000-000062980000}"/>
    <cellStyle name="Heading 2 3 3" xfId="1562" xr:uid="{00000000-0005-0000-0000-000063980000}"/>
    <cellStyle name="Heading 2 3 4" xfId="1259" xr:uid="{00000000-0005-0000-0000-000064980000}"/>
    <cellStyle name="Heading 2 4" xfId="1260" xr:uid="{00000000-0005-0000-0000-000065980000}"/>
    <cellStyle name="Heading 2 5" xfId="1261" xr:uid="{00000000-0005-0000-0000-000066980000}"/>
    <cellStyle name="Heading 2 6" xfId="1262" xr:uid="{00000000-0005-0000-0000-000067980000}"/>
    <cellStyle name="Heading 2 7" xfId="1263" xr:uid="{00000000-0005-0000-0000-000068980000}"/>
    <cellStyle name="Heading 2 8" xfId="1411" xr:uid="{00000000-0005-0000-0000-000069980000}"/>
    <cellStyle name="Heading 2 9" xfId="1462" xr:uid="{00000000-0005-0000-0000-00006A980000}"/>
    <cellStyle name="Heading 3 10" xfId="30805" xr:uid="{00000000-0005-0000-0000-00006B980000}"/>
    <cellStyle name="Heading 3 11" xfId="181" xr:uid="{00000000-0005-0000-0000-00006C980000}"/>
    <cellStyle name="Heading 3 2" xfId="61" xr:uid="{00000000-0005-0000-0000-00006D980000}"/>
    <cellStyle name="Heading 3 2 2" xfId="293" xr:uid="{00000000-0005-0000-0000-00006E980000}"/>
    <cellStyle name="Heading 3 2 3" xfId="251" xr:uid="{00000000-0005-0000-0000-00006F980000}"/>
    <cellStyle name="Heading 3 3" xfId="136" xr:uid="{00000000-0005-0000-0000-000070980000}"/>
    <cellStyle name="Heading 3 3 2" xfId="1707" xr:uid="{00000000-0005-0000-0000-000071980000}"/>
    <cellStyle name="Heading 3 3 3" xfId="1563" xr:uid="{00000000-0005-0000-0000-000072980000}"/>
    <cellStyle name="Heading 3 3 4" xfId="1264" xr:uid="{00000000-0005-0000-0000-000073980000}"/>
    <cellStyle name="Heading 3 4" xfId="1265" xr:uid="{00000000-0005-0000-0000-000074980000}"/>
    <cellStyle name="Heading 3 5" xfId="1266" xr:uid="{00000000-0005-0000-0000-000075980000}"/>
    <cellStyle name="Heading 3 6" xfId="1267" xr:uid="{00000000-0005-0000-0000-000076980000}"/>
    <cellStyle name="Heading 3 7" xfId="1268" xr:uid="{00000000-0005-0000-0000-000077980000}"/>
    <cellStyle name="Heading 3 8" xfId="1452" xr:uid="{00000000-0005-0000-0000-000078980000}"/>
    <cellStyle name="Heading 3 9" xfId="1455" xr:uid="{00000000-0005-0000-0000-000079980000}"/>
    <cellStyle name="Heading 4 10" xfId="30807" xr:uid="{00000000-0005-0000-0000-00007A980000}"/>
    <cellStyle name="Heading 4 11" xfId="182" xr:uid="{00000000-0005-0000-0000-00007B980000}"/>
    <cellStyle name="Heading 4 2" xfId="42" xr:uid="{00000000-0005-0000-0000-00007C980000}"/>
    <cellStyle name="Heading 4 2 2" xfId="294" xr:uid="{00000000-0005-0000-0000-00007D980000}"/>
    <cellStyle name="Heading 4 2 3" xfId="252" xr:uid="{00000000-0005-0000-0000-00007E980000}"/>
    <cellStyle name="Heading 4 3" xfId="137" xr:uid="{00000000-0005-0000-0000-00007F980000}"/>
    <cellStyle name="Heading 4 3 2" xfId="1708" xr:uid="{00000000-0005-0000-0000-000080980000}"/>
    <cellStyle name="Heading 4 3 3" xfId="1564" xr:uid="{00000000-0005-0000-0000-000081980000}"/>
    <cellStyle name="Heading 4 3 4" xfId="1269" xr:uid="{00000000-0005-0000-0000-000082980000}"/>
    <cellStyle name="Heading 4 4" xfId="1270" xr:uid="{00000000-0005-0000-0000-000083980000}"/>
    <cellStyle name="Heading 4 5" xfId="1271" xr:uid="{00000000-0005-0000-0000-000084980000}"/>
    <cellStyle name="Heading 4 6" xfId="1272" xr:uid="{00000000-0005-0000-0000-000085980000}"/>
    <cellStyle name="Heading 4 7" xfId="1273" xr:uid="{00000000-0005-0000-0000-000086980000}"/>
    <cellStyle name="Heading 4 8" xfId="1438" xr:uid="{00000000-0005-0000-0000-000087980000}"/>
    <cellStyle name="Heading 4 9" xfId="1408" xr:uid="{00000000-0005-0000-0000-000088980000}"/>
    <cellStyle name="Heading1" xfId="138" xr:uid="{00000000-0005-0000-0000-000089980000}"/>
    <cellStyle name="Hyperlink" xfId="1" builtinId="8"/>
    <cellStyle name="Hyperlink 2" xfId="6" xr:uid="{00000000-0005-0000-0000-00008B980000}"/>
    <cellStyle name="Hyperlink 2 2" xfId="1274" xr:uid="{00000000-0005-0000-0000-00008C980000}"/>
    <cellStyle name="Hyperlink 3" xfId="139" xr:uid="{00000000-0005-0000-0000-00008D980000}"/>
    <cellStyle name="Hyperlink 3 2" xfId="1429" xr:uid="{00000000-0005-0000-0000-00008E980000}"/>
    <cellStyle name="Hyperlink 3 3" xfId="1427" xr:uid="{00000000-0005-0000-0000-00008F980000}"/>
    <cellStyle name="Hyperlink 3 4" xfId="1729" xr:uid="{00000000-0005-0000-0000-000090980000}"/>
    <cellStyle name="Hyperlink 3 5" xfId="1559" xr:uid="{00000000-0005-0000-0000-000091980000}"/>
    <cellStyle name="Hyperlink 3 6" xfId="1275" xr:uid="{00000000-0005-0000-0000-000092980000}"/>
    <cellStyle name="Hyperlink 4" xfId="877" xr:uid="{00000000-0005-0000-0000-000093980000}"/>
    <cellStyle name="Hyperlink 4 2" xfId="1728" xr:uid="{00000000-0005-0000-0000-000094980000}"/>
    <cellStyle name="Hyperlink 4 3" xfId="1541" xr:uid="{00000000-0005-0000-0000-000095980000}"/>
    <cellStyle name="Hyperlink 4 4" xfId="1276" xr:uid="{00000000-0005-0000-0000-000096980000}"/>
    <cellStyle name="Input 10" xfId="30781" xr:uid="{00000000-0005-0000-0000-000097980000}"/>
    <cellStyle name="Input 11" xfId="140" xr:uid="{00000000-0005-0000-0000-000098980000}"/>
    <cellStyle name="Input 2" xfId="49" xr:uid="{00000000-0005-0000-0000-000099980000}"/>
    <cellStyle name="Input 2 2" xfId="1278" xr:uid="{00000000-0005-0000-0000-00009A980000}"/>
    <cellStyle name="Input 2 3" xfId="1709" xr:uid="{00000000-0005-0000-0000-00009B980000}"/>
    <cellStyle name="Input 2 4" xfId="1277" xr:uid="{00000000-0005-0000-0000-00009C980000}"/>
    <cellStyle name="Input 3" xfId="1279" xr:uid="{00000000-0005-0000-0000-00009D980000}"/>
    <cellStyle name="Input 4" xfId="1280" xr:uid="{00000000-0005-0000-0000-00009E980000}"/>
    <cellStyle name="Input 5" xfId="1281" xr:uid="{00000000-0005-0000-0000-00009F980000}"/>
    <cellStyle name="Input 6" xfId="1282" xr:uid="{00000000-0005-0000-0000-0000A0980000}"/>
    <cellStyle name="Input 7" xfId="1283" xr:uid="{00000000-0005-0000-0000-0000A1980000}"/>
    <cellStyle name="Input 8" xfId="1454" xr:uid="{00000000-0005-0000-0000-0000A2980000}"/>
    <cellStyle name="Input 9" xfId="1443" xr:uid="{00000000-0005-0000-0000-0000A3980000}"/>
    <cellStyle name="Linked Cell 10" xfId="27714" xr:uid="{00000000-0005-0000-0000-0000A4980000}"/>
    <cellStyle name="Linked Cell 11" xfId="141" xr:uid="{00000000-0005-0000-0000-0000A5980000}"/>
    <cellStyle name="Linked Cell 2" xfId="41" xr:uid="{00000000-0005-0000-0000-0000A6980000}"/>
    <cellStyle name="Linked Cell 2 2" xfId="1285" xr:uid="{00000000-0005-0000-0000-0000A7980000}"/>
    <cellStyle name="Linked Cell 2 3" xfId="1710" xr:uid="{00000000-0005-0000-0000-0000A8980000}"/>
    <cellStyle name="Linked Cell 2 4" xfId="1284" xr:uid="{00000000-0005-0000-0000-0000A9980000}"/>
    <cellStyle name="Linked Cell 3" xfId="1286" xr:uid="{00000000-0005-0000-0000-0000AA980000}"/>
    <cellStyle name="Linked Cell 4" xfId="1287" xr:uid="{00000000-0005-0000-0000-0000AB980000}"/>
    <cellStyle name="Linked Cell 5" xfId="1288" xr:uid="{00000000-0005-0000-0000-0000AC980000}"/>
    <cellStyle name="Linked Cell 6" xfId="1289" xr:uid="{00000000-0005-0000-0000-0000AD980000}"/>
    <cellStyle name="Linked Cell 7" xfId="1290" xr:uid="{00000000-0005-0000-0000-0000AE980000}"/>
    <cellStyle name="Linked Cell 8" xfId="1465" xr:uid="{00000000-0005-0000-0000-0000AF980000}"/>
    <cellStyle name="Linked Cell 9" xfId="1437" xr:uid="{00000000-0005-0000-0000-0000B0980000}"/>
    <cellStyle name="Neutral 10" xfId="27565" xr:uid="{00000000-0005-0000-0000-0000B1980000}"/>
    <cellStyle name="Neutral 11" xfId="142" xr:uid="{00000000-0005-0000-0000-0000B2980000}"/>
    <cellStyle name="Neutral 2" xfId="51" xr:uid="{00000000-0005-0000-0000-0000B3980000}"/>
    <cellStyle name="Neutral 2 2" xfId="1292" xr:uid="{00000000-0005-0000-0000-0000B4980000}"/>
    <cellStyle name="Neutral 2 3" xfId="1711" xr:uid="{00000000-0005-0000-0000-0000B5980000}"/>
    <cellStyle name="Neutral 2 4" xfId="1291" xr:uid="{00000000-0005-0000-0000-0000B6980000}"/>
    <cellStyle name="Neutral 3" xfId="1293" xr:uid="{00000000-0005-0000-0000-0000B7980000}"/>
    <cellStyle name="Neutral 4" xfId="1294" xr:uid="{00000000-0005-0000-0000-0000B8980000}"/>
    <cellStyle name="Neutral 5" xfId="1295" xr:uid="{00000000-0005-0000-0000-0000B9980000}"/>
    <cellStyle name="Neutral 6" xfId="1296" xr:uid="{00000000-0005-0000-0000-0000BA980000}"/>
    <cellStyle name="Neutral 7" xfId="1297" xr:uid="{00000000-0005-0000-0000-0000BB980000}"/>
    <cellStyle name="Neutral 8" xfId="1469" xr:uid="{00000000-0005-0000-0000-0000BC980000}"/>
    <cellStyle name="Neutral 9" xfId="1418" xr:uid="{00000000-0005-0000-0000-0000BD980000}"/>
    <cellStyle name="Normal" xfId="0" builtinId="0"/>
    <cellStyle name="Normal 10" xfId="19" xr:uid="{00000000-0005-0000-0000-0000BF980000}"/>
    <cellStyle name="Normal 10 2" xfId="1299" xr:uid="{00000000-0005-0000-0000-0000C0980000}"/>
    <cellStyle name="Normal 10 2 10" xfId="14651" xr:uid="{00000000-0005-0000-0000-0000C1980000}"/>
    <cellStyle name="Normal 10 2 10 2" xfId="40525" xr:uid="{00000000-0005-0000-0000-0000C2980000}"/>
    <cellStyle name="Normal 10 2 11" xfId="27572" xr:uid="{00000000-0005-0000-0000-0000C3980000}"/>
    <cellStyle name="Normal 10 2 12" xfId="53441" xr:uid="{00000000-0005-0000-0000-0000C4980000}"/>
    <cellStyle name="Normal 10 2 2" xfId="1300" xr:uid="{00000000-0005-0000-0000-0000C5980000}"/>
    <cellStyle name="Normal 10 2 2 10" xfId="27601" xr:uid="{00000000-0005-0000-0000-0000C6980000}"/>
    <cellStyle name="Normal 10 2 2 11" xfId="53467" xr:uid="{00000000-0005-0000-0000-0000C7980000}"/>
    <cellStyle name="Normal 10 2 2 2" xfId="1736" xr:uid="{00000000-0005-0000-0000-0000C8980000}"/>
    <cellStyle name="Normal 10 2 2 2 10" xfId="53593" xr:uid="{00000000-0005-0000-0000-0000C9980000}"/>
    <cellStyle name="Normal 10 2 2 2 2" xfId="2002" xr:uid="{00000000-0005-0000-0000-0000CA980000}"/>
    <cellStyle name="Normal 10 2 2 2 2 2" xfId="2433" xr:uid="{00000000-0005-0000-0000-0000CB980000}"/>
    <cellStyle name="Normal 10 2 2 2 2 2 2" xfId="3246" xr:uid="{00000000-0005-0000-0000-0000CC980000}"/>
    <cellStyle name="Normal 10 2 2 2 2 2 2 2" xfId="4903" xr:uid="{00000000-0005-0000-0000-0000CD980000}"/>
    <cellStyle name="Normal 10 2 2 2 2 2 2 2 2" xfId="8134" xr:uid="{00000000-0005-0000-0000-0000CE980000}"/>
    <cellStyle name="Normal 10 2 2 2 2 2 2 2 2 2" xfId="14593" xr:uid="{00000000-0005-0000-0000-0000CF980000}"/>
    <cellStyle name="Normal 10 2 2 2 2 2 2 2 2 2 2" xfId="27510" xr:uid="{00000000-0005-0000-0000-0000D0980000}"/>
    <cellStyle name="Normal 10 2 2 2 2 2 2 2 2 2 2 2" xfId="53384" xr:uid="{00000000-0005-0000-0000-0000D1980000}"/>
    <cellStyle name="Normal 10 2 2 2 2 2 2 2 2 2 3" xfId="40468" xr:uid="{00000000-0005-0000-0000-0000D2980000}"/>
    <cellStyle name="Normal 10 2 2 2 2 2 2 2 2 3" xfId="21052" xr:uid="{00000000-0005-0000-0000-0000D3980000}"/>
    <cellStyle name="Normal 10 2 2 2 2 2 2 2 2 3 2" xfId="46926" xr:uid="{00000000-0005-0000-0000-0000D4980000}"/>
    <cellStyle name="Normal 10 2 2 2 2 2 2 2 2 4" xfId="34010" xr:uid="{00000000-0005-0000-0000-0000D5980000}"/>
    <cellStyle name="Normal 10 2 2 2 2 2 2 2 3" xfId="11365" xr:uid="{00000000-0005-0000-0000-0000D6980000}"/>
    <cellStyle name="Normal 10 2 2 2 2 2 2 2 3 2" xfId="24282" xr:uid="{00000000-0005-0000-0000-0000D7980000}"/>
    <cellStyle name="Normal 10 2 2 2 2 2 2 2 3 2 2" xfId="50156" xr:uid="{00000000-0005-0000-0000-0000D8980000}"/>
    <cellStyle name="Normal 10 2 2 2 2 2 2 2 3 3" xfId="37240" xr:uid="{00000000-0005-0000-0000-0000D9980000}"/>
    <cellStyle name="Normal 10 2 2 2 2 2 2 2 4" xfId="17824" xr:uid="{00000000-0005-0000-0000-0000DA980000}"/>
    <cellStyle name="Normal 10 2 2 2 2 2 2 2 4 2" xfId="43698" xr:uid="{00000000-0005-0000-0000-0000DB980000}"/>
    <cellStyle name="Normal 10 2 2 2 2 2 2 2 5" xfId="30750" xr:uid="{00000000-0005-0000-0000-0000DC980000}"/>
    <cellStyle name="Normal 10 2 2 2 2 2 2 3" xfId="6520" xr:uid="{00000000-0005-0000-0000-0000DD980000}"/>
    <cellStyle name="Normal 10 2 2 2 2 2 2 3 2" xfId="12979" xr:uid="{00000000-0005-0000-0000-0000DE980000}"/>
    <cellStyle name="Normal 10 2 2 2 2 2 2 3 2 2" xfId="25896" xr:uid="{00000000-0005-0000-0000-0000DF980000}"/>
    <cellStyle name="Normal 10 2 2 2 2 2 2 3 2 2 2" xfId="51770" xr:uid="{00000000-0005-0000-0000-0000E0980000}"/>
    <cellStyle name="Normal 10 2 2 2 2 2 2 3 2 3" xfId="38854" xr:uid="{00000000-0005-0000-0000-0000E1980000}"/>
    <cellStyle name="Normal 10 2 2 2 2 2 2 3 3" xfId="19438" xr:uid="{00000000-0005-0000-0000-0000E2980000}"/>
    <cellStyle name="Normal 10 2 2 2 2 2 2 3 3 2" xfId="45312" xr:uid="{00000000-0005-0000-0000-0000E3980000}"/>
    <cellStyle name="Normal 10 2 2 2 2 2 2 3 4" xfId="32396" xr:uid="{00000000-0005-0000-0000-0000E4980000}"/>
    <cellStyle name="Normal 10 2 2 2 2 2 2 4" xfId="9751" xr:uid="{00000000-0005-0000-0000-0000E5980000}"/>
    <cellStyle name="Normal 10 2 2 2 2 2 2 4 2" xfId="22668" xr:uid="{00000000-0005-0000-0000-0000E6980000}"/>
    <cellStyle name="Normal 10 2 2 2 2 2 2 4 2 2" xfId="48542" xr:uid="{00000000-0005-0000-0000-0000E7980000}"/>
    <cellStyle name="Normal 10 2 2 2 2 2 2 4 3" xfId="35626" xr:uid="{00000000-0005-0000-0000-0000E8980000}"/>
    <cellStyle name="Normal 10 2 2 2 2 2 2 5" xfId="16210" xr:uid="{00000000-0005-0000-0000-0000E9980000}"/>
    <cellStyle name="Normal 10 2 2 2 2 2 2 5 2" xfId="42084" xr:uid="{00000000-0005-0000-0000-0000EA980000}"/>
    <cellStyle name="Normal 10 2 2 2 2 2 2 6" xfId="29136" xr:uid="{00000000-0005-0000-0000-0000EB980000}"/>
    <cellStyle name="Normal 10 2 2 2 2 2 3" xfId="4073" xr:uid="{00000000-0005-0000-0000-0000EC980000}"/>
    <cellStyle name="Normal 10 2 2 2 2 2 3 2" xfId="7327" xr:uid="{00000000-0005-0000-0000-0000ED980000}"/>
    <cellStyle name="Normal 10 2 2 2 2 2 3 2 2" xfId="13786" xr:uid="{00000000-0005-0000-0000-0000EE980000}"/>
    <cellStyle name="Normal 10 2 2 2 2 2 3 2 2 2" xfId="26703" xr:uid="{00000000-0005-0000-0000-0000EF980000}"/>
    <cellStyle name="Normal 10 2 2 2 2 2 3 2 2 2 2" xfId="52577" xr:uid="{00000000-0005-0000-0000-0000F0980000}"/>
    <cellStyle name="Normal 10 2 2 2 2 2 3 2 2 3" xfId="39661" xr:uid="{00000000-0005-0000-0000-0000F1980000}"/>
    <cellStyle name="Normal 10 2 2 2 2 2 3 2 3" xfId="20245" xr:uid="{00000000-0005-0000-0000-0000F2980000}"/>
    <cellStyle name="Normal 10 2 2 2 2 2 3 2 3 2" xfId="46119" xr:uid="{00000000-0005-0000-0000-0000F3980000}"/>
    <cellStyle name="Normal 10 2 2 2 2 2 3 2 4" xfId="33203" xr:uid="{00000000-0005-0000-0000-0000F4980000}"/>
    <cellStyle name="Normal 10 2 2 2 2 2 3 3" xfId="10558" xr:uid="{00000000-0005-0000-0000-0000F5980000}"/>
    <cellStyle name="Normal 10 2 2 2 2 2 3 3 2" xfId="23475" xr:uid="{00000000-0005-0000-0000-0000F6980000}"/>
    <cellStyle name="Normal 10 2 2 2 2 2 3 3 2 2" xfId="49349" xr:uid="{00000000-0005-0000-0000-0000F7980000}"/>
    <cellStyle name="Normal 10 2 2 2 2 2 3 3 3" xfId="36433" xr:uid="{00000000-0005-0000-0000-0000F8980000}"/>
    <cellStyle name="Normal 10 2 2 2 2 2 3 4" xfId="17017" xr:uid="{00000000-0005-0000-0000-0000F9980000}"/>
    <cellStyle name="Normal 10 2 2 2 2 2 3 4 2" xfId="42891" xr:uid="{00000000-0005-0000-0000-0000FA980000}"/>
    <cellStyle name="Normal 10 2 2 2 2 2 3 5" xfId="29943" xr:uid="{00000000-0005-0000-0000-0000FB980000}"/>
    <cellStyle name="Normal 10 2 2 2 2 2 4" xfId="5713" xr:uid="{00000000-0005-0000-0000-0000FC980000}"/>
    <cellStyle name="Normal 10 2 2 2 2 2 4 2" xfId="12172" xr:uid="{00000000-0005-0000-0000-0000FD980000}"/>
    <cellStyle name="Normal 10 2 2 2 2 2 4 2 2" xfId="25089" xr:uid="{00000000-0005-0000-0000-0000FE980000}"/>
    <cellStyle name="Normal 10 2 2 2 2 2 4 2 2 2" xfId="50963" xr:uid="{00000000-0005-0000-0000-0000FF980000}"/>
    <cellStyle name="Normal 10 2 2 2 2 2 4 2 3" xfId="38047" xr:uid="{00000000-0005-0000-0000-000000990000}"/>
    <cellStyle name="Normal 10 2 2 2 2 2 4 3" xfId="18631" xr:uid="{00000000-0005-0000-0000-000001990000}"/>
    <cellStyle name="Normal 10 2 2 2 2 2 4 3 2" xfId="44505" xr:uid="{00000000-0005-0000-0000-000002990000}"/>
    <cellStyle name="Normal 10 2 2 2 2 2 4 4" xfId="31589" xr:uid="{00000000-0005-0000-0000-000003990000}"/>
    <cellStyle name="Normal 10 2 2 2 2 2 5" xfId="8944" xr:uid="{00000000-0005-0000-0000-000004990000}"/>
    <cellStyle name="Normal 10 2 2 2 2 2 5 2" xfId="21861" xr:uid="{00000000-0005-0000-0000-000005990000}"/>
    <cellStyle name="Normal 10 2 2 2 2 2 5 2 2" xfId="47735" xr:uid="{00000000-0005-0000-0000-000006990000}"/>
    <cellStyle name="Normal 10 2 2 2 2 2 5 3" xfId="34819" xr:uid="{00000000-0005-0000-0000-000007990000}"/>
    <cellStyle name="Normal 10 2 2 2 2 2 6" xfId="15403" xr:uid="{00000000-0005-0000-0000-000008990000}"/>
    <cellStyle name="Normal 10 2 2 2 2 2 6 2" xfId="41277" xr:uid="{00000000-0005-0000-0000-000009990000}"/>
    <cellStyle name="Normal 10 2 2 2 2 2 7" xfId="28329" xr:uid="{00000000-0005-0000-0000-00000A990000}"/>
    <cellStyle name="Normal 10 2 2 2 2 2 8" xfId="54191" xr:uid="{00000000-0005-0000-0000-00000B990000}"/>
    <cellStyle name="Normal 10 2 2 2 2 3" xfId="2842" xr:uid="{00000000-0005-0000-0000-00000C990000}"/>
    <cellStyle name="Normal 10 2 2 2 2 3 2" xfId="4499" xr:uid="{00000000-0005-0000-0000-00000D990000}"/>
    <cellStyle name="Normal 10 2 2 2 2 3 2 2" xfId="7730" xr:uid="{00000000-0005-0000-0000-00000E990000}"/>
    <cellStyle name="Normal 10 2 2 2 2 3 2 2 2" xfId="14189" xr:uid="{00000000-0005-0000-0000-00000F990000}"/>
    <cellStyle name="Normal 10 2 2 2 2 3 2 2 2 2" xfId="27106" xr:uid="{00000000-0005-0000-0000-000010990000}"/>
    <cellStyle name="Normal 10 2 2 2 2 3 2 2 2 2 2" xfId="52980" xr:uid="{00000000-0005-0000-0000-000011990000}"/>
    <cellStyle name="Normal 10 2 2 2 2 3 2 2 2 3" xfId="40064" xr:uid="{00000000-0005-0000-0000-000012990000}"/>
    <cellStyle name="Normal 10 2 2 2 2 3 2 2 3" xfId="20648" xr:uid="{00000000-0005-0000-0000-000013990000}"/>
    <cellStyle name="Normal 10 2 2 2 2 3 2 2 3 2" xfId="46522" xr:uid="{00000000-0005-0000-0000-000014990000}"/>
    <cellStyle name="Normal 10 2 2 2 2 3 2 2 4" xfId="33606" xr:uid="{00000000-0005-0000-0000-000015990000}"/>
    <cellStyle name="Normal 10 2 2 2 2 3 2 3" xfId="10961" xr:uid="{00000000-0005-0000-0000-000016990000}"/>
    <cellStyle name="Normal 10 2 2 2 2 3 2 3 2" xfId="23878" xr:uid="{00000000-0005-0000-0000-000017990000}"/>
    <cellStyle name="Normal 10 2 2 2 2 3 2 3 2 2" xfId="49752" xr:uid="{00000000-0005-0000-0000-000018990000}"/>
    <cellStyle name="Normal 10 2 2 2 2 3 2 3 3" xfId="36836" xr:uid="{00000000-0005-0000-0000-000019990000}"/>
    <cellStyle name="Normal 10 2 2 2 2 3 2 4" xfId="17420" xr:uid="{00000000-0005-0000-0000-00001A990000}"/>
    <cellStyle name="Normal 10 2 2 2 2 3 2 4 2" xfId="43294" xr:uid="{00000000-0005-0000-0000-00001B990000}"/>
    <cellStyle name="Normal 10 2 2 2 2 3 2 5" xfId="30346" xr:uid="{00000000-0005-0000-0000-00001C990000}"/>
    <cellStyle name="Normal 10 2 2 2 2 3 3" xfId="6116" xr:uid="{00000000-0005-0000-0000-00001D990000}"/>
    <cellStyle name="Normal 10 2 2 2 2 3 3 2" xfId="12575" xr:uid="{00000000-0005-0000-0000-00001E990000}"/>
    <cellStyle name="Normal 10 2 2 2 2 3 3 2 2" xfId="25492" xr:uid="{00000000-0005-0000-0000-00001F990000}"/>
    <cellStyle name="Normal 10 2 2 2 2 3 3 2 2 2" xfId="51366" xr:uid="{00000000-0005-0000-0000-000020990000}"/>
    <cellStyle name="Normal 10 2 2 2 2 3 3 2 3" xfId="38450" xr:uid="{00000000-0005-0000-0000-000021990000}"/>
    <cellStyle name="Normal 10 2 2 2 2 3 3 3" xfId="19034" xr:uid="{00000000-0005-0000-0000-000022990000}"/>
    <cellStyle name="Normal 10 2 2 2 2 3 3 3 2" xfId="44908" xr:uid="{00000000-0005-0000-0000-000023990000}"/>
    <cellStyle name="Normal 10 2 2 2 2 3 3 4" xfId="31992" xr:uid="{00000000-0005-0000-0000-000024990000}"/>
    <cellStyle name="Normal 10 2 2 2 2 3 4" xfId="9347" xr:uid="{00000000-0005-0000-0000-000025990000}"/>
    <cellStyle name="Normal 10 2 2 2 2 3 4 2" xfId="22264" xr:uid="{00000000-0005-0000-0000-000026990000}"/>
    <cellStyle name="Normal 10 2 2 2 2 3 4 2 2" xfId="48138" xr:uid="{00000000-0005-0000-0000-000027990000}"/>
    <cellStyle name="Normal 10 2 2 2 2 3 4 3" xfId="35222" xr:uid="{00000000-0005-0000-0000-000028990000}"/>
    <cellStyle name="Normal 10 2 2 2 2 3 5" xfId="15806" xr:uid="{00000000-0005-0000-0000-000029990000}"/>
    <cellStyle name="Normal 10 2 2 2 2 3 5 2" xfId="41680" xr:uid="{00000000-0005-0000-0000-00002A990000}"/>
    <cellStyle name="Normal 10 2 2 2 2 3 6" xfId="28732" xr:uid="{00000000-0005-0000-0000-00002B990000}"/>
    <cellStyle name="Normal 10 2 2 2 2 4" xfId="3669" xr:uid="{00000000-0005-0000-0000-00002C990000}"/>
    <cellStyle name="Normal 10 2 2 2 2 4 2" xfId="6923" xr:uid="{00000000-0005-0000-0000-00002D990000}"/>
    <cellStyle name="Normal 10 2 2 2 2 4 2 2" xfId="13382" xr:uid="{00000000-0005-0000-0000-00002E990000}"/>
    <cellStyle name="Normal 10 2 2 2 2 4 2 2 2" xfId="26299" xr:uid="{00000000-0005-0000-0000-00002F990000}"/>
    <cellStyle name="Normal 10 2 2 2 2 4 2 2 2 2" xfId="52173" xr:uid="{00000000-0005-0000-0000-000030990000}"/>
    <cellStyle name="Normal 10 2 2 2 2 4 2 2 3" xfId="39257" xr:uid="{00000000-0005-0000-0000-000031990000}"/>
    <cellStyle name="Normal 10 2 2 2 2 4 2 3" xfId="19841" xr:uid="{00000000-0005-0000-0000-000032990000}"/>
    <cellStyle name="Normal 10 2 2 2 2 4 2 3 2" xfId="45715" xr:uid="{00000000-0005-0000-0000-000033990000}"/>
    <cellStyle name="Normal 10 2 2 2 2 4 2 4" xfId="32799" xr:uid="{00000000-0005-0000-0000-000034990000}"/>
    <cellStyle name="Normal 10 2 2 2 2 4 3" xfId="10154" xr:uid="{00000000-0005-0000-0000-000035990000}"/>
    <cellStyle name="Normal 10 2 2 2 2 4 3 2" xfId="23071" xr:uid="{00000000-0005-0000-0000-000036990000}"/>
    <cellStyle name="Normal 10 2 2 2 2 4 3 2 2" xfId="48945" xr:uid="{00000000-0005-0000-0000-000037990000}"/>
    <cellStyle name="Normal 10 2 2 2 2 4 3 3" xfId="36029" xr:uid="{00000000-0005-0000-0000-000038990000}"/>
    <cellStyle name="Normal 10 2 2 2 2 4 4" xfId="16613" xr:uid="{00000000-0005-0000-0000-000039990000}"/>
    <cellStyle name="Normal 10 2 2 2 2 4 4 2" xfId="42487" xr:uid="{00000000-0005-0000-0000-00003A990000}"/>
    <cellStyle name="Normal 10 2 2 2 2 4 5" xfId="29539" xr:uid="{00000000-0005-0000-0000-00003B990000}"/>
    <cellStyle name="Normal 10 2 2 2 2 5" xfId="5309" xr:uid="{00000000-0005-0000-0000-00003C990000}"/>
    <cellStyle name="Normal 10 2 2 2 2 5 2" xfId="11768" xr:uid="{00000000-0005-0000-0000-00003D990000}"/>
    <cellStyle name="Normal 10 2 2 2 2 5 2 2" xfId="24685" xr:uid="{00000000-0005-0000-0000-00003E990000}"/>
    <cellStyle name="Normal 10 2 2 2 2 5 2 2 2" xfId="50559" xr:uid="{00000000-0005-0000-0000-00003F990000}"/>
    <cellStyle name="Normal 10 2 2 2 2 5 2 3" xfId="37643" xr:uid="{00000000-0005-0000-0000-000040990000}"/>
    <cellStyle name="Normal 10 2 2 2 2 5 3" xfId="18227" xr:uid="{00000000-0005-0000-0000-000041990000}"/>
    <cellStyle name="Normal 10 2 2 2 2 5 3 2" xfId="44101" xr:uid="{00000000-0005-0000-0000-000042990000}"/>
    <cellStyle name="Normal 10 2 2 2 2 5 4" xfId="31185" xr:uid="{00000000-0005-0000-0000-000043990000}"/>
    <cellStyle name="Normal 10 2 2 2 2 6" xfId="8540" xr:uid="{00000000-0005-0000-0000-000044990000}"/>
    <cellStyle name="Normal 10 2 2 2 2 6 2" xfId="21457" xr:uid="{00000000-0005-0000-0000-000045990000}"/>
    <cellStyle name="Normal 10 2 2 2 2 6 2 2" xfId="47331" xr:uid="{00000000-0005-0000-0000-000046990000}"/>
    <cellStyle name="Normal 10 2 2 2 2 6 3" xfId="34415" xr:uid="{00000000-0005-0000-0000-000047990000}"/>
    <cellStyle name="Normal 10 2 2 2 2 7" xfId="14999" xr:uid="{00000000-0005-0000-0000-000048990000}"/>
    <cellStyle name="Normal 10 2 2 2 2 7 2" xfId="40873" xr:uid="{00000000-0005-0000-0000-000049990000}"/>
    <cellStyle name="Normal 10 2 2 2 2 8" xfId="27924" xr:uid="{00000000-0005-0000-0000-00004A990000}"/>
    <cellStyle name="Normal 10 2 2 2 2 9" xfId="53787" xr:uid="{00000000-0005-0000-0000-00004B990000}"/>
    <cellStyle name="Normal 10 2 2 2 3" xfId="2237" xr:uid="{00000000-0005-0000-0000-00004C990000}"/>
    <cellStyle name="Normal 10 2 2 2 3 2" xfId="3051" xr:uid="{00000000-0005-0000-0000-00004D990000}"/>
    <cellStyle name="Normal 10 2 2 2 3 2 2" xfId="4708" xr:uid="{00000000-0005-0000-0000-00004E990000}"/>
    <cellStyle name="Normal 10 2 2 2 3 2 2 2" xfId="7939" xr:uid="{00000000-0005-0000-0000-00004F990000}"/>
    <cellStyle name="Normal 10 2 2 2 3 2 2 2 2" xfId="14398" xr:uid="{00000000-0005-0000-0000-000050990000}"/>
    <cellStyle name="Normal 10 2 2 2 3 2 2 2 2 2" xfId="27315" xr:uid="{00000000-0005-0000-0000-000051990000}"/>
    <cellStyle name="Normal 10 2 2 2 3 2 2 2 2 2 2" xfId="53189" xr:uid="{00000000-0005-0000-0000-000052990000}"/>
    <cellStyle name="Normal 10 2 2 2 3 2 2 2 2 3" xfId="40273" xr:uid="{00000000-0005-0000-0000-000053990000}"/>
    <cellStyle name="Normal 10 2 2 2 3 2 2 2 3" xfId="20857" xr:uid="{00000000-0005-0000-0000-000054990000}"/>
    <cellStyle name="Normal 10 2 2 2 3 2 2 2 3 2" xfId="46731" xr:uid="{00000000-0005-0000-0000-000055990000}"/>
    <cellStyle name="Normal 10 2 2 2 3 2 2 2 4" xfId="33815" xr:uid="{00000000-0005-0000-0000-000056990000}"/>
    <cellStyle name="Normal 10 2 2 2 3 2 2 3" xfId="11170" xr:uid="{00000000-0005-0000-0000-000057990000}"/>
    <cellStyle name="Normal 10 2 2 2 3 2 2 3 2" xfId="24087" xr:uid="{00000000-0005-0000-0000-000058990000}"/>
    <cellStyle name="Normal 10 2 2 2 3 2 2 3 2 2" xfId="49961" xr:uid="{00000000-0005-0000-0000-000059990000}"/>
    <cellStyle name="Normal 10 2 2 2 3 2 2 3 3" xfId="37045" xr:uid="{00000000-0005-0000-0000-00005A990000}"/>
    <cellStyle name="Normal 10 2 2 2 3 2 2 4" xfId="17629" xr:uid="{00000000-0005-0000-0000-00005B990000}"/>
    <cellStyle name="Normal 10 2 2 2 3 2 2 4 2" xfId="43503" xr:uid="{00000000-0005-0000-0000-00005C990000}"/>
    <cellStyle name="Normal 10 2 2 2 3 2 2 5" xfId="30555" xr:uid="{00000000-0005-0000-0000-00005D990000}"/>
    <cellStyle name="Normal 10 2 2 2 3 2 3" xfId="6325" xr:uid="{00000000-0005-0000-0000-00005E990000}"/>
    <cellStyle name="Normal 10 2 2 2 3 2 3 2" xfId="12784" xr:uid="{00000000-0005-0000-0000-00005F990000}"/>
    <cellStyle name="Normal 10 2 2 2 3 2 3 2 2" xfId="25701" xr:uid="{00000000-0005-0000-0000-000060990000}"/>
    <cellStyle name="Normal 10 2 2 2 3 2 3 2 2 2" xfId="51575" xr:uid="{00000000-0005-0000-0000-000061990000}"/>
    <cellStyle name="Normal 10 2 2 2 3 2 3 2 3" xfId="38659" xr:uid="{00000000-0005-0000-0000-000062990000}"/>
    <cellStyle name="Normal 10 2 2 2 3 2 3 3" xfId="19243" xr:uid="{00000000-0005-0000-0000-000063990000}"/>
    <cellStyle name="Normal 10 2 2 2 3 2 3 3 2" xfId="45117" xr:uid="{00000000-0005-0000-0000-000064990000}"/>
    <cellStyle name="Normal 10 2 2 2 3 2 3 4" xfId="32201" xr:uid="{00000000-0005-0000-0000-000065990000}"/>
    <cellStyle name="Normal 10 2 2 2 3 2 4" xfId="9556" xr:uid="{00000000-0005-0000-0000-000066990000}"/>
    <cellStyle name="Normal 10 2 2 2 3 2 4 2" xfId="22473" xr:uid="{00000000-0005-0000-0000-000067990000}"/>
    <cellStyle name="Normal 10 2 2 2 3 2 4 2 2" xfId="48347" xr:uid="{00000000-0005-0000-0000-000068990000}"/>
    <cellStyle name="Normal 10 2 2 2 3 2 4 3" xfId="35431" xr:uid="{00000000-0005-0000-0000-000069990000}"/>
    <cellStyle name="Normal 10 2 2 2 3 2 5" xfId="16015" xr:uid="{00000000-0005-0000-0000-00006A990000}"/>
    <cellStyle name="Normal 10 2 2 2 3 2 5 2" xfId="41889" xr:uid="{00000000-0005-0000-0000-00006B990000}"/>
    <cellStyle name="Normal 10 2 2 2 3 2 6" xfId="28941" xr:uid="{00000000-0005-0000-0000-00006C990000}"/>
    <cellStyle name="Normal 10 2 2 2 3 3" xfId="3878" xr:uid="{00000000-0005-0000-0000-00006D990000}"/>
    <cellStyle name="Normal 10 2 2 2 3 3 2" xfId="7132" xr:uid="{00000000-0005-0000-0000-00006E990000}"/>
    <cellStyle name="Normal 10 2 2 2 3 3 2 2" xfId="13591" xr:uid="{00000000-0005-0000-0000-00006F990000}"/>
    <cellStyle name="Normal 10 2 2 2 3 3 2 2 2" xfId="26508" xr:uid="{00000000-0005-0000-0000-000070990000}"/>
    <cellStyle name="Normal 10 2 2 2 3 3 2 2 2 2" xfId="52382" xr:uid="{00000000-0005-0000-0000-000071990000}"/>
    <cellStyle name="Normal 10 2 2 2 3 3 2 2 3" xfId="39466" xr:uid="{00000000-0005-0000-0000-000072990000}"/>
    <cellStyle name="Normal 10 2 2 2 3 3 2 3" xfId="20050" xr:uid="{00000000-0005-0000-0000-000073990000}"/>
    <cellStyle name="Normal 10 2 2 2 3 3 2 3 2" xfId="45924" xr:uid="{00000000-0005-0000-0000-000074990000}"/>
    <cellStyle name="Normal 10 2 2 2 3 3 2 4" xfId="33008" xr:uid="{00000000-0005-0000-0000-000075990000}"/>
    <cellStyle name="Normal 10 2 2 2 3 3 3" xfId="10363" xr:uid="{00000000-0005-0000-0000-000076990000}"/>
    <cellStyle name="Normal 10 2 2 2 3 3 3 2" xfId="23280" xr:uid="{00000000-0005-0000-0000-000077990000}"/>
    <cellStyle name="Normal 10 2 2 2 3 3 3 2 2" xfId="49154" xr:uid="{00000000-0005-0000-0000-000078990000}"/>
    <cellStyle name="Normal 10 2 2 2 3 3 3 3" xfId="36238" xr:uid="{00000000-0005-0000-0000-000079990000}"/>
    <cellStyle name="Normal 10 2 2 2 3 3 4" xfId="16822" xr:uid="{00000000-0005-0000-0000-00007A990000}"/>
    <cellStyle name="Normal 10 2 2 2 3 3 4 2" xfId="42696" xr:uid="{00000000-0005-0000-0000-00007B990000}"/>
    <cellStyle name="Normal 10 2 2 2 3 3 5" xfId="29748" xr:uid="{00000000-0005-0000-0000-00007C990000}"/>
    <cellStyle name="Normal 10 2 2 2 3 4" xfId="5518" xr:uid="{00000000-0005-0000-0000-00007D990000}"/>
    <cellStyle name="Normal 10 2 2 2 3 4 2" xfId="11977" xr:uid="{00000000-0005-0000-0000-00007E990000}"/>
    <cellStyle name="Normal 10 2 2 2 3 4 2 2" xfId="24894" xr:uid="{00000000-0005-0000-0000-00007F990000}"/>
    <cellStyle name="Normal 10 2 2 2 3 4 2 2 2" xfId="50768" xr:uid="{00000000-0005-0000-0000-000080990000}"/>
    <cellStyle name="Normal 10 2 2 2 3 4 2 3" xfId="37852" xr:uid="{00000000-0005-0000-0000-000081990000}"/>
    <cellStyle name="Normal 10 2 2 2 3 4 3" xfId="18436" xr:uid="{00000000-0005-0000-0000-000082990000}"/>
    <cellStyle name="Normal 10 2 2 2 3 4 3 2" xfId="44310" xr:uid="{00000000-0005-0000-0000-000083990000}"/>
    <cellStyle name="Normal 10 2 2 2 3 4 4" xfId="31394" xr:uid="{00000000-0005-0000-0000-000084990000}"/>
    <cellStyle name="Normal 10 2 2 2 3 5" xfId="8749" xr:uid="{00000000-0005-0000-0000-000085990000}"/>
    <cellStyle name="Normal 10 2 2 2 3 5 2" xfId="21666" xr:uid="{00000000-0005-0000-0000-000086990000}"/>
    <cellStyle name="Normal 10 2 2 2 3 5 2 2" xfId="47540" xr:uid="{00000000-0005-0000-0000-000087990000}"/>
    <cellStyle name="Normal 10 2 2 2 3 5 3" xfId="34624" xr:uid="{00000000-0005-0000-0000-000088990000}"/>
    <cellStyle name="Normal 10 2 2 2 3 6" xfId="15208" xr:uid="{00000000-0005-0000-0000-000089990000}"/>
    <cellStyle name="Normal 10 2 2 2 3 6 2" xfId="41082" xr:uid="{00000000-0005-0000-0000-00008A990000}"/>
    <cellStyle name="Normal 10 2 2 2 3 7" xfId="28134" xr:uid="{00000000-0005-0000-0000-00008B990000}"/>
    <cellStyle name="Normal 10 2 2 2 3 8" xfId="53996" xr:uid="{00000000-0005-0000-0000-00008C990000}"/>
    <cellStyle name="Normal 10 2 2 2 4" xfId="2648" xr:uid="{00000000-0005-0000-0000-00008D990000}"/>
    <cellStyle name="Normal 10 2 2 2 4 2" xfId="4305" xr:uid="{00000000-0005-0000-0000-00008E990000}"/>
    <cellStyle name="Normal 10 2 2 2 4 2 2" xfId="7536" xr:uid="{00000000-0005-0000-0000-00008F990000}"/>
    <cellStyle name="Normal 10 2 2 2 4 2 2 2" xfId="13995" xr:uid="{00000000-0005-0000-0000-000090990000}"/>
    <cellStyle name="Normal 10 2 2 2 4 2 2 2 2" xfId="26912" xr:uid="{00000000-0005-0000-0000-000091990000}"/>
    <cellStyle name="Normal 10 2 2 2 4 2 2 2 2 2" xfId="52786" xr:uid="{00000000-0005-0000-0000-000092990000}"/>
    <cellStyle name="Normal 10 2 2 2 4 2 2 2 3" xfId="39870" xr:uid="{00000000-0005-0000-0000-000093990000}"/>
    <cellStyle name="Normal 10 2 2 2 4 2 2 3" xfId="20454" xr:uid="{00000000-0005-0000-0000-000094990000}"/>
    <cellStyle name="Normal 10 2 2 2 4 2 2 3 2" xfId="46328" xr:uid="{00000000-0005-0000-0000-000095990000}"/>
    <cellStyle name="Normal 10 2 2 2 4 2 2 4" xfId="33412" xr:uid="{00000000-0005-0000-0000-000096990000}"/>
    <cellStyle name="Normal 10 2 2 2 4 2 3" xfId="10767" xr:uid="{00000000-0005-0000-0000-000097990000}"/>
    <cellStyle name="Normal 10 2 2 2 4 2 3 2" xfId="23684" xr:uid="{00000000-0005-0000-0000-000098990000}"/>
    <cellStyle name="Normal 10 2 2 2 4 2 3 2 2" xfId="49558" xr:uid="{00000000-0005-0000-0000-000099990000}"/>
    <cellStyle name="Normal 10 2 2 2 4 2 3 3" xfId="36642" xr:uid="{00000000-0005-0000-0000-00009A990000}"/>
    <cellStyle name="Normal 10 2 2 2 4 2 4" xfId="17226" xr:uid="{00000000-0005-0000-0000-00009B990000}"/>
    <cellStyle name="Normal 10 2 2 2 4 2 4 2" xfId="43100" xr:uid="{00000000-0005-0000-0000-00009C990000}"/>
    <cellStyle name="Normal 10 2 2 2 4 2 5" xfId="30152" xr:uid="{00000000-0005-0000-0000-00009D990000}"/>
    <cellStyle name="Normal 10 2 2 2 4 3" xfId="5922" xr:uid="{00000000-0005-0000-0000-00009E990000}"/>
    <cellStyle name="Normal 10 2 2 2 4 3 2" xfId="12381" xr:uid="{00000000-0005-0000-0000-00009F990000}"/>
    <cellStyle name="Normal 10 2 2 2 4 3 2 2" xfId="25298" xr:uid="{00000000-0005-0000-0000-0000A0990000}"/>
    <cellStyle name="Normal 10 2 2 2 4 3 2 2 2" xfId="51172" xr:uid="{00000000-0005-0000-0000-0000A1990000}"/>
    <cellStyle name="Normal 10 2 2 2 4 3 2 3" xfId="38256" xr:uid="{00000000-0005-0000-0000-0000A2990000}"/>
    <cellStyle name="Normal 10 2 2 2 4 3 3" xfId="18840" xr:uid="{00000000-0005-0000-0000-0000A3990000}"/>
    <cellStyle name="Normal 10 2 2 2 4 3 3 2" xfId="44714" xr:uid="{00000000-0005-0000-0000-0000A4990000}"/>
    <cellStyle name="Normal 10 2 2 2 4 3 4" xfId="31798" xr:uid="{00000000-0005-0000-0000-0000A5990000}"/>
    <cellStyle name="Normal 10 2 2 2 4 4" xfId="9153" xr:uid="{00000000-0005-0000-0000-0000A6990000}"/>
    <cellStyle name="Normal 10 2 2 2 4 4 2" xfId="22070" xr:uid="{00000000-0005-0000-0000-0000A7990000}"/>
    <cellStyle name="Normal 10 2 2 2 4 4 2 2" xfId="47944" xr:uid="{00000000-0005-0000-0000-0000A8990000}"/>
    <cellStyle name="Normal 10 2 2 2 4 4 3" xfId="35028" xr:uid="{00000000-0005-0000-0000-0000A9990000}"/>
    <cellStyle name="Normal 10 2 2 2 4 5" xfId="15612" xr:uid="{00000000-0005-0000-0000-0000AA990000}"/>
    <cellStyle name="Normal 10 2 2 2 4 5 2" xfId="41486" xr:uid="{00000000-0005-0000-0000-0000AB990000}"/>
    <cellStyle name="Normal 10 2 2 2 4 6" xfId="28538" xr:uid="{00000000-0005-0000-0000-0000AC990000}"/>
    <cellStyle name="Normal 10 2 2 2 5" xfId="3475" xr:uid="{00000000-0005-0000-0000-0000AD990000}"/>
    <cellStyle name="Normal 10 2 2 2 5 2" xfId="6729" xr:uid="{00000000-0005-0000-0000-0000AE990000}"/>
    <cellStyle name="Normal 10 2 2 2 5 2 2" xfId="13188" xr:uid="{00000000-0005-0000-0000-0000AF990000}"/>
    <cellStyle name="Normal 10 2 2 2 5 2 2 2" xfId="26105" xr:uid="{00000000-0005-0000-0000-0000B0990000}"/>
    <cellStyle name="Normal 10 2 2 2 5 2 2 2 2" xfId="51979" xr:uid="{00000000-0005-0000-0000-0000B1990000}"/>
    <cellStyle name="Normal 10 2 2 2 5 2 2 3" xfId="39063" xr:uid="{00000000-0005-0000-0000-0000B2990000}"/>
    <cellStyle name="Normal 10 2 2 2 5 2 3" xfId="19647" xr:uid="{00000000-0005-0000-0000-0000B3990000}"/>
    <cellStyle name="Normal 10 2 2 2 5 2 3 2" xfId="45521" xr:uid="{00000000-0005-0000-0000-0000B4990000}"/>
    <cellStyle name="Normal 10 2 2 2 5 2 4" xfId="32605" xr:uid="{00000000-0005-0000-0000-0000B5990000}"/>
    <cellStyle name="Normal 10 2 2 2 5 3" xfId="9960" xr:uid="{00000000-0005-0000-0000-0000B6990000}"/>
    <cellStyle name="Normal 10 2 2 2 5 3 2" xfId="22877" xr:uid="{00000000-0005-0000-0000-0000B7990000}"/>
    <cellStyle name="Normal 10 2 2 2 5 3 2 2" xfId="48751" xr:uid="{00000000-0005-0000-0000-0000B8990000}"/>
    <cellStyle name="Normal 10 2 2 2 5 3 3" xfId="35835" xr:uid="{00000000-0005-0000-0000-0000B9990000}"/>
    <cellStyle name="Normal 10 2 2 2 5 4" xfId="16419" xr:uid="{00000000-0005-0000-0000-0000BA990000}"/>
    <cellStyle name="Normal 10 2 2 2 5 4 2" xfId="42293" xr:uid="{00000000-0005-0000-0000-0000BB990000}"/>
    <cellStyle name="Normal 10 2 2 2 5 5" xfId="29345" xr:uid="{00000000-0005-0000-0000-0000BC990000}"/>
    <cellStyle name="Normal 10 2 2 2 6" xfId="5115" xr:uid="{00000000-0005-0000-0000-0000BD990000}"/>
    <cellStyle name="Normal 10 2 2 2 6 2" xfId="11574" xr:uid="{00000000-0005-0000-0000-0000BE990000}"/>
    <cellStyle name="Normal 10 2 2 2 6 2 2" xfId="24491" xr:uid="{00000000-0005-0000-0000-0000BF990000}"/>
    <cellStyle name="Normal 10 2 2 2 6 2 2 2" xfId="50365" xr:uid="{00000000-0005-0000-0000-0000C0990000}"/>
    <cellStyle name="Normal 10 2 2 2 6 2 3" xfId="37449" xr:uid="{00000000-0005-0000-0000-0000C1990000}"/>
    <cellStyle name="Normal 10 2 2 2 6 3" xfId="18033" xr:uid="{00000000-0005-0000-0000-0000C2990000}"/>
    <cellStyle name="Normal 10 2 2 2 6 3 2" xfId="43907" xr:uid="{00000000-0005-0000-0000-0000C3990000}"/>
    <cellStyle name="Normal 10 2 2 2 6 4" xfId="30991" xr:uid="{00000000-0005-0000-0000-0000C4990000}"/>
    <cellStyle name="Normal 10 2 2 2 7" xfId="8345" xr:uid="{00000000-0005-0000-0000-0000C5990000}"/>
    <cellStyle name="Normal 10 2 2 2 7 2" xfId="21262" xr:uid="{00000000-0005-0000-0000-0000C6990000}"/>
    <cellStyle name="Normal 10 2 2 2 7 2 2" xfId="47136" xr:uid="{00000000-0005-0000-0000-0000C7990000}"/>
    <cellStyle name="Normal 10 2 2 2 7 3" xfId="34220" xr:uid="{00000000-0005-0000-0000-0000C8990000}"/>
    <cellStyle name="Normal 10 2 2 2 8" xfId="14804" xr:uid="{00000000-0005-0000-0000-0000C9990000}"/>
    <cellStyle name="Normal 10 2 2 2 8 2" xfId="40678" xr:uid="{00000000-0005-0000-0000-0000CA990000}"/>
    <cellStyle name="Normal 10 2 2 2 9" xfId="27730" xr:uid="{00000000-0005-0000-0000-0000CB990000}"/>
    <cellStyle name="Normal 10 2 2 3" xfId="1864" xr:uid="{00000000-0005-0000-0000-0000CC990000}"/>
    <cellStyle name="Normal 10 2 2 3 2" xfId="2306" xr:uid="{00000000-0005-0000-0000-0000CD990000}"/>
    <cellStyle name="Normal 10 2 2 3 2 2" xfId="3120" xr:uid="{00000000-0005-0000-0000-0000CE990000}"/>
    <cellStyle name="Normal 10 2 2 3 2 2 2" xfId="4777" xr:uid="{00000000-0005-0000-0000-0000CF990000}"/>
    <cellStyle name="Normal 10 2 2 3 2 2 2 2" xfId="8008" xr:uid="{00000000-0005-0000-0000-0000D0990000}"/>
    <cellStyle name="Normal 10 2 2 3 2 2 2 2 2" xfId="14467" xr:uid="{00000000-0005-0000-0000-0000D1990000}"/>
    <cellStyle name="Normal 10 2 2 3 2 2 2 2 2 2" xfId="27384" xr:uid="{00000000-0005-0000-0000-0000D2990000}"/>
    <cellStyle name="Normal 10 2 2 3 2 2 2 2 2 2 2" xfId="53258" xr:uid="{00000000-0005-0000-0000-0000D3990000}"/>
    <cellStyle name="Normal 10 2 2 3 2 2 2 2 2 3" xfId="40342" xr:uid="{00000000-0005-0000-0000-0000D4990000}"/>
    <cellStyle name="Normal 10 2 2 3 2 2 2 2 3" xfId="20926" xr:uid="{00000000-0005-0000-0000-0000D5990000}"/>
    <cellStyle name="Normal 10 2 2 3 2 2 2 2 3 2" xfId="46800" xr:uid="{00000000-0005-0000-0000-0000D6990000}"/>
    <cellStyle name="Normal 10 2 2 3 2 2 2 2 4" xfId="33884" xr:uid="{00000000-0005-0000-0000-0000D7990000}"/>
    <cellStyle name="Normal 10 2 2 3 2 2 2 3" xfId="11239" xr:uid="{00000000-0005-0000-0000-0000D8990000}"/>
    <cellStyle name="Normal 10 2 2 3 2 2 2 3 2" xfId="24156" xr:uid="{00000000-0005-0000-0000-0000D9990000}"/>
    <cellStyle name="Normal 10 2 2 3 2 2 2 3 2 2" xfId="50030" xr:uid="{00000000-0005-0000-0000-0000DA990000}"/>
    <cellStyle name="Normal 10 2 2 3 2 2 2 3 3" xfId="37114" xr:uid="{00000000-0005-0000-0000-0000DB990000}"/>
    <cellStyle name="Normal 10 2 2 3 2 2 2 4" xfId="17698" xr:uid="{00000000-0005-0000-0000-0000DC990000}"/>
    <cellStyle name="Normal 10 2 2 3 2 2 2 4 2" xfId="43572" xr:uid="{00000000-0005-0000-0000-0000DD990000}"/>
    <cellStyle name="Normal 10 2 2 3 2 2 2 5" xfId="30624" xr:uid="{00000000-0005-0000-0000-0000DE990000}"/>
    <cellStyle name="Normal 10 2 2 3 2 2 3" xfId="6394" xr:uid="{00000000-0005-0000-0000-0000DF990000}"/>
    <cellStyle name="Normal 10 2 2 3 2 2 3 2" xfId="12853" xr:uid="{00000000-0005-0000-0000-0000E0990000}"/>
    <cellStyle name="Normal 10 2 2 3 2 2 3 2 2" xfId="25770" xr:uid="{00000000-0005-0000-0000-0000E1990000}"/>
    <cellStyle name="Normal 10 2 2 3 2 2 3 2 2 2" xfId="51644" xr:uid="{00000000-0005-0000-0000-0000E2990000}"/>
    <cellStyle name="Normal 10 2 2 3 2 2 3 2 3" xfId="38728" xr:uid="{00000000-0005-0000-0000-0000E3990000}"/>
    <cellStyle name="Normal 10 2 2 3 2 2 3 3" xfId="19312" xr:uid="{00000000-0005-0000-0000-0000E4990000}"/>
    <cellStyle name="Normal 10 2 2 3 2 2 3 3 2" xfId="45186" xr:uid="{00000000-0005-0000-0000-0000E5990000}"/>
    <cellStyle name="Normal 10 2 2 3 2 2 3 4" xfId="32270" xr:uid="{00000000-0005-0000-0000-0000E6990000}"/>
    <cellStyle name="Normal 10 2 2 3 2 2 4" xfId="9625" xr:uid="{00000000-0005-0000-0000-0000E7990000}"/>
    <cellStyle name="Normal 10 2 2 3 2 2 4 2" xfId="22542" xr:uid="{00000000-0005-0000-0000-0000E8990000}"/>
    <cellStyle name="Normal 10 2 2 3 2 2 4 2 2" xfId="48416" xr:uid="{00000000-0005-0000-0000-0000E9990000}"/>
    <cellStyle name="Normal 10 2 2 3 2 2 4 3" xfId="35500" xr:uid="{00000000-0005-0000-0000-0000EA990000}"/>
    <cellStyle name="Normal 10 2 2 3 2 2 5" xfId="16084" xr:uid="{00000000-0005-0000-0000-0000EB990000}"/>
    <cellStyle name="Normal 10 2 2 3 2 2 5 2" xfId="41958" xr:uid="{00000000-0005-0000-0000-0000EC990000}"/>
    <cellStyle name="Normal 10 2 2 3 2 2 6" xfId="29010" xr:uid="{00000000-0005-0000-0000-0000ED990000}"/>
    <cellStyle name="Normal 10 2 2 3 2 3" xfId="3947" xr:uid="{00000000-0005-0000-0000-0000EE990000}"/>
    <cellStyle name="Normal 10 2 2 3 2 3 2" xfId="7201" xr:uid="{00000000-0005-0000-0000-0000EF990000}"/>
    <cellStyle name="Normal 10 2 2 3 2 3 2 2" xfId="13660" xr:uid="{00000000-0005-0000-0000-0000F0990000}"/>
    <cellStyle name="Normal 10 2 2 3 2 3 2 2 2" xfId="26577" xr:uid="{00000000-0005-0000-0000-0000F1990000}"/>
    <cellStyle name="Normal 10 2 2 3 2 3 2 2 2 2" xfId="52451" xr:uid="{00000000-0005-0000-0000-0000F2990000}"/>
    <cellStyle name="Normal 10 2 2 3 2 3 2 2 3" xfId="39535" xr:uid="{00000000-0005-0000-0000-0000F3990000}"/>
    <cellStyle name="Normal 10 2 2 3 2 3 2 3" xfId="20119" xr:uid="{00000000-0005-0000-0000-0000F4990000}"/>
    <cellStyle name="Normal 10 2 2 3 2 3 2 3 2" xfId="45993" xr:uid="{00000000-0005-0000-0000-0000F5990000}"/>
    <cellStyle name="Normal 10 2 2 3 2 3 2 4" xfId="33077" xr:uid="{00000000-0005-0000-0000-0000F6990000}"/>
    <cellStyle name="Normal 10 2 2 3 2 3 3" xfId="10432" xr:uid="{00000000-0005-0000-0000-0000F7990000}"/>
    <cellStyle name="Normal 10 2 2 3 2 3 3 2" xfId="23349" xr:uid="{00000000-0005-0000-0000-0000F8990000}"/>
    <cellStyle name="Normal 10 2 2 3 2 3 3 2 2" xfId="49223" xr:uid="{00000000-0005-0000-0000-0000F9990000}"/>
    <cellStyle name="Normal 10 2 2 3 2 3 3 3" xfId="36307" xr:uid="{00000000-0005-0000-0000-0000FA990000}"/>
    <cellStyle name="Normal 10 2 2 3 2 3 4" xfId="16891" xr:uid="{00000000-0005-0000-0000-0000FB990000}"/>
    <cellStyle name="Normal 10 2 2 3 2 3 4 2" xfId="42765" xr:uid="{00000000-0005-0000-0000-0000FC990000}"/>
    <cellStyle name="Normal 10 2 2 3 2 3 5" xfId="29817" xr:uid="{00000000-0005-0000-0000-0000FD990000}"/>
    <cellStyle name="Normal 10 2 2 3 2 4" xfId="5587" xr:uid="{00000000-0005-0000-0000-0000FE990000}"/>
    <cellStyle name="Normal 10 2 2 3 2 4 2" xfId="12046" xr:uid="{00000000-0005-0000-0000-0000FF990000}"/>
    <cellStyle name="Normal 10 2 2 3 2 4 2 2" xfId="24963" xr:uid="{00000000-0005-0000-0000-0000009A0000}"/>
    <cellStyle name="Normal 10 2 2 3 2 4 2 2 2" xfId="50837" xr:uid="{00000000-0005-0000-0000-0000019A0000}"/>
    <cellStyle name="Normal 10 2 2 3 2 4 2 3" xfId="37921" xr:uid="{00000000-0005-0000-0000-0000029A0000}"/>
    <cellStyle name="Normal 10 2 2 3 2 4 3" xfId="18505" xr:uid="{00000000-0005-0000-0000-0000039A0000}"/>
    <cellStyle name="Normal 10 2 2 3 2 4 3 2" xfId="44379" xr:uid="{00000000-0005-0000-0000-0000049A0000}"/>
    <cellStyle name="Normal 10 2 2 3 2 4 4" xfId="31463" xr:uid="{00000000-0005-0000-0000-0000059A0000}"/>
    <cellStyle name="Normal 10 2 2 3 2 5" xfId="8818" xr:uid="{00000000-0005-0000-0000-0000069A0000}"/>
    <cellStyle name="Normal 10 2 2 3 2 5 2" xfId="21735" xr:uid="{00000000-0005-0000-0000-0000079A0000}"/>
    <cellStyle name="Normal 10 2 2 3 2 5 2 2" xfId="47609" xr:uid="{00000000-0005-0000-0000-0000089A0000}"/>
    <cellStyle name="Normal 10 2 2 3 2 5 3" xfId="34693" xr:uid="{00000000-0005-0000-0000-0000099A0000}"/>
    <cellStyle name="Normal 10 2 2 3 2 6" xfId="15277" xr:uid="{00000000-0005-0000-0000-00000A9A0000}"/>
    <cellStyle name="Normal 10 2 2 3 2 6 2" xfId="41151" xr:uid="{00000000-0005-0000-0000-00000B9A0000}"/>
    <cellStyle name="Normal 10 2 2 3 2 7" xfId="28203" xr:uid="{00000000-0005-0000-0000-00000C9A0000}"/>
    <cellStyle name="Normal 10 2 2 3 2 8" xfId="54065" xr:uid="{00000000-0005-0000-0000-00000D9A0000}"/>
    <cellStyle name="Normal 10 2 2 3 3" xfId="2717" xr:uid="{00000000-0005-0000-0000-00000E9A0000}"/>
    <cellStyle name="Normal 10 2 2 3 3 2" xfId="4374" xr:uid="{00000000-0005-0000-0000-00000F9A0000}"/>
    <cellStyle name="Normal 10 2 2 3 3 2 2" xfId="7605" xr:uid="{00000000-0005-0000-0000-0000109A0000}"/>
    <cellStyle name="Normal 10 2 2 3 3 2 2 2" xfId="14064" xr:uid="{00000000-0005-0000-0000-0000119A0000}"/>
    <cellStyle name="Normal 10 2 2 3 3 2 2 2 2" xfId="26981" xr:uid="{00000000-0005-0000-0000-0000129A0000}"/>
    <cellStyle name="Normal 10 2 2 3 3 2 2 2 2 2" xfId="52855" xr:uid="{00000000-0005-0000-0000-0000139A0000}"/>
    <cellStyle name="Normal 10 2 2 3 3 2 2 2 3" xfId="39939" xr:uid="{00000000-0005-0000-0000-0000149A0000}"/>
    <cellStyle name="Normal 10 2 2 3 3 2 2 3" xfId="20523" xr:uid="{00000000-0005-0000-0000-0000159A0000}"/>
    <cellStyle name="Normal 10 2 2 3 3 2 2 3 2" xfId="46397" xr:uid="{00000000-0005-0000-0000-0000169A0000}"/>
    <cellStyle name="Normal 10 2 2 3 3 2 2 4" xfId="33481" xr:uid="{00000000-0005-0000-0000-0000179A0000}"/>
    <cellStyle name="Normal 10 2 2 3 3 2 3" xfId="10836" xr:uid="{00000000-0005-0000-0000-0000189A0000}"/>
    <cellStyle name="Normal 10 2 2 3 3 2 3 2" xfId="23753" xr:uid="{00000000-0005-0000-0000-0000199A0000}"/>
    <cellStyle name="Normal 10 2 2 3 3 2 3 2 2" xfId="49627" xr:uid="{00000000-0005-0000-0000-00001A9A0000}"/>
    <cellStyle name="Normal 10 2 2 3 3 2 3 3" xfId="36711" xr:uid="{00000000-0005-0000-0000-00001B9A0000}"/>
    <cellStyle name="Normal 10 2 2 3 3 2 4" xfId="17295" xr:uid="{00000000-0005-0000-0000-00001C9A0000}"/>
    <cellStyle name="Normal 10 2 2 3 3 2 4 2" xfId="43169" xr:uid="{00000000-0005-0000-0000-00001D9A0000}"/>
    <cellStyle name="Normal 10 2 2 3 3 2 5" xfId="30221" xr:uid="{00000000-0005-0000-0000-00001E9A0000}"/>
    <cellStyle name="Normal 10 2 2 3 3 3" xfId="5991" xr:uid="{00000000-0005-0000-0000-00001F9A0000}"/>
    <cellStyle name="Normal 10 2 2 3 3 3 2" xfId="12450" xr:uid="{00000000-0005-0000-0000-0000209A0000}"/>
    <cellStyle name="Normal 10 2 2 3 3 3 2 2" xfId="25367" xr:uid="{00000000-0005-0000-0000-0000219A0000}"/>
    <cellStyle name="Normal 10 2 2 3 3 3 2 2 2" xfId="51241" xr:uid="{00000000-0005-0000-0000-0000229A0000}"/>
    <cellStyle name="Normal 10 2 2 3 3 3 2 3" xfId="38325" xr:uid="{00000000-0005-0000-0000-0000239A0000}"/>
    <cellStyle name="Normal 10 2 2 3 3 3 3" xfId="18909" xr:uid="{00000000-0005-0000-0000-0000249A0000}"/>
    <cellStyle name="Normal 10 2 2 3 3 3 3 2" xfId="44783" xr:uid="{00000000-0005-0000-0000-0000259A0000}"/>
    <cellStyle name="Normal 10 2 2 3 3 3 4" xfId="31867" xr:uid="{00000000-0005-0000-0000-0000269A0000}"/>
    <cellStyle name="Normal 10 2 2 3 3 4" xfId="9222" xr:uid="{00000000-0005-0000-0000-0000279A0000}"/>
    <cellStyle name="Normal 10 2 2 3 3 4 2" xfId="22139" xr:uid="{00000000-0005-0000-0000-0000289A0000}"/>
    <cellStyle name="Normal 10 2 2 3 3 4 2 2" xfId="48013" xr:uid="{00000000-0005-0000-0000-0000299A0000}"/>
    <cellStyle name="Normal 10 2 2 3 3 4 3" xfId="35097" xr:uid="{00000000-0005-0000-0000-00002A9A0000}"/>
    <cellStyle name="Normal 10 2 2 3 3 5" xfId="15681" xr:uid="{00000000-0005-0000-0000-00002B9A0000}"/>
    <cellStyle name="Normal 10 2 2 3 3 5 2" xfId="41555" xr:uid="{00000000-0005-0000-0000-00002C9A0000}"/>
    <cellStyle name="Normal 10 2 2 3 3 6" xfId="28607" xr:uid="{00000000-0005-0000-0000-00002D9A0000}"/>
    <cellStyle name="Normal 10 2 2 3 4" xfId="3544" xr:uid="{00000000-0005-0000-0000-00002E9A0000}"/>
    <cellStyle name="Normal 10 2 2 3 4 2" xfId="6798" xr:uid="{00000000-0005-0000-0000-00002F9A0000}"/>
    <cellStyle name="Normal 10 2 2 3 4 2 2" xfId="13257" xr:uid="{00000000-0005-0000-0000-0000309A0000}"/>
    <cellStyle name="Normal 10 2 2 3 4 2 2 2" xfId="26174" xr:uid="{00000000-0005-0000-0000-0000319A0000}"/>
    <cellStyle name="Normal 10 2 2 3 4 2 2 2 2" xfId="52048" xr:uid="{00000000-0005-0000-0000-0000329A0000}"/>
    <cellStyle name="Normal 10 2 2 3 4 2 2 3" xfId="39132" xr:uid="{00000000-0005-0000-0000-0000339A0000}"/>
    <cellStyle name="Normal 10 2 2 3 4 2 3" xfId="19716" xr:uid="{00000000-0005-0000-0000-0000349A0000}"/>
    <cellStyle name="Normal 10 2 2 3 4 2 3 2" xfId="45590" xr:uid="{00000000-0005-0000-0000-0000359A0000}"/>
    <cellStyle name="Normal 10 2 2 3 4 2 4" xfId="32674" xr:uid="{00000000-0005-0000-0000-0000369A0000}"/>
    <cellStyle name="Normal 10 2 2 3 4 3" xfId="10029" xr:uid="{00000000-0005-0000-0000-0000379A0000}"/>
    <cellStyle name="Normal 10 2 2 3 4 3 2" xfId="22946" xr:uid="{00000000-0005-0000-0000-0000389A0000}"/>
    <cellStyle name="Normal 10 2 2 3 4 3 2 2" xfId="48820" xr:uid="{00000000-0005-0000-0000-0000399A0000}"/>
    <cellStyle name="Normal 10 2 2 3 4 3 3" xfId="35904" xr:uid="{00000000-0005-0000-0000-00003A9A0000}"/>
    <cellStyle name="Normal 10 2 2 3 4 4" xfId="16488" xr:uid="{00000000-0005-0000-0000-00003B9A0000}"/>
    <cellStyle name="Normal 10 2 2 3 4 4 2" xfId="42362" xr:uid="{00000000-0005-0000-0000-00003C9A0000}"/>
    <cellStyle name="Normal 10 2 2 3 4 5" xfId="29414" xr:uid="{00000000-0005-0000-0000-00003D9A0000}"/>
    <cellStyle name="Normal 10 2 2 3 5" xfId="5184" xr:uid="{00000000-0005-0000-0000-00003E9A0000}"/>
    <cellStyle name="Normal 10 2 2 3 5 2" xfId="11643" xr:uid="{00000000-0005-0000-0000-00003F9A0000}"/>
    <cellStyle name="Normal 10 2 2 3 5 2 2" xfId="24560" xr:uid="{00000000-0005-0000-0000-0000409A0000}"/>
    <cellStyle name="Normal 10 2 2 3 5 2 2 2" xfId="50434" xr:uid="{00000000-0005-0000-0000-0000419A0000}"/>
    <cellStyle name="Normal 10 2 2 3 5 2 3" xfId="37518" xr:uid="{00000000-0005-0000-0000-0000429A0000}"/>
    <cellStyle name="Normal 10 2 2 3 5 3" xfId="18102" xr:uid="{00000000-0005-0000-0000-0000439A0000}"/>
    <cellStyle name="Normal 10 2 2 3 5 3 2" xfId="43976" xr:uid="{00000000-0005-0000-0000-0000449A0000}"/>
    <cellStyle name="Normal 10 2 2 3 5 4" xfId="31060" xr:uid="{00000000-0005-0000-0000-0000459A0000}"/>
    <cellStyle name="Normal 10 2 2 3 6" xfId="8414" xr:uid="{00000000-0005-0000-0000-0000469A0000}"/>
    <cellStyle name="Normal 10 2 2 3 6 2" xfId="21331" xr:uid="{00000000-0005-0000-0000-0000479A0000}"/>
    <cellStyle name="Normal 10 2 2 3 6 2 2" xfId="47205" xr:uid="{00000000-0005-0000-0000-0000489A0000}"/>
    <cellStyle name="Normal 10 2 2 3 6 3" xfId="34289" xr:uid="{00000000-0005-0000-0000-0000499A0000}"/>
    <cellStyle name="Normal 10 2 2 3 7" xfId="14873" xr:uid="{00000000-0005-0000-0000-00004A9A0000}"/>
    <cellStyle name="Normal 10 2 2 3 7 2" xfId="40747" xr:uid="{00000000-0005-0000-0000-00004B9A0000}"/>
    <cellStyle name="Normal 10 2 2 3 8" xfId="27799" xr:uid="{00000000-0005-0000-0000-00004C9A0000}"/>
    <cellStyle name="Normal 10 2 2 3 9" xfId="53662" xr:uid="{00000000-0005-0000-0000-00004D9A0000}"/>
    <cellStyle name="Normal 10 2 2 4" xfId="2109" xr:uid="{00000000-0005-0000-0000-00004E9A0000}"/>
    <cellStyle name="Normal 10 2 2 4 2" xfId="2925" xr:uid="{00000000-0005-0000-0000-00004F9A0000}"/>
    <cellStyle name="Normal 10 2 2 4 2 2" xfId="4582" xr:uid="{00000000-0005-0000-0000-0000509A0000}"/>
    <cellStyle name="Normal 10 2 2 4 2 2 2" xfId="7813" xr:uid="{00000000-0005-0000-0000-0000519A0000}"/>
    <cellStyle name="Normal 10 2 2 4 2 2 2 2" xfId="14272" xr:uid="{00000000-0005-0000-0000-0000529A0000}"/>
    <cellStyle name="Normal 10 2 2 4 2 2 2 2 2" xfId="27189" xr:uid="{00000000-0005-0000-0000-0000539A0000}"/>
    <cellStyle name="Normal 10 2 2 4 2 2 2 2 2 2" xfId="53063" xr:uid="{00000000-0005-0000-0000-0000549A0000}"/>
    <cellStyle name="Normal 10 2 2 4 2 2 2 2 3" xfId="40147" xr:uid="{00000000-0005-0000-0000-0000559A0000}"/>
    <cellStyle name="Normal 10 2 2 4 2 2 2 3" xfId="20731" xr:uid="{00000000-0005-0000-0000-0000569A0000}"/>
    <cellStyle name="Normal 10 2 2 4 2 2 2 3 2" xfId="46605" xr:uid="{00000000-0005-0000-0000-0000579A0000}"/>
    <cellStyle name="Normal 10 2 2 4 2 2 2 4" xfId="33689" xr:uid="{00000000-0005-0000-0000-0000589A0000}"/>
    <cellStyle name="Normal 10 2 2 4 2 2 3" xfId="11044" xr:uid="{00000000-0005-0000-0000-0000599A0000}"/>
    <cellStyle name="Normal 10 2 2 4 2 2 3 2" xfId="23961" xr:uid="{00000000-0005-0000-0000-00005A9A0000}"/>
    <cellStyle name="Normal 10 2 2 4 2 2 3 2 2" xfId="49835" xr:uid="{00000000-0005-0000-0000-00005B9A0000}"/>
    <cellStyle name="Normal 10 2 2 4 2 2 3 3" xfId="36919" xr:uid="{00000000-0005-0000-0000-00005C9A0000}"/>
    <cellStyle name="Normal 10 2 2 4 2 2 4" xfId="17503" xr:uid="{00000000-0005-0000-0000-00005D9A0000}"/>
    <cellStyle name="Normal 10 2 2 4 2 2 4 2" xfId="43377" xr:uid="{00000000-0005-0000-0000-00005E9A0000}"/>
    <cellStyle name="Normal 10 2 2 4 2 2 5" xfId="30429" xr:uid="{00000000-0005-0000-0000-00005F9A0000}"/>
    <cellStyle name="Normal 10 2 2 4 2 3" xfId="6199" xr:uid="{00000000-0005-0000-0000-0000609A0000}"/>
    <cellStyle name="Normal 10 2 2 4 2 3 2" xfId="12658" xr:uid="{00000000-0005-0000-0000-0000619A0000}"/>
    <cellStyle name="Normal 10 2 2 4 2 3 2 2" xfId="25575" xr:uid="{00000000-0005-0000-0000-0000629A0000}"/>
    <cellStyle name="Normal 10 2 2 4 2 3 2 2 2" xfId="51449" xr:uid="{00000000-0005-0000-0000-0000639A0000}"/>
    <cellStyle name="Normal 10 2 2 4 2 3 2 3" xfId="38533" xr:uid="{00000000-0005-0000-0000-0000649A0000}"/>
    <cellStyle name="Normal 10 2 2 4 2 3 3" xfId="19117" xr:uid="{00000000-0005-0000-0000-0000659A0000}"/>
    <cellStyle name="Normal 10 2 2 4 2 3 3 2" xfId="44991" xr:uid="{00000000-0005-0000-0000-0000669A0000}"/>
    <cellStyle name="Normal 10 2 2 4 2 3 4" xfId="32075" xr:uid="{00000000-0005-0000-0000-0000679A0000}"/>
    <cellStyle name="Normal 10 2 2 4 2 4" xfId="9430" xr:uid="{00000000-0005-0000-0000-0000689A0000}"/>
    <cellStyle name="Normal 10 2 2 4 2 4 2" xfId="22347" xr:uid="{00000000-0005-0000-0000-0000699A0000}"/>
    <cellStyle name="Normal 10 2 2 4 2 4 2 2" xfId="48221" xr:uid="{00000000-0005-0000-0000-00006A9A0000}"/>
    <cellStyle name="Normal 10 2 2 4 2 4 3" xfId="35305" xr:uid="{00000000-0005-0000-0000-00006B9A0000}"/>
    <cellStyle name="Normal 10 2 2 4 2 5" xfId="15889" xr:uid="{00000000-0005-0000-0000-00006C9A0000}"/>
    <cellStyle name="Normal 10 2 2 4 2 5 2" xfId="41763" xr:uid="{00000000-0005-0000-0000-00006D9A0000}"/>
    <cellStyle name="Normal 10 2 2 4 2 6" xfId="28815" xr:uid="{00000000-0005-0000-0000-00006E9A0000}"/>
    <cellStyle name="Normal 10 2 2 4 3" xfId="3752" xr:uid="{00000000-0005-0000-0000-00006F9A0000}"/>
    <cellStyle name="Normal 10 2 2 4 3 2" xfId="7006" xr:uid="{00000000-0005-0000-0000-0000709A0000}"/>
    <cellStyle name="Normal 10 2 2 4 3 2 2" xfId="13465" xr:uid="{00000000-0005-0000-0000-0000719A0000}"/>
    <cellStyle name="Normal 10 2 2 4 3 2 2 2" xfId="26382" xr:uid="{00000000-0005-0000-0000-0000729A0000}"/>
    <cellStyle name="Normal 10 2 2 4 3 2 2 2 2" xfId="52256" xr:uid="{00000000-0005-0000-0000-0000739A0000}"/>
    <cellStyle name="Normal 10 2 2 4 3 2 2 3" xfId="39340" xr:uid="{00000000-0005-0000-0000-0000749A0000}"/>
    <cellStyle name="Normal 10 2 2 4 3 2 3" xfId="19924" xr:uid="{00000000-0005-0000-0000-0000759A0000}"/>
    <cellStyle name="Normal 10 2 2 4 3 2 3 2" xfId="45798" xr:uid="{00000000-0005-0000-0000-0000769A0000}"/>
    <cellStyle name="Normal 10 2 2 4 3 2 4" xfId="32882" xr:uid="{00000000-0005-0000-0000-0000779A0000}"/>
    <cellStyle name="Normal 10 2 2 4 3 3" xfId="10237" xr:uid="{00000000-0005-0000-0000-0000789A0000}"/>
    <cellStyle name="Normal 10 2 2 4 3 3 2" xfId="23154" xr:uid="{00000000-0005-0000-0000-0000799A0000}"/>
    <cellStyle name="Normal 10 2 2 4 3 3 2 2" xfId="49028" xr:uid="{00000000-0005-0000-0000-00007A9A0000}"/>
    <cellStyle name="Normal 10 2 2 4 3 3 3" xfId="36112" xr:uid="{00000000-0005-0000-0000-00007B9A0000}"/>
    <cellStyle name="Normal 10 2 2 4 3 4" xfId="16696" xr:uid="{00000000-0005-0000-0000-00007C9A0000}"/>
    <cellStyle name="Normal 10 2 2 4 3 4 2" xfId="42570" xr:uid="{00000000-0005-0000-0000-00007D9A0000}"/>
    <cellStyle name="Normal 10 2 2 4 3 5" xfId="29622" xr:uid="{00000000-0005-0000-0000-00007E9A0000}"/>
    <cellStyle name="Normal 10 2 2 4 4" xfId="5392" xr:uid="{00000000-0005-0000-0000-00007F9A0000}"/>
    <cellStyle name="Normal 10 2 2 4 4 2" xfId="11851" xr:uid="{00000000-0005-0000-0000-0000809A0000}"/>
    <cellStyle name="Normal 10 2 2 4 4 2 2" xfId="24768" xr:uid="{00000000-0005-0000-0000-0000819A0000}"/>
    <cellStyle name="Normal 10 2 2 4 4 2 2 2" xfId="50642" xr:uid="{00000000-0005-0000-0000-0000829A0000}"/>
    <cellStyle name="Normal 10 2 2 4 4 2 3" xfId="37726" xr:uid="{00000000-0005-0000-0000-0000839A0000}"/>
    <cellStyle name="Normal 10 2 2 4 4 3" xfId="18310" xr:uid="{00000000-0005-0000-0000-0000849A0000}"/>
    <cellStyle name="Normal 10 2 2 4 4 3 2" xfId="44184" xr:uid="{00000000-0005-0000-0000-0000859A0000}"/>
    <cellStyle name="Normal 10 2 2 4 4 4" xfId="31268" xr:uid="{00000000-0005-0000-0000-0000869A0000}"/>
    <cellStyle name="Normal 10 2 2 4 5" xfId="8623" xr:uid="{00000000-0005-0000-0000-0000879A0000}"/>
    <cellStyle name="Normal 10 2 2 4 5 2" xfId="21540" xr:uid="{00000000-0005-0000-0000-0000889A0000}"/>
    <cellStyle name="Normal 10 2 2 4 5 2 2" xfId="47414" xr:uid="{00000000-0005-0000-0000-0000899A0000}"/>
    <cellStyle name="Normal 10 2 2 4 5 3" xfId="34498" xr:uid="{00000000-0005-0000-0000-00008A9A0000}"/>
    <cellStyle name="Normal 10 2 2 4 6" xfId="15082" xr:uid="{00000000-0005-0000-0000-00008B9A0000}"/>
    <cellStyle name="Normal 10 2 2 4 6 2" xfId="40956" xr:uid="{00000000-0005-0000-0000-00008C9A0000}"/>
    <cellStyle name="Normal 10 2 2 4 7" xfId="28008" xr:uid="{00000000-0005-0000-0000-00008D9A0000}"/>
    <cellStyle name="Normal 10 2 2 4 8" xfId="53870" xr:uid="{00000000-0005-0000-0000-00008E9A0000}"/>
    <cellStyle name="Normal 10 2 2 5" xfId="2522" xr:uid="{00000000-0005-0000-0000-00008F9A0000}"/>
    <cellStyle name="Normal 10 2 2 5 2" xfId="4179" xr:uid="{00000000-0005-0000-0000-0000909A0000}"/>
    <cellStyle name="Normal 10 2 2 5 2 2" xfId="7410" xr:uid="{00000000-0005-0000-0000-0000919A0000}"/>
    <cellStyle name="Normal 10 2 2 5 2 2 2" xfId="13869" xr:uid="{00000000-0005-0000-0000-0000929A0000}"/>
    <cellStyle name="Normal 10 2 2 5 2 2 2 2" xfId="26786" xr:uid="{00000000-0005-0000-0000-0000939A0000}"/>
    <cellStyle name="Normal 10 2 2 5 2 2 2 2 2" xfId="52660" xr:uid="{00000000-0005-0000-0000-0000949A0000}"/>
    <cellStyle name="Normal 10 2 2 5 2 2 2 3" xfId="39744" xr:uid="{00000000-0005-0000-0000-0000959A0000}"/>
    <cellStyle name="Normal 10 2 2 5 2 2 3" xfId="20328" xr:uid="{00000000-0005-0000-0000-0000969A0000}"/>
    <cellStyle name="Normal 10 2 2 5 2 2 3 2" xfId="46202" xr:uid="{00000000-0005-0000-0000-0000979A0000}"/>
    <cellStyle name="Normal 10 2 2 5 2 2 4" xfId="33286" xr:uid="{00000000-0005-0000-0000-0000989A0000}"/>
    <cellStyle name="Normal 10 2 2 5 2 3" xfId="10641" xr:uid="{00000000-0005-0000-0000-0000999A0000}"/>
    <cellStyle name="Normal 10 2 2 5 2 3 2" xfId="23558" xr:uid="{00000000-0005-0000-0000-00009A9A0000}"/>
    <cellStyle name="Normal 10 2 2 5 2 3 2 2" xfId="49432" xr:uid="{00000000-0005-0000-0000-00009B9A0000}"/>
    <cellStyle name="Normal 10 2 2 5 2 3 3" xfId="36516" xr:uid="{00000000-0005-0000-0000-00009C9A0000}"/>
    <cellStyle name="Normal 10 2 2 5 2 4" xfId="17100" xr:uid="{00000000-0005-0000-0000-00009D9A0000}"/>
    <cellStyle name="Normal 10 2 2 5 2 4 2" xfId="42974" xr:uid="{00000000-0005-0000-0000-00009E9A0000}"/>
    <cellStyle name="Normal 10 2 2 5 2 5" xfId="30026" xr:uid="{00000000-0005-0000-0000-00009F9A0000}"/>
    <cellStyle name="Normal 10 2 2 5 3" xfId="5796" xr:uid="{00000000-0005-0000-0000-0000A09A0000}"/>
    <cellStyle name="Normal 10 2 2 5 3 2" xfId="12255" xr:uid="{00000000-0005-0000-0000-0000A19A0000}"/>
    <cellStyle name="Normal 10 2 2 5 3 2 2" xfId="25172" xr:uid="{00000000-0005-0000-0000-0000A29A0000}"/>
    <cellStyle name="Normal 10 2 2 5 3 2 2 2" xfId="51046" xr:uid="{00000000-0005-0000-0000-0000A39A0000}"/>
    <cellStyle name="Normal 10 2 2 5 3 2 3" xfId="38130" xr:uid="{00000000-0005-0000-0000-0000A49A0000}"/>
    <cellStyle name="Normal 10 2 2 5 3 3" xfId="18714" xr:uid="{00000000-0005-0000-0000-0000A59A0000}"/>
    <cellStyle name="Normal 10 2 2 5 3 3 2" xfId="44588" xr:uid="{00000000-0005-0000-0000-0000A69A0000}"/>
    <cellStyle name="Normal 10 2 2 5 3 4" xfId="31672" xr:uid="{00000000-0005-0000-0000-0000A79A0000}"/>
    <cellStyle name="Normal 10 2 2 5 4" xfId="9027" xr:uid="{00000000-0005-0000-0000-0000A89A0000}"/>
    <cellStyle name="Normal 10 2 2 5 4 2" xfId="21944" xr:uid="{00000000-0005-0000-0000-0000A99A0000}"/>
    <cellStyle name="Normal 10 2 2 5 4 2 2" xfId="47818" xr:uid="{00000000-0005-0000-0000-0000AA9A0000}"/>
    <cellStyle name="Normal 10 2 2 5 4 3" xfId="34902" xr:uid="{00000000-0005-0000-0000-0000AB9A0000}"/>
    <cellStyle name="Normal 10 2 2 5 5" xfId="15486" xr:uid="{00000000-0005-0000-0000-0000AC9A0000}"/>
    <cellStyle name="Normal 10 2 2 5 5 2" xfId="41360" xr:uid="{00000000-0005-0000-0000-0000AD9A0000}"/>
    <cellStyle name="Normal 10 2 2 5 6" xfId="28412" xr:uid="{00000000-0005-0000-0000-0000AE9A0000}"/>
    <cellStyle name="Normal 10 2 2 6" xfId="3342" xr:uid="{00000000-0005-0000-0000-0000AF9A0000}"/>
    <cellStyle name="Normal 10 2 2 6 2" xfId="6603" xr:uid="{00000000-0005-0000-0000-0000B09A0000}"/>
    <cellStyle name="Normal 10 2 2 6 2 2" xfId="13062" xr:uid="{00000000-0005-0000-0000-0000B19A0000}"/>
    <cellStyle name="Normal 10 2 2 6 2 2 2" xfId="25979" xr:uid="{00000000-0005-0000-0000-0000B29A0000}"/>
    <cellStyle name="Normal 10 2 2 6 2 2 2 2" xfId="51853" xr:uid="{00000000-0005-0000-0000-0000B39A0000}"/>
    <cellStyle name="Normal 10 2 2 6 2 2 3" xfId="38937" xr:uid="{00000000-0005-0000-0000-0000B49A0000}"/>
    <cellStyle name="Normal 10 2 2 6 2 3" xfId="19521" xr:uid="{00000000-0005-0000-0000-0000B59A0000}"/>
    <cellStyle name="Normal 10 2 2 6 2 3 2" xfId="45395" xr:uid="{00000000-0005-0000-0000-0000B69A0000}"/>
    <cellStyle name="Normal 10 2 2 6 2 4" xfId="32479" xr:uid="{00000000-0005-0000-0000-0000B79A0000}"/>
    <cellStyle name="Normal 10 2 2 6 3" xfId="9834" xr:uid="{00000000-0005-0000-0000-0000B89A0000}"/>
    <cellStyle name="Normal 10 2 2 6 3 2" xfId="22751" xr:uid="{00000000-0005-0000-0000-0000B99A0000}"/>
    <cellStyle name="Normal 10 2 2 6 3 2 2" xfId="48625" xr:uid="{00000000-0005-0000-0000-0000BA9A0000}"/>
    <cellStyle name="Normal 10 2 2 6 3 3" xfId="35709" xr:uid="{00000000-0005-0000-0000-0000BB9A0000}"/>
    <cellStyle name="Normal 10 2 2 6 4" xfId="16293" xr:uid="{00000000-0005-0000-0000-0000BC9A0000}"/>
    <cellStyle name="Normal 10 2 2 6 4 2" xfId="42167" xr:uid="{00000000-0005-0000-0000-0000BD9A0000}"/>
    <cellStyle name="Normal 10 2 2 6 5" xfId="29219" xr:uid="{00000000-0005-0000-0000-0000BE9A0000}"/>
    <cellStyle name="Normal 10 2 2 7" xfId="4989" xr:uid="{00000000-0005-0000-0000-0000BF9A0000}"/>
    <cellStyle name="Normal 10 2 2 7 2" xfId="11448" xr:uid="{00000000-0005-0000-0000-0000C09A0000}"/>
    <cellStyle name="Normal 10 2 2 7 2 2" xfId="24365" xr:uid="{00000000-0005-0000-0000-0000C19A0000}"/>
    <cellStyle name="Normal 10 2 2 7 2 2 2" xfId="50239" xr:uid="{00000000-0005-0000-0000-0000C29A0000}"/>
    <cellStyle name="Normal 10 2 2 7 2 3" xfId="37323" xr:uid="{00000000-0005-0000-0000-0000C39A0000}"/>
    <cellStyle name="Normal 10 2 2 7 3" xfId="17907" xr:uid="{00000000-0005-0000-0000-0000C49A0000}"/>
    <cellStyle name="Normal 10 2 2 7 3 2" xfId="43781" xr:uid="{00000000-0005-0000-0000-0000C59A0000}"/>
    <cellStyle name="Normal 10 2 2 7 4" xfId="30865" xr:uid="{00000000-0005-0000-0000-0000C69A0000}"/>
    <cellStyle name="Normal 10 2 2 8" xfId="8220" xr:uid="{00000000-0005-0000-0000-0000C79A0000}"/>
    <cellStyle name="Normal 10 2 2 8 2" xfId="21137" xr:uid="{00000000-0005-0000-0000-0000C89A0000}"/>
    <cellStyle name="Normal 10 2 2 8 2 2" xfId="47011" xr:uid="{00000000-0005-0000-0000-0000C99A0000}"/>
    <cellStyle name="Normal 10 2 2 8 3" xfId="34095" xr:uid="{00000000-0005-0000-0000-0000CA9A0000}"/>
    <cellStyle name="Normal 10 2 2 9" xfId="14679" xr:uid="{00000000-0005-0000-0000-0000CB9A0000}"/>
    <cellStyle name="Normal 10 2 2 9 2" xfId="40553" xr:uid="{00000000-0005-0000-0000-0000CC9A0000}"/>
    <cellStyle name="Normal 10 2 3" xfId="1726" xr:uid="{00000000-0005-0000-0000-0000CD9A0000}"/>
    <cellStyle name="Normal 10 2 3 10" xfId="53587" xr:uid="{00000000-0005-0000-0000-0000CE9A0000}"/>
    <cellStyle name="Normal 10 2 3 2" xfId="1996" xr:uid="{00000000-0005-0000-0000-0000CF9A0000}"/>
    <cellStyle name="Normal 10 2 3 2 2" xfId="2427" xr:uid="{00000000-0005-0000-0000-0000D09A0000}"/>
    <cellStyle name="Normal 10 2 3 2 2 2" xfId="3240" xr:uid="{00000000-0005-0000-0000-0000D19A0000}"/>
    <cellStyle name="Normal 10 2 3 2 2 2 2" xfId="4897" xr:uid="{00000000-0005-0000-0000-0000D29A0000}"/>
    <cellStyle name="Normal 10 2 3 2 2 2 2 2" xfId="8128" xr:uid="{00000000-0005-0000-0000-0000D39A0000}"/>
    <cellStyle name="Normal 10 2 3 2 2 2 2 2 2" xfId="14587" xr:uid="{00000000-0005-0000-0000-0000D49A0000}"/>
    <cellStyle name="Normal 10 2 3 2 2 2 2 2 2 2" xfId="27504" xr:uid="{00000000-0005-0000-0000-0000D59A0000}"/>
    <cellStyle name="Normal 10 2 3 2 2 2 2 2 2 2 2" xfId="53378" xr:uid="{00000000-0005-0000-0000-0000D69A0000}"/>
    <cellStyle name="Normal 10 2 3 2 2 2 2 2 2 3" xfId="40462" xr:uid="{00000000-0005-0000-0000-0000D79A0000}"/>
    <cellStyle name="Normal 10 2 3 2 2 2 2 2 3" xfId="21046" xr:uid="{00000000-0005-0000-0000-0000D89A0000}"/>
    <cellStyle name="Normal 10 2 3 2 2 2 2 2 3 2" xfId="46920" xr:uid="{00000000-0005-0000-0000-0000D99A0000}"/>
    <cellStyle name="Normal 10 2 3 2 2 2 2 2 4" xfId="34004" xr:uid="{00000000-0005-0000-0000-0000DA9A0000}"/>
    <cellStyle name="Normal 10 2 3 2 2 2 2 3" xfId="11359" xr:uid="{00000000-0005-0000-0000-0000DB9A0000}"/>
    <cellStyle name="Normal 10 2 3 2 2 2 2 3 2" xfId="24276" xr:uid="{00000000-0005-0000-0000-0000DC9A0000}"/>
    <cellStyle name="Normal 10 2 3 2 2 2 2 3 2 2" xfId="50150" xr:uid="{00000000-0005-0000-0000-0000DD9A0000}"/>
    <cellStyle name="Normal 10 2 3 2 2 2 2 3 3" xfId="37234" xr:uid="{00000000-0005-0000-0000-0000DE9A0000}"/>
    <cellStyle name="Normal 10 2 3 2 2 2 2 4" xfId="17818" xr:uid="{00000000-0005-0000-0000-0000DF9A0000}"/>
    <cellStyle name="Normal 10 2 3 2 2 2 2 4 2" xfId="43692" xr:uid="{00000000-0005-0000-0000-0000E09A0000}"/>
    <cellStyle name="Normal 10 2 3 2 2 2 2 5" xfId="30744" xr:uid="{00000000-0005-0000-0000-0000E19A0000}"/>
    <cellStyle name="Normal 10 2 3 2 2 2 3" xfId="6514" xr:uid="{00000000-0005-0000-0000-0000E29A0000}"/>
    <cellStyle name="Normal 10 2 3 2 2 2 3 2" xfId="12973" xr:uid="{00000000-0005-0000-0000-0000E39A0000}"/>
    <cellStyle name="Normal 10 2 3 2 2 2 3 2 2" xfId="25890" xr:uid="{00000000-0005-0000-0000-0000E49A0000}"/>
    <cellStyle name="Normal 10 2 3 2 2 2 3 2 2 2" xfId="51764" xr:uid="{00000000-0005-0000-0000-0000E59A0000}"/>
    <cellStyle name="Normal 10 2 3 2 2 2 3 2 3" xfId="38848" xr:uid="{00000000-0005-0000-0000-0000E69A0000}"/>
    <cellStyle name="Normal 10 2 3 2 2 2 3 3" xfId="19432" xr:uid="{00000000-0005-0000-0000-0000E79A0000}"/>
    <cellStyle name="Normal 10 2 3 2 2 2 3 3 2" xfId="45306" xr:uid="{00000000-0005-0000-0000-0000E89A0000}"/>
    <cellStyle name="Normal 10 2 3 2 2 2 3 4" xfId="32390" xr:uid="{00000000-0005-0000-0000-0000E99A0000}"/>
    <cellStyle name="Normal 10 2 3 2 2 2 4" xfId="9745" xr:uid="{00000000-0005-0000-0000-0000EA9A0000}"/>
    <cellStyle name="Normal 10 2 3 2 2 2 4 2" xfId="22662" xr:uid="{00000000-0005-0000-0000-0000EB9A0000}"/>
    <cellStyle name="Normal 10 2 3 2 2 2 4 2 2" xfId="48536" xr:uid="{00000000-0005-0000-0000-0000EC9A0000}"/>
    <cellStyle name="Normal 10 2 3 2 2 2 4 3" xfId="35620" xr:uid="{00000000-0005-0000-0000-0000ED9A0000}"/>
    <cellStyle name="Normal 10 2 3 2 2 2 5" xfId="16204" xr:uid="{00000000-0005-0000-0000-0000EE9A0000}"/>
    <cellStyle name="Normal 10 2 3 2 2 2 5 2" xfId="42078" xr:uid="{00000000-0005-0000-0000-0000EF9A0000}"/>
    <cellStyle name="Normal 10 2 3 2 2 2 6" xfId="29130" xr:uid="{00000000-0005-0000-0000-0000F09A0000}"/>
    <cellStyle name="Normal 10 2 3 2 2 3" xfId="4067" xr:uid="{00000000-0005-0000-0000-0000F19A0000}"/>
    <cellStyle name="Normal 10 2 3 2 2 3 2" xfId="7321" xr:uid="{00000000-0005-0000-0000-0000F29A0000}"/>
    <cellStyle name="Normal 10 2 3 2 2 3 2 2" xfId="13780" xr:uid="{00000000-0005-0000-0000-0000F39A0000}"/>
    <cellStyle name="Normal 10 2 3 2 2 3 2 2 2" xfId="26697" xr:uid="{00000000-0005-0000-0000-0000F49A0000}"/>
    <cellStyle name="Normal 10 2 3 2 2 3 2 2 2 2" xfId="52571" xr:uid="{00000000-0005-0000-0000-0000F59A0000}"/>
    <cellStyle name="Normal 10 2 3 2 2 3 2 2 3" xfId="39655" xr:uid="{00000000-0005-0000-0000-0000F69A0000}"/>
    <cellStyle name="Normal 10 2 3 2 2 3 2 3" xfId="20239" xr:uid="{00000000-0005-0000-0000-0000F79A0000}"/>
    <cellStyle name="Normal 10 2 3 2 2 3 2 3 2" xfId="46113" xr:uid="{00000000-0005-0000-0000-0000F89A0000}"/>
    <cellStyle name="Normal 10 2 3 2 2 3 2 4" xfId="33197" xr:uid="{00000000-0005-0000-0000-0000F99A0000}"/>
    <cellStyle name="Normal 10 2 3 2 2 3 3" xfId="10552" xr:uid="{00000000-0005-0000-0000-0000FA9A0000}"/>
    <cellStyle name="Normal 10 2 3 2 2 3 3 2" xfId="23469" xr:uid="{00000000-0005-0000-0000-0000FB9A0000}"/>
    <cellStyle name="Normal 10 2 3 2 2 3 3 2 2" xfId="49343" xr:uid="{00000000-0005-0000-0000-0000FC9A0000}"/>
    <cellStyle name="Normal 10 2 3 2 2 3 3 3" xfId="36427" xr:uid="{00000000-0005-0000-0000-0000FD9A0000}"/>
    <cellStyle name="Normal 10 2 3 2 2 3 4" xfId="17011" xr:uid="{00000000-0005-0000-0000-0000FE9A0000}"/>
    <cellStyle name="Normal 10 2 3 2 2 3 4 2" xfId="42885" xr:uid="{00000000-0005-0000-0000-0000FF9A0000}"/>
    <cellStyle name="Normal 10 2 3 2 2 3 5" xfId="29937" xr:uid="{00000000-0005-0000-0000-0000009B0000}"/>
    <cellStyle name="Normal 10 2 3 2 2 4" xfId="5707" xr:uid="{00000000-0005-0000-0000-0000019B0000}"/>
    <cellStyle name="Normal 10 2 3 2 2 4 2" xfId="12166" xr:uid="{00000000-0005-0000-0000-0000029B0000}"/>
    <cellStyle name="Normal 10 2 3 2 2 4 2 2" xfId="25083" xr:uid="{00000000-0005-0000-0000-0000039B0000}"/>
    <cellStyle name="Normal 10 2 3 2 2 4 2 2 2" xfId="50957" xr:uid="{00000000-0005-0000-0000-0000049B0000}"/>
    <cellStyle name="Normal 10 2 3 2 2 4 2 3" xfId="38041" xr:uid="{00000000-0005-0000-0000-0000059B0000}"/>
    <cellStyle name="Normal 10 2 3 2 2 4 3" xfId="18625" xr:uid="{00000000-0005-0000-0000-0000069B0000}"/>
    <cellStyle name="Normal 10 2 3 2 2 4 3 2" xfId="44499" xr:uid="{00000000-0005-0000-0000-0000079B0000}"/>
    <cellStyle name="Normal 10 2 3 2 2 4 4" xfId="31583" xr:uid="{00000000-0005-0000-0000-0000089B0000}"/>
    <cellStyle name="Normal 10 2 3 2 2 5" xfId="8938" xr:uid="{00000000-0005-0000-0000-0000099B0000}"/>
    <cellStyle name="Normal 10 2 3 2 2 5 2" xfId="21855" xr:uid="{00000000-0005-0000-0000-00000A9B0000}"/>
    <cellStyle name="Normal 10 2 3 2 2 5 2 2" xfId="47729" xr:uid="{00000000-0005-0000-0000-00000B9B0000}"/>
    <cellStyle name="Normal 10 2 3 2 2 5 3" xfId="34813" xr:uid="{00000000-0005-0000-0000-00000C9B0000}"/>
    <cellStyle name="Normal 10 2 3 2 2 6" xfId="15397" xr:uid="{00000000-0005-0000-0000-00000D9B0000}"/>
    <cellStyle name="Normal 10 2 3 2 2 6 2" xfId="41271" xr:uid="{00000000-0005-0000-0000-00000E9B0000}"/>
    <cellStyle name="Normal 10 2 3 2 2 7" xfId="28323" xr:uid="{00000000-0005-0000-0000-00000F9B0000}"/>
    <cellStyle name="Normal 10 2 3 2 2 8" xfId="54185" xr:uid="{00000000-0005-0000-0000-0000109B0000}"/>
    <cellStyle name="Normal 10 2 3 2 3" xfId="2836" xr:uid="{00000000-0005-0000-0000-0000119B0000}"/>
    <cellStyle name="Normal 10 2 3 2 3 2" xfId="4493" xr:uid="{00000000-0005-0000-0000-0000129B0000}"/>
    <cellStyle name="Normal 10 2 3 2 3 2 2" xfId="7724" xr:uid="{00000000-0005-0000-0000-0000139B0000}"/>
    <cellStyle name="Normal 10 2 3 2 3 2 2 2" xfId="14183" xr:uid="{00000000-0005-0000-0000-0000149B0000}"/>
    <cellStyle name="Normal 10 2 3 2 3 2 2 2 2" xfId="27100" xr:uid="{00000000-0005-0000-0000-0000159B0000}"/>
    <cellStyle name="Normal 10 2 3 2 3 2 2 2 2 2" xfId="52974" xr:uid="{00000000-0005-0000-0000-0000169B0000}"/>
    <cellStyle name="Normal 10 2 3 2 3 2 2 2 3" xfId="40058" xr:uid="{00000000-0005-0000-0000-0000179B0000}"/>
    <cellStyle name="Normal 10 2 3 2 3 2 2 3" xfId="20642" xr:uid="{00000000-0005-0000-0000-0000189B0000}"/>
    <cellStyle name="Normal 10 2 3 2 3 2 2 3 2" xfId="46516" xr:uid="{00000000-0005-0000-0000-0000199B0000}"/>
    <cellStyle name="Normal 10 2 3 2 3 2 2 4" xfId="33600" xr:uid="{00000000-0005-0000-0000-00001A9B0000}"/>
    <cellStyle name="Normal 10 2 3 2 3 2 3" xfId="10955" xr:uid="{00000000-0005-0000-0000-00001B9B0000}"/>
    <cellStyle name="Normal 10 2 3 2 3 2 3 2" xfId="23872" xr:uid="{00000000-0005-0000-0000-00001C9B0000}"/>
    <cellStyle name="Normal 10 2 3 2 3 2 3 2 2" xfId="49746" xr:uid="{00000000-0005-0000-0000-00001D9B0000}"/>
    <cellStyle name="Normal 10 2 3 2 3 2 3 3" xfId="36830" xr:uid="{00000000-0005-0000-0000-00001E9B0000}"/>
    <cellStyle name="Normal 10 2 3 2 3 2 4" xfId="17414" xr:uid="{00000000-0005-0000-0000-00001F9B0000}"/>
    <cellStyle name="Normal 10 2 3 2 3 2 4 2" xfId="43288" xr:uid="{00000000-0005-0000-0000-0000209B0000}"/>
    <cellStyle name="Normal 10 2 3 2 3 2 5" xfId="30340" xr:uid="{00000000-0005-0000-0000-0000219B0000}"/>
    <cellStyle name="Normal 10 2 3 2 3 3" xfId="6110" xr:uid="{00000000-0005-0000-0000-0000229B0000}"/>
    <cellStyle name="Normal 10 2 3 2 3 3 2" xfId="12569" xr:uid="{00000000-0005-0000-0000-0000239B0000}"/>
    <cellStyle name="Normal 10 2 3 2 3 3 2 2" xfId="25486" xr:uid="{00000000-0005-0000-0000-0000249B0000}"/>
    <cellStyle name="Normal 10 2 3 2 3 3 2 2 2" xfId="51360" xr:uid="{00000000-0005-0000-0000-0000259B0000}"/>
    <cellStyle name="Normal 10 2 3 2 3 3 2 3" xfId="38444" xr:uid="{00000000-0005-0000-0000-0000269B0000}"/>
    <cellStyle name="Normal 10 2 3 2 3 3 3" xfId="19028" xr:uid="{00000000-0005-0000-0000-0000279B0000}"/>
    <cellStyle name="Normal 10 2 3 2 3 3 3 2" xfId="44902" xr:uid="{00000000-0005-0000-0000-0000289B0000}"/>
    <cellStyle name="Normal 10 2 3 2 3 3 4" xfId="31986" xr:uid="{00000000-0005-0000-0000-0000299B0000}"/>
    <cellStyle name="Normal 10 2 3 2 3 4" xfId="9341" xr:uid="{00000000-0005-0000-0000-00002A9B0000}"/>
    <cellStyle name="Normal 10 2 3 2 3 4 2" xfId="22258" xr:uid="{00000000-0005-0000-0000-00002B9B0000}"/>
    <cellStyle name="Normal 10 2 3 2 3 4 2 2" xfId="48132" xr:uid="{00000000-0005-0000-0000-00002C9B0000}"/>
    <cellStyle name="Normal 10 2 3 2 3 4 3" xfId="35216" xr:uid="{00000000-0005-0000-0000-00002D9B0000}"/>
    <cellStyle name="Normal 10 2 3 2 3 5" xfId="15800" xr:uid="{00000000-0005-0000-0000-00002E9B0000}"/>
    <cellStyle name="Normal 10 2 3 2 3 5 2" xfId="41674" xr:uid="{00000000-0005-0000-0000-00002F9B0000}"/>
    <cellStyle name="Normal 10 2 3 2 3 6" xfId="28726" xr:uid="{00000000-0005-0000-0000-0000309B0000}"/>
    <cellStyle name="Normal 10 2 3 2 4" xfId="3663" xr:uid="{00000000-0005-0000-0000-0000319B0000}"/>
    <cellStyle name="Normal 10 2 3 2 4 2" xfId="6917" xr:uid="{00000000-0005-0000-0000-0000329B0000}"/>
    <cellStyle name="Normal 10 2 3 2 4 2 2" xfId="13376" xr:uid="{00000000-0005-0000-0000-0000339B0000}"/>
    <cellStyle name="Normal 10 2 3 2 4 2 2 2" xfId="26293" xr:uid="{00000000-0005-0000-0000-0000349B0000}"/>
    <cellStyle name="Normal 10 2 3 2 4 2 2 2 2" xfId="52167" xr:uid="{00000000-0005-0000-0000-0000359B0000}"/>
    <cellStyle name="Normal 10 2 3 2 4 2 2 3" xfId="39251" xr:uid="{00000000-0005-0000-0000-0000369B0000}"/>
    <cellStyle name="Normal 10 2 3 2 4 2 3" xfId="19835" xr:uid="{00000000-0005-0000-0000-0000379B0000}"/>
    <cellStyle name="Normal 10 2 3 2 4 2 3 2" xfId="45709" xr:uid="{00000000-0005-0000-0000-0000389B0000}"/>
    <cellStyle name="Normal 10 2 3 2 4 2 4" xfId="32793" xr:uid="{00000000-0005-0000-0000-0000399B0000}"/>
    <cellStyle name="Normal 10 2 3 2 4 3" xfId="10148" xr:uid="{00000000-0005-0000-0000-00003A9B0000}"/>
    <cellStyle name="Normal 10 2 3 2 4 3 2" xfId="23065" xr:uid="{00000000-0005-0000-0000-00003B9B0000}"/>
    <cellStyle name="Normal 10 2 3 2 4 3 2 2" xfId="48939" xr:uid="{00000000-0005-0000-0000-00003C9B0000}"/>
    <cellStyle name="Normal 10 2 3 2 4 3 3" xfId="36023" xr:uid="{00000000-0005-0000-0000-00003D9B0000}"/>
    <cellStyle name="Normal 10 2 3 2 4 4" xfId="16607" xr:uid="{00000000-0005-0000-0000-00003E9B0000}"/>
    <cellStyle name="Normal 10 2 3 2 4 4 2" xfId="42481" xr:uid="{00000000-0005-0000-0000-00003F9B0000}"/>
    <cellStyle name="Normal 10 2 3 2 4 5" xfId="29533" xr:uid="{00000000-0005-0000-0000-0000409B0000}"/>
    <cellStyle name="Normal 10 2 3 2 5" xfId="5303" xr:uid="{00000000-0005-0000-0000-0000419B0000}"/>
    <cellStyle name="Normal 10 2 3 2 5 2" xfId="11762" xr:uid="{00000000-0005-0000-0000-0000429B0000}"/>
    <cellStyle name="Normal 10 2 3 2 5 2 2" xfId="24679" xr:uid="{00000000-0005-0000-0000-0000439B0000}"/>
    <cellStyle name="Normal 10 2 3 2 5 2 2 2" xfId="50553" xr:uid="{00000000-0005-0000-0000-0000449B0000}"/>
    <cellStyle name="Normal 10 2 3 2 5 2 3" xfId="37637" xr:uid="{00000000-0005-0000-0000-0000459B0000}"/>
    <cellStyle name="Normal 10 2 3 2 5 3" xfId="18221" xr:uid="{00000000-0005-0000-0000-0000469B0000}"/>
    <cellStyle name="Normal 10 2 3 2 5 3 2" xfId="44095" xr:uid="{00000000-0005-0000-0000-0000479B0000}"/>
    <cellStyle name="Normal 10 2 3 2 5 4" xfId="31179" xr:uid="{00000000-0005-0000-0000-0000489B0000}"/>
    <cellStyle name="Normal 10 2 3 2 6" xfId="8534" xr:uid="{00000000-0005-0000-0000-0000499B0000}"/>
    <cellStyle name="Normal 10 2 3 2 6 2" xfId="21451" xr:uid="{00000000-0005-0000-0000-00004A9B0000}"/>
    <cellStyle name="Normal 10 2 3 2 6 2 2" xfId="47325" xr:uid="{00000000-0005-0000-0000-00004B9B0000}"/>
    <cellStyle name="Normal 10 2 3 2 6 3" xfId="34409" xr:uid="{00000000-0005-0000-0000-00004C9B0000}"/>
    <cellStyle name="Normal 10 2 3 2 7" xfId="14993" xr:uid="{00000000-0005-0000-0000-00004D9B0000}"/>
    <cellStyle name="Normal 10 2 3 2 7 2" xfId="40867" xr:uid="{00000000-0005-0000-0000-00004E9B0000}"/>
    <cellStyle name="Normal 10 2 3 2 8" xfId="27918" xr:uid="{00000000-0005-0000-0000-00004F9B0000}"/>
    <cellStyle name="Normal 10 2 3 2 9" xfId="53781" xr:uid="{00000000-0005-0000-0000-0000509B0000}"/>
    <cellStyle name="Normal 10 2 3 3" xfId="2231" xr:uid="{00000000-0005-0000-0000-0000519B0000}"/>
    <cellStyle name="Normal 10 2 3 3 2" xfId="3045" xr:uid="{00000000-0005-0000-0000-0000529B0000}"/>
    <cellStyle name="Normal 10 2 3 3 2 2" xfId="4702" xr:uid="{00000000-0005-0000-0000-0000539B0000}"/>
    <cellStyle name="Normal 10 2 3 3 2 2 2" xfId="7933" xr:uid="{00000000-0005-0000-0000-0000549B0000}"/>
    <cellStyle name="Normal 10 2 3 3 2 2 2 2" xfId="14392" xr:uid="{00000000-0005-0000-0000-0000559B0000}"/>
    <cellStyle name="Normal 10 2 3 3 2 2 2 2 2" xfId="27309" xr:uid="{00000000-0005-0000-0000-0000569B0000}"/>
    <cellStyle name="Normal 10 2 3 3 2 2 2 2 2 2" xfId="53183" xr:uid="{00000000-0005-0000-0000-0000579B0000}"/>
    <cellStyle name="Normal 10 2 3 3 2 2 2 2 3" xfId="40267" xr:uid="{00000000-0005-0000-0000-0000589B0000}"/>
    <cellStyle name="Normal 10 2 3 3 2 2 2 3" xfId="20851" xr:uid="{00000000-0005-0000-0000-0000599B0000}"/>
    <cellStyle name="Normal 10 2 3 3 2 2 2 3 2" xfId="46725" xr:uid="{00000000-0005-0000-0000-00005A9B0000}"/>
    <cellStyle name="Normal 10 2 3 3 2 2 2 4" xfId="33809" xr:uid="{00000000-0005-0000-0000-00005B9B0000}"/>
    <cellStyle name="Normal 10 2 3 3 2 2 3" xfId="11164" xr:uid="{00000000-0005-0000-0000-00005C9B0000}"/>
    <cellStyle name="Normal 10 2 3 3 2 2 3 2" xfId="24081" xr:uid="{00000000-0005-0000-0000-00005D9B0000}"/>
    <cellStyle name="Normal 10 2 3 3 2 2 3 2 2" xfId="49955" xr:uid="{00000000-0005-0000-0000-00005E9B0000}"/>
    <cellStyle name="Normal 10 2 3 3 2 2 3 3" xfId="37039" xr:uid="{00000000-0005-0000-0000-00005F9B0000}"/>
    <cellStyle name="Normal 10 2 3 3 2 2 4" xfId="17623" xr:uid="{00000000-0005-0000-0000-0000609B0000}"/>
    <cellStyle name="Normal 10 2 3 3 2 2 4 2" xfId="43497" xr:uid="{00000000-0005-0000-0000-0000619B0000}"/>
    <cellStyle name="Normal 10 2 3 3 2 2 5" xfId="30549" xr:uid="{00000000-0005-0000-0000-0000629B0000}"/>
    <cellStyle name="Normal 10 2 3 3 2 3" xfId="6319" xr:uid="{00000000-0005-0000-0000-0000639B0000}"/>
    <cellStyle name="Normal 10 2 3 3 2 3 2" xfId="12778" xr:uid="{00000000-0005-0000-0000-0000649B0000}"/>
    <cellStyle name="Normal 10 2 3 3 2 3 2 2" xfId="25695" xr:uid="{00000000-0005-0000-0000-0000659B0000}"/>
    <cellStyle name="Normal 10 2 3 3 2 3 2 2 2" xfId="51569" xr:uid="{00000000-0005-0000-0000-0000669B0000}"/>
    <cellStyle name="Normal 10 2 3 3 2 3 2 3" xfId="38653" xr:uid="{00000000-0005-0000-0000-0000679B0000}"/>
    <cellStyle name="Normal 10 2 3 3 2 3 3" xfId="19237" xr:uid="{00000000-0005-0000-0000-0000689B0000}"/>
    <cellStyle name="Normal 10 2 3 3 2 3 3 2" xfId="45111" xr:uid="{00000000-0005-0000-0000-0000699B0000}"/>
    <cellStyle name="Normal 10 2 3 3 2 3 4" xfId="32195" xr:uid="{00000000-0005-0000-0000-00006A9B0000}"/>
    <cellStyle name="Normal 10 2 3 3 2 4" xfId="9550" xr:uid="{00000000-0005-0000-0000-00006B9B0000}"/>
    <cellStyle name="Normal 10 2 3 3 2 4 2" xfId="22467" xr:uid="{00000000-0005-0000-0000-00006C9B0000}"/>
    <cellStyle name="Normal 10 2 3 3 2 4 2 2" xfId="48341" xr:uid="{00000000-0005-0000-0000-00006D9B0000}"/>
    <cellStyle name="Normal 10 2 3 3 2 4 3" xfId="35425" xr:uid="{00000000-0005-0000-0000-00006E9B0000}"/>
    <cellStyle name="Normal 10 2 3 3 2 5" xfId="16009" xr:uid="{00000000-0005-0000-0000-00006F9B0000}"/>
    <cellStyle name="Normal 10 2 3 3 2 5 2" xfId="41883" xr:uid="{00000000-0005-0000-0000-0000709B0000}"/>
    <cellStyle name="Normal 10 2 3 3 2 6" xfId="28935" xr:uid="{00000000-0005-0000-0000-0000719B0000}"/>
    <cellStyle name="Normal 10 2 3 3 3" xfId="3872" xr:uid="{00000000-0005-0000-0000-0000729B0000}"/>
    <cellStyle name="Normal 10 2 3 3 3 2" xfId="7126" xr:uid="{00000000-0005-0000-0000-0000739B0000}"/>
    <cellStyle name="Normal 10 2 3 3 3 2 2" xfId="13585" xr:uid="{00000000-0005-0000-0000-0000749B0000}"/>
    <cellStyle name="Normal 10 2 3 3 3 2 2 2" xfId="26502" xr:uid="{00000000-0005-0000-0000-0000759B0000}"/>
    <cellStyle name="Normal 10 2 3 3 3 2 2 2 2" xfId="52376" xr:uid="{00000000-0005-0000-0000-0000769B0000}"/>
    <cellStyle name="Normal 10 2 3 3 3 2 2 3" xfId="39460" xr:uid="{00000000-0005-0000-0000-0000779B0000}"/>
    <cellStyle name="Normal 10 2 3 3 3 2 3" xfId="20044" xr:uid="{00000000-0005-0000-0000-0000789B0000}"/>
    <cellStyle name="Normal 10 2 3 3 3 2 3 2" xfId="45918" xr:uid="{00000000-0005-0000-0000-0000799B0000}"/>
    <cellStyle name="Normal 10 2 3 3 3 2 4" xfId="33002" xr:uid="{00000000-0005-0000-0000-00007A9B0000}"/>
    <cellStyle name="Normal 10 2 3 3 3 3" xfId="10357" xr:uid="{00000000-0005-0000-0000-00007B9B0000}"/>
    <cellStyle name="Normal 10 2 3 3 3 3 2" xfId="23274" xr:uid="{00000000-0005-0000-0000-00007C9B0000}"/>
    <cellStyle name="Normal 10 2 3 3 3 3 2 2" xfId="49148" xr:uid="{00000000-0005-0000-0000-00007D9B0000}"/>
    <cellStyle name="Normal 10 2 3 3 3 3 3" xfId="36232" xr:uid="{00000000-0005-0000-0000-00007E9B0000}"/>
    <cellStyle name="Normal 10 2 3 3 3 4" xfId="16816" xr:uid="{00000000-0005-0000-0000-00007F9B0000}"/>
    <cellStyle name="Normal 10 2 3 3 3 4 2" xfId="42690" xr:uid="{00000000-0005-0000-0000-0000809B0000}"/>
    <cellStyle name="Normal 10 2 3 3 3 5" xfId="29742" xr:uid="{00000000-0005-0000-0000-0000819B0000}"/>
    <cellStyle name="Normal 10 2 3 3 4" xfId="5512" xr:uid="{00000000-0005-0000-0000-0000829B0000}"/>
    <cellStyle name="Normal 10 2 3 3 4 2" xfId="11971" xr:uid="{00000000-0005-0000-0000-0000839B0000}"/>
    <cellStyle name="Normal 10 2 3 3 4 2 2" xfId="24888" xr:uid="{00000000-0005-0000-0000-0000849B0000}"/>
    <cellStyle name="Normal 10 2 3 3 4 2 2 2" xfId="50762" xr:uid="{00000000-0005-0000-0000-0000859B0000}"/>
    <cellStyle name="Normal 10 2 3 3 4 2 3" xfId="37846" xr:uid="{00000000-0005-0000-0000-0000869B0000}"/>
    <cellStyle name="Normal 10 2 3 3 4 3" xfId="18430" xr:uid="{00000000-0005-0000-0000-0000879B0000}"/>
    <cellStyle name="Normal 10 2 3 3 4 3 2" xfId="44304" xr:uid="{00000000-0005-0000-0000-0000889B0000}"/>
    <cellStyle name="Normal 10 2 3 3 4 4" xfId="31388" xr:uid="{00000000-0005-0000-0000-0000899B0000}"/>
    <cellStyle name="Normal 10 2 3 3 5" xfId="8743" xr:uid="{00000000-0005-0000-0000-00008A9B0000}"/>
    <cellStyle name="Normal 10 2 3 3 5 2" xfId="21660" xr:uid="{00000000-0005-0000-0000-00008B9B0000}"/>
    <cellStyle name="Normal 10 2 3 3 5 2 2" xfId="47534" xr:uid="{00000000-0005-0000-0000-00008C9B0000}"/>
    <cellStyle name="Normal 10 2 3 3 5 3" xfId="34618" xr:uid="{00000000-0005-0000-0000-00008D9B0000}"/>
    <cellStyle name="Normal 10 2 3 3 6" xfId="15202" xr:uid="{00000000-0005-0000-0000-00008E9B0000}"/>
    <cellStyle name="Normal 10 2 3 3 6 2" xfId="41076" xr:uid="{00000000-0005-0000-0000-00008F9B0000}"/>
    <cellStyle name="Normal 10 2 3 3 7" xfId="28128" xr:uid="{00000000-0005-0000-0000-0000909B0000}"/>
    <cellStyle name="Normal 10 2 3 3 8" xfId="53990" xr:uid="{00000000-0005-0000-0000-0000919B0000}"/>
    <cellStyle name="Normal 10 2 3 4" xfId="2642" xr:uid="{00000000-0005-0000-0000-0000929B0000}"/>
    <cellStyle name="Normal 10 2 3 4 2" xfId="4299" xr:uid="{00000000-0005-0000-0000-0000939B0000}"/>
    <cellStyle name="Normal 10 2 3 4 2 2" xfId="7530" xr:uid="{00000000-0005-0000-0000-0000949B0000}"/>
    <cellStyle name="Normal 10 2 3 4 2 2 2" xfId="13989" xr:uid="{00000000-0005-0000-0000-0000959B0000}"/>
    <cellStyle name="Normal 10 2 3 4 2 2 2 2" xfId="26906" xr:uid="{00000000-0005-0000-0000-0000969B0000}"/>
    <cellStyle name="Normal 10 2 3 4 2 2 2 2 2" xfId="52780" xr:uid="{00000000-0005-0000-0000-0000979B0000}"/>
    <cellStyle name="Normal 10 2 3 4 2 2 2 3" xfId="39864" xr:uid="{00000000-0005-0000-0000-0000989B0000}"/>
    <cellStyle name="Normal 10 2 3 4 2 2 3" xfId="20448" xr:uid="{00000000-0005-0000-0000-0000999B0000}"/>
    <cellStyle name="Normal 10 2 3 4 2 2 3 2" xfId="46322" xr:uid="{00000000-0005-0000-0000-00009A9B0000}"/>
    <cellStyle name="Normal 10 2 3 4 2 2 4" xfId="33406" xr:uid="{00000000-0005-0000-0000-00009B9B0000}"/>
    <cellStyle name="Normal 10 2 3 4 2 3" xfId="10761" xr:uid="{00000000-0005-0000-0000-00009C9B0000}"/>
    <cellStyle name="Normal 10 2 3 4 2 3 2" xfId="23678" xr:uid="{00000000-0005-0000-0000-00009D9B0000}"/>
    <cellStyle name="Normal 10 2 3 4 2 3 2 2" xfId="49552" xr:uid="{00000000-0005-0000-0000-00009E9B0000}"/>
    <cellStyle name="Normal 10 2 3 4 2 3 3" xfId="36636" xr:uid="{00000000-0005-0000-0000-00009F9B0000}"/>
    <cellStyle name="Normal 10 2 3 4 2 4" xfId="17220" xr:uid="{00000000-0005-0000-0000-0000A09B0000}"/>
    <cellStyle name="Normal 10 2 3 4 2 4 2" xfId="43094" xr:uid="{00000000-0005-0000-0000-0000A19B0000}"/>
    <cellStyle name="Normal 10 2 3 4 2 5" xfId="30146" xr:uid="{00000000-0005-0000-0000-0000A29B0000}"/>
    <cellStyle name="Normal 10 2 3 4 3" xfId="5916" xr:uid="{00000000-0005-0000-0000-0000A39B0000}"/>
    <cellStyle name="Normal 10 2 3 4 3 2" xfId="12375" xr:uid="{00000000-0005-0000-0000-0000A49B0000}"/>
    <cellStyle name="Normal 10 2 3 4 3 2 2" xfId="25292" xr:uid="{00000000-0005-0000-0000-0000A59B0000}"/>
    <cellStyle name="Normal 10 2 3 4 3 2 2 2" xfId="51166" xr:uid="{00000000-0005-0000-0000-0000A69B0000}"/>
    <cellStyle name="Normal 10 2 3 4 3 2 3" xfId="38250" xr:uid="{00000000-0005-0000-0000-0000A79B0000}"/>
    <cellStyle name="Normal 10 2 3 4 3 3" xfId="18834" xr:uid="{00000000-0005-0000-0000-0000A89B0000}"/>
    <cellStyle name="Normal 10 2 3 4 3 3 2" xfId="44708" xr:uid="{00000000-0005-0000-0000-0000A99B0000}"/>
    <cellStyle name="Normal 10 2 3 4 3 4" xfId="31792" xr:uid="{00000000-0005-0000-0000-0000AA9B0000}"/>
    <cellStyle name="Normal 10 2 3 4 4" xfId="9147" xr:uid="{00000000-0005-0000-0000-0000AB9B0000}"/>
    <cellStyle name="Normal 10 2 3 4 4 2" xfId="22064" xr:uid="{00000000-0005-0000-0000-0000AC9B0000}"/>
    <cellStyle name="Normal 10 2 3 4 4 2 2" xfId="47938" xr:uid="{00000000-0005-0000-0000-0000AD9B0000}"/>
    <cellStyle name="Normal 10 2 3 4 4 3" xfId="35022" xr:uid="{00000000-0005-0000-0000-0000AE9B0000}"/>
    <cellStyle name="Normal 10 2 3 4 5" xfId="15606" xr:uid="{00000000-0005-0000-0000-0000AF9B0000}"/>
    <cellStyle name="Normal 10 2 3 4 5 2" xfId="41480" xr:uid="{00000000-0005-0000-0000-0000B09B0000}"/>
    <cellStyle name="Normal 10 2 3 4 6" xfId="28532" xr:uid="{00000000-0005-0000-0000-0000B19B0000}"/>
    <cellStyle name="Normal 10 2 3 5" xfId="3469" xr:uid="{00000000-0005-0000-0000-0000B29B0000}"/>
    <cellStyle name="Normal 10 2 3 5 2" xfId="6723" xr:uid="{00000000-0005-0000-0000-0000B39B0000}"/>
    <cellStyle name="Normal 10 2 3 5 2 2" xfId="13182" xr:uid="{00000000-0005-0000-0000-0000B49B0000}"/>
    <cellStyle name="Normal 10 2 3 5 2 2 2" xfId="26099" xr:uid="{00000000-0005-0000-0000-0000B59B0000}"/>
    <cellStyle name="Normal 10 2 3 5 2 2 2 2" xfId="51973" xr:uid="{00000000-0005-0000-0000-0000B69B0000}"/>
    <cellStyle name="Normal 10 2 3 5 2 2 3" xfId="39057" xr:uid="{00000000-0005-0000-0000-0000B79B0000}"/>
    <cellStyle name="Normal 10 2 3 5 2 3" xfId="19641" xr:uid="{00000000-0005-0000-0000-0000B89B0000}"/>
    <cellStyle name="Normal 10 2 3 5 2 3 2" xfId="45515" xr:uid="{00000000-0005-0000-0000-0000B99B0000}"/>
    <cellStyle name="Normal 10 2 3 5 2 4" xfId="32599" xr:uid="{00000000-0005-0000-0000-0000BA9B0000}"/>
    <cellStyle name="Normal 10 2 3 5 3" xfId="9954" xr:uid="{00000000-0005-0000-0000-0000BB9B0000}"/>
    <cellStyle name="Normal 10 2 3 5 3 2" xfId="22871" xr:uid="{00000000-0005-0000-0000-0000BC9B0000}"/>
    <cellStyle name="Normal 10 2 3 5 3 2 2" xfId="48745" xr:uid="{00000000-0005-0000-0000-0000BD9B0000}"/>
    <cellStyle name="Normal 10 2 3 5 3 3" xfId="35829" xr:uid="{00000000-0005-0000-0000-0000BE9B0000}"/>
    <cellStyle name="Normal 10 2 3 5 4" xfId="16413" xr:uid="{00000000-0005-0000-0000-0000BF9B0000}"/>
    <cellStyle name="Normal 10 2 3 5 4 2" xfId="42287" xr:uid="{00000000-0005-0000-0000-0000C09B0000}"/>
    <cellStyle name="Normal 10 2 3 5 5" xfId="29339" xr:uid="{00000000-0005-0000-0000-0000C19B0000}"/>
    <cellStyle name="Normal 10 2 3 6" xfId="5109" xr:uid="{00000000-0005-0000-0000-0000C29B0000}"/>
    <cellStyle name="Normal 10 2 3 6 2" xfId="11568" xr:uid="{00000000-0005-0000-0000-0000C39B0000}"/>
    <cellStyle name="Normal 10 2 3 6 2 2" xfId="24485" xr:uid="{00000000-0005-0000-0000-0000C49B0000}"/>
    <cellStyle name="Normal 10 2 3 6 2 2 2" xfId="50359" xr:uid="{00000000-0005-0000-0000-0000C59B0000}"/>
    <cellStyle name="Normal 10 2 3 6 2 3" xfId="37443" xr:uid="{00000000-0005-0000-0000-0000C69B0000}"/>
    <cellStyle name="Normal 10 2 3 6 3" xfId="18027" xr:uid="{00000000-0005-0000-0000-0000C79B0000}"/>
    <cellStyle name="Normal 10 2 3 6 3 2" xfId="43901" xr:uid="{00000000-0005-0000-0000-0000C89B0000}"/>
    <cellStyle name="Normal 10 2 3 6 4" xfId="30985" xr:uid="{00000000-0005-0000-0000-0000C99B0000}"/>
    <cellStyle name="Normal 10 2 3 7" xfId="8339" xr:uid="{00000000-0005-0000-0000-0000CA9B0000}"/>
    <cellStyle name="Normal 10 2 3 7 2" xfId="21256" xr:uid="{00000000-0005-0000-0000-0000CB9B0000}"/>
    <cellStyle name="Normal 10 2 3 7 2 2" xfId="47130" xr:uid="{00000000-0005-0000-0000-0000CC9B0000}"/>
    <cellStyle name="Normal 10 2 3 7 3" xfId="34214" xr:uid="{00000000-0005-0000-0000-0000CD9B0000}"/>
    <cellStyle name="Normal 10 2 3 8" xfId="14798" xr:uid="{00000000-0005-0000-0000-0000CE9B0000}"/>
    <cellStyle name="Normal 10 2 3 8 2" xfId="40672" xr:uid="{00000000-0005-0000-0000-0000CF9B0000}"/>
    <cellStyle name="Normal 10 2 3 9" xfId="27724" xr:uid="{00000000-0005-0000-0000-0000D09B0000}"/>
    <cellStyle name="Normal 10 2 4" xfId="1787" xr:uid="{00000000-0005-0000-0000-0000D19B0000}"/>
    <cellStyle name="Normal 10 2 4 2" xfId="2280" xr:uid="{00000000-0005-0000-0000-0000D29B0000}"/>
    <cellStyle name="Normal 10 2 4 2 2" xfId="3094" xr:uid="{00000000-0005-0000-0000-0000D39B0000}"/>
    <cellStyle name="Normal 10 2 4 2 2 2" xfId="4751" xr:uid="{00000000-0005-0000-0000-0000D49B0000}"/>
    <cellStyle name="Normal 10 2 4 2 2 2 2" xfId="7982" xr:uid="{00000000-0005-0000-0000-0000D59B0000}"/>
    <cellStyle name="Normal 10 2 4 2 2 2 2 2" xfId="14441" xr:uid="{00000000-0005-0000-0000-0000D69B0000}"/>
    <cellStyle name="Normal 10 2 4 2 2 2 2 2 2" xfId="27358" xr:uid="{00000000-0005-0000-0000-0000D79B0000}"/>
    <cellStyle name="Normal 10 2 4 2 2 2 2 2 2 2" xfId="53232" xr:uid="{00000000-0005-0000-0000-0000D89B0000}"/>
    <cellStyle name="Normal 10 2 4 2 2 2 2 2 3" xfId="40316" xr:uid="{00000000-0005-0000-0000-0000D99B0000}"/>
    <cellStyle name="Normal 10 2 4 2 2 2 2 3" xfId="20900" xr:uid="{00000000-0005-0000-0000-0000DA9B0000}"/>
    <cellStyle name="Normal 10 2 4 2 2 2 2 3 2" xfId="46774" xr:uid="{00000000-0005-0000-0000-0000DB9B0000}"/>
    <cellStyle name="Normal 10 2 4 2 2 2 2 4" xfId="33858" xr:uid="{00000000-0005-0000-0000-0000DC9B0000}"/>
    <cellStyle name="Normal 10 2 4 2 2 2 3" xfId="11213" xr:uid="{00000000-0005-0000-0000-0000DD9B0000}"/>
    <cellStyle name="Normal 10 2 4 2 2 2 3 2" xfId="24130" xr:uid="{00000000-0005-0000-0000-0000DE9B0000}"/>
    <cellStyle name="Normal 10 2 4 2 2 2 3 2 2" xfId="50004" xr:uid="{00000000-0005-0000-0000-0000DF9B0000}"/>
    <cellStyle name="Normal 10 2 4 2 2 2 3 3" xfId="37088" xr:uid="{00000000-0005-0000-0000-0000E09B0000}"/>
    <cellStyle name="Normal 10 2 4 2 2 2 4" xfId="17672" xr:uid="{00000000-0005-0000-0000-0000E19B0000}"/>
    <cellStyle name="Normal 10 2 4 2 2 2 4 2" xfId="43546" xr:uid="{00000000-0005-0000-0000-0000E29B0000}"/>
    <cellStyle name="Normal 10 2 4 2 2 2 5" xfId="30598" xr:uid="{00000000-0005-0000-0000-0000E39B0000}"/>
    <cellStyle name="Normal 10 2 4 2 2 3" xfId="6368" xr:uid="{00000000-0005-0000-0000-0000E49B0000}"/>
    <cellStyle name="Normal 10 2 4 2 2 3 2" xfId="12827" xr:uid="{00000000-0005-0000-0000-0000E59B0000}"/>
    <cellStyle name="Normal 10 2 4 2 2 3 2 2" xfId="25744" xr:uid="{00000000-0005-0000-0000-0000E69B0000}"/>
    <cellStyle name="Normal 10 2 4 2 2 3 2 2 2" xfId="51618" xr:uid="{00000000-0005-0000-0000-0000E79B0000}"/>
    <cellStyle name="Normal 10 2 4 2 2 3 2 3" xfId="38702" xr:uid="{00000000-0005-0000-0000-0000E89B0000}"/>
    <cellStyle name="Normal 10 2 4 2 2 3 3" xfId="19286" xr:uid="{00000000-0005-0000-0000-0000E99B0000}"/>
    <cellStyle name="Normal 10 2 4 2 2 3 3 2" xfId="45160" xr:uid="{00000000-0005-0000-0000-0000EA9B0000}"/>
    <cellStyle name="Normal 10 2 4 2 2 3 4" xfId="32244" xr:uid="{00000000-0005-0000-0000-0000EB9B0000}"/>
    <cellStyle name="Normal 10 2 4 2 2 4" xfId="9599" xr:uid="{00000000-0005-0000-0000-0000EC9B0000}"/>
    <cellStyle name="Normal 10 2 4 2 2 4 2" xfId="22516" xr:uid="{00000000-0005-0000-0000-0000ED9B0000}"/>
    <cellStyle name="Normal 10 2 4 2 2 4 2 2" xfId="48390" xr:uid="{00000000-0005-0000-0000-0000EE9B0000}"/>
    <cellStyle name="Normal 10 2 4 2 2 4 3" xfId="35474" xr:uid="{00000000-0005-0000-0000-0000EF9B0000}"/>
    <cellStyle name="Normal 10 2 4 2 2 5" xfId="16058" xr:uid="{00000000-0005-0000-0000-0000F09B0000}"/>
    <cellStyle name="Normal 10 2 4 2 2 5 2" xfId="41932" xr:uid="{00000000-0005-0000-0000-0000F19B0000}"/>
    <cellStyle name="Normal 10 2 4 2 2 6" xfId="28984" xr:uid="{00000000-0005-0000-0000-0000F29B0000}"/>
    <cellStyle name="Normal 10 2 4 2 3" xfId="3921" xr:uid="{00000000-0005-0000-0000-0000F39B0000}"/>
    <cellStyle name="Normal 10 2 4 2 3 2" xfId="7175" xr:uid="{00000000-0005-0000-0000-0000F49B0000}"/>
    <cellStyle name="Normal 10 2 4 2 3 2 2" xfId="13634" xr:uid="{00000000-0005-0000-0000-0000F59B0000}"/>
    <cellStyle name="Normal 10 2 4 2 3 2 2 2" xfId="26551" xr:uid="{00000000-0005-0000-0000-0000F69B0000}"/>
    <cellStyle name="Normal 10 2 4 2 3 2 2 2 2" xfId="52425" xr:uid="{00000000-0005-0000-0000-0000F79B0000}"/>
    <cellStyle name="Normal 10 2 4 2 3 2 2 3" xfId="39509" xr:uid="{00000000-0005-0000-0000-0000F89B0000}"/>
    <cellStyle name="Normal 10 2 4 2 3 2 3" xfId="20093" xr:uid="{00000000-0005-0000-0000-0000F99B0000}"/>
    <cellStyle name="Normal 10 2 4 2 3 2 3 2" xfId="45967" xr:uid="{00000000-0005-0000-0000-0000FA9B0000}"/>
    <cellStyle name="Normal 10 2 4 2 3 2 4" xfId="33051" xr:uid="{00000000-0005-0000-0000-0000FB9B0000}"/>
    <cellStyle name="Normal 10 2 4 2 3 3" xfId="10406" xr:uid="{00000000-0005-0000-0000-0000FC9B0000}"/>
    <cellStyle name="Normal 10 2 4 2 3 3 2" xfId="23323" xr:uid="{00000000-0005-0000-0000-0000FD9B0000}"/>
    <cellStyle name="Normal 10 2 4 2 3 3 2 2" xfId="49197" xr:uid="{00000000-0005-0000-0000-0000FE9B0000}"/>
    <cellStyle name="Normal 10 2 4 2 3 3 3" xfId="36281" xr:uid="{00000000-0005-0000-0000-0000FF9B0000}"/>
    <cellStyle name="Normal 10 2 4 2 3 4" xfId="16865" xr:uid="{00000000-0005-0000-0000-0000009C0000}"/>
    <cellStyle name="Normal 10 2 4 2 3 4 2" xfId="42739" xr:uid="{00000000-0005-0000-0000-0000019C0000}"/>
    <cellStyle name="Normal 10 2 4 2 3 5" xfId="29791" xr:uid="{00000000-0005-0000-0000-0000029C0000}"/>
    <cellStyle name="Normal 10 2 4 2 4" xfId="5561" xr:uid="{00000000-0005-0000-0000-0000039C0000}"/>
    <cellStyle name="Normal 10 2 4 2 4 2" xfId="12020" xr:uid="{00000000-0005-0000-0000-0000049C0000}"/>
    <cellStyle name="Normal 10 2 4 2 4 2 2" xfId="24937" xr:uid="{00000000-0005-0000-0000-0000059C0000}"/>
    <cellStyle name="Normal 10 2 4 2 4 2 2 2" xfId="50811" xr:uid="{00000000-0005-0000-0000-0000069C0000}"/>
    <cellStyle name="Normal 10 2 4 2 4 2 3" xfId="37895" xr:uid="{00000000-0005-0000-0000-0000079C0000}"/>
    <cellStyle name="Normal 10 2 4 2 4 3" xfId="18479" xr:uid="{00000000-0005-0000-0000-0000089C0000}"/>
    <cellStyle name="Normal 10 2 4 2 4 3 2" xfId="44353" xr:uid="{00000000-0005-0000-0000-0000099C0000}"/>
    <cellStyle name="Normal 10 2 4 2 4 4" xfId="31437" xr:uid="{00000000-0005-0000-0000-00000A9C0000}"/>
    <cellStyle name="Normal 10 2 4 2 5" xfId="8792" xr:uid="{00000000-0005-0000-0000-00000B9C0000}"/>
    <cellStyle name="Normal 10 2 4 2 5 2" xfId="21709" xr:uid="{00000000-0005-0000-0000-00000C9C0000}"/>
    <cellStyle name="Normal 10 2 4 2 5 2 2" xfId="47583" xr:uid="{00000000-0005-0000-0000-00000D9C0000}"/>
    <cellStyle name="Normal 10 2 4 2 5 3" xfId="34667" xr:uid="{00000000-0005-0000-0000-00000E9C0000}"/>
    <cellStyle name="Normal 10 2 4 2 6" xfId="15251" xr:uid="{00000000-0005-0000-0000-00000F9C0000}"/>
    <cellStyle name="Normal 10 2 4 2 6 2" xfId="41125" xr:uid="{00000000-0005-0000-0000-0000109C0000}"/>
    <cellStyle name="Normal 10 2 4 2 7" xfId="28177" xr:uid="{00000000-0005-0000-0000-0000119C0000}"/>
    <cellStyle name="Normal 10 2 4 2 8" xfId="54039" xr:uid="{00000000-0005-0000-0000-0000129C0000}"/>
    <cellStyle name="Normal 10 2 4 3" xfId="2691" xr:uid="{00000000-0005-0000-0000-0000139C0000}"/>
    <cellStyle name="Normal 10 2 4 3 2" xfId="4348" xr:uid="{00000000-0005-0000-0000-0000149C0000}"/>
    <cellStyle name="Normal 10 2 4 3 2 2" xfId="7579" xr:uid="{00000000-0005-0000-0000-0000159C0000}"/>
    <cellStyle name="Normal 10 2 4 3 2 2 2" xfId="14038" xr:uid="{00000000-0005-0000-0000-0000169C0000}"/>
    <cellStyle name="Normal 10 2 4 3 2 2 2 2" xfId="26955" xr:uid="{00000000-0005-0000-0000-0000179C0000}"/>
    <cellStyle name="Normal 10 2 4 3 2 2 2 2 2" xfId="52829" xr:uid="{00000000-0005-0000-0000-0000189C0000}"/>
    <cellStyle name="Normal 10 2 4 3 2 2 2 3" xfId="39913" xr:uid="{00000000-0005-0000-0000-0000199C0000}"/>
    <cellStyle name="Normal 10 2 4 3 2 2 3" xfId="20497" xr:uid="{00000000-0005-0000-0000-00001A9C0000}"/>
    <cellStyle name="Normal 10 2 4 3 2 2 3 2" xfId="46371" xr:uid="{00000000-0005-0000-0000-00001B9C0000}"/>
    <cellStyle name="Normal 10 2 4 3 2 2 4" xfId="33455" xr:uid="{00000000-0005-0000-0000-00001C9C0000}"/>
    <cellStyle name="Normal 10 2 4 3 2 3" xfId="10810" xr:uid="{00000000-0005-0000-0000-00001D9C0000}"/>
    <cellStyle name="Normal 10 2 4 3 2 3 2" xfId="23727" xr:uid="{00000000-0005-0000-0000-00001E9C0000}"/>
    <cellStyle name="Normal 10 2 4 3 2 3 2 2" xfId="49601" xr:uid="{00000000-0005-0000-0000-00001F9C0000}"/>
    <cellStyle name="Normal 10 2 4 3 2 3 3" xfId="36685" xr:uid="{00000000-0005-0000-0000-0000209C0000}"/>
    <cellStyle name="Normal 10 2 4 3 2 4" xfId="17269" xr:uid="{00000000-0005-0000-0000-0000219C0000}"/>
    <cellStyle name="Normal 10 2 4 3 2 4 2" xfId="43143" xr:uid="{00000000-0005-0000-0000-0000229C0000}"/>
    <cellStyle name="Normal 10 2 4 3 2 5" xfId="30195" xr:uid="{00000000-0005-0000-0000-0000239C0000}"/>
    <cellStyle name="Normal 10 2 4 3 3" xfId="5965" xr:uid="{00000000-0005-0000-0000-0000249C0000}"/>
    <cellStyle name="Normal 10 2 4 3 3 2" xfId="12424" xr:uid="{00000000-0005-0000-0000-0000259C0000}"/>
    <cellStyle name="Normal 10 2 4 3 3 2 2" xfId="25341" xr:uid="{00000000-0005-0000-0000-0000269C0000}"/>
    <cellStyle name="Normal 10 2 4 3 3 2 2 2" xfId="51215" xr:uid="{00000000-0005-0000-0000-0000279C0000}"/>
    <cellStyle name="Normal 10 2 4 3 3 2 3" xfId="38299" xr:uid="{00000000-0005-0000-0000-0000289C0000}"/>
    <cellStyle name="Normal 10 2 4 3 3 3" xfId="18883" xr:uid="{00000000-0005-0000-0000-0000299C0000}"/>
    <cellStyle name="Normal 10 2 4 3 3 3 2" xfId="44757" xr:uid="{00000000-0005-0000-0000-00002A9C0000}"/>
    <cellStyle name="Normal 10 2 4 3 3 4" xfId="31841" xr:uid="{00000000-0005-0000-0000-00002B9C0000}"/>
    <cellStyle name="Normal 10 2 4 3 4" xfId="9196" xr:uid="{00000000-0005-0000-0000-00002C9C0000}"/>
    <cellStyle name="Normal 10 2 4 3 4 2" xfId="22113" xr:uid="{00000000-0005-0000-0000-00002D9C0000}"/>
    <cellStyle name="Normal 10 2 4 3 4 2 2" xfId="47987" xr:uid="{00000000-0005-0000-0000-00002E9C0000}"/>
    <cellStyle name="Normal 10 2 4 3 4 3" xfId="35071" xr:uid="{00000000-0005-0000-0000-00002F9C0000}"/>
    <cellStyle name="Normal 10 2 4 3 5" xfId="15655" xr:uid="{00000000-0005-0000-0000-0000309C0000}"/>
    <cellStyle name="Normal 10 2 4 3 5 2" xfId="41529" xr:uid="{00000000-0005-0000-0000-0000319C0000}"/>
    <cellStyle name="Normal 10 2 4 3 6" xfId="28581" xr:uid="{00000000-0005-0000-0000-0000329C0000}"/>
    <cellStyle name="Normal 10 2 4 4" xfId="3518" xr:uid="{00000000-0005-0000-0000-0000339C0000}"/>
    <cellStyle name="Normal 10 2 4 4 2" xfId="6772" xr:uid="{00000000-0005-0000-0000-0000349C0000}"/>
    <cellStyle name="Normal 10 2 4 4 2 2" xfId="13231" xr:uid="{00000000-0005-0000-0000-0000359C0000}"/>
    <cellStyle name="Normal 10 2 4 4 2 2 2" xfId="26148" xr:uid="{00000000-0005-0000-0000-0000369C0000}"/>
    <cellStyle name="Normal 10 2 4 4 2 2 2 2" xfId="52022" xr:uid="{00000000-0005-0000-0000-0000379C0000}"/>
    <cellStyle name="Normal 10 2 4 4 2 2 3" xfId="39106" xr:uid="{00000000-0005-0000-0000-0000389C0000}"/>
    <cellStyle name="Normal 10 2 4 4 2 3" xfId="19690" xr:uid="{00000000-0005-0000-0000-0000399C0000}"/>
    <cellStyle name="Normal 10 2 4 4 2 3 2" xfId="45564" xr:uid="{00000000-0005-0000-0000-00003A9C0000}"/>
    <cellStyle name="Normal 10 2 4 4 2 4" xfId="32648" xr:uid="{00000000-0005-0000-0000-00003B9C0000}"/>
    <cellStyle name="Normal 10 2 4 4 3" xfId="10003" xr:uid="{00000000-0005-0000-0000-00003C9C0000}"/>
    <cellStyle name="Normal 10 2 4 4 3 2" xfId="22920" xr:uid="{00000000-0005-0000-0000-00003D9C0000}"/>
    <cellStyle name="Normal 10 2 4 4 3 2 2" xfId="48794" xr:uid="{00000000-0005-0000-0000-00003E9C0000}"/>
    <cellStyle name="Normal 10 2 4 4 3 3" xfId="35878" xr:uid="{00000000-0005-0000-0000-00003F9C0000}"/>
    <cellStyle name="Normal 10 2 4 4 4" xfId="16462" xr:uid="{00000000-0005-0000-0000-0000409C0000}"/>
    <cellStyle name="Normal 10 2 4 4 4 2" xfId="42336" xr:uid="{00000000-0005-0000-0000-0000419C0000}"/>
    <cellStyle name="Normal 10 2 4 4 5" xfId="29388" xr:uid="{00000000-0005-0000-0000-0000429C0000}"/>
    <cellStyle name="Normal 10 2 4 5" xfId="5158" xr:uid="{00000000-0005-0000-0000-0000439C0000}"/>
    <cellStyle name="Normal 10 2 4 5 2" xfId="11617" xr:uid="{00000000-0005-0000-0000-0000449C0000}"/>
    <cellStyle name="Normal 10 2 4 5 2 2" xfId="24534" xr:uid="{00000000-0005-0000-0000-0000459C0000}"/>
    <cellStyle name="Normal 10 2 4 5 2 2 2" xfId="50408" xr:uid="{00000000-0005-0000-0000-0000469C0000}"/>
    <cellStyle name="Normal 10 2 4 5 2 3" xfId="37492" xr:uid="{00000000-0005-0000-0000-0000479C0000}"/>
    <cellStyle name="Normal 10 2 4 5 3" xfId="18076" xr:uid="{00000000-0005-0000-0000-0000489C0000}"/>
    <cellStyle name="Normal 10 2 4 5 3 2" xfId="43950" xr:uid="{00000000-0005-0000-0000-0000499C0000}"/>
    <cellStyle name="Normal 10 2 4 5 4" xfId="31034" xr:uid="{00000000-0005-0000-0000-00004A9C0000}"/>
    <cellStyle name="Normal 10 2 4 6" xfId="8388" xr:uid="{00000000-0005-0000-0000-00004B9C0000}"/>
    <cellStyle name="Normal 10 2 4 6 2" xfId="21305" xr:uid="{00000000-0005-0000-0000-00004C9C0000}"/>
    <cellStyle name="Normal 10 2 4 6 2 2" xfId="47179" xr:uid="{00000000-0005-0000-0000-00004D9C0000}"/>
    <cellStyle name="Normal 10 2 4 6 3" xfId="34263" xr:uid="{00000000-0005-0000-0000-00004E9C0000}"/>
    <cellStyle name="Normal 10 2 4 7" xfId="14847" xr:uid="{00000000-0005-0000-0000-00004F9C0000}"/>
    <cellStyle name="Normal 10 2 4 7 2" xfId="40721" xr:uid="{00000000-0005-0000-0000-0000509C0000}"/>
    <cellStyle name="Normal 10 2 4 8" xfId="27773" xr:uid="{00000000-0005-0000-0000-0000519C0000}"/>
    <cellStyle name="Normal 10 2 4 9" xfId="53636" xr:uid="{00000000-0005-0000-0000-0000529C0000}"/>
    <cellStyle name="Normal 10 2 5" xfId="2086" xr:uid="{00000000-0005-0000-0000-0000539C0000}"/>
    <cellStyle name="Normal 10 2 5 2" xfId="2903" xr:uid="{00000000-0005-0000-0000-0000549C0000}"/>
    <cellStyle name="Normal 10 2 5 2 2" xfId="4560" xr:uid="{00000000-0005-0000-0000-0000559C0000}"/>
    <cellStyle name="Normal 10 2 5 2 2 2" xfId="7791" xr:uid="{00000000-0005-0000-0000-0000569C0000}"/>
    <cellStyle name="Normal 10 2 5 2 2 2 2" xfId="14250" xr:uid="{00000000-0005-0000-0000-0000579C0000}"/>
    <cellStyle name="Normal 10 2 5 2 2 2 2 2" xfId="27167" xr:uid="{00000000-0005-0000-0000-0000589C0000}"/>
    <cellStyle name="Normal 10 2 5 2 2 2 2 2 2" xfId="53041" xr:uid="{00000000-0005-0000-0000-0000599C0000}"/>
    <cellStyle name="Normal 10 2 5 2 2 2 2 3" xfId="40125" xr:uid="{00000000-0005-0000-0000-00005A9C0000}"/>
    <cellStyle name="Normal 10 2 5 2 2 2 3" xfId="20709" xr:uid="{00000000-0005-0000-0000-00005B9C0000}"/>
    <cellStyle name="Normal 10 2 5 2 2 2 3 2" xfId="46583" xr:uid="{00000000-0005-0000-0000-00005C9C0000}"/>
    <cellStyle name="Normal 10 2 5 2 2 2 4" xfId="33667" xr:uid="{00000000-0005-0000-0000-00005D9C0000}"/>
    <cellStyle name="Normal 10 2 5 2 2 3" xfId="11022" xr:uid="{00000000-0005-0000-0000-00005E9C0000}"/>
    <cellStyle name="Normal 10 2 5 2 2 3 2" xfId="23939" xr:uid="{00000000-0005-0000-0000-00005F9C0000}"/>
    <cellStyle name="Normal 10 2 5 2 2 3 2 2" xfId="49813" xr:uid="{00000000-0005-0000-0000-0000609C0000}"/>
    <cellStyle name="Normal 10 2 5 2 2 3 3" xfId="36897" xr:uid="{00000000-0005-0000-0000-0000619C0000}"/>
    <cellStyle name="Normal 10 2 5 2 2 4" xfId="17481" xr:uid="{00000000-0005-0000-0000-0000629C0000}"/>
    <cellStyle name="Normal 10 2 5 2 2 4 2" xfId="43355" xr:uid="{00000000-0005-0000-0000-0000639C0000}"/>
    <cellStyle name="Normal 10 2 5 2 2 5" xfId="30407" xr:uid="{00000000-0005-0000-0000-0000649C0000}"/>
    <cellStyle name="Normal 10 2 5 2 3" xfId="6177" xr:uid="{00000000-0005-0000-0000-0000659C0000}"/>
    <cellStyle name="Normal 10 2 5 2 3 2" xfId="12636" xr:uid="{00000000-0005-0000-0000-0000669C0000}"/>
    <cellStyle name="Normal 10 2 5 2 3 2 2" xfId="25553" xr:uid="{00000000-0005-0000-0000-0000679C0000}"/>
    <cellStyle name="Normal 10 2 5 2 3 2 2 2" xfId="51427" xr:uid="{00000000-0005-0000-0000-0000689C0000}"/>
    <cellStyle name="Normal 10 2 5 2 3 2 3" xfId="38511" xr:uid="{00000000-0005-0000-0000-0000699C0000}"/>
    <cellStyle name="Normal 10 2 5 2 3 3" xfId="19095" xr:uid="{00000000-0005-0000-0000-00006A9C0000}"/>
    <cellStyle name="Normal 10 2 5 2 3 3 2" xfId="44969" xr:uid="{00000000-0005-0000-0000-00006B9C0000}"/>
    <cellStyle name="Normal 10 2 5 2 3 4" xfId="32053" xr:uid="{00000000-0005-0000-0000-00006C9C0000}"/>
    <cellStyle name="Normal 10 2 5 2 4" xfId="9408" xr:uid="{00000000-0005-0000-0000-00006D9C0000}"/>
    <cellStyle name="Normal 10 2 5 2 4 2" xfId="22325" xr:uid="{00000000-0005-0000-0000-00006E9C0000}"/>
    <cellStyle name="Normal 10 2 5 2 4 2 2" xfId="48199" xr:uid="{00000000-0005-0000-0000-00006F9C0000}"/>
    <cellStyle name="Normal 10 2 5 2 4 3" xfId="35283" xr:uid="{00000000-0005-0000-0000-0000709C0000}"/>
    <cellStyle name="Normal 10 2 5 2 5" xfId="15867" xr:uid="{00000000-0005-0000-0000-0000719C0000}"/>
    <cellStyle name="Normal 10 2 5 2 5 2" xfId="41741" xr:uid="{00000000-0005-0000-0000-0000729C0000}"/>
    <cellStyle name="Normal 10 2 5 2 6" xfId="28793" xr:uid="{00000000-0005-0000-0000-0000739C0000}"/>
    <cellStyle name="Normal 10 2 5 3" xfId="3730" xr:uid="{00000000-0005-0000-0000-0000749C0000}"/>
    <cellStyle name="Normal 10 2 5 3 2" xfId="6984" xr:uid="{00000000-0005-0000-0000-0000759C0000}"/>
    <cellStyle name="Normal 10 2 5 3 2 2" xfId="13443" xr:uid="{00000000-0005-0000-0000-0000769C0000}"/>
    <cellStyle name="Normal 10 2 5 3 2 2 2" xfId="26360" xr:uid="{00000000-0005-0000-0000-0000779C0000}"/>
    <cellStyle name="Normal 10 2 5 3 2 2 2 2" xfId="52234" xr:uid="{00000000-0005-0000-0000-0000789C0000}"/>
    <cellStyle name="Normal 10 2 5 3 2 2 3" xfId="39318" xr:uid="{00000000-0005-0000-0000-0000799C0000}"/>
    <cellStyle name="Normal 10 2 5 3 2 3" xfId="19902" xr:uid="{00000000-0005-0000-0000-00007A9C0000}"/>
    <cellStyle name="Normal 10 2 5 3 2 3 2" xfId="45776" xr:uid="{00000000-0005-0000-0000-00007B9C0000}"/>
    <cellStyle name="Normal 10 2 5 3 2 4" xfId="32860" xr:uid="{00000000-0005-0000-0000-00007C9C0000}"/>
    <cellStyle name="Normal 10 2 5 3 3" xfId="10215" xr:uid="{00000000-0005-0000-0000-00007D9C0000}"/>
    <cellStyle name="Normal 10 2 5 3 3 2" xfId="23132" xr:uid="{00000000-0005-0000-0000-00007E9C0000}"/>
    <cellStyle name="Normal 10 2 5 3 3 2 2" xfId="49006" xr:uid="{00000000-0005-0000-0000-00007F9C0000}"/>
    <cellStyle name="Normal 10 2 5 3 3 3" xfId="36090" xr:uid="{00000000-0005-0000-0000-0000809C0000}"/>
    <cellStyle name="Normal 10 2 5 3 4" xfId="16674" xr:uid="{00000000-0005-0000-0000-0000819C0000}"/>
    <cellStyle name="Normal 10 2 5 3 4 2" xfId="42548" xr:uid="{00000000-0005-0000-0000-0000829C0000}"/>
    <cellStyle name="Normal 10 2 5 3 5" xfId="29600" xr:uid="{00000000-0005-0000-0000-0000839C0000}"/>
    <cellStyle name="Normal 10 2 5 4" xfId="5370" xr:uid="{00000000-0005-0000-0000-0000849C0000}"/>
    <cellStyle name="Normal 10 2 5 4 2" xfId="11829" xr:uid="{00000000-0005-0000-0000-0000859C0000}"/>
    <cellStyle name="Normal 10 2 5 4 2 2" xfId="24746" xr:uid="{00000000-0005-0000-0000-0000869C0000}"/>
    <cellStyle name="Normal 10 2 5 4 2 2 2" xfId="50620" xr:uid="{00000000-0005-0000-0000-0000879C0000}"/>
    <cellStyle name="Normal 10 2 5 4 2 3" xfId="37704" xr:uid="{00000000-0005-0000-0000-0000889C0000}"/>
    <cellStyle name="Normal 10 2 5 4 3" xfId="18288" xr:uid="{00000000-0005-0000-0000-0000899C0000}"/>
    <cellStyle name="Normal 10 2 5 4 3 2" xfId="44162" xr:uid="{00000000-0005-0000-0000-00008A9C0000}"/>
    <cellStyle name="Normal 10 2 5 4 4" xfId="31246" xr:uid="{00000000-0005-0000-0000-00008B9C0000}"/>
    <cellStyle name="Normal 10 2 5 5" xfId="8601" xr:uid="{00000000-0005-0000-0000-00008C9C0000}"/>
    <cellStyle name="Normal 10 2 5 5 2" xfId="21518" xr:uid="{00000000-0005-0000-0000-00008D9C0000}"/>
    <cellStyle name="Normal 10 2 5 5 2 2" xfId="47392" xr:uid="{00000000-0005-0000-0000-00008E9C0000}"/>
    <cellStyle name="Normal 10 2 5 5 3" xfId="34476" xr:uid="{00000000-0005-0000-0000-00008F9C0000}"/>
    <cellStyle name="Normal 10 2 5 6" xfId="15060" xr:uid="{00000000-0005-0000-0000-0000909C0000}"/>
    <cellStyle name="Normal 10 2 5 6 2" xfId="40934" xr:uid="{00000000-0005-0000-0000-0000919C0000}"/>
    <cellStyle name="Normal 10 2 5 7" xfId="27986" xr:uid="{00000000-0005-0000-0000-0000929C0000}"/>
    <cellStyle name="Normal 10 2 5 8" xfId="53848" xr:uid="{00000000-0005-0000-0000-0000939C0000}"/>
    <cellStyle name="Normal 10 2 6" xfId="2496" xr:uid="{00000000-0005-0000-0000-0000949C0000}"/>
    <cellStyle name="Normal 10 2 6 2" xfId="4153" xr:uid="{00000000-0005-0000-0000-0000959C0000}"/>
    <cellStyle name="Normal 10 2 6 2 2" xfId="7384" xr:uid="{00000000-0005-0000-0000-0000969C0000}"/>
    <cellStyle name="Normal 10 2 6 2 2 2" xfId="13843" xr:uid="{00000000-0005-0000-0000-0000979C0000}"/>
    <cellStyle name="Normal 10 2 6 2 2 2 2" xfId="26760" xr:uid="{00000000-0005-0000-0000-0000989C0000}"/>
    <cellStyle name="Normal 10 2 6 2 2 2 2 2" xfId="52634" xr:uid="{00000000-0005-0000-0000-0000999C0000}"/>
    <cellStyle name="Normal 10 2 6 2 2 2 3" xfId="39718" xr:uid="{00000000-0005-0000-0000-00009A9C0000}"/>
    <cellStyle name="Normal 10 2 6 2 2 3" xfId="20302" xr:uid="{00000000-0005-0000-0000-00009B9C0000}"/>
    <cellStyle name="Normal 10 2 6 2 2 3 2" xfId="46176" xr:uid="{00000000-0005-0000-0000-00009C9C0000}"/>
    <cellStyle name="Normal 10 2 6 2 2 4" xfId="33260" xr:uid="{00000000-0005-0000-0000-00009D9C0000}"/>
    <cellStyle name="Normal 10 2 6 2 3" xfId="10615" xr:uid="{00000000-0005-0000-0000-00009E9C0000}"/>
    <cellStyle name="Normal 10 2 6 2 3 2" xfId="23532" xr:uid="{00000000-0005-0000-0000-00009F9C0000}"/>
    <cellStyle name="Normal 10 2 6 2 3 2 2" xfId="49406" xr:uid="{00000000-0005-0000-0000-0000A09C0000}"/>
    <cellStyle name="Normal 10 2 6 2 3 3" xfId="36490" xr:uid="{00000000-0005-0000-0000-0000A19C0000}"/>
    <cellStyle name="Normal 10 2 6 2 4" xfId="17074" xr:uid="{00000000-0005-0000-0000-0000A29C0000}"/>
    <cellStyle name="Normal 10 2 6 2 4 2" xfId="42948" xr:uid="{00000000-0005-0000-0000-0000A39C0000}"/>
    <cellStyle name="Normal 10 2 6 2 5" xfId="30000" xr:uid="{00000000-0005-0000-0000-0000A49C0000}"/>
    <cellStyle name="Normal 10 2 6 3" xfId="5770" xr:uid="{00000000-0005-0000-0000-0000A59C0000}"/>
    <cellStyle name="Normal 10 2 6 3 2" xfId="12229" xr:uid="{00000000-0005-0000-0000-0000A69C0000}"/>
    <cellStyle name="Normal 10 2 6 3 2 2" xfId="25146" xr:uid="{00000000-0005-0000-0000-0000A79C0000}"/>
    <cellStyle name="Normal 10 2 6 3 2 2 2" xfId="51020" xr:uid="{00000000-0005-0000-0000-0000A89C0000}"/>
    <cellStyle name="Normal 10 2 6 3 2 3" xfId="38104" xr:uid="{00000000-0005-0000-0000-0000A99C0000}"/>
    <cellStyle name="Normal 10 2 6 3 3" xfId="18688" xr:uid="{00000000-0005-0000-0000-0000AA9C0000}"/>
    <cellStyle name="Normal 10 2 6 3 3 2" xfId="44562" xr:uid="{00000000-0005-0000-0000-0000AB9C0000}"/>
    <cellStyle name="Normal 10 2 6 3 4" xfId="31646" xr:uid="{00000000-0005-0000-0000-0000AC9C0000}"/>
    <cellStyle name="Normal 10 2 6 4" xfId="9001" xr:uid="{00000000-0005-0000-0000-0000AD9C0000}"/>
    <cellStyle name="Normal 10 2 6 4 2" xfId="21918" xr:uid="{00000000-0005-0000-0000-0000AE9C0000}"/>
    <cellStyle name="Normal 10 2 6 4 2 2" xfId="47792" xr:uid="{00000000-0005-0000-0000-0000AF9C0000}"/>
    <cellStyle name="Normal 10 2 6 4 3" xfId="34876" xr:uid="{00000000-0005-0000-0000-0000B09C0000}"/>
    <cellStyle name="Normal 10 2 6 5" xfId="15460" xr:uid="{00000000-0005-0000-0000-0000B19C0000}"/>
    <cellStyle name="Normal 10 2 6 5 2" xfId="41334" xr:uid="{00000000-0005-0000-0000-0000B29C0000}"/>
    <cellStyle name="Normal 10 2 6 6" xfId="28386" xr:uid="{00000000-0005-0000-0000-0000B39C0000}"/>
    <cellStyle name="Normal 10 2 7" xfId="3314" xr:uid="{00000000-0005-0000-0000-0000B49C0000}"/>
    <cellStyle name="Normal 10 2 7 2" xfId="6577" xr:uid="{00000000-0005-0000-0000-0000B59C0000}"/>
    <cellStyle name="Normal 10 2 7 2 2" xfId="13036" xr:uid="{00000000-0005-0000-0000-0000B69C0000}"/>
    <cellStyle name="Normal 10 2 7 2 2 2" xfId="25953" xr:uid="{00000000-0005-0000-0000-0000B79C0000}"/>
    <cellStyle name="Normal 10 2 7 2 2 2 2" xfId="51827" xr:uid="{00000000-0005-0000-0000-0000B89C0000}"/>
    <cellStyle name="Normal 10 2 7 2 2 3" xfId="38911" xr:uid="{00000000-0005-0000-0000-0000B99C0000}"/>
    <cellStyle name="Normal 10 2 7 2 3" xfId="19495" xr:uid="{00000000-0005-0000-0000-0000BA9C0000}"/>
    <cellStyle name="Normal 10 2 7 2 3 2" xfId="45369" xr:uid="{00000000-0005-0000-0000-0000BB9C0000}"/>
    <cellStyle name="Normal 10 2 7 2 4" xfId="32453" xr:uid="{00000000-0005-0000-0000-0000BC9C0000}"/>
    <cellStyle name="Normal 10 2 7 3" xfId="9808" xr:uid="{00000000-0005-0000-0000-0000BD9C0000}"/>
    <cellStyle name="Normal 10 2 7 3 2" xfId="22725" xr:uid="{00000000-0005-0000-0000-0000BE9C0000}"/>
    <cellStyle name="Normal 10 2 7 3 2 2" xfId="48599" xr:uid="{00000000-0005-0000-0000-0000BF9C0000}"/>
    <cellStyle name="Normal 10 2 7 3 3" xfId="35683" xr:uid="{00000000-0005-0000-0000-0000C09C0000}"/>
    <cellStyle name="Normal 10 2 7 4" xfId="16267" xr:uid="{00000000-0005-0000-0000-0000C19C0000}"/>
    <cellStyle name="Normal 10 2 7 4 2" xfId="42141" xr:uid="{00000000-0005-0000-0000-0000C29C0000}"/>
    <cellStyle name="Normal 10 2 7 5" xfId="29193" xr:uid="{00000000-0005-0000-0000-0000C39C0000}"/>
    <cellStyle name="Normal 10 2 8" xfId="4963" xr:uid="{00000000-0005-0000-0000-0000C49C0000}"/>
    <cellStyle name="Normal 10 2 8 2" xfId="11422" xr:uid="{00000000-0005-0000-0000-0000C59C0000}"/>
    <cellStyle name="Normal 10 2 8 2 2" xfId="24339" xr:uid="{00000000-0005-0000-0000-0000C69C0000}"/>
    <cellStyle name="Normal 10 2 8 2 2 2" xfId="50213" xr:uid="{00000000-0005-0000-0000-0000C79C0000}"/>
    <cellStyle name="Normal 10 2 8 2 3" xfId="37297" xr:uid="{00000000-0005-0000-0000-0000C89C0000}"/>
    <cellStyle name="Normal 10 2 8 3" xfId="17881" xr:uid="{00000000-0005-0000-0000-0000C99C0000}"/>
    <cellStyle name="Normal 10 2 8 3 2" xfId="43755" xr:uid="{00000000-0005-0000-0000-0000CA9C0000}"/>
    <cellStyle name="Normal 10 2 8 4" xfId="30839" xr:uid="{00000000-0005-0000-0000-0000CB9C0000}"/>
    <cellStyle name="Normal 10 2 9" xfId="8191" xr:uid="{00000000-0005-0000-0000-0000CC9C0000}"/>
    <cellStyle name="Normal 10 2 9 2" xfId="21109" xr:uid="{00000000-0005-0000-0000-0000CD9C0000}"/>
    <cellStyle name="Normal 10 2 9 2 2" xfId="46983" xr:uid="{00000000-0005-0000-0000-0000CE9C0000}"/>
    <cellStyle name="Normal 10 2 9 3" xfId="34067" xr:uid="{00000000-0005-0000-0000-0000CF9C0000}"/>
    <cellStyle name="Normal 10 3" xfId="478" xr:uid="{00000000-0005-0000-0000-0000D09C0000}"/>
    <cellStyle name="Normal 10 3 2" xfId="1477" xr:uid="{00000000-0005-0000-0000-0000D19C0000}"/>
    <cellStyle name="Normal 10 4" xfId="1301" xr:uid="{00000000-0005-0000-0000-0000D29C0000}"/>
    <cellStyle name="Normal 10 4 2" xfId="1478" xr:uid="{00000000-0005-0000-0000-0000D39C0000}"/>
    <cellStyle name="Normal 10 5" xfId="1302" xr:uid="{00000000-0005-0000-0000-0000D49C0000}"/>
    <cellStyle name="Normal 10 5 2" xfId="1303" xr:uid="{00000000-0005-0000-0000-0000D59C0000}"/>
    <cellStyle name="Normal 10 5 2 2" xfId="1304" xr:uid="{00000000-0005-0000-0000-0000D69C0000}"/>
    <cellStyle name="Normal 10 5 2 2 2" xfId="1790" xr:uid="{00000000-0005-0000-0000-0000D79C0000}"/>
    <cellStyle name="Normal 10 5 2 2 2 2" xfId="1834" xr:uid="{00000000-0005-0000-0000-0000D89C0000}"/>
    <cellStyle name="Normal 10 5 2 2 3" xfId="1812" xr:uid="{00000000-0005-0000-0000-0000D99C0000}"/>
    <cellStyle name="Normal 10 5 2 2 3 2" xfId="2026" xr:uid="{00000000-0005-0000-0000-0000DA9C0000}"/>
    <cellStyle name="Normal 10 5 2 2 3 3" xfId="2118" xr:uid="{00000000-0005-0000-0000-0000DB9C0000}"/>
    <cellStyle name="Normal 10 5 2 2 3 4" xfId="4112" xr:uid="{00000000-0005-0000-0000-0000DC9C0000}"/>
    <cellStyle name="Normal 10 5 2 2 3 4 2" xfId="3305" xr:uid="{00000000-0005-0000-0000-0000DD9C0000}"/>
    <cellStyle name="Normal 10 5 2 2 4" xfId="1823" xr:uid="{00000000-0005-0000-0000-0000DE9C0000}"/>
    <cellStyle name="Normal 10 5 2 3" xfId="1479" xr:uid="{00000000-0005-0000-0000-0000DF9C0000}"/>
    <cellStyle name="Normal 10 6" xfId="1476" xr:uid="{00000000-0005-0000-0000-0000E09C0000}"/>
    <cellStyle name="Normal 10 6 2" xfId="1877" xr:uid="{00000000-0005-0000-0000-0000E19C0000}"/>
    <cellStyle name="Normal 10 6 3" xfId="1805" xr:uid="{00000000-0005-0000-0000-0000E29C0000}"/>
    <cellStyle name="Normal 10 6 3 2" xfId="2019" xr:uid="{00000000-0005-0000-0000-0000E39C0000}"/>
    <cellStyle name="Normal 10 6 3 3" xfId="4105" xr:uid="{00000000-0005-0000-0000-0000E49C0000}"/>
    <cellStyle name="Normal 10 6 3 3 2" xfId="3397" xr:uid="{00000000-0005-0000-0000-0000E59C0000}"/>
    <cellStyle name="Normal 10 7" xfId="1298" xr:uid="{00000000-0005-0000-0000-0000E69C0000}"/>
    <cellStyle name="Normal 11" xfId="71" xr:uid="{00000000-0005-0000-0000-0000E79C0000}"/>
    <cellStyle name="Normal 11 2" xfId="1306" xr:uid="{00000000-0005-0000-0000-0000E89C0000}"/>
    <cellStyle name="Normal 11 2 2" xfId="1406" xr:uid="{00000000-0005-0000-0000-0000E99C0000}"/>
    <cellStyle name="Normal 11 2 3" xfId="1402" xr:uid="{00000000-0005-0000-0000-0000EA9C0000}"/>
    <cellStyle name="Normal 11 3" xfId="1307" xr:uid="{00000000-0005-0000-0000-0000EB9C0000}"/>
    <cellStyle name="Normal 11 3 2" xfId="1404" xr:uid="{00000000-0005-0000-0000-0000EC9C0000}"/>
    <cellStyle name="Normal 11 3 3" xfId="1403" xr:uid="{00000000-0005-0000-0000-0000ED9C0000}"/>
    <cellStyle name="Normal 11 4" xfId="1308" xr:uid="{00000000-0005-0000-0000-0000EE9C0000}"/>
    <cellStyle name="Normal 11 4 2" xfId="1309" xr:uid="{00000000-0005-0000-0000-0000EF9C0000}"/>
    <cellStyle name="Normal 11 4 2 2" xfId="1310" xr:uid="{00000000-0005-0000-0000-0000F09C0000}"/>
    <cellStyle name="Normal 11 4 2 2 2" xfId="1433" xr:uid="{00000000-0005-0000-0000-0000F19C0000}"/>
    <cellStyle name="Normal 11 4 2 2 2 2" xfId="1837" xr:uid="{00000000-0005-0000-0000-0000F29C0000}"/>
    <cellStyle name="Normal 11 4 2 2 3" xfId="1818" xr:uid="{00000000-0005-0000-0000-0000F39C0000}"/>
    <cellStyle name="Normal 11 4 2 2 3 2" xfId="2032" xr:uid="{00000000-0005-0000-0000-0000F49C0000}"/>
    <cellStyle name="Normal 11 4 2 2 3 3" xfId="2315" xr:uid="{00000000-0005-0000-0000-0000F59C0000}"/>
    <cellStyle name="Normal 11 4 2 2 3 4" xfId="4118" xr:uid="{00000000-0005-0000-0000-0000F69C0000}"/>
    <cellStyle name="Normal 11 4 2 2 3 4 2" xfId="3351" xr:uid="{00000000-0005-0000-0000-0000F79C0000}"/>
    <cellStyle name="Normal 11 4 2 2 4" xfId="1829" xr:uid="{00000000-0005-0000-0000-0000F89C0000}"/>
    <cellStyle name="Normal 11 4 2 3" xfId="1481" xr:uid="{00000000-0005-0000-0000-0000F99C0000}"/>
    <cellStyle name="Normal 11 5" xfId="1480" xr:uid="{00000000-0005-0000-0000-0000FA9C0000}"/>
    <cellStyle name="Normal 11 5 2" xfId="1878" xr:uid="{00000000-0005-0000-0000-0000FB9C0000}"/>
    <cellStyle name="Normal 11 5 3" xfId="1810" xr:uid="{00000000-0005-0000-0000-0000FC9C0000}"/>
    <cellStyle name="Normal 11 5 3 2" xfId="2024" xr:uid="{00000000-0005-0000-0000-0000FD9C0000}"/>
    <cellStyle name="Normal 11 5 3 3" xfId="4110" xr:uid="{00000000-0005-0000-0000-0000FE9C0000}"/>
    <cellStyle name="Normal 11 5 3 3 2" xfId="3366" xr:uid="{00000000-0005-0000-0000-0000FF9C0000}"/>
    <cellStyle name="Normal 11 6" xfId="1305" xr:uid="{00000000-0005-0000-0000-0000009D0000}"/>
    <cellStyle name="Normal 12" xfId="1311" xr:uid="{00000000-0005-0000-0000-0000019D0000}"/>
    <cellStyle name="Normal 12 10" xfId="14648" xr:uid="{00000000-0005-0000-0000-0000029D0000}"/>
    <cellStyle name="Normal 12 10 2" xfId="40522" xr:uid="{00000000-0005-0000-0000-0000039D0000}"/>
    <cellStyle name="Normal 12 11" xfId="27568" xr:uid="{00000000-0005-0000-0000-0000049D0000}"/>
    <cellStyle name="Normal 12 12" xfId="53438" xr:uid="{00000000-0005-0000-0000-0000059D0000}"/>
    <cellStyle name="Normal 12 2" xfId="1312" xr:uid="{00000000-0005-0000-0000-0000069D0000}"/>
    <cellStyle name="Normal 12 2 10" xfId="27602" xr:uid="{00000000-0005-0000-0000-0000079D0000}"/>
    <cellStyle name="Normal 12 2 11" xfId="53468" xr:uid="{00000000-0005-0000-0000-0000089D0000}"/>
    <cellStyle name="Normal 12 2 2" xfId="1730" xr:uid="{00000000-0005-0000-0000-0000099D0000}"/>
    <cellStyle name="Normal 12 2 2 10" xfId="53589" xr:uid="{00000000-0005-0000-0000-00000A9D0000}"/>
    <cellStyle name="Normal 12 2 2 2" xfId="1998" xr:uid="{00000000-0005-0000-0000-00000B9D0000}"/>
    <cellStyle name="Normal 12 2 2 2 2" xfId="2429" xr:uid="{00000000-0005-0000-0000-00000C9D0000}"/>
    <cellStyle name="Normal 12 2 2 2 2 2" xfId="3242" xr:uid="{00000000-0005-0000-0000-00000D9D0000}"/>
    <cellStyle name="Normal 12 2 2 2 2 2 2" xfId="4899" xr:uid="{00000000-0005-0000-0000-00000E9D0000}"/>
    <cellStyle name="Normal 12 2 2 2 2 2 2 2" xfId="8130" xr:uid="{00000000-0005-0000-0000-00000F9D0000}"/>
    <cellStyle name="Normal 12 2 2 2 2 2 2 2 2" xfId="14589" xr:uid="{00000000-0005-0000-0000-0000109D0000}"/>
    <cellStyle name="Normal 12 2 2 2 2 2 2 2 2 2" xfId="27506" xr:uid="{00000000-0005-0000-0000-0000119D0000}"/>
    <cellStyle name="Normal 12 2 2 2 2 2 2 2 2 2 2" xfId="53380" xr:uid="{00000000-0005-0000-0000-0000129D0000}"/>
    <cellStyle name="Normal 12 2 2 2 2 2 2 2 2 3" xfId="40464" xr:uid="{00000000-0005-0000-0000-0000139D0000}"/>
    <cellStyle name="Normal 12 2 2 2 2 2 2 2 3" xfId="21048" xr:uid="{00000000-0005-0000-0000-0000149D0000}"/>
    <cellStyle name="Normal 12 2 2 2 2 2 2 2 3 2" xfId="46922" xr:uid="{00000000-0005-0000-0000-0000159D0000}"/>
    <cellStyle name="Normal 12 2 2 2 2 2 2 2 4" xfId="34006" xr:uid="{00000000-0005-0000-0000-0000169D0000}"/>
    <cellStyle name="Normal 12 2 2 2 2 2 2 3" xfId="11361" xr:uid="{00000000-0005-0000-0000-0000179D0000}"/>
    <cellStyle name="Normal 12 2 2 2 2 2 2 3 2" xfId="24278" xr:uid="{00000000-0005-0000-0000-0000189D0000}"/>
    <cellStyle name="Normal 12 2 2 2 2 2 2 3 2 2" xfId="50152" xr:uid="{00000000-0005-0000-0000-0000199D0000}"/>
    <cellStyle name="Normal 12 2 2 2 2 2 2 3 3" xfId="37236" xr:uid="{00000000-0005-0000-0000-00001A9D0000}"/>
    <cellStyle name="Normal 12 2 2 2 2 2 2 4" xfId="17820" xr:uid="{00000000-0005-0000-0000-00001B9D0000}"/>
    <cellStyle name="Normal 12 2 2 2 2 2 2 4 2" xfId="43694" xr:uid="{00000000-0005-0000-0000-00001C9D0000}"/>
    <cellStyle name="Normal 12 2 2 2 2 2 2 5" xfId="30746" xr:uid="{00000000-0005-0000-0000-00001D9D0000}"/>
    <cellStyle name="Normal 12 2 2 2 2 2 3" xfId="6516" xr:uid="{00000000-0005-0000-0000-00001E9D0000}"/>
    <cellStyle name="Normal 12 2 2 2 2 2 3 2" xfId="12975" xr:uid="{00000000-0005-0000-0000-00001F9D0000}"/>
    <cellStyle name="Normal 12 2 2 2 2 2 3 2 2" xfId="25892" xr:uid="{00000000-0005-0000-0000-0000209D0000}"/>
    <cellStyle name="Normal 12 2 2 2 2 2 3 2 2 2" xfId="51766" xr:uid="{00000000-0005-0000-0000-0000219D0000}"/>
    <cellStyle name="Normal 12 2 2 2 2 2 3 2 3" xfId="38850" xr:uid="{00000000-0005-0000-0000-0000229D0000}"/>
    <cellStyle name="Normal 12 2 2 2 2 2 3 3" xfId="19434" xr:uid="{00000000-0005-0000-0000-0000239D0000}"/>
    <cellStyle name="Normal 12 2 2 2 2 2 3 3 2" xfId="45308" xr:uid="{00000000-0005-0000-0000-0000249D0000}"/>
    <cellStyle name="Normal 12 2 2 2 2 2 3 4" xfId="32392" xr:uid="{00000000-0005-0000-0000-0000259D0000}"/>
    <cellStyle name="Normal 12 2 2 2 2 2 4" xfId="9747" xr:uid="{00000000-0005-0000-0000-0000269D0000}"/>
    <cellStyle name="Normal 12 2 2 2 2 2 4 2" xfId="22664" xr:uid="{00000000-0005-0000-0000-0000279D0000}"/>
    <cellStyle name="Normal 12 2 2 2 2 2 4 2 2" xfId="48538" xr:uid="{00000000-0005-0000-0000-0000289D0000}"/>
    <cellStyle name="Normal 12 2 2 2 2 2 4 3" xfId="35622" xr:uid="{00000000-0005-0000-0000-0000299D0000}"/>
    <cellStyle name="Normal 12 2 2 2 2 2 5" xfId="16206" xr:uid="{00000000-0005-0000-0000-00002A9D0000}"/>
    <cellStyle name="Normal 12 2 2 2 2 2 5 2" xfId="42080" xr:uid="{00000000-0005-0000-0000-00002B9D0000}"/>
    <cellStyle name="Normal 12 2 2 2 2 2 6" xfId="29132" xr:uid="{00000000-0005-0000-0000-00002C9D0000}"/>
    <cellStyle name="Normal 12 2 2 2 2 3" xfId="4069" xr:uid="{00000000-0005-0000-0000-00002D9D0000}"/>
    <cellStyle name="Normal 12 2 2 2 2 3 2" xfId="7323" xr:uid="{00000000-0005-0000-0000-00002E9D0000}"/>
    <cellStyle name="Normal 12 2 2 2 2 3 2 2" xfId="13782" xr:uid="{00000000-0005-0000-0000-00002F9D0000}"/>
    <cellStyle name="Normal 12 2 2 2 2 3 2 2 2" xfId="26699" xr:uid="{00000000-0005-0000-0000-0000309D0000}"/>
    <cellStyle name="Normal 12 2 2 2 2 3 2 2 2 2" xfId="52573" xr:uid="{00000000-0005-0000-0000-0000319D0000}"/>
    <cellStyle name="Normal 12 2 2 2 2 3 2 2 3" xfId="39657" xr:uid="{00000000-0005-0000-0000-0000329D0000}"/>
    <cellStyle name="Normal 12 2 2 2 2 3 2 3" xfId="20241" xr:uid="{00000000-0005-0000-0000-0000339D0000}"/>
    <cellStyle name="Normal 12 2 2 2 2 3 2 3 2" xfId="46115" xr:uid="{00000000-0005-0000-0000-0000349D0000}"/>
    <cellStyle name="Normal 12 2 2 2 2 3 2 4" xfId="33199" xr:uid="{00000000-0005-0000-0000-0000359D0000}"/>
    <cellStyle name="Normal 12 2 2 2 2 3 3" xfId="10554" xr:uid="{00000000-0005-0000-0000-0000369D0000}"/>
    <cellStyle name="Normal 12 2 2 2 2 3 3 2" xfId="23471" xr:uid="{00000000-0005-0000-0000-0000379D0000}"/>
    <cellStyle name="Normal 12 2 2 2 2 3 3 2 2" xfId="49345" xr:uid="{00000000-0005-0000-0000-0000389D0000}"/>
    <cellStyle name="Normal 12 2 2 2 2 3 3 3" xfId="36429" xr:uid="{00000000-0005-0000-0000-0000399D0000}"/>
    <cellStyle name="Normal 12 2 2 2 2 3 4" xfId="17013" xr:uid="{00000000-0005-0000-0000-00003A9D0000}"/>
    <cellStyle name="Normal 12 2 2 2 2 3 4 2" xfId="42887" xr:uid="{00000000-0005-0000-0000-00003B9D0000}"/>
    <cellStyle name="Normal 12 2 2 2 2 3 5" xfId="29939" xr:uid="{00000000-0005-0000-0000-00003C9D0000}"/>
    <cellStyle name="Normal 12 2 2 2 2 4" xfId="5709" xr:uid="{00000000-0005-0000-0000-00003D9D0000}"/>
    <cellStyle name="Normal 12 2 2 2 2 4 2" xfId="12168" xr:uid="{00000000-0005-0000-0000-00003E9D0000}"/>
    <cellStyle name="Normal 12 2 2 2 2 4 2 2" xfId="25085" xr:uid="{00000000-0005-0000-0000-00003F9D0000}"/>
    <cellStyle name="Normal 12 2 2 2 2 4 2 2 2" xfId="50959" xr:uid="{00000000-0005-0000-0000-0000409D0000}"/>
    <cellStyle name="Normal 12 2 2 2 2 4 2 3" xfId="38043" xr:uid="{00000000-0005-0000-0000-0000419D0000}"/>
    <cellStyle name="Normal 12 2 2 2 2 4 3" xfId="18627" xr:uid="{00000000-0005-0000-0000-0000429D0000}"/>
    <cellStyle name="Normal 12 2 2 2 2 4 3 2" xfId="44501" xr:uid="{00000000-0005-0000-0000-0000439D0000}"/>
    <cellStyle name="Normal 12 2 2 2 2 4 4" xfId="31585" xr:uid="{00000000-0005-0000-0000-0000449D0000}"/>
    <cellStyle name="Normal 12 2 2 2 2 5" xfId="8940" xr:uid="{00000000-0005-0000-0000-0000459D0000}"/>
    <cellStyle name="Normal 12 2 2 2 2 5 2" xfId="21857" xr:uid="{00000000-0005-0000-0000-0000469D0000}"/>
    <cellStyle name="Normal 12 2 2 2 2 5 2 2" xfId="47731" xr:uid="{00000000-0005-0000-0000-0000479D0000}"/>
    <cellStyle name="Normal 12 2 2 2 2 5 3" xfId="34815" xr:uid="{00000000-0005-0000-0000-0000489D0000}"/>
    <cellStyle name="Normal 12 2 2 2 2 6" xfId="15399" xr:uid="{00000000-0005-0000-0000-0000499D0000}"/>
    <cellStyle name="Normal 12 2 2 2 2 6 2" xfId="41273" xr:uid="{00000000-0005-0000-0000-00004A9D0000}"/>
    <cellStyle name="Normal 12 2 2 2 2 7" xfId="28325" xr:uid="{00000000-0005-0000-0000-00004B9D0000}"/>
    <cellStyle name="Normal 12 2 2 2 2 8" xfId="54187" xr:uid="{00000000-0005-0000-0000-00004C9D0000}"/>
    <cellStyle name="Normal 12 2 2 2 3" xfId="2838" xr:uid="{00000000-0005-0000-0000-00004D9D0000}"/>
    <cellStyle name="Normal 12 2 2 2 3 2" xfId="4495" xr:uid="{00000000-0005-0000-0000-00004E9D0000}"/>
    <cellStyle name="Normal 12 2 2 2 3 2 2" xfId="7726" xr:uid="{00000000-0005-0000-0000-00004F9D0000}"/>
    <cellStyle name="Normal 12 2 2 2 3 2 2 2" xfId="14185" xr:uid="{00000000-0005-0000-0000-0000509D0000}"/>
    <cellStyle name="Normal 12 2 2 2 3 2 2 2 2" xfId="27102" xr:uid="{00000000-0005-0000-0000-0000519D0000}"/>
    <cellStyle name="Normal 12 2 2 2 3 2 2 2 2 2" xfId="52976" xr:uid="{00000000-0005-0000-0000-0000529D0000}"/>
    <cellStyle name="Normal 12 2 2 2 3 2 2 2 3" xfId="40060" xr:uid="{00000000-0005-0000-0000-0000539D0000}"/>
    <cellStyle name="Normal 12 2 2 2 3 2 2 3" xfId="20644" xr:uid="{00000000-0005-0000-0000-0000549D0000}"/>
    <cellStyle name="Normal 12 2 2 2 3 2 2 3 2" xfId="46518" xr:uid="{00000000-0005-0000-0000-0000559D0000}"/>
    <cellStyle name="Normal 12 2 2 2 3 2 2 4" xfId="33602" xr:uid="{00000000-0005-0000-0000-0000569D0000}"/>
    <cellStyle name="Normal 12 2 2 2 3 2 3" xfId="10957" xr:uid="{00000000-0005-0000-0000-0000579D0000}"/>
    <cellStyle name="Normal 12 2 2 2 3 2 3 2" xfId="23874" xr:uid="{00000000-0005-0000-0000-0000589D0000}"/>
    <cellStyle name="Normal 12 2 2 2 3 2 3 2 2" xfId="49748" xr:uid="{00000000-0005-0000-0000-0000599D0000}"/>
    <cellStyle name="Normal 12 2 2 2 3 2 3 3" xfId="36832" xr:uid="{00000000-0005-0000-0000-00005A9D0000}"/>
    <cellStyle name="Normal 12 2 2 2 3 2 4" xfId="17416" xr:uid="{00000000-0005-0000-0000-00005B9D0000}"/>
    <cellStyle name="Normal 12 2 2 2 3 2 4 2" xfId="43290" xr:uid="{00000000-0005-0000-0000-00005C9D0000}"/>
    <cellStyle name="Normal 12 2 2 2 3 2 5" xfId="30342" xr:uid="{00000000-0005-0000-0000-00005D9D0000}"/>
    <cellStyle name="Normal 12 2 2 2 3 3" xfId="6112" xr:uid="{00000000-0005-0000-0000-00005E9D0000}"/>
    <cellStyle name="Normal 12 2 2 2 3 3 2" xfId="12571" xr:uid="{00000000-0005-0000-0000-00005F9D0000}"/>
    <cellStyle name="Normal 12 2 2 2 3 3 2 2" xfId="25488" xr:uid="{00000000-0005-0000-0000-0000609D0000}"/>
    <cellStyle name="Normal 12 2 2 2 3 3 2 2 2" xfId="51362" xr:uid="{00000000-0005-0000-0000-0000619D0000}"/>
    <cellStyle name="Normal 12 2 2 2 3 3 2 3" xfId="38446" xr:uid="{00000000-0005-0000-0000-0000629D0000}"/>
    <cellStyle name="Normal 12 2 2 2 3 3 3" xfId="19030" xr:uid="{00000000-0005-0000-0000-0000639D0000}"/>
    <cellStyle name="Normal 12 2 2 2 3 3 3 2" xfId="44904" xr:uid="{00000000-0005-0000-0000-0000649D0000}"/>
    <cellStyle name="Normal 12 2 2 2 3 3 4" xfId="31988" xr:uid="{00000000-0005-0000-0000-0000659D0000}"/>
    <cellStyle name="Normal 12 2 2 2 3 4" xfId="9343" xr:uid="{00000000-0005-0000-0000-0000669D0000}"/>
    <cellStyle name="Normal 12 2 2 2 3 4 2" xfId="22260" xr:uid="{00000000-0005-0000-0000-0000679D0000}"/>
    <cellStyle name="Normal 12 2 2 2 3 4 2 2" xfId="48134" xr:uid="{00000000-0005-0000-0000-0000689D0000}"/>
    <cellStyle name="Normal 12 2 2 2 3 4 3" xfId="35218" xr:uid="{00000000-0005-0000-0000-0000699D0000}"/>
    <cellStyle name="Normal 12 2 2 2 3 5" xfId="15802" xr:uid="{00000000-0005-0000-0000-00006A9D0000}"/>
    <cellStyle name="Normal 12 2 2 2 3 5 2" xfId="41676" xr:uid="{00000000-0005-0000-0000-00006B9D0000}"/>
    <cellStyle name="Normal 12 2 2 2 3 6" xfId="28728" xr:uid="{00000000-0005-0000-0000-00006C9D0000}"/>
    <cellStyle name="Normal 12 2 2 2 4" xfId="3665" xr:uid="{00000000-0005-0000-0000-00006D9D0000}"/>
    <cellStyle name="Normal 12 2 2 2 4 2" xfId="6919" xr:uid="{00000000-0005-0000-0000-00006E9D0000}"/>
    <cellStyle name="Normal 12 2 2 2 4 2 2" xfId="13378" xr:uid="{00000000-0005-0000-0000-00006F9D0000}"/>
    <cellStyle name="Normal 12 2 2 2 4 2 2 2" xfId="26295" xr:uid="{00000000-0005-0000-0000-0000709D0000}"/>
    <cellStyle name="Normal 12 2 2 2 4 2 2 2 2" xfId="52169" xr:uid="{00000000-0005-0000-0000-0000719D0000}"/>
    <cellStyle name="Normal 12 2 2 2 4 2 2 3" xfId="39253" xr:uid="{00000000-0005-0000-0000-0000729D0000}"/>
    <cellStyle name="Normal 12 2 2 2 4 2 3" xfId="19837" xr:uid="{00000000-0005-0000-0000-0000739D0000}"/>
    <cellStyle name="Normal 12 2 2 2 4 2 3 2" xfId="45711" xr:uid="{00000000-0005-0000-0000-0000749D0000}"/>
    <cellStyle name="Normal 12 2 2 2 4 2 4" xfId="32795" xr:uid="{00000000-0005-0000-0000-0000759D0000}"/>
    <cellStyle name="Normal 12 2 2 2 4 3" xfId="10150" xr:uid="{00000000-0005-0000-0000-0000769D0000}"/>
    <cellStyle name="Normal 12 2 2 2 4 3 2" xfId="23067" xr:uid="{00000000-0005-0000-0000-0000779D0000}"/>
    <cellStyle name="Normal 12 2 2 2 4 3 2 2" xfId="48941" xr:uid="{00000000-0005-0000-0000-0000789D0000}"/>
    <cellStyle name="Normal 12 2 2 2 4 3 3" xfId="36025" xr:uid="{00000000-0005-0000-0000-0000799D0000}"/>
    <cellStyle name="Normal 12 2 2 2 4 4" xfId="16609" xr:uid="{00000000-0005-0000-0000-00007A9D0000}"/>
    <cellStyle name="Normal 12 2 2 2 4 4 2" xfId="42483" xr:uid="{00000000-0005-0000-0000-00007B9D0000}"/>
    <cellStyle name="Normal 12 2 2 2 4 5" xfId="29535" xr:uid="{00000000-0005-0000-0000-00007C9D0000}"/>
    <cellStyle name="Normal 12 2 2 2 5" xfId="5305" xr:uid="{00000000-0005-0000-0000-00007D9D0000}"/>
    <cellStyle name="Normal 12 2 2 2 5 2" xfId="11764" xr:uid="{00000000-0005-0000-0000-00007E9D0000}"/>
    <cellStyle name="Normal 12 2 2 2 5 2 2" xfId="24681" xr:uid="{00000000-0005-0000-0000-00007F9D0000}"/>
    <cellStyle name="Normal 12 2 2 2 5 2 2 2" xfId="50555" xr:uid="{00000000-0005-0000-0000-0000809D0000}"/>
    <cellStyle name="Normal 12 2 2 2 5 2 3" xfId="37639" xr:uid="{00000000-0005-0000-0000-0000819D0000}"/>
    <cellStyle name="Normal 12 2 2 2 5 3" xfId="18223" xr:uid="{00000000-0005-0000-0000-0000829D0000}"/>
    <cellStyle name="Normal 12 2 2 2 5 3 2" xfId="44097" xr:uid="{00000000-0005-0000-0000-0000839D0000}"/>
    <cellStyle name="Normal 12 2 2 2 5 4" xfId="31181" xr:uid="{00000000-0005-0000-0000-0000849D0000}"/>
    <cellStyle name="Normal 12 2 2 2 6" xfId="8536" xr:uid="{00000000-0005-0000-0000-0000859D0000}"/>
    <cellStyle name="Normal 12 2 2 2 6 2" xfId="21453" xr:uid="{00000000-0005-0000-0000-0000869D0000}"/>
    <cellStyle name="Normal 12 2 2 2 6 2 2" xfId="47327" xr:uid="{00000000-0005-0000-0000-0000879D0000}"/>
    <cellStyle name="Normal 12 2 2 2 6 3" xfId="34411" xr:uid="{00000000-0005-0000-0000-0000889D0000}"/>
    <cellStyle name="Normal 12 2 2 2 7" xfId="14995" xr:uid="{00000000-0005-0000-0000-0000899D0000}"/>
    <cellStyle name="Normal 12 2 2 2 7 2" xfId="40869" xr:uid="{00000000-0005-0000-0000-00008A9D0000}"/>
    <cellStyle name="Normal 12 2 2 2 8" xfId="27920" xr:uid="{00000000-0005-0000-0000-00008B9D0000}"/>
    <cellStyle name="Normal 12 2 2 2 9" xfId="53783" xr:uid="{00000000-0005-0000-0000-00008C9D0000}"/>
    <cellStyle name="Normal 12 2 2 3" xfId="2233" xr:uid="{00000000-0005-0000-0000-00008D9D0000}"/>
    <cellStyle name="Normal 12 2 2 3 2" xfId="3047" xr:uid="{00000000-0005-0000-0000-00008E9D0000}"/>
    <cellStyle name="Normal 12 2 2 3 2 2" xfId="4704" xr:uid="{00000000-0005-0000-0000-00008F9D0000}"/>
    <cellStyle name="Normal 12 2 2 3 2 2 2" xfId="7935" xr:uid="{00000000-0005-0000-0000-0000909D0000}"/>
    <cellStyle name="Normal 12 2 2 3 2 2 2 2" xfId="14394" xr:uid="{00000000-0005-0000-0000-0000919D0000}"/>
    <cellStyle name="Normal 12 2 2 3 2 2 2 2 2" xfId="27311" xr:uid="{00000000-0005-0000-0000-0000929D0000}"/>
    <cellStyle name="Normal 12 2 2 3 2 2 2 2 2 2" xfId="53185" xr:uid="{00000000-0005-0000-0000-0000939D0000}"/>
    <cellStyle name="Normal 12 2 2 3 2 2 2 2 3" xfId="40269" xr:uid="{00000000-0005-0000-0000-0000949D0000}"/>
    <cellStyle name="Normal 12 2 2 3 2 2 2 3" xfId="20853" xr:uid="{00000000-0005-0000-0000-0000959D0000}"/>
    <cellStyle name="Normal 12 2 2 3 2 2 2 3 2" xfId="46727" xr:uid="{00000000-0005-0000-0000-0000969D0000}"/>
    <cellStyle name="Normal 12 2 2 3 2 2 2 4" xfId="33811" xr:uid="{00000000-0005-0000-0000-0000979D0000}"/>
    <cellStyle name="Normal 12 2 2 3 2 2 3" xfId="11166" xr:uid="{00000000-0005-0000-0000-0000989D0000}"/>
    <cellStyle name="Normal 12 2 2 3 2 2 3 2" xfId="24083" xr:uid="{00000000-0005-0000-0000-0000999D0000}"/>
    <cellStyle name="Normal 12 2 2 3 2 2 3 2 2" xfId="49957" xr:uid="{00000000-0005-0000-0000-00009A9D0000}"/>
    <cellStyle name="Normal 12 2 2 3 2 2 3 3" xfId="37041" xr:uid="{00000000-0005-0000-0000-00009B9D0000}"/>
    <cellStyle name="Normal 12 2 2 3 2 2 4" xfId="17625" xr:uid="{00000000-0005-0000-0000-00009C9D0000}"/>
    <cellStyle name="Normal 12 2 2 3 2 2 4 2" xfId="43499" xr:uid="{00000000-0005-0000-0000-00009D9D0000}"/>
    <cellStyle name="Normal 12 2 2 3 2 2 5" xfId="30551" xr:uid="{00000000-0005-0000-0000-00009E9D0000}"/>
    <cellStyle name="Normal 12 2 2 3 2 3" xfId="6321" xr:uid="{00000000-0005-0000-0000-00009F9D0000}"/>
    <cellStyle name="Normal 12 2 2 3 2 3 2" xfId="12780" xr:uid="{00000000-0005-0000-0000-0000A09D0000}"/>
    <cellStyle name="Normal 12 2 2 3 2 3 2 2" xfId="25697" xr:uid="{00000000-0005-0000-0000-0000A19D0000}"/>
    <cellStyle name="Normal 12 2 2 3 2 3 2 2 2" xfId="51571" xr:uid="{00000000-0005-0000-0000-0000A29D0000}"/>
    <cellStyle name="Normal 12 2 2 3 2 3 2 3" xfId="38655" xr:uid="{00000000-0005-0000-0000-0000A39D0000}"/>
    <cellStyle name="Normal 12 2 2 3 2 3 3" xfId="19239" xr:uid="{00000000-0005-0000-0000-0000A49D0000}"/>
    <cellStyle name="Normal 12 2 2 3 2 3 3 2" xfId="45113" xr:uid="{00000000-0005-0000-0000-0000A59D0000}"/>
    <cellStyle name="Normal 12 2 2 3 2 3 4" xfId="32197" xr:uid="{00000000-0005-0000-0000-0000A69D0000}"/>
    <cellStyle name="Normal 12 2 2 3 2 4" xfId="9552" xr:uid="{00000000-0005-0000-0000-0000A79D0000}"/>
    <cellStyle name="Normal 12 2 2 3 2 4 2" xfId="22469" xr:uid="{00000000-0005-0000-0000-0000A89D0000}"/>
    <cellStyle name="Normal 12 2 2 3 2 4 2 2" xfId="48343" xr:uid="{00000000-0005-0000-0000-0000A99D0000}"/>
    <cellStyle name="Normal 12 2 2 3 2 4 3" xfId="35427" xr:uid="{00000000-0005-0000-0000-0000AA9D0000}"/>
    <cellStyle name="Normal 12 2 2 3 2 5" xfId="16011" xr:uid="{00000000-0005-0000-0000-0000AB9D0000}"/>
    <cellStyle name="Normal 12 2 2 3 2 5 2" xfId="41885" xr:uid="{00000000-0005-0000-0000-0000AC9D0000}"/>
    <cellStyle name="Normal 12 2 2 3 2 6" xfId="28937" xr:uid="{00000000-0005-0000-0000-0000AD9D0000}"/>
    <cellStyle name="Normal 12 2 2 3 3" xfId="3874" xr:uid="{00000000-0005-0000-0000-0000AE9D0000}"/>
    <cellStyle name="Normal 12 2 2 3 3 2" xfId="7128" xr:uid="{00000000-0005-0000-0000-0000AF9D0000}"/>
    <cellStyle name="Normal 12 2 2 3 3 2 2" xfId="13587" xr:uid="{00000000-0005-0000-0000-0000B09D0000}"/>
    <cellStyle name="Normal 12 2 2 3 3 2 2 2" xfId="26504" xr:uid="{00000000-0005-0000-0000-0000B19D0000}"/>
    <cellStyle name="Normal 12 2 2 3 3 2 2 2 2" xfId="52378" xr:uid="{00000000-0005-0000-0000-0000B29D0000}"/>
    <cellStyle name="Normal 12 2 2 3 3 2 2 3" xfId="39462" xr:uid="{00000000-0005-0000-0000-0000B39D0000}"/>
    <cellStyle name="Normal 12 2 2 3 3 2 3" xfId="20046" xr:uid="{00000000-0005-0000-0000-0000B49D0000}"/>
    <cellStyle name="Normal 12 2 2 3 3 2 3 2" xfId="45920" xr:uid="{00000000-0005-0000-0000-0000B59D0000}"/>
    <cellStyle name="Normal 12 2 2 3 3 2 4" xfId="33004" xr:uid="{00000000-0005-0000-0000-0000B69D0000}"/>
    <cellStyle name="Normal 12 2 2 3 3 3" xfId="10359" xr:uid="{00000000-0005-0000-0000-0000B79D0000}"/>
    <cellStyle name="Normal 12 2 2 3 3 3 2" xfId="23276" xr:uid="{00000000-0005-0000-0000-0000B89D0000}"/>
    <cellStyle name="Normal 12 2 2 3 3 3 2 2" xfId="49150" xr:uid="{00000000-0005-0000-0000-0000B99D0000}"/>
    <cellStyle name="Normal 12 2 2 3 3 3 3" xfId="36234" xr:uid="{00000000-0005-0000-0000-0000BA9D0000}"/>
    <cellStyle name="Normal 12 2 2 3 3 4" xfId="16818" xr:uid="{00000000-0005-0000-0000-0000BB9D0000}"/>
    <cellStyle name="Normal 12 2 2 3 3 4 2" xfId="42692" xr:uid="{00000000-0005-0000-0000-0000BC9D0000}"/>
    <cellStyle name="Normal 12 2 2 3 3 5" xfId="29744" xr:uid="{00000000-0005-0000-0000-0000BD9D0000}"/>
    <cellStyle name="Normal 12 2 2 3 4" xfId="5514" xr:uid="{00000000-0005-0000-0000-0000BE9D0000}"/>
    <cellStyle name="Normal 12 2 2 3 4 2" xfId="11973" xr:uid="{00000000-0005-0000-0000-0000BF9D0000}"/>
    <cellStyle name="Normal 12 2 2 3 4 2 2" xfId="24890" xr:uid="{00000000-0005-0000-0000-0000C09D0000}"/>
    <cellStyle name="Normal 12 2 2 3 4 2 2 2" xfId="50764" xr:uid="{00000000-0005-0000-0000-0000C19D0000}"/>
    <cellStyle name="Normal 12 2 2 3 4 2 3" xfId="37848" xr:uid="{00000000-0005-0000-0000-0000C29D0000}"/>
    <cellStyle name="Normal 12 2 2 3 4 3" xfId="18432" xr:uid="{00000000-0005-0000-0000-0000C39D0000}"/>
    <cellStyle name="Normal 12 2 2 3 4 3 2" xfId="44306" xr:uid="{00000000-0005-0000-0000-0000C49D0000}"/>
    <cellStyle name="Normal 12 2 2 3 4 4" xfId="31390" xr:uid="{00000000-0005-0000-0000-0000C59D0000}"/>
    <cellStyle name="Normal 12 2 2 3 5" xfId="8745" xr:uid="{00000000-0005-0000-0000-0000C69D0000}"/>
    <cellStyle name="Normal 12 2 2 3 5 2" xfId="21662" xr:uid="{00000000-0005-0000-0000-0000C79D0000}"/>
    <cellStyle name="Normal 12 2 2 3 5 2 2" xfId="47536" xr:uid="{00000000-0005-0000-0000-0000C89D0000}"/>
    <cellStyle name="Normal 12 2 2 3 5 3" xfId="34620" xr:uid="{00000000-0005-0000-0000-0000C99D0000}"/>
    <cellStyle name="Normal 12 2 2 3 6" xfId="15204" xr:uid="{00000000-0005-0000-0000-0000CA9D0000}"/>
    <cellStyle name="Normal 12 2 2 3 6 2" xfId="41078" xr:uid="{00000000-0005-0000-0000-0000CB9D0000}"/>
    <cellStyle name="Normal 12 2 2 3 7" xfId="28130" xr:uid="{00000000-0005-0000-0000-0000CC9D0000}"/>
    <cellStyle name="Normal 12 2 2 3 8" xfId="53992" xr:uid="{00000000-0005-0000-0000-0000CD9D0000}"/>
    <cellStyle name="Normal 12 2 2 4" xfId="2644" xr:uid="{00000000-0005-0000-0000-0000CE9D0000}"/>
    <cellStyle name="Normal 12 2 2 4 2" xfId="4301" xr:uid="{00000000-0005-0000-0000-0000CF9D0000}"/>
    <cellStyle name="Normal 12 2 2 4 2 2" xfId="7532" xr:uid="{00000000-0005-0000-0000-0000D09D0000}"/>
    <cellStyle name="Normal 12 2 2 4 2 2 2" xfId="13991" xr:uid="{00000000-0005-0000-0000-0000D19D0000}"/>
    <cellStyle name="Normal 12 2 2 4 2 2 2 2" xfId="26908" xr:uid="{00000000-0005-0000-0000-0000D29D0000}"/>
    <cellStyle name="Normal 12 2 2 4 2 2 2 2 2" xfId="52782" xr:uid="{00000000-0005-0000-0000-0000D39D0000}"/>
    <cellStyle name="Normal 12 2 2 4 2 2 2 3" xfId="39866" xr:uid="{00000000-0005-0000-0000-0000D49D0000}"/>
    <cellStyle name="Normal 12 2 2 4 2 2 3" xfId="20450" xr:uid="{00000000-0005-0000-0000-0000D59D0000}"/>
    <cellStyle name="Normal 12 2 2 4 2 2 3 2" xfId="46324" xr:uid="{00000000-0005-0000-0000-0000D69D0000}"/>
    <cellStyle name="Normal 12 2 2 4 2 2 4" xfId="33408" xr:uid="{00000000-0005-0000-0000-0000D79D0000}"/>
    <cellStyle name="Normal 12 2 2 4 2 3" xfId="10763" xr:uid="{00000000-0005-0000-0000-0000D89D0000}"/>
    <cellStyle name="Normal 12 2 2 4 2 3 2" xfId="23680" xr:uid="{00000000-0005-0000-0000-0000D99D0000}"/>
    <cellStyle name="Normal 12 2 2 4 2 3 2 2" xfId="49554" xr:uid="{00000000-0005-0000-0000-0000DA9D0000}"/>
    <cellStyle name="Normal 12 2 2 4 2 3 3" xfId="36638" xr:uid="{00000000-0005-0000-0000-0000DB9D0000}"/>
    <cellStyle name="Normal 12 2 2 4 2 4" xfId="17222" xr:uid="{00000000-0005-0000-0000-0000DC9D0000}"/>
    <cellStyle name="Normal 12 2 2 4 2 4 2" xfId="43096" xr:uid="{00000000-0005-0000-0000-0000DD9D0000}"/>
    <cellStyle name="Normal 12 2 2 4 2 5" xfId="30148" xr:uid="{00000000-0005-0000-0000-0000DE9D0000}"/>
    <cellStyle name="Normal 12 2 2 4 3" xfId="5918" xr:uid="{00000000-0005-0000-0000-0000DF9D0000}"/>
    <cellStyle name="Normal 12 2 2 4 3 2" xfId="12377" xr:uid="{00000000-0005-0000-0000-0000E09D0000}"/>
    <cellStyle name="Normal 12 2 2 4 3 2 2" xfId="25294" xr:uid="{00000000-0005-0000-0000-0000E19D0000}"/>
    <cellStyle name="Normal 12 2 2 4 3 2 2 2" xfId="51168" xr:uid="{00000000-0005-0000-0000-0000E29D0000}"/>
    <cellStyle name="Normal 12 2 2 4 3 2 3" xfId="38252" xr:uid="{00000000-0005-0000-0000-0000E39D0000}"/>
    <cellStyle name="Normal 12 2 2 4 3 3" xfId="18836" xr:uid="{00000000-0005-0000-0000-0000E49D0000}"/>
    <cellStyle name="Normal 12 2 2 4 3 3 2" xfId="44710" xr:uid="{00000000-0005-0000-0000-0000E59D0000}"/>
    <cellStyle name="Normal 12 2 2 4 3 4" xfId="31794" xr:uid="{00000000-0005-0000-0000-0000E69D0000}"/>
    <cellStyle name="Normal 12 2 2 4 4" xfId="9149" xr:uid="{00000000-0005-0000-0000-0000E79D0000}"/>
    <cellStyle name="Normal 12 2 2 4 4 2" xfId="22066" xr:uid="{00000000-0005-0000-0000-0000E89D0000}"/>
    <cellStyle name="Normal 12 2 2 4 4 2 2" xfId="47940" xr:uid="{00000000-0005-0000-0000-0000E99D0000}"/>
    <cellStyle name="Normal 12 2 2 4 4 3" xfId="35024" xr:uid="{00000000-0005-0000-0000-0000EA9D0000}"/>
    <cellStyle name="Normal 12 2 2 4 5" xfId="15608" xr:uid="{00000000-0005-0000-0000-0000EB9D0000}"/>
    <cellStyle name="Normal 12 2 2 4 5 2" xfId="41482" xr:uid="{00000000-0005-0000-0000-0000EC9D0000}"/>
    <cellStyle name="Normal 12 2 2 4 6" xfId="28534" xr:uid="{00000000-0005-0000-0000-0000ED9D0000}"/>
    <cellStyle name="Normal 12 2 2 5" xfId="3471" xr:uid="{00000000-0005-0000-0000-0000EE9D0000}"/>
    <cellStyle name="Normal 12 2 2 5 2" xfId="6725" xr:uid="{00000000-0005-0000-0000-0000EF9D0000}"/>
    <cellStyle name="Normal 12 2 2 5 2 2" xfId="13184" xr:uid="{00000000-0005-0000-0000-0000F09D0000}"/>
    <cellStyle name="Normal 12 2 2 5 2 2 2" xfId="26101" xr:uid="{00000000-0005-0000-0000-0000F19D0000}"/>
    <cellStyle name="Normal 12 2 2 5 2 2 2 2" xfId="51975" xr:uid="{00000000-0005-0000-0000-0000F29D0000}"/>
    <cellStyle name="Normal 12 2 2 5 2 2 3" xfId="39059" xr:uid="{00000000-0005-0000-0000-0000F39D0000}"/>
    <cellStyle name="Normal 12 2 2 5 2 3" xfId="19643" xr:uid="{00000000-0005-0000-0000-0000F49D0000}"/>
    <cellStyle name="Normal 12 2 2 5 2 3 2" xfId="45517" xr:uid="{00000000-0005-0000-0000-0000F59D0000}"/>
    <cellStyle name="Normal 12 2 2 5 2 4" xfId="32601" xr:uid="{00000000-0005-0000-0000-0000F69D0000}"/>
    <cellStyle name="Normal 12 2 2 5 3" xfId="9956" xr:uid="{00000000-0005-0000-0000-0000F79D0000}"/>
    <cellStyle name="Normal 12 2 2 5 3 2" xfId="22873" xr:uid="{00000000-0005-0000-0000-0000F89D0000}"/>
    <cellStyle name="Normal 12 2 2 5 3 2 2" xfId="48747" xr:uid="{00000000-0005-0000-0000-0000F99D0000}"/>
    <cellStyle name="Normal 12 2 2 5 3 3" xfId="35831" xr:uid="{00000000-0005-0000-0000-0000FA9D0000}"/>
    <cellStyle name="Normal 12 2 2 5 4" xfId="16415" xr:uid="{00000000-0005-0000-0000-0000FB9D0000}"/>
    <cellStyle name="Normal 12 2 2 5 4 2" xfId="42289" xr:uid="{00000000-0005-0000-0000-0000FC9D0000}"/>
    <cellStyle name="Normal 12 2 2 5 5" xfId="29341" xr:uid="{00000000-0005-0000-0000-0000FD9D0000}"/>
    <cellStyle name="Normal 12 2 2 6" xfId="5111" xr:uid="{00000000-0005-0000-0000-0000FE9D0000}"/>
    <cellStyle name="Normal 12 2 2 6 2" xfId="11570" xr:uid="{00000000-0005-0000-0000-0000FF9D0000}"/>
    <cellStyle name="Normal 12 2 2 6 2 2" xfId="24487" xr:uid="{00000000-0005-0000-0000-0000009E0000}"/>
    <cellStyle name="Normal 12 2 2 6 2 2 2" xfId="50361" xr:uid="{00000000-0005-0000-0000-0000019E0000}"/>
    <cellStyle name="Normal 12 2 2 6 2 3" xfId="37445" xr:uid="{00000000-0005-0000-0000-0000029E0000}"/>
    <cellStyle name="Normal 12 2 2 6 3" xfId="18029" xr:uid="{00000000-0005-0000-0000-0000039E0000}"/>
    <cellStyle name="Normal 12 2 2 6 3 2" xfId="43903" xr:uid="{00000000-0005-0000-0000-0000049E0000}"/>
    <cellStyle name="Normal 12 2 2 6 4" xfId="30987" xr:uid="{00000000-0005-0000-0000-0000059E0000}"/>
    <cellStyle name="Normal 12 2 2 7" xfId="8341" xr:uid="{00000000-0005-0000-0000-0000069E0000}"/>
    <cellStyle name="Normal 12 2 2 7 2" xfId="21258" xr:uid="{00000000-0005-0000-0000-0000079E0000}"/>
    <cellStyle name="Normal 12 2 2 7 2 2" xfId="47132" xr:uid="{00000000-0005-0000-0000-0000089E0000}"/>
    <cellStyle name="Normal 12 2 2 7 3" xfId="34216" xr:uid="{00000000-0005-0000-0000-0000099E0000}"/>
    <cellStyle name="Normal 12 2 2 8" xfId="14800" xr:uid="{00000000-0005-0000-0000-00000A9E0000}"/>
    <cellStyle name="Normal 12 2 2 8 2" xfId="40674" xr:uid="{00000000-0005-0000-0000-00000B9E0000}"/>
    <cellStyle name="Normal 12 2 2 9" xfId="27726" xr:uid="{00000000-0005-0000-0000-00000C9E0000}"/>
    <cellStyle name="Normal 12 2 3" xfId="1865" xr:uid="{00000000-0005-0000-0000-00000D9E0000}"/>
    <cellStyle name="Normal 12 2 3 2" xfId="2307" xr:uid="{00000000-0005-0000-0000-00000E9E0000}"/>
    <cellStyle name="Normal 12 2 3 2 2" xfId="3121" xr:uid="{00000000-0005-0000-0000-00000F9E0000}"/>
    <cellStyle name="Normal 12 2 3 2 2 2" xfId="4778" xr:uid="{00000000-0005-0000-0000-0000109E0000}"/>
    <cellStyle name="Normal 12 2 3 2 2 2 2" xfId="8009" xr:uid="{00000000-0005-0000-0000-0000119E0000}"/>
    <cellStyle name="Normal 12 2 3 2 2 2 2 2" xfId="14468" xr:uid="{00000000-0005-0000-0000-0000129E0000}"/>
    <cellStyle name="Normal 12 2 3 2 2 2 2 2 2" xfId="27385" xr:uid="{00000000-0005-0000-0000-0000139E0000}"/>
    <cellStyle name="Normal 12 2 3 2 2 2 2 2 2 2" xfId="53259" xr:uid="{00000000-0005-0000-0000-0000149E0000}"/>
    <cellStyle name="Normal 12 2 3 2 2 2 2 2 3" xfId="40343" xr:uid="{00000000-0005-0000-0000-0000159E0000}"/>
    <cellStyle name="Normal 12 2 3 2 2 2 2 3" xfId="20927" xr:uid="{00000000-0005-0000-0000-0000169E0000}"/>
    <cellStyle name="Normal 12 2 3 2 2 2 2 3 2" xfId="46801" xr:uid="{00000000-0005-0000-0000-0000179E0000}"/>
    <cellStyle name="Normal 12 2 3 2 2 2 2 4" xfId="33885" xr:uid="{00000000-0005-0000-0000-0000189E0000}"/>
    <cellStyle name="Normal 12 2 3 2 2 2 3" xfId="11240" xr:uid="{00000000-0005-0000-0000-0000199E0000}"/>
    <cellStyle name="Normal 12 2 3 2 2 2 3 2" xfId="24157" xr:uid="{00000000-0005-0000-0000-00001A9E0000}"/>
    <cellStyle name="Normal 12 2 3 2 2 2 3 2 2" xfId="50031" xr:uid="{00000000-0005-0000-0000-00001B9E0000}"/>
    <cellStyle name="Normal 12 2 3 2 2 2 3 3" xfId="37115" xr:uid="{00000000-0005-0000-0000-00001C9E0000}"/>
    <cellStyle name="Normal 12 2 3 2 2 2 4" xfId="17699" xr:uid="{00000000-0005-0000-0000-00001D9E0000}"/>
    <cellStyle name="Normal 12 2 3 2 2 2 4 2" xfId="43573" xr:uid="{00000000-0005-0000-0000-00001E9E0000}"/>
    <cellStyle name="Normal 12 2 3 2 2 2 5" xfId="30625" xr:uid="{00000000-0005-0000-0000-00001F9E0000}"/>
    <cellStyle name="Normal 12 2 3 2 2 3" xfId="6395" xr:uid="{00000000-0005-0000-0000-0000209E0000}"/>
    <cellStyle name="Normal 12 2 3 2 2 3 2" xfId="12854" xr:uid="{00000000-0005-0000-0000-0000219E0000}"/>
    <cellStyle name="Normal 12 2 3 2 2 3 2 2" xfId="25771" xr:uid="{00000000-0005-0000-0000-0000229E0000}"/>
    <cellStyle name="Normal 12 2 3 2 2 3 2 2 2" xfId="51645" xr:uid="{00000000-0005-0000-0000-0000239E0000}"/>
    <cellStyle name="Normal 12 2 3 2 2 3 2 3" xfId="38729" xr:uid="{00000000-0005-0000-0000-0000249E0000}"/>
    <cellStyle name="Normal 12 2 3 2 2 3 3" xfId="19313" xr:uid="{00000000-0005-0000-0000-0000259E0000}"/>
    <cellStyle name="Normal 12 2 3 2 2 3 3 2" xfId="45187" xr:uid="{00000000-0005-0000-0000-0000269E0000}"/>
    <cellStyle name="Normal 12 2 3 2 2 3 4" xfId="32271" xr:uid="{00000000-0005-0000-0000-0000279E0000}"/>
    <cellStyle name="Normal 12 2 3 2 2 4" xfId="9626" xr:uid="{00000000-0005-0000-0000-0000289E0000}"/>
    <cellStyle name="Normal 12 2 3 2 2 4 2" xfId="22543" xr:uid="{00000000-0005-0000-0000-0000299E0000}"/>
    <cellStyle name="Normal 12 2 3 2 2 4 2 2" xfId="48417" xr:uid="{00000000-0005-0000-0000-00002A9E0000}"/>
    <cellStyle name="Normal 12 2 3 2 2 4 3" xfId="35501" xr:uid="{00000000-0005-0000-0000-00002B9E0000}"/>
    <cellStyle name="Normal 12 2 3 2 2 5" xfId="16085" xr:uid="{00000000-0005-0000-0000-00002C9E0000}"/>
    <cellStyle name="Normal 12 2 3 2 2 5 2" xfId="41959" xr:uid="{00000000-0005-0000-0000-00002D9E0000}"/>
    <cellStyle name="Normal 12 2 3 2 2 6" xfId="29011" xr:uid="{00000000-0005-0000-0000-00002E9E0000}"/>
    <cellStyle name="Normal 12 2 3 2 3" xfId="3948" xr:uid="{00000000-0005-0000-0000-00002F9E0000}"/>
    <cellStyle name="Normal 12 2 3 2 3 2" xfId="7202" xr:uid="{00000000-0005-0000-0000-0000309E0000}"/>
    <cellStyle name="Normal 12 2 3 2 3 2 2" xfId="13661" xr:uid="{00000000-0005-0000-0000-0000319E0000}"/>
    <cellStyle name="Normal 12 2 3 2 3 2 2 2" xfId="26578" xr:uid="{00000000-0005-0000-0000-0000329E0000}"/>
    <cellStyle name="Normal 12 2 3 2 3 2 2 2 2" xfId="52452" xr:uid="{00000000-0005-0000-0000-0000339E0000}"/>
    <cellStyle name="Normal 12 2 3 2 3 2 2 3" xfId="39536" xr:uid="{00000000-0005-0000-0000-0000349E0000}"/>
    <cellStyle name="Normal 12 2 3 2 3 2 3" xfId="20120" xr:uid="{00000000-0005-0000-0000-0000359E0000}"/>
    <cellStyle name="Normal 12 2 3 2 3 2 3 2" xfId="45994" xr:uid="{00000000-0005-0000-0000-0000369E0000}"/>
    <cellStyle name="Normal 12 2 3 2 3 2 4" xfId="33078" xr:uid="{00000000-0005-0000-0000-0000379E0000}"/>
    <cellStyle name="Normal 12 2 3 2 3 3" xfId="10433" xr:uid="{00000000-0005-0000-0000-0000389E0000}"/>
    <cellStyle name="Normal 12 2 3 2 3 3 2" xfId="23350" xr:uid="{00000000-0005-0000-0000-0000399E0000}"/>
    <cellStyle name="Normal 12 2 3 2 3 3 2 2" xfId="49224" xr:uid="{00000000-0005-0000-0000-00003A9E0000}"/>
    <cellStyle name="Normal 12 2 3 2 3 3 3" xfId="36308" xr:uid="{00000000-0005-0000-0000-00003B9E0000}"/>
    <cellStyle name="Normal 12 2 3 2 3 4" xfId="16892" xr:uid="{00000000-0005-0000-0000-00003C9E0000}"/>
    <cellStyle name="Normal 12 2 3 2 3 4 2" xfId="42766" xr:uid="{00000000-0005-0000-0000-00003D9E0000}"/>
    <cellStyle name="Normal 12 2 3 2 3 5" xfId="29818" xr:uid="{00000000-0005-0000-0000-00003E9E0000}"/>
    <cellStyle name="Normal 12 2 3 2 4" xfId="5588" xr:uid="{00000000-0005-0000-0000-00003F9E0000}"/>
    <cellStyle name="Normal 12 2 3 2 4 2" xfId="12047" xr:uid="{00000000-0005-0000-0000-0000409E0000}"/>
    <cellStyle name="Normal 12 2 3 2 4 2 2" xfId="24964" xr:uid="{00000000-0005-0000-0000-0000419E0000}"/>
    <cellStyle name="Normal 12 2 3 2 4 2 2 2" xfId="50838" xr:uid="{00000000-0005-0000-0000-0000429E0000}"/>
    <cellStyle name="Normal 12 2 3 2 4 2 3" xfId="37922" xr:uid="{00000000-0005-0000-0000-0000439E0000}"/>
    <cellStyle name="Normal 12 2 3 2 4 3" xfId="18506" xr:uid="{00000000-0005-0000-0000-0000449E0000}"/>
    <cellStyle name="Normal 12 2 3 2 4 3 2" xfId="44380" xr:uid="{00000000-0005-0000-0000-0000459E0000}"/>
    <cellStyle name="Normal 12 2 3 2 4 4" xfId="31464" xr:uid="{00000000-0005-0000-0000-0000469E0000}"/>
    <cellStyle name="Normal 12 2 3 2 5" xfId="8819" xr:uid="{00000000-0005-0000-0000-0000479E0000}"/>
    <cellStyle name="Normal 12 2 3 2 5 2" xfId="21736" xr:uid="{00000000-0005-0000-0000-0000489E0000}"/>
    <cellStyle name="Normal 12 2 3 2 5 2 2" xfId="47610" xr:uid="{00000000-0005-0000-0000-0000499E0000}"/>
    <cellStyle name="Normal 12 2 3 2 5 3" xfId="34694" xr:uid="{00000000-0005-0000-0000-00004A9E0000}"/>
    <cellStyle name="Normal 12 2 3 2 6" xfId="15278" xr:uid="{00000000-0005-0000-0000-00004B9E0000}"/>
    <cellStyle name="Normal 12 2 3 2 6 2" xfId="41152" xr:uid="{00000000-0005-0000-0000-00004C9E0000}"/>
    <cellStyle name="Normal 12 2 3 2 7" xfId="28204" xr:uid="{00000000-0005-0000-0000-00004D9E0000}"/>
    <cellStyle name="Normal 12 2 3 2 8" xfId="54066" xr:uid="{00000000-0005-0000-0000-00004E9E0000}"/>
    <cellStyle name="Normal 12 2 3 3" xfId="2718" xr:uid="{00000000-0005-0000-0000-00004F9E0000}"/>
    <cellStyle name="Normal 12 2 3 3 2" xfId="4375" xr:uid="{00000000-0005-0000-0000-0000509E0000}"/>
    <cellStyle name="Normal 12 2 3 3 2 2" xfId="7606" xr:uid="{00000000-0005-0000-0000-0000519E0000}"/>
    <cellStyle name="Normal 12 2 3 3 2 2 2" xfId="14065" xr:uid="{00000000-0005-0000-0000-0000529E0000}"/>
    <cellStyle name="Normal 12 2 3 3 2 2 2 2" xfId="26982" xr:uid="{00000000-0005-0000-0000-0000539E0000}"/>
    <cellStyle name="Normal 12 2 3 3 2 2 2 2 2" xfId="52856" xr:uid="{00000000-0005-0000-0000-0000549E0000}"/>
    <cellStyle name="Normal 12 2 3 3 2 2 2 3" xfId="39940" xr:uid="{00000000-0005-0000-0000-0000559E0000}"/>
    <cellStyle name="Normal 12 2 3 3 2 2 3" xfId="20524" xr:uid="{00000000-0005-0000-0000-0000569E0000}"/>
    <cellStyle name="Normal 12 2 3 3 2 2 3 2" xfId="46398" xr:uid="{00000000-0005-0000-0000-0000579E0000}"/>
    <cellStyle name="Normal 12 2 3 3 2 2 4" xfId="33482" xr:uid="{00000000-0005-0000-0000-0000589E0000}"/>
    <cellStyle name="Normal 12 2 3 3 2 3" xfId="10837" xr:uid="{00000000-0005-0000-0000-0000599E0000}"/>
    <cellStyle name="Normal 12 2 3 3 2 3 2" xfId="23754" xr:uid="{00000000-0005-0000-0000-00005A9E0000}"/>
    <cellStyle name="Normal 12 2 3 3 2 3 2 2" xfId="49628" xr:uid="{00000000-0005-0000-0000-00005B9E0000}"/>
    <cellStyle name="Normal 12 2 3 3 2 3 3" xfId="36712" xr:uid="{00000000-0005-0000-0000-00005C9E0000}"/>
    <cellStyle name="Normal 12 2 3 3 2 4" xfId="17296" xr:uid="{00000000-0005-0000-0000-00005D9E0000}"/>
    <cellStyle name="Normal 12 2 3 3 2 4 2" xfId="43170" xr:uid="{00000000-0005-0000-0000-00005E9E0000}"/>
    <cellStyle name="Normal 12 2 3 3 2 5" xfId="30222" xr:uid="{00000000-0005-0000-0000-00005F9E0000}"/>
    <cellStyle name="Normal 12 2 3 3 3" xfId="5992" xr:uid="{00000000-0005-0000-0000-0000609E0000}"/>
    <cellStyle name="Normal 12 2 3 3 3 2" xfId="12451" xr:uid="{00000000-0005-0000-0000-0000619E0000}"/>
    <cellStyle name="Normal 12 2 3 3 3 2 2" xfId="25368" xr:uid="{00000000-0005-0000-0000-0000629E0000}"/>
    <cellStyle name="Normal 12 2 3 3 3 2 2 2" xfId="51242" xr:uid="{00000000-0005-0000-0000-0000639E0000}"/>
    <cellStyle name="Normal 12 2 3 3 3 2 3" xfId="38326" xr:uid="{00000000-0005-0000-0000-0000649E0000}"/>
    <cellStyle name="Normal 12 2 3 3 3 3" xfId="18910" xr:uid="{00000000-0005-0000-0000-0000659E0000}"/>
    <cellStyle name="Normal 12 2 3 3 3 3 2" xfId="44784" xr:uid="{00000000-0005-0000-0000-0000669E0000}"/>
    <cellStyle name="Normal 12 2 3 3 3 4" xfId="31868" xr:uid="{00000000-0005-0000-0000-0000679E0000}"/>
    <cellStyle name="Normal 12 2 3 3 4" xfId="9223" xr:uid="{00000000-0005-0000-0000-0000689E0000}"/>
    <cellStyle name="Normal 12 2 3 3 4 2" xfId="22140" xr:uid="{00000000-0005-0000-0000-0000699E0000}"/>
    <cellStyle name="Normal 12 2 3 3 4 2 2" xfId="48014" xr:uid="{00000000-0005-0000-0000-00006A9E0000}"/>
    <cellStyle name="Normal 12 2 3 3 4 3" xfId="35098" xr:uid="{00000000-0005-0000-0000-00006B9E0000}"/>
    <cellStyle name="Normal 12 2 3 3 5" xfId="15682" xr:uid="{00000000-0005-0000-0000-00006C9E0000}"/>
    <cellStyle name="Normal 12 2 3 3 5 2" xfId="41556" xr:uid="{00000000-0005-0000-0000-00006D9E0000}"/>
    <cellStyle name="Normal 12 2 3 3 6" xfId="28608" xr:uid="{00000000-0005-0000-0000-00006E9E0000}"/>
    <cellStyle name="Normal 12 2 3 4" xfId="3545" xr:uid="{00000000-0005-0000-0000-00006F9E0000}"/>
    <cellStyle name="Normal 12 2 3 4 2" xfId="6799" xr:uid="{00000000-0005-0000-0000-0000709E0000}"/>
    <cellStyle name="Normal 12 2 3 4 2 2" xfId="13258" xr:uid="{00000000-0005-0000-0000-0000719E0000}"/>
    <cellStyle name="Normal 12 2 3 4 2 2 2" xfId="26175" xr:uid="{00000000-0005-0000-0000-0000729E0000}"/>
    <cellStyle name="Normal 12 2 3 4 2 2 2 2" xfId="52049" xr:uid="{00000000-0005-0000-0000-0000739E0000}"/>
    <cellStyle name="Normal 12 2 3 4 2 2 3" xfId="39133" xr:uid="{00000000-0005-0000-0000-0000749E0000}"/>
    <cellStyle name="Normal 12 2 3 4 2 3" xfId="19717" xr:uid="{00000000-0005-0000-0000-0000759E0000}"/>
    <cellStyle name="Normal 12 2 3 4 2 3 2" xfId="45591" xr:uid="{00000000-0005-0000-0000-0000769E0000}"/>
    <cellStyle name="Normal 12 2 3 4 2 4" xfId="32675" xr:uid="{00000000-0005-0000-0000-0000779E0000}"/>
    <cellStyle name="Normal 12 2 3 4 3" xfId="10030" xr:uid="{00000000-0005-0000-0000-0000789E0000}"/>
    <cellStyle name="Normal 12 2 3 4 3 2" xfId="22947" xr:uid="{00000000-0005-0000-0000-0000799E0000}"/>
    <cellStyle name="Normal 12 2 3 4 3 2 2" xfId="48821" xr:uid="{00000000-0005-0000-0000-00007A9E0000}"/>
    <cellStyle name="Normal 12 2 3 4 3 3" xfId="35905" xr:uid="{00000000-0005-0000-0000-00007B9E0000}"/>
    <cellStyle name="Normal 12 2 3 4 4" xfId="16489" xr:uid="{00000000-0005-0000-0000-00007C9E0000}"/>
    <cellStyle name="Normal 12 2 3 4 4 2" xfId="42363" xr:uid="{00000000-0005-0000-0000-00007D9E0000}"/>
    <cellStyle name="Normal 12 2 3 4 5" xfId="29415" xr:uid="{00000000-0005-0000-0000-00007E9E0000}"/>
    <cellStyle name="Normal 12 2 3 5" xfId="5185" xr:uid="{00000000-0005-0000-0000-00007F9E0000}"/>
    <cellStyle name="Normal 12 2 3 5 2" xfId="11644" xr:uid="{00000000-0005-0000-0000-0000809E0000}"/>
    <cellStyle name="Normal 12 2 3 5 2 2" xfId="24561" xr:uid="{00000000-0005-0000-0000-0000819E0000}"/>
    <cellStyle name="Normal 12 2 3 5 2 2 2" xfId="50435" xr:uid="{00000000-0005-0000-0000-0000829E0000}"/>
    <cellStyle name="Normal 12 2 3 5 2 3" xfId="37519" xr:uid="{00000000-0005-0000-0000-0000839E0000}"/>
    <cellStyle name="Normal 12 2 3 5 3" xfId="18103" xr:uid="{00000000-0005-0000-0000-0000849E0000}"/>
    <cellStyle name="Normal 12 2 3 5 3 2" xfId="43977" xr:uid="{00000000-0005-0000-0000-0000859E0000}"/>
    <cellStyle name="Normal 12 2 3 5 4" xfId="31061" xr:uid="{00000000-0005-0000-0000-0000869E0000}"/>
    <cellStyle name="Normal 12 2 3 6" xfId="8415" xr:uid="{00000000-0005-0000-0000-0000879E0000}"/>
    <cellStyle name="Normal 12 2 3 6 2" xfId="21332" xr:uid="{00000000-0005-0000-0000-0000889E0000}"/>
    <cellStyle name="Normal 12 2 3 6 2 2" xfId="47206" xr:uid="{00000000-0005-0000-0000-0000899E0000}"/>
    <cellStyle name="Normal 12 2 3 6 3" xfId="34290" xr:uid="{00000000-0005-0000-0000-00008A9E0000}"/>
    <cellStyle name="Normal 12 2 3 7" xfId="14874" xr:uid="{00000000-0005-0000-0000-00008B9E0000}"/>
    <cellStyle name="Normal 12 2 3 7 2" xfId="40748" xr:uid="{00000000-0005-0000-0000-00008C9E0000}"/>
    <cellStyle name="Normal 12 2 3 8" xfId="27800" xr:uid="{00000000-0005-0000-0000-00008D9E0000}"/>
    <cellStyle name="Normal 12 2 3 9" xfId="53663" xr:uid="{00000000-0005-0000-0000-00008E9E0000}"/>
    <cellStyle name="Normal 12 2 4" xfId="2110" xr:uid="{00000000-0005-0000-0000-00008F9E0000}"/>
    <cellStyle name="Normal 12 2 4 2" xfId="2926" xr:uid="{00000000-0005-0000-0000-0000909E0000}"/>
    <cellStyle name="Normal 12 2 4 2 2" xfId="4583" xr:uid="{00000000-0005-0000-0000-0000919E0000}"/>
    <cellStyle name="Normal 12 2 4 2 2 2" xfId="7814" xr:uid="{00000000-0005-0000-0000-0000929E0000}"/>
    <cellStyle name="Normal 12 2 4 2 2 2 2" xfId="14273" xr:uid="{00000000-0005-0000-0000-0000939E0000}"/>
    <cellStyle name="Normal 12 2 4 2 2 2 2 2" xfId="27190" xr:uid="{00000000-0005-0000-0000-0000949E0000}"/>
    <cellStyle name="Normal 12 2 4 2 2 2 2 2 2" xfId="53064" xr:uid="{00000000-0005-0000-0000-0000959E0000}"/>
    <cellStyle name="Normal 12 2 4 2 2 2 2 3" xfId="40148" xr:uid="{00000000-0005-0000-0000-0000969E0000}"/>
    <cellStyle name="Normal 12 2 4 2 2 2 3" xfId="20732" xr:uid="{00000000-0005-0000-0000-0000979E0000}"/>
    <cellStyle name="Normal 12 2 4 2 2 2 3 2" xfId="46606" xr:uid="{00000000-0005-0000-0000-0000989E0000}"/>
    <cellStyle name="Normal 12 2 4 2 2 2 4" xfId="33690" xr:uid="{00000000-0005-0000-0000-0000999E0000}"/>
    <cellStyle name="Normal 12 2 4 2 2 3" xfId="11045" xr:uid="{00000000-0005-0000-0000-00009A9E0000}"/>
    <cellStyle name="Normal 12 2 4 2 2 3 2" xfId="23962" xr:uid="{00000000-0005-0000-0000-00009B9E0000}"/>
    <cellStyle name="Normal 12 2 4 2 2 3 2 2" xfId="49836" xr:uid="{00000000-0005-0000-0000-00009C9E0000}"/>
    <cellStyle name="Normal 12 2 4 2 2 3 3" xfId="36920" xr:uid="{00000000-0005-0000-0000-00009D9E0000}"/>
    <cellStyle name="Normal 12 2 4 2 2 4" xfId="17504" xr:uid="{00000000-0005-0000-0000-00009E9E0000}"/>
    <cellStyle name="Normal 12 2 4 2 2 4 2" xfId="43378" xr:uid="{00000000-0005-0000-0000-00009F9E0000}"/>
    <cellStyle name="Normal 12 2 4 2 2 5" xfId="30430" xr:uid="{00000000-0005-0000-0000-0000A09E0000}"/>
    <cellStyle name="Normal 12 2 4 2 3" xfId="6200" xr:uid="{00000000-0005-0000-0000-0000A19E0000}"/>
    <cellStyle name="Normal 12 2 4 2 3 2" xfId="12659" xr:uid="{00000000-0005-0000-0000-0000A29E0000}"/>
    <cellStyle name="Normal 12 2 4 2 3 2 2" xfId="25576" xr:uid="{00000000-0005-0000-0000-0000A39E0000}"/>
    <cellStyle name="Normal 12 2 4 2 3 2 2 2" xfId="51450" xr:uid="{00000000-0005-0000-0000-0000A49E0000}"/>
    <cellStyle name="Normal 12 2 4 2 3 2 3" xfId="38534" xr:uid="{00000000-0005-0000-0000-0000A59E0000}"/>
    <cellStyle name="Normal 12 2 4 2 3 3" xfId="19118" xr:uid="{00000000-0005-0000-0000-0000A69E0000}"/>
    <cellStyle name="Normal 12 2 4 2 3 3 2" xfId="44992" xr:uid="{00000000-0005-0000-0000-0000A79E0000}"/>
    <cellStyle name="Normal 12 2 4 2 3 4" xfId="32076" xr:uid="{00000000-0005-0000-0000-0000A89E0000}"/>
    <cellStyle name="Normal 12 2 4 2 4" xfId="9431" xr:uid="{00000000-0005-0000-0000-0000A99E0000}"/>
    <cellStyle name="Normal 12 2 4 2 4 2" xfId="22348" xr:uid="{00000000-0005-0000-0000-0000AA9E0000}"/>
    <cellStyle name="Normal 12 2 4 2 4 2 2" xfId="48222" xr:uid="{00000000-0005-0000-0000-0000AB9E0000}"/>
    <cellStyle name="Normal 12 2 4 2 4 3" xfId="35306" xr:uid="{00000000-0005-0000-0000-0000AC9E0000}"/>
    <cellStyle name="Normal 12 2 4 2 5" xfId="15890" xr:uid="{00000000-0005-0000-0000-0000AD9E0000}"/>
    <cellStyle name="Normal 12 2 4 2 5 2" xfId="41764" xr:uid="{00000000-0005-0000-0000-0000AE9E0000}"/>
    <cellStyle name="Normal 12 2 4 2 6" xfId="28816" xr:uid="{00000000-0005-0000-0000-0000AF9E0000}"/>
    <cellStyle name="Normal 12 2 4 3" xfId="3753" xr:uid="{00000000-0005-0000-0000-0000B09E0000}"/>
    <cellStyle name="Normal 12 2 4 3 2" xfId="7007" xr:uid="{00000000-0005-0000-0000-0000B19E0000}"/>
    <cellStyle name="Normal 12 2 4 3 2 2" xfId="13466" xr:uid="{00000000-0005-0000-0000-0000B29E0000}"/>
    <cellStyle name="Normal 12 2 4 3 2 2 2" xfId="26383" xr:uid="{00000000-0005-0000-0000-0000B39E0000}"/>
    <cellStyle name="Normal 12 2 4 3 2 2 2 2" xfId="52257" xr:uid="{00000000-0005-0000-0000-0000B49E0000}"/>
    <cellStyle name="Normal 12 2 4 3 2 2 3" xfId="39341" xr:uid="{00000000-0005-0000-0000-0000B59E0000}"/>
    <cellStyle name="Normal 12 2 4 3 2 3" xfId="19925" xr:uid="{00000000-0005-0000-0000-0000B69E0000}"/>
    <cellStyle name="Normal 12 2 4 3 2 3 2" xfId="45799" xr:uid="{00000000-0005-0000-0000-0000B79E0000}"/>
    <cellStyle name="Normal 12 2 4 3 2 4" xfId="32883" xr:uid="{00000000-0005-0000-0000-0000B89E0000}"/>
    <cellStyle name="Normal 12 2 4 3 3" xfId="10238" xr:uid="{00000000-0005-0000-0000-0000B99E0000}"/>
    <cellStyle name="Normal 12 2 4 3 3 2" xfId="23155" xr:uid="{00000000-0005-0000-0000-0000BA9E0000}"/>
    <cellStyle name="Normal 12 2 4 3 3 2 2" xfId="49029" xr:uid="{00000000-0005-0000-0000-0000BB9E0000}"/>
    <cellStyle name="Normal 12 2 4 3 3 3" xfId="36113" xr:uid="{00000000-0005-0000-0000-0000BC9E0000}"/>
    <cellStyle name="Normal 12 2 4 3 4" xfId="16697" xr:uid="{00000000-0005-0000-0000-0000BD9E0000}"/>
    <cellStyle name="Normal 12 2 4 3 4 2" xfId="42571" xr:uid="{00000000-0005-0000-0000-0000BE9E0000}"/>
    <cellStyle name="Normal 12 2 4 3 5" xfId="29623" xr:uid="{00000000-0005-0000-0000-0000BF9E0000}"/>
    <cellStyle name="Normal 12 2 4 4" xfId="5393" xr:uid="{00000000-0005-0000-0000-0000C09E0000}"/>
    <cellStyle name="Normal 12 2 4 4 2" xfId="11852" xr:uid="{00000000-0005-0000-0000-0000C19E0000}"/>
    <cellStyle name="Normal 12 2 4 4 2 2" xfId="24769" xr:uid="{00000000-0005-0000-0000-0000C29E0000}"/>
    <cellStyle name="Normal 12 2 4 4 2 2 2" xfId="50643" xr:uid="{00000000-0005-0000-0000-0000C39E0000}"/>
    <cellStyle name="Normal 12 2 4 4 2 3" xfId="37727" xr:uid="{00000000-0005-0000-0000-0000C49E0000}"/>
    <cellStyle name="Normal 12 2 4 4 3" xfId="18311" xr:uid="{00000000-0005-0000-0000-0000C59E0000}"/>
    <cellStyle name="Normal 12 2 4 4 3 2" xfId="44185" xr:uid="{00000000-0005-0000-0000-0000C69E0000}"/>
    <cellStyle name="Normal 12 2 4 4 4" xfId="31269" xr:uid="{00000000-0005-0000-0000-0000C79E0000}"/>
    <cellStyle name="Normal 12 2 4 5" xfId="8624" xr:uid="{00000000-0005-0000-0000-0000C89E0000}"/>
    <cellStyle name="Normal 12 2 4 5 2" xfId="21541" xr:uid="{00000000-0005-0000-0000-0000C99E0000}"/>
    <cellStyle name="Normal 12 2 4 5 2 2" xfId="47415" xr:uid="{00000000-0005-0000-0000-0000CA9E0000}"/>
    <cellStyle name="Normal 12 2 4 5 3" xfId="34499" xr:uid="{00000000-0005-0000-0000-0000CB9E0000}"/>
    <cellStyle name="Normal 12 2 4 6" xfId="15083" xr:uid="{00000000-0005-0000-0000-0000CC9E0000}"/>
    <cellStyle name="Normal 12 2 4 6 2" xfId="40957" xr:uid="{00000000-0005-0000-0000-0000CD9E0000}"/>
    <cellStyle name="Normal 12 2 4 7" xfId="28009" xr:uid="{00000000-0005-0000-0000-0000CE9E0000}"/>
    <cellStyle name="Normal 12 2 4 8" xfId="53871" xr:uid="{00000000-0005-0000-0000-0000CF9E0000}"/>
    <cellStyle name="Normal 12 2 5" xfId="2523" xr:uid="{00000000-0005-0000-0000-0000D09E0000}"/>
    <cellStyle name="Normal 12 2 5 2" xfId="4180" xr:uid="{00000000-0005-0000-0000-0000D19E0000}"/>
    <cellStyle name="Normal 12 2 5 2 2" xfId="7411" xr:uid="{00000000-0005-0000-0000-0000D29E0000}"/>
    <cellStyle name="Normal 12 2 5 2 2 2" xfId="13870" xr:uid="{00000000-0005-0000-0000-0000D39E0000}"/>
    <cellStyle name="Normal 12 2 5 2 2 2 2" xfId="26787" xr:uid="{00000000-0005-0000-0000-0000D49E0000}"/>
    <cellStyle name="Normal 12 2 5 2 2 2 2 2" xfId="52661" xr:uid="{00000000-0005-0000-0000-0000D59E0000}"/>
    <cellStyle name="Normal 12 2 5 2 2 2 3" xfId="39745" xr:uid="{00000000-0005-0000-0000-0000D69E0000}"/>
    <cellStyle name="Normal 12 2 5 2 2 3" xfId="20329" xr:uid="{00000000-0005-0000-0000-0000D79E0000}"/>
    <cellStyle name="Normal 12 2 5 2 2 3 2" xfId="46203" xr:uid="{00000000-0005-0000-0000-0000D89E0000}"/>
    <cellStyle name="Normal 12 2 5 2 2 4" xfId="33287" xr:uid="{00000000-0005-0000-0000-0000D99E0000}"/>
    <cellStyle name="Normal 12 2 5 2 3" xfId="10642" xr:uid="{00000000-0005-0000-0000-0000DA9E0000}"/>
    <cellStyle name="Normal 12 2 5 2 3 2" xfId="23559" xr:uid="{00000000-0005-0000-0000-0000DB9E0000}"/>
    <cellStyle name="Normal 12 2 5 2 3 2 2" xfId="49433" xr:uid="{00000000-0005-0000-0000-0000DC9E0000}"/>
    <cellStyle name="Normal 12 2 5 2 3 3" xfId="36517" xr:uid="{00000000-0005-0000-0000-0000DD9E0000}"/>
    <cellStyle name="Normal 12 2 5 2 4" xfId="17101" xr:uid="{00000000-0005-0000-0000-0000DE9E0000}"/>
    <cellStyle name="Normal 12 2 5 2 4 2" xfId="42975" xr:uid="{00000000-0005-0000-0000-0000DF9E0000}"/>
    <cellStyle name="Normal 12 2 5 2 5" xfId="30027" xr:uid="{00000000-0005-0000-0000-0000E09E0000}"/>
    <cellStyle name="Normal 12 2 5 3" xfId="5797" xr:uid="{00000000-0005-0000-0000-0000E19E0000}"/>
    <cellStyle name="Normal 12 2 5 3 2" xfId="12256" xr:uid="{00000000-0005-0000-0000-0000E29E0000}"/>
    <cellStyle name="Normal 12 2 5 3 2 2" xfId="25173" xr:uid="{00000000-0005-0000-0000-0000E39E0000}"/>
    <cellStyle name="Normal 12 2 5 3 2 2 2" xfId="51047" xr:uid="{00000000-0005-0000-0000-0000E49E0000}"/>
    <cellStyle name="Normal 12 2 5 3 2 3" xfId="38131" xr:uid="{00000000-0005-0000-0000-0000E59E0000}"/>
    <cellStyle name="Normal 12 2 5 3 3" xfId="18715" xr:uid="{00000000-0005-0000-0000-0000E69E0000}"/>
    <cellStyle name="Normal 12 2 5 3 3 2" xfId="44589" xr:uid="{00000000-0005-0000-0000-0000E79E0000}"/>
    <cellStyle name="Normal 12 2 5 3 4" xfId="31673" xr:uid="{00000000-0005-0000-0000-0000E89E0000}"/>
    <cellStyle name="Normal 12 2 5 4" xfId="9028" xr:uid="{00000000-0005-0000-0000-0000E99E0000}"/>
    <cellStyle name="Normal 12 2 5 4 2" xfId="21945" xr:uid="{00000000-0005-0000-0000-0000EA9E0000}"/>
    <cellStyle name="Normal 12 2 5 4 2 2" xfId="47819" xr:uid="{00000000-0005-0000-0000-0000EB9E0000}"/>
    <cellStyle name="Normal 12 2 5 4 3" xfId="34903" xr:uid="{00000000-0005-0000-0000-0000EC9E0000}"/>
    <cellStyle name="Normal 12 2 5 5" xfId="15487" xr:uid="{00000000-0005-0000-0000-0000ED9E0000}"/>
    <cellStyle name="Normal 12 2 5 5 2" xfId="41361" xr:uid="{00000000-0005-0000-0000-0000EE9E0000}"/>
    <cellStyle name="Normal 12 2 5 6" xfId="28413" xr:uid="{00000000-0005-0000-0000-0000EF9E0000}"/>
    <cellStyle name="Normal 12 2 6" xfId="3343" xr:uid="{00000000-0005-0000-0000-0000F09E0000}"/>
    <cellStyle name="Normal 12 2 6 2" xfId="6604" xr:uid="{00000000-0005-0000-0000-0000F19E0000}"/>
    <cellStyle name="Normal 12 2 6 2 2" xfId="13063" xr:uid="{00000000-0005-0000-0000-0000F29E0000}"/>
    <cellStyle name="Normal 12 2 6 2 2 2" xfId="25980" xr:uid="{00000000-0005-0000-0000-0000F39E0000}"/>
    <cellStyle name="Normal 12 2 6 2 2 2 2" xfId="51854" xr:uid="{00000000-0005-0000-0000-0000F49E0000}"/>
    <cellStyle name="Normal 12 2 6 2 2 3" xfId="38938" xr:uid="{00000000-0005-0000-0000-0000F59E0000}"/>
    <cellStyle name="Normal 12 2 6 2 3" xfId="19522" xr:uid="{00000000-0005-0000-0000-0000F69E0000}"/>
    <cellStyle name="Normal 12 2 6 2 3 2" xfId="45396" xr:uid="{00000000-0005-0000-0000-0000F79E0000}"/>
    <cellStyle name="Normal 12 2 6 2 4" xfId="32480" xr:uid="{00000000-0005-0000-0000-0000F89E0000}"/>
    <cellStyle name="Normal 12 2 6 3" xfId="9835" xr:uid="{00000000-0005-0000-0000-0000F99E0000}"/>
    <cellStyle name="Normal 12 2 6 3 2" xfId="22752" xr:uid="{00000000-0005-0000-0000-0000FA9E0000}"/>
    <cellStyle name="Normal 12 2 6 3 2 2" xfId="48626" xr:uid="{00000000-0005-0000-0000-0000FB9E0000}"/>
    <cellStyle name="Normal 12 2 6 3 3" xfId="35710" xr:uid="{00000000-0005-0000-0000-0000FC9E0000}"/>
    <cellStyle name="Normal 12 2 6 4" xfId="16294" xr:uid="{00000000-0005-0000-0000-0000FD9E0000}"/>
    <cellStyle name="Normal 12 2 6 4 2" xfId="42168" xr:uid="{00000000-0005-0000-0000-0000FE9E0000}"/>
    <cellStyle name="Normal 12 2 6 5" xfId="29220" xr:uid="{00000000-0005-0000-0000-0000FF9E0000}"/>
    <cellStyle name="Normal 12 2 7" xfId="4990" xr:uid="{00000000-0005-0000-0000-0000009F0000}"/>
    <cellStyle name="Normal 12 2 7 2" xfId="11449" xr:uid="{00000000-0005-0000-0000-0000019F0000}"/>
    <cellStyle name="Normal 12 2 7 2 2" xfId="24366" xr:uid="{00000000-0005-0000-0000-0000029F0000}"/>
    <cellStyle name="Normal 12 2 7 2 2 2" xfId="50240" xr:uid="{00000000-0005-0000-0000-0000039F0000}"/>
    <cellStyle name="Normal 12 2 7 2 3" xfId="37324" xr:uid="{00000000-0005-0000-0000-0000049F0000}"/>
    <cellStyle name="Normal 12 2 7 3" xfId="17908" xr:uid="{00000000-0005-0000-0000-0000059F0000}"/>
    <cellStyle name="Normal 12 2 7 3 2" xfId="43782" xr:uid="{00000000-0005-0000-0000-0000069F0000}"/>
    <cellStyle name="Normal 12 2 7 4" xfId="30866" xr:uid="{00000000-0005-0000-0000-0000079F0000}"/>
    <cellStyle name="Normal 12 2 8" xfId="8221" xr:uid="{00000000-0005-0000-0000-0000089F0000}"/>
    <cellStyle name="Normal 12 2 8 2" xfId="21138" xr:uid="{00000000-0005-0000-0000-0000099F0000}"/>
    <cellStyle name="Normal 12 2 8 2 2" xfId="47012" xr:uid="{00000000-0005-0000-0000-00000A9F0000}"/>
    <cellStyle name="Normal 12 2 8 3" xfId="34096" xr:uid="{00000000-0005-0000-0000-00000B9F0000}"/>
    <cellStyle name="Normal 12 2 9" xfId="14680" xr:uid="{00000000-0005-0000-0000-00000C9F0000}"/>
    <cellStyle name="Normal 12 2 9 2" xfId="40554" xr:uid="{00000000-0005-0000-0000-00000D9F0000}"/>
    <cellStyle name="Normal 12 3" xfId="1723" xr:uid="{00000000-0005-0000-0000-00000E9F0000}"/>
    <cellStyle name="Normal 12 3 10" xfId="53584" xr:uid="{00000000-0005-0000-0000-00000F9F0000}"/>
    <cellStyle name="Normal 12 3 2" xfId="1993" xr:uid="{00000000-0005-0000-0000-0000109F0000}"/>
    <cellStyle name="Normal 12 3 2 2" xfId="2424" xr:uid="{00000000-0005-0000-0000-0000119F0000}"/>
    <cellStyle name="Normal 12 3 2 2 2" xfId="3237" xr:uid="{00000000-0005-0000-0000-0000129F0000}"/>
    <cellStyle name="Normal 12 3 2 2 2 2" xfId="4894" xr:uid="{00000000-0005-0000-0000-0000139F0000}"/>
    <cellStyle name="Normal 12 3 2 2 2 2 2" xfId="8125" xr:uid="{00000000-0005-0000-0000-0000149F0000}"/>
    <cellStyle name="Normal 12 3 2 2 2 2 2 2" xfId="14584" xr:uid="{00000000-0005-0000-0000-0000159F0000}"/>
    <cellStyle name="Normal 12 3 2 2 2 2 2 2 2" xfId="27501" xr:uid="{00000000-0005-0000-0000-0000169F0000}"/>
    <cellStyle name="Normal 12 3 2 2 2 2 2 2 2 2" xfId="53375" xr:uid="{00000000-0005-0000-0000-0000179F0000}"/>
    <cellStyle name="Normal 12 3 2 2 2 2 2 2 3" xfId="40459" xr:uid="{00000000-0005-0000-0000-0000189F0000}"/>
    <cellStyle name="Normal 12 3 2 2 2 2 2 3" xfId="21043" xr:uid="{00000000-0005-0000-0000-0000199F0000}"/>
    <cellStyle name="Normal 12 3 2 2 2 2 2 3 2" xfId="46917" xr:uid="{00000000-0005-0000-0000-00001A9F0000}"/>
    <cellStyle name="Normal 12 3 2 2 2 2 2 4" xfId="34001" xr:uid="{00000000-0005-0000-0000-00001B9F0000}"/>
    <cellStyle name="Normal 12 3 2 2 2 2 3" xfId="11356" xr:uid="{00000000-0005-0000-0000-00001C9F0000}"/>
    <cellStyle name="Normal 12 3 2 2 2 2 3 2" xfId="24273" xr:uid="{00000000-0005-0000-0000-00001D9F0000}"/>
    <cellStyle name="Normal 12 3 2 2 2 2 3 2 2" xfId="50147" xr:uid="{00000000-0005-0000-0000-00001E9F0000}"/>
    <cellStyle name="Normal 12 3 2 2 2 2 3 3" xfId="37231" xr:uid="{00000000-0005-0000-0000-00001F9F0000}"/>
    <cellStyle name="Normal 12 3 2 2 2 2 4" xfId="17815" xr:uid="{00000000-0005-0000-0000-0000209F0000}"/>
    <cellStyle name="Normal 12 3 2 2 2 2 4 2" xfId="43689" xr:uid="{00000000-0005-0000-0000-0000219F0000}"/>
    <cellStyle name="Normal 12 3 2 2 2 2 5" xfId="30741" xr:uid="{00000000-0005-0000-0000-0000229F0000}"/>
    <cellStyle name="Normal 12 3 2 2 2 3" xfId="6511" xr:uid="{00000000-0005-0000-0000-0000239F0000}"/>
    <cellStyle name="Normal 12 3 2 2 2 3 2" xfId="12970" xr:uid="{00000000-0005-0000-0000-0000249F0000}"/>
    <cellStyle name="Normal 12 3 2 2 2 3 2 2" xfId="25887" xr:uid="{00000000-0005-0000-0000-0000259F0000}"/>
    <cellStyle name="Normal 12 3 2 2 2 3 2 2 2" xfId="51761" xr:uid="{00000000-0005-0000-0000-0000269F0000}"/>
    <cellStyle name="Normal 12 3 2 2 2 3 2 3" xfId="38845" xr:uid="{00000000-0005-0000-0000-0000279F0000}"/>
    <cellStyle name="Normal 12 3 2 2 2 3 3" xfId="19429" xr:uid="{00000000-0005-0000-0000-0000289F0000}"/>
    <cellStyle name="Normal 12 3 2 2 2 3 3 2" xfId="45303" xr:uid="{00000000-0005-0000-0000-0000299F0000}"/>
    <cellStyle name="Normal 12 3 2 2 2 3 4" xfId="32387" xr:uid="{00000000-0005-0000-0000-00002A9F0000}"/>
    <cellStyle name="Normal 12 3 2 2 2 4" xfId="9742" xr:uid="{00000000-0005-0000-0000-00002B9F0000}"/>
    <cellStyle name="Normal 12 3 2 2 2 4 2" xfId="22659" xr:uid="{00000000-0005-0000-0000-00002C9F0000}"/>
    <cellStyle name="Normal 12 3 2 2 2 4 2 2" xfId="48533" xr:uid="{00000000-0005-0000-0000-00002D9F0000}"/>
    <cellStyle name="Normal 12 3 2 2 2 4 3" xfId="35617" xr:uid="{00000000-0005-0000-0000-00002E9F0000}"/>
    <cellStyle name="Normal 12 3 2 2 2 5" xfId="16201" xr:uid="{00000000-0005-0000-0000-00002F9F0000}"/>
    <cellStyle name="Normal 12 3 2 2 2 5 2" xfId="42075" xr:uid="{00000000-0005-0000-0000-0000309F0000}"/>
    <cellStyle name="Normal 12 3 2 2 2 6" xfId="29127" xr:uid="{00000000-0005-0000-0000-0000319F0000}"/>
    <cellStyle name="Normal 12 3 2 2 3" xfId="4064" xr:uid="{00000000-0005-0000-0000-0000329F0000}"/>
    <cellStyle name="Normal 12 3 2 2 3 2" xfId="7318" xr:uid="{00000000-0005-0000-0000-0000339F0000}"/>
    <cellStyle name="Normal 12 3 2 2 3 2 2" xfId="13777" xr:uid="{00000000-0005-0000-0000-0000349F0000}"/>
    <cellStyle name="Normal 12 3 2 2 3 2 2 2" xfId="26694" xr:uid="{00000000-0005-0000-0000-0000359F0000}"/>
    <cellStyle name="Normal 12 3 2 2 3 2 2 2 2" xfId="52568" xr:uid="{00000000-0005-0000-0000-0000369F0000}"/>
    <cellStyle name="Normal 12 3 2 2 3 2 2 3" xfId="39652" xr:uid="{00000000-0005-0000-0000-0000379F0000}"/>
    <cellStyle name="Normal 12 3 2 2 3 2 3" xfId="20236" xr:uid="{00000000-0005-0000-0000-0000389F0000}"/>
    <cellStyle name="Normal 12 3 2 2 3 2 3 2" xfId="46110" xr:uid="{00000000-0005-0000-0000-0000399F0000}"/>
    <cellStyle name="Normal 12 3 2 2 3 2 4" xfId="33194" xr:uid="{00000000-0005-0000-0000-00003A9F0000}"/>
    <cellStyle name="Normal 12 3 2 2 3 3" xfId="10549" xr:uid="{00000000-0005-0000-0000-00003B9F0000}"/>
    <cellStyle name="Normal 12 3 2 2 3 3 2" xfId="23466" xr:uid="{00000000-0005-0000-0000-00003C9F0000}"/>
    <cellStyle name="Normal 12 3 2 2 3 3 2 2" xfId="49340" xr:uid="{00000000-0005-0000-0000-00003D9F0000}"/>
    <cellStyle name="Normal 12 3 2 2 3 3 3" xfId="36424" xr:uid="{00000000-0005-0000-0000-00003E9F0000}"/>
    <cellStyle name="Normal 12 3 2 2 3 4" xfId="17008" xr:uid="{00000000-0005-0000-0000-00003F9F0000}"/>
    <cellStyle name="Normal 12 3 2 2 3 4 2" xfId="42882" xr:uid="{00000000-0005-0000-0000-0000409F0000}"/>
    <cellStyle name="Normal 12 3 2 2 3 5" xfId="29934" xr:uid="{00000000-0005-0000-0000-0000419F0000}"/>
    <cellStyle name="Normal 12 3 2 2 4" xfId="5704" xr:uid="{00000000-0005-0000-0000-0000429F0000}"/>
    <cellStyle name="Normal 12 3 2 2 4 2" xfId="12163" xr:uid="{00000000-0005-0000-0000-0000439F0000}"/>
    <cellStyle name="Normal 12 3 2 2 4 2 2" xfId="25080" xr:uid="{00000000-0005-0000-0000-0000449F0000}"/>
    <cellStyle name="Normal 12 3 2 2 4 2 2 2" xfId="50954" xr:uid="{00000000-0005-0000-0000-0000459F0000}"/>
    <cellStyle name="Normal 12 3 2 2 4 2 3" xfId="38038" xr:uid="{00000000-0005-0000-0000-0000469F0000}"/>
    <cellStyle name="Normal 12 3 2 2 4 3" xfId="18622" xr:uid="{00000000-0005-0000-0000-0000479F0000}"/>
    <cellStyle name="Normal 12 3 2 2 4 3 2" xfId="44496" xr:uid="{00000000-0005-0000-0000-0000489F0000}"/>
    <cellStyle name="Normal 12 3 2 2 4 4" xfId="31580" xr:uid="{00000000-0005-0000-0000-0000499F0000}"/>
    <cellStyle name="Normal 12 3 2 2 5" xfId="8935" xr:uid="{00000000-0005-0000-0000-00004A9F0000}"/>
    <cellStyle name="Normal 12 3 2 2 5 2" xfId="21852" xr:uid="{00000000-0005-0000-0000-00004B9F0000}"/>
    <cellStyle name="Normal 12 3 2 2 5 2 2" xfId="47726" xr:uid="{00000000-0005-0000-0000-00004C9F0000}"/>
    <cellStyle name="Normal 12 3 2 2 5 3" xfId="34810" xr:uid="{00000000-0005-0000-0000-00004D9F0000}"/>
    <cellStyle name="Normal 12 3 2 2 6" xfId="15394" xr:uid="{00000000-0005-0000-0000-00004E9F0000}"/>
    <cellStyle name="Normal 12 3 2 2 6 2" xfId="41268" xr:uid="{00000000-0005-0000-0000-00004F9F0000}"/>
    <cellStyle name="Normal 12 3 2 2 7" xfId="28320" xr:uid="{00000000-0005-0000-0000-0000509F0000}"/>
    <cellStyle name="Normal 12 3 2 2 8" xfId="54182" xr:uid="{00000000-0005-0000-0000-0000519F0000}"/>
    <cellStyle name="Normal 12 3 2 3" xfId="2833" xr:uid="{00000000-0005-0000-0000-0000529F0000}"/>
    <cellStyle name="Normal 12 3 2 3 2" xfId="4490" xr:uid="{00000000-0005-0000-0000-0000539F0000}"/>
    <cellStyle name="Normal 12 3 2 3 2 2" xfId="7721" xr:uid="{00000000-0005-0000-0000-0000549F0000}"/>
    <cellStyle name="Normal 12 3 2 3 2 2 2" xfId="14180" xr:uid="{00000000-0005-0000-0000-0000559F0000}"/>
    <cellStyle name="Normal 12 3 2 3 2 2 2 2" xfId="27097" xr:uid="{00000000-0005-0000-0000-0000569F0000}"/>
    <cellStyle name="Normal 12 3 2 3 2 2 2 2 2" xfId="52971" xr:uid="{00000000-0005-0000-0000-0000579F0000}"/>
    <cellStyle name="Normal 12 3 2 3 2 2 2 3" xfId="40055" xr:uid="{00000000-0005-0000-0000-0000589F0000}"/>
    <cellStyle name="Normal 12 3 2 3 2 2 3" xfId="20639" xr:uid="{00000000-0005-0000-0000-0000599F0000}"/>
    <cellStyle name="Normal 12 3 2 3 2 2 3 2" xfId="46513" xr:uid="{00000000-0005-0000-0000-00005A9F0000}"/>
    <cellStyle name="Normal 12 3 2 3 2 2 4" xfId="33597" xr:uid="{00000000-0005-0000-0000-00005B9F0000}"/>
    <cellStyle name="Normal 12 3 2 3 2 3" xfId="10952" xr:uid="{00000000-0005-0000-0000-00005C9F0000}"/>
    <cellStyle name="Normal 12 3 2 3 2 3 2" xfId="23869" xr:uid="{00000000-0005-0000-0000-00005D9F0000}"/>
    <cellStyle name="Normal 12 3 2 3 2 3 2 2" xfId="49743" xr:uid="{00000000-0005-0000-0000-00005E9F0000}"/>
    <cellStyle name="Normal 12 3 2 3 2 3 3" xfId="36827" xr:uid="{00000000-0005-0000-0000-00005F9F0000}"/>
    <cellStyle name="Normal 12 3 2 3 2 4" xfId="17411" xr:uid="{00000000-0005-0000-0000-0000609F0000}"/>
    <cellStyle name="Normal 12 3 2 3 2 4 2" xfId="43285" xr:uid="{00000000-0005-0000-0000-0000619F0000}"/>
    <cellStyle name="Normal 12 3 2 3 2 5" xfId="30337" xr:uid="{00000000-0005-0000-0000-0000629F0000}"/>
    <cellStyle name="Normal 12 3 2 3 3" xfId="6107" xr:uid="{00000000-0005-0000-0000-0000639F0000}"/>
    <cellStyle name="Normal 12 3 2 3 3 2" xfId="12566" xr:uid="{00000000-0005-0000-0000-0000649F0000}"/>
    <cellStyle name="Normal 12 3 2 3 3 2 2" xfId="25483" xr:uid="{00000000-0005-0000-0000-0000659F0000}"/>
    <cellStyle name="Normal 12 3 2 3 3 2 2 2" xfId="51357" xr:uid="{00000000-0005-0000-0000-0000669F0000}"/>
    <cellStyle name="Normal 12 3 2 3 3 2 3" xfId="38441" xr:uid="{00000000-0005-0000-0000-0000679F0000}"/>
    <cellStyle name="Normal 12 3 2 3 3 3" xfId="19025" xr:uid="{00000000-0005-0000-0000-0000689F0000}"/>
    <cellStyle name="Normal 12 3 2 3 3 3 2" xfId="44899" xr:uid="{00000000-0005-0000-0000-0000699F0000}"/>
    <cellStyle name="Normal 12 3 2 3 3 4" xfId="31983" xr:uid="{00000000-0005-0000-0000-00006A9F0000}"/>
    <cellStyle name="Normal 12 3 2 3 4" xfId="9338" xr:uid="{00000000-0005-0000-0000-00006B9F0000}"/>
    <cellStyle name="Normal 12 3 2 3 4 2" xfId="22255" xr:uid="{00000000-0005-0000-0000-00006C9F0000}"/>
    <cellStyle name="Normal 12 3 2 3 4 2 2" xfId="48129" xr:uid="{00000000-0005-0000-0000-00006D9F0000}"/>
    <cellStyle name="Normal 12 3 2 3 4 3" xfId="35213" xr:uid="{00000000-0005-0000-0000-00006E9F0000}"/>
    <cellStyle name="Normal 12 3 2 3 5" xfId="15797" xr:uid="{00000000-0005-0000-0000-00006F9F0000}"/>
    <cellStyle name="Normal 12 3 2 3 5 2" xfId="41671" xr:uid="{00000000-0005-0000-0000-0000709F0000}"/>
    <cellStyle name="Normal 12 3 2 3 6" xfId="28723" xr:uid="{00000000-0005-0000-0000-0000719F0000}"/>
    <cellStyle name="Normal 12 3 2 4" xfId="3660" xr:uid="{00000000-0005-0000-0000-0000729F0000}"/>
    <cellStyle name="Normal 12 3 2 4 2" xfId="6914" xr:uid="{00000000-0005-0000-0000-0000739F0000}"/>
    <cellStyle name="Normal 12 3 2 4 2 2" xfId="13373" xr:uid="{00000000-0005-0000-0000-0000749F0000}"/>
    <cellStyle name="Normal 12 3 2 4 2 2 2" xfId="26290" xr:uid="{00000000-0005-0000-0000-0000759F0000}"/>
    <cellStyle name="Normal 12 3 2 4 2 2 2 2" xfId="52164" xr:uid="{00000000-0005-0000-0000-0000769F0000}"/>
    <cellStyle name="Normal 12 3 2 4 2 2 3" xfId="39248" xr:uid="{00000000-0005-0000-0000-0000779F0000}"/>
    <cellStyle name="Normal 12 3 2 4 2 3" xfId="19832" xr:uid="{00000000-0005-0000-0000-0000789F0000}"/>
    <cellStyle name="Normal 12 3 2 4 2 3 2" xfId="45706" xr:uid="{00000000-0005-0000-0000-0000799F0000}"/>
    <cellStyle name="Normal 12 3 2 4 2 4" xfId="32790" xr:uid="{00000000-0005-0000-0000-00007A9F0000}"/>
    <cellStyle name="Normal 12 3 2 4 3" xfId="10145" xr:uid="{00000000-0005-0000-0000-00007B9F0000}"/>
    <cellStyle name="Normal 12 3 2 4 3 2" xfId="23062" xr:uid="{00000000-0005-0000-0000-00007C9F0000}"/>
    <cellStyle name="Normal 12 3 2 4 3 2 2" xfId="48936" xr:uid="{00000000-0005-0000-0000-00007D9F0000}"/>
    <cellStyle name="Normal 12 3 2 4 3 3" xfId="36020" xr:uid="{00000000-0005-0000-0000-00007E9F0000}"/>
    <cellStyle name="Normal 12 3 2 4 4" xfId="16604" xr:uid="{00000000-0005-0000-0000-00007F9F0000}"/>
    <cellStyle name="Normal 12 3 2 4 4 2" xfId="42478" xr:uid="{00000000-0005-0000-0000-0000809F0000}"/>
    <cellStyle name="Normal 12 3 2 4 5" xfId="29530" xr:uid="{00000000-0005-0000-0000-0000819F0000}"/>
    <cellStyle name="Normal 12 3 2 5" xfId="5300" xr:uid="{00000000-0005-0000-0000-0000829F0000}"/>
    <cellStyle name="Normal 12 3 2 5 2" xfId="11759" xr:uid="{00000000-0005-0000-0000-0000839F0000}"/>
    <cellStyle name="Normal 12 3 2 5 2 2" xfId="24676" xr:uid="{00000000-0005-0000-0000-0000849F0000}"/>
    <cellStyle name="Normal 12 3 2 5 2 2 2" xfId="50550" xr:uid="{00000000-0005-0000-0000-0000859F0000}"/>
    <cellStyle name="Normal 12 3 2 5 2 3" xfId="37634" xr:uid="{00000000-0005-0000-0000-0000869F0000}"/>
    <cellStyle name="Normal 12 3 2 5 3" xfId="18218" xr:uid="{00000000-0005-0000-0000-0000879F0000}"/>
    <cellStyle name="Normal 12 3 2 5 3 2" xfId="44092" xr:uid="{00000000-0005-0000-0000-0000889F0000}"/>
    <cellStyle name="Normal 12 3 2 5 4" xfId="31176" xr:uid="{00000000-0005-0000-0000-0000899F0000}"/>
    <cellStyle name="Normal 12 3 2 6" xfId="8531" xr:uid="{00000000-0005-0000-0000-00008A9F0000}"/>
    <cellStyle name="Normal 12 3 2 6 2" xfId="21448" xr:uid="{00000000-0005-0000-0000-00008B9F0000}"/>
    <cellStyle name="Normal 12 3 2 6 2 2" xfId="47322" xr:uid="{00000000-0005-0000-0000-00008C9F0000}"/>
    <cellStyle name="Normal 12 3 2 6 3" xfId="34406" xr:uid="{00000000-0005-0000-0000-00008D9F0000}"/>
    <cellStyle name="Normal 12 3 2 7" xfId="14990" xr:uid="{00000000-0005-0000-0000-00008E9F0000}"/>
    <cellStyle name="Normal 12 3 2 7 2" xfId="40864" xr:uid="{00000000-0005-0000-0000-00008F9F0000}"/>
    <cellStyle name="Normal 12 3 2 8" xfId="27915" xr:uid="{00000000-0005-0000-0000-0000909F0000}"/>
    <cellStyle name="Normal 12 3 2 9" xfId="53778" xr:uid="{00000000-0005-0000-0000-0000919F0000}"/>
    <cellStyle name="Normal 12 3 3" xfId="2228" xr:uid="{00000000-0005-0000-0000-0000929F0000}"/>
    <cellStyle name="Normal 12 3 3 2" xfId="3042" xr:uid="{00000000-0005-0000-0000-0000939F0000}"/>
    <cellStyle name="Normal 12 3 3 2 2" xfId="4699" xr:uid="{00000000-0005-0000-0000-0000949F0000}"/>
    <cellStyle name="Normal 12 3 3 2 2 2" xfId="7930" xr:uid="{00000000-0005-0000-0000-0000959F0000}"/>
    <cellStyle name="Normal 12 3 3 2 2 2 2" xfId="14389" xr:uid="{00000000-0005-0000-0000-0000969F0000}"/>
    <cellStyle name="Normal 12 3 3 2 2 2 2 2" xfId="27306" xr:uid="{00000000-0005-0000-0000-0000979F0000}"/>
    <cellStyle name="Normal 12 3 3 2 2 2 2 2 2" xfId="53180" xr:uid="{00000000-0005-0000-0000-0000989F0000}"/>
    <cellStyle name="Normal 12 3 3 2 2 2 2 3" xfId="40264" xr:uid="{00000000-0005-0000-0000-0000999F0000}"/>
    <cellStyle name="Normal 12 3 3 2 2 2 3" xfId="20848" xr:uid="{00000000-0005-0000-0000-00009A9F0000}"/>
    <cellStyle name="Normal 12 3 3 2 2 2 3 2" xfId="46722" xr:uid="{00000000-0005-0000-0000-00009B9F0000}"/>
    <cellStyle name="Normal 12 3 3 2 2 2 4" xfId="33806" xr:uid="{00000000-0005-0000-0000-00009C9F0000}"/>
    <cellStyle name="Normal 12 3 3 2 2 3" xfId="11161" xr:uid="{00000000-0005-0000-0000-00009D9F0000}"/>
    <cellStyle name="Normal 12 3 3 2 2 3 2" xfId="24078" xr:uid="{00000000-0005-0000-0000-00009E9F0000}"/>
    <cellStyle name="Normal 12 3 3 2 2 3 2 2" xfId="49952" xr:uid="{00000000-0005-0000-0000-00009F9F0000}"/>
    <cellStyle name="Normal 12 3 3 2 2 3 3" xfId="37036" xr:uid="{00000000-0005-0000-0000-0000A09F0000}"/>
    <cellStyle name="Normal 12 3 3 2 2 4" xfId="17620" xr:uid="{00000000-0005-0000-0000-0000A19F0000}"/>
    <cellStyle name="Normal 12 3 3 2 2 4 2" xfId="43494" xr:uid="{00000000-0005-0000-0000-0000A29F0000}"/>
    <cellStyle name="Normal 12 3 3 2 2 5" xfId="30546" xr:uid="{00000000-0005-0000-0000-0000A39F0000}"/>
    <cellStyle name="Normal 12 3 3 2 3" xfId="6316" xr:uid="{00000000-0005-0000-0000-0000A49F0000}"/>
    <cellStyle name="Normal 12 3 3 2 3 2" xfId="12775" xr:uid="{00000000-0005-0000-0000-0000A59F0000}"/>
    <cellStyle name="Normal 12 3 3 2 3 2 2" xfId="25692" xr:uid="{00000000-0005-0000-0000-0000A69F0000}"/>
    <cellStyle name="Normal 12 3 3 2 3 2 2 2" xfId="51566" xr:uid="{00000000-0005-0000-0000-0000A79F0000}"/>
    <cellStyle name="Normal 12 3 3 2 3 2 3" xfId="38650" xr:uid="{00000000-0005-0000-0000-0000A89F0000}"/>
    <cellStyle name="Normal 12 3 3 2 3 3" xfId="19234" xr:uid="{00000000-0005-0000-0000-0000A99F0000}"/>
    <cellStyle name="Normal 12 3 3 2 3 3 2" xfId="45108" xr:uid="{00000000-0005-0000-0000-0000AA9F0000}"/>
    <cellStyle name="Normal 12 3 3 2 3 4" xfId="32192" xr:uid="{00000000-0005-0000-0000-0000AB9F0000}"/>
    <cellStyle name="Normal 12 3 3 2 4" xfId="9547" xr:uid="{00000000-0005-0000-0000-0000AC9F0000}"/>
    <cellStyle name="Normal 12 3 3 2 4 2" xfId="22464" xr:uid="{00000000-0005-0000-0000-0000AD9F0000}"/>
    <cellStyle name="Normal 12 3 3 2 4 2 2" xfId="48338" xr:uid="{00000000-0005-0000-0000-0000AE9F0000}"/>
    <cellStyle name="Normal 12 3 3 2 4 3" xfId="35422" xr:uid="{00000000-0005-0000-0000-0000AF9F0000}"/>
    <cellStyle name="Normal 12 3 3 2 5" xfId="16006" xr:uid="{00000000-0005-0000-0000-0000B09F0000}"/>
    <cellStyle name="Normal 12 3 3 2 5 2" xfId="41880" xr:uid="{00000000-0005-0000-0000-0000B19F0000}"/>
    <cellStyle name="Normal 12 3 3 2 6" xfId="28932" xr:uid="{00000000-0005-0000-0000-0000B29F0000}"/>
    <cellStyle name="Normal 12 3 3 3" xfId="3869" xr:uid="{00000000-0005-0000-0000-0000B39F0000}"/>
    <cellStyle name="Normal 12 3 3 3 2" xfId="7123" xr:uid="{00000000-0005-0000-0000-0000B49F0000}"/>
    <cellStyle name="Normal 12 3 3 3 2 2" xfId="13582" xr:uid="{00000000-0005-0000-0000-0000B59F0000}"/>
    <cellStyle name="Normal 12 3 3 3 2 2 2" xfId="26499" xr:uid="{00000000-0005-0000-0000-0000B69F0000}"/>
    <cellStyle name="Normal 12 3 3 3 2 2 2 2" xfId="52373" xr:uid="{00000000-0005-0000-0000-0000B79F0000}"/>
    <cellStyle name="Normal 12 3 3 3 2 2 3" xfId="39457" xr:uid="{00000000-0005-0000-0000-0000B89F0000}"/>
    <cellStyle name="Normal 12 3 3 3 2 3" xfId="20041" xr:uid="{00000000-0005-0000-0000-0000B99F0000}"/>
    <cellStyle name="Normal 12 3 3 3 2 3 2" xfId="45915" xr:uid="{00000000-0005-0000-0000-0000BA9F0000}"/>
    <cellStyle name="Normal 12 3 3 3 2 4" xfId="32999" xr:uid="{00000000-0005-0000-0000-0000BB9F0000}"/>
    <cellStyle name="Normal 12 3 3 3 3" xfId="10354" xr:uid="{00000000-0005-0000-0000-0000BC9F0000}"/>
    <cellStyle name="Normal 12 3 3 3 3 2" xfId="23271" xr:uid="{00000000-0005-0000-0000-0000BD9F0000}"/>
    <cellStyle name="Normal 12 3 3 3 3 2 2" xfId="49145" xr:uid="{00000000-0005-0000-0000-0000BE9F0000}"/>
    <cellStyle name="Normal 12 3 3 3 3 3" xfId="36229" xr:uid="{00000000-0005-0000-0000-0000BF9F0000}"/>
    <cellStyle name="Normal 12 3 3 3 4" xfId="16813" xr:uid="{00000000-0005-0000-0000-0000C09F0000}"/>
    <cellStyle name="Normal 12 3 3 3 4 2" xfId="42687" xr:uid="{00000000-0005-0000-0000-0000C19F0000}"/>
    <cellStyle name="Normal 12 3 3 3 5" xfId="29739" xr:uid="{00000000-0005-0000-0000-0000C29F0000}"/>
    <cellStyle name="Normal 12 3 3 4" xfId="5509" xr:uid="{00000000-0005-0000-0000-0000C39F0000}"/>
    <cellStyle name="Normal 12 3 3 4 2" xfId="11968" xr:uid="{00000000-0005-0000-0000-0000C49F0000}"/>
    <cellStyle name="Normal 12 3 3 4 2 2" xfId="24885" xr:uid="{00000000-0005-0000-0000-0000C59F0000}"/>
    <cellStyle name="Normal 12 3 3 4 2 2 2" xfId="50759" xr:uid="{00000000-0005-0000-0000-0000C69F0000}"/>
    <cellStyle name="Normal 12 3 3 4 2 3" xfId="37843" xr:uid="{00000000-0005-0000-0000-0000C79F0000}"/>
    <cellStyle name="Normal 12 3 3 4 3" xfId="18427" xr:uid="{00000000-0005-0000-0000-0000C89F0000}"/>
    <cellStyle name="Normal 12 3 3 4 3 2" xfId="44301" xr:uid="{00000000-0005-0000-0000-0000C99F0000}"/>
    <cellStyle name="Normal 12 3 3 4 4" xfId="31385" xr:uid="{00000000-0005-0000-0000-0000CA9F0000}"/>
    <cellStyle name="Normal 12 3 3 5" xfId="8740" xr:uid="{00000000-0005-0000-0000-0000CB9F0000}"/>
    <cellStyle name="Normal 12 3 3 5 2" xfId="21657" xr:uid="{00000000-0005-0000-0000-0000CC9F0000}"/>
    <cellStyle name="Normal 12 3 3 5 2 2" xfId="47531" xr:uid="{00000000-0005-0000-0000-0000CD9F0000}"/>
    <cellStyle name="Normal 12 3 3 5 3" xfId="34615" xr:uid="{00000000-0005-0000-0000-0000CE9F0000}"/>
    <cellStyle name="Normal 12 3 3 6" xfId="15199" xr:uid="{00000000-0005-0000-0000-0000CF9F0000}"/>
    <cellStyle name="Normal 12 3 3 6 2" xfId="41073" xr:uid="{00000000-0005-0000-0000-0000D09F0000}"/>
    <cellStyle name="Normal 12 3 3 7" xfId="28125" xr:uid="{00000000-0005-0000-0000-0000D19F0000}"/>
    <cellStyle name="Normal 12 3 3 8" xfId="53987" xr:uid="{00000000-0005-0000-0000-0000D29F0000}"/>
    <cellStyle name="Normal 12 3 4" xfId="2639" xr:uid="{00000000-0005-0000-0000-0000D39F0000}"/>
    <cellStyle name="Normal 12 3 4 2" xfId="4296" xr:uid="{00000000-0005-0000-0000-0000D49F0000}"/>
    <cellStyle name="Normal 12 3 4 2 2" xfId="7527" xr:uid="{00000000-0005-0000-0000-0000D59F0000}"/>
    <cellStyle name="Normal 12 3 4 2 2 2" xfId="13986" xr:uid="{00000000-0005-0000-0000-0000D69F0000}"/>
    <cellStyle name="Normal 12 3 4 2 2 2 2" xfId="26903" xr:uid="{00000000-0005-0000-0000-0000D79F0000}"/>
    <cellStyle name="Normal 12 3 4 2 2 2 2 2" xfId="52777" xr:uid="{00000000-0005-0000-0000-0000D89F0000}"/>
    <cellStyle name="Normal 12 3 4 2 2 2 3" xfId="39861" xr:uid="{00000000-0005-0000-0000-0000D99F0000}"/>
    <cellStyle name="Normal 12 3 4 2 2 3" xfId="20445" xr:uid="{00000000-0005-0000-0000-0000DA9F0000}"/>
    <cellStyle name="Normal 12 3 4 2 2 3 2" xfId="46319" xr:uid="{00000000-0005-0000-0000-0000DB9F0000}"/>
    <cellStyle name="Normal 12 3 4 2 2 4" xfId="33403" xr:uid="{00000000-0005-0000-0000-0000DC9F0000}"/>
    <cellStyle name="Normal 12 3 4 2 3" xfId="10758" xr:uid="{00000000-0005-0000-0000-0000DD9F0000}"/>
    <cellStyle name="Normal 12 3 4 2 3 2" xfId="23675" xr:uid="{00000000-0005-0000-0000-0000DE9F0000}"/>
    <cellStyle name="Normal 12 3 4 2 3 2 2" xfId="49549" xr:uid="{00000000-0005-0000-0000-0000DF9F0000}"/>
    <cellStyle name="Normal 12 3 4 2 3 3" xfId="36633" xr:uid="{00000000-0005-0000-0000-0000E09F0000}"/>
    <cellStyle name="Normal 12 3 4 2 4" xfId="17217" xr:uid="{00000000-0005-0000-0000-0000E19F0000}"/>
    <cellStyle name="Normal 12 3 4 2 4 2" xfId="43091" xr:uid="{00000000-0005-0000-0000-0000E29F0000}"/>
    <cellStyle name="Normal 12 3 4 2 5" xfId="30143" xr:uid="{00000000-0005-0000-0000-0000E39F0000}"/>
    <cellStyle name="Normal 12 3 4 3" xfId="5913" xr:uid="{00000000-0005-0000-0000-0000E49F0000}"/>
    <cellStyle name="Normal 12 3 4 3 2" xfId="12372" xr:uid="{00000000-0005-0000-0000-0000E59F0000}"/>
    <cellStyle name="Normal 12 3 4 3 2 2" xfId="25289" xr:uid="{00000000-0005-0000-0000-0000E69F0000}"/>
    <cellStyle name="Normal 12 3 4 3 2 2 2" xfId="51163" xr:uid="{00000000-0005-0000-0000-0000E79F0000}"/>
    <cellStyle name="Normal 12 3 4 3 2 3" xfId="38247" xr:uid="{00000000-0005-0000-0000-0000E89F0000}"/>
    <cellStyle name="Normal 12 3 4 3 3" xfId="18831" xr:uid="{00000000-0005-0000-0000-0000E99F0000}"/>
    <cellStyle name="Normal 12 3 4 3 3 2" xfId="44705" xr:uid="{00000000-0005-0000-0000-0000EA9F0000}"/>
    <cellStyle name="Normal 12 3 4 3 4" xfId="31789" xr:uid="{00000000-0005-0000-0000-0000EB9F0000}"/>
    <cellStyle name="Normal 12 3 4 4" xfId="9144" xr:uid="{00000000-0005-0000-0000-0000EC9F0000}"/>
    <cellStyle name="Normal 12 3 4 4 2" xfId="22061" xr:uid="{00000000-0005-0000-0000-0000ED9F0000}"/>
    <cellStyle name="Normal 12 3 4 4 2 2" xfId="47935" xr:uid="{00000000-0005-0000-0000-0000EE9F0000}"/>
    <cellStyle name="Normal 12 3 4 4 3" xfId="35019" xr:uid="{00000000-0005-0000-0000-0000EF9F0000}"/>
    <cellStyle name="Normal 12 3 4 5" xfId="15603" xr:uid="{00000000-0005-0000-0000-0000F09F0000}"/>
    <cellStyle name="Normal 12 3 4 5 2" xfId="41477" xr:uid="{00000000-0005-0000-0000-0000F19F0000}"/>
    <cellStyle name="Normal 12 3 4 6" xfId="28529" xr:uid="{00000000-0005-0000-0000-0000F29F0000}"/>
    <cellStyle name="Normal 12 3 5" xfId="3466" xr:uid="{00000000-0005-0000-0000-0000F39F0000}"/>
    <cellStyle name="Normal 12 3 5 2" xfId="6720" xr:uid="{00000000-0005-0000-0000-0000F49F0000}"/>
    <cellStyle name="Normal 12 3 5 2 2" xfId="13179" xr:uid="{00000000-0005-0000-0000-0000F59F0000}"/>
    <cellStyle name="Normal 12 3 5 2 2 2" xfId="26096" xr:uid="{00000000-0005-0000-0000-0000F69F0000}"/>
    <cellStyle name="Normal 12 3 5 2 2 2 2" xfId="51970" xr:uid="{00000000-0005-0000-0000-0000F79F0000}"/>
    <cellStyle name="Normal 12 3 5 2 2 3" xfId="39054" xr:uid="{00000000-0005-0000-0000-0000F89F0000}"/>
    <cellStyle name="Normal 12 3 5 2 3" xfId="19638" xr:uid="{00000000-0005-0000-0000-0000F99F0000}"/>
    <cellStyle name="Normal 12 3 5 2 3 2" xfId="45512" xr:uid="{00000000-0005-0000-0000-0000FA9F0000}"/>
    <cellStyle name="Normal 12 3 5 2 4" xfId="32596" xr:uid="{00000000-0005-0000-0000-0000FB9F0000}"/>
    <cellStyle name="Normal 12 3 5 3" xfId="9951" xr:uid="{00000000-0005-0000-0000-0000FC9F0000}"/>
    <cellStyle name="Normal 12 3 5 3 2" xfId="22868" xr:uid="{00000000-0005-0000-0000-0000FD9F0000}"/>
    <cellStyle name="Normal 12 3 5 3 2 2" xfId="48742" xr:uid="{00000000-0005-0000-0000-0000FE9F0000}"/>
    <cellStyle name="Normal 12 3 5 3 3" xfId="35826" xr:uid="{00000000-0005-0000-0000-0000FF9F0000}"/>
    <cellStyle name="Normal 12 3 5 4" xfId="16410" xr:uid="{00000000-0005-0000-0000-000000A00000}"/>
    <cellStyle name="Normal 12 3 5 4 2" xfId="42284" xr:uid="{00000000-0005-0000-0000-000001A00000}"/>
    <cellStyle name="Normal 12 3 5 5" xfId="29336" xr:uid="{00000000-0005-0000-0000-000002A00000}"/>
    <cellStyle name="Normal 12 3 6" xfId="5106" xr:uid="{00000000-0005-0000-0000-000003A00000}"/>
    <cellStyle name="Normal 12 3 6 2" xfId="11565" xr:uid="{00000000-0005-0000-0000-000004A00000}"/>
    <cellStyle name="Normal 12 3 6 2 2" xfId="24482" xr:uid="{00000000-0005-0000-0000-000005A00000}"/>
    <cellStyle name="Normal 12 3 6 2 2 2" xfId="50356" xr:uid="{00000000-0005-0000-0000-000006A00000}"/>
    <cellStyle name="Normal 12 3 6 2 3" xfId="37440" xr:uid="{00000000-0005-0000-0000-000007A00000}"/>
    <cellStyle name="Normal 12 3 6 3" xfId="18024" xr:uid="{00000000-0005-0000-0000-000008A00000}"/>
    <cellStyle name="Normal 12 3 6 3 2" xfId="43898" xr:uid="{00000000-0005-0000-0000-000009A00000}"/>
    <cellStyle name="Normal 12 3 6 4" xfId="30982" xr:uid="{00000000-0005-0000-0000-00000AA00000}"/>
    <cellStyle name="Normal 12 3 7" xfId="8336" xr:uid="{00000000-0005-0000-0000-00000BA00000}"/>
    <cellStyle name="Normal 12 3 7 2" xfId="21253" xr:uid="{00000000-0005-0000-0000-00000CA00000}"/>
    <cellStyle name="Normal 12 3 7 2 2" xfId="47127" xr:uid="{00000000-0005-0000-0000-00000DA00000}"/>
    <cellStyle name="Normal 12 3 7 3" xfId="34211" xr:uid="{00000000-0005-0000-0000-00000EA00000}"/>
    <cellStyle name="Normal 12 3 8" xfId="14795" xr:uid="{00000000-0005-0000-0000-00000FA00000}"/>
    <cellStyle name="Normal 12 3 8 2" xfId="40669" xr:uid="{00000000-0005-0000-0000-000010A00000}"/>
    <cellStyle name="Normal 12 3 9" xfId="27721" xr:uid="{00000000-0005-0000-0000-000011A00000}"/>
    <cellStyle name="Normal 12 4" xfId="1784" xr:uid="{00000000-0005-0000-0000-000012A00000}"/>
    <cellStyle name="Normal 12 4 2" xfId="2277" xr:uid="{00000000-0005-0000-0000-000013A00000}"/>
    <cellStyle name="Normal 12 4 2 2" xfId="3091" xr:uid="{00000000-0005-0000-0000-000014A00000}"/>
    <cellStyle name="Normal 12 4 2 2 2" xfId="4748" xr:uid="{00000000-0005-0000-0000-000015A00000}"/>
    <cellStyle name="Normal 12 4 2 2 2 2" xfId="7979" xr:uid="{00000000-0005-0000-0000-000016A00000}"/>
    <cellStyle name="Normal 12 4 2 2 2 2 2" xfId="14438" xr:uid="{00000000-0005-0000-0000-000017A00000}"/>
    <cellStyle name="Normal 12 4 2 2 2 2 2 2" xfId="27355" xr:uid="{00000000-0005-0000-0000-000018A00000}"/>
    <cellStyle name="Normal 12 4 2 2 2 2 2 2 2" xfId="53229" xr:uid="{00000000-0005-0000-0000-000019A00000}"/>
    <cellStyle name="Normal 12 4 2 2 2 2 2 3" xfId="40313" xr:uid="{00000000-0005-0000-0000-00001AA00000}"/>
    <cellStyle name="Normal 12 4 2 2 2 2 3" xfId="20897" xr:uid="{00000000-0005-0000-0000-00001BA00000}"/>
    <cellStyle name="Normal 12 4 2 2 2 2 3 2" xfId="46771" xr:uid="{00000000-0005-0000-0000-00001CA00000}"/>
    <cellStyle name="Normal 12 4 2 2 2 2 4" xfId="33855" xr:uid="{00000000-0005-0000-0000-00001DA00000}"/>
    <cellStyle name="Normal 12 4 2 2 2 3" xfId="11210" xr:uid="{00000000-0005-0000-0000-00001EA00000}"/>
    <cellStyle name="Normal 12 4 2 2 2 3 2" xfId="24127" xr:uid="{00000000-0005-0000-0000-00001FA00000}"/>
    <cellStyle name="Normal 12 4 2 2 2 3 2 2" xfId="50001" xr:uid="{00000000-0005-0000-0000-000020A00000}"/>
    <cellStyle name="Normal 12 4 2 2 2 3 3" xfId="37085" xr:uid="{00000000-0005-0000-0000-000021A00000}"/>
    <cellStyle name="Normal 12 4 2 2 2 4" xfId="17669" xr:uid="{00000000-0005-0000-0000-000022A00000}"/>
    <cellStyle name="Normal 12 4 2 2 2 4 2" xfId="43543" xr:uid="{00000000-0005-0000-0000-000023A00000}"/>
    <cellStyle name="Normal 12 4 2 2 2 5" xfId="30595" xr:uid="{00000000-0005-0000-0000-000024A00000}"/>
    <cellStyle name="Normal 12 4 2 2 3" xfId="6365" xr:uid="{00000000-0005-0000-0000-000025A00000}"/>
    <cellStyle name="Normal 12 4 2 2 3 2" xfId="12824" xr:uid="{00000000-0005-0000-0000-000026A00000}"/>
    <cellStyle name="Normal 12 4 2 2 3 2 2" xfId="25741" xr:uid="{00000000-0005-0000-0000-000027A00000}"/>
    <cellStyle name="Normal 12 4 2 2 3 2 2 2" xfId="51615" xr:uid="{00000000-0005-0000-0000-000028A00000}"/>
    <cellStyle name="Normal 12 4 2 2 3 2 3" xfId="38699" xr:uid="{00000000-0005-0000-0000-000029A00000}"/>
    <cellStyle name="Normal 12 4 2 2 3 3" xfId="19283" xr:uid="{00000000-0005-0000-0000-00002AA00000}"/>
    <cellStyle name="Normal 12 4 2 2 3 3 2" xfId="45157" xr:uid="{00000000-0005-0000-0000-00002BA00000}"/>
    <cellStyle name="Normal 12 4 2 2 3 4" xfId="32241" xr:uid="{00000000-0005-0000-0000-00002CA00000}"/>
    <cellStyle name="Normal 12 4 2 2 4" xfId="9596" xr:uid="{00000000-0005-0000-0000-00002DA00000}"/>
    <cellStyle name="Normal 12 4 2 2 4 2" xfId="22513" xr:uid="{00000000-0005-0000-0000-00002EA00000}"/>
    <cellStyle name="Normal 12 4 2 2 4 2 2" xfId="48387" xr:uid="{00000000-0005-0000-0000-00002FA00000}"/>
    <cellStyle name="Normal 12 4 2 2 4 3" xfId="35471" xr:uid="{00000000-0005-0000-0000-000030A00000}"/>
    <cellStyle name="Normal 12 4 2 2 5" xfId="16055" xr:uid="{00000000-0005-0000-0000-000031A00000}"/>
    <cellStyle name="Normal 12 4 2 2 5 2" xfId="41929" xr:uid="{00000000-0005-0000-0000-000032A00000}"/>
    <cellStyle name="Normal 12 4 2 2 6" xfId="28981" xr:uid="{00000000-0005-0000-0000-000033A00000}"/>
    <cellStyle name="Normal 12 4 2 3" xfId="3918" xr:uid="{00000000-0005-0000-0000-000034A00000}"/>
    <cellStyle name="Normal 12 4 2 3 2" xfId="7172" xr:uid="{00000000-0005-0000-0000-000035A00000}"/>
    <cellStyle name="Normal 12 4 2 3 2 2" xfId="13631" xr:uid="{00000000-0005-0000-0000-000036A00000}"/>
    <cellStyle name="Normal 12 4 2 3 2 2 2" xfId="26548" xr:uid="{00000000-0005-0000-0000-000037A00000}"/>
    <cellStyle name="Normal 12 4 2 3 2 2 2 2" xfId="52422" xr:uid="{00000000-0005-0000-0000-000038A00000}"/>
    <cellStyle name="Normal 12 4 2 3 2 2 3" xfId="39506" xr:uid="{00000000-0005-0000-0000-000039A00000}"/>
    <cellStyle name="Normal 12 4 2 3 2 3" xfId="20090" xr:uid="{00000000-0005-0000-0000-00003AA00000}"/>
    <cellStyle name="Normal 12 4 2 3 2 3 2" xfId="45964" xr:uid="{00000000-0005-0000-0000-00003BA00000}"/>
    <cellStyle name="Normal 12 4 2 3 2 4" xfId="33048" xr:uid="{00000000-0005-0000-0000-00003CA00000}"/>
    <cellStyle name="Normal 12 4 2 3 3" xfId="10403" xr:uid="{00000000-0005-0000-0000-00003DA00000}"/>
    <cellStyle name="Normal 12 4 2 3 3 2" xfId="23320" xr:uid="{00000000-0005-0000-0000-00003EA00000}"/>
    <cellStyle name="Normal 12 4 2 3 3 2 2" xfId="49194" xr:uid="{00000000-0005-0000-0000-00003FA00000}"/>
    <cellStyle name="Normal 12 4 2 3 3 3" xfId="36278" xr:uid="{00000000-0005-0000-0000-000040A00000}"/>
    <cellStyle name="Normal 12 4 2 3 4" xfId="16862" xr:uid="{00000000-0005-0000-0000-000041A00000}"/>
    <cellStyle name="Normal 12 4 2 3 4 2" xfId="42736" xr:uid="{00000000-0005-0000-0000-000042A00000}"/>
    <cellStyle name="Normal 12 4 2 3 5" xfId="29788" xr:uid="{00000000-0005-0000-0000-000043A00000}"/>
    <cellStyle name="Normal 12 4 2 4" xfId="5558" xr:uid="{00000000-0005-0000-0000-000044A00000}"/>
    <cellStyle name="Normal 12 4 2 4 2" xfId="12017" xr:uid="{00000000-0005-0000-0000-000045A00000}"/>
    <cellStyle name="Normal 12 4 2 4 2 2" xfId="24934" xr:uid="{00000000-0005-0000-0000-000046A00000}"/>
    <cellStyle name="Normal 12 4 2 4 2 2 2" xfId="50808" xr:uid="{00000000-0005-0000-0000-000047A00000}"/>
    <cellStyle name="Normal 12 4 2 4 2 3" xfId="37892" xr:uid="{00000000-0005-0000-0000-000048A00000}"/>
    <cellStyle name="Normal 12 4 2 4 3" xfId="18476" xr:uid="{00000000-0005-0000-0000-000049A00000}"/>
    <cellStyle name="Normal 12 4 2 4 3 2" xfId="44350" xr:uid="{00000000-0005-0000-0000-00004AA00000}"/>
    <cellStyle name="Normal 12 4 2 4 4" xfId="31434" xr:uid="{00000000-0005-0000-0000-00004BA00000}"/>
    <cellStyle name="Normal 12 4 2 5" xfId="8789" xr:uid="{00000000-0005-0000-0000-00004CA00000}"/>
    <cellStyle name="Normal 12 4 2 5 2" xfId="21706" xr:uid="{00000000-0005-0000-0000-00004DA00000}"/>
    <cellStyle name="Normal 12 4 2 5 2 2" xfId="47580" xr:uid="{00000000-0005-0000-0000-00004EA00000}"/>
    <cellStyle name="Normal 12 4 2 5 3" xfId="34664" xr:uid="{00000000-0005-0000-0000-00004FA00000}"/>
    <cellStyle name="Normal 12 4 2 6" xfId="15248" xr:uid="{00000000-0005-0000-0000-000050A00000}"/>
    <cellStyle name="Normal 12 4 2 6 2" xfId="41122" xr:uid="{00000000-0005-0000-0000-000051A00000}"/>
    <cellStyle name="Normal 12 4 2 7" xfId="28174" xr:uid="{00000000-0005-0000-0000-000052A00000}"/>
    <cellStyle name="Normal 12 4 2 8" xfId="54036" xr:uid="{00000000-0005-0000-0000-000053A00000}"/>
    <cellStyle name="Normal 12 4 3" xfId="2688" xr:uid="{00000000-0005-0000-0000-000054A00000}"/>
    <cellStyle name="Normal 12 4 3 2" xfId="4345" xr:uid="{00000000-0005-0000-0000-000055A00000}"/>
    <cellStyle name="Normal 12 4 3 2 2" xfId="7576" xr:uid="{00000000-0005-0000-0000-000056A00000}"/>
    <cellStyle name="Normal 12 4 3 2 2 2" xfId="14035" xr:uid="{00000000-0005-0000-0000-000057A00000}"/>
    <cellStyle name="Normal 12 4 3 2 2 2 2" xfId="26952" xr:uid="{00000000-0005-0000-0000-000058A00000}"/>
    <cellStyle name="Normal 12 4 3 2 2 2 2 2" xfId="52826" xr:uid="{00000000-0005-0000-0000-000059A00000}"/>
    <cellStyle name="Normal 12 4 3 2 2 2 3" xfId="39910" xr:uid="{00000000-0005-0000-0000-00005AA00000}"/>
    <cellStyle name="Normal 12 4 3 2 2 3" xfId="20494" xr:uid="{00000000-0005-0000-0000-00005BA00000}"/>
    <cellStyle name="Normal 12 4 3 2 2 3 2" xfId="46368" xr:uid="{00000000-0005-0000-0000-00005CA00000}"/>
    <cellStyle name="Normal 12 4 3 2 2 4" xfId="33452" xr:uid="{00000000-0005-0000-0000-00005DA00000}"/>
    <cellStyle name="Normal 12 4 3 2 3" xfId="10807" xr:uid="{00000000-0005-0000-0000-00005EA00000}"/>
    <cellStyle name="Normal 12 4 3 2 3 2" xfId="23724" xr:uid="{00000000-0005-0000-0000-00005FA00000}"/>
    <cellStyle name="Normal 12 4 3 2 3 2 2" xfId="49598" xr:uid="{00000000-0005-0000-0000-000060A00000}"/>
    <cellStyle name="Normal 12 4 3 2 3 3" xfId="36682" xr:uid="{00000000-0005-0000-0000-000061A00000}"/>
    <cellStyle name="Normal 12 4 3 2 4" xfId="17266" xr:uid="{00000000-0005-0000-0000-000062A00000}"/>
    <cellStyle name="Normal 12 4 3 2 4 2" xfId="43140" xr:uid="{00000000-0005-0000-0000-000063A00000}"/>
    <cellStyle name="Normal 12 4 3 2 5" xfId="30192" xr:uid="{00000000-0005-0000-0000-000064A00000}"/>
    <cellStyle name="Normal 12 4 3 3" xfId="5962" xr:uid="{00000000-0005-0000-0000-000065A00000}"/>
    <cellStyle name="Normal 12 4 3 3 2" xfId="12421" xr:uid="{00000000-0005-0000-0000-000066A00000}"/>
    <cellStyle name="Normal 12 4 3 3 2 2" xfId="25338" xr:uid="{00000000-0005-0000-0000-000067A00000}"/>
    <cellStyle name="Normal 12 4 3 3 2 2 2" xfId="51212" xr:uid="{00000000-0005-0000-0000-000068A00000}"/>
    <cellStyle name="Normal 12 4 3 3 2 3" xfId="38296" xr:uid="{00000000-0005-0000-0000-000069A00000}"/>
    <cellStyle name="Normal 12 4 3 3 3" xfId="18880" xr:uid="{00000000-0005-0000-0000-00006AA00000}"/>
    <cellStyle name="Normal 12 4 3 3 3 2" xfId="44754" xr:uid="{00000000-0005-0000-0000-00006BA00000}"/>
    <cellStyle name="Normal 12 4 3 3 4" xfId="31838" xr:uid="{00000000-0005-0000-0000-00006CA00000}"/>
    <cellStyle name="Normal 12 4 3 4" xfId="9193" xr:uid="{00000000-0005-0000-0000-00006DA00000}"/>
    <cellStyle name="Normal 12 4 3 4 2" xfId="22110" xr:uid="{00000000-0005-0000-0000-00006EA00000}"/>
    <cellStyle name="Normal 12 4 3 4 2 2" xfId="47984" xr:uid="{00000000-0005-0000-0000-00006FA00000}"/>
    <cellStyle name="Normal 12 4 3 4 3" xfId="35068" xr:uid="{00000000-0005-0000-0000-000070A00000}"/>
    <cellStyle name="Normal 12 4 3 5" xfId="15652" xr:uid="{00000000-0005-0000-0000-000071A00000}"/>
    <cellStyle name="Normal 12 4 3 5 2" xfId="41526" xr:uid="{00000000-0005-0000-0000-000072A00000}"/>
    <cellStyle name="Normal 12 4 3 6" xfId="28578" xr:uid="{00000000-0005-0000-0000-000073A00000}"/>
    <cellStyle name="Normal 12 4 4" xfId="3515" xr:uid="{00000000-0005-0000-0000-000074A00000}"/>
    <cellStyle name="Normal 12 4 4 2" xfId="6769" xr:uid="{00000000-0005-0000-0000-000075A00000}"/>
    <cellStyle name="Normal 12 4 4 2 2" xfId="13228" xr:uid="{00000000-0005-0000-0000-000076A00000}"/>
    <cellStyle name="Normal 12 4 4 2 2 2" xfId="26145" xr:uid="{00000000-0005-0000-0000-000077A00000}"/>
    <cellStyle name="Normal 12 4 4 2 2 2 2" xfId="52019" xr:uid="{00000000-0005-0000-0000-000078A00000}"/>
    <cellStyle name="Normal 12 4 4 2 2 3" xfId="39103" xr:uid="{00000000-0005-0000-0000-000079A00000}"/>
    <cellStyle name="Normal 12 4 4 2 3" xfId="19687" xr:uid="{00000000-0005-0000-0000-00007AA00000}"/>
    <cellStyle name="Normal 12 4 4 2 3 2" xfId="45561" xr:uid="{00000000-0005-0000-0000-00007BA00000}"/>
    <cellStyle name="Normal 12 4 4 2 4" xfId="32645" xr:uid="{00000000-0005-0000-0000-00007CA00000}"/>
    <cellStyle name="Normal 12 4 4 3" xfId="10000" xr:uid="{00000000-0005-0000-0000-00007DA00000}"/>
    <cellStyle name="Normal 12 4 4 3 2" xfId="22917" xr:uid="{00000000-0005-0000-0000-00007EA00000}"/>
    <cellStyle name="Normal 12 4 4 3 2 2" xfId="48791" xr:uid="{00000000-0005-0000-0000-00007FA00000}"/>
    <cellStyle name="Normal 12 4 4 3 3" xfId="35875" xr:uid="{00000000-0005-0000-0000-000080A00000}"/>
    <cellStyle name="Normal 12 4 4 4" xfId="16459" xr:uid="{00000000-0005-0000-0000-000081A00000}"/>
    <cellStyle name="Normal 12 4 4 4 2" xfId="42333" xr:uid="{00000000-0005-0000-0000-000082A00000}"/>
    <cellStyle name="Normal 12 4 4 5" xfId="29385" xr:uid="{00000000-0005-0000-0000-000083A00000}"/>
    <cellStyle name="Normal 12 4 5" xfId="5155" xr:uid="{00000000-0005-0000-0000-000084A00000}"/>
    <cellStyle name="Normal 12 4 5 2" xfId="11614" xr:uid="{00000000-0005-0000-0000-000085A00000}"/>
    <cellStyle name="Normal 12 4 5 2 2" xfId="24531" xr:uid="{00000000-0005-0000-0000-000086A00000}"/>
    <cellStyle name="Normal 12 4 5 2 2 2" xfId="50405" xr:uid="{00000000-0005-0000-0000-000087A00000}"/>
    <cellStyle name="Normal 12 4 5 2 3" xfId="37489" xr:uid="{00000000-0005-0000-0000-000088A00000}"/>
    <cellStyle name="Normal 12 4 5 3" xfId="18073" xr:uid="{00000000-0005-0000-0000-000089A00000}"/>
    <cellStyle name="Normal 12 4 5 3 2" xfId="43947" xr:uid="{00000000-0005-0000-0000-00008AA00000}"/>
    <cellStyle name="Normal 12 4 5 4" xfId="31031" xr:uid="{00000000-0005-0000-0000-00008BA00000}"/>
    <cellStyle name="Normal 12 4 6" xfId="8385" xr:uid="{00000000-0005-0000-0000-00008CA00000}"/>
    <cellStyle name="Normal 12 4 6 2" xfId="21302" xr:uid="{00000000-0005-0000-0000-00008DA00000}"/>
    <cellStyle name="Normal 12 4 6 2 2" xfId="47176" xr:uid="{00000000-0005-0000-0000-00008EA00000}"/>
    <cellStyle name="Normal 12 4 6 3" xfId="34260" xr:uid="{00000000-0005-0000-0000-00008FA00000}"/>
    <cellStyle name="Normal 12 4 7" xfId="14844" xr:uid="{00000000-0005-0000-0000-000090A00000}"/>
    <cellStyle name="Normal 12 4 7 2" xfId="40718" xr:uid="{00000000-0005-0000-0000-000091A00000}"/>
    <cellStyle name="Normal 12 4 8" xfId="27770" xr:uid="{00000000-0005-0000-0000-000092A00000}"/>
    <cellStyle name="Normal 12 4 9" xfId="53633" xr:uid="{00000000-0005-0000-0000-000093A00000}"/>
    <cellStyle name="Normal 12 5" xfId="2083" xr:uid="{00000000-0005-0000-0000-000094A00000}"/>
    <cellStyle name="Normal 12 5 2" xfId="2900" xr:uid="{00000000-0005-0000-0000-000095A00000}"/>
    <cellStyle name="Normal 12 5 2 2" xfId="4557" xr:uid="{00000000-0005-0000-0000-000096A00000}"/>
    <cellStyle name="Normal 12 5 2 2 2" xfId="7788" xr:uid="{00000000-0005-0000-0000-000097A00000}"/>
    <cellStyle name="Normal 12 5 2 2 2 2" xfId="14247" xr:uid="{00000000-0005-0000-0000-000098A00000}"/>
    <cellStyle name="Normal 12 5 2 2 2 2 2" xfId="27164" xr:uid="{00000000-0005-0000-0000-000099A00000}"/>
    <cellStyle name="Normal 12 5 2 2 2 2 2 2" xfId="53038" xr:uid="{00000000-0005-0000-0000-00009AA00000}"/>
    <cellStyle name="Normal 12 5 2 2 2 2 3" xfId="40122" xr:uid="{00000000-0005-0000-0000-00009BA00000}"/>
    <cellStyle name="Normal 12 5 2 2 2 3" xfId="20706" xr:uid="{00000000-0005-0000-0000-00009CA00000}"/>
    <cellStyle name="Normal 12 5 2 2 2 3 2" xfId="46580" xr:uid="{00000000-0005-0000-0000-00009DA00000}"/>
    <cellStyle name="Normal 12 5 2 2 2 4" xfId="33664" xr:uid="{00000000-0005-0000-0000-00009EA00000}"/>
    <cellStyle name="Normal 12 5 2 2 3" xfId="11019" xr:uid="{00000000-0005-0000-0000-00009FA00000}"/>
    <cellStyle name="Normal 12 5 2 2 3 2" xfId="23936" xr:uid="{00000000-0005-0000-0000-0000A0A00000}"/>
    <cellStyle name="Normal 12 5 2 2 3 2 2" xfId="49810" xr:uid="{00000000-0005-0000-0000-0000A1A00000}"/>
    <cellStyle name="Normal 12 5 2 2 3 3" xfId="36894" xr:uid="{00000000-0005-0000-0000-0000A2A00000}"/>
    <cellStyle name="Normal 12 5 2 2 4" xfId="17478" xr:uid="{00000000-0005-0000-0000-0000A3A00000}"/>
    <cellStyle name="Normal 12 5 2 2 4 2" xfId="43352" xr:uid="{00000000-0005-0000-0000-0000A4A00000}"/>
    <cellStyle name="Normal 12 5 2 2 5" xfId="30404" xr:uid="{00000000-0005-0000-0000-0000A5A00000}"/>
    <cellStyle name="Normal 12 5 2 3" xfId="6174" xr:uid="{00000000-0005-0000-0000-0000A6A00000}"/>
    <cellStyle name="Normal 12 5 2 3 2" xfId="12633" xr:uid="{00000000-0005-0000-0000-0000A7A00000}"/>
    <cellStyle name="Normal 12 5 2 3 2 2" xfId="25550" xr:uid="{00000000-0005-0000-0000-0000A8A00000}"/>
    <cellStyle name="Normal 12 5 2 3 2 2 2" xfId="51424" xr:uid="{00000000-0005-0000-0000-0000A9A00000}"/>
    <cellStyle name="Normal 12 5 2 3 2 3" xfId="38508" xr:uid="{00000000-0005-0000-0000-0000AAA00000}"/>
    <cellStyle name="Normal 12 5 2 3 3" xfId="19092" xr:uid="{00000000-0005-0000-0000-0000ABA00000}"/>
    <cellStyle name="Normal 12 5 2 3 3 2" xfId="44966" xr:uid="{00000000-0005-0000-0000-0000ACA00000}"/>
    <cellStyle name="Normal 12 5 2 3 4" xfId="32050" xr:uid="{00000000-0005-0000-0000-0000ADA00000}"/>
    <cellStyle name="Normal 12 5 2 4" xfId="9405" xr:uid="{00000000-0005-0000-0000-0000AEA00000}"/>
    <cellStyle name="Normal 12 5 2 4 2" xfId="22322" xr:uid="{00000000-0005-0000-0000-0000AFA00000}"/>
    <cellStyle name="Normal 12 5 2 4 2 2" xfId="48196" xr:uid="{00000000-0005-0000-0000-0000B0A00000}"/>
    <cellStyle name="Normal 12 5 2 4 3" xfId="35280" xr:uid="{00000000-0005-0000-0000-0000B1A00000}"/>
    <cellStyle name="Normal 12 5 2 5" xfId="15864" xr:uid="{00000000-0005-0000-0000-0000B2A00000}"/>
    <cellStyle name="Normal 12 5 2 5 2" xfId="41738" xr:uid="{00000000-0005-0000-0000-0000B3A00000}"/>
    <cellStyle name="Normal 12 5 2 6" xfId="28790" xr:uid="{00000000-0005-0000-0000-0000B4A00000}"/>
    <cellStyle name="Normal 12 5 3" xfId="3727" xr:uid="{00000000-0005-0000-0000-0000B5A00000}"/>
    <cellStyle name="Normal 12 5 3 2" xfId="6981" xr:uid="{00000000-0005-0000-0000-0000B6A00000}"/>
    <cellStyle name="Normal 12 5 3 2 2" xfId="13440" xr:uid="{00000000-0005-0000-0000-0000B7A00000}"/>
    <cellStyle name="Normal 12 5 3 2 2 2" xfId="26357" xr:uid="{00000000-0005-0000-0000-0000B8A00000}"/>
    <cellStyle name="Normal 12 5 3 2 2 2 2" xfId="52231" xr:uid="{00000000-0005-0000-0000-0000B9A00000}"/>
    <cellStyle name="Normal 12 5 3 2 2 3" xfId="39315" xr:uid="{00000000-0005-0000-0000-0000BAA00000}"/>
    <cellStyle name="Normal 12 5 3 2 3" xfId="19899" xr:uid="{00000000-0005-0000-0000-0000BBA00000}"/>
    <cellStyle name="Normal 12 5 3 2 3 2" xfId="45773" xr:uid="{00000000-0005-0000-0000-0000BCA00000}"/>
    <cellStyle name="Normal 12 5 3 2 4" xfId="32857" xr:uid="{00000000-0005-0000-0000-0000BDA00000}"/>
    <cellStyle name="Normal 12 5 3 3" xfId="10212" xr:uid="{00000000-0005-0000-0000-0000BEA00000}"/>
    <cellStyle name="Normal 12 5 3 3 2" xfId="23129" xr:uid="{00000000-0005-0000-0000-0000BFA00000}"/>
    <cellStyle name="Normal 12 5 3 3 2 2" xfId="49003" xr:uid="{00000000-0005-0000-0000-0000C0A00000}"/>
    <cellStyle name="Normal 12 5 3 3 3" xfId="36087" xr:uid="{00000000-0005-0000-0000-0000C1A00000}"/>
    <cellStyle name="Normal 12 5 3 4" xfId="16671" xr:uid="{00000000-0005-0000-0000-0000C2A00000}"/>
    <cellStyle name="Normal 12 5 3 4 2" xfId="42545" xr:uid="{00000000-0005-0000-0000-0000C3A00000}"/>
    <cellStyle name="Normal 12 5 3 5" xfId="29597" xr:uid="{00000000-0005-0000-0000-0000C4A00000}"/>
    <cellStyle name="Normal 12 5 4" xfId="5367" xr:uid="{00000000-0005-0000-0000-0000C5A00000}"/>
    <cellStyle name="Normal 12 5 4 2" xfId="11826" xr:uid="{00000000-0005-0000-0000-0000C6A00000}"/>
    <cellStyle name="Normal 12 5 4 2 2" xfId="24743" xr:uid="{00000000-0005-0000-0000-0000C7A00000}"/>
    <cellStyle name="Normal 12 5 4 2 2 2" xfId="50617" xr:uid="{00000000-0005-0000-0000-0000C8A00000}"/>
    <cellStyle name="Normal 12 5 4 2 3" xfId="37701" xr:uid="{00000000-0005-0000-0000-0000C9A00000}"/>
    <cellStyle name="Normal 12 5 4 3" xfId="18285" xr:uid="{00000000-0005-0000-0000-0000CAA00000}"/>
    <cellStyle name="Normal 12 5 4 3 2" xfId="44159" xr:uid="{00000000-0005-0000-0000-0000CBA00000}"/>
    <cellStyle name="Normal 12 5 4 4" xfId="31243" xr:uid="{00000000-0005-0000-0000-0000CCA00000}"/>
    <cellStyle name="Normal 12 5 5" xfId="8598" xr:uid="{00000000-0005-0000-0000-0000CDA00000}"/>
    <cellStyle name="Normal 12 5 5 2" xfId="21515" xr:uid="{00000000-0005-0000-0000-0000CEA00000}"/>
    <cellStyle name="Normal 12 5 5 2 2" xfId="47389" xr:uid="{00000000-0005-0000-0000-0000CFA00000}"/>
    <cellStyle name="Normal 12 5 5 3" xfId="34473" xr:uid="{00000000-0005-0000-0000-0000D0A00000}"/>
    <cellStyle name="Normal 12 5 6" xfId="15057" xr:uid="{00000000-0005-0000-0000-0000D1A00000}"/>
    <cellStyle name="Normal 12 5 6 2" xfId="40931" xr:uid="{00000000-0005-0000-0000-0000D2A00000}"/>
    <cellStyle name="Normal 12 5 7" xfId="27983" xr:uid="{00000000-0005-0000-0000-0000D3A00000}"/>
    <cellStyle name="Normal 12 5 8" xfId="53845" xr:uid="{00000000-0005-0000-0000-0000D4A00000}"/>
    <cellStyle name="Normal 12 6" xfId="2493" xr:uid="{00000000-0005-0000-0000-0000D5A00000}"/>
    <cellStyle name="Normal 12 6 2" xfId="4150" xr:uid="{00000000-0005-0000-0000-0000D6A00000}"/>
    <cellStyle name="Normal 12 6 2 2" xfId="7381" xr:uid="{00000000-0005-0000-0000-0000D7A00000}"/>
    <cellStyle name="Normal 12 6 2 2 2" xfId="13840" xr:uid="{00000000-0005-0000-0000-0000D8A00000}"/>
    <cellStyle name="Normal 12 6 2 2 2 2" xfId="26757" xr:uid="{00000000-0005-0000-0000-0000D9A00000}"/>
    <cellStyle name="Normal 12 6 2 2 2 2 2" xfId="52631" xr:uid="{00000000-0005-0000-0000-0000DAA00000}"/>
    <cellStyle name="Normal 12 6 2 2 2 3" xfId="39715" xr:uid="{00000000-0005-0000-0000-0000DBA00000}"/>
    <cellStyle name="Normal 12 6 2 2 3" xfId="20299" xr:uid="{00000000-0005-0000-0000-0000DCA00000}"/>
    <cellStyle name="Normal 12 6 2 2 3 2" xfId="46173" xr:uid="{00000000-0005-0000-0000-0000DDA00000}"/>
    <cellStyle name="Normal 12 6 2 2 4" xfId="33257" xr:uid="{00000000-0005-0000-0000-0000DEA00000}"/>
    <cellStyle name="Normal 12 6 2 3" xfId="10612" xr:uid="{00000000-0005-0000-0000-0000DFA00000}"/>
    <cellStyle name="Normal 12 6 2 3 2" xfId="23529" xr:uid="{00000000-0005-0000-0000-0000E0A00000}"/>
    <cellStyle name="Normal 12 6 2 3 2 2" xfId="49403" xr:uid="{00000000-0005-0000-0000-0000E1A00000}"/>
    <cellStyle name="Normal 12 6 2 3 3" xfId="36487" xr:uid="{00000000-0005-0000-0000-0000E2A00000}"/>
    <cellStyle name="Normal 12 6 2 4" xfId="17071" xr:uid="{00000000-0005-0000-0000-0000E3A00000}"/>
    <cellStyle name="Normal 12 6 2 4 2" xfId="42945" xr:uid="{00000000-0005-0000-0000-0000E4A00000}"/>
    <cellStyle name="Normal 12 6 2 5" xfId="29997" xr:uid="{00000000-0005-0000-0000-0000E5A00000}"/>
    <cellStyle name="Normal 12 6 3" xfId="5767" xr:uid="{00000000-0005-0000-0000-0000E6A00000}"/>
    <cellStyle name="Normal 12 6 3 2" xfId="12226" xr:uid="{00000000-0005-0000-0000-0000E7A00000}"/>
    <cellStyle name="Normal 12 6 3 2 2" xfId="25143" xr:uid="{00000000-0005-0000-0000-0000E8A00000}"/>
    <cellStyle name="Normal 12 6 3 2 2 2" xfId="51017" xr:uid="{00000000-0005-0000-0000-0000E9A00000}"/>
    <cellStyle name="Normal 12 6 3 2 3" xfId="38101" xr:uid="{00000000-0005-0000-0000-0000EAA00000}"/>
    <cellStyle name="Normal 12 6 3 3" xfId="18685" xr:uid="{00000000-0005-0000-0000-0000EBA00000}"/>
    <cellStyle name="Normal 12 6 3 3 2" xfId="44559" xr:uid="{00000000-0005-0000-0000-0000ECA00000}"/>
    <cellStyle name="Normal 12 6 3 4" xfId="31643" xr:uid="{00000000-0005-0000-0000-0000EDA00000}"/>
    <cellStyle name="Normal 12 6 4" xfId="8998" xr:uid="{00000000-0005-0000-0000-0000EEA00000}"/>
    <cellStyle name="Normal 12 6 4 2" xfId="21915" xr:uid="{00000000-0005-0000-0000-0000EFA00000}"/>
    <cellStyle name="Normal 12 6 4 2 2" xfId="47789" xr:uid="{00000000-0005-0000-0000-0000F0A00000}"/>
    <cellStyle name="Normal 12 6 4 3" xfId="34873" xr:uid="{00000000-0005-0000-0000-0000F1A00000}"/>
    <cellStyle name="Normal 12 6 5" xfId="15457" xr:uid="{00000000-0005-0000-0000-0000F2A00000}"/>
    <cellStyle name="Normal 12 6 5 2" xfId="41331" xr:uid="{00000000-0005-0000-0000-0000F3A00000}"/>
    <cellStyle name="Normal 12 6 6" xfId="28383" xr:uid="{00000000-0005-0000-0000-0000F4A00000}"/>
    <cellStyle name="Normal 12 7" xfId="3309" xr:uid="{00000000-0005-0000-0000-0000F5A00000}"/>
    <cellStyle name="Normal 12 7 2" xfId="6574" xr:uid="{00000000-0005-0000-0000-0000F6A00000}"/>
    <cellStyle name="Normal 12 7 2 2" xfId="13033" xr:uid="{00000000-0005-0000-0000-0000F7A00000}"/>
    <cellStyle name="Normal 12 7 2 2 2" xfId="25950" xr:uid="{00000000-0005-0000-0000-0000F8A00000}"/>
    <cellStyle name="Normal 12 7 2 2 2 2" xfId="51824" xr:uid="{00000000-0005-0000-0000-0000F9A00000}"/>
    <cellStyle name="Normal 12 7 2 2 3" xfId="38908" xr:uid="{00000000-0005-0000-0000-0000FAA00000}"/>
    <cellStyle name="Normal 12 7 2 3" xfId="19492" xr:uid="{00000000-0005-0000-0000-0000FBA00000}"/>
    <cellStyle name="Normal 12 7 2 3 2" xfId="45366" xr:uid="{00000000-0005-0000-0000-0000FCA00000}"/>
    <cellStyle name="Normal 12 7 2 4" xfId="32450" xr:uid="{00000000-0005-0000-0000-0000FDA00000}"/>
    <cellStyle name="Normal 12 7 3" xfId="9805" xr:uid="{00000000-0005-0000-0000-0000FEA00000}"/>
    <cellStyle name="Normal 12 7 3 2" xfId="22722" xr:uid="{00000000-0005-0000-0000-0000FFA00000}"/>
    <cellStyle name="Normal 12 7 3 2 2" xfId="48596" xr:uid="{00000000-0005-0000-0000-000000A10000}"/>
    <cellStyle name="Normal 12 7 3 3" xfId="35680" xr:uid="{00000000-0005-0000-0000-000001A10000}"/>
    <cellStyle name="Normal 12 7 4" xfId="16264" xr:uid="{00000000-0005-0000-0000-000002A10000}"/>
    <cellStyle name="Normal 12 7 4 2" xfId="42138" xr:uid="{00000000-0005-0000-0000-000003A10000}"/>
    <cellStyle name="Normal 12 7 5" xfId="29190" xr:uid="{00000000-0005-0000-0000-000004A10000}"/>
    <cellStyle name="Normal 12 8" xfId="4960" xr:uid="{00000000-0005-0000-0000-000005A10000}"/>
    <cellStyle name="Normal 12 8 2" xfId="11419" xr:uid="{00000000-0005-0000-0000-000006A10000}"/>
    <cellStyle name="Normal 12 8 2 2" xfId="24336" xr:uid="{00000000-0005-0000-0000-000007A10000}"/>
    <cellStyle name="Normal 12 8 2 2 2" xfId="50210" xr:uid="{00000000-0005-0000-0000-000008A10000}"/>
    <cellStyle name="Normal 12 8 2 3" xfId="37294" xr:uid="{00000000-0005-0000-0000-000009A10000}"/>
    <cellStyle name="Normal 12 8 3" xfId="17878" xr:uid="{00000000-0005-0000-0000-00000AA10000}"/>
    <cellStyle name="Normal 12 8 3 2" xfId="43752" xr:uid="{00000000-0005-0000-0000-00000BA10000}"/>
    <cellStyle name="Normal 12 8 4" xfId="30836" xr:uid="{00000000-0005-0000-0000-00000CA10000}"/>
    <cellStyle name="Normal 12 9" xfId="8188" xr:uid="{00000000-0005-0000-0000-00000DA10000}"/>
    <cellStyle name="Normal 12 9 2" xfId="21106" xr:uid="{00000000-0005-0000-0000-00000EA10000}"/>
    <cellStyle name="Normal 12 9 2 2" xfId="46980" xr:uid="{00000000-0005-0000-0000-00000FA10000}"/>
    <cellStyle name="Normal 12 9 3" xfId="34064" xr:uid="{00000000-0005-0000-0000-000010A10000}"/>
    <cellStyle name="Normal 13" xfId="1313" xr:uid="{00000000-0005-0000-0000-000011A10000}"/>
    <cellStyle name="Normal 13 2" xfId="1405" xr:uid="{00000000-0005-0000-0000-000012A10000}"/>
    <cellStyle name="Normal 13 3" xfId="1400" xr:uid="{00000000-0005-0000-0000-000013A10000}"/>
    <cellStyle name="Normal 14" xfId="1314" xr:uid="{00000000-0005-0000-0000-000014A10000}"/>
    <cellStyle name="Normal 14 2" xfId="1315" xr:uid="{00000000-0005-0000-0000-000015A10000}"/>
    <cellStyle name="Normal 14 2 2" xfId="1799" xr:uid="{00000000-0005-0000-0000-000016A10000}"/>
    <cellStyle name="Normal 14 3" xfId="1316" xr:uid="{00000000-0005-0000-0000-000017A10000}"/>
    <cellStyle name="Normal 14 3 2" xfId="1866" xr:uid="{00000000-0005-0000-0000-000018A10000}"/>
    <cellStyle name="Normal 14 3 3" xfId="1800" xr:uid="{00000000-0005-0000-0000-000019A10000}"/>
    <cellStyle name="Normal 14 3 3 2" xfId="2014" xr:uid="{00000000-0005-0000-0000-00001AA10000}"/>
    <cellStyle name="Normal 14 3 3 3" xfId="4100" xr:uid="{00000000-0005-0000-0000-00001BA10000}"/>
    <cellStyle name="Normal 14 3 3 3 2" xfId="3299" xr:uid="{00000000-0005-0000-0000-00001CA10000}"/>
    <cellStyle name="Normal 15" xfId="1317" xr:uid="{00000000-0005-0000-0000-00001DA10000}"/>
    <cellStyle name="Normal 15 2" xfId="1318" xr:uid="{00000000-0005-0000-0000-00001EA10000}"/>
    <cellStyle name="Normal 15 2 2" xfId="1789" xr:uid="{00000000-0005-0000-0000-00001FA10000}"/>
    <cellStyle name="Normal 15 2 2 2" xfId="1833" xr:uid="{00000000-0005-0000-0000-000020A10000}"/>
    <cellStyle name="Normal 15 2 3" xfId="1811" xr:uid="{00000000-0005-0000-0000-000021A10000}"/>
    <cellStyle name="Normal 15 2 3 2" xfId="2025" xr:uid="{00000000-0005-0000-0000-000022A10000}"/>
    <cellStyle name="Normal 15 2 3 3" xfId="2463" xr:uid="{00000000-0005-0000-0000-000023A10000}"/>
    <cellStyle name="Normal 15 2 3 4" xfId="4111" xr:uid="{00000000-0005-0000-0000-000024A10000}"/>
    <cellStyle name="Normal 15 2 3 4 2" xfId="3369" xr:uid="{00000000-0005-0000-0000-000025A10000}"/>
    <cellStyle name="Normal 15 2 4" xfId="1822" xr:uid="{00000000-0005-0000-0000-000026A10000}"/>
    <cellStyle name="Normal 15 3" xfId="1482" xr:uid="{00000000-0005-0000-0000-000027A10000}"/>
    <cellStyle name="Normal 16" xfId="1407" xr:uid="{00000000-0005-0000-0000-000028A10000}"/>
    <cellStyle name="Normal 16 10" xfId="14653" xr:uid="{00000000-0005-0000-0000-000029A10000}"/>
    <cellStyle name="Normal 16 10 2" xfId="40527" xr:uid="{00000000-0005-0000-0000-00002AA10000}"/>
    <cellStyle name="Normal 16 11" xfId="27609" xr:uid="{00000000-0005-0000-0000-00002BA10000}"/>
    <cellStyle name="Normal 16 12" xfId="53475" xr:uid="{00000000-0005-0000-0000-00002CA10000}"/>
    <cellStyle name="Normal 16 2" xfId="1471" xr:uid="{00000000-0005-0000-0000-00002DA10000}"/>
    <cellStyle name="Normal 16 3" xfId="1727" xr:uid="{00000000-0005-0000-0000-00002EA10000}"/>
    <cellStyle name="Normal 16 3 10" xfId="53588" xr:uid="{00000000-0005-0000-0000-00002FA10000}"/>
    <cellStyle name="Normal 16 3 2" xfId="1997" xr:uid="{00000000-0005-0000-0000-000030A10000}"/>
    <cellStyle name="Normal 16 3 2 2" xfId="2428" xr:uid="{00000000-0005-0000-0000-000031A10000}"/>
    <cellStyle name="Normal 16 3 2 2 2" xfId="3241" xr:uid="{00000000-0005-0000-0000-000032A10000}"/>
    <cellStyle name="Normal 16 3 2 2 2 2" xfId="4898" xr:uid="{00000000-0005-0000-0000-000033A10000}"/>
    <cellStyle name="Normal 16 3 2 2 2 2 2" xfId="8129" xr:uid="{00000000-0005-0000-0000-000034A10000}"/>
    <cellStyle name="Normal 16 3 2 2 2 2 2 2" xfId="14588" xr:uid="{00000000-0005-0000-0000-000035A10000}"/>
    <cellStyle name="Normal 16 3 2 2 2 2 2 2 2" xfId="27505" xr:uid="{00000000-0005-0000-0000-000036A10000}"/>
    <cellStyle name="Normal 16 3 2 2 2 2 2 2 2 2" xfId="53379" xr:uid="{00000000-0005-0000-0000-000037A10000}"/>
    <cellStyle name="Normal 16 3 2 2 2 2 2 2 3" xfId="40463" xr:uid="{00000000-0005-0000-0000-000038A10000}"/>
    <cellStyle name="Normal 16 3 2 2 2 2 2 3" xfId="21047" xr:uid="{00000000-0005-0000-0000-000039A10000}"/>
    <cellStyle name="Normal 16 3 2 2 2 2 2 3 2" xfId="46921" xr:uid="{00000000-0005-0000-0000-00003AA10000}"/>
    <cellStyle name="Normal 16 3 2 2 2 2 2 4" xfId="34005" xr:uid="{00000000-0005-0000-0000-00003BA10000}"/>
    <cellStyle name="Normal 16 3 2 2 2 2 3" xfId="11360" xr:uid="{00000000-0005-0000-0000-00003CA10000}"/>
    <cellStyle name="Normal 16 3 2 2 2 2 3 2" xfId="24277" xr:uid="{00000000-0005-0000-0000-00003DA10000}"/>
    <cellStyle name="Normal 16 3 2 2 2 2 3 2 2" xfId="50151" xr:uid="{00000000-0005-0000-0000-00003EA10000}"/>
    <cellStyle name="Normal 16 3 2 2 2 2 3 3" xfId="37235" xr:uid="{00000000-0005-0000-0000-00003FA10000}"/>
    <cellStyle name="Normal 16 3 2 2 2 2 4" xfId="17819" xr:uid="{00000000-0005-0000-0000-000040A10000}"/>
    <cellStyle name="Normal 16 3 2 2 2 2 4 2" xfId="43693" xr:uid="{00000000-0005-0000-0000-000041A10000}"/>
    <cellStyle name="Normal 16 3 2 2 2 2 5" xfId="30745" xr:uid="{00000000-0005-0000-0000-000042A10000}"/>
    <cellStyle name="Normal 16 3 2 2 2 3" xfId="6515" xr:uid="{00000000-0005-0000-0000-000043A10000}"/>
    <cellStyle name="Normal 16 3 2 2 2 3 2" xfId="12974" xr:uid="{00000000-0005-0000-0000-000044A10000}"/>
    <cellStyle name="Normal 16 3 2 2 2 3 2 2" xfId="25891" xr:uid="{00000000-0005-0000-0000-000045A10000}"/>
    <cellStyle name="Normal 16 3 2 2 2 3 2 2 2" xfId="51765" xr:uid="{00000000-0005-0000-0000-000046A10000}"/>
    <cellStyle name="Normal 16 3 2 2 2 3 2 3" xfId="38849" xr:uid="{00000000-0005-0000-0000-000047A10000}"/>
    <cellStyle name="Normal 16 3 2 2 2 3 3" xfId="19433" xr:uid="{00000000-0005-0000-0000-000048A10000}"/>
    <cellStyle name="Normal 16 3 2 2 2 3 3 2" xfId="45307" xr:uid="{00000000-0005-0000-0000-000049A10000}"/>
    <cellStyle name="Normal 16 3 2 2 2 3 4" xfId="32391" xr:uid="{00000000-0005-0000-0000-00004AA10000}"/>
    <cellStyle name="Normal 16 3 2 2 2 4" xfId="9746" xr:uid="{00000000-0005-0000-0000-00004BA10000}"/>
    <cellStyle name="Normal 16 3 2 2 2 4 2" xfId="22663" xr:uid="{00000000-0005-0000-0000-00004CA10000}"/>
    <cellStyle name="Normal 16 3 2 2 2 4 2 2" xfId="48537" xr:uid="{00000000-0005-0000-0000-00004DA10000}"/>
    <cellStyle name="Normal 16 3 2 2 2 4 3" xfId="35621" xr:uid="{00000000-0005-0000-0000-00004EA10000}"/>
    <cellStyle name="Normal 16 3 2 2 2 5" xfId="16205" xr:uid="{00000000-0005-0000-0000-00004FA10000}"/>
    <cellStyle name="Normal 16 3 2 2 2 5 2" xfId="42079" xr:uid="{00000000-0005-0000-0000-000050A10000}"/>
    <cellStyle name="Normal 16 3 2 2 2 6" xfId="29131" xr:uid="{00000000-0005-0000-0000-000051A10000}"/>
    <cellStyle name="Normal 16 3 2 2 3" xfId="4068" xr:uid="{00000000-0005-0000-0000-000052A10000}"/>
    <cellStyle name="Normal 16 3 2 2 3 2" xfId="7322" xr:uid="{00000000-0005-0000-0000-000053A10000}"/>
    <cellStyle name="Normal 16 3 2 2 3 2 2" xfId="13781" xr:uid="{00000000-0005-0000-0000-000054A10000}"/>
    <cellStyle name="Normal 16 3 2 2 3 2 2 2" xfId="26698" xr:uid="{00000000-0005-0000-0000-000055A10000}"/>
    <cellStyle name="Normal 16 3 2 2 3 2 2 2 2" xfId="52572" xr:uid="{00000000-0005-0000-0000-000056A10000}"/>
    <cellStyle name="Normal 16 3 2 2 3 2 2 3" xfId="39656" xr:uid="{00000000-0005-0000-0000-000057A10000}"/>
    <cellStyle name="Normal 16 3 2 2 3 2 3" xfId="20240" xr:uid="{00000000-0005-0000-0000-000058A10000}"/>
    <cellStyle name="Normal 16 3 2 2 3 2 3 2" xfId="46114" xr:uid="{00000000-0005-0000-0000-000059A10000}"/>
    <cellStyle name="Normal 16 3 2 2 3 2 4" xfId="33198" xr:uid="{00000000-0005-0000-0000-00005AA10000}"/>
    <cellStyle name="Normal 16 3 2 2 3 3" xfId="10553" xr:uid="{00000000-0005-0000-0000-00005BA10000}"/>
    <cellStyle name="Normal 16 3 2 2 3 3 2" xfId="23470" xr:uid="{00000000-0005-0000-0000-00005CA10000}"/>
    <cellStyle name="Normal 16 3 2 2 3 3 2 2" xfId="49344" xr:uid="{00000000-0005-0000-0000-00005DA10000}"/>
    <cellStyle name="Normal 16 3 2 2 3 3 3" xfId="36428" xr:uid="{00000000-0005-0000-0000-00005EA10000}"/>
    <cellStyle name="Normal 16 3 2 2 3 4" xfId="17012" xr:uid="{00000000-0005-0000-0000-00005FA10000}"/>
    <cellStyle name="Normal 16 3 2 2 3 4 2" xfId="42886" xr:uid="{00000000-0005-0000-0000-000060A10000}"/>
    <cellStyle name="Normal 16 3 2 2 3 5" xfId="29938" xr:uid="{00000000-0005-0000-0000-000061A10000}"/>
    <cellStyle name="Normal 16 3 2 2 4" xfId="5708" xr:uid="{00000000-0005-0000-0000-000062A10000}"/>
    <cellStyle name="Normal 16 3 2 2 4 2" xfId="12167" xr:uid="{00000000-0005-0000-0000-000063A10000}"/>
    <cellStyle name="Normal 16 3 2 2 4 2 2" xfId="25084" xr:uid="{00000000-0005-0000-0000-000064A10000}"/>
    <cellStyle name="Normal 16 3 2 2 4 2 2 2" xfId="50958" xr:uid="{00000000-0005-0000-0000-000065A10000}"/>
    <cellStyle name="Normal 16 3 2 2 4 2 3" xfId="38042" xr:uid="{00000000-0005-0000-0000-000066A10000}"/>
    <cellStyle name="Normal 16 3 2 2 4 3" xfId="18626" xr:uid="{00000000-0005-0000-0000-000067A10000}"/>
    <cellStyle name="Normal 16 3 2 2 4 3 2" xfId="44500" xr:uid="{00000000-0005-0000-0000-000068A10000}"/>
    <cellStyle name="Normal 16 3 2 2 4 4" xfId="31584" xr:uid="{00000000-0005-0000-0000-000069A10000}"/>
    <cellStyle name="Normal 16 3 2 2 5" xfId="8939" xr:uid="{00000000-0005-0000-0000-00006AA10000}"/>
    <cellStyle name="Normal 16 3 2 2 5 2" xfId="21856" xr:uid="{00000000-0005-0000-0000-00006BA10000}"/>
    <cellStyle name="Normal 16 3 2 2 5 2 2" xfId="47730" xr:uid="{00000000-0005-0000-0000-00006CA10000}"/>
    <cellStyle name="Normal 16 3 2 2 5 3" xfId="34814" xr:uid="{00000000-0005-0000-0000-00006DA10000}"/>
    <cellStyle name="Normal 16 3 2 2 6" xfId="15398" xr:uid="{00000000-0005-0000-0000-00006EA10000}"/>
    <cellStyle name="Normal 16 3 2 2 6 2" xfId="41272" xr:uid="{00000000-0005-0000-0000-00006FA10000}"/>
    <cellStyle name="Normal 16 3 2 2 7" xfId="28324" xr:uid="{00000000-0005-0000-0000-000070A10000}"/>
    <cellStyle name="Normal 16 3 2 2 8" xfId="54186" xr:uid="{00000000-0005-0000-0000-000071A10000}"/>
    <cellStyle name="Normal 16 3 2 3" xfId="2837" xr:uid="{00000000-0005-0000-0000-000072A10000}"/>
    <cellStyle name="Normal 16 3 2 3 2" xfId="4494" xr:uid="{00000000-0005-0000-0000-000073A10000}"/>
    <cellStyle name="Normal 16 3 2 3 2 2" xfId="7725" xr:uid="{00000000-0005-0000-0000-000074A10000}"/>
    <cellStyle name="Normal 16 3 2 3 2 2 2" xfId="14184" xr:uid="{00000000-0005-0000-0000-000075A10000}"/>
    <cellStyle name="Normal 16 3 2 3 2 2 2 2" xfId="27101" xr:uid="{00000000-0005-0000-0000-000076A10000}"/>
    <cellStyle name="Normal 16 3 2 3 2 2 2 2 2" xfId="52975" xr:uid="{00000000-0005-0000-0000-000077A10000}"/>
    <cellStyle name="Normal 16 3 2 3 2 2 2 3" xfId="40059" xr:uid="{00000000-0005-0000-0000-000078A10000}"/>
    <cellStyle name="Normal 16 3 2 3 2 2 3" xfId="20643" xr:uid="{00000000-0005-0000-0000-000079A10000}"/>
    <cellStyle name="Normal 16 3 2 3 2 2 3 2" xfId="46517" xr:uid="{00000000-0005-0000-0000-00007AA10000}"/>
    <cellStyle name="Normal 16 3 2 3 2 2 4" xfId="33601" xr:uid="{00000000-0005-0000-0000-00007BA10000}"/>
    <cellStyle name="Normal 16 3 2 3 2 3" xfId="10956" xr:uid="{00000000-0005-0000-0000-00007CA10000}"/>
    <cellStyle name="Normal 16 3 2 3 2 3 2" xfId="23873" xr:uid="{00000000-0005-0000-0000-00007DA10000}"/>
    <cellStyle name="Normal 16 3 2 3 2 3 2 2" xfId="49747" xr:uid="{00000000-0005-0000-0000-00007EA10000}"/>
    <cellStyle name="Normal 16 3 2 3 2 3 3" xfId="36831" xr:uid="{00000000-0005-0000-0000-00007FA10000}"/>
    <cellStyle name="Normal 16 3 2 3 2 4" xfId="17415" xr:uid="{00000000-0005-0000-0000-000080A10000}"/>
    <cellStyle name="Normal 16 3 2 3 2 4 2" xfId="43289" xr:uid="{00000000-0005-0000-0000-000081A10000}"/>
    <cellStyle name="Normal 16 3 2 3 2 5" xfId="30341" xr:uid="{00000000-0005-0000-0000-000082A10000}"/>
    <cellStyle name="Normal 16 3 2 3 3" xfId="6111" xr:uid="{00000000-0005-0000-0000-000083A10000}"/>
    <cellStyle name="Normal 16 3 2 3 3 2" xfId="12570" xr:uid="{00000000-0005-0000-0000-000084A10000}"/>
    <cellStyle name="Normal 16 3 2 3 3 2 2" xfId="25487" xr:uid="{00000000-0005-0000-0000-000085A10000}"/>
    <cellStyle name="Normal 16 3 2 3 3 2 2 2" xfId="51361" xr:uid="{00000000-0005-0000-0000-000086A10000}"/>
    <cellStyle name="Normal 16 3 2 3 3 2 3" xfId="38445" xr:uid="{00000000-0005-0000-0000-000087A10000}"/>
    <cellStyle name="Normal 16 3 2 3 3 3" xfId="19029" xr:uid="{00000000-0005-0000-0000-000088A10000}"/>
    <cellStyle name="Normal 16 3 2 3 3 3 2" xfId="44903" xr:uid="{00000000-0005-0000-0000-000089A10000}"/>
    <cellStyle name="Normal 16 3 2 3 3 4" xfId="31987" xr:uid="{00000000-0005-0000-0000-00008AA10000}"/>
    <cellStyle name="Normal 16 3 2 3 4" xfId="9342" xr:uid="{00000000-0005-0000-0000-00008BA10000}"/>
    <cellStyle name="Normal 16 3 2 3 4 2" xfId="22259" xr:uid="{00000000-0005-0000-0000-00008CA10000}"/>
    <cellStyle name="Normal 16 3 2 3 4 2 2" xfId="48133" xr:uid="{00000000-0005-0000-0000-00008DA10000}"/>
    <cellStyle name="Normal 16 3 2 3 4 3" xfId="35217" xr:uid="{00000000-0005-0000-0000-00008EA10000}"/>
    <cellStyle name="Normal 16 3 2 3 5" xfId="15801" xr:uid="{00000000-0005-0000-0000-00008FA10000}"/>
    <cellStyle name="Normal 16 3 2 3 5 2" xfId="41675" xr:uid="{00000000-0005-0000-0000-000090A10000}"/>
    <cellStyle name="Normal 16 3 2 3 6" xfId="28727" xr:uid="{00000000-0005-0000-0000-000091A10000}"/>
    <cellStyle name="Normal 16 3 2 4" xfId="3664" xr:uid="{00000000-0005-0000-0000-000092A10000}"/>
    <cellStyle name="Normal 16 3 2 4 2" xfId="6918" xr:uid="{00000000-0005-0000-0000-000093A10000}"/>
    <cellStyle name="Normal 16 3 2 4 2 2" xfId="13377" xr:uid="{00000000-0005-0000-0000-000094A10000}"/>
    <cellStyle name="Normal 16 3 2 4 2 2 2" xfId="26294" xr:uid="{00000000-0005-0000-0000-000095A10000}"/>
    <cellStyle name="Normal 16 3 2 4 2 2 2 2" xfId="52168" xr:uid="{00000000-0005-0000-0000-000096A10000}"/>
    <cellStyle name="Normal 16 3 2 4 2 2 3" xfId="39252" xr:uid="{00000000-0005-0000-0000-000097A10000}"/>
    <cellStyle name="Normal 16 3 2 4 2 3" xfId="19836" xr:uid="{00000000-0005-0000-0000-000098A10000}"/>
    <cellStyle name="Normal 16 3 2 4 2 3 2" xfId="45710" xr:uid="{00000000-0005-0000-0000-000099A10000}"/>
    <cellStyle name="Normal 16 3 2 4 2 4" xfId="32794" xr:uid="{00000000-0005-0000-0000-00009AA10000}"/>
    <cellStyle name="Normal 16 3 2 4 3" xfId="10149" xr:uid="{00000000-0005-0000-0000-00009BA10000}"/>
    <cellStyle name="Normal 16 3 2 4 3 2" xfId="23066" xr:uid="{00000000-0005-0000-0000-00009CA10000}"/>
    <cellStyle name="Normal 16 3 2 4 3 2 2" xfId="48940" xr:uid="{00000000-0005-0000-0000-00009DA10000}"/>
    <cellStyle name="Normal 16 3 2 4 3 3" xfId="36024" xr:uid="{00000000-0005-0000-0000-00009EA10000}"/>
    <cellStyle name="Normal 16 3 2 4 4" xfId="16608" xr:uid="{00000000-0005-0000-0000-00009FA10000}"/>
    <cellStyle name="Normal 16 3 2 4 4 2" xfId="42482" xr:uid="{00000000-0005-0000-0000-0000A0A10000}"/>
    <cellStyle name="Normal 16 3 2 4 5" xfId="29534" xr:uid="{00000000-0005-0000-0000-0000A1A10000}"/>
    <cellStyle name="Normal 16 3 2 5" xfId="5304" xr:uid="{00000000-0005-0000-0000-0000A2A10000}"/>
    <cellStyle name="Normal 16 3 2 5 2" xfId="11763" xr:uid="{00000000-0005-0000-0000-0000A3A10000}"/>
    <cellStyle name="Normal 16 3 2 5 2 2" xfId="24680" xr:uid="{00000000-0005-0000-0000-0000A4A10000}"/>
    <cellStyle name="Normal 16 3 2 5 2 2 2" xfId="50554" xr:uid="{00000000-0005-0000-0000-0000A5A10000}"/>
    <cellStyle name="Normal 16 3 2 5 2 3" xfId="37638" xr:uid="{00000000-0005-0000-0000-0000A6A10000}"/>
    <cellStyle name="Normal 16 3 2 5 3" xfId="18222" xr:uid="{00000000-0005-0000-0000-0000A7A10000}"/>
    <cellStyle name="Normal 16 3 2 5 3 2" xfId="44096" xr:uid="{00000000-0005-0000-0000-0000A8A10000}"/>
    <cellStyle name="Normal 16 3 2 5 4" xfId="31180" xr:uid="{00000000-0005-0000-0000-0000A9A10000}"/>
    <cellStyle name="Normal 16 3 2 6" xfId="8535" xr:uid="{00000000-0005-0000-0000-0000AAA10000}"/>
    <cellStyle name="Normal 16 3 2 6 2" xfId="21452" xr:uid="{00000000-0005-0000-0000-0000ABA10000}"/>
    <cellStyle name="Normal 16 3 2 6 2 2" xfId="47326" xr:uid="{00000000-0005-0000-0000-0000ACA10000}"/>
    <cellStyle name="Normal 16 3 2 6 3" xfId="34410" xr:uid="{00000000-0005-0000-0000-0000ADA10000}"/>
    <cellStyle name="Normal 16 3 2 7" xfId="14994" xr:uid="{00000000-0005-0000-0000-0000AEA10000}"/>
    <cellStyle name="Normal 16 3 2 7 2" xfId="40868" xr:uid="{00000000-0005-0000-0000-0000AFA10000}"/>
    <cellStyle name="Normal 16 3 2 8" xfId="27919" xr:uid="{00000000-0005-0000-0000-0000B0A10000}"/>
    <cellStyle name="Normal 16 3 2 9" xfId="53782" xr:uid="{00000000-0005-0000-0000-0000B1A10000}"/>
    <cellStyle name="Normal 16 3 3" xfId="2232" xr:uid="{00000000-0005-0000-0000-0000B2A10000}"/>
    <cellStyle name="Normal 16 3 3 2" xfId="3046" xr:uid="{00000000-0005-0000-0000-0000B3A10000}"/>
    <cellStyle name="Normal 16 3 3 2 2" xfId="4703" xr:uid="{00000000-0005-0000-0000-0000B4A10000}"/>
    <cellStyle name="Normal 16 3 3 2 2 2" xfId="7934" xr:uid="{00000000-0005-0000-0000-0000B5A10000}"/>
    <cellStyle name="Normal 16 3 3 2 2 2 2" xfId="14393" xr:uid="{00000000-0005-0000-0000-0000B6A10000}"/>
    <cellStyle name="Normal 16 3 3 2 2 2 2 2" xfId="27310" xr:uid="{00000000-0005-0000-0000-0000B7A10000}"/>
    <cellStyle name="Normal 16 3 3 2 2 2 2 2 2" xfId="53184" xr:uid="{00000000-0005-0000-0000-0000B8A10000}"/>
    <cellStyle name="Normal 16 3 3 2 2 2 2 3" xfId="40268" xr:uid="{00000000-0005-0000-0000-0000B9A10000}"/>
    <cellStyle name="Normal 16 3 3 2 2 2 3" xfId="20852" xr:uid="{00000000-0005-0000-0000-0000BAA10000}"/>
    <cellStyle name="Normal 16 3 3 2 2 2 3 2" xfId="46726" xr:uid="{00000000-0005-0000-0000-0000BBA10000}"/>
    <cellStyle name="Normal 16 3 3 2 2 2 4" xfId="33810" xr:uid="{00000000-0005-0000-0000-0000BCA10000}"/>
    <cellStyle name="Normal 16 3 3 2 2 3" xfId="11165" xr:uid="{00000000-0005-0000-0000-0000BDA10000}"/>
    <cellStyle name="Normal 16 3 3 2 2 3 2" xfId="24082" xr:uid="{00000000-0005-0000-0000-0000BEA10000}"/>
    <cellStyle name="Normal 16 3 3 2 2 3 2 2" xfId="49956" xr:uid="{00000000-0005-0000-0000-0000BFA10000}"/>
    <cellStyle name="Normal 16 3 3 2 2 3 3" xfId="37040" xr:uid="{00000000-0005-0000-0000-0000C0A10000}"/>
    <cellStyle name="Normal 16 3 3 2 2 4" xfId="17624" xr:uid="{00000000-0005-0000-0000-0000C1A10000}"/>
    <cellStyle name="Normal 16 3 3 2 2 4 2" xfId="43498" xr:uid="{00000000-0005-0000-0000-0000C2A10000}"/>
    <cellStyle name="Normal 16 3 3 2 2 5" xfId="30550" xr:uid="{00000000-0005-0000-0000-0000C3A10000}"/>
    <cellStyle name="Normal 16 3 3 2 3" xfId="6320" xr:uid="{00000000-0005-0000-0000-0000C4A10000}"/>
    <cellStyle name="Normal 16 3 3 2 3 2" xfId="12779" xr:uid="{00000000-0005-0000-0000-0000C5A10000}"/>
    <cellStyle name="Normal 16 3 3 2 3 2 2" xfId="25696" xr:uid="{00000000-0005-0000-0000-0000C6A10000}"/>
    <cellStyle name="Normal 16 3 3 2 3 2 2 2" xfId="51570" xr:uid="{00000000-0005-0000-0000-0000C7A10000}"/>
    <cellStyle name="Normal 16 3 3 2 3 2 3" xfId="38654" xr:uid="{00000000-0005-0000-0000-0000C8A10000}"/>
    <cellStyle name="Normal 16 3 3 2 3 3" xfId="19238" xr:uid="{00000000-0005-0000-0000-0000C9A10000}"/>
    <cellStyle name="Normal 16 3 3 2 3 3 2" xfId="45112" xr:uid="{00000000-0005-0000-0000-0000CAA10000}"/>
    <cellStyle name="Normal 16 3 3 2 3 4" xfId="32196" xr:uid="{00000000-0005-0000-0000-0000CBA10000}"/>
    <cellStyle name="Normal 16 3 3 2 4" xfId="9551" xr:uid="{00000000-0005-0000-0000-0000CCA10000}"/>
    <cellStyle name="Normal 16 3 3 2 4 2" xfId="22468" xr:uid="{00000000-0005-0000-0000-0000CDA10000}"/>
    <cellStyle name="Normal 16 3 3 2 4 2 2" xfId="48342" xr:uid="{00000000-0005-0000-0000-0000CEA10000}"/>
    <cellStyle name="Normal 16 3 3 2 4 3" xfId="35426" xr:uid="{00000000-0005-0000-0000-0000CFA10000}"/>
    <cellStyle name="Normal 16 3 3 2 5" xfId="16010" xr:uid="{00000000-0005-0000-0000-0000D0A10000}"/>
    <cellStyle name="Normal 16 3 3 2 5 2" xfId="41884" xr:uid="{00000000-0005-0000-0000-0000D1A10000}"/>
    <cellStyle name="Normal 16 3 3 2 6" xfId="28936" xr:uid="{00000000-0005-0000-0000-0000D2A10000}"/>
    <cellStyle name="Normal 16 3 3 3" xfId="3873" xr:uid="{00000000-0005-0000-0000-0000D3A10000}"/>
    <cellStyle name="Normal 16 3 3 3 2" xfId="7127" xr:uid="{00000000-0005-0000-0000-0000D4A10000}"/>
    <cellStyle name="Normal 16 3 3 3 2 2" xfId="13586" xr:uid="{00000000-0005-0000-0000-0000D5A10000}"/>
    <cellStyle name="Normal 16 3 3 3 2 2 2" xfId="26503" xr:uid="{00000000-0005-0000-0000-0000D6A10000}"/>
    <cellStyle name="Normal 16 3 3 3 2 2 2 2" xfId="52377" xr:uid="{00000000-0005-0000-0000-0000D7A10000}"/>
    <cellStyle name="Normal 16 3 3 3 2 2 3" xfId="39461" xr:uid="{00000000-0005-0000-0000-0000D8A10000}"/>
    <cellStyle name="Normal 16 3 3 3 2 3" xfId="20045" xr:uid="{00000000-0005-0000-0000-0000D9A10000}"/>
    <cellStyle name="Normal 16 3 3 3 2 3 2" xfId="45919" xr:uid="{00000000-0005-0000-0000-0000DAA10000}"/>
    <cellStyle name="Normal 16 3 3 3 2 4" xfId="33003" xr:uid="{00000000-0005-0000-0000-0000DBA10000}"/>
    <cellStyle name="Normal 16 3 3 3 3" xfId="10358" xr:uid="{00000000-0005-0000-0000-0000DCA10000}"/>
    <cellStyle name="Normal 16 3 3 3 3 2" xfId="23275" xr:uid="{00000000-0005-0000-0000-0000DDA10000}"/>
    <cellStyle name="Normal 16 3 3 3 3 2 2" xfId="49149" xr:uid="{00000000-0005-0000-0000-0000DEA10000}"/>
    <cellStyle name="Normal 16 3 3 3 3 3" xfId="36233" xr:uid="{00000000-0005-0000-0000-0000DFA10000}"/>
    <cellStyle name="Normal 16 3 3 3 4" xfId="16817" xr:uid="{00000000-0005-0000-0000-0000E0A10000}"/>
    <cellStyle name="Normal 16 3 3 3 4 2" xfId="42691" xr:uid="{00000000-0005-0000-0000-0000E1A10000}"/>
    <cellStyle name="Normal 16 3 3 3 5" xfId="29743" xr:uid="{00000000-0005-0000-0000-0000E2A10000}"/>
    <cellStyle name="Normal 16 3 3 4" xfId="5513" xr:uid="{00000000-0005-0000-0000-0000E3A10000}"/>
    <cellStyle name="Normal 16 3 3 4 2" xfId="11972" xr:uid="{00000000-0005-0000-0000-0000E4A10000}"/>
    <cellStyle name="Normal 16 3 3 4 2 2" xfId="24889" xr:uid="{00000000-0005-0000-0000-0000E5A10000}"/>
    <cellStyle name="Normal 16 3 3 4 2 2 2" xfId="50763" xr:uid="{00000000-0005-0000-0000-0000E6A10000}"/>
    <cellStyle name="Normal 16 3 3 4 2 3" xfId="37847" xr:uid="{00000000-0005-0000-0000-0000E7A10000}"/>
    <cellStyle name="Normal 16 3 3 4 3" xfId="18431" xr:uid="{00000000-0005-0000-0000-0000E8A10000}"/>
    <cellStyle name="Normal 16 3 3 4 3 2" xfId="44305" xr:uid="{00000000-0005-0000-0000-0000E9A10000}"/>
    <cellStyle name="Normal 16 3 3 4 4" xfId="31389" xr:uid="{00000000-0005-0000-0000-0000EAA10000}"/>
    <cellStyle name="Normal 16 3 3 5" xfId="8744" xr:uid="{00000000-0005-0000-0000-0000EBA10000}"/>
    <cellStyle name="Normal 16 3 3 5 2" xfId="21661" xr:uid="{00000000-0005-0000-0000-0000ECA10000}"/>
    <cellStyle name="Normal 16 3 3 5 2 2" xfId="47535" xr:uid="{00000000-0005-0000-0000-0000EDA10000}"/>
    <cellStyle name="Normal 16 3 3 5 3" xfId="34619" xr:uid="{00000000-0005-0000-0000-0000EEA10000}"/>
    <cellStyle name="Normal 16 3 3 6" xfId="15203" xr:uid="{00000000-0005-0000-0000-0000EFA10000}"/>
    <cellStyle name="Normal 16 3 3 6 2" xfId="41077" xr:uid="{00000000-0005-0000-0000-0000F0A10000}"/>
    <cellStyle name="Normal 16 3 3 7" xfId="28129" xr:uid="{00000000-0005-0000-0000-0000F1A10000}"/>
    <cellStyle name="Normal 16 3 3 8" xfId="53991" xr:uid="{00000000-0005-0000-0000-0000F2A10000}"/>
    <cellStyle name="Normal 16 3 4" xfId="2643" xr:uid="{00000000-0005-0000-0000-0000F3A10000}"/>
    <cellStyle name="Normal 16 3 4 2" xfId="4300" xr:uid="{00000000-0005-0000-0000-0000F4A10000}"/>
    <cellStyle name="Normal 16 3 4 2 2" xfId="7531" xr:uid="{00000000-0005-0000-0000-0000F5A10000}"/>
    <cellStyle name="Normal 16 3 4 2 2 2" xfId="13990" xr:uid="{00000000-0005-0000-0000-0000F6A10000}"/>
    <cellStyle name="Normal 16 3 4 2 2 2 2" xfId="26907" xr:uid="{00000000-0005-0000-0000-0000F7A10000}"/>
    <cellStyle name="Normal 16 3 4 2 2 2 2 2" xfId="52781" xr:uid="{00000000-0005-0000-0000-0000F8A10000}"/>
    <cellStyle name="Normal 16 3 4 2 2 2 3" xfId="39865" xr:uid="{00000000-0005-0000-0000-0000F9A10000}"/>
    <cellStyle name="Normal 16 3 4 2 2 3" xfId="20449" xr:uid="{00000000-0005-0000-0000-0000FAA10000}"/>
    <cellStyle name="Normal 16 3 4 2 2 3 2" xfId="46323" xr:uid="{00000000-0005-0000-0000-0000FBA10000}"/>
    <cellStyle name="Normal 16 3 4 2 2 4" xfId="33407" xr:uid="{00000000-0005-0000-0000-0000FCA10000}"/>
    <cellStyle name="Normal 16 3 4 2 3" xfId="10762" xr:uid="{00000000-0005-0000-0000-0000FDA10000}"/>
    <cellStyle name="Normal 16 3 4 2 3 2" xfId="23679" xr:uid="{00000000-0005-0000-0000-0000FEA10000}"/>
    <cellStyle name="Normal 16 3 4 2 3 2 2" xfId="49553" xr:uid="{00000000-0005-0000-0000-0000FFA10000}"/>
    <cellStyle name="Normal 16 3 4 2 3 3" xfId="36637" xr:uid="{00000000-0005-0000-0000-000000A20000}"/>
    <cellStyle name="Normal 16 3 4 2 4" xfId="17221" xr:uid="{00000000-0005-0000-0000-000001A20000}"/>
    <cellStyle name="Normal 16 3 4 2 4 2" xfId="43095" xr:uid="{00000000-0005-0000-0000-000002A20000}"/>
    <cellStyle name="Normal 16 3 4 2 5" xfId="30147" xr:uid="{00000000-0005-0000-0000-000003A20000}"/>
    <cellStyle name="Normal 16 3 4 3" xfId="5917" xr:uid="{00000000-0005-0000-0000-000004A20000}"/>
    <cellStyle name="Normal 16 3 4 3 2" xfId="12376" xr:uid="{00000000-0005-0000-0000-000005A20000}"/>
    <cellStyle name="Normal 16 3 4 3 2 2" xfId="25293" xr:uid="{00000000-0005-0000-0000-000006A20000}"/>
    <cellStyle name="Normal 16 3 4 3 2 2 2" xfId="51167" xr:uid="{00000000-0005-0000-0000-000007A20000}"/>
    <cellStyle name="Normal 16 3 4 3 2 3" xfId="38251" xr:uid="{00000000-0005-0000-0000-000008A20000}"/>
    <cellStyle name="Normal 16 3 4 3 3" xfId="18835" xr:uid="{00000000-0005-0000-0000-000009A20000}"/>
    <cellStyle name="Normal 16 3 4 3 3 2" xfId="44709" xr:uid="{00000000-0005-0000-0000-00000AA20000}"/>
    <cellStyle name="Normal 16 3 4 3 4" xfId="31793" xr:uid="{00000000-0005-0000-0000-00000BA20000}"/>
    <cellStyle name="Normal 16 3 4 4" xfId="9148" xr:uid="{00000000-0005-0000-0000-00000CA20000}"/>
    <cellStyle name="Normal 16 3 4 4 2" xfId="22065" xr:uid="{00000000-0005-0000-0000-00000DA20000}"/>
    <cellStyle name="Normal 16 3 4 4 2 2" xfId="47939" xr:uid="{00000000-0005-0000-0000-00000EA20000}"/>
    <cellStyle name="Normal 16 3 4 4 3" xfId="35023" xr:uid="{00000000-0005-0000-0000-00000FA20000}"/>
    <cellStyle name="Normal 16 3 4 5" xfId="15607" xr:uid="{00000000-0005-0000-0000-000010A20000}"/>
    <cellStyle name="Normal 16 3 4 5 2" xfId="41481" xr:uid="{00000000-0005-0000-0000-000011A20000}"/>
    <cellStyle name="Normal 16 3 4 6" xfId="28533" xr:uid="{00000000-0005-0000-0000-000012A20000}"/>
    <cellStyle name="Normal 16 3 5" xfId="3470" xr:uid="{00000000-0005-0000-0000-000013A20000}"/>
    <cellStyle name="Normal 16 3 5 2" xfId="6724" xr:uid="{00000000-0005-0000-0000-000014A20000}"/>
    <cellStyle name="Normal 16 3 5 2 2" xfId="13183" xr:uid="{00000000-0005-0000-0000-000015A20000}"/>
    <cellStyle name="Normal 16 3 5 2 2 2" xfId="26100" xr:uid="{00000000-0005-0000-0000-000016A20000}"/>
    <cellStyle name="Normal 16 3 5 2 2 2 2" xfId="51974" xr:uid="{00000000-0005-0000-0000-000017A20000}"/>
    <cellStyle name="Normal 16 3 5 2 2 3" xfId="39058" xr:uid="{00000000-0005-0000-0000-000018A20000}"/>
    <cellStyle name="Normal 16 3 5 2 3" xfId="19642" xr:uid="{00000000-0005-0000-0000-000019A20000}"/>
    <cellStyle name="Normal 16 3 5 2 3 2" xfId="45516" xr:uid="{00000000-0005-0000-0000-00001AA20000}"/>
    <cellStyle name="Normal 16 3 5 2 4" xfId="32600" xr:uid="{00000000-0005-0000-0000-00001BA20000}"/>
    <cellStyle name="Normal 16 3 5 3" xfId="9955" xr:uid="{00000000-0005-0000-0000-00001CA20000}"/>
    <cellStyle name="Normal 16 3 5 3 2" xfId="22872" xr:uid="{00000000-0005-0000-0000-00001DA20000}"/>
    <cellStyle name="Normal 16 3 5 3 2 2" xfId="48746" xr:uid="{00000000-0005-0000-0000-00001EA20000}"/>
    <cellStyle name="Normal 16 3 5 3 3" xfId="35830" xr:uid="{00000000-0005-0000-0000-00001FA20000}"/>
    <cellStyle name="Normal 16 3 5 4" xfId="16414" xr:uid="{00000000-0005-0000-0000-000020A20000}"/>
    <cellStyle name="Normal 16 3 5 4 2" xfId="42288" xr:uid="{00000000-0005-0000-0000-000021A20000}"/>
    <cellStyle name="Normal 16 3 5 5" xfId="29340" xr:uid="{00000000-0005-0000-0000-000022A20000}"/>
    <cellStyle name="Normal 16 3 6" xfId="5110" xr:uid="{00000000-0005-0000-0000-000023A20000}"/>
    <cellStyle name="Normal 16 3 6 2" xfId="11569" xr:uid="{00000000-0005-0000-0000-000024A20000}"/>
    <cellStyle name="Normal 16 3 6 2 2" xfId="24486" xr:uid="{00000000-0005-0000-0000-000025A20000}"/>
    <cellStyle name="Normal 16 3 6 2 2 2" xfId="50360" xr:uid="{00000000-0005-0000-0000-000026A20000}"/>
    <cellStyle name="Normal 16 3 6 2 3" xfId="37444" xr:uid="{00000000-0005-0000-0000-000027A20000}"/>
    <cellStyle name="Normal 16 3 6 3" xfId="18028" xr:uid="{00000000-0005-0000-0000-000028A20000}"/>
    <cellStyle name="Normal 16 3 6 3 2" xfId="43902" xr:uid="{00000000-0005-0000-0000-000029A20000}"/>
    <cellStyle name="Normal 16 3 6 4" xfId="30986" xr:uid="{00000000-0005-0000-0000-00002AA20000}"/>
    <cellStyle name="Normal 16 3 7" xfId="8340" xr:uid="{00000000-0005-0000-0000-00002BA20000}"/>
    <cellStyle name="Normal 16 3 7 2" xfId="21257" xr:uid="{00000000-0005-0000-0000-00002CA20000}"/>
    <cellStyle name="Normal 16 3 7 2 2" xfId="47131" xr:uid="{00000000-0005-0000-0000-00002DA20000}"/>
    <cellStyle name="Normal 16 3 7 3" xfId="34215" xr:uid="{00000000-0005-0000-0000-00002EA20000}"/>
    <cellStyle name="Normal 16 3 8" xfId="14799" xr:uid="{00000000-0005-0000-0000-00002FA20000}"/>
    <cellStyle name="Normal 16 3 8 2" xfId="40673" xr:uid="{00000000-0005-0000-0000-000030A20000}"/>
    <cellStyle name="Normal 16 3 9" xfId="27725" xr:uid="{00000000-0005-0000-0000-000031A20000}"/>
    <cellStyle name="Normal 16 4" xfId="1874" xr:uid="{00000000-0005-0000-0000-000032A20000}"/>
    <cellStyle name="Normal 16 4 2" xfId="2314" xr:uid="{00000000-0005-0000-0000-000033A20000}"/>
    <cellStyle name="Normal 16 4 2 2" xfId="3128" xr:uid="{00000000-0005-0000-0000-000034A20000}"/>
    <cellStyle name="Normal 16 4 2 2 2" xfId="4785" xr:uid="{00000000-0005-0000-0000-000035A20000}"/>
    <cellStyle name="Normal 16 4 2 2 2 2" xfId="8016" xr:uid="{00000000-0005-0000-0000-000036A20000}"/>
    <cellStyle name="Normal 16 4 2 2 2 2 2" xfId="14475" xr:uid="{00000000-0005-0000-0000-000037A20000}"/>
    <cellStyle name="Normal 16 4 2 2 2 2 2 2" xfId="27392" xr:uid="{00000000-0005-0000-0000-000038A20000}"/>
    <cellStyle name="Normal 16 4 2 2 2 2 2 2 2" xfId="53266" xr:uid="{00000000-0005-0000-0000-000039A20000}"/>
    <cellStyle name="Normal 16 4 2 2 2 2 2 3" xfId="40350" xr:uid="{00000000-0005-0000-0000-00003AA20000}"/>
    <cellStyle name="Normal 16 4 2 2 2 2 3" xfId="20934" xr:uid="{00000000-0005-0000-0000-00003BA20000}"/>
    <cellStyle name="Normal 16 4 2 2 2 2 3 2" xfId="46808" xr:uid="{00000000-0005-0000-0000-00003CA20000}"/>
    <cellStyle name="Normal 16 4 2 2 2 2 4" xfId="33892" xr:uid="{00000000-0005-0000-0000-00003DA20000}"/>
    <cellStyle name="Normal 16 4 2 2 2 3" xfId="11247" xr:uid="{00000000-0005-0000-0000-00003EA20000}"/>
    <cellStyle name="Normal 16 4 2 2 2 3 2" xfId="24164" xr:uid="{00000000-0005-0000-0000-00003FA20000}"/>
    <cellStyle name="Normal 16 4 2 2 2 3 2 2" xfId="50038" xr:uid="{00000000-0005-0000-0000-000040A20000}"/>
    <cellStyle name="Normal 16 4 2 2 2 3 3" xfId="37122" xr:uid="{00000000-0005-0000-0000-000041A20000}"/>
    <cellStyle name="Normal 16 4 2 2 2 4" xfId="17706" xr:uid="{00000000-0005-0000-0000-000042A20000}"/>
    <cellStyle name="Normal 16 4 2 2 2 4 2" xfId="43580" xr:uid="{00000000-0005-0000-0000-000043A20000}"/>
    <cellStyle name="Normal 16 4 2 2 2 5" xfId="30632" xr:uid="{00000000-0005-0000-0000-000044A20000}"/>
    <cellStyle name="Normal 16 4 2 2 3" xfId="6402" xr:uid="{00000000-0005-0000-0000-000045A20000}"/>
    <cellStyle name="Normal 16 4 2 2 3 2" xfId="12861" xr:uid="{00000000-0005-0000-0000-000046A20000}"/>
    <cellStyle name="Normal 16 4 2 2 3 2 2" xfId="25778" xr:uid="{00000000-0005-0000-0000-000047A20000}"/>
    <cellStyle name="Normal 16 4 2 2 3 2 2 2" xfId="51652" xr:uid="{00000000-0005-0000-0000-000048A20000}"/>
    <cellStyle name="Normal 16 4 2 2 3 2 3" xfId="38736" xr:uid="{00000000-0005-0000-0000-000049A20000}"/>
    <cellStyle name="Normal 16 4 2 2 3 3" xfId="19320" xr:uid="{00000000-0005-0000-0000-00004AA20000}"/>
    <cellStyle name="Normal 16 4 2 2 3 3 2" xfId="45194" xr:uid="{00000000-0005-0000-0000-00004BA20000}"/>
    <cellStyle name="Normal 16 4 2 2 3 4" xfId="32278" xr:uid="{00000000-0005-0000-0000-00004CA20000}"/>
    <cellStyle name="Normal 16 4 2 2 4" xfId="9633" xr:uid="{00000000-0005-0000-0000-00004DA20000}"/>
    <cellStyle name="Normal 16 4 2 2 4 2" xfId="22550" xr:uid="{00000000-0005-0000-0000-00004EA20000}"/>
    <cellStyle name="Normal 16 4 2 2 4 2 2" xfId="48424" xr:uid="{00000000-0005-0000-0000-00004FA20000}"/>
    <cellStyle name="Normal 16 4 2 2 4 3" xfId="35508" xr:uid="{00000000-0005-0000-0000-000050A20000}"/>
    <cellStyle name="Normal 16 4 2 2 5" xfId="16092" xr:uid="{00000000-0005-0000-0000-000051A20000}"/>
    <cellStyle name="Normal 16 4 2 2 5 2" xfId="41966" xr:uid="{00000000-0005-0000-0000-000052A20000}"/>
    <cellStyle name="Normal 16 4 2 2 6" xfId="29018" xr:uid="{00000000-0005-0000-0000-000053A20000}"/>
    <cellStyle name="Normal 16 4 2 3" xfId="3955" xr:uid="{00000000-0005-0000-0000-000054A20000}"/>
    <cellStyle name="Normal 16 4 2 3 2" xfId="7209" xr:uid="{00000000-0005-0000-0000-000055A20000}"/>
    <cellStyle name="Normal 16 4 2 3 2 2" xfId="13668" xr:uid="{00000000-0005-0000-0000-000056A20000}"/>
    <cellStyle name="Normal 16 4 2 3 2 2 2" xfId="26585" xr:uid="{00000000-0005-0000-0000-000057A20000}"/>
    <cellStyle name="Normal 16 4 2 3 2 2 2 2" xfId="52459" xr:uid="{00000000-0005-0000-0000-000058A20000}"/>
    <cellStyle name="Normal 16 4 2 3 2 2 3" xfId="39543" xr:uid="{00000000-0005-0000-0000-000059A20000}"/>
    <cellStyle name="Normal 16 4 2 3 2 3" xfId="20127" xr:uid="{00000000-0005-0000-0000-00005AA20000}"/>
    <cellStyle name="Normal 16 4 2 3 2 3 2" xfId="46001" xr:uid="{00000000-0005-0000-0000-00005BA20000}"/>
    <cellStyle name="Normal 16 4 2 3 2 4" xfId="33085" xr:uid="{00000000-0005-0000-0000-00005CA20000}"/>
    <cellStyle name="Normal 16 4 2 3 3" xfId="10440" xr:uid="{00000000-0005-0000-0000-00005DA20000}"/>
    <cellStyle name="Normal 16 4 2 3 3 2" xfId="23357" xr:uid="{00000000-0005-0000-0000-00005EA20000}"/>
    <cellStyle name="Normal 16 4 2 3 3 2 2" xfId="49231" xr:uid="{00000000-0005-0000-0000-00005FA20000}"/>
    <cellStyle name="Normal 16 4 2 3 3 3" xfId="36315" xr:uid="{00000000-0005-0000-0000-000060A20000}"/>
    <cellStyle name="Normal 16 4 2 3 4" xfId="16899" xr:uid="{00000000-0005-0000-0000-000061A20000}"/>
    <cellStyle name="Normal 16 4 2 3 4 2" xfId="42773" xr:uid="{00000000-0005-0000-0000-000062A20000}"/>
    <cellStyle name="Normal 16 4 2 3 5" xfId="29825" xr:uid="{00000000-0005-0000-0000-000063A20000}"/>
    <cellStyle name="Normal 16 4 2 4" xfId="5595" xr:uid="{00000000-0005-0000-0000-000064A20000}"/>
    <cellStyle name="Normal 16 4 2 4 2" xfId="12054" xr:uid="{00000000-0005-0000-0000-000065A20000}"/>
    <cellStyle name="Normal 16 4 2 4 2 2" xfId="24971" xr:uid="{00000000-0005-0000-0000-000066A20000}"/>
    <cellStyle name="Normal 16 4 2 4 2 2 2" xfId="50845" xr:uid="{00000000-0005-0000-0000-000067A20000}"/>
    <cellStyle name="Normal 16 4 2 4 2 3" xfId="37929" xr:uid="{00000000-0005-0000-0000-000068A20000}"/>
    <cellStyle name="Normal 16 4 2 4 3" xfId="18513" xr:uid="{00000000-0005-0000-0000-000069A20000}"/>
    <cellStyle name="Normal 16 4 2 4 3 2" xfId="44387" xr:uid="{00000000-0005-0000-0000-00006AA20000}"/>
    <cellStyle name="Normal 16 4 2 4 4" xfId="31471" xr:uid="{00000000-0005-0000-0000-00006BA20000}"/>
    <cellStyle name="Normal 16 4 2 5" xfId="8826" xr:uid="{00000000-0005-0000-0000-00006CA20000}"/>
    <cellStyle name="Normal 16 4 2 5 2" xfId="21743" xr:uid="{00000000-0005-0000-0000-00006DA20000}"/>
    <cellStyle name="Normal 16 4 2 5 2 2" xfId="47617" xr:uid="{00000000-0005-0000-0000-00006EA20000}"/>
    <cellStyle name="Normal 16 4 2 5 3" xfId="34701" xr:uid="{00000000-0005-0000-0000-00006FA20000}"/>
    <cellStyle name="Normal 16 4 2 6" xfId="15285" xr:uid="{00000000-0005-0000-0000-000070A20000}"/>
    <cellStyle name="Normal 16 4 2 6 2" xfId="41159" xr:uid="{00000000-0005-0000-0000-000071A20000}"/>
    <cellStyle name="Normal 16 4 2 7" xfId="28211" xr:uid="{00000000-0005-0000-0000-000072A20000}"/>
    <cellStyle name="Normal 16 4 2 8" xfId="54073" xr:uid="{00000000-0005-0000-0000-000073A20000}"/>
    <cellStyle name="Normal 16 4 3" xfId="2724" xr:uid="{00000000-0005-0000-0000-000074A20000}"/>
    <cellStyle name="Normal 16 4 3 2" xfId="4381" xr:uid="{00000000-0005-0000-0000-000075A20000}"/>
    <cellStyle name="Normal 16 4 3 2 2" xfId="7612" xr:uid="{00000000-0005-0000-0000-000076A20000}"/>
    <cellStyle name="Normal 16 4 3 2 2 2" xfId="14071" xr:uid="{00000000-0005-0000-0000-000077A20000}"/>
    <cellStyle name="Normal 16 4 3 2 2 2 2" xfId="26988" xr:uid="{00000000-0005-0000-0000-000078A20000}"/>
    <cellStyle name="Normal 16 4 3 2 2 2 2 2" xfId="52862" xr:uid="{00000000-0005-0000-0000-000079A20000}"/>
    <cellStyle name="Normal 16 4 3 2 2 2 3" xfId="39946" xr:uid="{00000000-0005-0000-0000-00007AA20000}"/>
    <cellStyle name="Normal 16 4 3 2 2 3" xfId="20530" xr:uid="{00000000-0005-0000-0000-00007BA20000}"/>
    <cellStyle name="Normal 16 4 3 2 2 3 2" xfId="46404" xr:uid="{00000000-0005-0000-0000-00007CA20000}"/>
    <cellStyle name="Normal 16 4 3 2 2 4" xfId="33488" xr:uid="{00000000-0005-0000-0000-00007DA20000}"/>
    <cellStyle name="Normal 16 4 3 2 3" xfId="10843" xr:uid="{00000000-0005-0000-0000-00007EA20000}"/>
    <cellStyle name="Normal 16 4 3 2 3 2" xfId="23760" xr:uid="{00000000-0005-0000-0000-00007FA20000}"/>
    <cellStyle name="Normal 16 4 3 2 3 2 2" xfId="49634" xr:uid="{00000000-0005-0000-0000-000080A20000}"/>
    <cellStyle name="Normal 16 4 3 2 3 3" xfId="36718" xr:uid="{00000000-0005-0000-0000-000081A20000}"/>
    <cellStyle name="Normal 16 4 3 2 4" xfId="17302" xr:uid="{00000000-0005-0000-0000-000082A20000}"/>
    <cellStyle name="Normal 16 4 3 2 4 2" xfId="43176" xr:uid="{00000000-0005-0000-0000-000083A20000}"/>
    <cellStyle name="Normal 16 4 3 2 5" xfId="30228" xr:uid="{00000000-0005-0000-0000-000084A20000}"/>
    <cellStyle name="Normal 16 4 3 3" xfId="5998" xr:uid="{00000000-0005-0000-0000-000085A20000}"/>
    <cellStyle name="Normal 16 4 3 3 2" xfId="12457" xr:uid="{00000000-0005-0000-0000-000086A20000}"/>
    <cellStyle name="Normal 16 4 3 3 2 2" xfId="25374" xr:uid="{00000000-0005-0000-0000-000087A20000}"/>
    <cellStyle name="Normal 16 4 3 3 2 2 2" xfId="51248" xr:uid="{00000000-0005-0000-0000-000088A20000}"/>
    <cellStyle name="Normal 16 4 3 3 2 3" xfId="38332" xr:uid="{00000000-0005-0000-0000-000089A20000}"/>
    <cellStyle name="Normal 16 4 3 3 3" xfId="18916" xr:uid="{00000000-0005-0000-0000-00008AA20000}"/>
    <cellStyle name="Normal 16 4 3 3 3 2" xfId="44790" xr:uid="{00000000-0005-0000-0000-00008BA20000}"/>
    <cellStyle name="Normal 16 4 3 3 4" xfId="31874" xr:uid="{00000000-0005-0000-0000-00008CA20000}"/>
    <cellStyle name="Normal 16 4 3 4" xfId="9229" xr:uid="{00000000-0005-0000-0000-00008DA20000}"/>
    <cellStyle name="Normal 16 4 3 4 2" xfId="22146" xr:uid="{00000000-0005-0000-0000-00008EA20000}"/>
    <cellStyle name="Normal 16 4 3 4 2 2" xfId="48020" xr:uid="{00000000-0005-0000-0000-00008FA20000}"/>
    <cellStyle name="Normal 16 4 3 4 3" xfId="35104" xr:uid="{00000000-0005-0000-0000-000090A20000}"/>
    <cellStyle name="Normal 16 4 3 5" xfId="15688" xr:uid="{00000000-0005-0000-0000-000091A20000}"/>
    <cellStyle name="Normal 16 4 3 5 2" xfId="41562" xr:uid="{00000000-0005-0000-0000-000092A20000}"/>
    <cellStyle name="Normal 16 4 3 6" xfId="28614" xr:uid="{00000000-0005-0000-0000-000093A20000}"/>
    <cellStyle name="Normal 16 4 4" xfId="3551" xr:uid="{00000000-0005-0000-0000-000094A20000}"/>
    <cellStyle name="Normal 16 4 4 2" xfId="6805" xr:uid="{00000000-0005-0000-0000-000095A20000}"/>
    <cellStyle name="Normal 16 4 4 2 2" xfId="13264" xr:uid="{00000000-0005-0000-0000-000096A20000}"/>
    <cellStyle name="Normal 16 4 4 2 2 2" xfId="26181" xr:uid="{00000000-0005-0000-0000-000097A20000}"/>
    <cellStyle name="Normal 16 4 4 2 2 2 2" xfId="52055" xr:uid="{00000000-0005-0000-0000-000098A20000}"/>
    <cellStyle name="Normal 16 4 4 2 2 3" xfId="39139" xr:uid="{00000000-0005-0000-0000-000099A20000}"/>
    <cellStyle name="Normal 16 4 4 2 3" xfId="19723" xr:uid="{00000000-0005-0000-0000-00009AA20000}"/>
    <cellStyle name="Normal 16 4 4 2 3 2" xfId="45597" xr:uid="{00000000-0005-0000-0000-00009BA20000}"/>
    <cellStyle name="Normal 16 4 4 2 4" xfId="32681" xr:uid="{00000000-0005-0000-0000-00009CA20000}"/>
    <cellStyle name="Normal 16 4 4 3" xfId="10036" xr:uid="{00000000-0005-0000-0000-00009DA20000}"/>
    <cellStyle name="Normal 16 4 4 3 2" xfId="22953" xr:uid="{00000000-0005-0000-0000-00009EA20000}"/>
    <cellStyle name="Normal 16 4 4 3 2 2" xfId="48827" xr:uid="{00000000-0005-0000-0000-00009FA20000}"/>
    <cellStyle name="Normal 16 4 4 3 3" xfId="35911" xr:uid="{00000000-0005-0000-0000-0000A0A20000}"/>
    <cellStyle name="Normal 16 4 4 4" xfId="16495" xr:uid="{00000000-0005-0000-0000-0000A1A20000}"/>
    <cellStyle name="Normal 16 4 4 4 2" xfId="42369" xr:uid="{00000000-0005-0000-0000-0000A2A20000}"/>
    <cellStyle name="Normal 16 4 4 5" xfId="29421" xr:uid="{00000000-0005-0000-0000-0000A3A20000}"/>
    <cellStyle name="Normal 16 4 5" xfId="5191" xr:uid="{00000000-0005-0000-0000-0000A4A20000}"/>
    <cellStyle name="Normal 16 4 5 2" xfId="11650" xr:uid="{00000000-0005-0000-0000-0000A5A20000}"/>
    <cellStyle name="Normal 16 4 5 2 2" xfId="24567" xr:uid="{00000000-0005-0000-0000-0000A6A20000}"/>
    <cellStyle name="Normal 16 4 5 2 2 2" xfId="50441" xr:uid="{00000000-0005-0000-0000-0000A7A20000}"/>
    <cellStyle name="Normal 16 4 5 2 3" xfId="37525" xr:uid="{00000000-0005-0000-0000-0000A8A20000}"/>
    <cellStyle name="Normal 16 4 5 3" xfId="18109" xr:uid="{00000000-0005-0000-0000-0000A9A20000}"/>
    <cellStyle name="Normal 16 4 5 3 2" xfId="43983" xr:uid="{00000000-0005-0000-0000-0000AAA20000}"/>
    <cellStyle name="Normal 16 4 5 4" xfId="31067" xr:uid="{00000000-0005-0000-0000-0000ABA20000}"/>
    <cellStyle name="Normal 16 4 6" xfId="8422" xr:uid="{00000000-0005-0000-0000-0000ACA20000}"/>
    <cellStyle name="Normal 16 4 6 2" xfId="21339" xr:uid="{00000000-0005-0000-0000-0000ADA20000}"/>
    <cellStyle name="Normal 16 4 6 2 2" xfId="47213" xr:uid="{00000000-0005-0000-0000-0000AEA20000}"/>
    <cellStyle name="Normal 16 4 6 3" xfId="34297" xr:uid="{00000000-0005-0000-0000-0000AFA20000}"/>
    <cellStyle name="Normal 16 4 7" xfId="14881" xr:uid="{00000000-0005-0000-0000-0000B0A20000}"/>
    <cellStyle name="Normal 16 4 7 2" xfId="40755" xr:uid="{00000000-0005-0000-0000-0000B1A20000}"/>
    <cellStyle name="Normal 16 4 8" xfId="27806" xr:uid="{00000000-0005-0000-0000-0000B2A20000}"/>
    <cellStyle name="Normal 16 4 9" xfId="53669" xr:uid="{00000000-0005-0000-0000-0000B3A20000}"/>
    <cellStyle name="Normal 16 5" xfId="2117" xr:uid="{00000000-0005-0000-0000-0000B4A20000}"/>
    <cellStyle name="Normal 16 5 2" xfId="2933" xr:uid="{00000000-0005-0000-0000-0000B5A20000}"/>
    <cellStyle name="Normal 16 5 2 2" xfId="4590" xr:uid="{00000000-0005-0000-0000-0000B6A20000}"/>
    <cellStyle name="Normal 16 5 2 2 2" xfId="7821" xr:uid="{00000000-0005-0000-0000-0000B7A20000}"/>
    <cellStyle name="Normal 16 5 2 2 2 2" xfId="14280" xr:uid="{00000000-0005-0000-0000-0000B8A20000}"/>
    <cellStyle name="Normal 16 5 2 2 2 2 2" xfId="27197" xr:uid="{00000000-0005-0000-0000-0000B9A20000}"/>
    <cellStyle name="Normal 16 5 2 2 2 2 2 2" xfId="53071" xr:uid="{00000000-0005-0000-0000-0000BAA20000}"/>
    <cellStyle name="Normal 16 5 2 2 2 2 3" xfId="40155" xr:uid="{00000000-0005-0000-0000-0000BBA20000}"/>
    <cellStyle name="Normal 16 5 2 2 2 3" xfId="20739" xr:uid="{00000000-0005-0000-0000-0000BCA20000}"/>
    <cellStyle name="Normal 16 5 2 2 2 3 2" xfId="46613" xr:uid="{00000000-0005-0000-0000-0000BDA20000}"/>
    <cellStyle name="Normal 16 5 2 2 2 4" xfId="33697" xr:uid="{00000000-0005-0000-0000-0000BEA20000}"/>
    <cellStyle name="Normal 16 5 2 2 3" xfId="11052" xr:uid="{00000000-0005-0000-0000-0000BFA20000}"/>
    <cellStyle name="Normal 16 5 2 2 3 2" xfId="23969" xr:uid="{00000000-0005-0000-0000-0000C0A20000}"/>
    <cellStyle name="Normal 16 5 2 2 3 2 2" xfId="49843" xr:uid="{00000000-0005-0000-0000-0000C1A20000}"/>
    <cellStyle name="Normal 16 5 2 2 3 3" xfId="36927" xr:uid="{00000000-0005-0000-0000-0000C2A20000}"/>
    <cellStyle name="Normal 16 5 2 2 4" xfId="17511" xr:uid="{00000000-0005-0000-0000-0000C3A20000}"/>
    <cellStyle name="Normal 16 5 2 2 4 2" xfId="43385" xr:uid="{00000000-0005-0000-0000-0000C4A20000}"/>
    <cellStyle name="Normal 16 5 2 2 5" xfId="30437" xr:uid="{00000000-0005-0000-0000-0000C5A20000}"/>
    <cellStyle name="Normal 16 5 2 3" xfId="6207" xr:uid="{00000000-0005-0000-0000-0000C6A20000}"/>
    <cellStyle name="Normal 16 5 2 3 2" xfId="12666" xr:uid="{00000000-0005-0000-0000-0000C7A20000}"/>
    <cellStyle name="Normal 16 5 2 3 2 2" xfId="25583" xr:uid="{00000000-0005-0000-0000-0000C8A20000}"/>
    <cellStyle name="Normal 16 5 2 3 2 2 2" xfId="51457" xr:uid="{00000000-0005-0000-0000-0000C9A20000}"/>
    <cellStyle name="Normal 16 5 2 3 2 3" xfId="38541" xr:uid="{00000000-0005-0000-0000-0000CAA20000}"/>
    <cellStyle name="Normal 16 5 2 3 3" xfId="19125" xr:uid="{00000000-0005-0000-0000-0000CBA20000}"/>
    <cellStyle name="Normal 16 5 2 3 3 2" xfId="44999" xr:uid="{00000000-0005-0000-0000-0000CCA20000}"/>
    <cellStyle name="Normal 16 5 2 3 4" xfId="32083" xr:uid="{00000000-0005-0000-0000-0000CDA20000}"/>
    <cellStyle name="Normal 16 5 2 4" xfId="9438" xr:uid="{00000000-0005-0000-0000-0000CEA20000}"/>
    <cellStyle name="Normal 16 5 2 4 2" xfId="22355" xr:uid="{00000000-0005-0000-0000-0000CFA20000}"/>
    <cellStyle name="Normal 16 5 2 4 2 2" xfId="48229" xr:uid="{00000000-0005-0000-0000-0000D0A20000}"/>
    <cellStyle name="Normal 16 5 2 4 3" xfId="35313" xr:uid="{00000000-0005-0000-0000-0000D1A20000}"/>
    <cellStyle name="Normal 16 5 2 5" xfId="15897" xr:uid="{00000000-0005-0000-0000-0000D2A20000}"/>
    <cellStyle name="Normal 16 5 2 5 2" xfId="41771" xr:uid="{00000000-0005-0000-0000-0000D3A20000}"/>
    <cellStyle name="Normal 16 5 2 6" xfId="28823" xr:uid="{00000000-0005-0000-0000-0000D4A20000}"/>
    <cellStyle name="Normal 16 5 3" xfId="3760" xr:uid="{00000000-0005-0000-0000-0000D5A20000}"/>
    <cellStyle name="Normal 16 5 3 2" xfId="7014" xr:uid="{00000000-0005-0000-0000-0000D6A20000}"/>
    <cellStyle name="Normal 16 5 3 2 2" xfId="13473" xr:uid="{00000000-0005-0000-0000-0000D7A20000}"/>
    <cellStyle name="Normal 16 5 3 2 2 2" xfId="26390" xr:uid="{00000000-0005-0000-0000-0000D8A20000}"/>
    <cellStyle name="Normal 16 5 3 2 2 2 2" xfId="52264" xr:uid="{00000000-0005-0000-0000-0000D9A20000}"/>
    <cellStyle name="Normal 16 5 3 2 2 3" xfId="39348" xr:uid="{00000000-0005-0000-0000-0000DAA20000}"/>
    <cellStyle name="Normal 16 5 3 2 3" xfId="19932" xr:uid="{00000000-0005-0000-0000-0000DBA20000}"/>
    <cellStyle name="Normal 16 5 3 2 3 2" xfId="45806" xr:uid="{00000000-0005-0000-0000-0000DCA20000}"/>
    <cellStyle name="Normal 16 5 3 2 4" xfId="32890" xr:uid="{00000000-0005-0000-0000-0000DDA20000}"/>
    <cellStyle name="Normal 16 5 3 3" xfId="10245" xr:uid="{00000000-0005-0000-0000-0000DEA20000}"/>
    <cellStyle name="Normal 16 5 3 3 2" xfId="23162" xr:uid="{00000000-0005-0000-0000-0000DFA20000}"/>
    <cellStyle name="Normal 16 5 3 3 2 2" xfId="49036" xr:uid="{00000000-0005-0000-0000-0000E0A20000}"/>
    <cellStyle name="Normal 16 5 3 3 3" xfId="36120" xr:uid="{00000000-0005-0000-0000-0000E1A20000}"/>
    <cellStyle name="Normal 16 5 3 4" xfId="16704" xr:uid="{00000000-0005-0000-0000-0000E2A20000}"/>
    <cellStyle name="Normal 16 5 3 4 2" xfId="42578" xr:uid="{00000000-0005-0000-0000-0000E3A20000}"/>
    <cellStyle name="Normal 16 5 3 5" xfId="29630" xr:uid="{00000000-0005-0000-0000-0000E4A20000}"/>
    <cellStyle name="Normal 16 5 4" xfId="5400" xr:uid="{00000000-0005-0000-0000-0000E5A20000}"/>
    <cellStyle name="Normal 16 5 4 2" xfId="11859" xr:uid="{00000000-0005-0000-0000-0000E6A20000}"/>
    <cellStyle name="Normal 16 5 4 2 2" xfId="24776" xr:uid="{00000000-0005-0000-0000-0000E7A20000}"/>
    <cellStyle name="Normal 16 5 4 2 2 2" xfId="50650" xr:uid="{00000000-0005-0000-0000-0000E8A20000}"/>
    <cellStyle name="Normal 16 5 4 2 3" xfId="37734" xr:uid="{00000000-0005-0000-0000-0000E9A20000}"/>
    <cellStyle name="Normal 16 5 4 3" xfId="18318" xr:uid="{00000000-0005-0000-0000-0000EAA20000}"/>
    <cellStyle name="Normal 16 5 4 3 2" xfId="44192" xr:uid="{00000000-0005-0000-0000-0000EBA20000}"/>
    <cellStyle name="Normal 16 5 4 4" xfId="31276" xr:uid="{00000000-0005-0000-0000-0000ECA20000}"/>
    <cellStyle name="Normal 16 5 5" xfId="8631" xr:uid="{00000000-0005-0000-0000-0000EDA20000}"/>
    <cellStyle name="Normal 16 5 5 2" xfId="21548" xr:uid="{00000000-0005-0000-0000-0000EEA20000}"/>
    <cellStyle name="Normal 16 5 5 2 2" xfId="47422" xr:uid="{00000000-0005-0000-0000-0000EFA20000}"/>
    <cellStyle name="Normal 16 5 5 3" xfId="34506" xr:uid="{00000000-0005-0000-0000-0000F0A20000}"/>
    <cellStyle name="Normal 16 5 6" xfId="15090" xr:uid="{00000000-0005-0000-0000-0000F1A20000}"/>
    <cellStyle name="Normal 16 5 6 2" xfId="40964" xr:uid="{00000000-0005-0000-0000-0000F2A20000}"/>
    <cellStyle name="Normal 16 5 7" xfId="28016" xr:uid="{00000000-0005-0000-0000-0000F3A20000}"/>
    <cellStyle name="Normal 16 5 8" xfId="53878" xr:uid="{00000000-0005-0000-0000-0000F4A20000}"/>
    <cellStyle name="Normal 16 6" xfId="2530" xr:uid="{00000000-0005-0000-0000-0000F5A20000}"/>
    <cellStyle name="Normal 16 6 2" xfId="4187" xr:uid="{00000000-0005-0000-0000-0000F6A20000}"/>
    <cellStyle name="Normal 16 6 2 2" xfId="7418" xr:uid="{00000000-0005-0000-0000-0000F7A20000}"/>
    <cellStyle name="Normal 16 6 2 2 2" xfId="13877" xr:uid="{00000000-0005-0000-0000-0000F8A20000}"/>
    <cellStyle name="Normal 16 6 2 2 2 2" xfId="26794" xr:uid="{00000000-0005-0000-0000-0000F9A20000}"/>
    <cellStyle name="Normal 16 6 2 2 2 2 2" xfId="52668" xr:uid="{00000000-0005-0000-0000-0000FAA20000}"/>
    <cellStyle name="Normal 16 6 2 2 2 3" xfId="39752" xr:uid="{00000000-0005-0000-0000-0000FBA20000}"/>
    <cellStyle name="Normal 16 6 2 2 3" xfId="20336" xr:uid="{00000000-0005-0000-0000-0000FCA20000}"/>
    <cellStyle name="Normal 16 6 2 2 3 2" xfId="46210" xr:uid="{00000000-0005-0000-0000-0000FDA20000}"/>
    <cellStyle name="Normal 16 6 2 2 4" xfId="33294" xr:uid="{00000000-0005-0000-0000-0000FEA20000}"/>
    <cellStyle name="Normal 16 6 2 3" xfId="10649" xr:uid="{00000000-0005-0000-0000-0000FFA20000}"/>
    <cellStyle name="Normal 16 6 2 3 2" xfId="23566" xr:uid="{00000000-0005-0000-0000-000000A30000}"/>
    <cellStyle name="Normal 16 6 2 3 2 2" xfId="49440" xr:uid="{00000000-0005-0000-0000-000001A30000}"/>
    <cellStyle name="Normal 16 6 2 3 3" xfId="36524" xr:uid="{00000000-0005-0000-0000-000002A30000}"/>
    <cellStyle name="Normal 16 6 2 4" xfId="17108" xr:uid="{00000000-0005-0000-0000-000003A30000}"/>
    <cellStyle name="Normal 16 6 2 4 2" xfId="42982" xr:uid="{00000000-0005-0000-0000-000004A30000}"/>
    <cellStyle name="Normal 16 6 2 5" xfId="30034" xr:uid="{00000000-0005-0000-0000-000005A30000}"/>
    <cellStyle name="Normal 16 6 3" xfId="5804" xr:uid="{00000000-0005-0000-0000-000006A30000}"/>
    <cellStyle name="Normal 16 6 3 2" xfId="12263" xr:uid="{00000000-0005-0000-0000-000007A30000}"/>
    <cellStyle name="Normal 16 6 3 2 2" xfId="25180" xr:uid="{00000000-0005-0000-0000-000008A30000}"/>
    <cellStyle name="Normal 16 6 3 2 2 2" xfId="51054" xr:uid="{00000000-0005-0000-0000-000009A30000}"/>
    <cellStyle name="Normal 16 6 3 2 3" xfId="38138" xr:uid="{00000000-0005-0000-0000-00000AA30000}"/>
    <cellStyle name="Normal 16 6 3 3" xfId="18722" xr:uid="{00000000-0005-0000-0000-00000BA30000}"/>
    <cellStyle name="Normal 16 6 3 3 2" xfId="44596" xr:uid="{00000000-0005-0000-0000-00000CA30000}"/>
    <cellStyle name="Normal 16 6 3 4" xfId="31680" xr:uid="{00000000-0005-0000-0000-00000DA30000}"/>
    <cellStyle name="Normal 16 6 4" xfId="9035" xr:uid="{00000000-0005-0000-0000-00000EA30000}"/>
    <cellStyle name="Normal 16 6 4 2" xfId="21952" xr:uid="{00000000-0005-0000-0000-00000FA30000}"/>
    <cellStyle name="Normal 16 6 4 2 2" xfId="47826" xr:uid="{00000000-0005-0000-0000-000010A30000}"/>
    <cellStyle name="Normal 16 6 4 3" xfId="34910" xr:uid="{00000000-0005-0000-0000-000011A30000}"/>
    <cellStyle name="Normal 16 6 5" xfId="15494" xr:uid="{00000000-0005-0000-0000-000012A30000}"/>
    <cellStyle name="Normal 16 6 5 2" xfId="41368" xr:uid="{00000000-0005-0000-0000-000013A30000}"/>
    <cellStyle name="Normal 16 6 6" xfId="28420" xr:uid="{00000000-0005-0000-0000-000014A30000}"/>
    <cellStyle name="Normal 16 7" xfId="3350" xr:uid="{00000000-0005-0000-0000-000015A30000}"/>
    <cellStyle name="Normal 16 7 2" xfId="6611" xr:uid="{00000000-0005-0000-0000-000016A30000}"/>
    <cellStyle name="Normal 16 7 2 2" xfId="13070" xr:uid="{00000000-0005-0000-0000-000017A30000}"/>
    <cellStyle name="Normal 16 7 2 2 2" xfId="25987" xr:uid="{00000000-0005-0000-0000-000018A30000}"/>
    <cellStyle name="Normal 16 7 2 2 2 2" xfId="51861" xr:uid="{00000000-0005-0000-0000-000019A30000}"/>
    <cellStyle name="Normal 16 7 2 2 3" xfId="38945" xr:uid="{00000000-0005-0000-0000-00001AA30000}"/>
    <cellStyle name="Normal 16 7 2 3" xfId="19529" xr:uid="{00000000-0005-0000-0000-00001BA30000}"/>
    <cellStyle name="Normal 16 7 2 3 2" xfId="45403" xr:uid="{00000000-0005-0000-0000-00001CA30000}"/>
    <cellStyle name="Normal 16 7 2 4" xfId="32487" xr:uid="{00000000-0005-0000-0000-00001DA30000}"/>
    <cellStyle name="Normal 16 7 3" xfId="9842" xr:uid="{00000000-0005-0000-0000-00001EA30000}"/>
    <cellStyle name="Normal 16 7 3 2" xfId="22759" xr:uid="{00000000-0005-0000-0000-00001FA30000}"/>
    <cellStyle name="Normal 16 7 3 2 2" xfId="48633" xr:uid="{00000000-0005-0000-0000-000020A30000}"/>
    <cellStyle name="Normal 16 7 3 3" xfId="35717" xr:uid="{00000000-0005-0000-0000-000021A30000}"/>
    <cellStyle name="Normal 16 7 4" xfId="16301" xr:uid="{00000000-0005-0000-0000-000022A30000}"/>
    <cellStyle name="Normal 16 7 4 2" xfId="42175" xr:uid="{00000000-0005-0000-0000-000023A30000}"/>
    <cellStyle name="Normal 16 7 5" xfId="29227" xr:uid="{00000000-0005-0000-0000-000024A30000}"/>
    <cellStyle name="Normal 16 8" xfId="4997" xr:uid="{00000000-0005-0000-0000-000025A30000}"/>
    <cellStyle name="Normal 16 8 2" xfId="11456" xr:uid="{00000000-0005-0000-0000-000026A30000}"/>
    <cellStyle name="Normal 16 8 2 2" xfId="24373" xr:uid="{00000000-0005-0000-0000-000027A30000}"/>
    <cellStyle name="Normal 16 8 2 2 2" xfId="50247" xr:uid="{00000000-0005-0000-0000-000028A30000}"/>
    <cellStyle name="Normal 16 8 2 3" xfId="37331" xr:uid="{00000000-0005-0000-0000-000029A30000}"/>
    <cellStyle name="Normal 16 8 3" xfId="17915" xr:uid="{00000000-0005-0000-0000-00002AA30000}"/>
    <cellStyle name="Normal 16 8 3 2" xfId="43789" xr:uid="{00000000-0005-0000-0000-00002BA30000}"/>
    <cellStyle name="Normal 16 8 4" xfId="30873" xr:uid="{00000000-0005-0000-0000-00002CA30000}"/>
    <cellStyle name="Normal 16 9" xfId="8193" xr:uid="{00000000-0005-0000-0000-00002DA30000}"/>
    <cellStyle name="Normal 16 9 2" xfId="21111" xr:uid="{00000000-0005-0000-0000-00002EA30000}"/>
    <cellStyle name="Normal 16 9 2 2" xfId="46985" xr:uid="{00000000-0005-0000-0000-00002FA30000}"/>
    <cellStyle name="Normal 16 9 3" xfId="34069" xr:uid="{00000000-0005-0000-0000-000030A30000}"/>
    <cellStyle name="Normal 17" xfId="1512" xr:uid="{00000000-0005-0000-0000-000031A30000}"/>
    <cellStyle name="Normal 18" xfId="1467" xr:uid="{00000000-0005-0000-0000-000032A30000}"/>
    <cellStyle name="Normal 19" xfId="1528" xr:uid="{00000000-0005-0000-0000-000033A30000}"/>
    <cellStyle name="Normal 19 10" xfId="53476" xr:uid="{00000000-0005-0000-0000-000034A30000}"/>
    <cellStyle name="Normal 19 2" xfId="1885" xr:uid="{00000000-0005-0000-0000-000035A30000}"/>
    <cellStyle name="Normal 19 2 2" xfId="2316" xr:uid="{00000000-0005-0000-0000-000036A30000}"/>
    <cellStyle name="Normal 19 2 2 2" xfId="3129" xr:uid="{00000000-0005-0000-0000-000037A30000}"/>
    <cellStyle name="Normal 19 2 2 2 2" xfId="4786" xr:uid="{00000000-0005-0000-0000-000038A30000}"/>
    <cellStyle name="Normal 19 2 2 2 2 2" xfId="8017" xr:uid="{00000000-0005-0000-0000-000039A30000}"/>
    <cellStyle name="Normal 19 2 2 2 2 2 2" xfId="14476" xr:uid="{00000000-0005-0000-0000-00003AA30000}"/>
    <cellStyle name="Normal 19 2 2 2 2 2 2 2" xfId="27393" xr:uid="{00000000-0005-0000-0000-00003BA30000}"/>
    <cellStyle name="Normal 19 2 2 2 2 2 2 2 2" xfId="53267" xr:uid="{00000000-0005-0000-0000-00003CA30000}"/>
    <cellStyle name="Normal 19 2 2 2 2 2 2 3" xfId="40351" xr:uid="{00000000-0005-0000-0000-00003DA30000}"/>
    <cellStyle name="Normal 19 2 2 2 2 2 3" xfId="20935" xr:uid="{00000000-0005-0000-0000-00003EA30000}"/>
    <cellStyle name="Normal 19 2 2 2 2 2 3 2" xfId="46809" xr:uid="{00000000-0005-0000-0000-00003FA30000}"/>
    <cellStyle name="Normal 19 2 2 2 2 2 4" xfId="33893" xr:uid="{00000000-0005-0000-0000-000040A30000}"/>
    <cellStyle name="Normal 19 2 2 2 2 3" xfId="11248" xr:uid="{00000000-0005-0000-0000-000041A30000}"/>
    <cellStyle name="Normal 19 2 2 2 2 3 2" xfId="24165" xr:uid="{00000000-0005-0000-0000-000042A30000}"/>
    <cellStyle name="Normal 19 2 2 2 2 3 2 2" xfId="50039" xr:uid="{00000000-0005-0000-0000-000043A30000}"/>
    <cellStyle name="Normal 19 2 2 2 2 3 3" xfId="37123" xr:uid="{00000000-0005-0000-0000-000044A30000}"/>
    <cellStyle name="Normal 19 2 2 2 2 4" xfId="17707" xr:uid="{00000000-0005-0000-0000-000045A30000}"/>
    <cellStyle name="Normal 19 2 2 2 2 4 2" xfId="43581" xr:uid="{00000000-0005-0000-0000-000046A30000}"/>
    <cellStyle name="Normal 19 2 2 2 2 5" xfId="30633" xr:uid="{00000000-0005-0000-0000-000047A30000}"/>
    <cellStyle name="Normal 19 2 2 2 3" xfId="6403" xr:uid="{00000000-0005-0000-0000-000048A30000}"/>
    <cellStyle name="Normal 19 2 2 2 3 2" xfId="12862" xr:uid="{00000000-0005-0000-0000-000049A30000}"/>
    <cellStyle name="Normal 19 2 2 2 3 2 2" xfId="25779" xr:uid="{00000000-0005-0000-0000-00004AA30000}"/>
    <cellStyle name="Normal 19 2 2 2 3 2 2 2" xfId="51653" xr:uid="{00000000-0005-0000-0000-00004BA30000}"/>
    <cellStyle name="Normal 19 2 2 2 3 2 3" xfId="38737" xr:uid="{00000000-0005-0000-0000-00004CA30000}"/>
    <cellStyle name="Normal 19 2 2 2 3 3" xfId="19321" xr:uid="{00000000-0005-0000-0000-00004DA30000}"/>
    <cellStyle name="Normal 19 2 2 2 3 3 2" xfId="45195" xr:uid="{00000000-0005-0000-0000-00004EA30000}"/>
    <cellStyle name="Normal 19 2 2 2 3 4" xfId="32279" xr:uid="{00000000-0005-0000-0000-00004FA30000}"/>
    <cellStyle name="Normal 19 2 2 2 4" xfId="9634" xr:uid="{00000000-0005-0000-0000-000050A30000}"/>
    <cellStyle name="Normal 19 2 2 2 4 2" xfId="22551" xr:uid="{00000000-0005-0000-0000-000051A30000}"/>
    <cellStyle name="Normal 19 2 2 2 4 2 2" xfId="48425" xr:uid="{00000000-0005-0000-0000-000052A30000}"/>
    <cellStyle name="Normal 19 2 2 2 4 3" xfId="35509" xr:uid="{00000000-0005-0000-0000-000053A30000}"/>
    <cellStyle name="Normal 19 2 2 2 5" xfId="16093" xr:uid="{00000000-0005-0000-0000-000054A30000}"/>
    <cellStyle name="Normal 19 2 2 2 5 2" xfId="41967" xr:uid="{00000000-0005-0000-0000-000055A30000}"/>
    <cellStyle name="Normal 19 2 2 2 6" xfId="29019" xr:uid="{00000000-0005-0000-0000-000056A30000}"/>
    <cellStyle name="Normal 19 2 2 3" xfId="3956" xr:uid="{00000000-0005-0000-0000-000057A30000}"/>
    <cellStyle name="Normal 19 2 2 3 2" xfId="7210" xr:uid="{00000000-0005-0000-0000-000058A30000}"/>
    <cellStyle name="Normal 19 2 2 3 2 2" xfId="13669" xr:uid="{00000000-0005-0000-0000-000059A30000}"/>
    <cellStyle name="Normal 19 2 2 3 2 2 2" xfId="26586" xr:uid="{00000000-0005-0000-0000-00005AA30000}"/>
    <cellStyle name="Normal 19 2 2 3 2 2 2 2" xfId="52460" xr:uid="{00000000-0005-0000-0000-00005BA30000}"/>
    <cellStyle name="Normal 19 2 2 3 2 2 3" xfId="39544" xr:uid="{00000000-0005-0000-0000-00005CA30000}"/>
    <cellStyle name="Normal 19 2 2 3 2 3" xfId="20128" xr:uid="{00000000-0005-0000-0000-00005DA30000}"/>
    <cellStyle name="Normal 19 2 2 3 2 3 2" xfId="46002" xr:uid="{00000000-0005-0000-0000-00005EA30000}"/>
    <cellStyle name="Normal 19 2 2 3 2 4" xfId="33086" xr:uid="{00000000-0005-0000-0000-00005FA30000}"/>
    <cellStyle name="Normal 19 2 2 3 3" xfId="10441" xr:uid="{00000000-0005-0000-0000-000060A30000}"/>
    <cellStyle name="Normal 19 2 2 3 3 2" xfId="23358" xr:uid="{00000000-0005-0000-0000-000061A30000}"/>
    <cellStyle name="Normal 19 2 2 3 3 2 2" xfId="49232" xr:uid="{00000000-0005-0000-0000-000062A30000}"/>
    <cellStyle name="Normal 19 2 2 3 3 3" xfId="36316" xr:uid="{00000000-0005-0000-0000-000063A30000}"/>
    <cellStyle name="Normal 19 2 2 3 4" xfId="16900" xr:uid="{00000000-0005-0000-0000-000064A30000}"/>
    <cellStyle name="Normal 19 2 2 3 4 2" xfId="42774" xr:uid="{00000000-0005-0000-0000-000065A30000}"/>
    <cellStyle name="Normal 19 2 2 3 5" xfId="29826" xr:uid="{00000000-0005-0000-0000-000066A30000}"/>
    <cellStyle name="Normal 19 2 2 4" xfId="5596" xr:uid="{00000000-0005-0000-0000-000067A30000}"/>
    <cellStyle name="Normal 19 2 2 4 2" xfId="12055" xr:uid="{00000000-0005-0000-0000-000068A30000}"/>
    <cellStyle name="Normal 19 2 2 4 2 2" xfId="24972" xr:uid="{00000000-0005-0000-0000-000069A30000}"/>
    <cellStyle name="Normal 19 2 2 4 2 2 2" xfId="50846" xr:uid="{00000000-0005-0000-0000-00006AA30000}"/>
    <cellStyle name="Normal 19 2 2 4 2 3" xfId="37930" xr:uid="{00000000-0005-0000-0000-00006BA30000}"/>
    <cellStyle name="Normal 19 2 2 4 3" xfId="18514" xr:uid="{00000000-0005-0000-0000-00006CA30000}"/>
    <cellStyle name="Normal 19 2 2 4 3 2" xfId="44388" xr:uid="{00000000-0005-0000-0000-00006DA30000}"/>
    <cellStyle name="Normal 19 2 2 4 4" xfId="31472" xr:uid="{00000000-0005-0000-0000-00006EA30000}"/>
    <cellStyle name="Normal 19 2 2 5" xfId="8827" xr:uid="{00000000-0005-0000-0000-00006FA30000}"/>
    <cellStyle name="Normal 19 2 2 5 2" xfId="21744" xr:uid="{00000000-0005-0000-0000-000070A30000}"/>
    <cellStyle name="Normal 19 2 2 5 2 2" xfId="47618" xr:uid="{00000000-0005-0000-0000-000071A30000}"/>
    <cellStyle name="Normal 19 2 2 5 3" xfId="34702" xr:uid="{00000000-0005-0000-0000-000072A30000}"/>
    <cellStyle name="Normal 19 2 2 6" xfId="15286" xr:uid="{00000000-0005-0000-0000-000073A30000}"/>
    <cellStyle name="Normal 19 2 2 6 2" xfId="41160" xr:uid="{00000000-0005-0000-0000-000074A30000}"/>
    <cellStyle name="Normal 19 2 2 7" xfId="28212" xr:uid="{00000000-0005-0000-0000-000075A30000}"/>
    <cellStyle name="Normal 19 2 2 8" xfId="54074" xr:uid="{00000000-0005-0000-0000-000076A30000}"/>
    <cellStyle name="Normal 19 2 3" xfId="2725" xr:uid="{00000000-0005-0000-0000-000077A30000}"/>
    <cellStyle name="Normal 19 2 3 2" xfId="4382" xr:uid="{00000000-0005-0000-0000-000078A30000}"/>
    <cellStyle name="Normal 19 2 3 2 2" xfId="7613" xr:uid="{00000000-0005-0000-0000-000079A30000}"/>
    <cellStyle name="Normal 19 2 3 2 2 2" xfId="14072" xr:uid="{00000000-0005-0000-0000-00007AA30000}"/>
    <cellStyle name="Normal 19 2 3 2 2 2 2" xfId="26989" xr:uid="{00000000-0005-0000-0000-00007BA30000}"/>
    <cellStyle name="Normal 19 2 3 2 2 2 2 2" xfId="52863" xr:uid="{00000000-0005-0000-0000-00007CA30000}"/>
    <cellStyle name="Normal 19 2 3 2 2 2 3" xfId="39947" xr:uid="{00000000-0005-0000-0000-00007DA30000}"/>
    <cellStyle name="Normal 19 2 3 2 2 3" xfId="20531" xr:uid="{00000000-0005-0000-0000-00007EA30000}"/>
    <cellStyle name="Normal 19 2 3 2 2 3 2" xfId="46405" xr:uid="{00000000-0005-0000-0000-00007FA30000}"/>
    <cellStyle name="Normal 19 2 3 2 2 4" xfId="33489" xr:uid="{00000000-0005-0000-0000-000080A30000}"/>
    <cellStyle name="Normal 19 2 3 2 3" xfId="10844" xr:uid="{00000000-0005-0000-0000-000081A30000}"/>
    <cellStyle name="Normal 19 2 3 2 3 2" xfId="23761" xr:uid="{00000000-0005-0000-0000-000082A30000}"/>
    <cellStyle name="Normal 19 2 3 2 3 2 2" xfId="49635" xr:uid="{00000000-0005-0000-0000-000083A30000}"/>
    <cellStyle name="Normal 19 2 3 2 3 3" xfId="36719" xr:uid="{00000000-0005-0000-0000-000084A30000}"/>
    <cellStyle name="Normal 19 2 3 2 4" xfId="17303" xr:uid="{00000000-0005-0000-0000-000085A30000}"/>
    <cellStyle name="Normal 19 2 3 2 4 2" xfId="43177" xr:uid="{00000000-0005-0000-0000-000086A30000}"/>
    <cellStyle name="Normal 19 2 3 2 5" xfId="30229" xr:uid="{00000000-0005-0000-0000-000087A30000}"/>
    <cellStyle name="Normal 19 2 3 3" xfId="5999" xr:uid="{00000000-0005-0000-0000-000088A30000}"/>
    <cellStyle name="Normal 19 2 3 3 2" xfId="12458" xr:uid="{00000000-0005-0000-0000-000089A30000}"/>
    <cellStyle name="Normal 19 2 3 3 2 2" xfId="25375" xr:uid="{00000000-0005-0000-0000-00008AA30000}"/>
    <cellStyle name="Normal 19 2 3 3 2 2 2" xfId="51249" xr:uid="{00000000-0005-0000-0000-00008BA30000}"/>
    <cellStyle name="Normal 19 2 3 3 2 3" xfId="38333" xr:uid="{00000000-0005-0000-0000-00008CA30000}"/>
    <cellStyle name="Normal 19 2 3 3 3" xfId="18917" xr:uid="{00000000-0005-0000-0000-00008DA30000}"/>
    <cellStyle name="Normal 19 2 3 3 3 2" xfId="44791" xr:uid="{00000000-0005-0000-0000-00008EA30000}"/>
    <cellStyle name="Normal 19 2 3 3 4" xfId="31875" xr:uid="{00000000-0005-0000-0000-00008FA30000}"/>
    <cellStyle name="Normal 19 2 3 4" xfId="9230" xr:uid="{00000000-0005-0000-0000-000090A30000}"/>
    <cellStyle name="Normal 19 2 3 4 2" xfId="22147" xr:uid="{00000000-0005-0000-0000-000091A30000}"/>
    <cellStyle name="Normal 19 2 3 4 2 2" xfId="48021" xr:uid="{00000000-0005-0000-0000-000092A30000}"/>
    <cellStyle name="Normal 19 2 3 4 3" xfId="35105" xr:uid="{00000000-0005-0000-0000-000093A30000}"/>
    <cellStyle name="Normal 19 2 3 5" xfId="15689" xr:uid="{00000000-0005-0000-0000-000094A30000}"/>
    <cellStyle name="Normal 19 2 3 5 2" xfId="41563" xr:uid="{00000000-0005-0000-0000-000095A30000}"/>
    <cellStyle name="Normal 19 2 3 6" xfId="28615" xr:uid="{00000000-0005-0000-0000-000096A30000}"/>
    <cellStyle name="Normal 19 2 4" xfId="3552" xr:uid="{00000000-0005-0000-0000-000097A30000}"/>
    <cellStyle name="Normal 19 2 4 2" xfId="6806" xr:uid="{00000000-0005-0000-0000-000098A30000}"/>
    <cellStyle name="Normal 19 2 4 2 2" xfId="13265" xr:uid="{00000000-0005-0000-0000-000099A30000}"/>
    <cellStyle name="Normal 19 2 4 2 2 2" xfId="26182" xr:uid="{00000000-0005-0000-0000-00009AA30000}"/>
    <cellStyle name="Normal 19 2 4 2 2 2 2" xfId="52056" xr:uid="{00000000-0005-0000-0000-00009BA30000}"/>
    <cellStyle name="Normal 19 2 4 2 2 3" xfId="39140" xr:uid="{00000000-0005-0000-0000-00009CA30000}"/>
    <cellStyle name="Normal 19 2 4 2 3" xfId="19724" xr:uid="{00000000-0005-0000-0000-00009DA30000}"/>
    <cellStyle name="Normal 19 2 4 2 3 2" xfId="45598" xr:uid="{00000000-0005-0000-0000-00009EA30000}"/>
    <cellStyle name="Normal 19 2 4 2 4" xfId="32682" xr:uid="{00000000-0005-0000-0000-00009FA30000}"/>
    <cellStyle name="Normal 19 2 4 3" xfId="10037" xr:uid="{00000000-0005-0000-0000-0000A0A30000}"/>
    <cellStyle name="Normal 19 2 4 3 2" xfId="22954" xr:uid="{00000000-0005-0000-0000-0000A1A30000}"/>
    <cellStyle name="Normal 19 2 4 3 2 2" xfId="48828" xr:uid="{00000000-0005-0000-0000-0000A2A30000}"/>
    <cellStyle name="Normal 19 2 4 3 3" xfId="35912" xr:uid="{00000000-0005-0000-0000-0000A3A30000}"/>
    <cellStyle name="Normal 19 2 4 4" xfId="16496" xr:uid="{00000000-0005-0000-0000-0000A4A30000}"/>
    <cellStyle name="Normal 19 2 4 4 2" xfId="42370" xr:uid="{00000000-0005-0000-0000-0000A5A30000}"/>
    <cellStyle name="Normal 19 2 4 5" xfId="29422" xr:uid="{00000000-0005-0000-0000-0000A6A30000}"/>
    <cellStyle name="Normal 19 2 5" xfId="5192" xr:uid="{00000000-0005-0000-0000-0000A7A30000}"/>
    <cellStyle name="Normal 19 2 5 2" xfId="11651" xr:uid="{00000000-0005-0000-0000-0000A8A30000}"/>
    <cellStyle name="Normal 19 2 5 2 2" xfId="24568" xr:uid="{00000000-0005-0000-0000-0000A9A30000}"/>
    <cellStyle name="Normal 19 2 5 2 2 2" xfId="50442" xr:uid="{00000000-0005-0000-0000-0000AAA30000}"/>
    <cellStyle name="Normal 19 2 5 2 3" xfId="37526" xr:uid="{00000000-0005-0000-0000-0000ABA30000}"/>
    <cellStyle name="Normal 19 2 5 3" xfId="18110" xr:uid="{00000000-0005-0000-0000-0000ACA30000}"/>
    <cellStyle name="Normal 19 2 5 3 2" xfId="43984" xr:uid="{00000000-0005-0000-0000-0000ADA30000}"/>
    <cellStyle name="Normal 19 2 5 4" xfId="31068" xr:uid="{00000000-0005-0000-0000-0000AEA30000}"/>
    <cellStyle name="Normal 19 2 6" xfId="8423" xr:uid="{00000000-0005-0000-0000-0000AFA30000}"/>
    <cellStyle name="Normal 19 2 6 2" xfId="21340" xr:uid="{00000000-0005-0000-0000-0000B0A30000}"/>
    <cellStyle name="Normal 19 2 6 2 2" xfId="47214" xr:uid="{00000000-0005-0000-0000-0000B1A30000}"/>
    <cellStyle name="Normal 19 2 6 3" xfId="34298" xr:uid="{00000000-0005-0000-0000-0000B2A30000}"/>
    <cellStyle name="Normal 19 2 7" xfId="14882" xr:uid="{00000000-0005-0000-0000-0000B3A30000}"/>
    <cellStyle name="Normal 19 2 7 2" xfId="40756" xr:uid="{00000000-0005-0000-0000-0000B4A30000}"/>
    <cellStyle name="Normal 19 2 8" xfId="27807" xr:uid="{00000000-0005-0000-0000-0000B5A30000}"/>
    <cellStyle name="Normal 19 2 9" xfId="53670" xr:uid="{00000000-0005-0000-0000-0000B6A30000}"/>
    <cellStyle name="Normal 19 3" xfId="2120" xr:uid="{00000000-0005-0000-0000-0000B7A30000}"/>
    <cellStyle name="Normal 19 3 2" xfId="2934" xr:uid="{00000000-0005-0000-0000-0000B8A30000}"/>
    <cellStyle name="Normal 19 3 2 2" xfId="4591" xr:uid="{00000000-0005-0000-0000-0000B9A30000}"/>
    <cellStyle name="Normal 19 3 2 2 2" xfId="7822" xr:uid="{00000000-0005-0000-0000-0000BAA30000}"/>
    <cellStyle name="Normal 19 3 2 2 2 2" xfId="14281" xr:uid="{00000000-0005-0000-0000-0000BBA30000}"/>
    <cellStyle name="Normal 19 3 2 2 2 2 2" xfId="27198" xr:uid="{00000000-0005-0000-0000-0000BCA30000}"/>
    <cellStyle name="Normal 19 3 2 2 2 2 2 2" xfId="53072" xr:uid="{00000000-0005-0000-0000-0000BDA30000}"/>
    <cellStyle name="Normal 19 3 2 2 2 2 3" xfId="40156" xr:uid="{00000000-0005-0000-0000-0000BEA30000}"/>
    <cellStyle name="Normal 19 3 2 2 2 3" xfId="20740" xr:uid="{00000000-0005-0000-0000-0000BFA30000}"/>
    <cellStyle name="Normal 19 3 2 2 2 3 2" xfId="46614" xr:uid="{00000000-0005-0000-0000-0000C0A30000}"/>
    <cellStyle name="Normal 19 3 2 2 2 4" xfId="33698" xr:uid="{00000000-0005-0000-0000-0000C1A30000}"/>
    <cellStyle name="Normal 19 3 2 2 3" xfId="11053" xr:uid="{00000000-0005-0000-0000-0000C2A30000}"/>
    <cellStyle name="Normal 19 3 2 2 3 2" xfId="23970" xr:uid="{00000000-0005-0000-0000-0000C3A30000}"/>
    <cellStyle name="Normal 19 3 2 2 3 2 2" xfId="49844" xr:uid="{00000000-0005-0000-0000-0000C4A30000}"/>
    <cellStyle name="Normal 19 3 2 2 3 3" xfId="36928" xr:uid="{00000000-0005-0000-0000-0000C5A30000}"/>
    <cellStyle name="Normal 19 3 2 2 4" xfId="17512" xr:uid="{00000000-0005-0000-0000-0000C6A30000}"/>
    <cellStyle name="Normal 19 3 2 2 4 2" xfId="43386" xr:uid="{00000000-0005-0000-0000-0000C7A30000}"/>
    <cellStyle name="Normal 19 3 2 2 5" xfId="30438" xr:uid="{00000000-0005-0000-0000-0000C8A30000}"/>
    <cellStyle name="Normal 19 3 2 3" xfId="6208" xr:uid="{00000000-0005-0000-0000-0000C9A30000}"/>
    <cellStyle name="Normal 19 3 2 3 2" xfId="12667" xr:uid="{00000000-0005-0000-0000-0000CAA30000}"/>
    <cellStyle name="Normal 19 3 2 3 2 2" xfId="25584" xr:uid="{00000000-0005-0000-0000-0000CBA30000}"/>
    <cellStyle name="Normal 19 3 2 3 2 2 2" xfId="51458" xr:uid="{00000000-0005-0000-0000-0000CCA30000}"/>
    <cellStyle name="Normal 19 3 2 3 2 3" xfId="38542" xr:uid="{00000000-0005-0000-0000-0000CDA30000}"/>
    <cellStyle name="Normal 19 3 2 3 3" xfId="19126" xr:uid="{00000000-0005-0000-0000-0000CEA30000}"/>
    <cellStyle name="Normal 19 3 2 3 3 2" xfId="45000" xr:uid="{00000000-0005-0000-0000-0000CFA30000}"/>
    <cellStyle name="Normal 19 3 2 3 4" xfId="32084" xr:uid="{00000000-0005-0000-0000-0000D0A30000}"/>
    <cellStyle name="Normal 19 3 2 4" xfId="9439" xr:uid="{00000000-0005-0000-0000-0000D1A30000}"/>
    <cellStyle name="Normal 19 3 2 4 2" xfId="22356" xr:uid="{00000000-0005-0000-0000-0000D2A30000}"/>
    <cellStyle name="Normal 19 3 2 4 2 2" xfId="48230" xr:uid="{00000000-0005-0000-0000-0000D3A30000}"/>
    <cellStyle name="Normal 19 3 2 4 3" xfId="35314" xr:uid="{00000000-0005-0000-0000-0000D4A30000}"/>
    <cellStyle name="Normal 19 3 2 5" xfId="15898" xr:uid="{00000000-0005-0000-0000-0000D5A30000}"/>
    <cellStyle name="Normal 19 3 2 5 2" xfId="41772" xr:uid="{00000000-0005-0000-0000-0000D6A30000}"/>
    <cellStyle name="Normal 19 3 2 6" xfId="28824" xr:uid="{00000000-0005-0000-0000-0000D7A30000}"/>
    <cellStyle name="Normal 19 3 3" xfId="3761" xr:uid="{00000000-0005-0000-0000-0000D8A30000}"/>
    <cellStyle name="Normal 19 3 3 2" xfId="7015" xr:uid="{00000000-0005-0000-0000-0000D9A30000}"/>
    <cellStyle name="Normal 19 3 3 2 2" xfId="13474" xr:uid="{00000000-0005-0000-0000-0000DAA30000}"/>
    <cellStyle name="Normal 19 3 3 2 2 2" xfId="26391" xr:uid="{00000000-0005-0000-0000-0000DBA30000}"/>
    <cellStyle name="Normal 19 3 3 2 2 2 2" xfId="52265" xr:uid="{00000000-0005-0000-0000-0000DCA30000}"/>
    <cellStyle name="Normal 19 3 3 2 2 3" xfId="39349" xr:uid="{00000000-0005-0000-0000-0000DDA30000}"/>
    <cellStyle name="Normal 19 3 3 2 3" xfId="19933" xr:uid="{00000000-0005-0000-0000-0000DEA30000}"/>
    <cellStyle name="Normal 19 3 3 2 3 2" xfId="45807" xr:uid="{00000000-0005-0000-0000-0000DFA30000}"/>
    <cellStyle name="Normal 19 3 3 2 4" xfId="32891" xr:uid="{00000000-0005-0000-0000-0000E0A30000}"/>
    <cellStyle name="Normal 19 3 3 3" xfId="10246" xr:uid="{00000000-0005-0000-0000-0000E1A30000}"/>
    <cellStyle name="Normal 19 3 3 3 2" xfId="23163" xr:uid="{00000000-0005-0000-0000-0000E2A30000}"/>
    <cellStyle name="Normal 19 3 3 3 2 2" xfId="49037" xr:uid="{00000000-0005-0000-0000-0000E3A30000}"/>
    <cellStyle name="Normal 19 3 3 3 3" xfId="36121" xr:uid="{00000000-0005-0000-0000-0000E4A30000}"/>
    <cellStyle name="Normal 19 3 3 4" xfId="16705" xr:uid="{00000000-0005-0000-0000-0000E5A30000}"/>
    <cellStyle name="Normal 19 3 3 4 2" xfId="42579" xr:uid="{00000000-0005-0000-0000-0000E6A30000}"/>
    <cellStyle name="Normal 19 3 3 5" xfId="29631" xr:uid="{00000000-0005-0000-0000-0000E7A30000}"/>
    <cellStyle name="Normal 19 3 4" xfId="5401" xr:uid="{00000000-0005-0000-0000-0000E8A30000}"/>
    <cellStyle name="Normal 19 3 4 2" xfId="11860" xr:uid="{00000000-0005-0000-0000-0000E9A30000}"/>
    <cellStyle name="Normal 19 3 4 2 2" xfId="24777" xr:uid="{00000000-0005-0000-0000-0000EAA30000}"/>
    <cellStyle name="Normal 19 3 4 2 2 2" xfId="50651" xr:uid="{00000000-0005-0000-0000-0000EBA30000}"/>
    <cellStyle name="Normal 19 3 4 2 3" xfId="37735" xr:uid="{00000000-0005-0000-0000-0000ECA30000}"/>
    <cellStyle name="Normal 19 3 4 3" xfId="18319" xr:uid="{00000000-0005-0000-0000-0000EDA30000}"/>
    <cellStyle name="Normal 19 3 4 3 2" xfId="44193" xr:uid="{00000000-0005-0000-0000-0000EEA30000}"/>
    <cellStyle name="Normal 19 3 4 4" xfId="31277" xr:uid="{00000000-0005-0000-0000-0000EFA30000}"/>
    <cellStyle name="Normal 19 3 5" xfId="8632" xr:uid="{00000000-0005-0000-0000-0000F0A30000}"/>
    <cellStyle name="Normal 19 3 5 2" xfId="21549" xr:uid="{00000000-0005-0000-0000-0000F1A30000}"/>
    <cellStyle name="Normal 19 3 5 2 2" xfId="47423" xr:uid="{00000000-0005-0000-0000-0000F2A30000}"/>
    <cellStyle name="Normal 19 3 5 3" xfId="34507" xr:uid="{00000000-0005-0000-0000-0000F3A30000}"/>
    <cellStyle name="Normal 19 3 6" xfId="15091" xr:uid="{00000000-0005-0000-0000-0000F4A30000}"/>
    <cellStyle name="Normal 19 3 6 2" xfId="40965" xr:uid="{00000000-0005-0000-0000-0000F5A30000}"/>
    <cellStyle name="Normal 19 3 7" xfId="28017" xr:uid="{00000000-0005-0000-0000-0000F6A30000}"/>
    <cellStyle name="Normal 19 3 8" xfId="53879" xr:uid="{00000000-0005-0000-0000-0000F7A30000}"/>
    <cellStyle name="Normal 19 4" xfId="2531" xr:uid="{00000000-0005-0000-0000-0000F8A30000}"/>
    <cellStyle name="Normal 19 4 2" xfId="4188" xr:uid="{00000000-0005-0000-0000-0000F9A30000}"/>
    <cellStyle name="Normal 19 4 2 2" xfId="7419" xr:uid="{00000000-0005-0000-0000-0000FAA30000}"/>
    <cellStyle name="Normal 19 4 2 2 2" xfId="13878" xr:uid="{00000000-0005-0000-0000-0000FBA30000}"/>
    <cellStyle name="Normal 19 4 2 2 2 2" xfId="26795" xr:uid="{00000000-0005-0000-0000-0000FCA30000}"/>
    <cellStyle name="Normal 19 4 2 2 2 2 2" xfId="52669" xr:uid="{00000000-0005-0000-0000-0000FDA30000}"/>
    <cellStyle name="Normal 19 4 2 2 2 3" xfId="39753" xr:uid="{00000000-0005-0000-0000-0000FEA30000}"/>
    <cellStyle name="Normal 19 4 2 2 3" xfId="20337" xr:uid="{00000000-0005-0000-0000-0000FFA30000}"/>
    <cellStyle name="Normal 19 4 2 2 3 2" xfId="46211" xr:uid="{00000000-0005-0000-0000-000000A40000}"/>
    <cellStyle name="Normal 19 4 2 2 4" xfId="33295" xr:uid="{00000000-0005-0000-0000-000001A40000}"/>
    <cellStyle name="Normal 19 4 2 3" xfId="10650" xr:uid="{00000000-0005-0000-0000-000002A40000}"/>
    <cellStyle name="Normal 19 4 2 3 2" xfId="23567" xr:uid="{00000000-0005-0000-0000-000003A40000}"/>
    <cellStyle name="Normal 19 4 2 3 2 2" xfId="49441" xr:uid="{00000000-0005-0000-0000-000004A40000}"/>
    <cellStyle name="Normal 19 4 2 3 3" xfId="36525" xr:uid="{00000000-0005-0000-0000-000005A40000}"/>
    <cellStyle name="Normal 19 4 2 4" xfId="17109" xr:uid="{00000000-0005-0000-0000-000006A40000}"/>
    <cellStyle name="Normal 19 4 2 4 2" xfId="42983" xr:uid="{00000000-0005-0000-0000-000007A40000}"/>
    <cellStyle name="Normal 19 4 2 5" xfId="30035" xr:uid="{00000000-0005-0000-0000-000008A40000}"/>
    <cellStyle name="Normal 19 4 3" xfId="5805" xr:uid="{00000000-0005-0000-0000-000009A40000}"/>
    <cellStyle name="Normal 19 4 3 2" xfId="12264" xr:uid="{00000000-0005-0000-0000-00000AA40000}"/>
    <cellStyle name="Normal 19 4 3 2 2" xfId="25181" xr:uid="{00000000-0005-0000-0000-00000BA40000}"/>
    <cellStyle name="Normal 19 4 3 2 2 2" xfId="51055" xr:uid="{00000000-0005-0000-0000-00000CA40000}"/>
    <cellStyle name="Normal 19 4 3 2 3" xfId="38139" xr:uid="{00000000-0005-0000-0000-00000DA40000}"/>
    <cellStyle name="Normal 19 4 3 3" xfId="18723" xr:uid="{00000000-0005-0000-0000-00000EA40000}"/>
    <cellStyle name="Normal 19 4 3 3 2" xfId="44597" xr:uid="{00000000-0005-0000-0000-00000FA40000}"/>
    <cellStyle name="Normal 19 4 3 4" xfId="31681" xr:uid="{00000000-0005-0000-0000-000010A40000}"/>
    <cellStyle name="Normal 19 4 4" xfId="9036" xr:uid="{00000000-0005-0000-0000-000011A40000}"/>
    <cellStyle name="Normal 19 4 4 2" xfId="21953" xr:uid="{00000000-0005-0000-0000-000012A40000}"/>
    <cellStyle name="Normal 19 4 4 2 2" xfId="47827" xr:uid="{00000000-0005-0000-0000-000013A40000}"/>
    <cellStyle name="Normal 19 4 4 3" xfId="34911" xr:uid="{00000000-0005-0000-0000-000014A40000}"/>
    <cellStyle name="Normal 19 4 5" xfId="15495" xr:uid="{00000000-0005-0000-0000-000015A40000}"/>
    <cellStyle name="Normal 19 4 5 2" xfId="41369" xr:uid="{00000000-0005-0000-0000-000016A40000}"/>
    <cellStyle name="Normal 19 4 6" xfId="28421" xr:uid="{00000000-0005-0000-0000-000017A40000}"/>
    <cellStyle name="Normal 19 5" xfId="3353" xr:uid="{00000000-0005-0000-0000-000018A40000}"/>
    <cellStyle name="Normal 19 5 2" xfId="6612" xr:uid="{00000000-0005-0000-0000-000019A40000}"/>
    <cellStyle name="Normal 19 5 2 2" xfId="13071" xr:uid="{00000000-0005-0000-0000-00001AA40000}"/>
    <cellStyle name="Normal 19 5 2 2 2" xfId="25988" xr:uid="{00000000-0005-0000-0000-00001BA40000}"/>
    <cellStyle name="Normal 19 5 2 2 2 2" xfId="51862" xr:uid="{00000000-0005-0000-0000-00001CA40000}"/>
    <cellStyle name="Normal 19 5 2 2 3" xfId="38946" xr:uid="{00000000-0005-0000-0000-00001DA40000}"/>
    <cellStyle name="Normal 19 5 2 3" xfId="19530" xr:uid="{00000000-0005-0000-0000-00001EA40000}"/>
    <cellStyle name="Normal 19 5 2 3 2" xfId="45404" xr:uid="{00000000-0005-0000-0000-00001FA40000}"/>
    <cellStyle name="Normal 19 5 2 4" xfId="32488" xr:uid="{00000000-0005-0000-0000-000020A40000}"/>
    <cellStyle name="Normal 19 5 3" xfId="9843" xr:uid="{00000000-0005-0000-0000-000021A40000}"/>
    <cellStyle name="Normal 19 5 3 2" xfId="22760" xr:uid="{00000000-0005-0000-0000-000022A40000}"/>
    <cellStyle name="Normal 19 5 3 2 2" xfId="48634" xr:uid="{00000000-0005-0000-0000-000023A40000}"/>
    <cellStyle name="Normal 19 5 3 3" xfId="35718" xr:uid="{00000000-0005-0000-0000-000024A40000}"/>
    <cellStyle name="Normal 19 5 4" xfId="16302" xr:uid="{00000000-0005-0000-0000-000025A40000}"/>
    <cellStyle name="Normal 19 5 4 2" xfId="42176" xr:uid="{00000000-0005-0000-0000-000026A40000}"/>
    <cellStyle name="Normal 19 5 5" xfId="29228" xr:uid="{00000000-0005-0000-0000-000027A40000}"/>
    <cellStyle name="Normal 19 6" xfId="4998" xr:uid="{00000000-0005-0000-0000-000028A40000}"/>
    <cellStyle name="Normal 19 6 2" xfId="11457" xr:uid="{00000000-0005-0000-0000-000029A40000}"/>
    <cellStyle name="Normal 19 6 2 2" xfId="24374" xr:uid="{00000000-0005-0000-0000-00002AA40000}"/>
    <cellStyle name="Normal 19 6 2 2 2" xfId="50248" xr:uid="{00000000-0005-0000-0000-00002BA40000}"/>
    <cellStyle name="Normal 19 6 2 3" xfId="37332" xr:uid="{00000000-0005-0000-0000-00002CA40000}"/>
    <cellStyle name="Normal 19 6 3" xfId="17916" xr:uid="{00000000-0005-0000-0000-00002DA40000}"/>
    <cellStyle name="Normal 19 6 3 2" xfId="43790" xr:uid="{00000000-0005-0000-0000-00002EA40000}"/>
    <cellStyle name="Normal 19 6 4" xfId="30874" xr:uid="{00000000-0005-0000-0000-00002FA40000}"/>
    <cellStyle name="Normal 19 7" xfId="8228" xr:uid="{00000000-0005-0000-0000-000030A40000}"/>
    <cellStyle name="Normal 19 7 2" xfId="21145" xr:uid="{00000000-0005-0000-0000-000031A40000}"/>
    <cellStyle name="Normal 19 7 2 2" xfId="47019" xr:uid="{00000000-0005-0000-0000-000032A40000}"/>
    <cellStyle name="Normal 19 7 3" xfId="34103" xr:uid="{00000000-0005-0000-0000-000033A40000}"/>
    <cellStyle name="Normal 19 8" xfId="14687" xr:uid="{00000000-0005-0000-0000-000034A40000}"/>
    <cellStyle name="Normal 19 8 2" xfId="40561" xr:uid="{00000000-0005-0000-0000-000035A40000}"/>
    <cellStyle name="Normal 19 9" xfId="27611" xr:uid="{00000000-0005-0000-0000-000036A40000}"/>
    <cellStyle name="Normal 2" xfId="2" xr:uid="{00000000-0005-0000-0000-000037A40000}"/>
    <cellStyle name="Normal 2 10" xfId="2491" xr:uid="{00000000-0005-0000-0000-000038A40000}"/>
    <cellStyle name="Normal 2 10 2" xfId="4148" xr:uid="{00000000-0005-0000-0000-000039A40000}"/>
    <cellStyle name="Normal 2 10 2 2" xfId="7379" xr:uid="{00000000-0005-0000-0000-00003AA40000}"/>
    <cellStyle name="Normal 2 10 2 2 2" xfId="13838" xr:uid="{00000000-0005-0000-0000-00003BA40000}"/>
    <cellStyle name="Normal 2 10 2 2 2 2" xfId="26755" xr:uid="{00000000-0005-0000-0000-00003CA40000}"/>
    <cellStyle name="Normal 2 10 2 2 2 2 2" xfId="52629" xr:uid="{00000000-0005-0000-0000-00003DA40000}"/>
    <cellStyle name="Normal 2 10 2 2 2 3" xfId="39713" xr:uid="{00000000-0005-0000-0000-00003EA40000}"/>
    <cellStyle name="Normal 2 10 2 2 3" xfId="20297" xr:uid="{00000000-0005-0000-0000-00003FA40000}"/>
    <cellStyle name="Normal 2 10 2 2 3 2" xfId="46171" xr:uid="{00000000-0005-0000-0000-000040A40000}"/>
    <cellStyle name="Normal 2 10 2 2 4" xfId="33255" xr:uid="{00000000-0005-0000-0000-000041A40000}"/>
    <cellStyle name="Normal 2 10 2 3" xfId="10610" xr:uid="{00000000-0005-0000-0000-000042A40000}"/>
    <cellStyle name="Normal 2 10 2 3 2" xfId="23527" xr:uid="{00000000-0005-0000-0000-000043A40000}"/>
    <cellStyle name="Normal 2 10 2 3 2 2" xfId="49401" xr:uid="{00000000-0005-0000-0000-000044A40000}"/>
    <cellStyle name="Normal 2 10 2 3 3" xfId="36485" xr:uid="{00000000-0005-0000-0000-000045A40000}"/>
    <cellStyle name="Normal 2 10 2 4" xfId="17069" xr:uid="{00000000-0005-0000-0000-000046A40000}"/>
    <cellStyle name="Normal 2 10 2 4 2" xfId="42943" xr:uid="{00000000-0005-0000-0000-000047A40000}"/>
    <cellStyle name="Normal 2 10 2 5" xfId="29995" xr:uid="{00000000-0005-0000-0000-000048A40000}"/>
    <cellStyle name="Normal 2 10 3" xfId="5765" xr:uid="{00000000-0005-0000-0000-000049A40000}"/>
    <cellStyle name="Normal 2 10 3 2" xfId="12224" xr:uid="{00000000-0005-0000-0000-00004AA40000}"/>
    <cellStyle name="Normal 2 10 3 2 2" xfId="25141" xr:uid="{00000000-0005-0000-0000-00004BA40000}"/>
    <cellStyle name="Normal 2 10 3 2 2 2" xfId="51015" xr:uid="{00000000-0005-0000-0000-00004CA40000}"/>
    <cellStyle name="Normal 2 10 3 2 3" xfId="38099" xr:uid="{00000000-0005-0000-0000-00004DA40000}"/>
    <cellStyle name="Normal 2 10 3 3" xfId="18683" xr:uid="{00000000-0005-0000-0000-00004EA40000}"/>
    <cellStyle name="Normal 2 10 3 3 2" xfId="44557" xr:uid="{00000000-0005-0000-0000-00004FA40000}"/>
    <cellStyle name="Normal 2 10 3 4" xfId="31641" xr:uid="{00000000-0005-0000-0000-000050A40000}"/>
    <cellStyle name="Normal 2 10 4" xfId="8996" xr:uid="{00000000-0005-0000-0000-000051A40000}"/>
    <cellStyle name="Normal 2 10 4 2" xfId="21913" xr:uid="{00000000-0005-0000-0000-000052A40000}"/>
    <cellStyle name="Normal 2 10 4 2 2" xfId="47787" xr:uid="{00000000-0005-0000-0000-000053A40000}"/>
    <cellStyle name="Normal 2 10 4 3" xfId="34871" xr:uid="{00000000-0005-0000-0000-000054A40000}"/>
    <cellStyle name="Normal 2 10 5" xfId="15455" xr:uid="{00000000-0005-0000-0000-000055A40000}"/>
    <cellStyle name="Normal 2 10 5 2" xfId="41329" xr:uid="{00000000-0005-0000-0000-000056A40000}"/>
    <cellStyle name="Normal 2 10 6" xfId="28381" xr:uid="{00000000-0005-0000-0000-000057A40000}"/>
    <cellStyle name="Normal 2 11" xfId="3303" xr:uid="{00000000-0005-0000-0000-000058A40000}"/>
    <cellStyle name="Normal 2 11 2" xfId="6572" xr:uid="{00000000-0005-0000-0000-000059A40000}"/>
    <cellStyle name="Normal 2 11 2 2" xfId="13031" xr:uid="{00000000-0005-0000-0000-00005AA40000}"/>
    <cellStyle name="Normal 2 11 2 2 2" xfId="25948" xr:uid="{00000000-0005-0000-0000-00005BA40000}"/>
    <cellStyle name="Normal 2 11 2 2 2 2" xfId="51822" xr:uid="{00000000-0005-0000-0000-00005CA40000}"/>
    <cellStyle name="Normal 2 11 2 2 3" xfId="38906" xr:uid="{00000000-0005-0000-0000-00005DA40000}"/>
    <cellStyle name="Normal 2 11 2 3" xfId="19490" xr:uid="{00000000-0005-0000-0000-00005EA40000}"/>
    <cellStyle name="Normal 2 11 2 3 2" xfId="45364" xr:uid="{00000000-0005-0000-0000-00005FA40000}"/>
    <cellStyle name="Normal 2 11 2 4" xfId="32448" xr:uid="{00000000-0005-0000-0000-000060A40000}"/>
    <cellStyle name="Normal 2 11 3" xfId="9803" xr:uid="{00000000-0005-0000-0000-000061A40000}"/>
    <cellStyle name="Normal 2 11 3 2" xfId="22720" xr:uid="{00000000-0005-0000-0000-000062A40000}"/>
    <cellStyle name="Normal 2 11 3 2 2" xfId="48594" xr:uid="{00000000-0005-0000-0000-000063A40000}"/>
    <cellStyle name="Normal 2 11 3 3" xfId="35678" xr:uid="{00000000-0005-0000-0000-000064A40000}"/>
    <cellStyle name="Normal 2 11 4" xfId="16262" xr:uid="{00000000-0005-0000-0000-000065A40000}"/>
    <cellStyle name="Normal 2 11 4 2" xfId="42136" xr:uid="{00000000-0005-0000-0000-000066A40000}"/>
    <cellStyle name="Normal 2 11 5" xfId="29188" xr:uid="{00000000-0005-0000-0000-000067A40000}"/>
    <cellStyle name="Normal 2 12" xfId="4958" xr:uid="{00000000-0005-0000-0000-000068A40000}"/>
    <cellStyle name="Normal 2 12 2" xfId="11417" xr:uid="{00000000-0005-0000-0000-000069A40000}"/>
    <cellStyle name="Normal 2 12 2 2" xfId="24334" xr:uid="{00000000-0005-0000-0000-00006AA40000}"/>
    <cellStyle name="Normal 2 12 2 2 2" xfId="50208" xr:uid="{00000000-0005-0000-0000-00006BA40000}"/>
    <cellStyle name="Normal 2 12 2 3" xfId="37292" xr:uid="{00000000-0005-0000-0000-00006CA40000}"/>
    <cellStyle name="Normal 2 12 3" xfId="17876" xr:uid="{00000000-0005-0000-0000-00006DA40000}"/>
    <cellStyle name="Normal 2 12 3 2" xfId="43750" xr:uid="{00000000-0005-0000-0000-00006EA40000}"/>
    <cellStyle name="Normal 2 12 4" xfId="30834" xr:uid="{00000000-0005-0000-0000-00006FA40000}"/>
    <cellStyle name="Normal 2 13" xfId="8186" xr:uid="{00000000-0005-0000-0000-000070A40000}"/>
    <cellStyle name="Normal 2 13 2" xfId="21104" xr:uid="{00000000-0005-0000-0000-000071A40000}"/>
    <cellStyle name="Normal 2 13 2 2" xfId="46978" xr:uid="{00000000-0005-0000-0000-000072A40000}"/>
    <cellStyle name="Normal 2 13 3" xfId="34062" xr:uid="{00000000-0005-0000-0000-000073A40000}"/>
    <cellStyle name="Normal 2 14" xfId="14646" xr:uid="{00000000-0005-0000-0000-000074A40000}"/>
    <cellStyle name="Normal 2 14 2" xfId="40520" xr:uid="{00000000-0005-0000-0000-000075A40000}"/>
    <cellStyle name="Normal 2 15" xfId="27566" xr:uid="{00000000-0005-0000-0000-000076A40000}"/>
    <cellStyle name="Normal 2 16" xfId="53436" xr:uid="{00000000-0005-0000-0000-000077A40000}"/>
    <cellStyle name="Normal 2 17" xfId="1319" xr:uid="{00000000-0005-0000-0000-000078A40000}"/>
    <cellStyle name="Normal 2 2" xfId="7" xr:uid="{00000000-0005-0000-0000-000079A40000}"/>
    <cellStyle name="Normal 2 2 2" xfId="143" xr:uid="{00000000-0005-0000-0000-00007AA40000}"/>
    <cellStyle name="Normal 2 2 2 2" xfId="354" xr:uid="{00000000-0005-0000-0000-00007BA40000}"/>
    <cellStyle name="Normal 2 2 2 2 2" xfId="878" xr:uid="{00000000-0005-0000-0000-00007CA40000}"/>
    <cellStyle name="Normal 2 2 2 2 2 2" xfId="1751" xr:uid="{00000000-0005-0000-0000-00007DA40000}"/>
    <cellStyle name="Normal 2 2 2 2 3" xfId="1612" xr:uid="{00000000-0005-0000-0000-00007EA40000}"/>
    <cellStyle name="Normal 2 2 2 2 4" xfId="1483" xr:uid="{00000000-0005-0000-0000-00007FA40000}"/>
    <cellStyle name="Normal 2 2 2 3" xfId="879" xr:uid="{00000000-0005-0000-0000-000080A40000}"/>
    <cellStyle name="Normal 2 2 3" xfId="315" xr:uid="{00000000-0005-0000-0000-000081A40000}"/>
    <cellStyle name="Normal 2 2 3 2" xfId="880" xr:uid="{00000000-0005-0000-0000-000082A40000}"/>
    <cellStyle name="Normal 2 2 3 2 2" xfId="1734" xr:uid="{00000000-0005-0000-0000-000083A40000}"/>
    <cellStyle name="Normal 2 2 3 3" xfId="1596" xr:uid="{00000000-0005-0000-0000-000084A40000}"/>
    <cellStyle name="Normal 2 2 3 4" xfId="1321" xr:uid="{00000000-0005-0000-0000-000085A40000}"/>
    <cellStyle name="Normal 2 2 4" xfId="371" xr:uid="{00000000-0005-0000-0000-000086A40000}"/>
    <cellStyle name="Normal 2 2 4 2" xfId="476" xr:uid="{00000000-0005-0000-0000-000087A40000}"/>
    <cellStyle name="Normal 2 2 4 2 2" xfId="883" xr:uid="{00000000-0005-0000-0000-000088A40000}"/>
    <cellStyle name="Normal 2 2 4 2 3" xfId="882" xr:uid="{00000000-0005-0000-0000-000089A40000}"/>
    <cellStyle name="Normal 2 2 4 2 4" xfId="1740" xr:uid="{00000000-0005-0000-0000-00008AA40000}"/>
    <cellStyle name="Normal 2 2 4 3" xfId="884" xr:uid="{00000000-0005-0000-0000-00008BA40000}"/>
    <cellStyle name="Normal 2 2 4 3 10" xfId="53563" xr:uid="{00000000-0005-0000-0000-00008CA40000}"/>
    <cellStyle name="Normal 2 2 4 3 11" xfId="1647" xr:uid="{00000000-0005-0000-0000-00008DA40000}"/>
    <cellStyle name="Normal 2 2 4 3 2" xfId="1972" xr:uid="{00000000-0005-0000-0000-00008EA40000}"/>
    <cellStyle name="Normal 2 2 4 3 2 2" xfId="2403" xr:uid="{00000000-0005-0000-0000-00008FA40000}"/>
    <cellStyle name="Normal 2 2 4 3 2 2 2" xfId="3216" xr:uid="{00000000-0005-0000-0000-000090A40000}"/>
    <cellStyle name="Normal 2 2 4 3 2 2 2 2" xfId="4873" xr:uid="{00000000-0005-0000-0000-000091A40000}"/>
    <cellStyle name="Normal 2 2 4 3 2 2 2 2 2" xfId="8104" xr:uid="{00000000-0005-0000-0000-000092A40000}"/>
    <cellStyle name="Normal 2 2 4 3 2 2 2 2 2 2" xfId="14563" xr:uid="{00000000-0005-0000-0000-000093A40000}"/>
    <cellStyle name="Normal 2 2 4 3 2 2 2 2 2 2 2" xfId="27480" xr:uid="{00000000-0005-0000-0000-000094A40000}"/>
    <cellStyle name="Normal 2 2 4 3 2 2 2 2 2 2 2 2" xfId="53354" xr:uid="{00000000-0005-0000-0000-000095A40000}"/>
    <cellStyle name="Normal 2 2 4 3 2 2 2 2 2 2 3" xfId="40438" xr:uid="{00000000-0005-0000-0000-000096A40000}"/>
    <cellStyle name="Normal 2 2 4 3 2 2 2 2 2 3" xfId="21022" xr:uid="{00000000-0005-0000-0000-000097A40000}"/>
    <cellStyle name="Normal 2 2 4 3 2 2 2 2 2 3 2" xfId="46896" xr:uid="{00000000-0005-0000-0000-000098A40000}"/>
    <cellStyle name="Normal 2 2 4 3 2 2 2 2 2 4" xfId="33980" xr:uid="{00000000-0005-0000-0000-000099A40000}"/>
    <cellStyle name="Normal 2 2 4 3 2 2 2 2 3" xfId="11335" xr:uid="{00000000-0005-0000-0000-00009AA40000}"/>
    <cellStyle name="Normal 2 2 4 3 2 2 2 2 3 2" xfId="24252" xr:uid="{00000000-0005-0000-0000-00009BA40000}"/>
    <cellStyle name="Normal 2 2 4 3 2 2 2 2 3 2 2" xfId="50126" xr:uid="{00000000-0005-0000-0000-00009CA40000}"/>
    <cellStyle name="Normal 2 2 4 3 2 2 2 2 3 3" xfId="37210" xr:uid="{00000000-0005-0000-0000-00009DA40000}"/>
    <cellStyle name="Normal 2 2 4 3 2 2 2 2 4" xfId="17794" xr:uid="{00000000-0005-0000-0000-00009EA40000}"/>
    <cellStyle name="Normal 2 2 4 3 2 2 2 2 4 2" xfId="43668" xr:uid="{00000000-0005-0000-0000-00009FA40000}"/>
    <cellStyle name="Normal 2 2 4 3 2 2 2 2 5" xfId="30720" xr:uid="{00000000-0005-0000-0000-0000A0A40000}"/>
    <cellStyle name="Normal 2 2 4 3 2 2 2 3" xfId="6490" xr:uid="{00000000-0005-0000-0000-0000A1A40000}"/>
    <cellStyle name="Normal 2 2 4 3 2 2 2 3 2" xfId="12949" xr:uid="{00000000-0005-0000-0000-0000A2A40000}"/>
    <cellStyle name="Normal 2 2 4 3 2 2 2 3 2 2" xfId="25866" xr:uid="{00000000-0005-0000-0000-0000A3A40000}"/>
    <cellStyle name="Normal 2 2 4 3 2 2 2 3 2 2 2" xfId="51740" xr:uid="{00000000-0005-0000-0000-0000A4A40000}"/>
    <cellStyle name="Normal 2 2 4 3 2 2 2 3 2 3" xfId="38824" xr:uid="{00000000-0005-0000-0000-0000A5A40000}"/>
    <cellStyle name="Normal 2 2 4 3 2 2 2 3 3" xfId="19408" xr:uid="{00000000-0005-0000-0000-0000A6A40000}"/>
    <cellStyle name="Normal 2 2 4 3 2 2 2 3 3 2" xfId="45282" xr:uid="{00000000-0005-0000-0000-0000A7A40000}"/>
    <cellStyle name="Normal 2 2 4 3 2 2 2 3 4" xfId="32366" xr:uid="{00000000-0005-0000-0000-0000A8A40000}"/>
    <cellStyle name="Normal 2 2 4 3 2 2 2 4" xfId="9721" xr:uid="{00000000-0005-0000-0000-0000A9A40000}"/>
    <cellStyle name="Normal 2 2 4 3 2 2 2 4 2" xfId="22638" xr:uid="{00000000-0005-0000-0000-0000AAA40000}"/>
    <cellStyle name="Normal 2 2 4 3 2 2 2 4 2 2" xfId="48512" xr:uid="{00000000-0005-0000-0000-0000ABA40000}"/>
    <cellStyle name="Normal 2 2 4 3 2 2 2 4 3" xfId="35596" xr:uid="{00000000-0005-0000-0000-0000ACA40000}"/>
    <cellStyle name="Normal 2 2 4 3 2 2 2 5" xfId="16180" xr:uid="{00000000-0005-0000-0000-0000ADA40000}"/>
    <cellStyle name="Normal 2 2 4 3 2 2 2 5 2" xfId="42054" xr:uid="{00000000-0005-0000-0000-0000AEA40000}"/>
    <cellStyle name="Normal 2 2 4 3 2 2 2 6" xfId="29106" xr:uid="{00000000-0005-0000-0000-0000AFA40000}"/>
    <cellStyle name="Normal 2 2 4 3 2 2 3" xfId="4043" xr:uid="{00000000-0005-0000-0000-0000B0A40000}"/>
    <cellStyle name="Normal 2 2 4 3 2 2 3 2" xfId="7297" xr:uid="{00000000-0005-0000-0000-0000B1A40000}"/>
    <cellStyle name="Normal 2 2 4 3 2 2 3 2 2" xfId="13756" xr:uid="{00000000-0005-0000-0000-0000B2A40000}"/>
    <cellStyle name="Normal 2 2 4 3 2 2 3 2 2 2" xfId="26673" xr:uid="{00000000-0005-0000-0000-0000B3A40000}"/>
    <cellStyle name="Normal 2 2 4 3 2 2 3 2 2 2 2" xfId="52547" xr:uid="{00000000-0005-0000-0000-0000B4A40000}"/>
    <cellStyle name="Normal 2 2 4 3 2 2 3 2 2 3" xfId="39631" xr:uid="{00000000-0005-0000-0000-0000B5A40000}"/>
    <cellStyle name="Normal 2 2 4 3 2 2 3 2 3" xfId="20215" xr:uid="{00000000-0005-0000-0000-0000B6A40000}"/>
    <cellStyle name="Normal 2 2 4 3 2 2 3 2 3 2" xfId="46089" xr:uid="{00000000-0005-0000-0000-0000B7A40000}"/>
    <cellStyle name="Normal 2 2 4 3 2 2 3 2 4" xfId="33173" xr:uid="{00000000-0005-0000-0000-0000B8A40000}"/>
    <cellStyle name="Normal 2 2 4 3 2 2 3 3" xfId="10528" xr:uid="{00000000-0005-0000-0000-0000B9A40000}"/>
    <cellStyle name="Normal 2 2 4 3 2 2 3 3 2" xfId="23445" xr:uid="{00000000-0005-0000-0000-0000BAA40000}"/>
    <cellStyle name="Normal 2 2 4 3 2 2 3 3 2 2" xfId="49319" xr:uid="{00000000-0005-0000-0000-0000BBA40000}"/>
    <cellStyle name="Normal 2 2 4 3 2 2 3 3 3" xfId="36403" xr:uid="{00000000-0005-0000-0000-0000BCA40000}"/>
    <cellStyle name="Normal 2 2 4 3 2 2 3 4" xfId="16987" xr:uid="{00000000-0005-0000-0000-0000BDA40000}"/>
    <cellStyle name="Normal 2 2 4 3 2 2 3 4 2" xfId="42861" xr:uid="{00000000-0005-0000-0000-0000BEA40000}"/>
    <cellStyle name="Normal 2 2 4 3 2 2 3 5" xfId="29913" xr:uid="{00000000-0005-0000-0000-0000BFA40000}"/>
    <cellStyle name="Normal 2 2 4 3 2 2 4" xfId="5683" xr:uid="{00000000-0005-0000-0000-0000C0A40000}"/>
    <cellStyle name="Normal 2 2 4 3 2 2 4 2" xfId="12142" xr:uid="{00000000-0005-0000-0000-0000C1A40000}"/>
    <cellStyle name="Normal 2 2 4 3 2 2 4 2 2" xfId="25059" xr:uid="{00000000-0005-0000-0000-0000C2A40000}"/>
    <cellStyle name="Normal 2 2 4 3 2 2 4 2 2 2" xfId="50933" xr:uid="{00000000-0005-0000-0000-0000C3A40000}"/>
    <cellStyle name="Normal 2 2 4 3 2 2 4 2 3" xfId="38017" xr:uid="{00000000-0005-0000-0000-0000C4A40000}"/>
    <cellStyle name="Normal 2 2 4 3 2 2 4 3" xfId="18601" xr:uid="{00000000-0005-0000-0000-0000C5A40000}"/>
    <cellStyle name="Normal 2 2 4 3 2 2 4 3 2" xfId="44475" xr:uid="{00000000-0005-0000-0000-0000C6A40000}"/>
    <cellStyle name="Normal 2 2 4 3 2 2 4 4" xfId="31559" xr:uid="{00000000-0005-0000-0000-0000C7A40000}"/>
    <cellStyle name="Normal 2 2 4 3 2 2 5" xfId="8914" xr:uid="{00000000-0005-0000-0000-0000C8A40000}"/>
    <cellStyle name="Normal 2 2 4 3 2 2 5 2" xfId="21831" xr:uid="{00000000-0005-0000-0000-0000C9A40000}"/>
    <cellStyle name="Normal 2 2 4 3 2 2 5 2 2" xfId="47705" xr:uid="{00000000-0005-0000-0000-0000CAA40000}"/>
    <cellStyle name="Normal 2 2 4 3 2 2 5 3" xfId="34789" xr:uid="{00000000-0005-0000-0000-0000CBA40000}"/>
    <cellStyle name="Normal 2 2 4 3 2 2 6" xfId="15373" xr:uid="{00000000-0005-0000-0000-0000CCA40000}"/>
    <cellStyle name="Normal 2 2 4 3 2 2 6 2" xfId="41247" xr:uid="{00000000-0005-0000-0000-0000CDA40000}"/>
    <cellStyle name="Normal 2 2 4 3 2 2 7" xfId="28299" xr:uid="{00000000-0005-0000-0000-0000CEA40000}"/>
    <cellStyle name="Normal 2 2 4 3 2 2 8" xfId="54161" xr:uid="{00000000-0005-0000-0000-0000CFA40000}"/>
    <cellStyle name="Normal 2 2 4 3 2 3" xfId="2812" xr:uid="{00000000-0005-0000-0000-0000D0A40000}"/>
    <cellStyle name="Normal 2 2 4 3 2 3 2" xfId="4469" xr:uid="{00000000-0005-0000-0000-0000D1A40000}"/>
    <cellStyle name="Normal 2 2 4 3 2 3 2 2" xfId="7700" xr:uid="{00000000-0005-0000-0000-0000D2A40000}"/>
    <cellStyle name="Normal 2 2 4 3 2 3 2 2 2" xfId="14159" xr:uid="{00000000-0005-0000-0000-0000D3A40000}"/>
    <cellStyle name="Normal 2 2 4 3 2 3 2 2 2 2" xfId="27076" xr:uid="{00000000-0005-0000-0000-0000D4A40000}"/>
    <cellStyle name="Normal 2 2 4 3 2 3 2 2 2 2 2" xfId="52950" xr:uid="{00000000-0005-0000-0000-0000D5A40000}"/>
    <cellStyle name="Normal 2 2 4 3 2 3 2 2 2 3" xfId="40034" xr:uid="{00000000-0005-0000-0000-0000D6A40000}"/>
    <cellStyle name="Normal 2 2 4 3 2 3 2 2 3" xfId="20618" xr:uid="{00000000-0005-0000-0000-0000D7A40000}"/>
    <cellStyle name="Normal 2 2 4 3 2 3 2 2 3 2" xfId="46492" xr:uid="{00000000-0005-0000-0000-0000D8A40000}"/>
    <cellStyle name="Normal 2 2 4 3 2 3 2 2 4" xfId="33576" xr:uid="{00000000-0005-0000-0000-0000D9A40000}"/>
    <cellStyle name="Normal 2 2 4 3 2 3 2 3" xfId="10931" xr:uid="{00000000-0005-0000-0000-0000DAA40000}"/>
    <cellStyle name="Normal 2 2 4 3 2 3 2 3 2" xfId="23848" xr:uid="{00000000-0005-0000-0000-0000DBA40000}"/>
    <cellStyle name="Normal 2 2 4 3 2 3 2 3 2 2" xfId="49722" xr:uid="{00000000-0005-0000-0000-0000DCA40000}"/>
    <cellStyle name="Normal 2 2 4 3 2 3 2 3 3" xfId="36806" xr:uid="{00000000-0005-0000-0000-0000DDA40000}"/>
    <cellStyle name="Normal 2 2 4 3 2 3 2 4" xfId="17390" xr:uid="{00000000-0005-0000-0000-0000DEA40000}"/>
    <cellStyle name="Normal 2 2 4 3 2 3 2 4 2" xfId="43264" xr:uid="{00000000-0005-0000-0000-0000DFA40000}"/>
    <cellStyle name="Normal 2 2 4 3 2 3 2 5" xfId="30316" xr:uid="{00000000-0005-0000-0000-0000E0A40000}"/>
    <cellStyle name="Normal 2 2 4 3 2 3 3" xfId="6086" xr:uid="{00000000-0005-0000-0000-0000E1A40000}"/>
    <cellStyle name="Normal 2 2 4 3 2 3 3 2" xfId="12545" xr:uid="{00000000-0005-0000-0000-0000E2A40000}"/>
    <cellStyle name="Normal 2 2 4 3 2 3 3 2 2" xfId="25462" xr:uid="{00000000-0005-0000-0000-0000E3A40000}"/>
    <cellStyle name="Normal 2 2 4 3 2 3 3 2 2 2" xfId="51336" xr:uid="{00000000-0005-0000-0000-0000E4A40000}"/>
    <cellStyle name="Normal 2 2 4 3 2 3 3 2 3" xfId="38420" xr:uid="{00000000-0005-0000-0000-0000E5A40000}"/>
    <cellStyle name="Normal 2 2 4 3 2 3 3 3" xfId="19004" xr:uid="{00000000-0005-0000-0000-0000E6A40000}"/>
    <cellStyle name="Normal 2 2 4 3 2 3 3 3 2" xfId="44878" xr:uid="{00000000-0005-0000-0000-0000E7A40000}"/>
    <cellStyle name="Normal 2 2 4 3 2 3 3 4" xfId="31962" xr:uid="{00000000-0005-0000-0000-0000E8A40000}"/>
    <cellStyle name="Normal 2 2 4 3 2 3 4" xfId="9317" xr:uid="{00000000-0005-0000-0000-0000E9A40000}"/>
    <cellStyle name="Normal 2 2 4 3 2 3 4 2" xfId="22234" xr:uid="{00000000-0005-0000-0000-0000EAA40000}"/>
    <cellStyle name="Normal 2 2 4 3 2 3 4 2 2" xfId="48108" xr:uid="{00000000-0005-0000-0000-0000EBA40000}"/>
    <cellStyle name="Normal 2 2 4 3 2 3 4 3" xfId="35192" xr:uid="{00000000-0005-0000-0000-0000ECA40000}"/>
    <cellStyle name="Normal 2 2 4 3 2 3 5" xfId="15776" xr:uid="{00000000-0005-0000-0000-0000EDA40000}"/>
    <cellStyle name="Normal 2 2 4 3 2 3 5 2" xfId="41650" xr:uid="{00000000-0005-0000-0000-0000EEA40000}"/>
    <cellStyle name="Normal 2 2 4 3 2 3 6" xfId="28702" xr:uid="{00000000-0005-0000-0000-0000EFA40000}"/>
    <cellStyle name="Normal 2 2 4 3 2 4" xfId="3639" xr:uid="{00000000-0005-0000-0000-0000F0A40000}"/>
    <cellStyle name="Normal 2 2 4 3 2 4 2" xfId="6893" xr:uid="{00000000-0005-0000-0000-0000F1A40000}"/>
    <cellStyle name="Normal 2 2 4 3 2 4 2 2" xfId="13352" xr:uid="{00000000-0005-0000-0000-0000F2A40000}"/>
    <cellStyle name="Normal 2 2 4 3 2 4 2 2 2" xfId="26269" xr:uid="{00000000-0005-0000-0000-0000F3A40000}"/>
    <cellStyle name="Normal 2 2 4 3 2 4 2 2 2 2" xfId="52143" xr:uid="{00000000-0005-0000-0000-0000F4A40000}"/>
    <cellStyle name="Normal 2 2 4 3 2 4 2 2 3" xfId="39227" xr:uid="{00000000-0005-0000-0000-0000F5A40000}"/>
    <cellStyle name="Normal 2 2 4 3 2 4 2 3" xfId="19811" xr:uid="{00000000-0005-0000-0000-0000F6A40000}"/>
    <cellStyle name="Normal 2 2 4 3 2 4 2 3 2" xfId="45685" xr:uid="{00000000-0005-0000-0000-0000F7A40000}"/>
    <cellStyle name="Normal 2 2 4 3 2 4 2 4" xfId="32769" xr:uid="{00000000-0005-0000-0000-0000F8A40000}"/>
    <cellStyle name="Normal 2 2 4 3 2 4 3" xfId="10124" xr:uid="{00000000-0005-0000-0000-0000F9A40000}"/>
    <cellStyle name="Normal 2 2 4 3 2 4 3 2" xfId="23041" xr:uid="{00000000-0005-0000-0000-0000FAA40000}"/>
    <cellStyle name="Normal 2 2 4 3 2 4 3 2 2" xfId="48915" xr:uid="{00000000-0005-0000-0000-0000FBA40000}"/>
    <cellStyle name="Normal 2 2 4 3 2 4 3 3" xfId="35999" xr:uid="{00000000-0005-0000-0000-0000FCA40000}"/>
    <cellStyle name="Normal 2 2 4 3 2 4 4" xfId="16583" xr:uid="{00000000-0005-0000-0000-0000FDA40000}"/>
    <cellStyle name="Normal 2 2 4 3 2 4 4 2" xfId="42457" xr:uid="{00000000-0005-0000-0000-0000FEA40000}"/>
    <cellStyle name="Normal 2 2 4 3 2 4 5" xfId="29509" xr:uid="{00000000-0005-0000-0000-0000FFA40000}"/>
    <cellStyle name="Normal 2 2 4 3 2 5" xfId="5279" xr:uid="{00000000-0005-0000-0000-000000A50000}"/>
    <cellStyle name="Normal 2 2 4 3 2 5 2" xfId="11738" xr:uid="{00000000-0005-0000-0000-000001A50000}"/>
    <cellStyle name="Normal 2 2 4 3 2 5 2 2" xfId="24655" xr:uid="{00000000-0005-0000-0000-000002A50000}"/>
    <cellStyle name="Normal 2 2 4 3 2 5 2 2 2" xfId="50529" xr:uid="{00000000-0005-0000-0000-000003A50000}"/>
    <cellStyle name="Normal 2 2 4 3 2 5 2 3" xfId="37613" xr:uid="{00000000-0005-0000-0000-000004A50000}"/>
    <cellStyle name="Normal 2 2 4 3 2 5 3" xfId="18197" xr:uid="{00000000-0005-0000-0000-000005A50000}"/>
    <cellStyle name="Normal 2 2 4 3 2 5 3 2" xfId="44071" xr:uid="{00000000-0005-0000-0000-000006A50000}"/>
    <cellStyle name="Normal 2 2 4 3 2 5 4" xfId="31155" xr:uid="{00000000-0005-0000-0000-000007A50000}"/>
    <cellStyle name="Normal 2 2 4 3 2 6" xfId="8510" xr:uid="{00000000-0005-0000-0000-000008A50000}"/>
    <cellStyle name="Normal 2 2 4 3 2 6 2" xfId="21427" xr:uid="{00000000-0005-0000-0000-000009A50000}"/>
    <cellStyle name="Normal 2 2 4 3 2 6 2 2" xfId="47301" xr:uid="{00000000-0005-0000-0000-00000AA50000}"/>
    <cellStyle name="Normal 2 2 4 3 2 6 3" xfId="34385" xr:uid="{00000000-0005-0000-0000-00000BA50000}"/>
    <cellStyle name="Normal 2 2 4 3 2 7" xfId="14969" xr:uid="{00000000-0005-0000-0000-00000CA50000}"/>
    <cellStyle name="Normal 2 2 4 3 2 7 2" xfId="40843" xr:uid="{00000000-0005-0000-0000-00000DA50000}"/>
    <cellStyle name="Normal 2 2 4 3 2 8" xfId="27894" xr:uid="{00000000-0005-0000-0000-00000EA50000}"/>
    <cellStyle name="Normal 2 2 4 3 2 9" xfId="53757" xr:uid="{00000000-0005-0000-0000-00000FA50000}"/>
    <cellStyle name="Normal 2 2 4 3 3" xfId="2207" xr:uid="{00000000-0005-0000-0000-000010A50000}"/>
    <cellStyle name="Normal 2 2 4 3 3 2" xfId="3021" xr:uid="{00000000-0005-0000-0000-000011A50000}"/>
    <cellStyle name="Normal 2 2 4 3 3 2 2" xfId="4678" xr:uid="{00000000-0005-0000-0000-000012A50000}"/>
    <cellStyle name="Normal 2 2 4 3 3 2 2 2" xfId="7909" xr:uid="{00000000-0005-0000-0000-000013A50000}"/>
    <cellStyle name="Normal 2 2 4 3 3 2 2 2 2" xfId="14368" xr:uid="{00000000-0005-0000-0000-000014A50000}"/>
    <cellStyle name="Normal 2 2 4 3 3 2 2 2 2 2" xfId="27285" xr:uid="{00000000-0005-0000-0000-000015A50000}"/>
    <cellStyle name="Normal 2 2 4 3 3 2 2 2 2 2 2" xfId="53159" xr:uid="{00000000-0005-0000-0000-000016A50000}"/>
    <cellStyle name="Normal 2 2 4 3 3 2 2 2 2 3" xfId="40243" xr:uid="{00000000-0005-0000-0000-000017A50000}"/>
    <cellStyle name="Normal 2 2 4 3 3 2 2 2 3" xfId="20827" xr:uid="{00000000-0005-0000-0000-000018A50000}"/>
    <cellStyle name="Normal 2 2 4 3 3 2 2 2 3 2" xfId="46701" xr:uid="{00000000-0005-0000-0000-000019A50000}"/>
    <cellStyle name="Normal 2 2 4 3 3 2 2 2 4" xfId="33785" xr:uid="{00000000-0005-0000-0000-00001AA50000}"/>
    <cellStyle name="Normal 2 2 4 3 3 2 2 3" xfId="11140" xr:uid="{00000000-0005-0000-0000-00001BA50000}"/>
    <cellStyle name="Normal 2 2 4 3 3 2 2 3 2" xfId="24057" xr:uid="{00000000-0005-0000-0000-00001CA50000}"/>
    <cellStyle name="Normal 2 2 4 3 3 2 2 3 2 2" xfId="49931" xr:uid="{00000000-0005-0000-0000-00001DA50000}"/>
    <cellStyle name="Normal 2 2 4 3 3 2 2 3 3" xfId="37015" xr:uid="{00000000-0005-0000-0000-00001EA50000}"/>
    <cellStyle name="Normal 2 2 4 3 3 2 2 4" xfId="17599" xr:uid="{00000000-0005-0000-0000-00001FA50000}"/>
    <cellStyle name="Normal 2 2 4 3 3 2 2 4 2" xfId="43473" xr:uid="{00000000-0005-0000-0000-000020A50000}"/>
    <cellStyle name="Normal 2 2 4 3 3 2 2 5" xfId="30525" xr:uid="{00000000-0005-0000-0000-000021A50000}"/>
    <cellStyle name="Normal 2 2 4 3 3 2 3" xfId="6295" xr:uid="{00000000-0005-0000-0000-000022A50000}"/>
    <cellStyle name="Normal 2 2 4 3 3 2 3 2" xfId="12754" xr:uid="{00000000-0005-0000-0000-000023A50000}"/>
    <cellStyle name="Normal 2 2 4 3 3 2 3 2 2" xfId="25671" xr:uid="{00000000-0005-0000-0000-000024A50000}"/>
    <cellStyle name="Normal 2 2 4 3 3 2 3 2 2 2" xfId="51545" xr:uid="{00000000-0005-0000-0000-000025A50000}"/>
    <cellStyle name="Normal 2 2 4 3 3 2 3 2 3" xfId="38629" xr:uid="{00000000-0005-0000-0000-000026A50000}"/>
    <cellStyle name="Normal 2 2 4 3 3 2 3 3" xfId="19213" xr:uid="{00000000-0005-0000-0000-000027A50000}"/>
    <cellStyle name="Normal 2 2 4 3 3 2 3 3 2" xfId="45087" xr:uid="{00000000-0005-0000-0000-000028A50000}"/>
    <cellStyle name="Normal 2 2 4 3 3 2 3 4" xfId="32171" xr:uid="{00000000-0005-0000-0000-000029A50000}"/>
    <cellStyle name="Normal 2 2 4 3 3 2 4" xfId="9526" xr:uid="{00000000-0005-0000-0000-00002AA50000}"/>
    <cellStyle name="Normal 2 2 4 3 3 2 4 2" xfId="22443" xr:uid="{00000000-0005-0000-0000-00002BA50000}"/>
    <cellStyle name="Normal 2 2 4 3 3 2 4 2 2" xfId="48317" xr:uid="{00000000-0005-0000-0000-00002CA50000}"/>
    <cellStyle name="Normal 2 2 4 3 3 2 4 3" xfId="35401" xr:uid="{00000000-0005-0000-0000-00002DA50000}"/>
    <cellStyle name="Normal 2 2 4 3 3 2 5" xfId="15985" xr:uid="{00000000-0005-0000-0000-00002EA50000}"/>
    <cellStyle name="Normal 2 2 4 3 3 2 5 2" xfId="41859" xr:uid="{00000000-0005-0000-0000-00002FA50000}"/>
    <cellStyle name="Normal 2 2 4 3 3 2 6" xfId="28911" xr:uid="{00000000-0005-0000-0000-000030A50000}"/>
    <cellStyle name="Normal 2 2 4 3 3 3" xfId="3848" xr:uid="{00000000-0005-0000-0000-000031A50000}"/>
    <cellStyle name="Normal 2 2 4 3 3 3 2" xfId="7102" xr:uid="{00000000-0005-0000-0000-000032A50000}"/>
    <cellStyle name="Normal 2 2 4 3 3 3 2 2" xfId="13561" xr:uid="{00000000-0005-0000-0000-000033A50000}"/>
    <cellStyle name="Normal 2 2 4 3 3 3 2 2 2" xfId="26478" xr:uid="{00000000-0005-0000-0000-000034A50000}"/>
    <cellStyle name="Normal 2 2 4 3 3 3 2 2 2 2" xfId="52352" xr:uid="{00000000-0005-0000-0000-000035A50000}"/>
    <cellStyle name="Normal 2 2 4 3 3 3 2 2 3" xfId="39436" xr:uid="{00000000-0005-0000-0000-000036A50000}"/>
    <cellStyle name="Normal 2 2 4 3 3 3 2 3" xfId="20020" xr:uid="{00000000-0005-0000-0000-000037A50000}"/>
    <cellStyle name="Normal 2 2 4 3 3 3 2 3 2" xfId="45894" xr:uid="{00000000-0005-0000-0000-000038A50000}"/>
    <cellStyle name="Normal 2 2 4 3 3 3 2 4" xfId="32978" xr:uid="{00000000-0005-0000-0000-000039A50000}"/>
    <cellStyle name="Normal 2 2 4 3 3 3 3" xfId="10333" xr:uid="{00000000-0005-0000-0000-00003AA50000}"/>
    <cellStyle name="Normal 2 2 4 3 3 3 3 2" xfId="23250" xr:uid="{00000000-0005-0000-0000-00003BA50000}"/>
    <cellStyle name="Normal 2 2 4 3 3 3 3 2 2" xfId="49124" xr:uid="{00000000-0005-0000-0000-00003CA50000}"/>
    <cellStyle name="Normal 2 2 4 3 3 3 3 3" xfId="36208" xr:uid="{00000000-0005-0000-0000-00003DA50000}"/>
    <cellStyle name="Normal 2 2 4 3 3 3 4" xfId="16792" xr:uid="{00000000-0005-0000-0000-00003EA50000}"/>
    <cellStyle name="Normal 2 2 4 3 3 3 4 2" xfId="42666" xr:uid="{00000000-0005-0000-0000-00003FA50000}"/>
    <cellStyle name="Normal 2 2 4 3 3 3 5" xfId="29718" xr:uid="{00000000-0005-0000-0000-000040A50000}"/>
    <cellStyle name="Normal 2 2 4 3 3 4" xfId="5488" xr:uid="{00000000-0005-0000-0000-000041A50000}"/>
    <cellStyle name="Normal 2 2 4 3 3 4 2" xfId="11947" xr:uid="{00000000-0005-0000-0000-000042A50000}"/>
    <cellStyle name="Normal 2 2 4 3 3 4 2 2" xfId="24864" xr:uid="{00000000-0005-0000-0000-000043A50000}"/>
    <cellStyle name="Normal 2 2 4 3 3 4 2 2 2" xfId="50738" xr:uid="{00000000-0005-0000-0000-000044A50000}"/>
    <cellStyle name="Normal 2 2 4 3 3 4 2 3" xfId="37822" xr:uid="{00000000-0005-0000-0000-000045A50000}"/>
    <cellStyle name="Normal 2 2 4 3 3 4 3" xfId="18406" xr:uid="{00000000-0005-0000-0000-000046A50000}"/>
    <cellStyle name="Normal 2 2 4 3 3 4 3 2" xfId="44280" xr:uid="{00000000-0005-0000-0000-000047A50000}"/>
    <cellStyle name="Normal 2 2 4 3 3 4 4" xfId="31364" xr:uid="{00000000-0005-0000-0000-000048A50000}"/>
    <cellStyle name="Normal 2 2 4 3 3 5" xfId="8719" xr:uid="{00000000-0005-0000-0000-000049A50000}"/>
    <cellStyle name="Normal 2 2 4 3 3 5 2" xfId="21636" xr:uid="{00000000-0005-0000-0000-00004AA50000}"/>
    <cellStyle name="Normal 2 2 4 3 3 5 2 2" xfId="47510" xr:uid="{00000000-0005-0000-0000-00004BA50000}"/>
    <cellStyle name="Normal 2 2 4 3 3 5 3" xfId="34594" xr:uid="{00000000-0005-0000-0000-00004CA50000}"/>
    <cellStyle name="Normal 2 2 4 3 3 6" xfId="15178" xr:uid="{00000000-0005-0000-0000-00004DA50000}"/>
    <cellStyle name="Normal 2 2 4 3 3 6 2" xfId="41052" xr:uid="{00000000-0005-0000-0000-00004EA50000}"/>
    <cellStyle name="Normal 2 2 4 3 3 7" xfId="28104" xr:uid="{00000000-0005-0000-0000-00004FA50000}"/>
    <cellStyle name="Normal 2 2 4 3 3 8" xfId="53966" xr:uid="{00000000-0005-0000-0000-000050A50000}"/>
    <cellStyle name="Normal 2 2 4 3 4" xfId="2618" xr:uid="{00000000-0005-0000-0000-000051A50000}"/>
    <cellStyle name="Normal 2 2 4 3 4 2" xfId="4275" xr:uid="{00000000-0005-0000-0000-000052A50000}"/>
    <cellStyle name="Normal 2 2 4 3 4 2 2" xfId="7506" xr:uid="{00000000-0005-0000-0000-000053A50000}"/>
    <cellStyle name="Normal 2 2 4 3 4 2 2 2" xfId="13965" xr:uid="{00000000-0005-0000-0000-000054A50000}"/>
    <cellStyle name="Normal 2 2 4 3 4 2 2 2 2" xfId="26882" xr:uid="{00000000-0005-0000-0000-000055A50000}"/>
    <cellStyle name="Normal 2 2 4 3 4 2 2 2 2 2" xfId="52756" xr:uid="{00000000-0005-0000-0000-000056A50000}"/>
    <cellStyle name="Normal 2 2 4 3 4 2 2 2 3" xfId="39840" xr:uid="{00000000-0005-0000-0000-000057A50000}"/>
    <cellStyle name="Normal 2 2 4 3 4 2 2 3" xfId="20424" xr:uid="{00000000-0005-0000-0000-000058A50000}"/>
    <cellStyle name="Normal 2 2 4 3 4 2 2 3 2" xfId="46298" xr:uid="{00000000-0005-0000-0000-000059A50000}"/>
    <cellStyle name="Normal 2 2 4 3 4 2 2 4" xfId="33382" xr:uid="{00000000-0005-0000-0000-00005AA50000}"/>
    <cellStyle name="Normal 2 2 4 3 4 2 3" xfId="10737" xr:uid="{00000000-0005-0000-0000-00005BA50000}"/>
    <cellStyle name="Normal 2 2 4 3 4 2 3 2" xfId="23654" xr:uid="{00000000-0005-0000-0000-00005CA50000}"/>
    <cellStyle name="Normal 2 2 4 3 4 2 3 2 2" xfId="49528" xr:uid="{00000000-0005-0000-0000-00005DA50000}"/>
    <cellStyle name="Normal 2 2 4 3 4 2 3 3" xfId="36612" xr:uid="{00000000-0005-0000-0000-00005EA50000}"/>
    <cellStyle name="Normal 2 2 4 3 4 2 4" xfId="17196" xr:uid="{00000000-0005-0000-0000-00005FA50000}"/>
    <cellStyle name="Normal 2 2 4 3 4 2 4 2" xfId="43070" xr:uid="{00000000-0005-0000-0000-000060A50000}"/>
    <cellStyle name="Normal 2 2 4 3 4 2 5" xfId="30122" xr:uid="{00000000-0005-0000-0000-000061A50000}"/>
    <cellStyle name="Normal 2 2 4 3 4 3" xfId="5892" xr:uid="{00000000-0005-0000-0000-000062A50000}"/>
    <cellStyle name="Normal 2 2 4 3 4 3 2" xfId="12351" xr:uid="{00000000-0005-0000-0000-000063A50000}"/>
    <cellStyle name="Normal 2 2 4 3 4 3 2 2" xfId="25268" xr:uid="{00000000-0005-0000-0000-000064A50000}"/>
    <cellStyle name="Normal 2 2 4 3 4 3 2 2 2" xfId="51142" xr:uid="{00000000-0005-0000-0000-000065A50000}"/>
    <cellStyle name="Normal 2 2 4 3 4 3 2 3" xfId="38226" xr:uid="{00000000-0005-0000-0000-000066A50000}"/>
    <cellStyle name="Normal 2 2 4 3 4 3 3" xfId="18810" xr:uid="{00000000-0005-0000-0000-000067A50000}"/>
    <cellStyle name="Normal 2 2 4 3 4 3 3 2" xfId="44684" xr:uid="{00000000-0005-0000-0000-000068A50000}"/>
    <cellStyle name="Normal 2 2 4 3 4 3 4" xfId="31768" xr:uid="{00000000-0005-0000-0000-000069A50000}"/>
    <cellStyle name="Normal 2 2 4 3 4 4" xfId="9123" xr:uid="{00000000-0005-0000-0000-00006AA50000}"/>
    <cellStyle name="Normal 2 2 4 3 4 4 2" xfId="22040" xr:uid="{00000000-0005-0000-0000-00006BA50000}"/>
    <cellStyle name="Normal 2 2 4 3 4 4 2 2" xfId="47914" xr:uid="{00000000-0005-0000-0000-00006CA50000}"/>
    <cellStyle name="Normal 2 2 4 3 4 4 3" xfId="34998" xr:uid="{00000000-0005-0000-0000-00006DA50000}"/>
    <cellStyle name="Normal 2 2 4 3 4 5" xfId="15582" xr:uid="{00000000-0005-0000-0000-00006EA50000}"/>
    <cellStyle name="Normal 2 2 4 3 4 5 2" xfId="41456" xr:uid="{00000000-0005-0000-0000-00006FA50000}"/>
    <cellStyle name="Normal 2 2 4 3 4 6" xfId="28508" xr:uid="{00000000-0005-0000-0000-000070A50000}"/>
    <cellStyle name="Normal 2 2 4 3 5" xfId="3445" xr:uid="{00000000-0005-0000-0000-000071A50000}"/>
    <cellStyle name="Normal 2 2 4 3 5 2" xfId="6699" xr:uid="{00000000-0005-0000-0000-000072A50000}"/>
    <cellStyle name="Normal 2 2 4 3 5 2 2" xfId="13158" xr:uid="{00000000-0005-0000-0000-000073A50000}"/>
    <cellStyle name="Normal 2 2 4 3 5 2 2 2" xfId="26075" xr:uid="{00000000-0005-0000-0000-000074A50000}"/>
    <cellStyle name="Normal 2 2 4 3 5 2 2 2 2" xfId="51949" xr:uid="{00000000-0005-0000-0000-000075A50000}"/>
    <cellStyle name="Normal 2 2 4 3 5 2 2 3" xfId="39033" xr:uid="{00000000-0005-0000-0000-000076A50000}"/>
    <cellStyle name="Normal 2 2 4 3 5 2 3" xfId="19617" xr:uid="{00000000-0005-0000-0000-000077A50000}"/>
    <cellStyle name="Normal 2 2 4 3 5 2 3 2" xfId="45491" xr:uid="{00000000-0005-0000-0000-000078A50000}"/>
    <cellStyle name="Normal 2 2 4 3 5 2 4" xfId="32575" xr:uid="{00000000-0005-0000-0000-000079A50000}"/>
    <cellStyle name="Normal 2 2 4 3 5 3" xfId="9930" xr:uid="{00000000-0005-0000-0000-00007AA50000}"/>
    <cellStyle name="Normal 2 2 4 3 5 3 2" xfId="22847" xr:uid="{00000000-0005-0000-0000-00007BA50000}"/>
    <cellStyle name="Normal 2 2 4 3 5 3 2 2" xfId="48721" xr:uid="{00000000-0005-0000-0000-00007CA50000}"/>
    <cellStyle name="Normal 2 2 4 3 5 3 3" xfId="35805" xr:uid="{00000000-0005-0000-0000-00007DA50000}"/>
    <cellStyle name="Normal 2 2 4 3 5 4" xfId="16389" xr:uid="{00000000-0005-0000-0000-00007EA50000}"/>
    <cellStyle name="Normal 2 2 4 3 5 4 2" xfId="42263" xr:uid="{00000000-0005-0000-0000-00007FA50000}"/>
    <cellStyle name="Normal 2 2 4 3 5 5" xfId="29315" xr:uid="{00000000-0005-0000-0000-000080A50000}"/>
    <cellStyle name="Normal 2 2 4 3 6" xfId="5085" xr:uid="{00000000-0005-0000-0000-000081A50000}"/>
    <cellStyle name="Normal 2 2 4 3 6 2" xfId="11544" xr:uid="{00000000-0005-0000-0000-000082A50000}"/>
    <cellStyle name="Normal 2 2 4 3 6 2 2" xfId="24461" xr:uid="{00000000-0005-0000-0000-000083A50000}"/>
    <cellStyle name="Normal 2 2 4 3 6 2 2 2" xfId="50335" xr:uid="{00000000-0005-0000-0000-000084A50000}"/>
    <cellStyle name="Normal 2 2 4 3 6 2 3" xfId="37419" xr:uid="{00000000-0005-0000-0000-000085A50000}"/>
    <cellStyle name="Normal 2 2 4 3 6 3" xfId="18003" xr:uid="{00000000-0005-0000-0000-000086A50000}"/>
    <cellStyle name="Normal 2 2 4 3 6 3 2" xfId="43877" xr:uid="{00000000-0005-0000-0000-000087A50000}"/>
    <cellStyle name="Normal 2 2 4 3 6 4" xfId="30961" xr:uid="{00000000-0005-0000-0000-000088A50000}"/>
    <cellStyle name="Normal 2 2 4 3 7" xfId="8315" xr:uid="{00000000-0005-0000-0000-000089A50000}"/>
    <cellStyle name="Normal 2 2 4 3 7 2" xfId="21232" xr:uid="{00000000-0005-0000-0000-00008AA50000}"/>
    <cellStyle name="Normal 2 2 4 3 7 2 2" xfId="47106" xr:uid="{00000000-0005-0000-0000-00008BA50000}"/>
    <cellStyle name="Normal 2 2 4 3 7 3" xfId="34190" xr:uid="{00000000-0005-0000-0000-00008CA50000}"/>
    <cellStyle name="Normal 2 2 4 3 8" xfId="14774" xr:uid="{00000000-0005-0000-0000-00008DA50000}"/>
    <cellStyle name="Normal 2 2 4 3 8 2" xfId="40648" xr:uid="{00000000-0005-0000-0000-00008EA50000}"/>
    <cellStyle name="Normal 2 2 4 3 9" xfId="27698" xr:uid="{00000000-0005-0000-0000-00008FA50000}"/>
    <cellStyle name="Normal 2 2 4 4" xfId="881" xr:uid="{00000000-0005-0000-0000-000090A50000}"/>
    <cellStyle name="Normal 2 2 4 5" xfId="1322" xr:uid="{00000000-0005-0000-0000-000091A50000}"/>
    <cellStyle name="Normal 2 2 5" xfId="885" xr:uid="{00000000-0005-0000-0000-000092A50000}"/>
    <cellStyle name="Normal 2 2 5 2" xfId="1712" xr:uid="{00000000-0005-0000-0000-000093A50000}"/>
    <cellStyle name="Normal 2 2 6" xfId="1320" xr:uid="{00000000-0005-0000-0000-000094A50000}"/>
    <cellStyle name="Normal 2 3" xfId="9" xr:uid="{00000000-0005-0000-0000-000095A50000}"/>
    <cellStyle name="Normal 2 3 2" xfId="144" xr:uid="{00000000-0005-0000-0000-000096A50000}"/>
    <cellStyle name="Normal 2 3 2 2" xfId="355" xr:uid="{00000000-0005-0000-0000-000097A50000}"/>
    <cellStyle name="Normal 2 3 2 2 2" xfId="886" xr:uid="{00000000-0005-0000-0000-000098A50000}"/>
    <cellStyle name="Normal 2 3 2 3" xfId="887" xr:uid="{00000000-0005-0000-0000-000099A50000}"/>
    <cellStyle name="Normal 2 3 3" xfId="331" xr:uid="{00000000-0005-0000-0000-00009AA50000}"/>
    <cellStyle name="Normal 2 3 3 2" xfId="888" xr:uid="{00000000-0005-0000-0000-00009BA50000}"/>
    <cellStyle name="Normal 2 3 4" xfId="889" xr:uid="{00000000-0005-0000-0000-00009CA50000}"/>
    <cellStyle name="Normal 2 4" xfId="10" xr:uid="{00000000-0005-0000-0000-00009DA50000}"/>
    <cellStyle name="Normal 2 4 2" xfId="145" xr:uid="{00000000-0005-0000-0000-00009EA50000}"/>
    <cellStyle name="Normal 2 4 3" xfId="300" xr:uid="{00000000-0005-0000-0000-00009FA50000}"/>
    <cellStyle name="Normal 2 4 3 2" xfId="890" xr:uid="{00000000-0005-0000-0000-0000A0A50000}"/>
    <cellStyle name="Normal 2 4 4" xfId="226" xr:uid="{00000000-0005-0000-0000-0000A1A50000}"/>
    <cellStyle name="Normal 2 4 4 2" xfId="891" xr:uid="{00000000-0005-0000-0000-0000A2A50000}"/>
    <cellStyle name="Normal 2 4 4 3" xfId="1713" xr:uid="{00000000-0005-0000-0000-0000A3A50000}"/>
    <cellStyle name="Normal 2 4 5" xfId="211" xr:uid="{00000000-0005-0000-0000-0000A4A50000}"/>
    <cellStyle name="Normal 2 4 5 2" xfId="892" xr:uid="{00000000-0005-0000-0000-0000A5A50000}"/>
    <cellStyle name="Normal 2 4 6" xfId="1323" xr:uid="{00000000-0005-0000-0000-0000A6A50000}"/>
    <cellStyle name="Normal 2 5" xfId="146" xr:uid="{00000000-0005-0000-0000-0000A7A50000}"/>
    <cellStyle name="Normal 2 5 10" xfId="8222" xr:uid="{00000000-0005-0000-0000-0000A8A50000}"/>
    <cellStyle name="Normal 2 5 10 2" xfId="21139" xr:uid="{00000000-0005-0000-0000-0000A9A50000}"/>
    <cellStyle name="Normal 2 5 10 2 2" xfId="47013" xr:uid="{00000000-0005-0000-0000-0000AAA50000}"/>
    <cellStyle name="Normal 2 5 10 3" xfId="34097" xr:uid="{00000000-0005-0000-0000-0000ABA50000}"/>
    <cellStyle name="Normal 2 5 11" xfId="14681" xr:uid="{00000000-0005-0000-0000-0000ACA50000}"/>
    <cellStyle name="Normal 2 5 11 2" xfId="40555" xr:uid="{00000000-0005-0000-0000-0000ADA50000}"/>
    <cellStyle name="Normal 2 5 12" xfId="27603" xr:uid="{00000000-0005-0000-0000-0000AEA50000}"/>
    <cellStyle name="Normal 2 5 13" xfId="53469" xr:uid="{00000000-0005-0000-0000-0000AFA50000}"/>
    <cellStyle name="Normal 2 5 14" xfId="1324" xr:uid="{00000000-0005-0000-0000-0000B0A50000}"/>
    <cellStyle name="Normal 2 5 2" xfId="147" xr:uid="{00000000-0005-0000-0000-0000B1A50000}"/>
    <cellStyle name="Normal 2 5 2 2" xfId="353" xr:uid="{00000000-0005-0000-0000-0000B2A50000}"/>
    <cellStyle name="Normal 2 5 2 2 2" xfId="893" xr:uid="{00000000-0005-0000-0000-0000B3A50000}"/>
    <cellStyle name="Normal 2 5 2 3" xfId="894" xr:uid="{00000000-0005-0000-0000-0000B4A50000}"/>
    <cellStyle name="Normal 2 5 3" xfId="1731" xr:uid="{00000000-0005-0000-0000-0000B5A50000}"/>
    <cellStyle name="Normal 2 5 3 10" xfId="53590" xr:uid="{00000000-0005-0000-0000-0000B6A50000}"/>
    <cellStyle name="Normal 2 5 3 2" xfId="1999" xr:uid="{00000000-0005-0000-0000-0000B7A50000}"/>
    <cellStyle name="Normal 2 5 3 2 2" xfId="2430" xr:uid="{00000000-0005-0000-0000-0000B8A50000}"/>
    <cellStyle name="Normal 2 5 3 2 2 2" xfId="3243" xr:uid="{00000000-0005-0000-0000-0000B9A50000}"/>
    <cellStyle name="Normal 2 5 3 2 2 2 2" xfId="4900" xr:uid="{00000000-0005-0000-0000-0000BAA50000}"/>
    <cellStyle name="Normal 2 5 3 2 2 2 2 2" xfId="8131" xr:uid="{00000000-0005-0000-0000-0000BBA50000}"/>
    <cellStyle name="Normal 2 5 3 2 2 2 2 2 2" xfId="14590" xr:uid="{00000000-0005-0000-0000-0000BCA50000}"/>
    <cellStyle name="Normal 2 5 3 2 2 2 2 2 2 2" xfId="27507" xr:uid="{00000000-0005-0000-0000-0000BDA50000}"/>
    <cellStyle name="Normal 2 5 3 2 2 2 2 2 2 2 2" xfId="53381" xr:uid="{00000000-0005-0000-0000-0000BEA50000}"/>
    <cellStyle name="Normal 2 5 3 2 2 2 2 2 2 3" xfId="40465" xr:uid="{00000000-0005-0000-0000-0000BFA50000}"/>
    <cellStyle name="Normal 2 5 3 2 2 2 2 2 3" xfId="21049" xr:uid="{00000000-0005-0000-0000-0000C0A50000}"/>
    <cellStyle name="Normal 2 5 3 2 2 2 2 2 3 2" xfId="46923" xr:uid="{00000000-0005-0000-0000-0000C1A50000}"/>
    <cellStyle name="Normal 2 5 3 2 2 2 2 2 4" xfId="34007" xr:uid="{00000000-0005-0000-0000-0000C2A50000}"/>
    <cellStyle name="Normal 2 5 3 2 2 2 2 3" xfId="11362" xr:uid="{00000000-0005-0000-0000-0000C3A50000}"/>
    <cellStyle name="Normal 2 5 3 2 2 2 2 3 2" xfId="24279" xr:uid="{00000000-0005-0000-0000-0000C4A50000}"/>
    <cellStyle name="Normal 2 5 3 2 2 2 2 3 2 2" xfId="50153" xr:uid="{00000000-0005-0000-0000-0000C5A50000}"/>
    <cellStyle name="Normal 2 5 3 2 2 2 2 3 3" xfId="37237" xr:uid="{00000000-0005-0000-0000-0000C6A50000}"/>
    <cellStyle name="Normal 2 5 3 2 2 2 2 4" xfId="17821" xr:uid="{00000000-0005-0000-0000-0000C7A50000}"/>
    <cellStyle name="Normal 2 5 3 2 2 2 2 4 2" xfId="43695" xr:uid="{00000000-0005-0000-0000-0000C8A50000}"/>
    <cellStyle name="Normal 2 5 3 2 2 2 2 5" xfId="30747" xr:uid="{00000000-0005-0000-0000-0000C9A50000}"/>
    <cellStyle name="Normal 2 5 3 2 2 2 3" xfId="6517" xr:uid="{00000000-0005-0000-0000-0000CAA50000}"/>
    <cellStyle name="Normal 2 5 3 2 2 2 3 2" xfId="12976" xr:uid="{00000000-0005-0000-0000-0000CBA50000}"/>
    <cellStyle name="Normal 2 5 3 2 2 2 3 2 2" xfId="25893" xr:uid="{00000000-0005-0000-0000-0000CCA50000}"/>
    <cellStyle name="Normal 2 5 3 2 2 2 3 2 2 2" xfId="51767" xr:uid="{00000000-0005-0000-0000-0000CDA50000}"/>
    <cellStyle name="Normal 2 5 3 2 2 2 3 2 3" xfId="38851" xr:uid="{00000000-0005-0000-0000-0000CEA50000}"/>
    <cellStyle name="Normal 2 5 3 2 2 2 3 3" xfId="19435" xr:uid="{00000000-0005-0000-0000-0000CFA50000}"/>
    <cellStyle name="Normal 2 5 3 2 2 2 3 3 2" xfId="45309" xr:uid="{00000000-0005-0000-0000-0000D0A50000}"/>
    <cellStyle name="Normal 2 5 3 2 2 2 3 4" xfId="32393" xr:uid="{00000000-0005-0000-0000-0000D1A50000}"/>
    <cellStyle name="Normal 2 5 3 2 2 2 4" xfId="9748" xr:uid="{00000000-0005-0000-0000-0000D2A50000}"/>
    <cellStyle name="Normal 2 5 3 2 2 2 4 2" xfId="22665" xr:uid="{00000000-0005-0000-0000-0000D3A50000}"/>
    <cellStyle name="Normal 2 5 3 2 2 2 4 2 2" xfId="48539" xr:uid="{00000000-0005-0000-0000-0000D4A50000}"/>
    <cellStyle name="Normal 2 5 3 2 2 2 4 3" xfId="35623" xr:uid="{00000000-0005-0000-0000-0000D5A50000}"/>
    <cellStyle name="Normal 2 5 3 2 2 2 5" xfId="16207" xr:uid="{00000000-0005-0000-0000-0000D6A50000}"/>
    <cellStyle name="Normal 2 5 3 2 2 2 5 2" xfId="42081" xr:uid="{00000000-0005-0000-0000-0000D7A50000}"/>
    <cellStyle name="Normal 2 5 3 2 2 2 6" xfId="29133" xr:uid="{00000000-0005-0000-0000-0000D8A50000}"/>
    <cellStyle name="Normal 2 5 3 2 2 3" xfId="4070" xr:uid="{00000000-0005-0000-0000-0000D9A50000}"/>
    <cellStyle name="Normal 2 5 3 2 2 3 2" xfId="7324" xr:uid="{00000000-0005-0000-0000-0000DAA50000}"/>
    <cellStyle name="Normal 2 5 3 2 2 3 2 2" xfId="13783" xr:uid="{00000000-0005-0000-0000-0000DBA50000}"/>
    <cellStyle name="Normal 2 5 3 2 2 3 2 2 2" xfId="26700" xr:uid="{00000000-0005-0000-0000-0000DCA50000}"/>
    <cellStyle name="Normal 2 5 3 2 2 3 2 2 2 2" xfId="52574" xr:uid="{00000000-0005-0000-0000-0000DDA50000}"/>
    <cellStyle name="Normal 2 5 3 2 2 3 2 2 3" xfId="39658" xr:uid="{00000000-0005-0000-0000-0000DEA50000}"/>
    <cellStyle name="Normal 2 5 3 2 2 3 2 3" xfId="20242" xr:uid="{00000000-0005-0000-0000-0000DFA50000}"/>
    <cellStyle name="Normal 2 5 3 2 2 3 2 3 2" xfId="46116" xr:uid="{00000000-0005-0000-0000-0000E0A50000}"/>
    <cellStyle name="Normal 2 5 3 2 2 3 2 4" xfId="33200" xr:uid="{00000000-0005-0000-0000-0000E1A50000}"/>
    <cellStyle name="Normal 2 5 3 2 2 3 3" xfId="10555" xr:uid="{00000000-0005-0000-0000-0000E2A50000}"/>
    <cellStyle name="Normal 2 5 3 2 2 3 3 2" xfId="23472" xr:uid="{00000000-0005-0000-0000-0000E3A50000}"/>
    <cellStyle name="Normal 2 5 3 2 2 3 3 2 2" xfId="49346" xr:uid="{00000000-0005-0000-0000-0000E4A50000}"/>
    <cellStyle name="Normal 2 5 3 2 2 3 3 3" xfId="36430" xr:uid="{00000000-0005-0000-0000-0000E5A50000}"/>
    <cellStyle name="Normal 2 5 3 2 2 3 4" xfId="17014" xr:uid="{00000000-0005-0000-0000-0000E6A50000}"/>
    <cellStyle name="Normal 2 5 3 2 2 3 4 2" xfId="42888" xr:uid="{00000000-0005-0000-0000-0000E7A50000}"/>
    <cellStyle name="Normal 2 5 3 2 2 3 5" xfId="29940" xr:uid="{00000000-0005-0000-0000-0000E8A50000}"/>
    <cellStyle name="Normal 2 5 3 2 2 4" xfId="5710" xr:uid="{00000000-0005-0000-0000-0000E9A50000}"/>
    <cellStyle name="Normal 2 5 3 2 2 4 2" xfId="12169" xr:uid="{00000000-0005-0000-0000-0000EAA50000}"/>
    <cellStyle name="Normal 2 5 3 2 2 4 2 2" xfId="25086" xr:uid="{00000000-0005-0000-0000-0000EBA50000}"/>
    <cellStyle name="Normal 2 5 3 2 2 4 2 2 2" xfId="50960" xr:uid="{00000000-0005-0000-0000-0000ECA50000}"/>
    <cellStyle name="Normal 2 5 3 2 2 4 2 3" xfId="38044" xr:uid="{00000000-0005-0000-0000-0000EDA50000}"/>
    <cellStyle name="Normal 2 5 3 2 2 4 3" xfId="18628" xr:uid="{00000000-0005-0000-0000-0000EEA50000}"/>
    <cellStyle name="Normal 2 5 3 2 2 4 3 2" xfId="44502" xr:uid="{00000000-0005-0000-0000-0000EFA50000}"/>
    <cellStyle name="Normal 2 5 3 2 2 4 4" xfId="31586" xr:uid="{00000000-0005-0000-0000-0000F0A50000}"/>
    <cellStyle name="Normal 2 5 3 2 2 5" xfId="8941" xr:uid="{00000000-0005-0000-0000-0000F1A50000}"/>
    <cellStyle name="Normal 2 5 3 2 2 5 2" xfId="21858" xr:uid="{00000000-0005-0000-0000-0000F2A50000}"/>
    <cellStyle name="Normal 2 5 3 2 2 5 2 2" xfId="47732" xr:uid="{00000000-0005-0000-0000-0000F3A50000}"/>
    <cellStyle name="Normal 2 5 3 2 2 5 3" xfId="34816" xr:uid="{00000000-0005-0000-0000-0000F4A50000}"/>
    <cellStyle name="Normal 2 5 3 2 2 6" xfId="15400" xr:uid="{00000000-0005-0000-0000-0000F5A50000}"/>
    <cellStyle name="Normal 2 5 3 2 2 6 2" xfId="41274" xr:uid="{00000000-0005-0000-0000-0000F6A50000}"/>
    <cellStyle name="Normal 2 5 3 2 2 7" xfId="28326" xr:uid="{00000000-0005-0000-0000-0000F7A50000}"/>
    <cellStyle name="Normal 2 5 3 2 2 8" xfId="54188" xr:uid="{00000000-0005-0000-0000-0000F8A50000}"/>
    <cellStyle name="Normal 2 5 3 2 3" xfId="2839" xr:uid="{00000000-0005-0000-0000-0000F9A50000}"/>
    <cellStyle name="Normal 2 5 3 2 3 2" xfId="4496" xr:uid="{00000000-0005-0000-0000-0000FAA50000}"/>
    <cellStyle name="Normal 2 5 3 2 3 2 2" xfId="7727" xr:uid="{00000000-0005-0000-0000-0000FBA50000}"/>
    <cellStyle name="Normal 2 5 3 2 3 2 2 2" xfId="14186" xr:uid="{00000000-0005-0000-0000-0000FCA50000}"/>
    <cellStyle name="Normal 2 5 3 2 3 2 2 2 2" xfId="27103" xr:uid="{00000000-0005-0000-0000-0000FDA50000}"/>
    <cellStyle name="Normal 2 5 3 2 3 2 2 2 2 2" xfId="52977" xr:uid="{00000000-0005-0000-0000-0000FEA50000}"/>
    <cellStyle name="Normal 2 5 3 2 3 2 2 2 3" xfId="40061" xr:uid="{00000000-0005-0000-0000-0000FFA50000}"/>
    <cellStyle name="Normal 2 5 3 2 3 2 2 3" xfId="20645" xr:uid="{00000000-0005-0000-0000-000000A60000}"/>
    <cellStyle name="Normal 2 5 3 2 3 2 2 3 2" xfId="46519" xr:uid="{00000000-0005-0000-0000-000001A60000}"/>
    <cellStyle name="Normal 2 5 3 2 3 2 2 4" xfId="33603" xr:uid="{00000000-0005-0000-0000-000002A60000}"/>
    <cellStyle name="Normal 2 5 3 2 3 2 3" xfId="10958" xr:uid="{00000000-0005-0000-0000-000003A60000}"/>
    <cellStyle name="Normal 2 5 3 2 3 2 3 2" xfId="23875" xr:uid="{00000000-0005-0000-0000-000004A60000}"/>
    <cellStyle name="Normal 2 5 3 2 3 2 3 2 2" xfId="49749" xr:uid="{00000000-0005-0000-0000-000005A60000}"/>
    <cellStyle name="Normal 2 5 3 2 3 2 3 3" xfId="36833" xr:uid="{00000000-0005-0000-0000-000006A60000}"/>
    <cellStyle name="Normal 2 5 3 2 3 2 4" xfId="17417" xr:uid="{00000000-0005-0000-0000-000007A60000}"/>
    <cellStyle name="Normal 2 5 3 2 3 2 4 2" xfId="43291" xr:uid="{00000000-0005-0000-0000-000008A60000}"/>
    <cellStyle name="Normal 2 5 3 2 3 2 5" xfId="30343" xr:uid="{00000000-0005-0000-0000-000009A60000}"/>
    <cellStyle name="Normal 2 5 3 2 3 3" xfId="6113" xr:uid="{00000000-0005-0000-0000-00000AA60000}"/>
    <cellStyle name="Normal 2 5 3 2 3 3 2" xfId="12572" xr:uid="{00000000-0005-0000-0000-00000BA60000}"/>
    <cellStyle name="Normal 2 5 3 2 3 3 2 2" xfId="25489" xr:uid="{00000000-0005-0000-0000-00000CA60000}"/>
    <cellStyle name="Normal 2 5 3 2 3 3 2 2 2" xfId="51363" xr:uid="{00000000-0005-0000-0000-00000DA60000}"/>
    <cellStyle name="Normal 2 5 3 2 3 3 2 3" xfId="38447" xr:uid="{00000000-0005-0000-0000-00000EA60000}"/>
    <cellStyle name="Normal 2 5 3 2 3 3 3" xfId="19031" xr:uid="{00000000-0005-0000-0000-00000FA60000}"/>
    <cellStyle name="Normal 2 5 3 2 3 3 3 2" xfId="44905" xr:uid="{00000000-0005-0000-0000-000010A60000}"/>
    <cellStyle name="Normal 2 5 3 2 3 3 4" xfId="31989" xr:uid="{00000000-0005-0000-0000-000011A60000}"/>
    <cellStyle name="Normal 2 5 3 2 3 4" xfId="9344" xr:uid="{00000000-0005-0000-0000-000012A60000}"/>
    <cellStyle name="Normal 2 5 3 2 3 4 2" xfId="22261" xr:uid="{00000000-0005-0000-0000-000013A60000}"/>
    <cellStyle name="Normal 2 5 3 2 3 4 2 2" xfId="48135" xr:uid="{00000000-0005-0000-0000-000014A60000}"/>
    <cellStyle name="Normal 2 5 3 2 3 4 3" xfId="35219" xr:uid="{00000000-0005-0000-0000-000015A60000}"/>
    <cellStyle name="Normal 2 5 3 2 3 5" xfId="15803" xr:uid="{00000000-0005-0000-0000-000016A60000}"/>
    <cellStyle name="Normal 2 5 3 2 3 5 2" xfId="41677" xr:uid="{00000000-0005-0000-0000-000017A60000}"/>
    <cellStyle name="Normal 2 5 3 2 3 6" xfId="28729" xr:uid="{00000000-0005-0000-0000-000018A60000}"/>
    <cellStyle name="Normal 2 5 3 2 4" xfId="3666" xr:uid="{00000000-0005-0000-0000-000019A60000}"/>
    <cellStyle name="Normal 2 5 3 2 4 2" xfId="6920" xr:uid="{00000000-0005-0000-0000-00001AA60000}"/>
    <cellStyle name="Normal 2 5 3 2 4 2 2" xfId="13379" xr:uid="{00000000-0005-0000-0000-00001BA60000}"/>
    <cellStyle name="Normal 2 5 3 2 4 2 2 2" xfId="26296" xr:uid="{00000000-0005-0000-0000-00001CA60000}"/>
    <cellStyle name="Normal 2 5 3 2 4 2 2 2 2" xfId="52170" xr:uid="{00000000-0005-0000-0000-00001DA60000}"/>
    <cellStyle name="Normal 2 5 3 2 4 2 2 3" xfId="39254" xr:uid="{00000000-0005-0000-0000-00001EA60000}"/>
    <cellStyle name="Normal 2 5 3 2 4 2 3" xfId="19838" xr:uid="{00000000-0005-0000-0000-00001FA60000}"/>
    <cellStyle name="Normal 2 5 3 2 4 2 3 2" xfId="45712" xr:uid="{00000000-0005-0000-0000-000020A60000}"/>
    <cellStyle name="Normal 2 5 3 2 4 2 4" xfId="32796" xr:uid="{00000000-0005-0000-0000-000021A60000}"/>
    <cellStyle name="Normal 2 5 3 2 4 3" xfId="10151" xr:uid="{00000000-0005-0000-0000-000022A60000}"/>
    <cellStyle name="Normal 2 5 3 2 4 3 2" xfId="23068" xr:uid="{00000000-0005-0000-0000-000023A60000}"/>
    <cellStyle name="Normal 2 5 3 2 4 3 2 2" xfId="48942" xr:uid="{00000000-0005-0000-0000-000024A60000}"/>
    <cellStyle name="Normal 2 5 3 2 4 3 3" xfId="36026" xr:uid="{00000000-0005-0000-0000-000025A60000}"/>
    <cellStyle name="Normal 2 5 3 2 4 4" xfId="16610" xr:uid="{00000000-0005-0000-0000-000026A60000}"/>
    <cellStyle name="Normal 2 5 3 2 4 4 2" xfId="42484" xr:uid="{00000000-0005-0000-0000-000027A60000}"/>
    <cellStyle name="Normal 2 5 3 2 4 5" xfId="29536" xr:uid="{00000000-0005-0000-0000-000028A60000}"/>
    <cellStyle name="Normal 2 5 3 2 5" xfId="5306" xr:uid="{00000000-0005-0000-0000-000029A60000}"/>
    <cellStyle name="Normal 2 5 3 2 5 2" xfId="11765" xr:uid="{00000000-0005-0000-0000-00002AA60000}"/>
    <cellStyle name="Normal 2 5 3 2 5 2 2" xfId="24682" xr:uid="{00000000-0005-0000-0000-00002BA60000}"/>
    <cellStyle name="Normal 2 5 3 2 5 2 2 2" xfId="50556" xr:uid="{00000000-0005-0000-0000-00002CA60000}"/>
    <cellStyle name="Normal 2 5 3 2 5 2 3" xfId="37640" xr:uid="{00000000-0005-0000-0000-00002DA60000}"/>
    <cellStyle name="Normal 2 5 3 2 5 3" xfId="18224" xr:uid="{00000000-0005-0000-0000-00002EA60000}"/>
    <cellStyle name="Normal 2 5 3 2 5 3 2" xfId="44098" xr:uid="{00000000-0005-0000-0000-00002FA60000}"/>
    <cellStyle name="Normal 2 5 3 2 5 4" xfId="31182" xr:uid="{00000000-0005-0000-0000-000030A60000}"/>
    <cellStyle name="Normal 2 5 3 2 6" xfId="8537" xr:uid="{00000000-0005-0000-0000-000031A60000}"/>
    <cellStyle name="Normal 2 5 3 2 6 2" xfId="21454" xr:uid="{00000000-0005-0000-0000-000032A60000}"/>
    <cellStyle name="Normal 2 5 3 2 6 2 2" xfId="47328" xr:uid="{00000000-0005-0000-0000-000033A60000}"/>
    <cellStyle name="Normal 2 5 3 2 6 3" xfId="34412" xr:uid="{00000000-0005-0000-0000-000034A60000}"/>
    <cellStyle name="Normal 2 5 3 2 7" xfId="14996" xr:uid="{00000000-0005-0000-0000-000035A60000}"/>
    <cellStyle name="Normal 2 5 3 2 7 2" xfId="40870" xr:uid="{00000000-0005-0000-0000-000036A60000}"/>
    <cellStyle name="Normal 2 5 3 2 8" xfId="27921" xr:uid="{00000000-0005-0000-0000-000037A60000}"/>
    <cellStyle name="Normal 2 5 3 2 9" xfId="53784" xr:uid="{00000000-0005-0000-0000-000038A60000}"/>
    <cellStyle name="Normal 2 5 3 3" xfId="2234" xr:uid="{00000000-0005-0000-0000-000039A60000}"/>
    <cellStyle name="Normal 2 5 3 3 2" xfId="3048" xr:uid="{00000000-0005-0000-0000-00003AA60000}"/>
    <cellStyle name="Normal 2 5 3 3 2 2" xfId="4705" xr:uid="{00000000-0005-0000-0000-00003BA60000}"/>
    <cellStyle name="Normal 2 5 3 3 2 2 2" xfId="7936" xr:uid="{00000000-0005-0000-0000-00003CA60000}"/>
    <cellStyle name="Normal 2 5 3 3 2 2 2 2" xfId="14395" xr:uid="{00000000-0005-0000-0000-00003DA60000}"/>
    <cellStyle name="Normal 2 5 3 3 2 2 2 2 2" xfId="27312" xr:uid="{00000000-0005-0000-0000-00003EA60000}"/>
    <cellStyle name="Normal 2 5 3 3 2 2 2 2 2 2" xfId="53186" xr:uid="{00000000-0005-0000-0000-00003FA60000}"/>
    <cellStyle name="Normal 2 5 3 3 2 2 2 2 3" xfId="40270" xr:uid="{00000000-0005-0000-0000-000040A60000}"/>
    <cellStyle name="Normal 2 5 3 3 2 2 2 3" xfId="20854" xr:uid="{00000000-0005-0000-0000-000041A60000}"/>
    <cellStyle name="Normal 2 5 3 3 2 2 2 3 2" xfId="46728" xr:uid="{00000000-0005-0000-0000-000042A60000}"/>
    <cellStyle name="Normal 2 5 3 3 2 2 2 4" xfId="33812" xr:uid="{00000000-0005-0000-0000-000043A60000}"/>
    <cellStyle name="Normal 2 5 3 3 2 2 3" xfId="11167" xr:uid="{00000000-0005-0000-0000-000044A60000}"/>
    <cellStyle name="Normal 2 5 3 3 2 2 3 2" xfId="24084" xr:uid="{00000000-0005-0000-0000-000045A60000}"/>
    <cellStyle name="Normal 2 5 3 3 2 2 3 2 2" xfId="49958" xr:uid="{00000000-0005-0000-0000-000046A60000}"/>
    <cellStyle name="Normal 2 5 3 3 2 2 3 3" xfId="37042" xr:uid="{00000000-0005-0000-0000-000047A60000}"/>
    <cellStyle name="Normal 2 5 3 3 2 2 4" xfId="17626" xr:uid="{00000000-0005-0000-0000-000048A60000}"/>
    <cellStyle name="Normal 2 5 3 3 2 2 4 2" xfId="43500" xr:uid="{00000000-0005-0000-0000-000049A60000}"/>
    <cellStyle name="Normal 2 5 3 3 2 2 5" xfId="30552" xr:uid="{00000000-0005-0000-0000-00004AA60000}"/>
    <cellStyle name="Normal 2 5 3 3 2 3" xfId="6322" xr:uid="{00000000-0005-0000-0000-00004BA60000}"/>
    <cellStyle name="Normal 2 5 3 3 2 3 2" xfId="12781" xr:uid="{00000000-0005-0000-0000-00004CA60000}"/>
    <cellStyle name="Normal 2 5 3 3 2 3 2 2" xfId="25698" xr:uid="{00000000-0005-0000-0000-00004DA60000}"/>
    <cellStyle name="Normal 2 5 3 3 2 3 2 2 2" xfId="51572" xr:uid="{00000000-0005-0000-0000-00004EA60000}"/>
    <cellStyle name="Normal 2 5 3 3 2 3 2 3" xfId="38656" xr:uid="{00000000-0005-0000-0000-00004FA60000}"/>
    <cellStyle name="Normal 2 5 3 3 2 3 3" xfId="19240" xr:uid="{00000000-0005-0000-0000-000050A60000}"/>
    <cellStyle name="Normal 2 5 3 3 2 3 3 2" xfId="45114" xr:uid="{00000000-0005-0000-0000-000051A60000}"/>
    <cellStyle name="Normal 2 5 3 3 2 3 4" xfId="32198" xr:uid="{00000000-0005-0000-0000-000052A60000}"/>
    <cellStyle name="Normal 2 5 3 3 2 4" xfId="9553" xr:uid="{00000000-0005-0000-0000-000053A60000}"/>
    <cellStyle name="Normal 2 5 3 3 2 4 2" xfId="22470" xr:uid="{00000000-0005-0000-0000-000054A60000}"/>
    <cellStyle name="Normal 2 5 3 3 2 4 2 2" xfId="48344" xr:uid="{00000000-0005-0000-0000-000055A60000}"/>
    <cellStyle name="Normal 2 5 3 3 2 4 3" xfId="35428" xr:uid="{00000000-0005-0000-0000-000056A60000}"/>
    <cellStyle name="Normal 2 5 3 3 2 5" xfId="16012" xr:uid="{00000000-0005-0000-0000-000057A60000}"/>
    <cellStyle name="Normal 2 5 3 3 2 5 2" xfId="41886" xr:uid="{00000000-0005-0000-0000-000058A60000}"/>
    <cellStyle name="Normal 2 5 3 3 2 6" xfId="28938" xr:uid="{00000000-0005-0000-0000-000059A60000}"/>
    <cellStyle name="Normal 2 5 3 3 3" xfId="3875" xr:uid="{00000000-0005-0000-0000-00005AA60000}"/>
    <cellStyle name="Normal 2 5 3 3 3 2" xfId="7129" xr:uid="{00000000-0005-0000-0000-00005BA60000}"/>
    <cellStyle name="Normal 2 5 3 3 3 2 2" xfId="13588" xr:uid="{00000000-0005-0000-0000-00005CA60000}"/>
    <cellStyle name="Normal 2 5 3 3 3 2 2 2" xfId="26505" xr:uid="{00000000-0005-0000-0000-00005DA60000}"/>
    <cellStyle name="Normal 2 5 3 3 3 2 2 2 2" xfId="52379" xr:uid="{00000000-0005-0000-0000-00005EA60000}"/>
    <cellStyle name="Normal 2 5 3 3 3 2 2 3" xfId="39463" xr:uid="{00000000-0005-0000-0000-00005FA60000}"/>
    <cellStyle name="Normal 2 5 3 3 3 2 3" xfId="20047" xr:uid="{00000000-0005-0000-0000-000060A60000}"/>
    <cellStyle name="Normal 2 5 3 3 3 2 3 2" xfId="45921" xr:uid="{00000000-0005-0000-0000-000061A60000}"/>
    <cellStyle name="Normal 2 5 3 3 3 2 4" xfId="33005" xr:uid="{00000000-0005-0000-0000-000062A60000}"/>
    <cellStyle name="Normal 2 5 3 3 3 3" xfId="10360" xr:uid="{00000000-0005-0000-0000-000063A60000}"/>
    <cellStyle name="Normal 2 5 3 3 3 3 2" xfId="23277" xr:uid="{00000000-0005-0000-0000-000064A60000}"/>
    <cellStyle name="Normal 2 5 3 3 3 3 2 2" xfId="49151" xr:uid="{00000000-0005-0000-0000-000065A60000}"/>
    <cellStyle name="Normal 2 5 3 3 3 3 3" xfId="36235" xr:uid="{00000000-0005-0000-0000-000066A60000}"/>
    <cellStyle name="Normal 2 5 3 3 3 4" xfId="16819" xr:uid="{00000000-0005-0000-0000-000067A60000}"/>
    <cellStyle name="Normal 2 5 3 3 3 4 2" xfId="42693" xr:uid="{00000000-0005-0000-0000-000068A60000}"/>
    <cellStyle name="Normal 2 5 3 3 3 5" xfId="29745" xr:uid="{00000000-0005-0000-0000-000069A60000}"/>
    <cellStyle name="Normal 2 5 3 3 4" xfId="5515" xr:uid="{00000000-0005-0000-0000-00006AA60000}"/>
    <cellStyle name="Normal 2 5 3 3 4 2" xfId="11974" xr:uid="{00000000-0005-0000-0000-00006BA60000}"/>
    <cellStyle name="Normal 2 5 3 3 4 2 2" xfId="24891" xr:uid="{00000000-0005-0000-0000-00006CA60000}"/>
    <cellStyle name="Normal 2 5 3 3 4 2 2 2" xfId="50765" xr:uid="{00000000-0005-0000-0000-00006DA60000}"/>
    <cellStyle name="Normal 2 5 3 3 4 2 3" xfId="37849" xr:uid="{00000000-0005-0000-0000-00006EA60000}"/>
    <cellStyle name="Normal 2 5 3 3 4 3" xfId="18433" xr:uid="{00000000-0005-0000-0000-00006FA60000}"/>
    <cellStyle name="Normal 2 5 3 3 4 3 2" xfId="44307" xr:uid="{00000000-0005-0000-0000-000070A60000}"/>
    <cellStyle name="Normal 2 5 3 3 4 4" xfId="31391" xr:uid="{00000000-0005-0000-0000-000071A60000}"/>
    <cellStyle name="Normal 2 5 3 3 5" xfId="8746" xr:uid="{00000000-0005-0000-0000-000072A60000}"/>
    <cellStyle name="Normal 2 5 3 3 5 2" xfId="21663" xr:uid="{00000000-0005-0000-0000-000073A60000}"/>
    <cellStyle name="Normal 2 5 3 3 5 2 2" xfId="47537" xr:uid="{00000000-0005-0000-0000-000074A60000}"/>
    <cellStyle name="Normal 2 5 3 3 5 3" xfId="34621" xr:uid="{00000000-0005-0000-0000-000075A60000}"/>
    <cellStyle name="Normal 2 5 3 3 6" xfId="15205" xr:uid="{00000000-0005-0000-0000-000076A60000}"/>
    <cellStyle name="Normal 2 5 3 3 6 2" xfId="41079" xr:uid="{00000000-0005-0000-0000-000077A60000}"/>
    <cellStyle name="Normal 2 5 3 3 7" xfId="28131" xr:uid="{00000000-0005-0000-0000-000078A60000}"/>
    <cellStyle name="Normal 2 5 3 3 8" xfId="53993" xr:uid="{00000000-0005-0000-0000-000079A60000}"/>
    <cellStyle name="Normal 2 5 3 4" xfId="2645" xr:uid="{00000000-0005-0000-0000-00007AA60000}"/>
    <cellStyle name="Normal 2 5 3 4 2" xfId="4302" xr:uid="{00000000-0005-0000-0000-00007BA60000}"/>
    <cellStyle name="Normal 2 5 3 4 2 2" xfId="7533" xr:uid="{00000000-0005-0000-0000-00007CA60000}"/>
    <cellStyle name="Normal 2 5 3 4 2 2 2" xfId="13992" xr:uid="{00000000-0005-0000-0000-00007DA60000}"/>
    <cellStyle name="Normal 2 5 3 4 2 2 2 2" xfId="26909" xr:uid="{00000000-0005-0000-0000-00007EA60000}"/>
    <cellStyle name="Normal 2 5 3 4 2 2 2 2 2" xfId="52783" xr:uid="{00000000-0005-0000-0000-00007FA60000}"/>
    <cellStyle name="Normal 2 5 3 4 2 2 2 3" xfId="39867" xr:uid="{00000000-0005-0000-0000-000080A60000}"/>
    <cellStyle name="Normal 2 5 3 4 2 2 3" xfId="20451" xr:uid="{00000000-0005-0000-0000-000081A60000}"/>
    <cellStyle name="Normal 2 5 3 4 2 2 3 2" xfId="46325" xr:uid="{00000000-0005-0000-0000-000082A60000}"/>
    <cellStyle name="Normal 2 5 3 4 2 2 4" xfId="33409" xr:uid="{00000000-0005-0000-0000-000083A60000}"/>
    <cellStyle name="Normal 2 5 3 4 2 3" xfId="10764" xr:uid="{00000000-0005-0000-0000-000084A60000}"/>
    <cellStyle name="Normal 2 5 3 4 2 3 2" xfId="23681" xr:uid="{00000000-0005-0000-0000-000085A60000}"/>
    <cellStyle name="Normal 2 5 3 4 2 3 2 2" xfId="49555" xr:uid="{00000000-0005-0000-0000-000086A60000}"/>
    <cellStyle name="Normal 2 5 3 4 2 3 3" xfId="36639" xr:uid="{00000000-0005-0000-0000-000087A60000}"/>
    <cellStyle name="Normal 2 5 3 4 2 4" xfId="17223" xr:uid="{00000000-0005-0000-0000-000088A60000}"/>
    <cellStyle name="Normal 2 5 3 4 2 4 2" xfId="43097" xr:uid="{00000000-0005-0000-0000-000089A60000}"/>
    <cellStyle name="Normal 2 5 3 4 2 5" xfId="30149" xr:uid="{00000000-0005-0000-0000-00008AA60000}"/>
    <cellStyle name="Normal 2 5 3 4 3" xfId="5919" xr:uid="{00000000-0005-0000-0000-00008BA60000}"/>
    <cellStyle name="Normal 2 5 3 4 3 2" xfId="12378" xr:uid="{00000000-0005-0000-0000-00008CA60000}"/>
    <cellStyle name="Normal 2 5 3 4 3 2 2" xfId="25295" xr:uid="{00000000-0005-0000-0000-00008DA60000}"/>
    <cellStyle name="Normal 2 5 3 4 3 2 2 2" xfId="51169" xr:uid="{00000000-0005-0000-0000-00008EA60000}"/>
    <cellStyle name="Normal 2 5 3 4 3 2 3" xfId="38253" xr:uid="{00000000-0005-0000-0000-00008FA60000}"/>
    <cellStyle name="Normal 2 5 3 4 3 3" xfId="18837" xr:uid="{00000000-0005-0000-0000-000090A60000}"/>
    <cellStyle name="Normal 2 5 3 4 3 3 2" xfId="44711" xr:uid="{00000000-0005-0000-0000-000091A60000}"/>
    <cellStyle name="Normal 2 5 3 4 3 4" xfId="31795" xr:uid="{00000000-0005-0000-0000-000092A60000}"/>
    <cellStyle name="Normal 2 5 3 4 4" xfId="9150" xr:uid="{00000000-0005-0000-0000-000093A60000}"/>
    <cellStyle name="Normal 2 5 3 4 4 2" xfId="22067" xr:uid="{00000000-0005-0000-0000-000094A60000}"/>
    <cellStyle name="Normal 2 5 3 4 4 2 2" xfId="47941" xr:uid="{00000000-0005-0000-0000-000095A60000}"/>
    <cellStyle name="Normal 2 5 3 4 4 3" xfId="35025" xr:uid="{00000000-0005-0000-0000-000096A60000}"/>
    <cellStyle name="Normal 2 5 3 4 5" xfId="15609" xr:uid="{00000000-0005-0000-0000-000097A60000}"/>
    <cellStyle name="Normal 2 5 3 4 5 2" xfId="41483" xr:uid="{00000000-0005-0000-0000-000098A60000}"/>
    <cellStyle name="Normal 2 5 3 4 6" xfId="28535" xr:uid="{00000000-0005-0000-0000-000099A60000}"/>
    <cellStyle name="Normal 2 5 3 5" xfId="3472" xr:uid="{00000000-0005-0000-0000-00009AA60000}"/>
    <cellStyle name="Normal 2 5 3 5 2" xfId="6726" xr:uid="{00000000-0005-0000-0000-00009BA60000}"/>
    <cellStyle name="Normal 2 5 3 5 2 2" xfId="13185" xr:uid="{00000000-0005-0000-0000-00009CA60000}"/>
    <cellStyle name="Normal 2 5 3 5 2 2 2" xfId="26102" xr:uid="{00000000-0005-0000-0000-00009DA60000}"/>
    <cellStyle name="Normal 2 5 3 5 2 2 2 2" xfId="51976" xr:uid="{00000000-0005-0000-0000-00009EA60000}"/>
    <cellStyle name="Normal 2 5 3 5 2 2 3" xfId="39060" xr:uid="{00000000-0005-0000-0000-00009FA60000}"/>
    <cellStyle name="Normal 2 5 3 5 2 3" xfId="19644" xr:uid="{00000000-0005-0000-0000-0000A0A60000}"/>
    <cellStyle name="Normal 2 5 3 5 2 3 2" xfId="45518" xr:uid="{00000000-0005-0000-0000-0000A1A60000}"/>
    <cellStyle name="Normal 2 5 3 5 2 4" xfId="32602" xr:uid="{00000000-0005-0000-0000-0000A2A60000}"/>
    <cellStyle name="Normal 2 5 3 5 3" xfId="9957" xr:uid="{00000000-0005-0000-0000-0000A3A60000}"/>
    <cellStyle name="Normal 2 5 3 5 3 2" xfId="22874" xr:uid="{00000000-0005-0000-0000-0000A4A60000}"/>
    <cellStyle name="Normal 2 5 3 5 3 2 2" xfId="48748" xr:uid="{00000000-0005-0000-0000-0000A5A60000}"/>
    <cellStyle name="Normal 2 5 3 5 3 3" xfId="35832" xr:uid="{00000000-0005-0000-0000-0000A6A60000}"/>
    <cellStyle name="Normal 2 5 3 5 4" xfId="16416" xr:uid="{00000000-0005-0000-0000-0000A7A60000}"/>
    <cellStyle name="Normal 2 5 3 5 4 2" xfId="42290" xr:uid="{00000000-0005-0000-0000-0000A8A60000}"/>
    <cellStyle name="Normal 2 5 3 5 5" xfId="29342" xr:uid="{00000000-0005-0000-0000-0000A9A60000}"/>
    <cellStyle name="Normal 2 5 3 6" xfId="5112" xr:uid="{00000000-0005-0000-0000-0000AAA60000}"/>
    <cellStyle name="Normal 2 5 3 6 2" xfId="11571" xr:uid="{00000000-0005-0000-0000-0000ABA60000}"/>
    <cellStyle name="Normal 2 5 3 6 2 2" xfId="24488" xr:uid="{00000000-0005-0000-0000-0000ACA60000}"/>
    <cellStyle name="Normal 2 5 3 6 2 2 2" xfId="50362" xr:uid="{00000000-0005-0000-0000-0000ADA60000}"/>
    <cellStyle name="Normal 2 5 3 6 2 3" xfId="37446" xr:uid="{00000000-0005-0000-0000-0000AEA60000}"/>
    <cellStyle name="Normal 2 5 3 6 3" xfId="18030" xr:uid="{00000000-0005-0000-0000-0000AFA60000}"/>
    <cellStyle name="Normal 2 5 3 6 3 2" xfId="43904" xr:uid="{00000000-0005-0000-0000-0000B0A60000}"/>
    <cellStyle name="Normal 2 5 3 6 4" xfId="30988" xr:uid="{00000000-0005-0000-0000-0000B1A60000}"/>
    <cellStyle name="Normal 2 5 3 7" xfId="8342" xr:uid="{00000000-0005-0000-0000-0000B2A60000}"/>
    <cellStyle name="Normal 2 5 3 7 2" xfId="21259" xr:uid="{00000000-0005-0000-0000-0000B3A60000}"/>
    <cellStyle name="Normal 2 5 3 7 2 2" xfId="47133" xr:uid="{00000000-0005-0000-0000-0000B4A60000}"/>
    <cellStyle name="Normal 2 5 3 7 3" xfId="34217" xr:uid="{00000000-0005-0000-0000-0000B5A60000}"/>
    <cellStyle name="Normal 2 5 3 8" xfId="14801" xr:uid="{00000000-0005-0000-0000-0000B6A60000}"/>
    <cellStyle name="Normal 2 5 3 8 2" xfId="40675" xr:uid="{00000000-0005-0000-0000-0000B7A60000}"/>
    <cellStyle name="Normal 2 5 3 9" xfId="27727" xr:uid="{00000000-0005-0000-0000-0000B8A60000}"/>
    <cellStyle name="Normal 2 5 4" xfId="1584" xr:uid="{00000000-0005-0000-0000-0000B9A60000}"/>
    <cellStyle name="Normal 2 5 5" xfId="1867" xr:uid="{00000000-0005-0000-0000-0000BAA60000}"/>
    <cellStyle name="Normal 2 5 5 2" xfId="2308" xr:uid="{00000000-0005-0000-0000-0000BBA60000}"/>
    <cellStyle name="Normal 2 5 5 2 2" xfId="3122" xr:uid="{00000000-0005-0000-0000-0000BCA60000}"/>
    <cellStyle name="Normal 2 5 5 2 2 2" xfId="4779" xr:uid="{00000000-0005-0000-0000-0000BDA60000}"/>
    <cellStyle name="Normal 2 5 5 2 2 2 2" xfId="8010" xr:uid="{00000000-0005-0000-0000-0000BEA60000}"/>
    <cellStyle name="Normal 2 5 5 2 2 2 2 2" xfId="14469" xr:uid="{00000000-0005-0000-0000-0000BFA60000}"/>
    <cellStyle name="Normal 2 5 5 2 2 2 2 2 2" xfId="27386" xr:uid="{00000000-0005-0000-0000-0000C0A60000}"/>
    <cellStyle name="Normal 2 5 5 2 2 2 2 2 2 2" xfId="53260" xr:uid="{00000000-0005-0000-0000-0000C1A60000}"/>
    <cellStyle name="Normal 2 5 5 2 2 2 2 2 3" xfId="40344" xr:uid="{00000000-0005-0000-0000-0000C2A60000}"/>
    <cellStyle name="Normal 2 5 5 2 2 2 2 3" xfId="20928" xr:uid="{00000000-0005-0000-0000-0000C3A60000}"/>
    <cellStyle name="Normal 2 5 5 2 2 2 2 3 2" xfId="46802" xr:uid="{00000000-0005-0000-0000-0000C4A60000}"/>
    <cellStyle name="Normal 2 5 5 2 2 2 2 4" xfId="33886" xr:uid="{00000000-0005-0000-0000-0000C5A60000}"/>
    <cellStyle name="Normal 2 5 5 2 2 2 3" xfId="11241" xr:uid="{00000000-0005-0000-0000-0000C6A60000}"/>
    <cellStyle name="Normal 2 5 5 2 2 2 3 2" xfId="24158" xr:uid="{00000000-0005-0000-0000-0000C7A60000}"/>
    <cellStyle name="Normal 2 5 5 2 2 2 3 2 2" xfId="50032" xr:uid="{00000000-0005-0000-0000-0000C8A60000}"/>
    <cellStyle name="Normal 2 5 5 2 2 2 3 3" xfId="37116" xr:uid="{00000000-0005-0000-0000-0000C9A60000}"/>
    <cellStyle name="Normal 2 5 5 2 2 2 4" xfId="17700" xr:uid="{00000000-0005-0000-0000-0000CAA60000}"/>
    <cellStyle name="Normal 2 5 5 2 2 2 4 2" xfId="43574" xr:uid="{00000000-0005-0000-0000-0000CBA60000}"/>
    <cellStyle name="Normal 2 5 5 2 2 2 5" xfId="30626" xr:uid="{00000000-0005-0000-0000-0000CCA60000}"/>
    <cellStyle name="Normal 2 5 5 2 2 3" xfId="6396" xr:uid="{00000000-0005-0000-0000-0000CDA60000}"/>
    <cellStyle name="Normal 2 5 5 2 2 3 2" xfId="12855" xr:uid="{00000000-0005-0000-0000-0000CEA60000}"/>
    <cellStyle name="Normal 2 5 5 2 2 3 2 2" xfId="25772" xr:uid="{00000000-0005-0000-0000-0000CFA60000}"/>
    <cellStyle name="Normal 2 5 5 2 2 3 2 2 2" xfId="51646" xr:uid="{00000000-0005-0000-0000-0000D0A60000}"/>
    <cellStyle name="Normal 2 5 5 2 2 3 2 3" xfId="38730" xr:uid="{00000000-0005-0000-0000-0000D1A60000}"/>
    <cellStyle name="Normal 2 5 5 2 2 3 3" xfId="19314" xr:uid="{00000000-0005-0000-0000-0000D2A60000}"/>
    <cellStyle name="Normal 2 5 5 2 2 3 3 2" xfId="45188" xr:uid="{00000000-0005-0000-0000-0000D3A60000}"/>
    <cellStyle name="Normal 2 5 5 2 2 3 4" xfId="32272" xr:uid="{00000000-0005-0000-0000-0000D4A60000}"/>
    <cellStyle name="Normal 2 5 5 2 2 4" xfId="9627" xr:uid="{00000000-0005-0000-0000-0000D5A60000}"/>
    <cellStyle name="Normal 2 5 5 2 2 4 2" xfId="22544" xr:uid="{00000000-0005-0000-0000-0000D6A60000}"/>
    <cellStyle name="Normal 2 5 5 2 2 4 2 2" xfId="48418" xr:uid="{00000000-0005-0000-0000-0000D7A60000}"/>
    <cellStyle name="Normal 2 5 5 2 2 4 3" xfId="35502" xr:uid="{00000000-0005-0000-0000-0000D8A60000}"/>
    <cellStyle name="Normal 2 5 5 2 2 5" xfId="16086" xr:uid="{00000000-0005-0000-0000-0000D9A60000}"/>
    <cellStyle name="Normal 2 5 5 2 2 5 2" xfId="41960" xr:uid="{00000000-0005-0000-0000-0000DAA60000}"/>
    <cellStyle name="Normal 2 5 5 2 2 6" xfId="29012" xr:uid="{00000000-0005-0000-0000-0000DBA60000}"/>
    <cellStyle name="Normal 2 5 5 2 3" xfId="3949" xr:uid="{00000000-0005-0000-0000-0000DCA60000}"/>
    <cellStyle name="Normal 2 5 5 2 3 2" xfId="7203" xr:uid="{00000000-0005-0000-0000-0000DDA60000}"/>
    <cellStyle name="Normal 2 5 5 2 3 2 2" xfId="13662" xr:uid="{00000000-0005-0000-0000-0000DEA60000}"/>
    <cellStyle name="Normal 2 5 5 2 3 2 2 2" xfId="26579" xr:uid="{00000000-0005-0000-0000-0000DFA60000}"/>
    <cellStyle name="Normal 2 5 5 2 3 2 2 2 2" xfId="52453" xr:uid="{00000000-0005-0000-0000-0000E0A60000}"/>
    <cellStyle name="Normal 2 5 5 2 3 2 2 3" xfId="39537" xr:uid="{00000000-0005-0000-0000-0000E1A60000}"/>
    <cellStyle name="Normal 2 5 5 2 3 2 3" xfId="20121" xr:uid="{00000000-0005-0000-0000-0000E2A60000}"/>
    <cellStyle name="Normal 2 5 5 2 3 2 3 2" xfId="45995" xr:uid="{00000000-0005-0000-0000-0000E3A60000}"/>
    <cellStyle name="Normal 2 5 5 2 3 2 4" xfId="33079" xr:uid="{00000000-0005-0000-0000-0000E4A60000}"/>
    <cellStyle name="Normal 2 5 5 2 3 3" xfId="10434" xr:uid="{00000000-0005-0000-0000-0000E5A60000}"/>
    <cellStyle name="Normal 2 5 5 2 3 3 2" xfId="23351" xr:uid="{00000000-0005-0000-0000-0000E6A60000}"/>
    <cellStyle name="Normal 2 5 5 2 3 3 2 2" xfId="49225" xr:uid="{00000000-0005-0000-0000-0000E7A60000}"/>
    <cellStyle name="Normal 2 5 5 2 3 3 3" xfId="36309" xr:uid="{00000000-0005-0000-0000-0000E8A60000}"/>
    <cellStyle name="Normal 2 5 5 2 3 4" xfId="16893" xr:uid="{00000000-0005-0000-0000-0000E9A60000}"/>
    <cellStyle name="Normal 2 5 5 2 3 4 2" xfId="42767" xr:uid="{00000000-0005-0000-0000-0000EAA60000}"/>
    <cellStyle name="Normal 2 5 5 2 3 5" xfId="29819" xr:uid="{00000000-0005-0000-0000-0000EBA60000}"/>
    <cellStyle name="Normal 2 5 5 2 4" xfId="5589" xr:uid="{00000000-0005-0000-0000-0000ECA60000}"/>
    <cellStyle name="Normal 2 5 5 2 4 2" xfId="12048" xr:uid="{00000000-0005-0000-0000-0000EDA60000}"/>
    <cellStyle name="Normal 2 5 5 2 4 2 2" xfId="24965" xr:uid="{00000000-0005-0000-0000-0000EEA60000}"/>
    <cellStyle name="Normal 2 5 5 2 4 2 2 2" xfId="50839" xr:uid="{00000000-0005-0000-0000-0000EFA60000}"/>
    <cellStyle name="Normal 2 5 5 2 4 2 3" xfId="37923" xr:uid="{00000000-0005-0000-0000-0000F0A60000}"/>
    <cellStyle name="Normal 2 5 5 2 4 3" xfId="18507" xr:uid="{00000000-0005-0000-0000-0000F1A60000}"/>
    <cellStyle name="Normal 2 5 5 2 4 3 2" xfId="44381" xr:uid="{00000000-0005-0000-0000-0000F2A60000}"/>
    <cellStyle name="Normal 2 5 5 2 4 4" xfId="31465" xr:uid="{00000000-0005-0000-0000-0000F3A60000}"/>
    <cellStyle name="Normal 2 5 5 2 5" xfId="8820" xr:uid="{00000000-0005-0000-0000-0000F4A60000}"/>
    <cellStyle name="Normal 2 5 5 2 5 2" xfId="21737" xr:uid="{00000000-0005-0000-0000-0000F5A60000}"/>
    <cellStyle name="Normal 2 5 5 2 5 2 2" xfId="47611" xr:uid="{00000000-0005-0000-0000-0000F6A60000}"/>
    <cellStyle name="Normal 2 5 5 2 5 3" xfId="34695" xr:uid="{00000000-0005-0000-0000-0000F7A60000}"/>
    <cellStyle name="Normal 2 5 5 2 6" xfId="15279" xr:uid="{00000000-0005-0000-0000-0000F8A60000}"/>
    <cellStyle name="Normal 2 5 5 2 6 2" xfId="41153" xr:uid="{00000000-0005-0000-0000-0000F9A60000}"/>
    <cellStyle name="Normal 2 5 5 2 7" xfId="28205" xr:uid="{00000000-0005-0000-0000-0000FAA60000}"/>
    <cellStyle name="Normal 2 5 5 2 8" xfId="54067" xr:uid="{00000000-0005-0000-0000-0000FBA60000}"/>
    <cellStyle name="Normal 2 5 5 3" xfId="2719" xr:uid="{00000000-0005-0000-0000-0000FCA60000}"/>
    <cellStyle name="Normal 2 5 5 3 2" xfId="4376" xr:uid="{00000000-0005-0000-0000-0000FDA60000}"/>
    <cellStyle name="Normal 2 5 5 3 2 2" xfId="7607" xr:uid="{00000000-0005-0000-0000-0000FEA60000}"/>
    <cellStyle name="Normal 2 5 5 3 2 2 2" xfId="14066" xr:uid="{00000000-0005-0000-0000-0000FFA60000}"/>
    <cellStyle name="Normal 2 5 5 3 2 2 2 2" xfId="26983" xr:uid="{00000000-0005-0000-0000-000000A70000}"/>
    <cellStyle name="Normal 2 5 5 3 2 2 2 2 2" xfId="52857" xr:uid="{00000000-0005-0000-0000-000001A70000}"/>
    <cellStyle name="Normal 2 5 5 3 2 2 2 3" xfId="39941" xr:uid="{00000000-0005-0000-0000-000002A70000}"/>
    <cellStyle name="Normal 2 5 5 3 2 2 3" xfId="20525" xr:uid="{00000000-0005-0000-0000-000003A70000}"/>
    <cellStyle name="Normal 2 5 5 3 2 2 3 2" xfId="46399" xr:uid="{00000000-0005-0000-0000-000004A70000}"/>
    <cellStyle name="Normal 2 5 5 3 2 2 4" xfId="33483" xr:uid="{00000000-0005-0000-0000-000005A70000}"/>
    <cellStyle name="Normal 2 5 5 3 2 3" xfId="10838" xr:uid="{00000000-0005-0000-0000-000006A70000}"/>
    <cellStyle name="Normal 2 5 5 3 2 3 2" xfId="23755" xr:uid="{00000000-0005-0000-0000-000007A70000}"/>
    <cellStyle name="Normal 2 5 5 3 2 3 2 2" xfId="49629" xr:uid="{00000000-0005-0000-0000-000008A70000}"/>
    <cellStyle name="Normal 2 5 5 3 2 3 3" xfId="36713" xr:uid="{00000000-0005-0000-0000-000009A70000}"/>
    <cellStyle name="Normal 2 5 5 3 2 4" xfId="17297" xr:uid="{00000000-0005-0000-0000-00000AA70000}"/>
    <cellStyle name="Normal 2 5 5 3 2 4 2" xfId="43171" xr:uid="{00000000-0005-0000-0000-00000BA70000}"/>
    <cellStyle name="Normal 2 5 5 3 2 5" xfId="30223" xr:uid="{00000000-0005-0000-0000-00000CA70000}"/>
    <cellStyle name="Normal 2 5 5 3 3" xfId="5993" xr:uid="{00000000-0005-0000-0000-00000DA70000}"/>
    <cellStyle name="Normal 2 5 5 3 3 2" xfId="12452" xr:uid="{00000000-0005-0000-0000-00000EA70000}"/>
    <cellStyle name="Normal 2 5 5 3 3 2 2" xfId="25369" xr:uid="{00000000-0005-0000-0000-00000FA70000}"/>
    <cellStyle name="Normal 2 5 5 3 3 2 2 2" xfId="51243" xr:uid="{00000000-0005-0000-0000-000010A70000}"/>
    <cellStyle name="Normal 2 5 5 3 3 2 3" xfId="38327" xr:uid="{00000000-0005-0000-0000-000011A70000}"/>
    <cellStyle name="Normal 2 5 5 3 3 3" xfId="18911" xr:uid="{00000000-0005-0000-0000-000012A70000}"/>
    <cellStyle name="Normal 2 5 5 3 3 3 2" xfId="44785" xr:uid="{00000000-0005-0000-0000-000013A70000}"/>
    <cellStyle name="Normal 2 5 5 3 3 4" xfId="31869" xr:uid="{00000000-0005-0000-0000-000014A70000}"/>
    <cellStyle name="Normal 2 5 5 3 4" xfId="9224" xr:uid="{00000000-0005-0000-0000-000015A70000}"/>
    <cellStyle name="Normal 2 5 5 3 4 2" xfId="22141" xr:uid="{00000000-0005-0000-0000-000016A70000}"/>
    <cellStyle name="Normal 2 5 5 3 4 2 2" xfId="48015" xr:uid="{00000000-0005-0000-0000-000017A70000}"/>
    <cellStyle name="Normal 2 5 5 3 4 3" xfId="35099" xr:uid="{00000000-0005-0000-0000-000018A70000}"/>
    <cellStyle name="Normal 2 5 5 3 5" xfId="15683" xr:uid="{00000000-0005-0000-0000-000019A70000}"/>
    <cellStyle name="Normal 2 5 5 3 5 2" xfId="41557" xr:uid="{00000000-0005-0000-0000-00001AA70000}"/>
    <cellStyle name="Normal 2 5 5 3 6" xfId="28609" xr:uid="{00000000-0005-0000-0000-00001BA70000}"/>
    <cellStyle name="Normal 2 5 5 4" xfId="3546" xr:uid="{00000000-0005-0000-0000-00001CA70000}"/>
    <cellStyle name="Normal 2 5 5 4 2" xfId="6800" xr:uid="{00000000-0005-0000-0000-00001DA70000}"/>
    <cellStyle name="Normal 2 5 5 4 2 2" xfId="13259" xr:uid="{00000000-0005-0000-0000-00001EA70000}"/>
    <cellStyle name="Normal 2 5 5 4 2 2 2" xfId="26176" xr:uid="{00000000-0005-0000-0000-00001FA70000}"/>
    <cellStyle name="Normal 2 5 5 4 2 2 2 2" xfId="52050" xr:uid="{00000000-0005-0000-0000-000020A70000}"/>
    <cellStyle name="Normal 2 5 5 4 2 2 3" xfId="39134" xr:uid="{00000000-0005-0000-0000-000021A70000}"/>
    <cellStyle name="Normal 2 5 5 4 2 3" xfId="19718" xr:uid="{00000000-0005-0000-0000-000022A70000}"/>
    <cellStyle name="Normal 2 5 5 4 2 3 2" xfId="45592" xr:uid="{00000000-0005-0000-0000-000023A70000}"/>
    <cellStyle name="Normal 2 5 5 4 2 4" xfId="32676" xr:uid="{00000000-0005-0000-0000-000024A70000}"/>
    <cellStyle name="Normal 2 5 5 4 3" xfId="10031" xr:uid="{00000000-0005-0000-0000-000025A70000}"/>
    <cellStyle name="Normal 2 5 5 4 3 2" xfId="22948" xr:uid="{00000000-0005-0000-0000-000026A70000}"/>
    <cellStyle name="Normal 2 5 5 4 3 2 2" xfId="48822" xr:uid="{00000000-0005-0000-0000-000027A70000}"/>
    <cellStyle name="Normal 2 5 5 4 3 3" xfId="35906" xr:uid="{00000000-0005-0000-0000-000028A70000}"/>
    <cellStyle name="Normal 2 5 5 4 4" xfId="16490" xr:uid="{00000000-0005-0000-0000-000029A70000}"/>
    <cellStyle name="Normal 2 5 5 4 4 2" xfId="42364" xr:uid="{00000000-0005-0000-0000-00002AA70000}"/>
    <cellStyle name="Normal 2 5 5 4 5" xfId="29416" xr:uid="{00000000-0005-0000-0000-00002BA70000}"/>
    <cellStyle name="Normal 2 5 5 5" xfId="5186" xr:uid="{00000000-0005-0000-0000-00002CA70000}"/>
    <cellStyle name="Normal 2 5 5 5 2" xfId="11645" xr:uid="{00000000-0005-0000-0000-00002DA70000}"/>
    <cellStyle name="Normal 2 5 5 5 2 2" xfId="24562" xr:uid="{00000000-0005-0000-0000-00002EA70000}"/>
    <cellStyle name="Normal 2 5 5 5 2 2 2" xfId="50436" xr:uid="{00000000-0005-0000-0000-00002FA70000}"/>
    <cellStyle name="Normal 2 5 5 5 2 3" xfId="37520" xr:uid="{00000000-0005-0000-0000-000030A70000}"/>
    <cellStyle name="Normal 2 5 5 5 3" xfId="18104" xr:uid="{00000000-0005-0000-0000-000031A70000}"/>
    <cellStyle name="Normal 2 5 5 5 3 2" xfId="43978" xr:uid="{00000000-0005-0000-0000-000032A70000}"/>
    <cellStyle name="Normal 2 5 5 5 4" xfId="31062" xr:uid="{00000000-0005-0000-0000-000033A70000}"/>
    <cellStyle name="Normal 2 5 5 6" xfId="8416" xr:uid="{00000000-0005-0000-0000-000034A70000}"/>
    <cellStyle name="Normal 2 5 5 6 2" xfId="21333" xr:uid="{00000000-0005-0000-0000-000035A70000}"/>
    <cellStyle name="Normal 2 5 5 6 2 2" xfId="47207" xr:uid="{00000000-0005-0000-0000-000036A70000}"/>
    <cellStyle name="Normal 2 5 5 6 3" xfId="34291" xr:uid="{00000000-0005-0000-0000-000037A70000}"/>
    <cellStyle name="Normal 2 5 5 7" xfId="14875" xr:uid="{00000000-0005-0000-0000-000038A70000}"/>
    <cellStyle name="Normal 2 5 5 7 2" xfId="40749" xr:uid="{00000000-0005-0000-0000-000039A70000}"/>
    <cellStyle name="Normal 2 5 5 8" xfId="27801" xr:uid="{00000000-0005-0000-0000-00003AA70000}"/>
    <cellStyle name="Normal 2 5 5 9" xfId="53664" xr:uid="{00000000-0005-0000-0000-00003BA70000}"/>
    <cellStyle name="Normal 2 5 6" xfId="2111" xr:uid="{00000000-0005-0000-0000-00003CA70000}"/>
    <cellStyle name="Normal 2 5 6 2" xfId="2927" xr:uid="{00000000-0005-0000-0000-00003DA70000}"/>
    <cellStyle name="Normal 2 5 6 2 2" xfId="4584" xr:uid="{00000000-0005-0000-0000-00003EA70000}"/>
    <cellStyle name="Normal 2 5 6 2 2 2" xfId="7815" xr:uid="{00000000-0005-0000-0000-00003FA70000}"/>
    <cellStyle name="Normal 2 5 6 2 2 2 2" xfId="14274" xr:uid="{00000000-0005-0000-0000-000040A70000}"/>
    <cellStyle name="Normal 2 5 6 2 2 2 2 2" xfId="27191" xr:uid="{00000000-0005-0000-0000-000041A70000}"/>
    <cellStyle name="Normal 2 5 6 2 2 2 2 2 2" xfId="53065" xr:uid="{00000000-0005-0000-0000-000042A70000}"/>
    <cellStyle name="Normal 2 5 6 2 2 2 2 3" xfId="40149" xr:uid="{00000000-0005-0000-0000-000043A70000}"/>
    <cellStyle name="Normal 2 5 6 2 2 2 3" xfId="20733" xr:uid="{00000000-0005-0000-0000-000044A70000}"/>
    <cellStyle name="Normal 2 5 6 2 2 2 3 2" xfId="46607" xr:uid="{00000000-0005-0000-0000-000045A70000}"/>
    <cellStyle name="Normal 2 5 6 2 2 2 4" xfId="33691" xr:uid="{00000000-0005-0000-0000-000046A70000}"/>
    <cellStyle name="Normal 2 5 6 2 2 3" xfId="11046" xr:uid="{00000000-0005-0000-0000-000047A70000}"/>
    <cellStyle name="Normal 2 5 6 2 2 3 2" xfId="23963" xr:uid="{00000000-0005-0000-0000-000048A70000}"/>
    <cellStyle name="Normal 2 5 6 2 2 3 2 2" xfId="49837" xr:uid="{00000000-0005-0000-0000-000049A70000}"/>
    <cellStyle name="Normal 2 5 6 2 2 3 3" xfId="36921" xr:uid="{00000000-0005-0000-0000-00004AA70000}"/>
    <cellStyle name="Normal 2 5 6 2 2 4" xfId="17505" xr:uid="{00000000-0005-0000-0000-00004BA70000}"/>
    <cellStyle name="Normal 2 5 6 2 2 4 2" xfId="43379" xr:uid="{00000000-0005-0000-0000-00004CA70000}"/>
    <cellStyle name="Normal 2 5 6 2 2 5" xfId="30431" xr:uid="{00000000-0005-0000-0000-00004DA70000}"/>
    <cellStyle name="Normal 2 5 6 2 3" xfId="6201" xr:uid="{00000000-0005-0000-0000-00004EA70000}"/>
    <cellStyle name="Normal 2 5 6 2 3 2" xfId="12660" xr:uid="{00000000-0005-0000-0000-00004FA70000}"/>
    <cellStyle name="Normal 2 5 6 2 3 2 2" xfId="25577" xr:uid="{00000000-0005-0000-0000-000050A70000}"/>
    <cellStyle name="Normal 2 5 6 2 3 2 2 2" xfId="51451" xr:uid="{00000000-0005-0000-0000-000051A70000}"/>
    <cellStyle name="Normal 2 5 6 2 3 2 3" xfId="38535" xr:uid="{00000000-0005-0000-0000-000052A70000}"/>
    <cellStyle name="Normal 2 5 6 2 3 3" xfId="19119" xr:uid="{00000000-0005-0000-0000-000053A70000}"/>
    <cellStyle name="Normal 2 5 6 2 3 3 2" xfId="44993" xr:uid="{00000000-0005-0000-0000-000054A70000}"/>
    <cellStyle name="Normal 2 5 6 2 3 4" xfId="32077" xr:uid="{00000000-0005-0000-0000-000055A70000}"/>
    <cellStyle name="Normal 2 5 6 2 4" xfId="9432" xr:uid="{00000000-0005-0000-0000-000056A70000}"/>
    <cellStyle name="Normal 2 5 6 2 4 2" xfId="22349" xr:uid="{00000000-0005-0000-0000-000057A70000}"/>
    <cellStyle name="Normal 2 5 6 2 4 2 2" xfId="48223" xr:uid="{00000000-0005-0000-0000-000058A70000}"/>
    <cellStyle name="Normal 2 5 6 2 4 3" xfId="35307" xr:uid="{00000000-0005-0000-0000-000059A70000}"/>
    <cellStyle name="Normal 2 5 6 2 5" xfId="15891" xr:uid="{00000000-0005-0000-0000-00005AA70000}"/>
    <cellStyle name="Normal 2 5 6 2 5 2" xfId="41765" xr:uid="{00000000-0005-0000-0000-00005BA70000}"/>
    <cellStyle name="Normal 2 5 6 2 6" xfId="28817" xr:uid="{00000000-0005-0000-0000-00005CA70000}"/>
    <cellStyle name="Normal 2 5 6 3" xfId="3754" xr:uid="{00000000-0005-0000-0000-00005DA70000}"/>
    <cellStyle name="Normal 2 5 6 3 2" xfId="7008" xr:uid="{00000000-0005-0000-0000-00005EA70000}"/>
    <cellStyle name="Normal 2 5 6 3 2 2" xfId="13467" xr:uid="{00000000-0005-0000-0000-00005FA70000}"/>
    <cellStyle name="Normal 2 5 6 3 2 2 2" xfId="26384" xr:uid="{00000000-0005-0000-0000-000060A70000}"/>
    <cellStyle name="Normal 2 5 6 3 2 2 2 2" xfId="52258" xr:uid="{00000000-0005-0000-0000-000061A70000}"/>
    <cellStyle name="Normal 2 5 6 3 2 2 3" xfId="39342" xr:uid="{00000000-0005-0000-0000-000062A70000}"/>
    <cellStyle name="Normal 2 5 6 3 2 3" xfId="19926" xr:uid="{00000000-0005-0000-0000-000063A70000}"/>
    <cellStyle name="Normal 2 5 6 3 2 3 2" xfId="45800" xr:uid="{00000000-0005-0000-0000-000064A70000}"/>
    <cellStyle name="Normal 2 5 6 3 2 4" xfId="32884" xr:uid="{00000000-0005-0000-0000-000065A70000}"/>
    <cellStyle name="Normal 2 5 6 3 3" xfId="10239" xr:uid="{00000000-0005-0000-0000-000066A70000}"/>
    <cellStyle name="Normal 2 5 6 3 3 2" xfId="23156" xr:uid="{00000000-0005-0000-0000-000067A70000}"/>
    <cellStyle name="Normal 2 5 6 3 3 2 2" xfId="49030" xr:uid="{00000000-0005-0000-0000-000068A70000}"/>
    <cellStyle name="Normal 2 5 6 3 3 3" xfId="36114" xr:uid="{00000000-0005-0000-0000-000069A70000}"/>
    <cellStyle name="Normal 2 5 6 3 4" xfId="16698" xr:uid="{00000000-0005-0000-0000-00006AA70000}"/>
    <cellStyle name="Normal 2 5 6 3 4 2" xfId="42572" xr:uid="{00000000-0005-0000-0000-00006BA70000}"/>
    <cellStyle name="Normal 2 5 6 3 5" xfId="29624" xr:uid="{00000000-0005-0000-0000-00006CA70000}"/>
    <cellStyle name="Normal 2 5 6 4" xfId="5394" xr:uid="{00000000-0005-0000-0000-00006DA70000}"/>
    <cellStyle name="Normal 2 5 6 4 2" xfId="11853" xr:uid="{00000000-0005-0000-0000-00006EA70000}"/>
    <cellStyle name="Normal 2 5 6 4 2 2" xfId="24770" xr:uid="{00000000-0005-0000-0000-00006FA70000}"/>
    <cellStyle name="Normal 2 5 6 4 2 2 2" xfId="50644" xr:uid="{00000000-0005-0000-0000-000070A70000}"/>
    <cellStyle name="Normal 2 5 6 4 2 3" xfId="37728" xr:uid="{00000000-0005-0000-0000-000071A70000}"/>
    <cellStyle name="Normal 2 5 6 4 3" xfId="18312" xr:uid="{00000000-0005-0000-0000-000072A70000}"/>
    <cellStyle name="Normal 2 5 6 4 3 2" xfId="44186" xr:uid="{00000000-0005-0000-0000-000073A70000}"/>
    <cellStyle name="Normal 2 5 6 4 4" xfId="31270" xr:uid="{00000000-0005-0000-0000-000074A70000}"/>
    <cellStyle name="Normal 2 5 6 5" xfId="8625" xr:uid="{00000000-0005-0000-0000-000075A70000}"/>
    <cellStyle name="Normal 2 5 6 5 2" xfId="21542" xr:uid="{00000000-0005-0000-0000-000076A70000}"/>
    <cellStyle name="Normal 2 5 6 5 2 2" xfId="47416" xr:uid="{00000000-0005-0000-0000-000077A70000}"/>
    <cellStyle name="Normal 2 5 6 5 3" xfId="34500" xr:uid="{00000000-0005-0000-0000-000078A70000}"/>
    <cellStyle name="Normal 2 5 6 6" xfId="15084" xr:uid="{00000000-0005-0000-0000-000079A70000}"/>
    <cellStyle name="Normal 2 5 6 6 2" xfId="40958" xr:uid="{00000000-0005-0000-0000-00007AA70000}"/>
    <cellStyle name="Normal 2 5 6 7" xfId="28010" xr:uid="{00000000-0005-0000-0000-00007BA70000}"/>
    <cellStyle name="Normal 2 5 6 8" xfId="53872" xr:uid="{00000000-0005-0000-0000-00007CA70000}"/>
    <cellStyle name="Normal 2 5 7" xfId="2524" xr:uid="{00000000-0005-0000-0000-00007DA70000}"/>
    <cellStyle name="Normal 2 5 7 2" xfId="4181" xr:uid="{00000000-0005-0000-0000-00007EA70000}"/>
    <cellStyle name="Normal 2 5 7 2 2" xfId="7412" xr:uid="{00000000-0005-0000-0000-00007FA70000}"/>
    <cellStyle name="Normal 2 5 7 2 2 2" xfId="13871" xr:uid="{00000000-0005-0000-0000-000080A70000}"/>
    <cellStyle name="Normal 2 5 7 2 2 2 2" xfId="26788" xr:uid="{00000000-0005-0000-0000-000081A70000}"/>
    <cellStyle name="Normal 2 5 7 2 2 2 2 2" xfId="52662" xr:uid="{00000000-0005-0000-0000-000082A70000}"/>
    <cellStyle name="Normal 2 5 7 2 2 2 3" xfId="39746" xr:uid="{00000000-0005-0000-0000-000083A70000}"/>
    <cellStyle name="Normal 2 5 7 2 2 3" xfId="20330" xr:uid="{00000000-0005-0000-0000-000084A70000}"/>
    <cellStyle name="Normal 2 5 7 2 2 3 2" xfId="46204" xr:uid="{00000000-0005-0000-0000-000085A70000}"/>
    <cellStyle name="Normal 2 5 7 2 2 4" xfId="33288" xr:uid="{00000000-0005-0000-0000-000086A70000}"/>
    <cellStyle name="Normal 2 5 7 2 3" xfId="10643" xr:uid="{00000000-0005-0000-0000-000087A70000}"/>
    <cellStyle name="Normal 2 5 7 2 3 2" xfId="23560" xr:uid="{00000000-0005-0000-0000-000088A70000}"/>
    <cellStyle name="Normal 2 5 7 2 3 2 2" xfId="49434" xr:uid="{00000000-0005-0000-0000-000089A70000}"/>
    <cellStyle name="Normal 2 5 7 2 3 3" xfId="36518" xr:uid="{00000000-0005-0000-0000-00008AA70000}"/>
    <cellStyle name="Normal 2 5 7 2 4" xfId="17102" xr:uid="{00000000-0005-0000-0000-00008BA70000}"/>
    <cellStyle name="Normal 2 5 7 2 4 2" xfId="42976" xr:uid="{00000000-0005-0000-0000-00008CA70000}"/>
    <cellStyle name="Normal 2 5 7 2 5" xfId="30028" xr:uid="{00000000-0005-0000-0000-00008DA70000}"/>
    <cellStyle name="Normal 2 5 7 3" xfId="5798" xr:uid="{00000000-0005-0000-0000-00008EA70000}"/>
    <cellStyle name="Normal 2 5 7 3 2" xfId="12257" xr:uid="{00000000-0005-0000-0000-00008FA70000}"/>
    <cellStyle name="Normal 2 5 7 3 2 2" xfId="25174" xr:uid="{00000000-0005-0000-0000-000090A70000}"/>
    <cellStyle name="Normal 2 5 7 3 2 2 2" xfId="51048" xr:uid="{00000000-0005-0000-0000-000091A70000}"/>
    <cellStyle name="Normal 2 5 7 3 2 3" xfId="38132" xr:uid="{00000000-0005-0000-0000-000092A70000}"/>
    <cellStyle name="Normal 2 5 7 3 3" xfId="18716" xr:uid="{00000000-0005-0000-0000-000093A70000}"/>
    <cellStyle name="Normal 2 5 7 3 3 2" xfId="44590" xr:uid="{00000000-0005-0000-0000-000094A70000}"/>
    <cellStyle name="Normal 2 5 7 3 4" xfId="31674" xr:uid="{00000000-0005-0000-0000-000095A70000}"/>
    <cellStyle name="Normal 2 5 7 4" xfId="9029" xr:uid="{00000000-0005-0000-0000-000096A70000}"/>
    <cellStyle name="Normal 2 5 7 4 2" xfId="21946" xr:uid="{00000000-0005-0000-0000-000097A70000}"/>
    <cellStyle name="Normal 2 5 7 4 2 2" xfId="47820" xr:uid="{00000000-0005-0000-0000-000098A70000}"/>
    <cellStyle name="Normal 2 5 7 4 3" xfId="34904" xr:uid="{00000000-0005-0000-0000-000099A70000}"/>
    <cellStyle name="Normal 2 5 7 5" xfId="15488" xr:uid="{00000000-0005-0000-0000-00009AA70000}"/>
    <cellStyle name="Normal 2 5 7 5 2" xfId="41362" xr:uid="{00000000-0005-0000-0000-00009BA70000}"/>
    <cellStyle name="Normal 2 5 7 6" xfId="28414" xr:uid="{00000000-0005-0000-0000-00009CA70000}"/>
    <cellStyle name="Normal 2 5 8" xfId="3344" xr:uid="{00000000-0005-0000-0000-00009DA70000}"/>
    <cellStyle name="Normal 2 5 8 2" xfId="6605" xr:uid="{00000000-0005-0000-0000-00009EA70000}"/>
    <cellStyle name="Normal 2 5 8 2 2" xfId="13064" xr:uid="{00000000-0005-0000-0000-00009FA70000}"/>
    <cellStyle name="Normal 2 5 8 2 2 2" xfId="25981" xr:uid="{00000000-0005-0000-0000-0000A0A70000}"/>
    <cellStyle name="Normal 2 5 8 2 2 2 2" xfId="51855" xr:uid="{00000000-0005-0000-0000-0000A1A70000}"/>
    <cellStyle name="Normal 2 5 8 2 2 3" xfId="38939" xr:uid="{00000000-0005-0000-0000-0000A2A70000}"/>
    <cellStyle name="Normal 2 5 8 2 3" xfId="19523" xr:uid="{00000000-0005-0000-0000-0000A3A70000}"/>
    <cellStyle name="Normal 2 5 8 2 3 2" xfId="45397" xr:uid="{00000000-0005-0000-0000-0000A4A70000}"/>
    <cellStyle name="Normal 2 5 8 2 4" xfId="32481" xr:uid="{00000000-0005-0000-0000-0000A5A70000}"/>
    <cellStyle name="Normal 2 5 8 3" xfId="9836" xr:uid="{00000000-0005-0000-0000-0000A6A70000}"/>
    <cellStyle name="Normal 2 5 8 3 2" xfId="22753" xr:uid="{00000000-0005-0000-0000-0000A7A70000}"/>
    <cellStyle name="Normal 2 5 8 3 2 2" xfId="48627" xr:uid="{00000000-0005-0000-0000-0000A8A70000}"/>
    <cellStyle name="Normal 2 5 8 3 3" xfId="35711" xr:uid="{00000000-0005-0000-0000-0000A9A70000}"/>
    <cellStyle name="Normal 2 5 8 4" xfId="16295" xr:uid="{00000000-0005-0000-0000-0000AAA70000}"/>
    <cellStyle name="Normal 2 5 8 4 2" xfId="42169" xr:uid="{00000000-0005-0000-0000-0000ABA70000}"/>
    <cellStyle name="Normal 2 5 8 5" xfId="29221" xr:uid="{00000000-0005-0000-0000-0000ACA70000}"/>
    <cellStyle name="Normal 2 5 9" xfId="4991" xr:uid="{00000000-0005-0000-0000-0000ADA70000}"/>
    <cellStyle name="Normal 2 5 9 2" xfId="11450" xr:uid="{00000000-0005-0000-0000-0000AEA70000}"/>
    <cellStyle name="Normal 2 5 9 2 2" xfId="24367" xr:uid="{00000000-0005-0000-0000-0000AFA70000}"/>
    <cellStyle name="Normal 2 5 9 2 2 2" xfId="50241" xr:uid="{00000000-0005-0000-0000-0000B0A70000}"/>
    <cellStyle name="Normal 2 5 9 2 3" xfId="37325" xr:uid="{00000000-0005-0000-0000-0000B1A70000}"/>
    <cellStyle name="Normal 2 5 9 3" xfId="17909" xr:uid="{00000000-0005-0000-0000-0000B2A70000}"/>
    <cellStyle name="Normal 2 5 9 3 2" xfId="43783" xr:uid="{00000000-0005-0000-0000-0000B3A70000}"/>
    <cellStyle name="Normal 2 5 9 4" xfId="30867" xr:uid="{00000000-0005-0000-0000-0000B4A70000}"/>
    <cellStyle name="Normal 2 6" xfId="148" xr:uid="{00000000-0005-0000-0000-0000B5A70000}"/>
    <cellStyle name="Normal 2 6 10" xfId="14719" xr:uid="{00000000-0005-0000-0000-0000B6A70000}"/>
    <cellStyle name="Normal 2 6 10 2" xfId="40593" xr:uid="{00000000-0005-0000-0000-0000B7A70000}"/>
    <cellStyle name="Normal 2 6 11" xfId="27643" xr:uid="{00000000-0005-0000-0000-0000B8A70000}"/>
    <cellStyle name="Normal 2 6 12" xfId="53508" xr:uid="{00000000-0005-0000-0000-0000B9A70000}"/>
    <cellStyle name="Normal 2 6 13" xfId="1587" xr:uid="{00000000-0005-0000-0000-0000BAA70000}"/>
    <cellStyle name="Normal 2 6 2" xfId="301" xr:uid="{00000000-0005-0000-0000-0000BBA70000}"/>
    <cellStyle name="Normal 2 6 2 10" xfId="53560" xr:uid="{00000000-0005-0000-0000-0000BCA70000}"/>
    <cellStyle name="Normal 2 6 2 11" xfId="1644" xr:uid="{00000000-0005-0000-0000-0000BDA70000}"/>
    <cellStyle name="Normal 2 6 2 2" xfId="449" xr:uid="{00000000-0005-0000-0000-0000BEA70000}"/>
    <cellStyle name="Normal 2 6 2 2 10" xfId="1969" xr:uid="{00000000-0005-0000-0000-0000BFA70000}"/>
    <cellStyle name="Normal 2 6 2 2 2" xfId="898" xr:uid="{00000000-0005-0000-0000-0000C0A70000}"/>
    <cellStyle name="Normal 2 6 2 2 2 2" xfId="3213" xr:uid="{00000000-0005-0000-0000-0000C1A70000}"/>
    <cellStyle name="Normal 2 6 2 2 2 2 2" xfId="4870" xr:uid="{00000000-0005-0000-0000-0000C2A70000}"/>
    <cellStyle name="Normal 2 6 2 2 2 2 2 2" xfId="8101" xr:uid="{00000000-0005-0000-0000-0000C3A70000}"/>
    <cellStyle name="Normal 2 6 2 2 2 2 2 2 2" xfId="14560" xr:uid="{00000000-0005-0000-0000-0000C4A70000}"/>
    <cellStyle name="Normal 2 6 2 2 2 2 2 2 2 2" xfId="27477" xr:uid="{00000000-0005-0000-0000-0000C5A70000}"/>
    <cellStyle name="Normal 2 6 2 2 2 2 2 2 2 2 2" xfId="53351" xr:uid="{00000000-0005-0000-0000-0000C6A70000}"/>
    <cellStyle name="Normal 2 6 2 2 2 2 2 2 2 3" xfId="40435" xr:uid="{00000000-0005-0000-0000-0000C7A70000}"/>
    <cellStyle name="Normal 2 6 2 2 2 2 2 2 3" xfId="21019" xr:uid="{00000000-0005-0000-0000-0000C8A70000}"/>
    <cellStyle name="Normal 2 6 2 2 2 2 2 2 3 2" xfId="46893" xr:uid="{00000000-0005-0000-0000-0000C9A70000}"/>
    <cellStyle name="Normal 2 6 2 2 2 2 2 2 4" xfId="33977" xr:uid="{00000000-0005-0000-0000-0000CAA70000}"/>
    <cellStyle name="Normal 2 6 2 2 2 2 2 3" xfId="11332" xr:uid="{00000000-0005-0000-0000-0000CBA70000}"/>
    <cellStyle name="Normal 2 6 2 2 2 2 2 3 2" xfId="24249" xr:uid="{00000000-0005-0000-0000-0000CCA70000}"/>
    <cellStyle name="Normal 2 6 2 2 2 2 2 3 2 2" xfId="50123" xr:uid="{00000000-0005-0000-0000-0000CDA70000}"/>
    <cellStyle name="Normal 2 6 2 2 2 2 2 3 3" xfId="37207" xr:uid="{00000000-0005-0000-0000-0000CEA70000}"/>
    <cellStyle name="Normal 2 6 2 2 2 2 2 4" xfId="17791" xr:uid="{00000000-0005-0000-0000-0000CFA70000}"/>
    <cellStyle name="Normal 2 6 2 2 2 2 2 4 2" xfId="43665" xr:uid="{00000000-0005-0000-0000-0000D0A70000}"/>
    <cellStyle name="Normal 2 6 2 2 2 2 2 5" xfId="30717" xr:uid="{00000000-0005-0000-0000-0000D1A70000}"/>
    <cellStyle name="Normal 2 6 2 2 2 2 3" xfId="6487" xr:uid="{00000000-0005-0000-0000-0000D2A70000}"/>
    <cellStyle name="Normal 2 6 2 2 2 2 3 2" xfId="12946" xr:uid="{00000000-0005-0000-0000-0000D3A70000}"/>
    <cellStyle name="Normal 2 6 2 2 2 2 3 2 2" xfId="25863" xr:uid="{00000000-0005-0000-0000-0000D4A70000}"/>
    <cellStyle name="Normal 2 6 2 2 2 2 3 2 2 2" xfId="51737" xr:uid="{00000000-0005-0000-0000-0000D5A70000}"/>
    <cellStyle name="Normal 2 6 2 2 2 2 3 2 3" xfId="38821" xr:uid="{00000000-0005-0000-0000-0000D6A70000}"/>
    <cellStyle name="Normal 2 6 2 2 2 2 3 3" xfId="19405" xr:uid="{00000000-0005-0000-0000-0000D7A70000}"/>
    <cellStyle name="Normal 2 6 2 2 2 2 3 3 2" xfId="45279" xr:uid="{00000000-0005-0000-0000-0000D8A70000}"/>
    <cellStyle name="Normal 2 6 2 2 2 2 3 4" xfId="32363" xr:uid="{00000000-0005-0000-0000-0000D9A70000}"/>
    <cellStyle name="Normal 2 6 2 2 2 2 4" xfId="9718" xr:uid="{00000000-0005-0000-0000-0000DAA70000}"/>
    <cellStyle name="Normal 2 6 2 2 2 2 4 2" xfId="22635" xr:uid="{00000000-0005-0000-0000-0000DBA70000}"/>
    <cellStyle name="Normal 2 6 2 2 2 2 4 2 2" xfId="48509" xr:uid="{00000000-0005-0000-0000-0000DCA70000}"/>
    <cellStyle name="Normal 2 6 2 2 2 2 4 3" xfId="35593" xr:uid="{00000000-0005-0000-0000-0000DDA70000}"/>
    <cellStyle name="Normal 2 6 2 2 2 2 5" xfId="16177" xr:uid="{00000000-0005-0000-0000-0000DEA70000}"/>
    <cellStyle name="Normal 2 6 2 2 2 2 5 2" xfId="42051" xr:uid="{00000000-0005-0000-0000-0000DFA70000}"/>
    <cellStyle name="Normal 2 6 2 2 2 2 6" xfId="29103" xr:uid="{00000000-0005-0000-0000-0000E0A70000}"/>
    <cellStyle name="Normal 2 6 2 2 2 3" xfId="4040" xr:uid="{00000000-0005-0000-0000-0000E1A70000}"/>
    <cellStyle name="Normal 2 6 2 2 2 3 2" xfId="7294" xr:uid="{00000000-0005-0000-0000-0000E2A70000}"/>
    <cellStyle name="Normal 2 6 2 2 2 3 2 2" xfId="13753" xr:uid="{00000000-0005-0000-0000-0000E3A70000}"/>
    <cellStyle name="Normal 2 6 2 2 2 3 2 2 2" xfId="26670" xr:uid="{00000000-0005-0000-0000-0000E4A70000}"/>
    <cellStyle name="Normal 2 6 2 2 2 3 2 2 2 2" xfId="52544" xr:uid="{00000000-0005-0000-0000-0000E5A70000}"/>
    <cellStyle name="Normal 2 6 2 2 2 3 2 2 3" xfId="39628" xr:uid="{00000000-0005-0000-0000-0000E6A70000}"/>
    <cellStyle name="Normal 2 6 2 2 2 3 2 3" xfId="20212" xr:uid="{00000000-0005-0000-0000-0000E7A70000}"/>
    <cellStyle name="Normal 2 6 2 2 2 3 2 3 2" xfId="46086" xr:uid="{00000000-0005-0000-0000-0000E8A70000}"/>
    <cellStyle name="Normal 2 6 2 2 2 3 2 4" xfId="33170" xr:uid="{00000000-0005-0000-0000-0000E9A70000}"/>
    <cellStyle name="Normal 2 6 2 2 2 3 3" xfId="10525" xr:uid="{00000000-0005-0000-0000-0000EAA70000}"/>
    <cellStyle name="Normal 2 6 2 2 2 3 3 2" xfId="23442" xr:uid="{00000000-0005-0000-0000-0000EBA70000}"/>
    <cellStyle name="Normal 2 6 2 2 2 3 3 2 2" xfId="49316" xr:uid="{00000000-0005-0000-0000-0000ECA70000}"/>
    <cellStyle name="Normal 2 6 2 2 2 3 3 3" xfId="36400" xr:uid="{00000000-0005-0000-0000-0000EDA70000}"/>
    <cellStyle name="Normal 2 6 2 2 2 3 4" xfId="16984" xr:uid="{00000000-0005-0000-0000-0000EEA70000}"/>
    <cellStyle name="Normal 2 6 2 2 2 3 4 2" xfId="42858" xr:uid="{00000000-0005-0000-0000-0000EFA70000}"/>
    <cellStyle name="Normal 2 6 2 2 2 3 5" xfId="29910" xr:uid="{00000000-0005-0000-0000-0000F0A70000}"/>
    <cellStyle name="Normal 2 6 2 2 2 4" xfId="5680" xr:uid="{00000000-0005-0000-0000-0000F1A70000}"/>
    <cellStyle name="Normal 2 6 2 2 2 4 2" xfId="12139" xr:uid="{00000000-0005-0000-0000-0000F2A70000}"/>
    <cellStyle name="Normal 2 6 2 2 2 4 2 2" xfId="25056" xr:uid="{00000000-0005-0000-0000-0000F3A70000}"/>
    <cellStyle name="Normal 2 6 2 2 2 4 2 2 2" xfId="50930" xr:uid="{00000000-0005-0000-0000-0000F4A70000}"/>
    <cellStyle name="Normal 2 6 2 2 2 4 2 3" xfId="38014" xr:uid="{00000000-0005-0000-0000-0000F5A70000}"/>
    <cellStyle name="Normal 2 6 2 2 2 4 3" xfId="18598" xr:uid="{00000000-0005-0000-0000-0000F6A70000}"/>
    <cellStyle name="Normal 2 6 2 2 2 4 3 2" xfId="44472" xr:uid="{00000000-0005-0000-0000-0000F7A70000}"/>
    <cellStyle name="Normal 2 6 2 2 2 4 4" xfId="31556" xr:uid="{00000000-0005-0000-0000-0000F8A70000}"/>
    <cellStyle name="Normal 2 6 2 2 2 5" xfId="8911" xr:uid="{00000000-0005-0000-0000-0000F9A70000}"/>
    <cellStyle name="Normal 2 6 2 2 2 5 2" xfId="21828" xr:uid="{00000000-0005-0000-0000-0000FAA70000}"/>
    <cellStyle name="Normal 2 6 2 2 2 5 2 2" xfId="47702" xr:uid="{00000000-0005-0000-0000-0000FBA70000}"/>
    <cellStyle name="Normal 2 6 2 2 2 5 3" xfId="34786" xr:uid="{00000000-0005-0000-0000-0000FCA70000}"/>
    <cellStyle name="Normal 2 6 2 2 2 6" xfId="15370" xr:uid="{00000000-0005-0000-0000-0000FDA70000}"/>
    <cellStyle name="Normal 2 6 2 2 2 6 2" xfId="41244" xr:uid="{00000000-0005-0000-0000-0000FEA70000}"/>
    <cellStyle name="Normal 2 6 2 2 2 7" xfId="28296" xr:uid="{00000000-0005-0000-0000-0000FFA70000}"/>
    <cellStyle name="Normal 2 6 2 2 2 8" xfId="54158" xr:uid="{00000000-0005-0000-0000-000000A80000}"/>
    <cellStyle name="Normal 2 6 2 2 2 9" xfId="2400" xr:uid="{00000000-0005-0000-0000-000001A80000}"/>
    <cellStyle name="Normal 2 6 2 2 3" xfId="897" xr:uid="{00000000-0005-0000-0000-000002A80000}"/>
    <cellStyle name="Normal 2 6 2 2 3 2" xfId="4466" xr:uid="{00000000-0005-0000-0000-000003A80000}"/>
    <cellStyle name="Normal 2 6 2 2 3 2 2" xfId="7697" xr:uid="{00000000-0005-0000-0000-000004A80000}"/>
    <cellStyle name="Normal 2 6 2 2 3 2 2 2" xfId="14156" xr:uid="{00000000-0005-0000-0000-000005A80000}"/>
    <cellStyle name="Normal 2 6 2 2 3 2 2 2 2" xfId="27073" xr:uid="{00000000-0005-0000-0000-000006A80000}"/>
    <cellStyle name="Normal 2 6 2 2 3 2 2 2 2 2" xfId="52947" xr:uid="{00000000-0005-0000-0000-000007A80000}"/>
    <cellStyle name="Normal 2 6 2 2 3 2 2 2 3" xfId="40031" xr:uid="{00000000-0005-0000-0000-000008A80000}"/>
    <cellStyle name="Normal 2 6 2 2 3 2 2 3" xfId="20615" xr:uid="{00000000-0005-0000-0000-000009A80000}"/>
    <cellStyle name="Normal 2 6 2 2 3 2 2 3 2" xfId="46489" xr:uid="{00000000-0005-0000-0000-00000AA80000}"/>
    <cellStyle name="Normal 2 6 2 2 3 2 2 4" xfId="33573" xr:uid="{00000000-0005-0000-0000-00000BA80000}"/>
    <cellStyle name="Normal 2 6 2 2 3 2 3" xfId="10928" xr:uid="{00000000-0005-0000-0000-00000CA80000}"/>
    <cellStyle name="Normal 2 6 2 2 3 2 3 2" xfId="23845" xr:uid="{00000000-0005-0000-0000-00000DA80000}"/>
    <cellStyle name="Normal 2 6 2 2 3 2 3 2 2" xfId="49719" xr:uid="{00000000-0005-0000-0000-00000EA80000}"/>
    <cellStyle name="Normal 2 6 2 2 3 2 3 3" xfId="36803" xr:uid="{00000000-0005-0000-0000-00000FA80000}"/>
    <cellStyle name="Normal 2 6 2 2 3 2 4" xfId="17387" xr:uid="{00000000-0005-0000-0000-000010A80000}"/>
    <cellStyle name="Normal 2 6 2 2 3 2 4 2" xfId="43261" xr:uid="{00000000-0005-0000-0000-000011A80000}"/>
    <cellStyle name="Normal 2 6 2 2 3 2 5" xfId="30313" xr:uid="{00000000-0005-0000-0000-000012A80000}"/>
    <cellStyle name="Normal 2 6 2 2 3 3" xfId="6083" xr:uid="{00000000-0005-0000-0000-000013A80000}"/>
    <cellStyle name="Normal 2 6 2 2 3 3 2" xfId="12542" xr:uid="{00000000-0005-0000-0000-000014A80000}"/>
    <cellStyle name="Normal 2 6 2 2 3 3 2 2" xfId="25459" xr:uid="{00000000-0005-0000-0000-000015A80000}"/>
    <cellStyle name="Normal 2 6 2 2 3 3 2 2 2" xfId="51333" xr:uid="{00000000-0005-0000-0000-000016A80000}"/>
    <cellStyle name="Normal 2 6 2 2 3 3 2 3" xfId="38417" xr:uid="{00000000-0005-0000-0000-000017A80000}"/>
    <cellStyle name="Normal 2 6 2 2 3 3 3" xfId="19001" xr:uid="{00000000-0005-0000-0000-000018A80000}"/>
    <cellStyle name="Normal 2 6 2 2 3 3 3 2" xfId="44875" xr:uid="{00000000-0005-0000-0000-000019A80000}"/>
    <cellStyle name="Normal 2 6 2 2 3 3 4" xfId="31959" xr:uid="{00000000-0005-0000-0000-00001AA80000}"/>
    <cellStyle name="Normal 2 6 2 2 3 4" xfId="9314" xr:uid="{00000000-0005-0000-0000-00001BA80000}"/>
    <cellStyle name="Normal 2 6 2 2 3 4 2" xfId="22231" xr:uid="{00000000-0005-0000-0000-00001CA80000}"/>
    <cellStyle name="Normal 2 6 2 2 3 4 2 2" xfId="48105" xr:uid="{00000000-0005-0000-0000-00001DA80000}"/>
    <cellStyle name="Normal 2 6 2 2 3 4 3" xfId="35189" xr:uid="{00000000-0005-0000-0000-00001EA80000}"/>
    <cellStyle name="Normal 2 6 2 2 3 5" xfId="15773" xr:uid="{00000000-0005-0000-0000-00001FA80000}"/>
    <cellStyle name="Normal 2 6 2 2 3 5 2" xfId="41647" xr:uid="{00000000-0005-0000-0000-000020A80000}"/>
    <cellStyle name="Normal 2 6 2 2 3 6" xfId="28699" xr:uid="{00000000-0005-0000-0000-000021A80000}"/>
    <cellStyle name="Normal 2 6 2 2 3 7" xfId="2809" xr:uid="{00000000-0005-0000-0000-000022A80000}"/>
    <cellStyle name="Normal 2 6 2 2 4" xfId="3636" xr:uid="{00000000-0005-0000-0000-000023A80000}"/>
    <cellStyle name="Normal 2 6 2 2 4 2" xfId="6890" xr:uid="{00000000-0005-0000-0000-000024A80000}"/>
    <cellStyle name="Normal 2 6 2 2 4 2 2" xfId="13349" xr:uid="{00000000-0005-0000-0000-000025A80000}"/>
    <cellStyle name="Normal 2 6 2 2 4 2 2 2" xfId="26266" xr:uid="{00000000-0005-0000-0000-000026A80000}"/>
    <cellStyle name="Normal 2 6 2 2 4 2 2 2 2" xfId="52140" xr:uid="{00000000-0005-0000-0000-000027A80000}"/>
    <cellStyle name="Normal 2 6 2 2 4 2 2 3" xfId="39224" xr:uid="{00000000-0005-0000-0000-000028A80000}"/>
    <cellStyle name="Normal 2 6 2 2 4 2 3" xfId="19808" xr:uid="{00000000-0005-0000-0000-000029A80000}"/>
    <cellStyle name="Normal 2 6 2 2 4 2 3 2" xfId="45682" xr:uid="{00000000-0005-0000-0000-00002AA80000}"/>
    <cellStyle name="Normal 2 6 2 2 4 2 4" xfId="32766" xr:uid="{00000000-0005-0000-0000-00002BA80000}"/>
    <cellStyle name="Normal 2 6 2 2 4 3" xfId="10121" xr:uid="{00000000-0005-0000-0000-00002CA80000}"/>
    <cellStyle name="Normal 2 6 2 2 4 3 2" xfId="23038" xr:uid="{00000000-0005-0000-0000-00002DA80000}"/>
    <cellStyle name="Normal 2 6 2 2 4 3 2 2" xfId="48912" xr:uid="{00000000-0005-0000-0000-00002EA80000}"/>
    <cellStyle name="Normal 2 6 2 2 4 3 3" xfId="35996" xr:uid="{00000000-0005-0000-0000-00002FA80000}"/>
    <cellStyle name="Normal 2 6 2 2 4 4" xfId="16580" xr:uid="{00000000-0005-0000-0000-000030A80000}"/>
    <cellStyle name="Normal 2 6 2 2 4 4 2" xfId="42454" xr:uid="{00000000-0005-0000-0000-000031A80000}"/>
    <cellStyle name="Normal 2 6 2 2 4 5" xfId="29506" xr:uid="{00000000-0005-0000-0000-000032A80000}"/>
    <cellStyle name="Normal 2 6 2 2 5" xfId="5276" xr:uid="{00000000-0005-0000-0000-000033A80000}"/>
    <cellStyle name="Normal 2 6 2 2 5 2" xfId="11735" xr:uid="{00000000-0005-0000-0000-000034A80000}"/>
    <cellStyle name="Normal 2 6 2 2 5 2 2" xfId="24652" xr:uid="{00000000-0005-0000-0000-000035A80000}"/>
    <cellStyle name="Normal 2 6 2 2 5 2 2 2" xfId="50526" xr:uid="{00000000-0005-0000-0000-000036A80000}"/>
    <cellStyle name="Normal 2 6 2 2 5 2 3" xfId="37610" xr:uid="{00000000-0005-0000-0000-000037A80000}"/>
    <cellStyle name="Normal 2 6 2 2 5 3" xfId="18194" xr:uid="{00000000-0005-0000-0000-000038A80000}"/>
    <cellStyle name="Normal 2 6 2 2 5 3 2" xfId="44068" xr:uid="{00000000-0005-0000-0000-000039A80000}"/>
    <cellStyle name="Normal 2 6 2 2 5 4" xfId="31152" xr:uid="{00000000-0005-0000-0000-00003AA80000}"/>
    <cellStyle name="Normal 2 6 2 2 6" xfId="8507" xr:uid="{00000000-0005-0000-0000-00003BA80000}"/>
    <cellStyle name="Normal 2 6 2 2 6 2" xfId="21424" xr:uid="{00000000-0005-0000-0000-00003CA80000}"/>
    <cellStyle name="Normal 2 6 2 2 6 2 2" xfId="47298" xr:uid="{00000000-0005-0000-0000-00003DA80000}"/>
    <cellStyle name="Normal 2 6 2 2 6 3" xfId="34382" xr:uid="{00000000-0005-0000-0000-00003EA80000}"/>
    <cellStyle name="Normal 2 6 2 2 7" xfId="14966" xr:uid="{00000000-0005-0000-0000-00003FA80000}"/>
    <cellStyle name="Normal 2 6 2 2 7 2" xfId="40840" xr:uid="{00000000-0005-0000-0000-000040A80000}"/>
    <cellStyle name="Normal 2 6 2 2 8" xfId="27891" xr:uid="{00000000-0005-0000-0000-000041A80000}"/>
    <cellStyle name="Normal 2 6 2 2 9" xfId="53754" xr:uid="{00000000-0005-0000-0000-000042A80000}"/>
    <cellStyle name="Normal 2 6 2 3" xfId="899" xr:uid="{00000000-0005-0000-0000-000043A80000}"/>
    <cellStyle name="Normal 2 6 2 3 2" xfId="3018" xr:uid="{00000000-0005-0000-0000-000044A80000}"/>
    <cellStyle name="Normal 2 6 2 3 2 2" xfId="4675" xr:uid="{00000000-0005-0000-0000-000045A80000}"/>
    <cellStyle name="Normal 2 6 2 3 2 2 2" xfId="7906" xr:uid="{00000000-0005-0000-0000-000046A80000}"/>
    <cellStyle name="Normal 2 6 2 3 2 2 2 2" xfId="14365" xr:uid="{00000000-0005-0000-0000-000047A80000}"/>
    <cellStyle name="Normal 2 6 2 3 2 2 2 2 2" xfId="27282" xr:uid="{00000000-0005-0000-0000-000048A80000}"/>
    <cellStyle name="Normal 2 6 2 3 2 2 2 2 2 2" xfId="53156" xr:uid="{00000000-0005-0000-0000-000049A80000}"/>
    <cellStyle name="Normal 2 6 2 3 2 2 2 2 3" xfId="40240" xr:uid="{00000000-0005-0000-0000-00004AA80000}"/>
    <cellStyle name="Normal 2 6 2 3 2 2 2 3" xfId="20824" xr:uid="{00000000-0005-0000-0000-00004BA80000}"/>
    <cellStyle name="Normal 2 6 2 3 2 2 2 3 2" xfId="46698" xr:uid="{00000000-0005-0000-0000-00004CA80000}"/>
    <cellStyle name="Normal 2 6 2 3 2 2 2 4" xfId="33782" xr:uid="{00000000-0005-0000-0000-00004DA80000}"/>
    <cellStyle name="Normal 2 6 2 3 2 2 3" xfId="11137" xr:uid="{00000000-0005-0000-0000-00004EA80000}"/>
    <cellStyle name="Normal 2 6 2 3 2 2 3 2" xfId="24054" xr:uid="{00000000-0005-0000-0000-00004FA80000}"/>
    <cellStyle name="Normal 2 6 2 3 2 2 3 2 2" xfId="49928" xr:uid="{00000000-0005-0000-0000-000050A80000}"/>
    <cellStyle name="Normal 2 6 2 3 2 2 3 3" xfId="37012" xr:uid="{00000000-0005-0000-0000-000051A80000}"/>
    <cellStyle name="Normal 2 6 2 3 2 2 4" xfId="17596" xr:uid="{00000000-0005-0000-0000-000052A80000}"/>
    <cellStyle name="Normal 2 6 2 3 2 2 4 2" xfId="43470" xr:uid="{00000000-0005-0000-0000-000053A80000}"/>
    <cellStyle name="Normal 2 6 2 3 2 2 5" xfId="30522" xr:uid="{00000000-0005-0000-0000-000054A80000}"/>
    <cellStyle name="Normal 2 6 2 3 2 3" xfId="6292" xr:uid="{00000000-0005-0000-0000-000055A80000}"/>
    <cellStyle name="Normal 2 6 2 3 2 3 2" xfId="12751" xr:uid="{00000000-0005-0000-0000-000056A80000}"/>
    <cellStyle name="Normal 2 6 2 3 2 3 2 2" xfId="25668" xr:uid="{00000000-0005-0000-0000-000057A80000}"/>
    <cellStyle name="Normal 2 6 2 3 2 3 2 2 2" xfId="51542" xr:uid="{00000000-0005-0000-0000-000058A80000}"/>
    <cellStyle name="Normal 2 6 2 3 2 3 2 3" xfId="38626" xr:uid="{00000000-0005-0000-0000-000059A80000}"/>
    <cellStyle name="Normal 2 6 2 3 2 3 3" xfId="19210" xr:uid="{00000000-0005-0000-0000-00005AA80000}"/>
    <cellStyle name="Normal 2 6 2 3 2 3 3 2" xfId="45084" xr:uid="{00000000-0005-0000-0000-00005BA80000}"/>
    <cellStyle name="Normal 2 6 2 3 2 3 4" xfId="32168" xr:uid="{00000000-0005-0000-0000-00005CA80000}"/>
    <cellStyle name="Normal 2 6 2 3 2 4" xfId="9523" xr:uid="{00000000-0005-0000-0000-00005DA80000}"/>
    <cellStyle name="Normal 2 6 2 3 2 4 2" xfId="22440" xr:uid="{00000000-0005-0000-0000-00005EA80000}"/>
    <cellStyle name="Normal 2 6 2 3 2 4 2 2" xfId="48314" xr:uid="{00000000-0005-0000-0000-00005FA80000}"/>
    <cellStyle name="Normal 2 6 2 3 2 4 3" xfId="35398" xr:uid="{00000000-0005-0000-0000-000060A80000}"/>
    <cellStyle name="Normal 2 6 2 3 2 5" xfId="15982" xr:uid="{00000000-0005-0000-0000-000061A80000}"/>
    <cellStyle name="Normal 2 6 2 3 2 5 2" xfId="41856" xr:uid="{00000000-0005-0000-0000-000062A80000}"/>
    <cellStyle name="Normal 2 6 2 3 2 6" xfId="28908" xr:uid="{00000000-0005-0000-0000-000063A80000}"/>
    <cellStyle name="Normal 2 6 2 3 3" xfId="3845" xr:uid="{00000000-0005-0000-0000-000064A80000}"/>
    <cellStyle name="Normal 2 6 2 3 3 2" xfId="7099" xr:uid="{00000000-0005-0000-0000-000065A80000}"/>
    <cellStyle name="Normal 2 6 2 3 3 2 2" xfId="13558" xr:uid="{00000000-0005-0000-0000-000066A80000}"/>
    <cellStyle name="Normal 2 6 2 3 3 2 2 2" xfId="26475" xr:uid="{00000000-0005-0000-0000-000067A80000}"/>
    <cellStyle name="Normal 2 6 2 3 3 2 2 2 2" xfId="52349" xr:uid="{00000000-0005-0000-0000-000068A80000}"/>
    <cellStyle name="Normal 2 6 2 3 3 2 2 3" xfId="39433" xr:uid="{00000000-0005-0000-0000-000069A80000}"/>
    <cellStyle name="Normal 2 6 2 3 3 2 3" xfId="20017" xr:uid="{00000000-0005-0000-0000-00006AA80000}"/>
    <cellStyle name="Normal 2 6 2 3 3 2 3 2" xfId="45891" xr:uid="{00000000-0005-0000-0000-00006BA80000}"/>
    <cellStyle name="Normal 2 6 2 3 3 2 4" xfId="32975" xr:uid="{00000000-0005-0000-0000-00006CA80000}"/>
    <cellStyle name="Normal 2 6 2 3 3 3" xfId="10330" xr:uid="{00000000-0005-0000-0000-00006DA80000}"/>
    <cellStyle name="Normal 2 6 2 3 3 3 2" xfId="23247" xr:uid="{00000000-0005-0000-0000-00006EA80000}"/>
    <cellStyle name="Normal 2 6 2 3 3 3 2 2" xfId="49121" xr:uid="{00000000-0005-0000-0000-00006FA80000}"/>
    <cellStyle name="Normal 2 6 2 3 3 3 3" xfId="36205" xr:uid="{00000000-0005-0000-0000-000070A80000}"/>
    <cellStyle name="Normal 2 6 2 3 3 4" xfId="16789" xr:uid="{00000000-0005-0000-0000-000071A80000}"/>
    <cellStyle name="Normal 2 6 2 3 3 4 2" xfId="42663" xr:uid="{00000000-0005-0000-0000-000072A80000}"/>
    <cellStyle name="Normal 2 6 2 3 3 5" xfId="29715" xr:uid="{00000000-0005-0000-0000-000073A80000}"/>
    <cellStyle name="Normal 2 6 2 3 4" xfId="5485" xr:uid="{00000000-0005-0000-0000-000074A80000}"/>
    <cellStyle name="Normal 2 6 2 3 4 2" xfId="11944" xr:uid="{00000000-0005-0000-0000-000075A80000}"/>
    <cellStyle name="Normal 2 6 2 3 4 2 2" xfId="24861" xr:uid="{00000000-0005-0000-0000-000076A80000}"/>
    <cellStyle name="Normal 2 6 2 3 4 2 2 2" xfId="50735" xr:uid="{00000000-0005-0000-0000-000077A80000}"/>
    <cellStyle name="Normal 2 6 2 3 4 2 3" xfId="37819" xr:uid="{00000000-0005-0000-0000-000078A80000}"/>
    <cellStyle name="Normal 2 6 2 3 4 3" xfId="18403" xr:uid="{00000000-0005-0000-0000-000079A80000}"/>
    <cellStyle name="Normal 2 6 2 3 4 3 2" xfId="44277" xr:uid="{00000000-0005-0000-0000-00007AA80000}"/>
    <cellStyle name="Normal 2 6 2 3 4 4" xfId="31361" xr:uid="{00000000-0005-0000-0000-00007BA80000}"/>
    <cellStyle name="Normal 2 6 2 3 5" xfId="8716" xr:uid="{00000000-0005-0000-0000-00007CA80000}"/>
    <cellStyle name="Normal 2 6 2 3 5 2" xfId="21633" xr:uid="{00000000-0005-0000-0000-00007DA80000}"/>
    <cellStyle name="Normal 2 6 2 3 5 2 2" xfId="47507" xr:uid="{00000000-0005-0000-0000-00007EA80000}"/>
    <cellStyle name="Normal 2 6 2 3 5 3" xfId="34591" xr:uid="{00000000-0005-0000-0000-00007FA80000}"/>
    <cellStyle name="Normal 2 6 2 3 6" xfId="15175" xr:uid="{00000000-0005-0000-0000-000080A80000}"/>
    <cellStyle name="Normal 2 6 2 3 6 2" xfId="41049" xr:uid="{00000000-0005-0000-0000-000081A80000}"/>
    <cellStyle name="Normal 2 6 2 3 7" xfId="28101" xr:uid="{00000000-0005-0000-0000-000082A80000}"/>
    <cellStyle name="Normal 2 6 2 3 8" xfId="53963" xr:uid="{00000000-0005-0000-0000-000083A80000}"/>
    <cellStyle name="Normal 2 6 2 3 9" xfId="2204" xr:uid="{00000000-0005-0000-0000-000084A80000}"/>
    <cellStyle name="Normal 2 6 2 4" xfId="896" xr:uid="{00000000-0005-0000-0000-000085A80000}"/>
    <cellStyle name="Normal 2 6 2 4 2" xfId="4272" xr:uid="{00000000-0005-0000-0000-000086A80000}"/>
    <cellStyle name="Normal 2 6 2 4 2 2" xfId="7503" xr:uid="{00000000-0005-0000-0000-000087A80000}"/>
    <cellStyle name="Normal 2 6 2 4 2 2 2" xfId="13962" xr:uid="{00000000-0005-0000-0000-000088A80000}"/>
    <cellStyle name="Normal 2 6 2 4 2 2 2 2" xfId="26879" xr:uid="{00000000-0005-0000-0000-000089A80000}"/>
    <cellStyle name="Normal 2 6 2 4 2 2 2 2 2" xfId="52753" xr:uid="{00000000-0005-0000-0000-00008AA80000}"/>
    <cellStyle name="Normal 2 6 2 4 2 2 2 3" xfId="39837" xr:uid="{00000000-0005-0000-0000-00008BA80000}"/>
    <cellStyle name="Normal 2 6 2 4 2 2 3" xfId="20421" xr:uid="{00000000-0005-0000-0000-00008CA80000}"/>
    <cellStyle name="Normal 2 6 2 4 2 2 3 2" xfId="46295" xr:uid="{00000000-0005-0000-0000-00008DA80000}"/>
    <cellStyle name="Normal 2 6 2 4 2 2 4" xfId="33379" xr:uid="{00000000-0005-0000-0000-00008EA80000}"/>
    <cellStyle name="Normal 2 6 2 4 2 3" xfId="10734" xr:uid="{00000000-0005-0000-0000-00008FA80000}"/>
    <cellStyle name="Normal 2 6 2 4 2 3 2" xfId="23651" xr:uid="{00000000-0005-0000-0000-000090A80000}"/>
    <cellStyle name="Normal 2 6 2 4 2 3 2 2" xfId="49525" xr:uid="{00000000-0005-0000-0000-000091A80000}"/>
    <cellStyle name="Normal 2 6 2 4 2 3 3" xfId="36609" xr:uid="{00000000-0005-0000-0000-000092A80000}"/>
    <cellStyle name="Normal 2 6 2 4 2 4" xfId="17193" xr:uid="{00000000-0005-0000-0000-000093A80000}"/>
    <cellStyle name="Normal 2 6 2 4 2 4 2" xfId="43067" xr:uid="{00000000-0005-0000-0000-000094A80000}"/>
    <cellStyle name="Normal 2 6 2 4 2 5" xfId="30119" xr:uid="{00000000-0005-0000-0000-000095A80000}"/>
    <cellStyle name="Normal 2 6 2 4 3" xfId="5889" xr:uid="{00000000-0005-0000-0000-000096A80000}"/>
    <cellStyle name="Normal 2 6 2 4 3 2" xfId="12348" xr:uid="{00000000-0005-0000-0000-000097A80000}"/>
    <cellStyle name="Normal 2 6 2 4 3 2 2" xfId="25265" xr:uid="{00000000-0005-0000-0000-000098A80000}"/>
    <cellStyle name="Normal 2 6 2 4 3 2 2 2" xfId="51139" xr:uid="{00000000-0005-0000-0000-000099A80000}"/>
    <cellStyle name="Normal 2 6 2 4 3 2 3" xfId="38223" xr:uid="{00000000-0005-0000-0000-00009AA80000}"/>
    <cellStyle name="Normal 2 6 2 4 3 3" xfId="18807" xr:uid="{00000000-0005-0000-0000-00009BA80000}"/>
    <cellStyle name="Normal 2 6 2 4 3 3 2" xfId="44681" xr:uid="{00000000-0005-0000-0000-00009CA80000}"/>
    <cellStyle name="Normal 2 6 2 4 3 4" xfId="31765" xr:uid="{00000000-0005-0000-0000-00009DA80000}"/>
    <cellStyle name="Normal 2 6 2 4 4" xfId="9120" xr:uid="{00000000-0005-0000-0000-00009EA80000}"/>
    <cellStyle name="Normal 2 6 2 4 4 2" xfId="22037" xr:uid="{00000000-0005-0000-0000-00009FA80000}"/>
    <cellStyle name="Normal 2 6 2 4 4 2 2" xfId="47911" xr:uid="{00000000-0005-0000-0000-0000A0A80000}"/>
    <cellStyle name="Normal 2 6 2 4 4 3" xfId="34995" xr:uid="{00000000-0005-0000-0000-0000A1A80000}"/>
    <cellStyle name="Normal 2 6 2 4 5" xfId="15579" xr:uid="{00000000-0005-0000-0000-0000A2A80000}"/>
    <cellStyle name="Normal 2 6 2 4 5 2" xfId="41453" xr:uid="{00000000-0005-0000-0000-0000A3A80000}"/>
    <cellStyle name="Normal 2 6 2 4 6" xfId="28505" xr:uid="{00000000-0005-0000-0000-0000A4A80000}"/>
    <cellStyle name="Normal 2 6 2 4 7" xfId="2615" xr:uid="{00000000-0005-0000-0000-0000A5A80000}"/>
    <cellStyle name="Normal 2 6 2 5" xfId="3442" xr:uid="{00000000-0005-0000-0000-0000A6A80000}"/>
    <cellStyle name="Normal 2 6 2 5 2" xfId="6696" xr:uid="{00000000-0005-0000-0000-0000A7A80000}"/>
    <cellStyle name="Normal 2 6 2 5 2 2" xfId="13155" xr:uid="{00000000-0005-0000-0000-0000A8A80000}"/>
    <cellStyle name="Normal 2 6 2 5 2 2 2" xfId="26072" xr:uid="{00000000-0005-0000-0000-0000A9A80000}"/>
    <cellStyle name="Normal 2 6 2 5 2 2 2 2" xfId="51946" xr:uid="{00000000-0005-0000-0000-0000AAA80000}"/>
    <cellStyle name="Normal 2 6 2 5 2 2 3" xfId="39030" xr:uid="{00000000-0005-0000-0000-0000ABA80000}"/>
    <cellStyle name="Normal 2 6 2 5 2 3" xfId="19614" xr:uid="{00000000-0005-0000-0000-0000ACA80000}"/>
    <cellStyle name="Normal 2 6 2 5 2 3 2" xfId="45488" xr:uid="{00000000-0005-0000-0000-0000ADA80000}"/>
    <cellStyle name="Normal 2 6 2 5 2 4" xfId="32572" xr:uid="{00000000-0005-0000-0000-0000AEA80000}"/>
    <cellStyle name="Normal 2 6 2 5 3" xfId="9927" xr:uid="{00000000-0005-0000-0000-0000AFA80000}"/>
    <cellStyle name="Normal 2 6 2 5 3 2" xfId="22844" xr:uid="{00000000-0005-0000-0000-0000B0A80000}"/>
    <cellStyle name="Normal 2 6 2 5 3 2 2" xfId="48718" xr:uid="{00000000-0005-0000-0000-0000B1A80000}"/>
    <cellStyle name="Normal 2 6 2 5 3 3" xfId="35802" xr:uid="{00000000-0005-0000-0000-0000B2A80000}"/>
    <cellStyle name="Normal 2 6 2 5 4" xfId="16386" xr:uid="{00000000-0005-0000-0000-0000B3A80000}"/>
    <cellStyle name="Normal 2 6 2 5 4 2" xfId="42260" xr:uid="{00000000-0005-0000-0000-0000B4A80000}"/>
    <cellStyle name="Normal 2 6 2 5 5" xfId="29312" xr:uid="{00000000-0005-0000-0000-0000B5A80000}"/>
    <cellStyle name="Normal 2 6 2 6" xfId="5082" xr:uid="{00000000-0005-0000-0000-0000B6A80000}"/>
    <cellStyle name="Normal 2 6 2 6 2" xfId="11541" xr:uid="{00000000-0005-0000-0000-0000B7A80000}"/>
    <cellStyle name="Normal 2 6 2 6 2 2" xfId="24458" xr:uid="{00000000-0005-0000-0000-0000B8A80000}"/>
    <cellStyle name="Normal 2 6 2 6 2 2 2" xfId="50332" xr:uid="{00000000-0005-0000-0000-0000B9A80000}"/>
    <cellStyle name="Normal 2 6 2 6 2 3" xfId="37416" xr:uid="{00000000-0005-0000-0000-0000BAA80000}"/>
    <cellStyle name="Normal 2 6 2 6 3" xfId="18000" xr:uid="{00000000-0005-0000-0000-0000BBA80000}"/>
    <cellStyle name="Normal 2 6 2 6 3 2" xfId="43874" xr:uid="{00000000-0005-0000-0000-0000BCA80000}"/>
    <cellStyle name="Normal 2 6 2 6 4" xfId="30958" xr:uid="{00000000-0005-0000-0000-0000BDA80000}"/>
    <cellStyle name="Normal 2 6 2 7" xfId="8312" xr:uid="{00000000-0005-0000-0000-0000BEA80000}"/>
    <cellStyle name="Normal 2 6 2 7 2" xfId="21229" xr:uid="{00000000-0005-0000-0000-0000BFA80000}"/>
    <cellStyle name="Normal 2 6 2 7 2 2" xfId="47103" xr:uid="{00000000-0005-0000-0000-0000C0A80000}"/>
    <cellStyle name="Normal 2 6 2 7 3" xfId="34187" xr:uid="{00000000-0005-0000-0000-0000C1A80000}"/>
    <cellStyle name="Normal 2 6 2 8" xfId="14771" xr:uid="{00000000-0005-0000-0000-0000C2A80000}"/>
    <cellStyle name="Normal 2 6 2 8 2" xfId="40645" xr:uid="{00000000-0005-0000-0000-0000C3A80000}"/>
    <cellStyle name="Normal 2 6 2 9" xfId="27695" xr:uid="{00000000-0005-0000-0000-0000C4A80000}"/>
    <cellStyle name="Normal 2 6 3" xfId="335" xr:uid="{00000000-0005-0000-0000-0000C5A80000}"/>
    <cellStyle name="Normal 2 6 3 10" xfId="53526" xr:uid="{00000000-0005-0000-0000-0000C6A80000}"/>
    <cellStyle name="Normal 2 6 3 11" xfId="1609" xr:uid="{00000000-0005-0000-0000-0000C7A80000}"/>
    <cellStyle name="Normal 2 6 3 2" xfId="467" xr:uid="{00000000-0005-0000-0000-0000C8A80000}"/>
    <cellStyle name="Normal 2 6 3 2 10" xfId="1935" xr:uid="{00000000-0005-0000-0000-0000C9A80000}"/>
    <cellStyle name="Normal 2 6 3 2 2" xfId="902" xr:uid="{00000000-0005-0000-0000-0000CAA80000}"/>
    <cellStyle name="Normal 2 6 3 2 2 2" xfId="3179" xr:uid="{00000000-0005-0000-0000-0000CBA80000}"/>
    <cellStyle name="Normal 2 6 3 2 2 2 2" xfId="4836" xr:uid="{00000000-0005-0000-0000-0000CCA80000}"/>
    <cellStyle name="Normal 2 6 3 2 2 2 2 2" xfId="8067" xr:uid="{00000000-0005-0000-0000-0000CDA80000}"/>
    <cellStyle name="Normal 2 6 3 2 2 2 2 2 2" xfId="14526" xr:uid="{00000000-0005-0000-0000-0000CEA80000}"/>
    <cellStyle name="Normal 2 6 3 2 2 2 2 2 2 2" xfId="27443" xr:uid="{00000000-0005-0000-0000-0000CFA80000}"/>
    <cellStyle name="Normal 2 6 3 2 2 2 2 2 2 2 2" xfId="53317" xr:uid="{00000000-0005-0000-0000-0000D0A80000}"/>
    <cellStyle name="Normal 2 6 3 2 2 2 2 2 2 3" xfId="40401" xr:uid="{00000000-0005-0000-0000-0000D1A80000}"/>
    <cellStyle name="Normal 2 6 3 2 2 2 2 2 3" xfId="20985" xr:uid="{00000000-0005-0000-0000-0000D2A80000}"/>
    <cellStyle name="Normal 2 6 3 2 2 2 2 2 3 2" xfId="46859" xr:uid="{00000000-0005-0000-0000-0000D3A80000}"/>
    <cellStyle name="Normal 2 6 3 2 2 2 2 2 4" xfId="33943" xr:uid="{00000000-0005-0000-0000-0000D4A80000}"/>
    <cellStyle name="Normal 2 6 3 2 2 2 2 3" xfId="11298" xr:uid="{00000000-0005-0000-0000-0000D5A80000}"/>
    <cellStyle name="Normal 2 6 3 2 2 2 2 3 2" xfId="24215" xr:uid="{00000000-0005-0000-0000-0000D6A80000}"/>
    <cellStyle name="Normal 2 6 3 2 2 2 2 3 2 2" xfId="50089" xr:uid="{00000000-0005-0000-0000-0000D7A80000}"/>
    <cellStyle name="Normal 2 6 3 2 2 2 2 3 3" xfId="37173" xr:uid="{00000000-0005-0000-0000-0000D8A80000}"/>
    <cellStyle name="Normal 2 6 3 2 2 2 2 4" xfId="17757" xr:uid="{00000000-0005-0000-0000-0000D9A80000}"/>
    <cellStyle name="Normal 2 6 3 2 2 2 2 4 2" xfId="43631" xr:uid="{00000000-0005-0000-0000-0000DAA80000}"/>
    <cellStyle name="Normal 2 6 3 2 2 2 2 5" xfId="30683" xr:uid="{00000000-0005-0000-0000-0000DBA80000}"/>
    <cellStyle name="Normal 2 6 3 2 2 2 3" xfId="6453" xr:uid="{00000000-0005-0000-0000-0000DCA80000}"/>
    <cellStyle name="Normal 2 6 3 2 2 2 3 2" xfId="12912" xr:uid="{00000000-0005-0000-0000-0000DDA80000}"/>
    <cellStyle name="Normal 2 6 3 2 2 2 3 2 2" xfId="25829" xr:uid="{00000000-0005-0000-0000-0000DEA80000}"/>
    <cellStyle name="Normal 2 6 3 2 2 2 3 2 2 2" xfId="51703" xr:uid="{00000000-0005-0000-0000-0000DFA80000}"/>
    <cellStyle name="Normal 2 6 3 2 2 2 3 2 3" xfId="38787" xr:uid="{00000000-0005-0000-0000-0000E0A80000}"/>
    <cellStyle name="Normal 2 6 3 2 2 2 3 3" xfId="19371" xr:uid="{00000000-0005-0000-0000-0000E1A80000}"/>
    <cellStyle name="Normal 2 6 3 2 2 2 3 3 2" xfId="45245" xr:uid="{00000000-0005-0000-0000-0000E2A80000}"/>
    <cellStyle name="Normal 2 6 3 2 2 2 3 4" xfId="32329" xr:uid="{00000000-0005-0000-0000-0000E3A80000}"/>
    <cellStyle name="Normal 2 6 3 2 2 2 4" xfId="9684" xr:uid="{00000000-0005-0000-0000-0000E4A80000}"/>
    <cellStyle name="Normal 2 6 3 2 2 2 4 2" xfId="22601" xr:uid="{00000000-0005-0000-0000-0000E5A80000}"/>
    <cellStyle name="Normal 2 6 3 2 2 2 4 2 2" xfId="48475" xr:uid="{00000000-0005-0000-0000-0000E6A80000}"/>
    <cellStyle name="Normal 2 6 3 2 2 2 4 3" xfId="35559" xr:uid="{00000000-0005-0000-0000-0000E7A80000}"/>
    <cellStyle name="Normal 2 6 3 2 2 2 5" xfId="16143" xr:uid="{00000000-0005-0000-0000-0000E8A80000}"/>
    <cellStyle name="Normal 2 6 3 2 2 2 5 2" xfId="42017" xr:uid="{00000000-0005-0000-0000-0000E9A80000}"/>
    <cellStyle name="Normal 2 6 3 2 2 2 6" xfId="29069" xr:uid="{00000000-0005-0000-0000-0000EAA80000}"/>
    <cellStyle name="Normal 2 6 3 2 2 3" xfId="4006" xr:uid="{00000000-0005-0000-0000-0000EBA80000}"/>
    <cellStyle name="Normal 2 6 3 2 2 3 2" xfId="7260" xr:uid="{00000000-0005-0000-0000-0000ECA80000}"/>
    <cellStyle name="Normal 2 6 3 2 2 3 2 2" xfId="13719" xr:uid="{00000000-0005-0000-0000-0000EDA80000}"/>
    <cellStyle name="Normal 2 6 3 2 2 3 2 2 2" xfId="26636" xr:uid="{00000000-0005-0000-0000-0000EEA80000}"/>
    <cellStyle name="Normal 2 6 3 2 2 3 2 2 2 2" xfId="52510" xr:uid="{00000000-0005-0000-0000-0000EFA80000}"/>
    <cellStyle name="Normal 2 6 3 2 2 3 2 2 3" xfId="39594" xr:uid="{00000000-0005-0000-0000-0000F0A80000}"/>
    <cellStyle name="Normal 2 6 3 2 2 3 2 3" xfId="20178" xr:uid="{00000000-0005-0000-0000-0000F1A80000}"/>
    <cellStyle name="Normal 2 6 3 2 2 3 2 3 2" xfId="46052" xr:uid="{00000000-0005-0000-0000-0000F2A80000}"/>
    <cellStyle name="Normal 2 6 3 2 2 3 2 4" xfId="33136" xr:uid="{00000000-0005-0000-0000-0000F3A80000}"/>
    <cellStyle name="Normal 2 6 3 2 2 3 3" xfId="10491" xr:uid="{00000000-0005-0000-0000-0000F4A80000}"/>
    <cellStyle name="Normal 2 6 3 2 2 3 3 2" xfId="23408" xr:uid="{00000000-0005-0000-0000-0000F5A80000}"/>
    <cellStyle name="Normal 2 6 3 2 2 3 3 2 2" xfId="49282" xr:uid="{00000000-0005-0000-0000-0000F6A80000}"/>
    <cellStyle name="Normal 2 6 3 2 2 3 3 3" xfId="36366" xr:uid="{00000000-0005-0000-0000-0000F7A80000}"/>
    <cellStyle name="Normal 2 6 3 2 2 3 4" xfId="16950" xr:uid="{00000000-0005-0000-0000-0000F8A80000}"/>
    <cellStyle name="Normal 2 6 3 2 2 3 4 2" xfId="42824" xr:uid="{00000000-0005-0000-0000-0000F9A80000}"/>
    <cellStyle name="Normal 2 6 3 2 2 3 5" xfId="29876" xr:uid="{00000000-0005-0000-0000-0000FAA80000}"/>
    <cellStyle name="Normal 2 6 3 2 2 4" xfId="5646" xr:uid="{00000000-0005-0000-0000-0000FBA80000}"/>
    <cellStyle name="Normal 2 6 3 2 2 4 2" xfId="12105" xr:uid="{00000000-0005-0000-0000-0000FCA80000}"/>
    <cellStyle name="Normal 2 6 3 2 2 4 2 2" xfId="25022" xr:uid="{00000000-0005-0000-0000-0000FDA80000}"/>
    <cellStyle name="Normal 2 6 3 2 2 4 2 2 2" xfId="50896" xr:uid="{00000000-0005-0000-0000-0000FEA80000}"/>
    <cellStyle name="Normal 2 6 3 2 2 4 2 3" xfId="37980" xr:uid="{00000000-0005-0000-0000-0000FFA80000}"/>
    <cellStyle name="Normal 2 6 3 2 2 4 3" xfId="18564" xr:uid="{00000000-0005-0000-0000-000000A90000}"/>
    <cellStyle name="Normal 2 6 3 2 2 4 3 2" xfId="44438" xr:uid="{00000000-0005-0000-0000-000001A90000}"/>
    <cellStyle name="Normal 2 6 3 2 2 4 4" xfId="31522" xr:uid="{00000000-0005-0000-0000-000002A90000}"/>
    <cellStyle name="Normal 2 6 3 2 2 5" xfId="8877" xr:uid="{00000000-0005-0000-0000-000003A90000}"/>
    <cellStyle name="Normal 2 6 3 2 2 5 2" xfId="21794" xr:uid="{00000000-0005-0000-0000-000004A90000}"/>
    <cellStyle name="Normal 2 6 3 2 2 5 2 2" xfId="47668" xr:uid="{00000000-0005-0000-0000-000005A90000}"/>
    <cellStyle name="Normal 2 6 3 2 2 5 3" xfId="34752" xr:uid="{00000000-0005-0000-0000-000006A90000}"/>
    <cellStyle name="Normal 2 6 3 2 2 6" xfId="15336" xr:uid="{00000000-0005-0000-0000-000007A90000}"/>
    <cellStyle name="Normal 2 6 3 2 2 6 2" xfId="41210" xr:uid="{00000000-0005-0000-0000-000008A90000}"/>
    <cellStyle name="Normal 2 6 3 2 2 7" xfId="28262" xr:uid="{00000000-0005-0000-0000-000009A90000}"/>
    <cellStyle name="Normal 2 6 3 2 2 8" xfId="54124" xr:uid="{00000000-0005-0000-0000-00000AA90000}"/>
    <cellStyle name="Normal 2 6 3 2 2 9" xfId="2366" xr:uid="{00000000-0005-0000-0000-00000BA90000}"/>
    <cellStyle name="Normal 2 6 3 2 3" xfId="901" xr:uid="{00000000-0005-0000-0000-00000CA90000}"/>
    <cellStyle name="Normal 2 6 3 2 3 2" xfId="4432" xr:uid="{00000000-0005-0000-0000-00000DA90000}"/>
    <cellStyle name="Normal 2 6 3 2 3 2 2" xfId="7663" xr:uid="{00000000-0005-0000-0000-00000EA90000}"/>
    <cellStyle name="Normal 2 6 3 2 3 2 2 2" xfId="14122" xr:uid="{00000000-0005-0000-0000-00000FA90000}"/>
    <cellStyle name="Normal 2 6 3 2 3 2 2 2 2" xfId="27039" xr:uid="{00000000-0005-0000-0000-000010A90000}"/>
    <cellStyle name="Normal 2 6 3 2 3 2 2 2 2 2" xfId="52913" xr:uid="{00000000-0005-0000-0000-000011A90000}"/>
    <cellStyle name="Normal 2 6 3 2 3 2 2 2 3" xfId="39997" xr:uid="{00000000-0005-0000-0000-000012A90000}"/>
    <cellStyle name="Normal 2 6 3 2 3 2 2 3" xfId="20581" xr:uid="{00000000-0005-0000-0000-000013A90000}"/>
    <cellStyle name="Normal 2 6 3 2 3 2 2 3 2" xfId="46455" xr:uid="{00000000-0005-0000-0000-000014A90000}"/>
    <cellStyle name="Normal 2 6 3 2 3 2 2 4" xfId="33539" xr:uid="{00000000-0005-0000-0000-000015A90000}"/>
    <cellStyle name="Normal 2 6 3 2 3 2 3" xfId="10894" xr:uid="{00000000-0005-0000-0000-000016A90000}"/>
    <cellStyle name="Normal 2 6 3 2 3 2 3 2" xfId="23811" xr:uid="{00000000-0005-0000-0000-000017A90000}"/>
    <cellStyle name="Normal 2 6 3 2 3 2 3 2 2" xfId="49685" xr:uid="{00000000-0005-0000-0000-000018A90000}"/>
    <cellStyle name="Normal 2 6 3 2 3 2 3 3" xfId="36769" xr:uid="{00000000-0005-0000-0000-000019A90000}"/>
    <cellStyle name="Normal 2 6 3 2 3 2 4" xfId="17353" xr:uid="{00000000-0005-0000-0000-00001AA90000}"/>
    <cellStyle name="Normal 2 6 3 2 3 2 4 2" xfId="43227" xr:uid="{00000000-0005-0000-0000-00001BA90000}"/>
    <cellStyle name="Normal 2 6 3 2 3 2 5" xfId="30279" xr:uid="{00000000-0005-0000-0000-00001CA90000}"/>
    <cellStyle name="Normal 2 6 3 2 3 3" xfId="6049" xr:uid="{00000000-0005-0000-0000-00001DA90000}"/>
    <cellStyle name="Normal 2 6 3 2 3 3 2" xfId="12508" xr:uid="{00000000-0005-0000-0000-00001EA90000}"/>
    <cellStyle name="Normal 2 6 3 2 3 3 2 2" xfId="25425" xr:uid="{00000000-0005-0000-0000-00001FA90000}"/>
    <cellStyle name="Normal 2 6 3 2 3 3 2 2 2" xfId="51299" xr:uid="{00000000-0005-0000-0000-000020A90000}"/>
    <cellStyle name="Normal 2 6 3 2 3 3 2 3" xfId="38383" xr:uid="{00000000-0005-0000-0000-000021A90000}"/>
    <cellStyle name="Normal 2 6 3 2 3 3 3" xfId="18967" xr:uid="{00000000-0005-0000-0000-000022A90000}"/>
    <cellStyle name="Normal 2 6 3 2 3 3 3 2" xfId="44841" xr:uid="{00000000-0005-0000-0000-000023A90000}"/>
    <cellStyle name="Normal 2 6 3 2 3 3 4" xfId="31925" xr:uid="{00000000-0005-0000-0000-000024A90000}"/>
    <cellStyle name="Normal 2 6 3 2 3 4" xfId="9280" xr:uid="{00000000-0005-0000-0000-000025A90000}"/>
    <cellStyle name="Normal 2 6 3 2 3 4 2" xfId="22197" xr:uid="{00000000-0005-0000-0000-000026A90000}"/>
    <cellStyle name="Normal 2 6 3 2 3 4 2 2" xfId="48071" xr:uid="{00000000-0005-0000-0000-000027A90000}"/>
    <cellStyle name="Normal 2 6 3 2 3 4 3" xfId="35155" xr:uid="{00000000-0005-0000-0000-000028A90000}"/>
    <cellStyle name="Normal 2 6 3 2 3 5" xfId="15739" xr:uid="{00000000-0005-0000-0000-000029A90000}"/>
    <cellStyle name="Normal 2 6 3 2 3 5 2" xfId="41613" xr:uid="{00000000-0005-0000-0000-00002AA90000}"/>
    <cellStyle name="Normal 2 6 3 2 3 6" xfId="28665" xr:uid="{00000000-0005-0000-0000-00002BA90000}"/>
    <cellStyle name="Normal 2 6 3 2 3 7" xfId="2775" xr:uid="{00000000-0005-0000-0000-00002CA90000}"/>
    <cellStyle name="Normal 2 6 3 2 4" xfId="3602" xr:uid="{00000000-0005-0000-0000-00002DA90000}"/>
    <cellStyle name="Normal 2 6 3 2 4 2" xfId="6856" xr:uid="{00000000-0005-0000-0000-00002EA90000}"/>
    <cellStyle name="Normal 2 6 3 2 4 2 2" xfId="13315" xr:uid="{00000000-0005-0000-0000-00002FA90000}"/>
    <cellStyle name="Normal 2 6 3 2 4 2 2 2" xfId="26232" xr:uid="{00000000-0005-0000-0000-000030A90000}"/>
    <cellStyle name="Normal 2 6 3 2 4 2 2 2 2" xfId="52106" xr:uid="{00000000-0005-0000-0000-000031A90000}"/>
    <cellStyle name="Normal 2 6 3 2 4 2 2 3" xfId="39190" xr:uid="{00000000-0005-0000-0000-000032A90000}"/>
    <cellStyle name="Normal 2 6 3 2 4 2 3" xfId="19774" xr:uid="{00000000-0005-0000-0000-000033A90000}"/>
    <cellStyle name="Normal 2 6 3 2 4 2 3 2" xfId="45648" xr:uid="{00000000-0005-0000-0000-000034A90000}"/>
    <cellStyle name="Normal 2 6 3 2 4 2 4" xfId="32732" xr:uid="{00000000-0005-0000-0000-000035A90000}"/>
    <cellStyle name="Normal 2 6 3 2 4 3" xfId="10087" xr:uid="{00000000-0005-0000-0000-000036A90000}"/>
    <cellStyle name="Normal 2 6 3 2 4 3 2" xfId="23004" xr:uid="{00000000-0005-0000-0000-000037A90000}"/>
    <cellStyle name="Normal 2 6 3 2 4 3 2 2" xfId="48878" xr:uid="{00000000-0005-0000-0000-000038A90000}"/>
    <cellStyle name="Normal 2 6 3 2 4 3 3" xfId="35962" xr:uid="{00000000-0005-0000-0000-000039A90000}"/>
    <cellStyle name="Normal 2 6 3 2 4 4" xfId="16546" xr:uid="{00000000-0005-0000-0000-00003AA90000}"/>
    <cellStyle name="Normal 2 6 3 2 4 4 2" xfId="42420" xr:uid="{00000000-0005-0000-0000-00003BA90000}"/>
    <cellStyle name="Normal 2 6 3 2 4 5" xfId="29472" xr:uid="{00000000-0005-0000-0000-00003CA90000}"/>
    <cellStyle name="Normal 2 6 3 2 5" xfId="5242" xr:uid="{00000000-0005-0000-0000-00003DA90000}"/>
    <cellStyle name="Normal 2 6 3 2 5 2" xfId="11701" xr:uid="{00000000-0005-0000-0000-00003EA90000}"/>
    <cellStyle name="Normal 2 6 3 2 5 2 2" xfId="24618" xr:uid="{00000000-0005-0000-0000-00003FA90000}"/>
    <cellStyle name="Normal 2 6 3 2 5 2 2 2" xfId="50492" xr:uid="{00000000-0005-0000-0000-000040A90000}"/>
    <cellStyle name="Normal 2 6 3 2 5 2 3" xfId="37576" xr:uid="{00000000-0005-0000-0000-000041A90000}"/>
    <cellStyle name="Normal 2 6 3 2 5 3" xfId="18160" xr:uid="{00000000-0005-0000-0000-000042A90000}"/>
    <cellStyle name="Normal 2 6 3 2 5 3 2" xfId="44034" xr:uid="{00000000-0005-0000-0000-000043A90000}"/>
    <cellStyle name="Normal 2 6 3 2 5 4" xfId="31118" xr:uid="{00000000-0005-0000-0000-000044A90000}"/>
    <cellStyle name="Normal 2 6 3 2 6" xfId="8473" xr:uid="{00000000-0005-0000-0000-000045A90000}"/>
    <cellStyle name="Normal 2 6 3 2 6 2" xfId="21390" xr:uid="{00000000-0005-0000-0000-000046A90000}"/>
    <cellStyle name="Normal 2 6 3 2 6 2 2" xfId="47264" xr:uid="{00000000-0005-0000-0000-000047A90000}"/>
    <cellStyle name="Normal 2 6 3 2 6 3" xfId="34348" xr:uid="{00000000-0005-0000-0000-000048A90000}"/>
    <cellStyle name="Normal 2 6 3 2 7" xfId="14932" xr:uid="{00000000-0005-0000-0000-000049A90000}"/>
    <cellStyle name="Normal 2 6 3 2 7 2" xfId="40806" xr:uid="{00000000-0005-0000-0000-00004AA90000}"/>
    <cellStyle name="Normal 2 6 3 2 8" xfId="27857" xr:uid="{00000000-0005-0000-0000-00004BA90000}"/>
    <cellStyle name="Normal 2 6 3 2 9" xfId="53720" xr:uid="{00000000-0005-0000-0000-00004CA90000}"/>
    <cellStyle name="Normal 2 6 3 3" xfId="903" xr:uid="{00000000-0005-0000-0000-00004DA90000}"/>
    <cellStyle name="Normal 2 6 3 3 2" xfId="2984" xr:uid="{00000000-0005-0000-0000-00004EA90000}"/>
    <cellStyle name="Normal 2 6 3 3 2 2" xfId="4641" xr:uid="{00000000-0005-0000-0000-00004FA90000}"/>
    <cellStyle name="Normal 2 6 3 3 2 2 2" xfId="7872" xr:uid="{00000000-0005-0000-0000-000050A90000}"/>
    <cellStyle name="Normal 2 6 3 3 2 2 2 2" xfId="14331" xr:uid="{00000000-0005-0000-0000-000051A90000}"/>
    <cellStyle name="Normal 2 6 3 3 2 2 2 2 2" xfId="27248" xr:uid="{00000000-0005-0000-0000-000052A90000}"/>
    <cellStyle name="Normal 2 6 3 3 2 2 2 2 2 2" xfId="53122" xr:uid="{00000000-0005-0000-0000-000053A90000}"/>
    <cellStyle name="Normal 2 6 3 3 2 2 2 2 3" xfId="40206" xr:uid="{00000000-0005-0000-0000-000054A90000}"/>
    <cellStyle name="Normal 2 6 3 3 2 2 2 3" xfId="20790" xr:uid="{00000000-0005-0000-0000-000055A90000}"/>
    <cellStyle name="Normal 2 6 3 3 2 2 2 3 2" xfId="46664" xr:uid="{00000000-0005-0000-0000-000056A90000}"/>
    <cellStyle name="Normal 2 6 3 3 2 2 2 4" xfId="33748" xr:uid="{00000000-0005-0000-0000-000057A90000}"/>
    <cellStyle name="Normal 2 6 3 3 2 2 3" xfId="11103" xr:uid="{00000000-0005-0000-0000-000058A90000}"/>
    <cellStyle name="Normal 2 6 3 3 2 2 3 2" xfId="24020" xr:uid="{00000000-0005-0000-0000-000059A90000}"/>
    <cellStyle name="Normal 2 6 3 3 2 2 3 2 2" xfId="49894" xr:uid="{00000000-0005-0000-0000-00005AA90000}"/>
    <cellStyle name="Normal 2 6 3 3 2 2 3 3" xfId="36978" xr:uid="{00000000-0005-0000-0000-00005BA90000}"/>
    <cellStyle name="Normal 2 6 3 3 2 2 4" xfId="17562" xr:uid="{00000000-0005-0000-0000-00005CA90000}"/>
    <cellStyle name="Normal 2 6 3 3 2 2 4 2" xfId="43436" xr:uid="{00000000-0005-0000-0000-00005DA90000}"/>
    <cellStyle name="Normal 2 6 3 3 2 2 5" xfId="30488" xr:uid="{00000000-0005-0000-0000-00005EA90000}"/>
    <cellStyle name="Normal 2 6 3 3 2 3" xfId="6258" xr:uid="{00000000-0005-0000-0000-00005FA90000}"/>
    <cellStyle name="Normal 2 6 3 3 2 3 2" xfId="12717" xr:uid="{00000000-0005-0000-0000-000060A90000}"/>
    <cellStyle name="Normal 2 6 3 3 2 3 2 2" xfId="25634" xr:uid="{00000000-0005-0000-0000-000061A90000}"/>
    <cellStyle name="Normal 2 6 3 3 2 3 2 2 2" xfId="51508" xr:uid="{00000000-0005-0000-0000-000062A90000}"/>
    <cellStyle name="Normal 2 6 3 3 2 3 2 3" xfId="38592" xr:uid="{00000000-0005-0000-0000-000063A90000}"/>
    <cellStyle name="Normal 2 6 3 3 2 3 3" xfId="19176" xr:uid="{00000000-0005-0000-0000-000064A90000}"/>
    <cellStyle name="Normal 2 6 3 3 2 3 3 2" xfId="45050" xr:uid="{00000000-0005-0000-0000-000065A90000}"/>
    <cellStyle name="Normal 2 6 3 3 2 3 4" xfId="32134" xr:uid="{00000000-0005-0000-0000-000066A90000}"/>
    <cellStyle name="Normal 2 6 3 3 2 4" xfId="9489" xr:uid="{00000000-0005-0000-0000-000067A90000}"/>
    <cellStyle name="Normal 2 6 3 3 2 4 2" xfId="22406" xr:uid="{00000000-0005-0000-0000-000068A90000}"/>
    <cellStyle name="Normal 2 6 3 3 2 4 2 2" xfId="48280" xr:uid="{00000000-0005-0000-0000-000069A90000}"/>
    <cellStyle name="Normal 2 6 3 3 2 4 3" xfId="35364" xr:uid="{00000000-0005-0000-0000-00006AA90000}"/>
    <cellStyle name="Normal 2 6 3 3 2 5" xfId="15948" xr:uid="{00000000-0005-0000-0000-00006BA90000}"/>
    <cellStyle name="Normal 2 6 3 3 2 5 2" xfId="41822" xr:uid="{00000000-0005-0000-0000-00006CA90000}"/>
    <cellStyle name="Normal 2 6 3 3 2 6" xfId="28874" xr:uid="{00000000-0005-0000-0000-00006DA90000}"/>
    <cellStyle name="Normal 2 6 3 3 3" xfId="3811" xr:uid="{00000000-0005-0000-0000-00006EA90000}"/>
    <cellStyle name="Normal 2 6 3 3 3 2" xfId="7065" xr:uid="{00000000-0005-0000-0000-00006FA90000}"/>
    <cellStyle name="Normal 2 6 3 3 3 2 2" xfId="13524" xr:uid="{00000000-0005-0000-0000-000070A90000}"/>
    <cellStyle name="Normal 2 6 3 3 3 2 2 2" xfId="26441" xr:uid="{00000000-0005-0000-0000-000071A90000}"/>
    <cellStyle name="Normal 2 6 3 3 3 2 2 2 2" xfId="52315" xr:uid="{00000000-0005-0000-0000-000072A90000}"/>
    <cellStyle name="Normal 2 6 3 3 3 2 2 3" xfId="39399" xr:uid="{00000000-0005-0000-0000-000073A90000}"/>
    <cellStyle name="Normal 2 6 3 3 3 2 3" xfId="19983" xr:uid="{00000000-0005-0000-0000-000074A90000}"/>
    <cellStyle name="Normal 2 6 3 3 3 2 3 2" xfId="45857" xr:uid="{00000000-0005-0000-0000-000075A90000}"/>
    <cellStyle name="Normal 2 6 3 3 3 2 4" xfId="32941" xr:uid="{00000000-0005-0000-0000-000076A90000}"/>
    <cellStyle name="Normal 2 6 3 3 3 3" xfId="10296" xr:uid="{00000000-0005-0000-0000-000077A90000}"/>
    <cellStyle name="Normal 2 6 3 3 3 3 2" xfId="23213" xr:uid="{00000000-0005-0000-0000-000078A90000}"/>
    <cellStyle name="Normal 2 6 3 3 3 3 2 2" xfId="49087" xr:uid="{00000000-0005-0000-0000-000079A90000}"/>
    <cellStyle name="Normal 2 6 3 3 3 3 3" xfId="36171" xr:uid="{00000000-0005-0000-0000-00007AA90000}"/>
    <cellStyle name="Normal 2 6 3 3 3 4" xfId="16755" xr:uid="{00000000-0005-0000-0000-00007BA90000}"/>
    <cellStyle name="Normal 2 6 3 3 3 4 2" xfId="42629" xr:uid="{00000000-0005-0000-0000-00007CA90000}"/>
    <cellStyle name="Normal 2 6 3 3 3 5" xfId="29681" xr:uid="{00000000-0005-0000-0000-00007DA90000}"/>
    <cellStyle name="Normal 2 6 3 3 4" xfId="5451" xr:uid="{00000000-0005-0000-0000-00007EA90000}"/>
    <cellStyle name="Normal 2 6 3 3 4 2" xfId="11910" xr:uid="{00000000-0005-0000-0000-00007FA90000}"/>
    <cellStyle name="Normal 2 6 3 3 4 2 2" xfId="24827" xr:uid="{00000000-0005-0000-0000-000080A90000}"/>
    <cellStyle name="Normal 2 6 3 3 4 2 2 2" xfId="50701" xr:uid="{00000000-0005-0000-0000-000081A90000}"/>
    <cellStyle name="Normal 2 6 3 3 4 2 3" xfId="37785" xr:uid="{00000000-0005-0000-0000-000082A90000}"/>
    <cellStyle name="Normal 2 6 3 3 4 3" xfId="18369" xr:uid="{00000000-0005-0000-0000-000083A90000}"/>
    <cellStyle name="Normal 2 6 3 3 4 3 2" xfId="44243" xr:uid="{00000000-0005-0000-0000-000084A90000}"/>
    <cellStyle name="Normal 2 6 3 3 4 4" xfId="31327" xr:uid="{00000000-0005-0000-0000-000085A90000}"/>
    <cellStyle name="Normal 2 6 3 3 5" xfId="8682" xr:uid="{00000000-0005-0000-0000-000086A90000}"/>
    <cellStyle name="Normal 2 6 3 3 5 2" xfId="21599" xr:uid="{00000000-0005-0000-0000-000087A90000}"/>
    <cellStyle name="Normal 2 6 3 3 5 2 2" xfId="47473" xr:uid="{00000000-0005-0000-0000-000088A90000}"/>
    <cellStyle name="Normal 2 6 3 3 5 3" xfId="34557" xr:uid="{00000000-0005-0000-0000-000089A90000}"/>
    <cellStyle name="Normal 2 6 3 3 6" xfId="15141" xr:uid="{00000000-0005-0000-0000-00008AA90000}"/>
    <cellStyle name="Normal 2 6 3 3 6 2" xfId="41015" xr:uid="{00000000-0005-0000-0000-00008BA90000}"/>
    <cellStyle name="Normal 2 6 3 3 7" xfId="28067" xr:uid="{00000000-0005-0000-0000-00008CA90000}"/>
    <cellStyle name="Normal 2 6 3 3 8" xfId="53929" xr:uid="{00000000-0005-0000-0000-00008DA90000}"/>
    <cellStyle name="Normal 2 6 3 3 9" xfId="2170" xr:uid="{00000000-0005-0000-0000-00008EA90000}"/>
    <cellStyle name="Normal 2 6 3 4" xfId="900" xr:uid="{00000000-0005-0000-0000-00008FA90000}"/>
    <cellStyle name="Normal 2 6 3 4 2" xfId="4238" xr:uid="{00000000-0005-0000-0000-000090A90000}"/>
    <cellStyle name="Normal 2 6 3 4 2 2" xfId="7469" xr:uid="{00000000-0005-0000-0000-000091A90000}"/>
    <cellStyle name="Normal 2 6 3 4 2 2 2" xfId="13928" xr:uid="{00000000-0005-0000-0000-000092A90000}"/>
    <cellStyle name="Normal 2 6 3 4 2 2 2 2" xfId="26845" xr:uid="{00000000-0005-0000-0000-000093A90000}"/>
    <cellStyle name="Normal 2 6 3 4 2 2 2 2 2" xfId="52719" xr:uid="{00000000-0005-0000-0000-000094A90000}"/>
    <cellStyle name="Normal 2 6 3 4 2 2 2 3" xfId="39803" xr:uid="{00000000-0005-0000-0000-000095A90000}"/>
    <cellStyle name="Normal 2 6 3 4 2 2 3" xfId="20387" xr:uid="{00000000-0005-0000-0000-000096A90000}"/>
    <cellStyle name="Normal 2 6 3 4 2 2 3 2" xfId="46261" xr:uid="{00000000-0005-0000-0000-000097A90000}"/>
    <cellStyle name="Normal 2 6 3 4 2 2 4" xfId="33345" xr:uid="{00000000-0005-0000-0000-000098A90000}"/>
    <cellStyle name="Normal 2 6 3 4 2 3" xfId="10700" xr:uid="{00000000-0005-0000-0000-000099A90000}"/>
    <cellStyle name="Normal 2 6 3 4 2 3 2" xfId="23617" xr:uid="{00000000-0005-0000-0000-00009AA90000}"/>
    <cellStyle name="Normal 2 6 3 4 2 3 2 2" xfId="49491" xr:uid="{00000000-0005-0000-0000-00009BA90000}"/>
    <cellStyle name="Normal 2 6 3 4 2 3 3" xfId="36575" xr:uid="{00000000-0005-0000-0000-00009CA90000}"/>
    <cellStyle name="Normal 2 6 3 4 2 4" xfId="17159" xr:uid="{00000000-0005-0000-0000-00009DA90000}"/>
    <cellStyle name="Normal 2 6 3 4 2 4 2" xfId="43033" xr:uid="{00000000-0005-0000-0000-00009EA90000}"/>
    <cellStyle name="Normal 2 6 3 4 2 5" xfId="30085" xr:uid="{00000000-0005-0000-0000-00009FA90000}"/>
    <cellStyle name="Normal 2 6 3 4 3" xfId="5855" xr:uid="{00000000-0005-0000-0000-0000A0A90000}"/>
    <cellStyle name="Normal 2 6 3 4 3 2" xfId="12314" xr:uid="{00000000-0005-0000-0000-0000A1A90000}"/>
    <cellStyle name="Normal 2 6 3 4 3 2 2" xfId="25231" xr:uid="{00000000-0005-0000-0000-0000A2A90000}"/>
    <cellStyle name="Normal 2 6 3 4 3 2 2 2" xfId="51105" xr:uid="{00000000-0005-0000-0000-0000A3A90000}"/>
    <cellStyle name="Normal 2 6 3 4 3 2 3" xfId="38189" xr:uid="{00000000-0005-0000-0000-0000A4A90000}"/>
    <cellStyle name="Normal 2 6 3 4 3 3" xfId="18773" xr:uid="{00000000-0005-0000-0000-0000A5A90000}"/>
    <cellStyle name="Normal 2 6 3 4 3 3 2" xfId="44647" xr:uid="{00000000-0005-0000-0000-0000A6A90000}"/>
    <cellStyle name="Normal 2 6 3 4 3 4" xfId="31731" xr:uid="{00000000-0005-0000-0000-0000A7A90000}"/>
    <cellStyle name="Normal 2 6 3 4 4" xfId="9086" xr:uid="{00000000-0005-0000-0000-0000A8A90000}"/>
    <cellStyle name="Normal 2 6 3 4 4 2" xfId="22003" xr:uid="{00000000-0005-0000-0000-0000A9A90000}"/>
    <cellStyle name="Normal 2 6 3 4 4 2 2" xfId="47877" xr:uid="{00000000-0005-0000-0000-0000AAA90000}"/>
    <cellStyle name="Normal 2 6 3 4 4 3" xfId="34961" xr:uid="{00000000-0005-0000-0000-0000ABA90000}"/>
    <cellStyle name="Normal 2 6 3 4 5" xfId="15545" xr:uid="{00000000-0005-0000-0000-0000ACA90000}"/>
    <cellStyle name="Normal 2 6 3 4 5 2" xfId="41419" xr:uid="{00000000-0005-0000-0000-0000ADA90000}"/>
    <cellStyle name="Normal 2 6 3 4 6" xfId="28471" xr:uid="{00000000-0005-0000-0000-0000AEA90000}"/>
    <cellStyle name="Normal 2 6 3 4 7" xfId="2581" xr:uid="{00000000-0005-0000-0000-0000AFA90000}"/>
    <cellStyle name="Normal 2 6 3 5" xfId="3407" xr:uid="{00000000-0005-0000-0000-0000B0A90000}"/>
    <cellStyle name="Normal 2 6 3 5 2" xfId="6662" xr:uid="{00000000-0005-0000-0000-0000B1A90000}"/>
    <cellStyle name="Normal 2 6 3 5 2 2" xfId="13121" xr:uid="{00000000-0005-0000-0000-0000B2A90000}"/>
    <cellStyle name="Normal 2 6 3 5 2 2 2" xfId="26038" xr:uid="{00000000-0005-0000-0000-0000B3A90000}"/>
    <cellStyle name="Normal 2 6 3 5 2 2 2 2" xfId="51912" xr:uid="{00000000-0005-0000-0000-0000B4A90000}"/>
    <cellStyle name="Normal 2 6 3 5 2 2 3" xfId="38996" xr:uid="{00000000-0005-0000-0000-0000B5A90000}"/>
    <cellStyle name="Normal 2 6 3 5 2 3" xfId="19580" xr:uid="{00000000-0005-0000-0000-0000B6A90000}"/>
    <cellStyle name="Normal 2 6 3 5 2 3 2" xfId="45454" xr:uid="{00000000-0005-0000-0000-0000B7A90000}"/>
    <cellStyle name="Normal 2 6 3 5 2 4" xfId="32538" xr:uid="{00000000-0005-0000-0000-0000B8A90000}"/>
    <cellStyle name="Normal 2 6 3 5 3" xfId="9893" xr:uid="{00000000-0005-0000-0000-0000B9A90000}"/>
    <cellStyle name="Normal 2 6 3 5 3 2" xfId="22810" xr:uid="{00000000-0005-0000-0000-0000BAA90000}"/>
    <cellStyle name="Normal 2 6 3 5 3 2 2" xfId="48684" xr:uid="{00000000-0005-0000-0000-0000BBA90000}"/>
    <cellStyle name="Normal 2 6 3 5 3 3" xfId="35768" xr:uid="{00000000-0005-0000-0000-0000BCA90000}"/>
    <cellStyle name="Normal 2 6 3 5 4" xfId="16352" xr:uid="{00000000-0005-0000-0000-0000BDA90000}"/>
    <cellStyle name="Normal 2 6 3 5 4 2" xfId="42226" xr:uid="{00000000-0005-0000-0000-0000BEA90000}"/>
    <cellStyle name="Normal 2 6 3 5 5" xfId="29278" xr:uid="{00000000-0005-0000-0000-0000BFA90000}"/>
    <cellStyle name="Normal 2 6 3 6" xfId="5048" xr:uid="{00000000-0005-0000-0000-0000C0A90000}"/>
    <cellStyle name="Normal 2 6 3 6 2" xfId="11507" xr:uid="{00000000-0005-0000-0000-0000C1A90000}"/>
    <cellStyle name="Normal 2 6 3 6 2 2" xfId="24424" xr:uid="{00000000-0005-0000-0000-0000C2A90000}"/>
    <cellStyle name="Normal 2 6 3 6 2 2 2" xfId="50298" xr:uid="{00000000-0005-0000-0000-0000C3A90000}"/>
    <cellStyle name="Normal 2 6 3 6 2 3" xfId="37382" xr:uid="{00000000-0005-0000-0000-0000C4A90000}"/>
    <cellStyle name="Normal 2 6 3 6 3" xfId="17966" xr:uid="{00000000-0005-0000-0000-0000C5A90000}"/>
    <cellStyle name="Normal 2 6 3 6 3 2" xfId="43840" xr:uid="{00000000-0005-0000-0000-0000C6A90000}"/>
    <cellStyle name="Normal 2 6 3 6 4" xfId="30924" xr:uid="{00000000-0005-0000-0000-0000C7A90000}"/>
    <cellStyle name="Normal 2 6 3 7" xfId="8278" xr:uid="{00000000-0005-0000-0000-0000C8A90000}"/>
    <cellStyle name="Normal 2 6 3 7 2" xfId="21195" xr:uid="{00000000-0005-0000-0000-0000C9A90000}"/>
    <cellStyle name="Normal 2 6 3 7 2 2" xfId="47069" xr:uid="{00000000-0005-0000-0000-0000CAA90000}"/>
    <cellStyle name="Normal 2 6 3 7 3" xfId="34153" xr:uid="{00000000-0005-0000-0000-0000CBA90000}"/>
    <cellStyle name="Normal 2 6 3 8" xfId="14737" xr:uid="{00000000-0005-0000-0000-0000CCA90000}"/>
    <cellStyle name="Normal 2 6 3 8 2" xfId="40611" xr:uid="{00000000-0005-0000-0000-0000CDA90000}"/>
    <cellStyle name="Normal 2 6 3 9" xfId="27661" xr:uid="{00000000-0005-0000-0000-0000CEA90000}"/>
    <cellStyle name="Normal 2 6 4" xfId="212" xr:uid="{00000000-0005-0000-0000-0000CFA90000}"/>
    <cellStyle name="Normal 2 6 4 10" xfId="1917" xr:uid="{00000000-0005-0000-0000-0000D0A90000}"/>
    <cellStyle name="Normal 2 6 4 2" xfId="406" xr:uid="{00000000-0005-0000-0000-0000D1A90000}"/>
    <cellStyle name="Normal 2 6 4 2 2" xfId="906" xr:uid="{00000000-0005-0000-0000-0000D2A90000}"/>
    <cellStyle name="Normal 2 6 4 2 2 2" xfId="4818" xr:uid="{00000000-0005-0000-0000-0000D3A90000}"/>
    <cellStyle name="Normal 2 6 4 2 2 2 2" xfId="8049" xr:uid="{00000000-0005-0000-0000-0000D4A90000}"/>
    <cellStyle name="Normal 2 6 4 2 2 2 2 2" xfId="14508" xr:uid="{00000000-0005-0000-0000-0000D5A90000}"/>
    <cellStyle name="Normal 2 6 4 2 2 2 2 2 2" xfId="27425" xr:uid="{00000000-0005-0000-0000-0000D6A90000}"/>
    <cellStyle name="Normal 2 6 4 2 2 2 2 2 2 2" xfId="53299" xr:uid="{00000000-0005-0000-0000-0000D7A90000}"/>
    <cellStyle name="Normal 2 6 4 2 2 2 2 2 3" xfId="40383" xr:uid="{00000000-0005-0000-0000-0000D8A90000}"/>
    <cellStyle name="Normal 2 6 4 2 2 2 2 3" xfId="20967" xr:uid="{00000000-0005-0000-0000-0000D9A90000}"/>
    <cellStyle name="Normal 2 6 4 2 2 2 2 3 2" xfId="46841" xr:uid="{00000000-0005-0000-0000-0000DAA90000}"/>
    <cellStyle name="Normal 2 6 4 2 2 2 2 4" xfId="33925" xr:uid="{00000000-0005-0000-0000-0000DBA90000}"/>
    <cellStyle name="Normal 2 6 4 2 2 2 3" xfId="11280" xr:uid="{00000000-0005-0000-0000-0000DCA90000}"/>
    <cellStyle name="Normal 2 6 4 2 2 2 3 2" xfId="24197" xr:uid="{00000000-0005-0000-0000-0000DDA90000}"/>
    <cellStyle name="Normal 2 6 4 2 2 2 3 2 2" xfId="50071" xr:uid="{00000000-0005-0000-0000-0000DEA90000}"/>
    <cellStyle name="Normal 2 6 4 2 2 2 3 3" xfId="37155" xr:uid="{00000000-0005-0000-0000-0000DFA90000}"/>
    <cellStyle name="Normal 2 6 4 2 2 2 4" xfId="17739" xr:uid="{00000000-0005-0000-0000-0000E0A90000}"/>
    <cellStyle name="Normal 2 6 4 2 2 2 4 2" xfId="43613" xr:uid="{00000000-0005-0000-0000-0000E1A90000}"/>
    <cellStyle name="Normal 2 6 4 2 2 2 5" xfId="30665" xr:uid="{00000000-0005-0000-0000-0000E2A90000}"/>
    <cellStyle name="Normal 2 6 4 2 2 3" xfId="6435" xr:uid="{00000000-0005-0000-0000-0000E3A90000}"/>
    <cellStyle name="Normal 2 6 4 2 2 3 2" xfId="12894" xr:uid="{00000000-0005-0000-0000-0000E4A90000}"/>
    <cellStyle name="Normal 2 6 4 2 2 3 2 2" xfId="25811" xr:uid="{00000000-0005-0000-0000-0000E5A90000}"/>
    <cellStyle name="Normal 2 6 4 2 2 3 2 2 2" xfId="51685" xr:uid="{00000000-0005-0000-0000-0000E6A90000}"/>
    <cellStyle name="Normal 2 6 4 2 2 3 2 3" xfId="38769" xr:uid="{00000000-0005-0000-0000-0000E7A90000}"/>
    <cellStyle name="Normal 2 6 4 2 2 3 3" xfId="19353" xr:uid="{00000000-0005-0000-0000-0000E8A90000}"/>
    <cellStyle name="Normal 2 6 4 2 2 3 3 2" xfId="45227" xr:uid="{00000000-0005-0000-0000-0000E9A90000}"/>
    <cellStyle name="Normal 2 6 4 2 2 3 4" xfId="32311" xr:uid="{00000000-0005-0000-0000-0000EAA90000}"/>
    <cellStyle name="Normal 2 6 4 2 2 4" xfId="9666" xr:uid="{00000000-0005-0000-0000-0000EBA90000}"/>
    <cellStyle name="Normal 2 6 4 2 2 4 2" xfId="22583" xr:uid="{00000000-0005-0000-0000-0000ECA90000}"/>
    <cellStyle name="Normal 2 6 4 2 2 4 2 2" xfId="48457" xr:uid="{00000000-0005-0000-0000-0000EDA90000}"/>
    <cellStyle name="Normal 2 6 4 2 2 4 3" xfId="35541" xr:uid="{00000000-0005-0000-0000-0000EEA90000}"/>
    <cellStyle name="Normal 2 6 4 2 2 5" xfId="16125" xr:uid="{00000000-0005-0000-0000-0000EFA90000}"/>
    <cellStyle name="Normal 2 6 4 2 2 5 2" xfId="41999" xr:uid="{00000000-0005-0000-0000-0000F0A90000}"/>
    <cellStyle name="Normal 2 6 4 2 2 6" xfId="29051" xr:uid="{00000000-0005-0000-0000-0000F1A90000}"/>
    <cellStyle name="Normal 2 6 4 2 2 7" xfId="3161" xr:uid="{00000000-0005-0000-0000-0000F2A90000}"/>
    <cellStyle name="Normal 2 6 4 2 3" xfId="905" xr:uid="{00000000-0005-0000-0000-0000F3A90000}"/>
    <cellStyle name="Normal 2 6 4 2 3 2" xfId="7242" xr:uid="{00000000-0005-0000-0000-0000F4A90000}"/>
    <cellStyle name="Normal 2 6 4 2 3 2 2" xfId="13701" xr:uid="{00000000-0005-0000-0000-0000F5A90000}"/>
    <cellStyle name="Normal 2 6 4 2 3 2 2 2" xfId="26618" xr:uid="{00000000-0005-0000-0000-0000F6A90000}"/>
    <cellStyle name="Normal 2 6 4 2 3 2 2 2 2" xfId="52492" xr:uid="{00000000-0005-0000-0000-0000F7A90000}"/>
    <cellStyle name="Normal 2 6 4 2 3 2 2 3" xfId="39576" xr:uid="{00000000-0005-0000-0000-0000F8A90000}"/>
    <cellStyle name="Normal 2 6 4 2 3 2 3" xfId="20160" xr:uid="{00000000-0005-0000-0000-0000F9A90000}"/>
    <cellStyle name="Normal 2 6 4 2 3 2 3 2" xfId="46034" xr:uid="{00000000-0005-0000-0000-0000FAA90000}"/>
    <cellStyle name="Normal 2 6 4 2 3 2 4" xfId="33118" xr:uid="{00000000-0005-0000-0000-0000FBA90000}"/>
    <cellStyle name="Normal 2 6 4 2 3 3" xfId="10473" xr:uid="{00000000-0005-0000-0000-0000FCA90000}"/>
    <cellStyle name="Normal 2 6 4 2 3 3 2" xfId="23390" xr:uid="{00000000-0005-0000-0000-0000FDA90000}"/>
    <cellStyle name="Normal 2 6 4 2 3 3 2 2" xfId="49264" xr:uid="{00000000-0005-0000-0000-0000FEA90000}"/>
    <cellStyle name="Normal 2 6 4 2 3 3 3" xfId="36348" xr:uid="{00000000-0005-0000-0000-0000FFA90000}"/>
    <cellStyle name="Normal 2 6 4 2 3 4" xfId="16932" xr:uid="{00000000-0005-0000-0000-000000AA0000}"/>
    <cellStyle name="Normal 2 6 4 2 3 4 2" xfId="42806" xr:uid="{00000000-0005-0000-0000-000001AA0000}"/>
    <cellStyle name="Normal 2 6 4 2 3 5" xfId="29858" xr:uid="{00000000-0005-0000-0000-000002AA0000}"/>
    <cellStyle name="Normal 2 6 4 2 3 6" xfId="3988" xr:uid="{00000000-0005-0000-0000-000003AA0000}"/>
    <cellStyle name="Normal 2 6 4 2 4" xfId="5628" xr:uid="{00000000-0005-0000-0000-000004AA0000}"/>
    <cellStyle name="Normal 2 6 4 2 4 2" xfId="12087" xr:uid="{00000000-0005-0000-0000-000005AA0000}"/>
    <cellStyle name="Normal 2 6 4 2 4 2 2" xfId="25004" xr:uid="{00000000-0005-0000-0000-000006AA0000}"/>
    <cellStyle name="Normal 2 6 4 2 4 2 2 2" xfId="50878" xr:uid="{00000000-0005-0000-0000-000007AA0000}"/>
    <cellStyle name="Normal 2 6 4 2 4 2 3" xfId="37962" xr:uid="{00000000-0005-0000-0000-000008AA0000}"/>
    <cellStyle name="Normal 2 6 4 2 4 3" xfId="18546" xr:uid="{00000000-0005-0000-0000-000009AA0000}"/>
    <cellStyle name="Normal 2 6 4 2 4 3 2" xfId="44420" xr:uid="{00000000-0005-0000-0000-00000AAA0000}"/>
    <cellStyle name="Normal 2 6 4 2 4 4" xfId="31504" xr:uid="{00000000-0005-0000-0000-00000BAA0000}"/>
    <cellStyle name="Normal 2 6 4 2 5" xfId="8859" xr:uid="{00000000-0005-0000-0000-00000CAA0000}"/>
    <cellStyle name="Normal 2 6 4 2 5 2" xfId="21776" xr:uid="{00000000-0005-0000-0000-00000DAA0000}"/>
    <cellStyle name="Normal 2 6 4 2 5 2 2" xfId="47650" xr:uid="{00000000-0005-0000-0000-00000EAA0000}"/>
    <cellStyle name="Normal 2 6 4 2 5 3" xfId="34734" xr:uid="{00000000-0005-0000-0000-00000FAA0000}"/>
    <cellStyle name="Normal 2 6 4 2 6" xfId="15318" xr:uid="{00000000-0005-0000-0000-000010AA0000}"/>
    <cellStyle name="Normal 2 6 4 2 6 2" xfId="41192" xr:uid="{00000000-0005-0000-0000-000011AA0000}"/>
    <cellStyle name="Normal 2 6 4 2 7" xfId="28244" xr:uid="{00000000-0005-0000-0000-000012AA0000}"/>
    <cellStyle name="Normal 2 6 4 2 8" xfId="54106" xr:uid="{00000000-0005-0000-0000-000013AA0000}"/>
    <cellStyle name="Normal 2 6 4 2 9" xfId="2348" xr:uid="{00000000-0005-0000-0000-000014AA0000}"/>
    <cellStyle name="Normal 2 6 4 3" xfId="907" xr:uid="{00000000-0005-0000-0000-000015AA0000}"/>
    <cellStyle name="Normal 2 6 4 3 2" xfId="4414" xr:uid="{00000000-0005-0000-0000-000016AA0000}"/>
    <cellStyle name="Normal 2 6 4 3 2 2" xfId="7645" xr:uid="{00000000-0005-0000-0000-000017AA0000}"/>
    <cellStyle name="Normal 2 6 4 3 2 2 2" xfId="14104" xr:uid="{00000000-0005-0000-0000-000018AA0000}"/>
    <cellStyle name="Normal 2 6 4 3 2 2 2 2" xfId="27021" xr:uid="{00000000-0005-0000-0000-000019AA0000}"/>
    <cellStyle name="Normal 2 6 4 3 2 2 2 2 2" xfId="52895" xr:uid="{00000000-0005-0000-0000-00001AAA0000}"/>
    <cellStyle name="Normal 2 6 4 3 2 2 2 3" xfId="39979" xr:uid="{00000000-0005-0000-0000-00001BAA0000}"/>
    <cellStyle name="Normal 2 6 4 3 2 2 3" xfId="20563" xr:uid="{00000000-0005-0000-0000-00001CAA0000}"/>
    <cellStyle name="Normal 2 6 4 3 2 2 3 2" xfId="46437" xr:uid="{00000000-0005-0000-0000-00001DAA0000}"/>
    <cellStyle name="Normal 2 6 4 3 2 2 4" xfId="33521" xr:uid="{00000000-0005-0000-0000-00001EAA0000}"/>
    <cellStyle name="Normal 2 6 4 3 2 3" xfId="10876" xr:uid="{00000000-0005-0000-0000-00001FAA0000}"/>
    <cellStyle name="Normal 2 6 4 3 2 3 2" xfId="23793" xr:uid="{00000000-0005-0000-0000-000020AA0000}"/>
    <cellStyle name="Normal 2 6 4 3 2 3 2 2" xfId="49667" xr:uid="{00000000-0005-0000-0000-000021AA0000}"/>
    <cellStyle name="Normal 2 6 4 3 2 3 3" xfId="36751" xr:uid="{00000000-0005-0000-0000-000022AA0000}"/>
    <cellStyle name="Normal 2 6 4 3 2 4" xfId="17335" xr:uid="{00000000-0005-0000-0000-000023AA0000}"/>
    <cellStyle name="Normal 2 6 4 3 2 4 2" xfId="43209" xr:uid="{00000000-0005-0000-0000-000024AA0000}"/>
    <cellStyle name="Normal 2 6 4 3 2 5" xfId="30261" xr:uid="{00000000-0005-0000-0000-000025AA0000}"/>
    <cellStyle name="Normal 2 6 4 3 3" xfId="6031" xr:uid="{00000000-0005-0000-0000-000026AA0000}"/>
    <cellStyle name="Normal 2 6 4 3 3 2" xfId="12490" xr:uid="{00000000-0005-0000-0000-000027AA0000}"/>
    <cellStyle name="Normal 2 6 4 3 3 2 2" xfId="25407" xr:uid="{00000000-0005-0000-0000-000028AA0000}"/>
    <cellStyle name="Normal 2 6 4 3 3 2 2 2" xfId="51281" xr:uid="{00000000-0005-0000-0000-000029AA0000}"/>
    <cellStyle name="Normal 2 6 4 3 3 2 3" xfId="38365" xr:uid="{00000000-0005-0000-0000-00002AAA0000}"/>
    <cellStyle name="Normal 2 6 4 3 3 3" xfId="18949" xr:uid="{00000000-0005-0000-0000-00002BAA0000}"/>
    <cellStyle name="Normal 2 6 4 3 3 3 2" xfId="44823" xr:uid="{00000000-0005-0000-0000-00002CAA0000}"/>
    <cellStyle name="Normal 2 6 4 3 3 4" xfId="31907" xr:uid="{00000000-0005-0000-0000-00002DAA0000}"/>
    <cellStyle name="Normal 2 6 4 3 4" xfId="9262" xr:uid="{00000000-0005-0000-0000-00002EAA0000}"/>
    <cellStyle name="Normal 2 6 4 3 4 2" xfId="22179" xr:uid="{00000000-0005-0000-0000-00002FAA0000}"/>
    <cellStyle name="Normal 2 6 4 3 4 2 2" xfId="48053" xr:uid="{00000000-0005-0000-0000-000030AA0000}"/>
    <cellStyle name="Normal 2 6 4 3 4 3" xfId="35137" xr:uid="{00000000-0005-0000-0000-000031AA0000}"/>
    <cellStyle name="Normal 2 6 4 3 5" xfId="15721" xr:uid="{00000000-0005-0000-0000-000032AA0000}"/>
    <cellStyle name="Normal 2 6 4 3 5 2" xfId="41595" xr:uid="{00000000-0005-0000-0000-000033AA0000}"/>
    <cellStyle name="Normal 2 6 4 3 6" xfId="28647" xr:uid="{00000000-0005-0000-0000-000034AA0000}"/>
    <cellStyle name="Normal 2 6 4 3 7" xfId="2757" xr:uid="{00000000-0005-0000-0000-000035AA0000}"/>
    <cellStyle name="Normal 2 6 4 4" xfId="904" xr:uid="{00000000-0005-0000-0000-000036AA0000}"/>
    <cellStyle name="Normal 2 6 4 4 2" xfId="6838" xr:uid="{00000000-0005-0000-0000-000037AA0000}"/>
    <cellStyle name="Normal 2 6 4 4 2 2" xfId="13297" xr:uid="{00000000-0005-0000-0000-000038AA0000}"/>
    <cellStyle name="Normal 2 6 4 4 2 2 2" xfId="26214" xr:uid="{00000000-0005-0000-0000-000039AA0000}"/>
    <cellStyle name="Normal 2 6 4 4 2 2 2 2" xfId="52088" xr:uid="{00000000-0005-0000-0000-00003AAA0000}"/>
    <cellStyle name="Normal 2 6 4 4 2 2 3" xfId="39172" xr:uid="{00000000-0005-0000-0000-00003BAA0000}"/>
    <cellStyle name="Normal 2 6 4 4 2 3" xfId="19756" xr:uid="{00000000-0005-0000-0000-00003CAA0000}"/>
    <cellStyle name="Normal 2 6 4 4 2 3 2" xfId="45630" xr:uid="{00000000-0005-0000-0000-00003DAA0000}"/>
    <cellStyle name="Normal 2 6 4 4 2 4" xfId="32714" xr:uid="{00000000-0005-0000-0000-00003EAA0000}"/>
    <cellStyle name="Normal 2 6 4 4 3" xfId="10069" xr:uid="{00000000-0005-0000-0000-00003FAA0000}"/>
    <cellStyle name="Normal 2 6 4 4 3 2" xfId="22986" xr:uid="{00000000-0005-0000-0000-000040AA0000}"/>
    <cellStyle name="Normal 2 6 4 4 3 2 2" xfId="48860" xr:uid="{00000000-0005-0000-0000-000041AA0000}"/>
    <cellStyle name="Normal 2 6 4 4 3 3" xfId="35944" xr:uid="{00000000-0005-0000-0000-000042AA0000}"/>
    <cellStyle name="Normal 2 6 4 4 4" xfId="16528" xr:uid="{00000000-0005-0000-0000-000043AA0000}"/>
    <cellStyle name="Normal 2 6 4 4 4 2" xfId="42402" xr:uid="{00000000-0005-0000-0000-000044AA0000}"/>
    <cellStyle name="Normal 2 6 4 4 5" xfId="29454" xr:uid="{00000000-0005-0000-0000-000045AA0000}"/>
    <cellStyle name="Normal 2 6 4 4 6" xfId="3584" xr:uid="{00000000-0005-0000-0000-000046AA0000}"/>
    <cellStyle name="Normal 2 6 4 5" xfId="5224" xr:uid="{00000000-0005-0000-0000-000047AA0000}"/>
    <cellStyle name="Normal 2 6 4 5 2" xfId="11683" xr:uid="{00000000-0005-0000-0000-000048AA0000}"/>
    <cellStyle name="Normal 2 6 4 5 2 2" xfId="24600" xr:uid="{00000000-0005-0000-0000-000049AA0000}"/>
    <cellStyle name="Normal 2 6 4 5 2 2 2" xfId="50474" xr:uid="{00000000-0005-0000-0000-00004AAA0000}"/>
    <cellStyle name="Normal 2 6 4 5 2 3" xfId="37558" xr:uid="{00000000-0005-0000-0000-00004BAA0000}"/>
    <cellStyle name="Normal 2 6 4 5 3" xfId="18142" xr:uid="{00000000-0005-0000-0000-00004CAA0000}"/>
    <cellStyle name="Normal 2 6 4 5 3 2" xfId="44016" xr:uid="{00000000-0005-0000-0000-00004DAA0000}"/>
    <cellStyle name="Normal 2 6 4 5 4" xfId="31100" xr:uid="{00000000-0005-0000-0000-00004EAA0000}"/>
    <cellStyle name="Normal 2 6 4 6" xfId="8455" xr:uid="{00000000-0005-0000-0000-00004FAA0000}"/>
    <cellStyle name="Normal 2 6 4 6 2" xfId="21372" xr:uid="{00000000-0005-0000-0000-000050AA0000}"/>
    <cellStyle name="Normal 2 6 4 6 2 2" xfId="47246" xr:uid="{00000000-0005-0000-0000-000051AA0000}"/>
    <cellStyle name="Normal 2 6 4 6 3" xfId="34330" xr:uid="{00000000-0005-0000-0000-000052AA0000}"/>
    <cellStyle name="Normal 2 6 4 7" xfId="14914" xr:uid="{00000000-0005-0000-0000-000053AA0000}"/>
    <cellStyle name="Normal 2 6 4 7 2" xfId="40788" xr:uid="{00000000-0005-0000-0000-000054AA0000}"/>
    <cellStyle name="Normal 2 6 4 8" xfId="27839" xr:uid="{00000000-0005-0000-0000-000055AA0000}"/>
    <cellStyle name="Normal 2 6 4 9" xfId="53702" xr:uid="{00000000-0005-0000-0000-000056AA0000}"/>
    <cellStyle name="Normal 2 6 5" xfId="386" xr:uid="{00000000-0005-0000-0000-000057AA0000}"/>
    <cellStyle name="Normal 2 6 5 2" xfId="909" xr:uid="{00000000-0005-0000-0000-000058AA0000}"/>
    <cellStyle name="Normal 2 6 5 2 2" xfId="4623" xr:uid="{00000000-0005-0000-0000-000059AA0000}"/>
    <cellStyle name="Normal 2 6 5 2 2 2" xfId="7854" xr:uid="{00000000-0005-0000-0000-00005AAA0000}"/>
    <cellStyle name="Normal 2 6 5 2 2 2 2" xfId="14313" xr:uid="{00000000-0005-0000-0000-00005BAA0000}"/>
    <cellStyle name="Normal 2 6 5 2 2 2 2 2" xfId="27230" xr:uid="{00000000-0005-0000-0000-00005CAA0000}"/>
    <cellStyle name="Normal 2 6 5 2 2 2 2 2 2" xfId="53104" xr:uid="{00000000-0005-0000-0000-00005DAA0000}"/>
    <cellStyle name="Normal 2 6 5 2 2 2 2 3" xfId="40188" xr:uid="{00000000-0005-0000-0000-00005EAA0000}"/>
    <cellStyle name="Normal 2 6 5 2 2 2 3" xfId="20772" xr:uid="{00000000-0005-0000-0000-00005FAA0000}"/>
    <cellStyle name="Normal 2 6 5 2 2 2 3 2" xfId="46646" xr:uid="{00000000-0005-0000-0000-000060AA0000}"/>
    <cellStyle name="Normal 2 6 5 2 2 2 4" xfId="33730" xr:uid="{00000000-0005-0000-0000-000061AA0000}"/>
    <cellStyle name="Normal 2 6 5 2 2 3" xfId="11085" xr:uid="{00000000-0005-0000-0000-000062AA0000}"/>
    <cellStyle name="Normal 2 6 5 2 2 3 2" xfId="24002" xr:uid="{00000000-0005-0000-0000-000063AA0000}"/>
    <cellStyle name="Normal 2 6 5 2 2 3 2 2" xfId="49876" xr:uid="{00000000-0005-0000-0000-000064AA0000}"/>
    <cellStyle name="Normal 2 6 5 2 2 3 3" xfId="36960" xr:uid="{00000000-0005-0000-0000-000065AA0000}"/>
    <cellStyle name="Normal 2 6 5 2 2 4" xfId="17544" xr:uid="{00000000-0005-0000-0000-000066AA0000}"/>
    <cellStyle name="Normal 2 6 5 2 2 4 2" xfId="43418" xr:uid="{00000000-0005-0000-0000-000067AA0000}"/>
    <cellStyle name="Normal 2 6 5 2 2 5" xfId="30470" xr:uid="{00000000-0005-0000-0000-000068AA0000}"/>
    <cellStyle name="Normal 2 6 5 2 3" xfId="6240" xr:uid="{00000000-0005-0000-0000-000069AA0000}"/>
    <cellStyle name="Normal 2 6 5 2 3 2" xfId="12699" xr:uid="{00000000-0005-0000-0000-00006AAA0000}"/>
    <cellStyle name="Normal 2 6 5 2 3 2 2" xfId="25616" xr:uid="{00000000-0005-0000-0000-00006BAA0000}"/>
    <cellStyle name="Normal 2 6 5 2 3 2 2 2" xfId="51490" xr:uid="{00000000-0005-0000-0000-00006CAA0000}"/>
    <cellStyle name="Normal 2 6 5 2 3 2 3" xfId="38574" xr:uid="{00000000-0005-0000-0000-00006DAA0000}"/>
    <cellStyle name="Normal 2 6 5 2 3 3" xfId="19158" xr:uid="{00000000-0005-0000-0000-00006EAA0000}"/>
    <cellStyle name="Normal 2 6 5 2 3 3 2" xfId="45032" xr:uid="{00000000-0005-0000-0000-00006FAA0000}"/>
    <cellStyle name="Normal 2 6 5 2 3 4" xfId="32116" xr:uid="{00000000-0005-0000-0000-000070AA0000}"/>
    <cellStyle name="Normal 2 6 5 2 4" xfId="9471" xr:uid="{00000000-0005-0000-0000-000071AA0000}"/>
    <cellStyle name="Normal 2 6 5 2 4 2" xfId="22388" xr:uid="{00000000-0005-0000-0000-000072AA0000}"/>
    <cellStyle name="Normal 2 6 5 2 4 2 2" xfId="48262" xr:uid="{00000000-0005-0000-0000-000073AA0000}"/>
    <cellStyle name="Normal 2 6 5 2 4 3" xfId="35346" xr:uid="{00000000-0005-0000-0000-000074AA0000}"/>
    <cellStyle name="Normal 2 6 5 2 5" xfId="15930" xr:uid="{00000000-0005-0000-0000-000075AA0000}"/>
    <cellStyle name="Normal 2 6 5 2 5 2" xfId="41804" xr:uid="{00000000-0005-0000-0000-000076AA0000}"/>
    <cellStyle name="Normal 2 6 5 2 6" xfId="28856" xr:uid="{00000000-0005-0000-0000-000077AA0000}"/>
    <cellStyle name="Normal 2 6 5 2 7" xfId="2966" xr:uid="{00000000-0005-0000-0000-000078AA0000}"/>
    <cellStyle name="Normal 2 6 5 3" xfId="908" xr:uid="{00000000-0005-0000-0000-000079AA0000}"/>
    <cellStyle name="Normal 2 6 5 3 2" xfId="7047" xr:uid="{00000000-0005-0000-0000-00007AAA0000}"/>
    <cellStyle name="Normal 2 6 5 3 2 2" xfId="13506" xr:uid="{00000000-0005-0000-0000-00007BAA0000}"/>
    <cellStyle name="Normal 2 6 5 3 2 2 2" xfId="26423" xr:uid="{00000000-0005-0000-0000-00007CAA0000}"/>
    <cellStyle name="Normal 2 6 5 3 2 2 2 2" xfId="52297" xr:uid="{00000000-0005-0000-0000-00007DAA0000}"/>
    <cellStyle name="Normal 2 6 5 3 2 2 3" xfId="39381" xr:uid="{00000000-0005-0000-0000-00007EAA0000}"/>
    <cellStyle name="Normal 2 6 5 3 2 3" xfId="19965" xr:uid="{00000000-0005-0000-0000-00007FAA0000}"/>
    <cellStyle name="Normal 2 6 5 3 2 3 2" xfId="45839" xr:uid="{00000000-0005-0000-0000-000080AA0000}"/>
    <cellStyle name="Normal 2 6 5 3 2 4" xfId="32923" xr:uid="{00000000-0005-0000-0000-000081AA0000}"/>
    <cellStyle name="Normal 2 6 5 3 3" xfId="10278" xr:uid="{00000000-0005-0000-0000-000082AA0000}"/>
    <cellStyle name="Normal 2 6 5 3 3 2" xfId="23195" xr:uid="{00000000-0005-0000-0000-000083AA0000}"/>
    <cellStyle name="Normal 2 6 5 3 3 2 2" xfId="49069" xr:uid="{00000000-0005-0000-0000-000084AA0000}"/>
    <cellStyle name="Normal 2 6 5 3 3 3" xfId="36153" xr:uid="{00000000-0005-0000-0000-000085AA0000}"/>
    <cellStyle name="Normal 2 6 5 3 4" xfId="16737" xr:uid="{00000000-0005-0000-0000-000086AA0000}"/>
    <cellStyle name="Normal 2 6 5 3 4 2" xfId="42611" xr:uid="{00000000-0005-0000-0000-000087AA0000}"/>
    <cellStyle name="Normal 2 6 5 3 5" xfId="29663" xr:uid="{00000000-0005-0000-0000-000088AA0000}"/>
    <cellStyle name="Normal 2 6 5 3 6" xfId="3793" xr:uid="{00000000-0005-0000-0000-000089AA0000}"/>
    <cellStyle name="Normal 2 6 5 4" xfId="5433" xr:uid="{00000000-0005-0000-0000-00008AAA0000}"/>
    <cellStyle name="Normal 2 6 5 4 2" xfId="11892" xr:uid="{00000000-0005-0000-0000-00008BAA0000}"/>
    <cellStyle name="Normal 2 6 5 4 2 2" xfId="24809" xr:uid="{00000000-0005-0000-0000-00008CAA0000}"/>
    <cellStyle name="Normal 2 6 5 4 2 2 2" xfId="50683" xr:uid="{00000000-0005-0000-0000-00008DAA0000}"/>
    <cellStyle name="Normal 2 6 5 4 2 3" xfId="37767" xr:uid="{00000000-0005-0000-0000-00008EAA0000}"/>
    <cellStyle name="Normal 2 6 5 4 3" xfId="18351" xr:uid="{00000000-0005-0000-0000-00008FAA0000}"/>
    <cellStyle name="Normal 2 6 5 4 3 2" xfId="44225" xr:uid="{00000000-0005-0000-0000-000090AA0000}"/>
    <cellStyle name="Normal 2 6 5 4 4" xfId="31309" xr:uid="{00000000-0005-0000-0000-000091AA0000}"/>
    <cellStyle name="Normal 2 6 5 5" xfId="8664" xr:uid="{00000000-0005-0000-0000-000092AA0000}"/>
    <cellStyle name="Normal 2 6 5 5 2" xfId="21581" xr:uid="{00000000-0005-0000-0000-000093AA0000}"/>
    <cellStyle name="Normal 2 6 5 5 2 2" xfId="47455" xr:uid="{00000000-0005-0000-0000-000094AA0000}"/>
    <cellStyle name="Normal 2 6 5 5 3" xfId="34539" xr:uid="{00000000-0005-0000-0000-000095AA0000}"/>
    <cellStyle name="Normal 2 6 5 6" xfId="15123" xr:uid="{00000000-0005-0000-0000-000096AA0000}"/>
    <cellStyle name="Normal 2 6 5 6 2" xfId="40997" xr:uid="{00000000-0005-0000-0000-000097AA0000}"/>
    <cellStyle name="Normal 2 6 5 7" xfId="28049" xr:uid="{00000000-0005-0000-0000-000098AA0000}"/>
    <cellStyle name="Normal 2 6 5 8" xfId="53911" xr:uid="{00000000-0005-0000-0000-000099AA0000}"/>
    <cellStyle name="Normal 2 6 5 9" xfId="2152" xr:uid="{00000000-0005-0000-0000-00009AAA0000}"/>
    <cellStyle name="Normal 2 6 6" xfId="910" xr:uid="{00000000-0005-0000-0000-00009BAA0000}"/>
    <cellStyle name="Normal 2 6 6 2" xfId="4220" xr:uid="{00000000-0005-0000-0000-00009CAA0000}"/>
    <cellStyle name="Normal 2 6 6 2 2" xfId="7451" xr:uid="{00000000-0005-0000-0000-00009DAA0000}"/>
    <cellStyle name="Normal 2 6 6 2 2 2" xfId="13910" xr:uid="{00000000-0005-0000-0000-00009EAA0000}"/>
    <cellStyle name="Normal 2 6 6 2 2 2 2" xfId="26827" xr:uid="{00000000-0005-0000-0000-00009FAA0000}"/>
    <cellStyle name="Normal 2 6 6 2 2 2 2 2" xfId="52701" xr:uid="{00000000-0005-0000-0000-0000A0AA0000}"/>
    <cellStyle name="Normal 2 6 6 2 2 2 3" xfId="39785" xr:uid="{00000000-0005-0000-0000-0000A1AA0000}"/>
    <cellStyle name="Normal 2 6 6 2 2 3" xfId="20369" xr:uid="{00000000-0005-0000-0000-0000A2AA0000}"/>
    <cellStyle name="Normal 2 6 6 2 2 3 2" xfId="46243" xr:uid="{00000000-0005-0000-0000-0000A3AA0000}"/>
    <cellStyle name="Normal 2 6 6 2 2 4" xfId="33327" xr:uid="{00000000-0005-0000-0000-0000A4AA0000}"/>
    <cellStyle name="Normal 2 6 6 2 3" xfId="10682" xr:uid="{00000000-0005-0000-0000-0000A5AA0000}"/>
    <cellStyle name="Normal 2 6 6 2 3 2" xfId="23599" xr:uid="{00000000-0005-0000-0000-0000A6AA0000}"/>
    <cellStyle name="Normal 2 6 6 2 3 2 2" xfId="49473" xr:uid="{00000000-0005-0000-0000-0000A7AA0000}"/>
    <cellStyle name="Normal 2 6 6 2 3 3" xfId="36557" xr:uid="{00000000-0005-0000-0000-0000A8AA0000}"/>
    <cellStyle name="Normal 2 6 6 2 4" xfId="17141" xr:uid="{00000000-0005-0000-0000-0000A9AA0000}"/>
    <cellStyle name="Normal 2 6 6 2 4 2" xfId="43015" xr:uid="{00000000-0005-0000-0000-0000AAAA0000}"/>
    <cellStyle name="Normal 2 6 6 2 5" xfId="30067" xr:uid="{00000000-0005-0000-0000-0000ABAA0000}"/>
    <cellStyle name="Normal 2 6 6 3" xfId="5837" xr:uid="{00000000-0005-0000-0000-0000ACAA0000}"/>
    <cellStyle name="Normal 2 6 6 3 2" xfId="12296" xr:uid="{00000000-0005-0000-0000-0000ADAA0000}"/>
    <cellStyle name="Normal 2 6 6 3 2 2" xfId="25213" xr:uid="{00000000-0005-0000-0000-0000AEAA0000}"/>
    <cellStyle name="Normal 2 6 6 3 2 2 2" xfId="51087" xr:uid="{00000000-0005-0000-0000-0000AFAA0000}"/>
    <cellStyle name="Normal 2 6 6 3 2 3" xfId="38171" xr:uid="{00000000-0005-0000-0000-0000B0AA0000}"/>
    <cellStyle name="Normal 2 6 6 3 3" xfId="18755" xr:uid="{00000000-0005-0000-0000-0000B1AA0000}"/>
    <cellStyle name="Normal 2 6 6 3 3 2" xfId="44629" xr:uid="{00000000-0005-0000-0000-0000B2AA0000}"/>
    <cellStyle name="Normal 2 6 6 3 4" xfId="31713" xr:uid="{00000000-0005-0000-0000-0000B3AA0000}"/>
    <cellStyle name="Normal 2 6 6 4" xfId="9068" xr:uid="{00000000-0005-0000-0000-0000B4AA0000}"/>
    <cellStyle name="Normal 2 6 6 4 2" xfId="21985" xr:uid="{00000000-0005-0000-0000-0000B5AA0000}"/>
    <cellStyle name="Normal 2 6 6 4 2 2" xfId="47859" xr:uid="{00000000-0005-0000-0000-0000B6AA0000}"/>
    <cellStyle name="Normal 2 6 6 4 3" xfId="34943" xr:uid="{00000000-0005-0000-0000-0000B7AA0000}"/>
    <cellStyle name="Normal 2 6 6 5" xfId="15527" xr:uid="{00000000-0005-0000-0000-0000B8AA0000}"/>
    <cellStyle name="Normal 2 6 6 5 2" xfId="41401" xr:uid="{00000000-0005-0000-0000-0000B9AA0000}"/>
    <cellStyle name="Normal 2 6 6 6" xfId="28453" xr:uid="{00000000-0005-0000-0000-0000BAAA0000}"/>
    <cellStyle name="Normal 2 6 6 7" xfId="2563" xr:uid="{00000000-0005-0000-0000-0000BBAA0000}"/>
    <cellStyle name="Normal 2 6 7" xfId="895" xr:uid="{00000000-0005-0000-0000-0000BCAA0000}"/>
    <cellStyle name="Normal 2 6 7 2" xfId="6644" xr:uid="{00000000-0005-0000-0000-0000BDAA0000}"/>
    <cellStyle name="Normal 2 6 7 2 2" xfId="13103" xr:uid="{00000000-0005-0000-0000-0000BEAA0000}"/>
    <cellStyle name="Normal 2 6 7 2 2 2" xfId="26020" xr:uid="{00000000-0005-0000-0000-0000BFAA0000}"/>
    <cellStyle name="Normal 2 6 7 2 2 2 2" xfId="51894" xr:uid="{00000000-0005-0000-0000-0000C0AA0000}"/>
    <cellStyle name="Normal 2 6 7 2 2 3" xfId="38978" xr:uid="{00000000-0005-0000-0000-0000C1AA0000}"/>
    <cellStyle name="Normal 2 6 7 2 3" xfId="19562" xr:uid="{00000000-0005-0000-0000-0000C2AA0000}"/>
    <cellStyle name="Normal 2 6 7 2 3 2" xfId="45436" xr:uid="{00000000-0005-0000-0000-0000C3AA0000}"/>
    <cellStyle name="Normal 2 6 7 2 4" xfId="32520" xr:uid="{00000000-0005-0000-0000-0000C4AA0000}"/>
    <cellStyle name="Normal 2 6 7 3" xfId="9875" xr:uid="{00000000-0005-0000-0000-0000C5AA0000}"/>
    <cellStyle name="Normal 2 6 7 3 2" xfId="22792" xr:uid="{00000000-0005-0000-0000-0000C6AA0000}"/>
    <cellStyle name="Normal 2 6 7 3 2 2" xfId="48666" xr:uid="{00000000-0005-0000-0000-0000C7AA0000}"/>
    <cellStyle name="Normal 2 6 7 3 3" xfId="35750" xr:uid="{00000000-0005-0000-0000-0000C8AA0000}"/>
    <cellStyle name="Normal 2 6 7 4" xfId="16334" xr:uid="{00000000-0005-0000-0000-0000C9AA0000}"/>
    <cellStyle name="Normal 2 6 7 4 2" xfId="42208" xr:uid="{00000000-0005-0000-0000-0000CAAA0000}"/>
    <cellStyle name="Normal 2 6 7 5" xfId="29260" xr:uid="{00000000-0005-0000-0000-0000CBAA0000}"/>
    <cellStyle name="Normal 2 6 7 6" xfId="3388" xr:uid="{00000000-0005-0000-0000-0000CCAA0000}"/>
    <cellStyle name="Normal 2 6 8" xfId="5030" xr:uid="{00000000-0005-0000-0000-0000CDAA0000}"/>
    <cellStyle name="Normal 2 6 8 2" xfId="11489" xr:uid="{00000000-0005-0000-0000-0000CEAA0000}"/>
    <cellStyle name="Normal 2 6 8 2 2" xfId="24406" xr:uid="{00000000-0005-0000-0000-0000CFAA0000}"/>
    <cellStyle name="Normal 2 6 8 2 2 2" xfId="50280" xr:uid="{00000000-0005-0000-0000-0000D0AA0000}"/>
    <cellStyle name="Normal 2 6 8 2 3" xfId="37364" xr:uid="{00000000-0005-0000-0000-0000D1AA0000}"/>
    <cellStyle name="Normal 2 6 8 3" xfId="17948" xr:uid="{00000000-0005-0000-0000-0000D2AA0000}"/>
    <cellStyle name="Normal 2 6 8 3 2" xfId="43822" xr:uid="{00000000-0005-0000-0000-0000D3AA0000}"/>
    <cellStyle name="Normal 2 6 8 4" xfId="30906" xr:uid="{00000000-0005-0000-0000-0000D4AA0000}"/>
    <cellStyle name="Normal 2 6 9" xfId="8260" xr:uid="{00000000-0005-0000-0000-0000D5AA0000}"/>
    <cellStyle name="Normal 2 6 9 2" xfId="21177" xr:uid="{00000000-0005-0000-0000-0000D6AA0000}"/>
    <cellStyle name="Normal 2 6 9 2 2" xfId="47051" xr:uid="{00000000-0005-0000-0000-0000D7AA0000}"/>
    <cellStyle name="Normal 2 6 9 3" xfId="34135" xr:uid="{00000000-0005-0000-0000-0000D8AA0000}"/>
    <cellStyle name="Normal 2 7" xfId="370" xr:uid="{00000000-0005-0000-0000-0000D9AA0000}"/>
    <cellStyle name="Normal 2 7 2" xfId="911" xr:uid="{00000000-0005-0000-0000-0000DAAA0000}"/>
    <cellStyle name="Normal 2 8" xfId="1782" xr:uid="{00000000-0005-0000-0000-0000DBAA0000}"/>
    <cellStyle name="Normal 2 8 2" xfId="2275" xr:uid="{00000000-0005-0000-0000-0000DCAA0000}"/>
    <cellStyle name="Normal 2 8 2 2" xfId="3089" xr:uid="{00000000-0005-0000-0000-0000DDAA0000}"/>
    <cellStyle name="Normal 2 8 2 2 2" xfId="4746" xr:uid="{00000000-0005-0000-0000-0000DEAA0000}"/>
    <cellStyle name="Normal 2 8 2 2 2 2" xfId="7977" xr:uid="{00000000-0005-0000-0000-0000DFAA0000}"/>
    <cellStyle name="Normal 2 8 2 2 2 2 2" xfId="14436" xr:uid="{00000000-0005-0000-0000-0000E0AA0000}"/>
    <cellStyle name="Normal 2 8 2 2 2 2 2 2" xfId="27353" xr:uid="{00000000-0005-0000-0000-0000E1AA0000}"/>
    <cellStyle name="Normal 2 8 2 2 2 2 2 2 2" xfId="53227" xr:uid="{00000000-0005-0000-0000-0000E2AA0000}"/>
    <cellStyle name="Normal 2 8 2 2 2 2 2 3" xfId="40311" xr:uid="{00000000-0005-0000-0000-0000E3AA0000}"/>
    <cellStyle name="Normal 2 8 2 2 2 2 3" xfId="20895" xr:uid="{00000000-0005-0000-0000-0000E4AA0000}"/>
    <cellStyle name="Normal 2 8 2 2 2 2 3 2" xfId="46769" xr:uid="{00000000-0005-0000-0000-0000E5AA0000}"/>
    <cellStyle name="Normal 2 8 2 2 2 2 4" xfId="33853" xr:uid="{00000000-0005-0000-0000-0000E6AA0000}"/>
    <cellStyle name="Normal 2 8 2 2 2 3" xfId="11208" xr:uid="{00000000-0005-0000-0000-0000E7AA0000}"/>
    <cellStyle name="Normal 2 8 2 2 2 3 2" xfId="24125" xr:uid="{00000000-0005-0000-0000-0000E8AA0000}"/>
    <cellStyle name="Normal 2 8 2 2 2 3 2 2" xfId="49999" xr:uid="{00000000-0005-0000-0000-0000E9AA0000}"/>
    <cellStyle name="Normal 2 8 2 2 2 3 3" xfId="37083" xr:uid="{00000000-0005-0000-0000-0000EAAA0000}"/>
    <cellStyle name="Normal 2 8 2 2 2 4" xfId="17667" xr:uid="{00000000-0005-0000-0000-0000EBAA0000}"/>
    <cellStyle name="Normal 2 8 2 2 2 4 2" xfId="43541" xr:uid="{00000000-0005-0000-0000-0000ECAA0000}"/>
    <cellStyle name="Normal 2 8 2 2 2 5" xfId="30593" xr:uid="{00000000-0005-0000-0000-0000EDAA0000}"/>
    <cellStyle name="Normal 2 8 2 2 3" xfId="6363" xr:uid="{00000000-0005-0000-0000-0000EEAA0000}"/>
    <cellStyle name="Normal 2 8 2 2 3 2" xfId="12822" xr:uid="{00000000-0005-0000-0000-0000EFAA0000}"/>
    <cellStyle name="Normal 2 8 2 2 3 2 2" xfId="25739" xr:uid="{00000000-0005-0000-0000-0000F0AA0000}"/>
    <cellStyle name="Normal 2 8 2 2 3 2 2 2" xfId="51613" xr:uid="{00000000-0005-0000-0000-0000F1AA0000}"/>
    <cellStyle name="Normal 2 8 2 2 3 2 3" xfId="38697" xr:uid="{00000000-0005-0000-0000-0000F2AA0000}"/>
    <cellStyle name="Normal 2 8 2 2 3 3" xfId="19281" xr:uid="{00000000-0005-0000-0000-0000F3AA0000}"/>
    <cellStyle name="Normal 2 8 2 2 3 3 2" xfId="45155" xr:uid="{00000000-0005-0000-0000-0000F4AA0000}"/>
    <cellStyle name="Normal 2 8 2 2 3 4" xfId="32239" xr:uid="{00000000-0005-0000-0000-0000F5AA0000}"/>
    <cellStyle name="Normal 2 8 2 2 4" xfId="9594" xr:uid="{00000000-0005-0000-0000-0000F6AA0000}"/>
    <cellStyle name="Normal 2 8 2 2 4 2" xfId="22511" xr:uid="{00000000-0005-0000-0000-0000F7AA0000}"/>
    <cellStyle name="Normal 2 8 2 2 4 2 2" xfId="48385" xr:uid="{00000000-0005-0000-0000-0000F8AA0000}"/>
    <cellStyle name="Normal 2 8 2 2 4 3" xfId="35469" xr:uid="{00000000-0005-0000-0000-0000F9AA0000}"/>
    <cellStyle name="Normal 2 8 2 2 5" xfId="16053" xr:uid="{00000000-0005-0000-0000-0000FAAA0000}"/>
    <cellStyle name="Normal 2 8 2 2 5 2" xfId="41927" xr:uid="{00000000-0005-0000-0000-0000FBAA0000}"/>
    <cellStyle name="Normal 2 8 2 2 6" xfId="28979" xr:uid="{00000000-0005-0000-0000-0000FCAA0000}"/>
    <cellStyle name="Normal 2 8 2 3" xfId="3916" xr:uid="{00000000-0005-0000-0000-0000FDAA0000}"/>
    <cellStyle name="Normal 2 8 2 3 2" xfId="7170" xr:uid="{00000000-0005-0000-0000-0000FEAA0000}"/>
    <cellStyle name="Normal 2 8 2 3 2 2" xfId="13629" xr:uid="{00000000-0005-0000-0000-0000FFAA0000}"/>
    <cellStyle name="Normal 2 8 2 3 2 2 2" xfId="26546" xr:uid="{00000000-0005-0000-0000-000000AB0000}"/>
    <cellStyle name="Normal 2 8 2 3 2 2 2 2" xfId="52420" xr:uid="{00000000-0005-0000-0000-000001AB0000}"/>
    <cellStyle name="Normal 2 8 2 3 2 2 3" xfId="39504" xr:uid="{00000000-0005-0000-0000-000002AB0000}"/>
    <cellStyle name="Normal 2 8 2 3 2 3" xfId="20088" xr:uid="{00000000-0005-0000-0000-000003AB0000}"/>
    <cellStyle name="Normal 2 8 2 3 2 3 2" xfId="45962" xr:uid="{00000000-0005-0000-0000-000004AB0000}"/>
    <cellStyle name="Normal 2 8 2 3 2 4" xfId="33046" xr:uid="{00000000-0005-0000-0000-000005AB0000}"/>
    <cellStyle name="Normal 2 8 2 3 3" xfId="10401" xr:uid="{00000000-0005-0000-0000-000006AB0000}"/>
    <cellStyle name="Normal 2 8 2 3 3 2" xfId="23318" xr:uid="{00000000-0005-0000-0000-000007AB0000}"/>
    <cellStyle name="Normal 2 8 2 3 3 2 2" xfId="49192" xr:uid="{00000000-0005-0000-0000-000008AB0000}"/>
    <cellStyle name="Normal 2 8 2 3 3 3" xfId="36276" xr:uid="{00000000-0005-0000-0000-000009AB0000}"/>
    <cellStyle name="Normal 2 8 2 3 4" xfId="16860" xr:uid="{00000000-0005-0000-0000-00000AAB0000}"/>
    <cellStyle name="Normal 2 8 2 3 4 2" xfId="42734" xr:uid="{00000000-0005-0000-0000-00000BAB0000}"/>
    <cellStyle name="Normal 2 8 2 3 5" xfId="29786" xr:uid="{00000000-0005-0000-0000-00000CAB0000}"/>
    <cellStyle name="Normal 2 8 2 4" xfId="5556" xr:uid="{00000000-0005-0000-0000-00000DAB0000}"/>
    <cellStyle name="Normal 2 8 2 4 2" xfId="12015" xr:uid="{00000000-0005-0000-0000-00000EAB0000}"/>
    <cellStyle name="Normal 2 8 2 4 2 2" xfId="24932" xr:uid="{00000000-0005-0000-0000-00000FAB0000}"/>
    <cellStyle name="Normal 2 8 2 4 2 2 2" xfId="50806" xr:uid="{00000000-0005-0000-0000-000010AB0000}"/>
    <cellStyle name="Normal 2 8 2 4 2 3" xfId="37890" xr:uid="{00000000-0005-0000-0000-000011AB0000}"/>
    <cellStyle name="Normal 2 8 2 4 3" xfId="18474" xr:uid="{00000000-0005-0000-0000-000012AB0000}"/>
    <cellStyle name="Normal 2 8 2 4 3 2" xfId="44348" xr:uid="{00000000-0005-0000-0000-000013AB0000}"/>
    <cellStyle name="Normal 2 8 2 4 4" xfId="31432" xr:uid="{00000000-0005-0000-0000-000014AB0000}"/>
    <cellStyle name="Normal 2 8 2 5" xfId="8787" xr:uid="{00000000-0005-0000-0000-000015AB0000}"/>
    <cellStyle name="Normal 2 8 2 5 2" xfId="21704" xr:uid="{00000000-0005-0000-0000-000016AB0000}"/>
    <cellStyle name="Normal 2 8 2 5 2 2" xfId="47578" xr:uid="{00000000-0005-0000-0000-000017AB0000}"/>
    <cellStyle name="Normal 2 8 2 5 3" xfId="34662" xr:uid="{00000000-0005-0000-0000-000018AB0000}"/>
    <cellStyle name="Normal 2 8 2 6" xfId="15246" xr:uid="{00000000-0005-0000-0000-000019AB0000}"/>
    <cellStyle name="Normal 2 8 2 6 2" xfId="41120" xr:uid="{00000000-0005-0000-0000-00001AAB0000}"/>
    <cellStyle name="Normal 2 8 2 7" xfId="28172" xr:uid="{00000000-0005-0000-0000-00001BAB0000}"/>
    <cellStyle name="Normal 2 8 2 8" xfId="54034" xr:uid="{00000000-0005-0000-0000-00001CAB0000}"/>
    <cellStyle name="Normal 2 8 3" xfId="2686" xr:uid="{00000000-0005-0000-0000-00001DAB0000}"/>
    <cellStyle name="Normal 2 8 3 2" xfId="4343" xr:uid="{00000000-0005-0000-0000-00001EAB0000}"/>
    <cellStyle name="Normal 2 8 3 2 2" xfId="7574" xr:uid="{00000000-0005-0000-0000-00001FAB0000}"/>
    <cellStyle name="Normal 2 8 3 2 2 2" xfId="14033" xr:uid="{00000000-0005-0000-0000-000020AB0000}"/>
    <cellStyle name="Normal 2 8 3 2 2 2 2" xfId="26950" xr:uid="{00000000-0005-0000-0000-000021AB0000}"/>
    <cellStyle name="Normal 2 8 3 2 2 2 2 2" xfId="52824" xr:uid="{00000000-0005-0000-0000-000022AB0000}"/>
    <cellStyle name="Normal 2 8 3 2 2 2 3" xfId="39908" xr:uid="{00000000-0005-0000-0000-000023AB0000}"/>
    <cellStyle name="Normal 2 8 3 2 2 3" xfId="20492" xr:uid="{00000000-0005-0000-0000-000024AB0000}"/>
    <cellStyle name="Normal 2 8 3 2 2 3 2" xfId="46366" xr:uid="{00000000-0005-0000-0000-000025AB0000}"/>
    <cellStyle name="Normal 2 8 3 2 2 4" xfId="33450" xr:uid="{00000000-0005-0000-0000-000026AB0000}"/>
    <cellStyle name="Normal 2 8 3 2 3" xfId="10805" xr:uid="{00000000-0005-0000-0000-000027AB0000}"/>
    <cellStyle name="Normal 2 8 3 2 3 2" xfId="23722" xr:uid="{00000000-0005-0000-0000-000028AB0000}"/>
    <cellStyle name="Normal 2 8 3 2 3 2 2" xfId="49596" xr:uid="{00000000-0005-0000-0000-000029AB0000}"/>
    <cellStyle name="Normal 2 8 3 2 3 3" xfId="36680" xr:uid="{00000000-0005-0000-0000-00002AAB0000}"/>
    <cellStyle name="Normal 2 8 3 2 4" xfId="17264" xr:uid="{00000000-0005-0000-0000-00002BAB0000}"/>
    <cellStyle name="Normal 2 8 3 2 4 2" xfId="43138" xr:uid="{00000000-0005-0000-0000-00002CAB0000}"/>
    <cellStyle name="Normal 2 8 3 2 5" xfId="30190" xr:uid="{00000000-0005-0000-0000-00002DAB0000}"/>
    <cellStyle name="Normal 2 8 3 3" xfId="5960" xr:uid="{00000000-0005-0000-0000-00002EAB0000}"/>
    <cellStyle name="Normal 2 8 3 3 2" xfId="12419" xr:uid="{00000000-0005-0000-0000-00002FAB0000}"/>
    <cellStyle name="Normal 2 8 3 3 2 2" xfId="25336" xr:uid="{00000000-0005-0000-0000-000030AB0000}"/>
    <cellStyle name="Normal 2 8 3 3 2 2 2" xfId="51210" xr:uid="{00000000-0005-0000-0000-000031AB0000}"/>
    <cellStyle name="Normal 2 8 3 3 2 3" xfId="38294" xr:uid="{00000000-0005-0000-0000-000032AB0000}"/>
    <cellStyle name="Normal 2 8 3 3 3" xfId="18878" xr:uid="{00000000-0005-0000-0000-000033AB0000}"/>
    <cellStyle name="Normal 2 8 3 3 3 2" xfId="44752" xr:uid="{00000000-0005-0000-0000-000034AB0000}"/>
    <cellStyle name="Normal 2 8 3 3 4" xfId="31836" xr:uid="{00000000-0005-0000-0000-000035AB0000}"/>
    <cellStyle name="Normal 2 8 3 4" xfId="9191" xr:uid="{00000000-0005-0000-0000-000036AB0000}"/>
    <cellStyle name="Normal 2 8 3 4 2" xfId="22108" xr:uid="{00000000-0005-0000-0000-000037AB0000}"/>
    <cellStyle name="Normal 2 8 3 4 2 2" xfId="47982" xr:uid="{00000000-0005-0000-0000-000038AB0000}"/>
    <cellStyle name="Normal 2 8 3 4 3" xfId="35066" xr:uid="{00000000-0005-0000-0000-000039AB0000}"/>
    <cellStyle name="Normal 2 8 3 5" xfId="15650" xr:uid="{00000000-0005-0000-0000-00003AAB0000}"/>
    <cellStyle name="Normal 2 8 3 5 2" xfId="41524" xr:uid="{00000000-0005-0000-0000-00003BAB0000}"/>
    <cellStyle name="Normal 2 8 3 6" xfId="28576" xr:uid="{00000000-0005-0000-0000-00003CAB0000}"/>
    <cellStyle name="Normal 2 8 4" xfId="3513" xr:uid="{00000000-0005-0000-0000-00003DAB0000}"/>
    <cellStyle name="Normal 2 8 4 2" xfId="6767" xr:uid="{00000000-0005-0000-0000-00003EAB0000}"/>
    <cellStyle name="Normal 2 8 4 2 2" xfId="13226" xr:uid="{00000000-0005-0000-0000-00003FAB0000}"/>
    <cellStyle name="Normal 2 8 4 2 2 2" xfId="26143" xr:uid="{00000000-0005-0000-0000-000040AB0000}"/>
    <cellStyle name="Normal 2 8 4 2 2 2 2" xfId="52017" xr:uid="{00000000-0005-0000-0000-000041AB0000}"/>
    <cellStyle name="Normal 2 8 4 2 2 3" xfId="39101" xr:uid="{00000000-0005-0000-0000-000042AB0000}"/>
    <cellStyle name="Normal 2 8 4 2 3" xfId="19685" xr:uid="{00000000-0005-0000-0000-000043AB0000}"/>
    <cellStyle name="Normal 2 8 4 2 3 2" xfId="45559" xr:uid="{00000000-0005-0000-0000-000044AB0000}"/>
    <cellStyle name="Normal 2 8 4 2 4" xfId="32643" xr:uid="{00000000-0005-0000-0000-000045AB0000}"/>
    <cellStyle name="Normal 2 8 4 3" xfId="9998" xr:uid="{00000000-0005-0000-0000-000046AB0000}"/>
    <cellStyle name="Normal 2 8 4 3 2" xfId="22915" xr:uid="{00000000-0005-0000-0000-000047AB0000}"/>
    <cellStyle name="Normal 2 8 4 3 2 2" xfId="48789" xr:uid="{00000000-0005-0000-0000-000048AB0000}"/>
    <cellStyle name="Normal 2 8 4 3 3" xfId="35873" xr:uid="{00000000-0005-0000-0000-000049AB0000}"/>
    <cellStyle name="Normal 2 8 4 4" xfId="16457" xr:uid="{00000000-0005-0000-0000-00004AAB0000}"/>
    <cellStyle name="Normal 2 8 4 4 2" xfId="42331" xr:uid="{00000000-0005-0000-0000-00004BAB0000}"/>
    <cellStyle name="Normal 2 8 4 5" xfId="29383" xr:uid="{00000000-0005-0000-0000-00004CAB0000}"/>
    <cellStyle name="Normal 2 8 5" xfId="5153" xr:uid="{00000000-0005-0000-0000-00004DAB0000}"/>
    <cellStyle name="Normal 2 8 5 2" xfId="11612" xr:uid="{00000000-0005-0000-0000-00004EAB0000}"/>
    <cellStyle name="Normal 2 8 5 2 2" xfId="24529" xr:uid="{00000000-0005-0000-0000-00004FAB0000}"/>
    <cellStyle name="Normal 2 8 5 2 2 2" xfId="50403" xr:uid="{00000000-0005-0000-0000-000050AB0000}"/>
    <cellStyle name="Normal 2 8 5 2 3" xfId="37487" xr:uid="{00000000-0005-0000-0000-000051AB0000}"/>
    <cellStyle name="Normal 2 8 5 3" xfId="18071" xr:uid="{00000000-0005-0000-0000-000052AB0000}"/>
    <cellStyle name="Normal 2 8 5 3 2" xfId="43945" xr:uid="{00000000-0005-0000-0000-000053AB0000}"/>
    <cellStyle name="Normal 2 8 5 4" xfId="31029" xr:uid="{00000000-0005-0000-0000-000054AB0000}"/>
    <cellStyle name="Normal 2 8 6" xfId="8383" xr:uid="{00000000-0005-0000-0000-000055AB0000}"/>
    <cellStyle name="Normal 2 8 6 2" xfId="21300" xr:uid="{00000000-0005-0000-0000-000056AB0000}"/>
    <cellStyle name="Normal 2 8 6 2 2" xfId="47174" xr:uid="{00000000-0005-0000-0000-000057AB0000}"/>
    <cellStyle name="Normal 2 8 6 3" xfId="34258" xr:uid="{00000000-0005-0000-0000-000058AB0000}"/>
    <cellStyle name="Normal 2 8 7" xfId="14842" xr:uid="{00000000-0005-0000-0000-000059AB0000}"/>
    <cellStyle name="Normal 2 8 7 2" xfId="40716" xr:uid="{00000000-0005-0000-0000-00005AAB0000}"/>
    <cellStyle name="Normal 2 8 8" xfId="27768" xr:uid="{00000000-0005-0000-0000-00005BAB0000}"/>
    <cellStyle name="Normal 2 8 9" xfId="53631" xr:uid="{00000000-0005-0000-0000-00005CAB0000}"/>
    <cellStyle name="Normal 2 9" xfId="2081" xr:uid="{00000000-0005-0000-0000-00005DAB0000}"/>
    <cellStyle name="Normal 2 9 2" xfId="2898" xr:uid="{00000000-0005-0000-0000-00005EAB0000}"/>
    <cellStyle name="Normal 2 9 2 2" xfId="4555" xr:uid="{00000000-0005-0000-0000-00005FAB0000}"/>
    <cellStyle name="Normal 2 9 2 2 2" xfId="7786" xr:uid="{00000000-0005-0000-0000-000060AB0000}"/>
    <cellStyle name="Normal 2 9 2 2 2 2" xfId="14245" xr:uid="{00000000-0005-0000-0000-000061AB0000}"/>
    <cellStyle name="Normal 2 9 2 2 2 2 2" xfId="27162" xr:uid="{00000000-0005-0000-0000-000062AB0000}"/>
    <cellStyle name="Normal 2 9 2 2 2 2 2 2" xfId="53036" xr:uid="{00000000-0005-0000-0000-000063AB0000}"/>
    <cellStyle name="Normal 2 9 2 2 2 2 3" xfId="40120" xr:uid="{00000000-0005-0000-0000-000064AB0000}"/>
    <cellStyle name="Normal 2 9 2 2 2 3" xfId="20704" xr:uid="{00000000-0005-0000-0000-000065AB0000}"/>
    <cellStyle name="Normal 2 9 2 2 2 3 2" xfId="46578" xr:uid="{00000000-0005-0000-0000-000066AB0000}"/>
    <cellStyle name="Normal 2 9 2 2 2 4" xfId="33662" xr:uid="{00000000-0005-0000-0000-000067AB0000}"/>
    <cellStyle name="Normal 2 9 2 2 3" xfId="11017" xr:uid="{00000000-0005-0000-0000-000068AB0000}"/>
    <cellStyle name="Normal 2 9 2 2 3 2" xfId="23934" xr:uid="{00000000-0005-0000-0000-000069AB0000}"/>
    <cellStyle name="Normal 2 9 2 2 3 2 2" xfId="49808" xr:uid="{00000000-0005-0000-0000-00006AAB0000}"/>
    <cellStyle name="Normal 2 9 2 2 3 3" xfId="36892" xr:uid="{00000000-0005-0000-0000-00006BAB0000}"/>
    <cellStyle name="Normal 2 9 2 2 4" xfId="17476" xr:uid="{00000000-0005-0000-0000-00006CAB0000}"/>
    <cellStyle name="Normal 2 9 2 2 4 2" xfId="43350" xr:uid="{00000000-0005-0000-0000-00006DAB0000}"/>
    <cellStyle name="Normal 2 9 2 2 5" xfId="30402" xr:uid="{00000000-0005-0000-0000-00006EAB0000}"/>
    <cellStyle name="Normal 2 9 2 3" xfId="6172" xr:uid="{00000000-0005-0000-0000-00006FAB0000}"/>
    <cellStyle name="Normal 2 9 2 3 2" xfId="12631" xr:uid="{00000000-0005-0000-0000-000070AB0000}"/>
    <cellStyle name="Normal 2 9 2 3 2 2" xfId="25548" xr:uid="{00000000-0005-0000-0000-000071AB0000}"/>
    <cellStyle name="Normal 2 9 2 3 2 2 2" xfId="51422" xr:uid="{00000000-0005-0000-0000-000072AB0000}"/>
    <cellStyle name="Normal 2 9 2 3 2 3" xfId="38506" xr:uid="{00000000-0005-0000-0000-000073AB0000}"/>
    <cellStyle name="Normal 2 9 2 3 3" xfId="19090" xr:uid="{00000000-0005-0000-0000-000074AB0000}"/>
    <cellStyle name="Normal 2 9 2 3 3 2" xfId="44964" xr:uid="{00000000-0005-0000-0000-000075AB0000}"/>
    <cellStyle name="Normal 2 9 2 3 4" xfId="32048" xr:uid="{00000000-0005-0000-0000-000076AB0000}"/>
    <cellStyle name="Normal 2 9 2 4" xfId="9403" xr:uid="{00000000-0005-0000-0000-000077AB0000}"/>
    <cellStyle name="Normal 2 9 2 4 2" xfId="22320" xr:uid="{00000000-0005-0000-0000-000078AB0000}"/>
    <cellStyle name="Normal 2 9 2 4 2 2" xfId="48194" xr:uid="{00000000-0005-0000-0000-000079AB0000}"/>
    <cellStyle name="Normal 2 9 2 4 3" xfId="35278" xr:uid="{00000000-0005-0000-0000-00007AAB0000}"/>
    <cellStyle name="Normal 2 9 2 5" xfId="15862" xr:uid="{00000000-0005-0000-0000-00007BAB0000}"/>
    <cellStyle name="Normal 2 9 2 5 2" xfId="41736" xr:uid="{00000000-0005-0000-0000-00007CAB0000}"/>
    <cellStyle name="Normal 2 9 2 6" xfId="28788" xr:uid="{00000000-0005-0000-0000-00007DAB0000}"/>
    <cellStyle name="Normal 2 9 3" xfId="3725" xr:uid="{00000000-0005-0000-0000-00007EAB0000}"/>
    <cellStyle name="Normal 2 9 3 2" xfId="6979" xr:uid="{00000000-0005-0000-0000-00007FAB0000}"/>
    <cellStyle name="Normal 2 9 3 2 2" xfId="13438" xr:uid="{00000000-0005-0000-0000-000080AB0000}"/>
    <cellStyle name="Normal 2 9 3 2 2 2" xfId="26355" xr:uid="{00000000-0005-0000-0000-000081AB0000}"/>
    <cellStyle name="Normal 2 9 3 2 2 2 2" xfId="52229" xr:uid="{00000000-0005-0000-0000-000082AB0000}"/>
    <cellStyle name="Normal 2 9 3 2 2 3" xfId="39313" xr:uid="{00000000-0005-0000-0000-000083AB0000}"/>
    <cellStyle name="Normal 2 9 3 2 3" xfId="19897" xr:uid="{00000000-0005-0000-0000-000084AB0000}"/>
    <cellStyle name="Normal 2 9 3 2 3 2" xfId="45771" xr:uid="{00000000-0005-0000-0000-000085AB0000}"/>
    <cellStyle name="Normal 2 9 3 2 4" xfId="32855" xr:uid="{00000000-0005-0000-0000-000086AB0000}"/>
    <cellStyle name="Normal 2 9 3 3" xfId="10210" xr:uid="{00000000-0005-0000-0000-000087AB0000}"/>
    <cellStyle name="Normal 2 9 3 3 2" xfId="23127" xr:uid="{00000000-0005-0000-0000-000088AB0000}"/>
    <cellStyle name="Normal 2 9 3 3 2 2" xfId="49001" xr:uid="{00000000-0005-0000-0000-000089AB0000}"/>
    <cellStyle name="Normal 2 9 3 3 3" xfId="36085" xr:uid="{00000000-0005-0000-0000-00008AAB0000}"/>
    <cellStyle name="Normal 2 9 3 4" xfId="16669" xr:uid="{00000000-0005-0000-0000-00008BAB0000}"/>
    <cellStyle name="Normal 2 9 3 4 2" xfId="42543" xr:uid="{00000000-0005-0000-0000-00008CAB0000}"/>
    <cellStyle name="Normal 2 9 3 5" xfId="29595" xr:uid="{00000000-0005-0000-0000-00008DAB0000}"/>
    <cellStyle name="Normal 2 9 4" xfId="5365" xr:uid="{00000000-0005-0000-0000-00008EAB0000}"/>
    <cellStyle name="Normal 2 9 4 2" xfId="11824" xr:uid="{00000000-0005-0000-0000-00008FAB0000}"/>
    <cellStyle name="Normal 2 9 4 2 2" xfId="24741" xr:uid="{00000000-0005-0000-0000-000090AB0000}"/>
    <cellStyle name="Normal 2 9 4 2 2 2" xfId="50615" xr:uid="{00000000-0005-0000-0000-000091AB0000}"/>
    <cellStyle name="Normal 2 9 4 2 3" xfId="37699" xr:uid="{00000000-0005-0000-0000-000092AB0000}"/>
    <cellStyle name="Normal 2 9 4 3" xfId="18283" xr:uid="{00000000-0005-0000-0000-000093AB0000}"/>
    <cellStyle name="Normal 2 9 4 3 2" xfId="44157" xr:uid="{00000000-0005-0000-0000-000094AB0000}"/>
    <cellStyle name="Normal 2 9 4 4" xfId="31241" xr:uid="{00000000-0005-0000-0000-000095AB0000}"/>
    <cellStyle name="Normal 2 9 5" xfId="8596" xr:uid="{00000000-0005-0000-0000-000096AB0000}"/>
    <cellStyle name="Normal 2 9 5 2" xfId="21513" xr:uid="{00000000-0005-0000-0000-000097AB0000}"/>
    <cellStyle name="Normal 2 9 5 2 2" xfId="47387" xr:uid="{00000000-0005-0000-0000-000098AB0000}"/>
    <cellStyle name="Normal 2 9 5 3" xfId="34471" xr:uid="{00000000-0005-0000-0000-000099AB0000}"/>
    <cellStyle name="Normal 2 9 6" xfId="15055" xr:uid="{00000000-0005-0000-0000-00009AAB0000}"/>
    <cellStyle name="Normal 2 9 6 2" xfId="40929" xr:uid="{00000000-0005-0000-0000-00009BAB0000}"/>
    <cellStyle name="Normal 2 9 7" xfId="27981" xr:uid="{00000000-0005-0000-0000-00009CAB0000}"/>
    <cellStyle name="Normal 2 9 8" xfId="53843" xr:uid="{00000000-0005-0000-0000-00009DAB0000}"/>
    <cellStyle name="Normal 20" xfId="1755" xr:uid="{00000000-0005-0000-0000-00009EAB0000}"/>
    <cellStyle name="Normal 20 2" xfId="2249" xr:uid="{00000000-0005-0000-0000-00009FAB0000}"/>
    <cellStyle name="Normal 20 2 2" xfId="3063" xr:uid="{00000000-0005-0000-0000-0000A0AB0000}"/>
    <cellStyle name="Normal 20 2 2 2" xfId="4720" xr:uid="{00000000-0005-0000-0000-0000A1AB0000}"/>
    <cellStyle name="Normal 20 2 2 2 2" xfId="7951" xr:uid="{00000000-0005-0000-0000-0000A2AB0000}"/>
    <cellStyle name="Normal 20 2 2 2 2 2" xfId="14410" xr:uid="{00000000-0005-0000-0000-0000A3AB0000}"/>
    <cellStyle name="Normal 20 2 2 2 2 2 2" xfId="27327" xr:uid="{00000000-0005-0000-0000-0000A4AB0000}"/>
    <cellStyle name="Normal 20 2 2 2 2 2 2 2" xfId="53201" xr:uid="{00000000-0005-0000-0000-0000A5AB0000}"/>
    <cellStyle name="Normal 20 2 2 2 2 2 3" xfId="40285" xr:uid="{00000000-0005-0000-0000-0000A6AB0000}"/>
    <cellStyle name="Normal 20 2 2 2 2 3" xfId="20869" xr:uid="{00000000-0005-0000-0000-0000A7AB0000}"/>
    <cellStyle name="Normal 20 2 2 2 2 3 2" xfId="46743" xr:uid="{00000000-0005-0000-0000-0000A8AB0000}"/>
    <cellStyle name="Normal 20 2 2 2 2 4" xfId="33827" xr:uid="{00000000-0005-0000-0000-0000A9AB0000}"/>
    <cellStyle name="Normal 20 2 2 2 3" xfId="11182" xr:uid="{00000000-0005-0000-0000-0000AAAB0000}"/>
    <cellStyle name="Normal 20 2 2 2 3 2" xfId="24099" xr:uid="{00000000-0005-0000-0000-0000ABAB0000}"/>
    <cellStyle name="Normal 20 2 2 2 3 2 2" xfId="49973" xr:uid="{00000000-0005-0000-0000-0000ACAB0000}"/>
    <cellStyle name="Normal 20 2 2 2 3 3" xfId="37057" xr:uid="{00000000-0005-0000-0000-0000ADAB0000}"/>
    <cellStyle name="Normal 20 2 2 2 4" xfId="17641" xr:uid="{00000000-0005-0000-0000-0000AEAB0000}"/>
    <cellStyle name="Normal 20 2 2 2 4 2" xfId="43515" xr:uid="{00000000-0005-0000-0000-0000AFAB0000}"/>
    <cellStyle name="Normal 20 2 2 2 5" xfId="30567" xr:uid="{00000000-0005-0000-0000-0000B0AB0000}"/>
    <cellStyle name="Normal 20 2 2 3" xfId="6337" xr:uid="{00000000-0005-0000-0000-0000B1AB0000}"/>
    <cellStyle name="Normal 20 2 2 3 2" xfId="12796" xr:uid="{00000000-0005-0000-0000-0000B2AB0000}"/>
    <cellStyle name="Normal 20 2 2 3 2 2" xfId="25713" xr:uid="{00000000-0005-0000-0000-0000B3AB0000}"/>
    <cellStyle name="Normal 20 2 2 3 2 2 2" xfId="51587" xr:uid="{00000000-0005-0000-0000-0000B4AB0000}"/>
    <cellStyle name="Normal 20 2 2 3 2 3" xfId="38671" xr:uid="{00000000-0005-0000-0000-0000B5AB0000}"/>
    <cellStyle name="Normal 20 2 2 3 3" xfId="19255" xr:uid="{00000000-0005-0000-0000-0000B6AB0000}"/>
    <cellStyle name="Normal 20 2 2 3 3 2" xfId="45129" xr:uid="{00000000-0005-0000-0000-0000B7AB0000}"/>
    <cellStyle name="Normal 20 2 2 3 4" xfId="32213" xr:uid="{00000000-0005-0000-0000-0000B8AB0000}"/>
    <cellStyle name="Normal 20 2 2 4" xfId="9568" xr:uid="{00000000-0005-0000-0000-0000B9AB0000}"/>
    <cellStyle name="Normal 20 2 2 4 2" xfId="22485" xr:uid="{00000000-0005-0000-0000-0000BAAB0000}"/>
    <cellStyle name="Normal 20 2 2 4 2 2" xfId="48359" xr:uid="{00000000-0005-0000-0000-0000BBAB0000}"/>
    <cellStyle name="Normal 20 2 2 4 3" xfId="35443" xr:uid="{00000000-0005-0000-0000-0000BCAB0000}"/>
    <cellStyle name="Normal 20 2 2 5" xfId="16027" xr:uid="{00000000-0005-0000-0000-0000BDAB0000}"/>
    <cellStyle name="Normal 20 2 2 5 2" xfId="41901" xr:uid="{00000000-0005-0000-0000-0000BEAB0000}"/>
    <cellStyle name="Normal 20 2 2 6" xfId="28953" xr:uid="{00000000-0005-0000-0000-0000BFAB0000}"/>
    <cellStyle name="Normal 20 2 3" xfId="3890" xr:uid="{00000000-0005-0000-0000-0000C0AB0000}"/>
    <cellStyle name="Normal 20 2 3 2" xfId="7144" xr:uid="{00000000-0005-0000-0000-0000C1AB0000}"/>
    <cellStyle name="Normal 20 2 3 2 2" xfId="13603" xr:uid="{00000000-0005-0000-0000-0000C2AB0000}"/>
    <cellStyle name="Normal 20 2 3 2 2 2" xfId="26520" xr:uid="{00000000-0005-0000-0000-0000C3AB0000}"/>
    <cellStyle name="Normal 20 2 3 2 2 2 2" xfId="52394" xr:uid="{00000000-0005-0000-0000-0000C4AB0000}"/>
    <cellStyle name="Normal 20 2 3 2 2 3" xfId="39478" xr:uid="{00000000-0005-0000-0000-0000C5AB0000}"/>
    <cellStyle name="Normal 20 2 3 2 3" xfId="20062" xr:uid="{00000000-0005-0000-0000-0000C6AB0000}"/>
    <cellStyle name="Normal 20 2 3 2 3 2" xfId="45936" xr:uid="{00000000-0005-0000-0000-0000C7AB0000}"/>
    <cellStyle name="Normal 20 2 3 2 4" xfId="33020" xr:uid="{00000000-0005-0000-0000-0000C8AB0000}"/>
    <cellStyle name="Normal 20 2 3 3" xfId="10375" xr:uid="{00000000-0005-0000-0000-0000C9AB0000}"/>
    <cellStyle name="Normal 20 2 3 3 2" xfId="23292" xr:uid="{00000000-0005-0000-0000-0000CAAB0000}"/>
    <cellStyle name="Normal 20 2 3 3 2 2" xfId="49166" xr:uid="{00000000-0005-0000-0000-0000CBAB0000}"/>
    <cellStyle name="Normal 20 2 3 3 3" xfId="36250" xr:uid="{00000000-0005-0000-0000-0000CCAB0000}"/>
    <cellStyle name="Normal 20 2 3 4" xfId="16834" xr:uid="{00000000-0005-0000-0000-0000CDAB0000}"/>
    <cellStyle name="Normal 20 2 3 4 2" xfId="42708" xr:uid="{00000000-0005-0000-0000-0000CEAB0000}"/>
    <cellStyle name="Normal 20 2 3 5" xfId="29760" xr:uid="{00000000-0005-0000-0000-0000CFAB0000}"/>
    <cellStyle name="Normal 20 2 4" xfId="5530" xr:uid="{00000000-0005-0000-0000-0000D0AB0000}"/>
    <cellStyle name="Normal 20 2 4 2" xfId="11989" xr:uid="{00000000-0005-0000-0000-0000D1AB0000}"/>
    <cellStyle name="Normal 20 2 4 2 2" xfId="24906" xr:uid="{00000000-0005-0000-0000-0000D2AB0000}"/>
    <cellStyle name="Normal 20 2 4 2 2 2" xfId="50780" xr:uid="{00000000-0005-0000-0000-0000D3AB0000}"/>
    <cellStyle name="Normal 20 2 4 2 3" xfId="37864" xr:uid="{00000000-0005-0000-0000-0000D4AB0000}"/>
    <cellStyle name="Normal 20 2 4 3" xfId="18448" xr:uid="{00000000-0005-0000-0000-0000D5AB0000}"/>
    <cellStyle name="Normal 20 2 4 3 2" xfId="44322" xr:uid="{00000000-0005-0000-0000-0000D6AB0000}"/>
    <cellStyle name="Normal 20 2 4 4" xfId="31406" xr:uid="{00000000-0005-0000-0000-0000D7AB0000}"/>
    <cellStyle name="Normal 20 2 5" xfId="8761" xr:uid="{00000000-0005-0000-0000-0000D8AB0000}"/>
    <cellStyle name="Normal 20 2 5 2" xfId="21678" xr:uid="{00000000-0005-0000-0000-0000D9AB0000}"/>
    <cellStyle name="Normal 20 2 5 2 2" xfId="47552" xr:uid="{00000000-0005-0000-0000-0000DAAB0000}"/>
    <cellStyle name="Normal 20 2 5 3" xfId="34636" xr:uid="{00000000-0005-0000-0000-0000DBAB0000}"/>
    <cellStyle name="Normal 20 2 6" xfId="15220" xr:uid="{00000000-0005-0000-0000-0000DCAB0000}"/>
    <cellStyle name="Normal 20 2 6 2" xfId="41094" xr:uid="{00000000-0005-0000-0000-0000DDAB0000}"/>
    <cellStyle name="Normal 20 2 7" xfId="28146" xr:uid="{00000000-0005-0000-0000-0000DEAB0000}"/>
    <cellStyle name="Normal 20 2 8" xfId="54008" xr:uid="{00000000-0005-0000-0000-0000DFAB0000}"/>
    <cellStyle name="Normal 20 3" xfId="2660" xr:uid="{00000000-0005-0000-0000-0000E0AB0000}"/>
    <cellStyle name="Normal 20 3 2" xfId="4317" xr:uid="{00000000-0005-0000-0000-0000E1AB0000}"/>
    <cellStyle name="Normal 20 3 2 2" xfId="7548" xr:uid="{00000000-0005-0000-0000-0000E2AB0000}"/>
    <cellStyle name="Normal 20 3 2 2 2" xfId="14007" xr:uid="{00000000-0005-0000-0000-0000E3AB0000}"/>
    <cellStyle name="Normal 20 3 2 2 2 2" xfId="26924" xr:uid="{00000000-0005-0000-0000-0000E4AB0000}"/>
    <cellStyle name="Normal 20 3 2 2 2 2 2" xfId="52798" xr:uid="{00000000-0005-0000-0000-0000E5AB0000}"/>
    <cellStyle name="Normal 20 3 2 2 2 3" xfId="39882" xr:uid="{00000000-0005-0000-0000-0000E6AB0000}"/>
    <cellStyle name="Normal 20 3 2 2 3" xfId="20466" xr:uid="{00000000-0005-0000-0000-0000E7AB0000}"/>
    <cellStyle name="Normal 20 3 2 2 3 2" xfId="46340" xr:uid="{00000000-0005-0000-0000-0000E8AB0000}"/>
    <cellStyle name="Normal 20 3 2 2 4" xfId="33424" xr:uid="{00000000-0005-0000-0000-0000E9AB0000}"/>
    <cellStyle name="Normal 20 3 2 3" xfId="10779" xr:uid="{00000000-0005-0000-0000-0000EAAB0000}"/>
    <cellStyle name="Normal 20 3 2 3 2" xfId="23696" xr:uid="{00000000-0005-0000-0000-0000EBAB0000}"/>
    <cellStyle name="Normal 20 3 2 3 2 2" xfId="49570" xr:uid="{00000000-0005-0000-0000-0000ECAB0000}"/>
    <cellStyle name="Normal 20 3 2 3 3" xfId="36654" xr:uid="{00000000-0005-0000-0000-0000EDAB0000}"/>
    <cellStyle name="Normal 20 3 2 4" xfId="17238" xr:uid="{00000000-0005-0000-0000-0000EEAB0000}"/>
    <cellStyle name="Normal 20 3 2 4 2" xfId="43112" xr:uid="{00000000-0005-0000-0000-0000EFAB0000}"/>
    <cellStyle name="Normal 20 3 2 5" xfId="30164" xr:uid="{00000000-0005-0000-0000-0000F0AB0000}"/>
    <cellStyle name="Normal 20 3 3" xfId="5934" xr:uid="{00000000-0005-0000-0000-0000F1AB0000}"/>
    <cellStyle name="Normal 20 3 3 2" xfId="12393" xr:uid="{00000000-0005-0000-0000-0000F2AB0000}"/>
    <cellStyle name="Normal 20 3 3 2 2" xfId="25310" xr:uid="{00000000-0005-0000-0000-0000F3AB0000}"/>
    <cellStyle name="Normal 20 3 3 2 2 2" xfId="51184" xr:uid="{00000000-0005-0000-0000-0000F4AB0000}"/>
    <cellStyle name="Normal 20 3 3 2 3" xfId="38268" xr:uid="{00000000-0005-0000-0000-0000F5AB0000}"/>
    <cellStyle name="Normal 20 3 3 3" xfId="18852" xr:uid="{00000000-0005-0000-0000-0000F6AB0000}"/>
    <cellStyle name="Normal 20 3 3 3 2" xfId="44726" xr:uid="{00000000-0005-0000-0000-0000F7AB0000}"/>
    <cellStyle name="Normal 20 3 3 4" xfId="31810" xr:uid="{00000000-0005-0000-0000-0000F8AB0000}"/>
    <cellStyle name="Normal 20 3 4" xfId="9165" xr:uid="{00000000-0005-0000-0000-0000F9AB0000}"/>
    <cellStyle name="Normal 20 3 4 2" xfId="22082" xr:uid="{00000000-0005-0000-0000-0000FAAB0000}"/>
    <cellStyle name="Normal 20 3 4 2 2" xfId="47956" xr:uid="{00000000-0005-0000-0000-0000FBAB0000}"/>
    <cellStyle name="Normal 20 3 4 3" xfId="35040" xr:uid="{00000000-0005-0000-0000-0000FCAB0000}"/>
    <cellStyle name="Normal 20 3 5" xfId="15624" xr:uid="{00000000-0005-0000-0000-0000FDAB0000}"/>
    <cellStyle name="Normal 20 3 5 2" xfId="41498" xr:uid="{00000000-0005-0000-0000-0000FEAB0000}"/>
    <cellStyle name="Normal 20 3 6" xfId="28550" xr:uid="{00000000-0005-0000-0000-0000FFAB0000}"/>
    <cellStyle name="Normal 20 4" xfId="3487" xr:uid="{00000000-0005-0000-0000-000000AC0000}"/>
    <cellStyle name="Normal 20 4 2" xfId="6741" xr:uid="{00000000-0005-0000-0000-000001AC0000}"/>
    <cellStyle name="Normal 20 4 2 2" xfId="13200" xr:uid="{00000000-0005-0000-0000-000002AC0000}"/>
    <cellStyle name="Normal 20 4 2 2 2" xfId="26117" xr:uid="{00000000-0005-0000-0000-000003AC0000}"/>
    <cellStyle name="Normal 20 4 2 2 2 2" xfId="51991" xr:uid="{00000000-0005-0000-0000-000004AC0000}"/>
    <cellStyle name="Normal 20 4 2 2 3" xfId="39075" xr:uid="{00000000-0005-0000-0000-000005AC0000}"/>
    <cellStyle name="Normal 20 4 2 3" xfId="19659" xr:uid="{00000000-0005-0000-0000-000006AC0000}"/>
    <cellStyle name="Normal 20 4 2 3 2" xfId="45533" xr:uid="{00000000-0005-0000-0000-000007AC0000}"/>
    <cellStyle name="Normal 20 4 2 4" xfId="32617" xr:uid="{00000000-0005-0000-0000-000008AC0000}"/>
    <cellStyle name="Normal 20 4 3" xfId="9972" xr:uid="{00000000-0005-0000-0000-000009AC0000}"/>
    <cellStyle name="Normal 20 4 3 2" xfId="22889" xr:uid="{00000000-0005-0000-0000-00000AAC0000}"/>
    <cellStyle name="Normal 20 4 3 2 2" xfId="48763" xr:uid="{00000000-0005-0000-0000-00000BAC0000}"/>
    <cellStyle name="Normal 20 4 3 3" xfId="35847" xr:uid="{00000000-0005-0000-0000-00000CAC0000}"/>
    <cellStyle name="Normal 20 4 4" xfId="16431" xr:uid="{00000000-0005-0000-0000-00000DAC0000}"/>
    <cellStyle name="Normal 20 4 4 2" xfId="42305" xr:uid="{00000000-0005-0000-0000-00000EAC0000}"/>
    <cellStyle name="Normal 20 4 5" xfId="29357" xr:uid="{00000000-0005-0000-0000-00000FAC0000}"/>
    <cellStyle name="Normal 20 5" xfId="5127" xr:uid="{00000000-0005-0000-0000-000010AC0000}"/>
    <cellStyle name="Normal 20 5 2" xfId="11586" xr:uid="{00000000-0005-0000-0000-000011AC0000}"/>
    <cellStyle name="Normal 20 5 2 2" xfId="24503" xr:uid="{00000000-0005-0000-0000-000012AC0000}"/>
    <cellStyle name="Normal 20 5 2 2 2" xfId="50377" xr:uid="{00000000-0005-0000-0000-000013AC0000}"/>
    <cellStyle name="Normal 20 5 2 3" xfId="37461" xr:uid="{00000000-0005-0000-0000-000014AC0000}"/>
    <cellStyle name="Normal 20 5 3" xfId="18045" xr:uid="{00000000-0005-0000-0000-000015AC0000}"/>
    <cellStyle name="Normal 20 5 3 2" xfId="43919" xr:uid="{00000000-0005-0000-0000-000016AC0000}"/>
    <cellStyle name="Normal 20 5 4" xfId="31003" xr:uid="{00000000-0005-0000-0000-000017AC0000}"/>
    <cellStyle name="Normal 20 6" xfId="8357" xr:uid="{00000000-0005-0000-0000-000018AC0000}"/>
    <cellStyle name="Normal 20 6 2" xfId="21274" xr:uid="{00000000-0005-0000-0000-000019AC0000}"/>
    <cellStyle name="Normal 20 6 2 2" xfId="47148" xr:uid="{00000000-0005-0000-0000-00001AAC0000}"/>
    <cellStyle name="Normal 20 6 3" xfId="34232" xr:uid="{00000000-0005-0000-0000-00001BAC0000}"/>
    <cellStyle name="Normal 20 7" xfId="14816" xr:uid="{00000000-0005-0000-0000-00001CAC0000}"/>
    <cellStyle name="Normal 20 7 2" xfId="40690" xr:uid="{00000000-0005-0000-0000-00001DAC0000}"/>
    <cellStyle name="Normal 20 8" xfId="27742" xr:uid="{00000000-0005-0000-0000-00001EAC0000}"/>
    <cellStyle name="Normal 20 9" xfId="53605" xr:uid="{00000000-0005-0000-0000-00001FAC0000}"/>
    <cellStyle name="Normal 21" xfId="1772" xr:uid="{00000000-0005-0000-0000-000020AC0000}"/>
    <cellStyle name="Normal 22" xfId="2036" xr:uid="{00000000-0005-0000-0000-000021AC0000}"/>
    <cellStyle name="Normal 22 2" xfId="2445" xr:uid="{00000000-0005-0000-0000-000022AC0000}"/>
    <cellStyle name="Normal 22 2 2" xfId="3258" xr:uid="{00000000-0005-0000-0000-000023AC0000}"/>
    <cellStyle name="Normal 22 2 2 2" xfId="4915" xr:uid="{00000000-0005-0000-0000-000024AC0000}"/>
    <cellStyle name="Normal 22 2 2 2 2" xfId="8146" xr:uid="{00000000-0005-0000-0000-000025AC0000}"/>
    <cellStyle name="Normal 22 2 2 2 2 2" xfId="14605" xr:uid="{00000000-0005-0000-0000-000026AC0000}"/>
    <cellStyle name="Normal 22 2 2 2 2 2 2" xfId="27522" xr:uid="{00000000-0005-0000-0000-000027AC0000}"/>
    <cellStyle name="Normal 22 2 2 2 2 2 2 2" xfId="53396" xr:uid="{00000000-0005-0000-0000-000028AC0000}"/>
    <cellStyle name="Normal 22 2 2 2 2 2 3" xfId="40480" xr:uid="{00000000-0005-0000-0000-000029AC0000}"/>
    <cellStyle name="Normal 22 2 2 2 2 3" xfId="21064" xr:uid="{00000000-0005-0000-0000-00002AAC0000}"/>
    <cellStyle name="Normal 22 2 2 2 2 3 2" xfId="46938" xr:uid="{00000000-0005-0000-0000-00002BAC0000}"/>
    <cellStyle name="Normal 22 2 2 2 2 4" xfId="34022" xr:uid="{00000000-0005-0000-0000-00002CAC0000}"/>
    <cellStyle name="Normal 22 2 2 2 3" xfId="11377" xr:uid="{00000000-0005-0000-0000-00002DAC0000}"/>
    <cellStyle name="Normal 22 2 2 2 3 2" xfId="24294" xr:uid="{00000000-0005-0000-0000-00002EAC0000}"/>
    <cellStyle name="Normal 22 2 2 2 3 2 2" xfId="50168" xr:uid="{00000000-0005-0000-0000-00002FAC0000}"/>
    <cellStyle name="Normal 22 2 2 2 3 3" xfId="37252" xr:uid="{00000000-0005-0000-0000-000030AC0000}"/>
    <cellStyle name="Normal 22 2 2 2 4" xfId="17836" xr:uid="{00000000-0005-0000-0000-000031AC0000}"/>
    <cellStyle name="Normal 22 2 2 2 4 2" xfId="43710" xr:uid="{00000000-0005-0000-0000-000032AC0000}"/>
    <cellStyle name="Normal 22 2 2 2 5" xfId="30762" xr:uid="{00000000-0005-0000-0000-000033AC0000}"/>
    <cellStyle name="Normal 22 2 2 3" xfId="6532" xr:uid="{00000000-0005-0000-0000-000034AC0000}"/>
    <cellStyle name="Normal 22 2 2 3 2" xfId="12991" xr:uid="{00000000-0005-0000-0000-000035AC0000}"/>
    <cellStyle name="Normal 22 2 2 3 2 2" xfId="25908" xr:uid="{00000000-0005-0000-0000-000036AC0000}"/>
    <cellStyle name="Normal 22 2 2 3 2 2 2" xfId="51782" xr:uid="{00000000-0005-0000-0000-000037AC0000}"/>
    <cellStyle name="Normal 22 2 2 3 2 3" xfId="38866" xr:uid="{00000000-0005-0000-0000-000038AC0000}"/>
    <cellStyle name="Normal 22 2 2 3 3" xfId="19450" xr:uid="{00000000-0005-0000-0000-000039AC0000}"/>
    <cellStyle name="Normal 22 2 2 3 3 2" xfId="45324" xr:uid="{00000000-0005-0000-0000-00003AAC0000}"/>
    <cellStyle name="Normal 22 2 2 3 4" xfId="32408" xr:uid="{00000000-0005-0000-0000-00003BAC0000}"/>
    <cellStyle name="Normal 22 2 2 4" xfId="9763" xr:uid="{00000000-0005-0000-0000-00003CAC0000}"/>
    <cellStyle name="Normal 22 2 2 4 2" xfId="22680" xr:uid="{00000000-0005-0000-0000-00003DAC0000}"/>
    <cellStyle name="Normal 22 2 2 4 2 2" xfId="48554" xr:uid="{00000000-0005-0000-0000-00003EAC0000}"/>
    <cellStyle name="Normal 22 2 2 4 3" xfId="35638" xr:uid="{00000000-0005-0000-0000-00003FAC0000}"/>
    <cellStyle name="Normal 22 2 2 5" xfId="16222" xr:uid="{00000000-0005-0000-0000-000040AC0000}"/>
    <cellStyle name="Normal 22 2 2 5 2" xfId="42096" xr:uid="{00000000-0005-0000-0000-000041AC0000}"/>
    <cellStyle name="Normal 22 2 2 6" xfId="29148" xr:uid="{00000000-0005-0000-0000-000042AC0000}"/>
    <cellStyle name="Normal 22 2 3" xfId="4085" xr:uid="{00000000-0005-0000-0000-000043AC0000}"/>
    <cellStyle name="Normal 22 2 3 2" xfId="7339" xr:uid="{00000000-0005-0000-0000-000044AC0000}"/>
    <cellStyle name="Normal 22 2 3 2 2" xfId="13798" xr:uid="{00000000-0005-0000-0000-000045AC0000}"/>
    <cellStyle name="Normal 22 2 3 2 2 2" xfId="26715" xr:uid="{00000000-0005-0000-0000-000046AC0000}"/>
    <cellStyle name="Normal 22 2 3 2 2 2 2" xfId="52589" xr:uid="{00000000-0005-0000-0000-000047AC0000}"/>
    <cellStyle name="Normal 22 2 3 2 2 3" xfId="39673" xr:uid="{00000000-0005-0000-0000-000048AC0000}"/>
    <cellStyle name="Normal 22 2 3 2 3" xfId="20257" xr:uid="{00000000-0005-0000-0000-000049AC0000}"/>
    <cellStyle name="Normal 22 2 3 2 3 2" xfId="46131" xr:uid="{00000000-0005-0000-0000-00004AAC0000}"/>
    <cellStyle name="Normal 22 2 3 2 4" xfId="33215" xr:uid="{00000000-0005-0000-0000-00004BAC0000}"/>
    <cellStyle name="Normal 22 2 3 3" xfId="10570" xr:uid="{00000000-0005-0000-0000-00004CAC0000}"/>
    <cellStyle name="Normal 22 2 3 3 2" xfId="23487" xr:uid="{00000000-0005-0000-0000-00004DAC0000}"/>
    <cellStyle name="Normal 22 2 3 3 2 2" xfId="49361" xr:uid="{00000000-0005-0000-0000-00004EAC0000}"/>
    <cellStyle name="Normal 22 2 3 3 3" xfId="36445" xr:uid="{00000000-0005-0000-0000-00004FAC0000}"/>
    <cellStyle name="Normal 22 2 3 4" xfId="17029" xr:uid="{00000000-0005-0000-0000-000050AC0000}"/>
    <cellStyle name="Normal 22 2 3 4 2" xfId="42903" xr:uid="{00000000-0005-0000-0000-000051AC0000}"/>
    <cellStyle name="Normal 22 2 3 5" xfId="29955" xr:uid="{00000000-0005-0000-0000-000052AC0000}"/>
    <cellStyle name="Normal 22 2 4" xfId="5725" xr:uid="{00000000-0005-0000-0000-000053AC0000}"/>
    <cellStyle name="Normal 22 2 4 2" xfId="12184" xr:uid="{00000000-0005-0000-0000-000054AC0000}"/>
    <cellStyle name="Normal 22 2 4 2 2" xfId="25101" xr:uid="{00000000-0005-0000-0000-000055AC0000}"/>
    <cellStyle name="Normal 22 2 4 2 2 2" xfId="50975" xr:uid="{00000000-0005-0000-0000-000056AC0000}"/>
    <cellStyle name="Normal 22 2 4 2 3" xfId="38059" xr:uid="{00000000-0005-0000-0000-000057AC0000}"/>
    <cellStyle name="Normal 22 2 4 3" xfId="18643" xr:uid="{00000000-0005-0000-0000-000058AC0000}"/>
    <cellStyle name="Normal 22 2 4 3 2" xfId="44517" xr:uid="{00000000-0005-0000-0000-000059AC0000}"/>
    <cellStyle name="Normal 22 2 4 4" xfId="31601" xr:uid="{00000000-0005-0000-0000-00005AAC0000}"/>
    <cellStyle name="Normal 22 2 5" xfId="8956" xr:uid="{00000000-0005-0000-0000-00005BAC0000}"/>
    <cellStyle name="Normal 22 2 5 2" xfId="21873" xr:uid="{00000000-0005-0000-0000-00005CAC0000}"/>
    <cellStyle name="Normal 22 2 5 2 2" xfId="47747" xr:uid="{00000000-0005-0000-0000-00005DAC0000}"/>
    <cellStyle name="Normal 22 2 5 3" xfId="34831" xr:uid="{00000000-0005-0000-0000-00005EAC0000}"/>
    <cellStyle name="Normal 22 2 6" xfId="15415" xr:uid="{00000000-0005-0000-0000-00005FAC0000}"/>
    <cellStyle name="Normal 22 2 6 2" xfId="41289" xr:uid="{00000000-0005-0000-0000-000060AC0000}"/>
    <cellStyle name="Normal 22 2 7" xfId="28341" xr:uid="{00000000-0005-0000-0000-000061AC0000}"/>
    <cellStyle name="Normal 22 2 8" xfId="54203" xr:uid="{00000000-0005-0000-0000-000062AC0000}"/>
    <cellStyle name="Normal 22 3" xfId="2854" xr:uid="{00000000-0005-0000-0000-000063AC0000}"/>
    <cellStyle name="Normal 22 3 2" xfId="4511" xr:uid="{00000000-0005-0000-0000-000064AC0000}"/>
    <cellStyle name="Normal 22 3 2 2" xfId="7742" xr:uid="{00000000-0005-0000-0000-000065AC0000}"/>
    <cellStyle name="Normal 22 3 2 2 2" xfId="14201" xr:uid="{00000000-0005-0000-0000-000066AC0000}"/>
    <cellStyle name="Normal 22 3 2 2 2 2" xfId="27118" xr:uid="{00000000-0005-0000-0000-000067AC0000}"/>
    <cellStyle name="Normal 22 3 2 2 2 2 2" xfId="52992" xr:uid="{00000000-0005-0000-0000-000068AC0000}"/>
    <cellStyle name="Normal 22 3 2 2 2 3" xfId="40076" xr:uid="{00000000-0005-0000-0000-000069AC0000}"/>
    <cellStyle name="Normal 22 3 2 2 3" xfId="20660" xr:uid="{00000000-0005-0000-0000-00006AAC0000}"/>
    <cellStyle name="Normal 22 3 2 2 3 2" xfId="46534" xr:uid="{00000000-0005-0000-0000-00006BAC0000}"/>
    <cellStyle name="Normal 22 3 2 2 4" xfId="33618" xr:uid="{00000000-0005-0000-0000-00006CAC0000}"/>
    <cellStyle name="Normal 22 3 2 3" xfId="10973" xr:uid="{00000000-0005-0000-0000-00006DAC0000}"/>
    <cellStyle name="Normal 22 3 2 3 2" xfId="23890" xr:uid="{00000000-0005-0000-0000-00006EAC0000}"/>
    <cellStyle name="Normal 22 3 2 3 2 2" xfId="49764" xr:uid="{00000000-0005-0000-0000-00006FAC0000}"/>
    <cellStyle name="Normal 22 3 2 3 3" xfId="36848" xr:uid="{00000000-0005-0000-0000-000070AC0000}"/>
    <cellStyle name="Normal 22 3 2 4" xfId="17432" xr:uid="{00000000-0005-0000-0000-000071AC0000}"/>
    <cellStyle name="Normal 22 3 2 4 2" xfId="43306" xr:uid="{00000000-0005-0000-0000-000072AC0000}"/>
    <cellStyle name="Normal 22 3 2 5" xfId="30358" xr:uid="{00000000-0005-0000-0000-000073AC0000}"/>
    <cellStyle name="Normal 22 3 3" xfId="6128" xr:uid="{00000000-0005-0000-0000-000074AC0000}"/>
    <cellStyle name="Normal 22 3 3 2" xfId="12587" xr:uid="{00000000-0005-0000-0000-000075AC0000}"/>
    <cellStyle name="Normal 22 3 3 2 2" xfId="25504" xr:uid="{00000000-0005-0000-0000-000076AC0000}"/>
    <cellStyle name="Normal 22 3 3 2 2 2" xfId="51378" xr:uid="{00000000-0005-0000-0000-000077AC0000}"/>
    <cellStyle name="Normal 22 3 3 2 3" xfId="38462" xr:uid="{00000000-0005-0000-0000-000078AC0000}"/>
    <cellStyle name="Normal 22 3 3 3" xfId="19046" xr:uid="{00000000-0005-0000-0000-000079AC0000}"/>
    <cellStyle name="Normal 22 3 3 3 2" xfId="44920" xr:uid="{00000000-0005-0000-0000-00007AAC0000}"/>
    <cellStyle name="Normal 22 3 3 4" xfId="32004" xr:uid="{00000000-0005-0000-0000-00007BAC0000}"/>
    <cellStyle name="Normal 22 3 4" xfId="9359" xr:uid="{00000000-0005-0000-0000-00007CAC0000}"/>
    <cellStyle name="Normal 22 3 4 2" xfId="22276" xr:uid="{00000000-0005-0000-0000-00007DAC0000}"/>
    <cellStyle name="Normal 22 3 4 2 2" xfId="48150" xr:uid="{00000000-0005-0000-0000-00007EAC0000}"/>
    <cellStyle name="Normal 22 3 4 3" xfId="35234" xr:uid="{00000000-0005-0000-0000-00007FAC0000}"/>
    <cellStyle name="Normal 22 3 5" xfId="15818" xr:uid="{00000000-0005-0000-0000-000080AC0000}"/>
    <cellStyle name="Normal 22 3 5 2" xfId="41692" xr:uid="{00000000-0005-0000-0000-000081AC0000}"/>
    <cellStyle name="Normal 22 3 6" xfId="28744" xr:uid="{00000000-0005-0000-0000-000082AC0000}"/>
    <cellStyle name="Normal 22 4" xfId="3681" xr:uid="{00000000-0005-0000-0000-000083AC0000}"/>
    <cellStyle name="Normal 22 4 2" xfId="6935" xr:uid="{00000000-0005-0000-0000-000084AC0000}"/>
    <cellStyle name="Normal 22 4 2 2" xfId="13394" xr:uid="{00000000-0005-0000-0000-000085AC0000}"/>
    <cellStyle name="Normal 22 4 2 2 2" xfId="26311" xr:uid="{00000000-0005-0000-0000-000086AC0000}"/>
    <cellStyle name="Normal 22 4 2 2 2 2" xfId="52185" xr:uid="{00000000-0005-0000-0000-000087AC0000}"/>
    <cellStyle name="Normal 22 4 2 2 3" xfId="39269" xr:uid="{00000000-0005-0000-0000-000088AC0000}"/>
    <cellStyle name="Normal 22 4 2 3" xfId="19853" xr:uid="{00000000-0005-0000-0000-000089AC0000}"/>
    <cellStyle name="Normal 22 4 2 3 2" xfId="45727" xr:uid="{00000000-0005-0000-0000-00008AAC0000}"/>
    <cellStyle name="Normal 22 4 2 4" xfId="32811" xr:uid="{00000000-0005-0000-0000-00008BAC0000}"/>
    <cellStyle name="Normal 22 4 3" xfId="10166" xr:uid="{00000000-0005-0000-0000-00008CAC0000}"/>
    <cellStyle name="Normal 22 4 3 2" xfId="23083" xr:uid="{00000000-0005-0000-0000-00008DAC0000}"/>
    <cellStyle name="Normal 22 4 3 2 2" xfId="48957" xr:uid="{00000000-0005-0000-0000-00008EAC0000}"/>
    <cellStyle name="Normal 22 4 3 3" xfId="36041" xr:uid="{00000000-0005-0000-0000-00008FAC0000}"/>
    <cellStyle name="Normal 22 4 4" xfId="16625" xr:uid="{00000000-0005-0000-0000-000090AC0000}"/>
    <cellStyle name="Normal 22 4 4 2" xfId="42499" xr:uid="{00000000-0005-0000-0000-000091AC0000}"/>
    <cellStyle name="Normal 22 4 5" xfId="29551" xr:uid="{00000000-0005-0000-0000-000092AC0000}"/>
    <cellStyle name="Normal 22 5" xfId="5321" xr:uid="{00000000-0005-0000-0000-000093AC0000}"/>
    <cellStyle name="Normal 22 5 2" xfId="11780" xr:uid="{00000000-0005-0000-0000-000094AC0000}"/>
    <cellStyle name="Normal 22 5 2 2" xfId="24697" xr:uid="{00000000-0005-0000-0000-000095AC0000}"/>
    <cellStyle name="Normal 22 5 2 2 2" xfId="50571" xr:uid="{00000000-0005-0000-0000-000096AC0000}"/>
    <cellStyle name="Normal 22 5 2 3" xfId="37655" xr:uid="{00000000-0005-0000-0000-000097AC0000}"/>
    <cellStyle name="Normal 22 5 3" xfId="18239" xr:uid="{00000000-0005-0000-0000-000098AC0000}"/>
    <cellStyle name="Normal 22 5 3 2" xfId="44113" xr:uid="{00000000-0005-0000-0000-000099AC0000}"/>
    <cellStyle name="Normal 22 5 4" xfId="31197" xr:uid="{00000000-0005-0000-0000-00009AAC0000}"/>
    <cellStyle name="Normal 22 6" xfId="8552" xr:uid="{00000000-0005-0000-0000-00009BAC0000}"/>
    <cellStyle name="Normal 22 6 2" xfId="21469" xr:uid="{00000000-0005-0000-0000-00009CAC0000}"/>
    <cellStyle name="Normal 22 6 2 2" xfId="47343" xr:uid="{00000000-0005-0000-0000-00009DAC0000}"/>
    <cellStyle name="Normal 22 6 3" xfId="34427" xr:uid="{00000000-0005-0000-0000-00009EAC0000}"/>
    <cellStyle name="Normal 22 7" xfId="15011" xr:uid="{00000000-0005-0000-0000-00009FAC0000}"/>
    <cellStyle name="Normal 22 7 2" xfId="40885" xr:uid="{00000000-0005-0000-0000-0000A0AC0000}"/>
    <cellStyle name="Normal 22 8" xfId="27937" xr:uid="{00000000-0005-0000-0000-0000A1AC0000}"/>
    <cellStyle name="Normal 22 9" xfId="53799" xr:uid="{00000000-0005-0000-0000-0000A2AC0000}"/>
    <cellStyle name="Normal 23" xfId="2050" xr:uid="{00000000-0005-0000-0000-0000A3AC0000}"/>
    <cellStyle name="Normal 23 2" xfId="2868" xr:uid="{00000000-0005-0000-0000-0000A4AC0000}"/>
    <cellStyle name="Normal 23 2 2" xfId="4525" xr:uid="{00000000-0005-0000-0000-0000A5AC0000}"/>
    <cellStyle name="Normal 23 2 2 2" xfId="7756" xr:uid="{00000000-0005-0000-0000-0000A6AC0000}"/>
    <cellStyle name="Normal 23 2 2 2 2" xfId="14215" xr:uid="{00000000-0005-0000-0000-0000A7AC0000}"/>
    <cellStyle name="Normal 23 2 2 2 2 2" xfId="27132" xr:uid="{00000000-0005-0000-0000-0000A8AC0000}"/>
    <cellStyle name="Normal 23 2 2 2 2 2 2" xfId="53006" xr:uid="{00000000-0005-0000-0000-0000A9AC0000}"/>
    <cellStyle name="Normal 23 2 2 2 2 3" xfId="40090" xr:uid="{00000000-0005-0000-0000-0000AAAC0000}"/>
    <cellStyle name="Normal 23 2 2 2 3" xfId="20674" xr:uid="{00000000-0005-0000-0000-0000ABAC0000}"/>
    <cellStyle name="Normal 23 2 2 2 3 2" xfId="46548" xr:uid="{00000000-0005-0000-0000-0000ACAC0000}"/>
    <cellStyle name="Normal 23 2 2 2 4" xfId="33632" xr:uid="{00000000-0005-0000-0000-0000ADAC0000}"/>
    <cellStyle name="Normal 23 2 2 3" xfId="10987" xr:uid="{00000000-0005-0000-0000-0000AEAC0000}"/>
    <cellStyle name="Normal 23 2 2 3 2" xfId="23904" xr:uid="{00000000-0005-0000-0000-0000AFAC0000}"/>
    <cellStyle name="Normal 23 2 2 3 2 2" xfId="49778" xr:uid="{00000000-0005-0000-0000-0000B0AC0000}"/>
    <cellStyle name="Normal 23 2 2 3 3" xfId="36862" xr:uid="{00000000-0005-0000-0000-0000B1AC0000}"/>
    <cellStyle name="Normal 23 2 2 4" xfId="17446" xr:uid="{00000000-0005-0000-0000-0000B2AC0000}"/>
    <cellStyle name="Normal 23 2 2 4 2" xfId="43320" xr:uid="{00000000-0005-0000-0000-0000B3AC0000}"/>
    <cellStyle name="Normal 23 2 2 5" xfId="30372" xr:uid="{00000000-0005-0000-0000-0000B4AC0000}"/>
    <cellStyle name="Normal 23 2 3" xfId="6142" xr:uid="{00000000-0005-0000-0000-0000B5AC0000}"/>
    <cellStyle name="Normal 23 2 3 2" xfId="12601" xr:uid="{00000000-0005-0000-0000-0000B6AC0000}"/>
    <cellStyle name="Normal 23 2 3 2 2" xfId="25518" xr:uid="{00000000-0005-0000-0000-0000B7AC0000}"/>
    <cellStyle name="Normal 23 2 3 2 2 2" xfId="51392" xr:uid="{00000000-0005-0000-0000-0000B8AC0000}"/>
    <cellStyle name="Normal 23 2 3 2 3" xfId="38476" xr:uid="{00000000-0005-0000-0000-0000B9AC0000}"/>
    <cellStyle name="Normal 23 2 3 3" xfId="19060" xr:uid="{00000000-0005-0000-0000-0000BAAC0000}"/>
    <cellStyle name="Normal 23 2 3 3 2" xfId="44934" xr:uid="{00000000-0005-0000-0000-0000BBAC0000}"/>
    <cellStyle name="Normal 23 2 3 4" xfId="32018" xr:uid="{00000000-0005-0000-0000-0000BCAC0000}"/>
    <cellStyle name="Normal 23 2 4" xfId="9373" xr:uid="{00000000-0005-0000-0000-0000BDAC0000}"/>
    <cellStyle name="Normal 23 2 4 2" xfId="22290" xr:uid="{00000000-0005-0000-0000-0000BEAC0000}"/>
    <cellStyle name="Normal 23 2 4 2 2" xfId="48164" xr:uid="{00000000-0005-0000-0000-0000BFAC0000}"/>
    <cellStyle name="Normal 23 2 4 3" xfId="35248" xr:uid="{00000000-0005-0000-0000-0000C0AC0000}"/>
    <cellStyle name="Normal 23 2 5" xfId="15832" xr:uid="{00000000-0005-0000-0000-0000C1AC0000}"/>
    <cellStyle name="Normal 23 2 5 2" xfId="41706" xr:uid="{00000000-0005-0000-0000-0000C2AC0000}"/>
    <cellStyle name="Normal 23 2 6" xfId="28758" xr:uid="{00000000-0005-0000-0000-0000C3AC0000}"/>
    <cellStyle name="Normal 23 3" xfId="3695" xr:uid="{00000000-0005-0000-0000-0000C4AC0000}"/>
    <cellStyle name="Normal 23 3 2" xfId="6949" xr:uid="{00000000-0005-0000-0000-0000C5AC0000}"/>
    <cellStyle name="Normal 23 3 2 2" xfId="13408" xr:uid="{00000000-0005-0000-0000-0000C6AC0000}"/>
    <cellStyle name="Normal 23 3 2 2 2" xfId="26325" xr:uid="{00000000-0005-0000-0000-0000C7AC0000}"/>
    <cellStyle name="Normal 23 3 2 2 2 2" xfId="52199" xr:uid="{00000000-0005-0000-0000-0000C8AC0000}"/>
    <cellStyle name="Normal 23 3 2 2 3" xfId="39283" xr:uid="{00000000-0005-0000-0000-0000C9AC0000}"/>
    <cellStyle name="Normal 23 3 2 3" xfId="19867" xr:uid="{00000000-0005-0000-0000-0000CAAC0000}"/>
    <cellStyle name="Normal 23 3 2 3 2" xfId="45741" xr:uid="{00000000-0005-0000-0000-0000CBAC0000}"/>
    <cellStyle name="Normal 23 3 2 4" xfId="32825" xr:uid="{00000000-0005-0000-0000-0000CCAC0000}"/>
    <cellStyle name="Normal 23 3 3" xfId="10180" xr:uid="{00000000-0005-0000-0000-0000CDAC0000}"/>
    <cellStyle name="Normal 23 3 3 2" xfId="23097" xr:uid="{00000000-0005-0000-0000-0000CEAC0000}"/>
    <cellStyle name="Normal 23 3 3 2 2" xfId="48971" xr:uid="{00000000-0005-0000-0000-0000CFAC0000}"/>
    <cellStyle name="Normal 23 3 3 3" xfId="36055" xr:uid="{00000000-0005-0000-0000-0000D0AC0000}"/>
    <cellStyle name="Normal 23 3 4" xfId="16639" xr:uid="{00000000-0005-0000-0000-0000D1AC0000}"/>
    <cellStyle name="Normal 23 3 4 2" xfId="42513" xr:uid="{00000000-0005-0000-0000-0000D2AC0000}"/>
    <cellStyle name="Normal 23 3 5" xfId="29565" xr:uid="{00000000-0005-0000-0000-0000D3AC0000}"/>
    <cellStyle name="Normal 23 4" xfId="5335" xr:uid="{00000000-0005-0000-0000-0000D4AC0000}"/>
    <cellStyle name="Normal 23 4 2" xfId="11794" xr:uid="{00000000-0005-0000-0000-0000D5AC0000}"/>
    <cellStyle name="Normal 23 4 2 2" xfId="24711" xr:uid="{00000000-0005-0000-0000-0000D6AC0000}"/>
    <cellStyle name="Normal 23 4 2 2 2" xfId="50585" xr:uid="{00000000-0005-0000-0000-0000D7AC0000}"/>
    <cellStyle name="Normal 23 4 2 3" xfId="37669" xr:uid="{00000000-0005-0000-0000-0000D8AC0000}"/>
    <cellStyle name="Normal 23 4 3" xfId="18253" xr:uid="{00000000-0005-0000-0000-0000D9AC0000}"/>
    <cellStyle name="Normal 23 4 3 2" xfId="44127" xr:uid="{00000000-0005-0000-0000-0000DAAC0000}"/>
    <cellStyle name="Normal 23 4 4" xfId="31211" xr:uid="{00000000-0005-0000-0000-0000DBAC0000}"/>
    <cellStyle name="Normal 23 5" xfId="8566" xr:uid="{00000000-0005-0000-0000-0000DCAC0000}"/>
    <cellStyle name="Normal 23 5 2" xfId="21483" xr:uid="{00000000-0005-0000-0000-0000DDAC0000}"/>
    <cellStyle name="Normal 23 5 2 2" xfId="47357" xr:uid="{00000000-0005-0000-0000-0000DEAC0000}"/>
    <cellStyle name="Normal 23 5 3" xfId="34441" xr:uid="{00000000-0005-0000-0000-0000DFAC0000}"/>
    <cellStyle name="Normal 23 6" xfId="15025" xr:uid="{00000000-0005-0000-0000-0000E0AC0000}"/>
    <cellStyle name="Normal 23 6 2" xfId="40899" xr:uid="{00000000-0005-0000-0000-0000E1AC0000}"/>
    <cellStyle name="Normal 23 7" xfId="27951" xr:uid="{00000000-0005-0000-0000-0000E2AC0000}"/>
    <cellStyle name="Normal 23 8" xfId="53813" xr:uid="{00000000-0005-0000-0000-0000E3AC0000}"/>
    <cellStyle name="Normal 24" xfId="2465" xr:uid="{00000000-0005-0000-0000-0000E4AC0000}"/>
    <cellStyle name="Normal 24 2" xfId="4122" xr:uid="{00000000-0005-0000-0000-0000E5AC0000}"/>
    <cellStyle name="Normal 24 2 2" xfId="7353" xr:uid="{00000000-0005-0000-0000-0000E6AC0000}"/>
    <cellStyle name="Normal 24 2 2 2" xfId="13812" xr:uid="{00000000-0005-0000-0000-0000E7AC0000}"/>
    <cellStyle name="Normal 24 2 2 2 2" xfId="26729" xr:uid="{00000000-0005-0000-0000-0000E8AC0000}"/>
    <cellStyle name="Normal 24 2 2 2 2 2" xfId="52603" xr:uid="{00000000-0005-0000-0000-0000E9AC0000}"/>
    <cellStyle name="Normal 24 2 2 2 3" xfId="39687" xr:uid="{00000000-0005-0000-0000-0000EAAC0000}"/>
    <cellStyle name="Normal 24 2 2 3" xfId="20271" xr:uid="{00000000-0005-0000-0000-0000EBAC0000}"/>
    <cellStyle name="Normal 24 2 2 3 2" xfId="46145" xr:uid="{00000000-0005-0000-0000-0000ECAC0000}"/>
    <cellStyle name="Normal 24 2 2 4" xfId="33229" xr:uid="{00000000-0005-0000-0000-0000EDAC0000}"/>
    <cellStyle name="Normal 24 2 3" xfId="10584" xr:uid="{00000000-0005-0000-0000-0000EEAC0000}"/>
    <cellStyle name="Normal 24 2 3 2" xfId="23501" xr:uid="{00000000-0005-0000-0000-0000EFAC0000}"/>
    <cellStyle name="Normal 24 2 3 2 2" xfId="49375" xr:uid="{00000000-0005-0000-0000-0000F0AC0000}"/>
    <cellStyle name="Normal 24 2 3 3" xfId="36459" xr:uid="{00000000-0005-0000-0000-0000F1AC0000}"/>
    <cellStyle name="Normal 24 2 4" xfId="17043" xr:uid="{00000000-0005-0000-0000-0000F2AC0000}"/>
    <cellStyle name="Normal 24 2 4 2" xfId="42917" xr:uid="{00000000-0005-0000-0000-0000F3AC0000}"/>
    <cellStyle name="Normal 24 2 5" xfId="29969" xr:uid="{00000000-0005-0000-0000-0000F4AC0000}"/>
    <cellStyle name="Normal 24 3" xfId="5739" xr:uid="{00000000-0005-0000-0000-0000F5AC0000}"/>
    <cellStyle name="Normal 24 3 2" xfId="12198" xr:uid="{00000000-0005-0000-0000-0000F6AC0000}"/>
    <cellStyle name="Normal 24 3 2 2" xfId="25115" xr:uid="{00000000-0005-0000-0000-0000F7AC0000}"/>
    <cellStyle name="Normal 24 3 2 2 2" xfId="50989" xr:uid="{00000000-0005-0000-0000-0000F8AC0000}"/>
    <cellStyle name="Normal 24 3 2 3" xfId="38073" xr:uid="{00000000-0005-0000-0000-0000F9AC0000}"/>
    <cellStyle name="Normal 24 3 3" xfId="18657" xr:uid="{00000000-0005-0000-0000-0000FAAC0000}"/>
    <cellStyle name="Normal 24 3 3 2" xfId="44531" xr:uid="{00000000-0005-0000-0000-0000FBAC0000}"/>
    <cellStyle name="Normal 24 3 4" xfId="31615" xr:uid="{00000000-0005-0000-0000-0000FCAC0000}"/>
    <cellStyle name="Normal 24 4" xfId="8970" xr:uid="{00000000-0005-0000-0000-0000FDAC0000}"/>
    <cellStyle name="Normal 24 4 2" xfId="21887" xr:uid="{00000000-0005-0000-0000-0000FEAC0000}"/>
    <cellStyle name="Normal 24 4 2 2" xfId="47761" xr:uid="{00000000-0005-0000-0000-0000FFAC0000}"/>
    <cellStyle name="Normal 24 4 3" xfId="34845" xr:uid="{00000000-0005-0000-0000-000000AD0000}"/>
    <cellStyle name="Normal 24 5" xfId="15429" xr:uid="{00000000-0005-0000-0000-000001AD0000}"/>
    <cellStyle name="Normal 24 5 2" xfId="41303" xr:uid="{00000000-0005-0000-0000-000002AD0000}"/>
    <cellStyle name="Normal 24 6" xfId="28355" xr:uid="{00000000-0005-0000-0000-000003AD0000}"/>
    <cellStyle name="Normal 25" xfId="4099" xr:uid="{00000000-0005-0000-0000-000004AD0000}"/>
    <cellStyle name="Normal 25 2" xfId="3410" xr:uid="{00000000-0005-0000-0000-000005AD0000}"/>
    <cellStyle name="Normal 26" xfId="3272" xr:uid="{00000000-0005-0000-0000-000006AD0000}"/>
    <cellStyle name="Normal 26 2" xfId="6546" xr:uid="{00000000-0005-0000-0000-000007AD0000}"/>
    <cellStyle name="Normal 26 2 2" xfId="13005" xr:uid="{00000000-0005-0000-0000-000008AD0000}"/>
    <cellStyle name="Normal 26 2 2 2" xfId="25922" xr:uid="{00000000-0005-0000-0000-000009AD0000}"/>
    <cellStyle name="Normal 26 2 2 2 2" xfId="51796" xr:uid="{00000000-0005-0000-0000-00000AAD0000}"/>
    <cellStyle name="Normal 26 2 2 3" xfId="38880" xr:uid="{00000000-0005-0000-0000-00000BAD0000}"/>
    <cellStyle name="Normal 26 2 3" xfId="19464" xr:uid="{00000000-0005-0000-0000-00000CAD0000}"/>
    <cellStyle name="Normal 26 2 3 2" xfId="45338" xr:uid="{00000000-0005-0000-0000-00000DAD0000}"/>
    <cellStyle name="Normal 26 2 4" xfId="32422" xr:uid="{00000000-0005-0000-0000-00000EAD0000}"/>
    <cellStyle name="Normal 26 3" xfId="9777" xr:uid="{00000000-0005-0000-0000-00000FAD0000}"/>
    <cellStyle name="Normal 26 3 2" xfId="22694" xr:uid="{00000000-0005-0000-0000-000010AD0000}"/>
    <cellStyle name="Normal 26 3 2 2" xfId="48568" xr:uid="{00000000-0005-0000-0000-000011AD0000}"/>
    <cellStyle name="Normal 26 3 3" xfId="35652" xr:uid="{00000000-0005-0000-0000-000012AD0000}"/>
    <cellStyle name="Normal 26 4" xfId="16236" xr:uid="{00000000-0005-0000-0000-000013AD0000}"/>
    <cellStyle name="Normal 26 4 2" xfId="42110" xr:uid="{00000000-0005-0000-0000-000014AD0000}"/>
    <cellStyle name="Normal 26 5" xfId="29162" xr:uid="{00000000-0005-0000-0000-000015AD0000}"/>
    <cellStyle name="Normal 27" xfId="4932" xr:uid="{00000000-0005-0000-0000-000016AD0000}"/>
    <cellStyle name="Normal 27 2" xfId="11391" xr:uid="{00000000-0005-0000-0000-000017AD0000}"/>
    <cellStyle name="Normal 27 2 2" xfId="24308" xr:uid="{00000000-0005-0000-0000-000018AD0000}"/>
    <cellStyle name="Normal 27 2 2 2" xfId="50182" xr:uid="{00000000-0005-0000-0000-000019AD0000}"/>
    <cellStyle name="Normal 27 2 3" xfId="37266" xr:uid="{00000000-0005-0000-0000-00001AAD0000}"/>
    <cellStyle name="Normal 27 3" xfId="17850" xr:uid="{00000000-0005-0000-0000-00001BAD0000}"/>
    <cellStyle name="Normal 27 3 2" xfId="43724" xr:uid="{00000000-0005-0000-0000-00001CAD0000}"/>
    <cellStyle name="Normal 27 4" xfId="30808" xr:uid="{00000000-0005-0000-0000-00001DAD0000}"/>
    <cellStyle name="Normal 28" xfId="8195" xr:uid="{00000000-0005-0000-0000-00001EAD0000}"/>
    <cellStyle name="Normal 28 2" xfId="14619" xr:uid="{00000000-0005-0000-0000-00001FAD0000}"/>
    <cellStyle name="Normal 28 3" xfId="27536" xr:uid="{00000000-0005-0000-0000-000020AD0000}"/>
    <cellStyle name="Normal 29" xfId="8160" xr:uid="{00000000-0005-0000-0000-000021AD0000}"/>
    <cellStyle name="Normal 29 2" xfId="21078" xr:uid="{00000000-0005-0000-0000-000022AD0000}"/>
    <cellStyle name="Normal 29 2 2" xfId="46952" xr:uid="{00000000-0005-0000-0000-000023AD0000}"/>
    <cellStyle name="Normal 29 3" xfId="34036" xr:uid="{00000000-0005-0000-0000-000024AD0000}"/>
    <cellStyle name="Normal 3" xfId="3" xr:uid="{00000000-0005-0000-0000-000025AD0000}"/>
    <cellStyle name="Normal 3 10" xfId="913" xr:uid="{00000000-0005-0000-0000-000026AD0000}"/>
    <cellStyle name="Normal 3 11" xfId="912" xr:uid="{00000000-0005-0000-0000-000027AD0000}"/>
    <cellStyle name="Normal 3 12" xfId="1325" xr:uid="{00000000-0005-0000-0000-000028AD0000}"/>
    <cellStyle name="Normal 3 2" xfId="64" xr:uid="{00000000-0005-0000-0000-000029AD0000}"/>
    <cellStyle name="Normal 3 2 2" xfId="150" xr:uid="{00000000-0005-0000-0000-00002AAD0000}"/>
    <cellStyle name="Normal 3 2 3" xfId="208" xr:uid="{00000000-0005-0000-0000-00002BAD0000}"/>
    <cellStyle name="Normal 3 2 4" xfId="1543" xr:uid="{00000000-0005-0000-0000-00002CAD0000}"/>
    <cellStyle name="Normal 3 2 5" xfId="149" xr:uid="{00000000-0005-0000-0000-00002DAD0000}"/>
    <cellStyle name="Normal 3 3" xfId="66" xr:uid="{00000000-0005-0000-0000-00002EAD0000}"/>
    <cellStyle name="Normal 3 3 10" xfId="14718" xr:uid="{00000000-0005-0000-0000-00002FAD0000}"/>
    <cellStyle name="Normal 3 3 10 2" xfId="40592" xr:uid="{00000000-0005-0000-0000-000030AD0000}"/>
    <cellStyle name="Normal 3 3 11" xfId="27642" xr:uid="{00000000-0005-0000-0000-000031AD0000}"/>
    <cellStyle name="Normal 3 3 12" xfId="53507" xr:uid="{00000000-0005-0000-0000-000032AD0000}"/>
    <cellStyle name="Normal 3 3 13" xfId="1586" xr:uid="{00000000-0005-0000-0000-000033AD0000}"/>
    <cellStyle name="Normal 3 3 2" xfId="299" xr:uid="{00000000-0005-0000-0000-000034AD0000}"/>
    <cellStyle name="Normal 3 3 2 10" xfId="53559" xr:uid="{00000000-0005-0000-0000-000035AD0000}"/>
    <cellStyle name="Normal 3 3 2 11" xfId="1643" xr:uid="{00000000-0005-0000-0000-000036AD0000}"/>
    <cellStyle name="Normal 3 3 2 2" xfId="448" xr:uid="{00000000-0005-0000-0000-000037AD0000}"/>
    <cellStyle name="Normal 3 3 2 2 10" xfId="1968" xr:uid="{00000000-0005-0000-0000-000038AD0000}"/>
    <cellStyle name="Normal 3 3 2 2 2" xfId="917" xr:uid="{00000000-0005-0000-0000-000039AD0000}"/>
    <cellStyle name="Normal 3 3 2 2 2 2" xfId="3212" xr:uid="{00000000-0005-0000-0000-00003AAD0000}"/>
    <cellStyle name="Normal 3 3 2 2 2 2 2" xfId="4869" xr:uid="{00000000-0005-0000-0000-00003BAD0000}"/>
    <cellStyle name="Normal 3 3 2 2 2 2 2 2" xfId="8100" xr:uid="{00000000-0005-0000-0000-00003CAD0000}"/>
    <cellStyle name="Normal 3 3 2 2 2 2 2 2 2" xfId="14559" xr:uid="{00000000-0005-0000-0000-00003DAD0000}"/>
    <cellStyle name="Normal 3 3 2 2 2 2 2 2 2 2" xfId="27476" xr:uid="{00000000-0005-0000-0000-00003EAD0000}"/>
    <cellStyle name="Normal 3 3 2 2 2 2 2 2 2 2 2" xfId="53350" xr:uid="{00000000-0005-0000-0000-00003FAD0000}"/>
    <cellStyle name="Normal 3 3 2 2 2 2 2 2 2 3" xfId="40434" xr:uid="{00000000-0005-0000-0000-000040AD0000}"/>
    <cellStyle name="Normal 3 3 2 2 2 2 2 2 3" xfId="21018" xr:uid="{00000000-0005-0000-0000-000041AD0000}"/>
    <cellStyle name="Normal 3 3 2 2 2 2 2 2 3 2" xfId="46892" xr:uid="{00000000-0005-0000-0000-000042AD0000}"/>
    <cellStyle name="Normal 3 3 2 2 2 2 2 2 4" xfId="33976" xr:uid="{00000000-0005-0000-0000-000043AD0000}"/>
    <cellStyle name="Normal 3 3 2 2 2 2 2 3" xfId="11331" xr:uid="{00000000-0005-0000-0000-000044AD0000}"/>
    <cellStyle name="Normal 3 3 2 2 2 2 2 3 2" xfId="24248" xr:uid="{00000000-0005-0000-0000-000045AD0000}"/>
    <cellStyle name="Normal 3 3 2 2 2 2 2 3 2 2" xfId="50122" xr:uid="{00000000-0005-0000-0000-000046AD0000}"/>
    <cellStyle name="Normal 3 3 2 2 2 2 2 3 3" xfId="37206" xr:uid="{00000000-0005-0000-0000-000047AD0000}"/>
    <cellStyle name="Normal 3 3 2 2 2 2 2 4" xfId="17790" xr:uid="{00000000-0005-0000-0000-000048AD0000}"/>
    <cellStyle name="Normal 3 3 2 2 2 2 2 4 2" xfId="43664" xr:uid="{00000000-0005-0000-0000-000049AD0000}"/>
    <cellStyle name="Normal 3 3 2 2 2 2 2 5" xfId="30716" xr:uid="{00000000-0005-0000-0000-00004AAD0000}"/>
    <cellStyle name="Normal 3 3 2 2 2 2 3" xfId="6486" xr:uid="{00000000-0005-0000-0000-00004BAD0000}"/>
    <cellStyle name="Normal 3 3 2 2 2 2 3 2" xfId="12945" xr:uid="{00000000-0005-0000-0000-00004CAD0000}"/>
    <cellStyle name="Normal 3 3 2 2 2 2 3 2 2" xfId="25862" xr:uid="{00000000-0005-0000-0000-00004DAD0000}"/>
    <cellStyle name="Normal 3 3 2 2 2 2 3 2 2 2" xfId="51736" xr:uid="{00000000-0005-0000-0000-00004EAD0000}"/>
    <cellStyle name="Normal 3 3 2 2 2 2 3 2 3" xfId="38820" xr:uid="{00000000-0005-0000-0000-00004FAD0000}"/>
    <cellStyle name="Normal 3 3 2 2 2 2 3 3" xfId="19404" xr:uid="{00000000-0005-0000-0000-000050AD0000}"/>
    <cellStyle name="Normal 3 3 2 2 2 2 3 3 2" xfId="45278" xr:uid="{00000000-0005-0000-0000-000051AD0000}"/>
    <cellStyle name="Normal 3 3 2 2 2 2 3 4" xfId="32362" xr:uid="{00000000-0005-0000-0000-000052AD0000}"/>
    <cellStyle name="Normal 3 3 2 2 2 2 4" xfId="9717" xr:uid="{00000000-0005-0000-0000-000053AD0000}"/>
    <cellStyle name="Normal 3 3 2 2 2 2 4 2" xfId="22634" xr:uid="{00000000-0005-0000-0000-000054AD0000}"/>
    <cellStyle name="Normal 3 3 2 2 2 2 4 2 2" xfId="48508" xr:uid="{00000000-0005-0000-0000-000055AD0000}"/>
    <cellStyle name="Normal 3 3 2 2 2 2 4 3" xfId="35592" xr:uid="{00000000-0005-0000-0000-000056AD0000}"/>
    <cellStyle name="Normal 3 3 2 2 2 2 5" xfId="16176" xr:uid="{00000000-0005-0000-0000-000057AD0000}"/>
    <cellStyle name="Normal 3 3 2 2 2 2 5 2" xfId="42050" xr:uid="{00000000-0005-0000-0000-000058AD0000}"/>
    <cellStyle name="Normal 3 3 2 2 2 2 6" xfId="29102" xr:uid="{00000000-0005-0000-0000-000059AD0000}"/>
    <cellStyle name="Normal 3 3 2 2 2 3" xfId="4039" xr:uid="{00000000-0005-0000-0000-00005AAD0000}"/>
    <cellStyle name="Normal 3 3 2 2 2 3 2" xfId="7293" xr:uid="{00000000-0005-0000-0000-00005BAD0000}"/>
    <cellStyle name="Normal 3 3 2 2 2 3 2 2" xfId="13752" xr:uid="{00000000-0005-0000-0000-00005CAD0000}"/>
    <cellStyle name="Normal 3 3 2 2 2 3 2 2 2" xfId="26669" xr:uid="{00000000-0005-0000-0000-00005DAD0000}"/>
    <cellStyle name="Normal 3 3 2 2 2 3 2 2 2 2" xfId="52543" xr:uid="{00000000-0005-0000-0000-00005EAD0000}"/>
    <cellStyle name="Normal 3 3 2 2 2 3 2 2 3" xfId="39627" xr:uid="{00000000-0005-0000-0000-00005FAD0000}"/>
    <cellStyle name="Normal 3 3 2 2 2 3 2 3" xfId="20211" xr:uid="{00000000-0005-0000-0000-000060AD0000}"/>
    <cellStyle name="Normal 3 3 2 2 2 3 2 3 2" xfId="46085" xr:uid="{00000000-0005-0000-0000-000061AD0000}"/>
    <cellStyle name="Normal 3 3 2 2 2 3 2 4" xfId="33169" xr:uid="{00000000-0005-0000-0000-000062AD0000}"/>
    <cellStyle name="Normal 3 3 2 2 2 3 3" xfId="10524" xr:uid="{00000000-0005-0000-0000-000063AD0000}"/>
    <cellStyle name="Normal 3 3 2 2 2 3 3 2" xfId="23441" xr:uid="{00000000-0005-0000-0000-000064AD0000}"/>
    <cellStyle name="Normal 3 3 2 2 2 3 3 2 2" xfId="49315" xr:uid="{00000000-0005-0000-0000-000065AD0000}"/>
    <cellStyle name="Normal 3 3 2 2 2 3 3 3" xfId="36399" xr:uid="{00000000-0005-0000-0000-000066AD0000}"/>
    <cellStyle name="Normal 3 3 2 2 2 3 4" xfId="16983" xr:uid="{00000000-0005-0000-0000-000067AD0000}"/>
    <cellStyle name="Normal 3 3 2 2 2 3 4 2" xfId="42857" xr:uid="{00000000-0005-0000-0000-000068AD0000}"/>
    <cellStyle name="Normal 3 3 2 2 2 3 5" xfId="29909" xr:uid="{00000000-0005-0000-0000-000069AD0000}"/>
    <cellStyle name="Normal 3 3 2 2 2 4" xfId="5679" xr:uid="{00000000-0005-0000-0000-00006AAD0000}"/>
    <cellStyle name="Normal 3 3 2 2 2 4 2" xfId="12138" xr:uid="{00000000-0005-0000-0000-00006BAD0000}"/>
    <cellStyle name="Normal 3 3 2 2 2 4 2 2" xfId="25055" xr:uid="{00000000-0005-0000-0000-00006CAD0000}"/>
    <cellStyle name="Normal 3 3 2 2 2 4 2 2 2" xfId="50929" xr:uid="{00000000-0005-0000-0000-00006DAD0000}"/>
    <cellStyle name="Normal 3 3 2 2 2 4 2 3" xfId="38013" xr:uid="{00000000-0005-0000-0000-00006EAD0000}"/>
    <cellStyle name="Normal 3 3 2 2 2 4 3" xfId="18597" xr:uid="{00000000-0005-0000-0000-00006FAD0000}"/>
    <cellStyle name="Normal 3 3 2 2 2 4 3 2" xfId="44471" xr:uid="{00000000-0005-0000-0000-000070AD0000}"/>
    <cellStyle name="Normal 3 3 2 2 2 4 4" xfId="31555" xr:uid="{00000000-0005-0000-0000-000071AD0000}"/>
    <cellStyle name="Normal 3 3 2 2 2 5" xfId="8910" xr:uid="{00000000-0005-0000-0000-000072AD0000}"/>
    <cellStyle name="Normal 3 3 2 2 2 5 2" xfId="21827" xr:uid="{00000000-0005-0000-0000-000073AD0000}"/>
    <cellStyle name="Normal 3 3 2 2 2 5 2 2" xfId="47701" xr:uid="{00000000-0005-0000-0000-000074AD0000}"/>
    <cellStyle name="Normal 3 3 2 2 2 5 3" xfId="34785" xr:uid="{00000000-0005-0000-0000-000075AD0000}"/>
    <cellStyle name="Normal 3 3 2 2 2 6" xfId="15369" xr:uid="{00000000-0005-0000-0000-000076AD0000}"/>
    <cellStyle name="Normal 3 3 2 2 2 6 2" xfId="41243" xr:uid="{00000000-0005-0000-0000-000077AD0000}"/>
    <cellStyle name="Normal 3 3 2 2 2 7" xfId="28295" xr:uid="{00000000-0005-0000-0000-000078AD0000}"/>
    <cellStyle name="Normal 3 3 2 2 2 8" xfId="54157" xr:uid="{00000000-0005-0000-0000-000079AD0000}"/>
    <cellStyle name="Normal 3 3 2 2 2 9" xfId="2399" xr:uid="{00000000-0005-0000-0000-00007AAD0000}"/>
    <cellStyle name="Normal 3 3 2 2 3" xfId="916" xr:uid="{00000000-0005-0000-0000-00007BAD0000}"/>
    <cellStyle name="Normal 3 3 2 2 3 2" xfId="4465" xr:uid="{00000000-0005-0000-0000-00007CAD0000}"/>
    <cellStyle name="Normal 3 3 2 2 3 2 2" xfId="7696" xr:uid="{00000000-0005-0000-0000-00007DAD0000}"/>
    <cellStyle name="Normal 3 3 2 2 3 2 2 2" xfId="14155" xr:uid="{00000000-0005-0000-0000-00007EAD0000}"/>
    <cellStyle name="Normal 3 3 2 2 3 2 2 2 2" xfId="27072" xr:uid="{00000000-0005-0000-0000-00007FAD0000}"/>
    <cellStyle name="Normal 3 3 2 2 3 2 2 2 2 2" xfId="52946" xr:uid="{00000000-0005-0000-0000-000080AD0000}"/>
    <cellStyle name="Normal 3 3 2 2 3 2 2 2 3" xfId="40030" xr:uid="{00000000-0005-0000-0000-000081AD0000}"/>
    <cellStyle name="Normal 3 3 2 2 3 2 2 3" xfId="20614" xr:uid="{00000000-0005-0000-0000-000082AD0000}"/>
    <cellStyle name="Normal 3 3 2 2 3 2 2 3 2" xfId="46488" xr:uid="{00000000-0005-0000-0000-000083AD0000}"/>
    <cellStyle name="Normal 3 3 2 2 3 2 2 4" xfId="33572" xr:uid="{00000000-0005-0000-0000-000084AD0000}"/>
    <cellStyle name="Normal 3 3 2 2 3 2 3" xfId="10927" xr:uid="{00000000-0005-0000-0000-000085AD0000}"/>
    <cellStyle name="Normal 3 3 2 2 3 2 3 2" xfId="23844" xr:uid="{00000000-0005-0000-0000-000086AD0000}"/>
    <cellStyle name="Normal 3 3 2 2 3 2 3 2 2" xfId="49718" xr:uid="{00000000-0005-0000-0000-000087AD0000}"/>
    <cellStyle name="Normal 3 3 2 2 3 2 3 3" xfId="36802" xr:uid="{00000000-0005-0000-0000-000088AD0000}"/>
    <cellStyle name="Normal 3 3 2 2 3 2 4" xfId="17386" xr:uid="{00000000-0005-0000-0000-000089AD0000}"/>
    <cellStyle name="Normal 3 3 2 2 3 2 4 2" xfId="43260" xr:uid="{00000000-0005-0000-0000-00008AAD0000}"/>
    <cellStyle name="Normal 3 3 2 2 3 2 5" xfId="30312" xr:uid="{00000000-0005-0000-0000-00008BAD0000}"/>
    <cellStyle name="Normal 3 3 2 2 3 3" xfId="6082" xr:uid="{00000000-0005-0000-0000-00008CAD0000}"/>
    <cellStyle name="Normal 3 3 2 2 3 3 2" xfId="12541" xr:uid="{00000000-0005-0000-0000-00008DAD0000}"/>
    <cellStyle name="Normal 3 3 2 2 3 3 2 2" xfId="25458" xr:uid="{00000000-0005-0000-0000-00008EAD0000}"/>
    <cellStyle name="Normal 3 3 2 2 3 3 2 2 2" xfId="51332" xr:uid="{00000000-0005-0000-0000-00008FAD0000}"/>
    <cellStyle name="Normal 3 3 2 2 3 3 2 3" xfId="38416" xr:uid="{00000000-0005-0000-0000-000090AD0000}"/>
    <cellStyle name="Normal 3 3 2 2 3 3 3" xfId="19000" xr:uid="{00000000-0005-0000-0000-000091AD0000}"/>
    <cellStyle name="Normal 3 3 2 2 3 3 3 2" xfId="44874" xr:uid="{00000000-0005-0000-0000-000092AD0000}"/>
    <cellStyle name="Normal 3 3 2 2 3 3 4" xfId="31958" xr:uid="{00000000-0005-0000-0000-000093AD0000}"/>
    <cellStyle name="Normal 3 3 2 2 3 4" xfId="9313" xr:uid="{00000000-0005-0000-0000-000094AD0000}"/>
    <cellStyle name="Normal 3 3 2 2 3 4 2" xfId="22230" xr:uid="{00000000-0005-0000-0000-000095AD0000}"/>
    <cellStyle name="Normal 3 3 2 2 3 4 2 2" xfId="48104" xr:uid="{00000000-0005-0000-0000-000096AD0000}"/>
    <cellStyle name="Normal 3 3 2 2 3 4 3" xfId="35188" xr:uid="{00000000-0005-0000-0000-000097AD0000}"/>
    <cellStyle name="Normal 3 3 2 2 3 5" xfId="15772" xr:uid="{00000000-0005-0000-0000-000098AD0000}"/>
    <cellStyle name="Normal 3 3 2 2 3 5 2" xfId="41646" xr:uid="{00000000-0005-0000-0000-000099AD0000}"/>
    <cellStyle name="Normal 3 3 2 2 3 6" xfId="28698" xr:uid="{00000000-0005-0000-0000-00009AAD0000}"/>
    <cellStyle name="Normal 3 3 2 2 3 7" xfId="2808" xr:uid="{00000000-0005-0000-0000-00009BAD0000}"/>
    <cellStyle name="Normal 3 3 2 2 4" xfId="3635" xr:uid="{00000000-0005-0000-0000-00009CAD0000}"/>
    <cellStyle name="Normal 3 3 2 2 4 2" xfId="6889" xr:uid="{00000000-0005-0000-0000-00009DAD0000}"/>
    <cellStyle name="Normal 3 3 2 2 4 2 2" xfId="13348" xr:uid="{00000000-0005-0000-0000-00009EAD0000}"/>
    <cellStyle name="Normal 3 3 2 2 4 2 2 2" xfId="26265" xr:uid="{00000000-0005-0000-0000-00009FAD0000}"/>
    <cellStyle name="Normal 3 3 2 2 4 2 2 2 2" xfId="52139" xr:uid="{00000000-0005-0000-0000-0000A0AD0000}"/>
    <cellStyle name="Normal 3 3 2 2 4 2 2 3" xfId="39223" xr:uid="{00000000-0005-0000-0000-0000A1AD0000}"/>
    <cellStyle name="Normal 3 3 2 2 4 2 3" xfId="19807" xr:uid="{00000000-0005-0000-0000-0000A2AD0000}"/>
    <cellStyle name="Normal 3 3 2 2 4 2 3 2" xfId="45681" xr:uid="{00000000-0005-0000-0000-0000A3AD0000}"/>
    <cellStyle name="Normal 3 3 2 2 4 2 4" xfId="32765" xr:uid="{00000000-0005-0000-0000-0000A4AD0000}"/>
    <cellStyle name="Normal 3 3 2 2 4 3" xfId="10120" xr:uid="{00000000-0005-0000-0000-0000A5AD0000}"/>
    <cellStyle name="Normal 3 3 2 2 4 3 2" xfId="23037" xr:uid="{00000000-0005-0000-0000-0000A6AD0000}"/>
    <cellStyle name="Normal 3 3 2 2 4 3 2 2" xfId="48911" xr:uid="{00000000-0005-0000-0000-0000A7AD0000}"/>
    <cellStyle name="Normal 3 3 2 2 4 3 3" xfId="35995" xr:uid="{00000000-0005-0000-0000-0000A8AD0000}"/>
    <cellStyle name="Normal 3 3 2 2 4 4" xfId="16579" xr:uid="{00000000-0005-0000-0000-0000A9AD0000}"/>
    <cellStyle name="Normal 3 3 2 2 4 4 2" xfId="42453" xr:uid="{00000000-0005-0000-0000-0000AAAD0000}"/>
    <cellStyle name="Normal 3 3 2 2 4 5" xfId="29505" xr:uid="{00000000-0005-0000-0000-0000ABAD0000}"/>
    <cellStyle name="Normal 3 3 2 2 5" xfId="5275" xr:uid="{00000000-0005-0000-0000-0000ACAD0000}"/>
    <cellStyle name="Normal 3 3 2 2 5 2" xfId="11734" xr:uid="{00000000-0005-0000-0000-0000ADAD0000}"/>
    <cellStyle name="Normal 3 3 2 2 5 2 2" xfId="24651" xr:uid="{00000000-0005-0000-0000-0000AEAD0000}"/>
    <cellStyle name="Normal 3 3 2 2 5 2 2 2" xfId="50525" xr:uid="{00000000-0005-0000-0000-0000AFAD0000}"/>
    <cellStyle name="Normal 3 3 2 2 5 2 3" xfId="37609" xr:uid="{00000000-0005-0000-0000-0000B0AD0000}"/>
    <cellStyle name="Normal 3 3 2 2 5 3" xfId="18193" xr:uid="{00000000-0005-0000-0000-0000B1AD0000}"/>
    <cellStyle name="Normal 3 3 2 2 5 3 2" xfId="44067" xr:uid="{00000000-0005-0000-0000-0000B2AD0000}"/>
    <cellStyle name="Normal 3 3 2 2 5 4" xfId="31151" xr:uid="{00000000-0005-0000-0000-0000B3AD0000}"/>
    <cellStyle name="Normal 3 3 2 2 6" xfId="8506" xr:uid="{00000000-0005-0000-0000-0000B4AD0000}"/>
    <cellStyle name="Normal 3 3 2 2 6 2" xfId="21423" xr:uid="{00000000-0005-0000-0000-0000B5AD0000}"/>
    <cellStyle name="Normal 3 3 2 2 6 2 2" xfId="47297" xr:uid="{00000000-0005-0000-0000-0000B6AD0000}"/>
    <cellStyle name="Normal 3 3 2 2 6 3" xfId="34381" xr:uid="{00000000-0005-0000-0000-0000B7AD0000}"/>
    <cellStyle name="Normal 3 3 2 2 7" xfId="14965" xr:uid="{00000000-0005-0000-0000-0000B8AD0000}"/>
    <cellStyle name="Normal 3 3 2 2 7 2" xfId="40839" xr:uid="{00000000-0005-0000-0000-0000B9AD0000}"/>
    <cellStyle name="Normal 3 3 2 2 8" xfId="27890" xr:uid="{00000000-0005-0000-0000-0000BAAD0000}"/>
    <cellStyle name="Normal 3 3 2 2 9" xfId="53753" xr:uid="{00000000-0005-0000-0000-0000BBAD0000}"/>
    <cellStyle name="Normal 3 3 2 3" xfId="918" xr:uid="{00000000-0005-0000-0000-0000BCAD0000}"/>
    <cellStyle name="Normal 3 3 2 3 2" xfId="3017" xr:uid="{00000000-0005-0000-0000-0000BDAD0000}"/>
    <cellStyle name="Normal 3 3 2 3 2 2" xfId="4674" xr:uid="{00000000-0005-0000-0000-0000BEAD0000}"/>
    <cellStyle name="Normal 3 3 2 3 2 2 2" xfId="7905" xr:uid="{00000000-0005-0000-0000-0000BFAD0000}"/>
    <cellStyle name="Normal 3 3 2 3 2 2 2 2" xfId="14364" xr:uid="{00000000-0005-0000-0000-0000C0AD0000}"/>
    <cellStyle name="Normal 3 3 2 3 2 2 2 2 2" xfId="27281" xr:uid="{00000000-0005-0000-0000-0000C1AD0000}"/>
    <cellStyle name="Normal 3 3 2 3 2 2 2 2 2 2" xfId="53155" xr:uid="{00000000-0005-0000-0000-0000C2AD0000}"/>
    <cellStyle name="Normal 3 3 2 3 2 2 2 2 3" xfId="40239" xr:uid="{00000000-0005-0000-0000-0000C3AD0000}"/>
    <cellStyle name="Normal 3 3 2 3 2 2 2 3" xfId="20823" xr:uid="{00000000-0005-0000-0000-0000C4AD0000}"/>
    <cellStyle name="Normal 3 3 2 3 2 2 2 3 2" xfId="46697" xr:uid="{00000000-0005-0000-0000-0000C5AD0000}"/>
    <cellStyle name="Normal 3 3 2 3 2 2 2 4" xfId="33781" xr:uid="{00000000-0005-0000-0000-0000C6AD0000}"/>
    <cellStyle name="Normal 3 3 2 3 2 2 3" xfId="11136" xr:uid="{00000000-0005-0000-0000-0000C7AD0000}"/>
    <cellStyle name="Normal 3 3 2 3 2 2 3 2" xfId="24053" xr:uid="{00000000-0005-0000-0000-0000C8AD0000}"/>
    <cellStyle name="Normal 3 3 2 3 2 2 3 2 2" xfId="49927" xr:uid="{00000000-0005-0000-0000-0000C9AD0000}"/>
    <cellStyle name="Normal 3 3 2 3 2 2 3 3" xfId="37011" xr:uid="{00000000-0005-0000-0000-0000CAAD0000}"/>
    <cellStyle name="Normal 3 3 2 3 2 2 4" xfId="17595" xr:uid="{00000000-0005-0000-0000-0000CBAD0000}"/>
    <cellStyle name="Normal 3 3 2 3 2 2 4 2" xfId="43469" xr:uid="{00000000-0005-0000-0000-0000CCAD0000}"/>
    <cellStyle name="Normal 3 3 2 3 2 2 5" xfId="30521" xr:uid="{00000000-0005-0000-0000-0000CDAD0000}"/>
    <cellStyle name="Normal 3 3 2 3 2 3" xfId="6291" xr:uid="{00000000-0005-0000-0000-0000CEAD0000}"/>
    <cellStyle name="Normal 3 3 2 3 2 3 2" xfId="12750" xr:uid="{00000000-0005-0000-0000-0000CFAD0000}"/>
    <cellStyle name="Normal 3 3 2 3 2 3 2 2" xfId="25667" xr:uid="{00000000-0005-0000-0000-0000D0AD0000}"/>
    <cellStyle name="Normal 3 3 2 3 2 3 2 2 2" xfId="51541" xr:uid="{00000000-0005-0000-0000-0000D1AD0000}"/>
    <cellStyle name="Normal 3 3 2 3 2 3 2 3" xfId="38625" xr:uid="{00000000-0005-0000-0000-0000D2AD0000}"/>
    <cellStyle name="Normal 3 3 2 3 2 3 3" xfId="19209" xr:uid="{00000000-0005-0000-0000-0000D3AD0000}"/>
    <cellStyle name="Normal 3 3 2 3 2 3 3 2" xfId="45083" xr:uid="{00000000-0005-0000-0000-0000D4AD0000}"/>
    <cellStyle name="Normal 3 3 2 3 2 3 4" xfId="32167" xr:uid="{00000000-0005-0000-0000-0000D5AD0000}"/>
    <cellStyle name="Normal 3 3 2 3 2 4" xfId="9522" xr:uid="{00000000-0005-0000-0000-0000D6AD0000}"/>
    <cellStyle name="Normal 3 3 2 3 2 4 2" xfId="22439" xr:uid="{00000000-0005-0000-0000-0000D7AD0000}"/>
    <cellStyle name="Normal 3 3 2 3 2 4 2 2" xfId="48313" xr:uid="{00000000-0005-0000-0000-0000D8AD0000}"/>
    <cellStyle name="Normal 3 3 2 3 2 4 3" xfId="35397" xr:uid="{00000000-0005-0000-0000-0000D9AD0000}"/>
    <cellStyle name="Normal 3 3 2 3 2 5" xfId="15981" xr:uid="{00000000-0005-0000-0000-0000DAAD0000}"/>
    <cellStyle name="Normal 3 3 2 3 2 5 2" xfId="41855" xr:uid="{00000000-0005-0000-0000-0000DBAD0000}"/>
    <cellStyle name="Normal 3 3 2 3 2 6" xfId="28907" xr:uid="{00000000-0005-0000-0000-0000DCAD0000}"/>
    <cellStyle name="Normal 3 3 2 3 3" xfId="3844" xr:uid="{00000000-0005-0000-0000-0000DDAD0000}"/>
    <cellStyle name="Normal 3 3 2 3 3 2" xfId="7098" xr:uid="{00000000-0005-0000-0000-0000DEAD0000}"/>
    <cellStyle name="Normal 3 3 2 3 3 2 2" xfId="13557" xr:uid="{00000000-0005-0000-0000-0000DFAD0000}"/>
    <cellStyle name="Normal 3 3 2 3 3 2 2 2" xfId="26474" xr:uid="{00000000-0005-0000-0000-0000E0AD0000}"/>
    <cellStyle name="Normal 3 3 2 3 3 2 2 2 2" xfId="52348" xr:uid="{00000000-0005-0000-0000-0000E1AD0000}"/>
    <cellStyle name="Normal 3 3 2 3 3 2 2 3" xfId="39432" xr:uid="{00000000-0005-0000-0000-0000E2AD0000}"/>
    <cellStyle name="Normal 3 3 2 3 3 2 3" xfId="20016" xr:uid="{00000000-0005-0000-0000-0000E3AD0000}"/>
    <cellStyle name="Normal 3 3 2 3 3 2 3 2" xfId="45890" xr:uid="{00000000-0005-0000-0000-0000E4AD0000}"/>
    <cellStyle name="Normal 3 3 2 3 3 2 4" xfId="32974" xr:uid="{00000000-0005-0000-0000-0000E5AD0000}"/>
    <cellStyle name="Normal 3 3 2 3 3 3" xfId="10329" xr:uid="{00000000-0005-0000-0000-0000E6AD0000}"/>
    <cellStyle name="Normal 3 3 2 3 3 3 2" xfId="23246" xr:uid="{00000000-0005-0000-0000-0000E7AD0000}"/>
    <cellStyle name="Normal 3 3 2 3 3 3 2 2" xfId="49120" xr:uid="{00000000-0005-0000-0000-0000E8AD0000}"/>
    <cellStyle name="Normal 3 3 2 3 3 3 3" xfId="36204" xr:uid="{00000000-0005-0000-0000-0000E9AD0000}"/>
    <cellStyle name="Normal 3 3 2 3 3 4" xfId="16788" xr:uid="{00000000-0005-0000-0000-0000EAAD0000}"/>
    <cellStyle name="Normal 3 3 2 3 3 4 2" xfId="42662" xr:uid="{00000000-0005-0000-0000-0000EBAD0000}"/>
    <cellStyle name="Normal 3 3 2 3 3 5" xfId="29714" xr:uid="{00000000-0005-0000-0000-0000ECAD0000}"/>
    <cellStyle name="Normal 3 3 2 3 4" xfId="5484" xr:uid="{00000000-0005-0000-0000-0000EDAD0000}"/>
    <cellStyle name="Normal 3 3 2 3 4 2" xfId="11943" xr:uid="{00000000-0005-0000-0000-0000EEAD0000}"/>
    <cellStyle name="Normal 3 3 2 3 4 2 2" xfId="24860" xr:uid="{00000000-0005-0000-0000-0000EFAD0000}"/>
    <cellStyle name="Normal 3 3 2 3 4 2 2 2" xfId="50734" xr:uid="{00000000-0005-0000-0000-0000F0AD0000}"/>
    <cellStyle name="Normal 3 3 2 3 4 2 3" xfId="37818" xr:uid="{00000000-0005-0000-0000-0000F1AD0000}"/>
    <cellStyle name="Normal 3 3 2 3 4 3" xfId="18402" xr:uid="{00000000-0005-0000-0000-0000F2AD0000}"/>
    <cellStyle name="Normal 3 3 2 3 4 3 2" xfId="44276" xr:uid="{00000000-0005-0000-0000-0000F3AD0000}"/>
    <cellStyle name="Normal 3 3 2 3 4 4" xfId="31360" xr:uid="{00000000-0005-0000-0000-0000F4AD0000}"/>
    <cellStyle name="Normal 3 3 2 3 5" xfId="8715" xr:uid="{00000000-0005-0000-0000-0000F5AD0000}"/>
    <cellStyle name="Normal 3 3 2 3 5 2" xfId="21632" xr:uid="{00000000-0005-0000-0000-0000F6AD0000}"/>
    <cellStyle name="Normal 3 3 2 3 5 2 2" xfId="47506" xr:uid="{00000000-0005-0000-0000-0000F7AD0000}"/>
    <cellStyle name="Normal 3 3 2 3 5 3" xfId="34590" xr:uid="{00000000-0005-0000-0000-0000F8AD0000}"/>
    <cellStyle name="Normal 3 3 2 3 6" xfId="15174" xr:uid="{00000000-0005-0000-0000-0000F9AD0000}"/>
    <cellStyle name="Normal 3 3 2 3 6 2" xfId="41048" xr:uid="{00000000-0005-0000-0000-0000FAAD0000}"/>
    <cellStyle name="Normal 3 3 2 3 7" xfId="28100" xr:uid="{00000000-0005-0000-0000-0000FBAD0000}"/>
    <cellStyle name="Normal 3 3 2 3 8" xfId="53962" xr:uid="{00000000-0005-0000-0000-0000FCAD0000}"/>
    <cellStyle name="Normal 3 3 2 3 9" xfId="2203" xr:uid="{00000000-0005-0000-0000-0000FDAD0000}"/>
    <cellStyle name="Normal 3 3 2 4" xfId="915" xr:uid="{00000000-0005-0000-0000-0000FEAD0000}"/>
    <cellStyle name="Normal 3 3 2 4 2" xfId="4271" xr:uid="{00000000-0005-0000-0000-0000FFAD0000}"/>
    <cellStyle name="Normal 3 3 2 4 2 2" xfId="7502" xr:uid="{00000000-0005-0000-0000-000000AE0000}"/>
    <cellStyle name="Normal 3 3 2 4 2 2 2" xfId="13961" xr:uid="{00000000-0005-0000-0000-000001AE0000}"/>
    <cellStyle name="Normal 3 3 2 4 2 2 2 2" xfId="26878" xr:uid="{00000000-0005-0000-0000-000002AE0000}"/>
    <cellStyle name="Normal 3 3 2 4 2 2 2 2 2" xfId="52752" xr:uid="{00000000-0005-0000-0000-000003AE0000}"/>
    <cellStyle name="Normal 3 3 2 4 2 2 2 3" xfId="39836" xr:uid="{00000000-0005-0000-0000-000004AE0000}"/>
    <cellStyle name="Normal 3 3 2 4 2 2 3" xfId="20420" xr:uid="{00000000-0005-0000-0000-000005AE0000}"/>
    <cellStyle name="Normal 3 3 2 4 2 2 3 2" xfId="46294" xr:uid="{00000000-0005-0000-0000-000006AE0000}"/>
    <cellStyle name="Normal 3 3 2 4 2 2 4" xfId="33378" xr:uid="{00000000-0005-0000-0000-000007AE0000}"/>
    <cellStyle name="Normal 3 3 2 4 2 3" xfId="10733" xr:uid="{00000000-0005-0000-0000-000008AE0000}"/>
    <cellStyle name="Normal 3 3 2 4 2 3 2" xfId="23650" xr:uid="{00000000-0005-0000-0000-000009AE0000}"/>
    <cellStyle name="Normal 3 3 2 4 2 3 2 2" xfId="49524" xr:uid="{00000000-0005-0000-0000-00000AAE0000}"/>
    <cellStyle name="Normal 3 3 2 4 2 3 3" xfId="36608" xr:uid="{00000000-0005-0000-0000-00000BAE0000}"/>
    <cellStyle name="Normal 3 3 2 4 2 4" xfId="17192" xr:uid="{00000000-0005-0000-0000-00000CAE0000}"/>
    <cellStyle name="Normal 3 3 2 4 2 4 2" xfId="43066" xr:uid="{00000000-0005-0000-0000-00000DAE0000}"/>
    <cellStyle name="Normal 3 3 2 4 2 5" xfId="30118" xr:uid="{00000000-0005-0000-0000-00000EAE0000}"/>
    <cellStyle name="Normal 3 3 2 4 3" xfId="5888" xr:uid="{00000000-0005-0000-0000-00000FAE0000}"/>
    <cellStyle name="Normal 3 3 2 4 3 2" xfId="12347" xr:uid="{00000000-0005-0000-0000-000010AE0000}"/>
    <cellStyle name="Normal 3 3 2 4 3 2 2" xfId="25264" xr:uid="{00000000-0005-0000-0000-000011AE0000}"/>
    <cellStyle name="Normal 3 3 2 4 3 2 2 2" xfId="51138" xr:uid="{00000000-0005-0000-0000-000012AE0000}"/>
    <cellStyle name="Normal 3 3 2 4 3 2 3" xfId="38222" xr:uid="{00000000-0005-0000-0000-000013AE0000}"/>
    <cellStyle name="Normal 3 3 2 4 3 3" xfId="18806" xr:uid="{00000000-0005-0000-0000-000014AE0000}"/>
    <cellStyle name="Normal 3 3 2 4 3 3 2" xfId="44680" xr:uid="{00000000-0005-0000-0000-000015AE0000}"/>
    <cellStyle name="Normal 3 3 2 4 3 4" xfId="31764" xr:uid="{00000000-0005-0000-0000-000016AE0000}"/>
    <cellStyle name="Normal 3 3 2 4 4" xfId="9119" xr:uid="{00000000-0005-0000-0000-000017AE0000}"/>
    <cellStyle name="Normal 3 3 2 4 4 2" xfId="22036" xr:uid="{00000000-0005-0000-0000-000018AE0000}"/>
    <cellStyle name="Normal 3 3 2 4 4 2 2" xfId="47910" xr:uid="{00000000-0005-0000-0000-000019AE0000}"/>
    <cellStyle name="Normal 3 3 2 4 4 3" xfId="34994" xr:uid="{00000000-0005-0000-0000-00001AAE0000}"/>
    <cellStyle name="Normal 3 3 2 4 5" xfId="15578" xr:uid="{00000000-0005-0000-0000-00001BAE0000}"/>
    <cellStyle name="Normal 3 3 2 4 5 2" xfId="41452" xr:uid="{00000000-0005-0000-0000-00001CAE0000}"/>
    <cellStyle name="Normal 3 3 2 4 6" xfId="28504" xr:uid="{00000000-0005-0000-0000-00001DAE0000}"/>
    <cellStyle name="Normal 3 3 2 4 7" xfId="2614" xr:uid="{00000000-0005-0000-0000-00001EAE0000}"/>
    <cellStyle name="Normal 3 3 2 5" xfId="3441" xr:uid="{00000000-0005-0000-0000-00001FAE0000}"/>
    <cellStyle name="Normal 3 3 2 5 2" xfId="6695" xr:uid="{00000000-0005-0000-0000-000020AE0000}"/>
    <cellStyle name="Normal 3 3 2 5 2 2" xfId="13154" xr:uid="{00000000-0005-0000-0000-000021AE0000}"/>
    <cellStyle name="Normal 3 3 2 5 2 2 2" xfId="26071" xr:uid="{00000000-0005-0000-0000-000022AE0000}"/>
    <cellStyle name="Normal 3 3 2 5 2 2 2 2" xfId="51945" xr:uid="{00000000-0005-0000-0000-000023AE0000}"/>
    <cellStyle name="Normal 3 3 2 5 2 2 3" xfId="39029" xr:uid="{00000000-0005-0000-0000-000024AE0000}"/>
    <cellStyle name="Normal 3 3 2 5 2 3" xfId="19613" xr:uid="{00000000-0005-0000-0000-000025AE0000}"/>
    <cellStyle name="Normal 3 3 2 5 2 3 2" xfId="45487" xr:uid="{00000000-0005-0000-0000-000026AE0000}"/>
    <cellStyle name="Normal 3 3 2 5 2 4" xfId="32571" xr:uid="{00000000-0005-0000-0000-000027AE0000}"/>
    <cellStyle name="Normal 3 3 2 5 3" xfId="9926" xr:uid="{00000000-0005-0000-0000-000028AE0000}"/>
    <cellStyle name="Normal 3 3 2 5 3 2" xfId="22843" xr:uid="{00000000-0005-0000-0000-000029AE0000}"/>
    <cellStyle name="Normal 3 3 2 5 3 2 2" xfId="48717" xr:uid="{00000000-0005-0000-0000-00002AAE0000}"/>
    <cellStyle name="Normal 3 3 2 5 3 3" xfId="35801" xr:uid="{00000000-0005-0000-0000-00002BAE0000}"/>
    <cellStyle name="Normal 3 3 2 5 4" xfId="16385" xr:uid="{00000000-0005-0000-0000-00002CAE0000}"/>
    <cellStyle name="Normal 3 3 2 5 4 2" xfId="42259" xr:uid="{00000000-0005-0000-0000-00002DAE0000}"/>
    <cellStyle name="Normal 3 3 2 5 5" xfId="29311" xr:uid="{00000000-0005-0000-0000-00002EAE0000}"/>
    <cellStyle name="Normal 3 3 2 6" xfId="5081" xr:uid="{00000000-0005-0000-0000-00002FAE0000}"/>
    <cellStyle name="Normal 3 3 2 6 2" xfId="11540" xr:uid="{00000000-0005-0000-0000-000030AE0000}"/>
    <cellStyle name="Normal 3 3 2 6 2 2" xfId="24457" xr:uid="{00000000-0005-0000-0000-000031AE0000}"/>
    <cellStyle name="Normal 3 3 2 6 2 2 2" xfId="50331" xr:uid="{00000000-0005-0000-0000-000032AE0000}"/>
    <cellStyle name="Normal 3 3 2 6 2 3" xfId="37415" xr:uid="{00000000-0005-0000-0000-000033AE0000}"/>
    <cellStyle name="Normal 3 3 2 6 3" xfId="17999" xr:uid="{00000000-0005-0000-0000-000034AE0000}"/>
    <cellStyle name="Normal 3 3 2 6 3 2" xfId="43873" xr:uid="{00000000-0005-0000-0000-000035AE0000}"/>
    <cellStyle name="Normal 3 3 2 6 4" xfId="30957" xr:uid="{00000000-0005-0000-0000-000036AE0000}"/>
    <cellStyle name="Normal 3 3 2 7" xfId="8311" xr:uid="{00000000-0005-0000-0000-000037AE0000}"/>
    <cellStyle name="Normal 3 3 2 7 2" xfId="21228" xr:uid="{00000000-0005-0000-0000-000038AE0000}"/>
    <cellStyle name="Normal 3 3 2 7 2 2" xfId="47102" xr:uid="{00000000-0005-0000-0000-000039AE0000}"/>
    <cellStyle name="Normal 3 3 2 7 3" xfId="34186" xr:uid="{00000000-0005-0000-0000-00003AAE0000}"/>
    <cellStyle name="Normal 3 3 2 8" xfId="14770" xr:uid="{00000000-0005-0000-0000-00003BAE0000}"/>
    <cellStyle name="Normal 3 3 2 8 2" xfId="40644" xr:uid="{00000000-0005-0000-0000-00003CAE0000}"/>
    <cellStyle name="Normal 3 3 2 9" xfId="27694" xr:uid="{00000000-0005-0000-0000-00003DAE0000}"/>
    <cellStyle name="Normal 3 3 3" xfId="333" xr:uid="{00000000-0005-0000-0000-00003EAE0000}"/>
    <cellStyle name="Normal 3 3 3 10" xfId="53525" xr:uid="{00000000-0005-0000-0000-00003FAE0000}"/>
    <cellStyle name="Normal 3 3 3 11" xfId="1608" xr:uid="{00000000-0005-0000-0000-000040AE0000}"/>
    <cellStyle name="Normal 3 3 3 2" xfId="466" xr:uid="{00000000-0005-0000-0000-000041AE0000}"/>
    <cellStyle name="Normal 3 3 3 2 10" xfId="1934" xr:uid="{00000000-0005-0000-0000-000042AE0000}"/>
    <cellStyle name="Normal 3 3 3 2 2" xfId="921" xr:uid="{00000000-0005-0000-0000-000043AE0000}"/>
    <cellStyle name="Normal 3 3 3 2 2 2" xfId="3178" xr:uid="{00000000-0005-0000-0000-000044AE0000}"/>
    <cellStyle name="Normal 3 3 3 2 2 2 2" xfId="4835" xr:uid="{00000000-0005-0000-0000-000045AE0000}"/>
    <cellStyle name="Normal 3 3 3 2 2 2 2 2" xfId="8066" xr:uid="{00000000-0005-0000-0000-000046AE0000}"/>
    <cellStyle name="Normal 3 3 3 2 2 2 2 2 2" xfId="14525" xr:uid="{00000000-0005-0000-0000-000047AE0000}"/>
    <cellStyle name="Normal 3 3 3 2 2 2 2 2 2 2" xfId="27442" xr:uid="{00000000-0005-0000-0000-000048AE0000}"/>
    <cellStyle name="Normal 3 3 3 2 2 2 2 2 2 2 2" xfId="53316" xr:uid="{00000000-0005-0000-0000-000049AE0000}"/>
    <cellStyle name="Normal 3 3 3 2 2 2 2 2 2 3" xfId="40400" xr:uid="{00000000-0005-0000-0000-00004AAE0000}"/>
    <cellStyle name="Normal 3 3 3 2 2 2 2 2 3" xfId="20984" xr:uid="{00000000-0005-0000-0000-00004BAE0000}"/>
    <cellStyle name="Normal 3 3 3 2 2 2 2 2 3 2" xfId="46858" xr:uid="{00000000-0005-0000-0000-00004CAE0000}"/>
    <cellStyle name="Normal 3 3 3 2 2 2 2 2 4" xfId="33942" xr:uid="{00000000-0005-0000-0000-00004DAE0000}"/>
    <cellStyle name="Normal 3 3 3 2 2 2 2 3" xfId="11297" xr:uid="{00000000-0005-0000-0000-00004EAE0000}"/>
    <cellStyle name="Normal 3 3 3 2 2 2 2 3 2" xfId="24214" xr:uid="{00000000-0005-0000-0000-00004FAE0000}"/>
    <cellStyle name="Normal 3 3 3 2 2 2 2 3 2 2" xfId="50088" xr:uid="{00000000-0005-0000-0000-000050AE0000}"/>
    <cellStyle name="Normal 3 3 3 2 2 2 2 3 3" xfId="37172" xr:uid="{00000000-0005-0000-0000-000051AE0000}"/>
    <cellStyle name="Normal 3 3 3 2 2 2 2 4" xfId="17756" xr:uid="{00000000-0005-0000-0000-000052AE0000}"/>
    <cellStyle name="Normal 3 3 3 2 2 2 2 4 2" xfId="43630" xr:uid="{00000000-0005-0000-0000-000053AE0000}"/>
    <cellStyle name="Normal 3 3 3 2 2 2 2 5" xfId="30682" xr:uid="{00000000-0005-0000-0000-000054AE0000}"/>
    <cellStyle name="Normal 3 3 3 2 2 2 3" xfId="6452" xr:uid="{00000000-0005-0000-0000-000055AE0000}"/>
    <cellStyle name="Normal 3 3 3 2 2 2 3 2" xfId="12911" xr:uid="{00000000-0005-0000-0000-000056AE0000}"/>
    <cellStyle name="Normal 3 3 3 2 2 2 3 2 2" xfId="25828" xr:uid="{00000000-0005-0000-0000-000057AE0000}"/>
    <cellStyle name="Normal 3 3 3 2 2 2 3 2 2 2" xfId="51702" xr:uid="{00000000-0005-0000-0000-000058AE0000}"/>
    <cellStyle name="Normal 3 3 3 2 2 2 3 2 3" xfId="38786" xr:uid="{00000000-0005-0000-0000-000059AE0000}"/>
    <cellStyle name="Normal 3 3 3 2 2 2 3 3" xfId="19370" xr:uid="{00000000-0005-0000-0000-00005AAE0000}"/>
    <cellStyle name="Normal 3 3 3 2 2 2 3 3 2" xfId="45244" xr:uid="{00000000-0005-0000-0000-00005BAE0000}"/>
    <cellStyle name="Normal 3 3 3 2 2 2 3 4" xfId="32328" xr:uid="{00000000-0005-0000-0000-00005CAE0000}"/>
    <cellStyle name="Normal 3 3 3 2 2 2 4" xfId="9683" xr:uid="{00000000-0005-0000-0000-00005DAE0000}"/>
    <cellStyle name="Normal 3 3 3 2 2 2 4 2" xfId="22600" xr:uid="{00000000-0005-0000-0000-00005EAE0000}"/>
    <cellStyle name="Normal 3 3 3 2 2 2 4 2 2" xfId="48474" xr:uid="{00000000-0005-0000-0000-00005FAE0000}"/>
    <cellStyle name="Normal 3 3 3 2 2 2 4 3" xfId="35558" xr:uid="{00000000-0005-0000-0000-000060AE0000}"/>
    <cellStyle name="Normal 3 3 3 2 2 2 5" xfId="16142" xr:uid="{00000000-0005-0000-0000-000061AE0000}"/>
    <cellStyle name="Normal 3 3 3 2 2 2 5 2" xfId="42016" xr:uid="{00000000-0005-0000-0000-000062AE0000}"/>
    <cellStyle name="Normal 3 3 3 2 2 2 6" xfId="29068" xr:uid="{00000000-0005-0000-0000-000063AE0000}"/>
    <cellStyle name="Normal 3 3 3 2 2 3" xfId="4005" xr:uid="{00000000-0005-0000-0000-000064AE0000}"/>
    <cellStyle name="Normal 3 3 3 2 2 3 2" xfId="7259" xr:uid="{00000000-0005-0000-0000-000065AE0000}"/>
    <cellStyle name="Normal 3 3 3 2 2 3 2 2" xfId="13718" xr:uid="{00000000-0005-0000-0000-000066AE0000}"/>
    <cellStyle name="Normal 3 3 3 2 2 3 2 2 2" xfId="26635" xr:uid="{00000000-0005-0000-0000-000067AE0000}"/>
    <cellStyle name="Normal 3 3 3 2 2 3 2 2 2 2" xfId="52509" xr:uid="{00000000-0005-0000-0000-000068AE0000}"/>
    <cellStyle name="Normal 3 3 3 2 2 3 2 2 3" xfId="39593" xr:uid="{00000000-0005-0000-0000-000069AE0000}"/>
    <cellStyle name="Normal 3 3 3 2 2 3 2 3" xfId="20177" xr:uid="{00000000-0005-0000-0000-00006AAE0000}"/>
    <cellStyle name="Normal 3 3 3 2 2 3 2 3 2" xfId="46051" xr:uid="{00000000-0005-0000-0000-00006BAE0000}"/>
    <cellStyle name="Normal 3 3 3 2 2 3 2 4" xfId="33135" xr:uid="{00000000-0005-0000-0000-00006CAE0000}"/>
    <cellStyle name="Normal 3 3 3 2 2 3 3" xfId="10490" xr:uid="{00000000-0005-0000-0000-00006DAE0000}"/>
    <cellStyle name="Normal 3 3 3 2 2 3 3 2" xfId="23407" xr:uid="{00000000-0005-0000-0000-00006EAE0000}"/>
    <cellStyle name="Normal 3 3 3 2 2 3 3 2 2" xfId="49281" xr:uid="{00000000-0005-0000-0000-00006FAE0000}"/>
    <cellStyle name="Normal 3 3 3 2 2 3 3 3" xfId="36365" xr:uid="{00000000-0005-0000-0000-000070AE0000}"/>
    <cellStyle name="Normal 3 3 3 2 2 3 4" xfId="16949" xr:uid="{00000000-0005-0000-0000-000071AE0000}"/>
    <cellStyle name="Normal 3 3 3 2 2 3 4 2" xfId="42823" xr:uid="{00000000-0005-0000-0000-000072AE0000}"/>
    <cellStyle name="Normal 3 3 3 2 2 3 5" xfId="29875" xr:uid="{00000000-0005-0000-0000-000073AE0000}"/>
    <cellStyle name="Normal 3 3 3 2 2 4" xfId="5645" xr:uid="{00000000-0005-0000-0000-000074AE0000}"/>
    <cellStyle name="Normal 3 3 3 2 2 4 2" xfId="12104" xr:uid="{00000000-0005-0000-0000-000075AE0000}"/>
    <cellStyle name="Normal 3 3 3 2 2 4 2 2" xfId="25021" xr:uid="{00000000-0005-0000-0000-000076AE0000}"/>
    <cellStyle name="Normal 3 3 3 2 2 4 2 2 2" xfId="50895" xr:uid="{00000000-0005-0000-0000-000077AE0000}"/>
    <cellStyle name="Normal 3 3 3 2 2 4 2 3" xfId="37979" xr:uid="{00000000-0005-0000-0000-000078AE0000}"/>
    <cellStyle name="Normal 3 3 3 2 2 4 3" xfId="18563" xr:uid="{00000000-0005-0000-0000-000079AE0000}"/>
    <cellStyle name="Normal 3 3 3 2 2 4 3 2" xfId="44437" xr:uid="{00000000-0005-0000-0000-00007AAE0000}"/>
    <cellStyle name="Normal 3 3 3 2 2 4 4" xfId="31521" xr:uid="{00000000-0005-0000-0000-00007BAE0000}"/>
    <cellStyle name="Normal 3 3 3 2 2 5" xfId="8876" xr:uid="{00000000-0005-0000-0000-00007CAE0000}"/>
    <cellStyle name="Normal 3 3 3 2 2 5 2" xfId="21793" xr:uid="{00000000-0005-0000-0000-00007DAE0000}"/>
    <cellStyle name="Normal 3 3 3 2 2 5 2 2" xfId="47667" xr:uid="{00000000-0005-0000-0000-00007EAE0000}"/>
    <cellStyle name="Normal 3 3 3 2 2 5 3" xfId="34751" xr:uid="{00000000-0005-0000-0000-00007FAE0000}"/>
    <cellStyle name="Normal 3 3 3 2 2 6" xfId="15335" xr:uid="{00000000-0005-0000-0000-000080AE0000}"/>
    <cellStyle name="Normal 3 3 3 2 2 6 2" xfId="41209" xr:uid="{00000000-0005-0000-0000-000081AE0000}"/>
    <cellStyle name="Normal 3 3 3 2 2 7" xfId="28261" xr:uid="{00000000-0005-0000-0000-000082AE0000}"/>
    <cellStyle name="Normal 3 3 3 2 2 8" xfId="54123" xr:uid="{00000000-0005-0000-0000-000083AE0000}"/>
    <cellStyle name="Normal 3 3 3 2 2 9" xfId="2365" xr:uid="{00000000-0005-0000-0000-000084AE0000}"/>
    <cellStyle name="Normal 3 3 3 2 3" xfId="920" xr:uid="{00000000-0005-0000-0000-000085AE0000}"/>
    <cellStyle name="Normal 3 3 3 2 3 2" xfId="4431" xr:uid="{00000000-0005-0000-0000-000086AE0000}"/>
    <cellStyle name="Normal 3 3 3 2 3 2 2" xfId="7662" xr:uid="{00000000-0005-0000-0000-000087AE0000}"/>
    <cellStyle name="Normal 3 3 3 2 3 2 2 2" xfId="14121" xr:uid="{00000000-0005-0000-0000-000088AE0000}"/>
    <cellStyle name="Normal 3 3 3 2 3 2 2 2 2" xfId="27038" xr:uid="{00000000-0005-0000-0000-000089AE0000}"/>
    <cellStyle name="Normal 3 3 3 2 3 2 2 2 2 2" xfId="52912" xr:uid="{00000000-0005-0000-0000-00008AAE0000}"/>
    <cellStyle name="Normal 3 3 3 2 3 2 2 2 3" xfId="39996" xr:uid="{00000000-0005-0000-0000-00008BAE0000}"/>
    <cellStyle name="Normal 3 3 3 2 3 2 2 3" xfId="20580" xr:uid="{00000000-0005-0000-0000-00008CAE0000}"/>
    <cellStyle name="Normal 3 3 3 2 3 2 2 3 2" xfId="46454" xr:uid="{00000000-0005-0000-0000-00008DAE0000}"/>
    <cellStyle name="Normal 3 3 3 2 3 2 2 4" xfId="33538" xr:uid="{00000000-0005-0000-0000-00008EAE0000}"/>
    <cellStyle name="Normal 3 3 3 2 3 2 3" xfId="10893" xr:uid="{00000000-0005-0000-0000-00008FAE0000}"/>
    <cellStyle name="Normal 3 3 3 2 3 2 3 2" xfId="23810" xr:uid="{00000000-0005-0000-0000-000090AE0000}"/>
    <cellStyle name="Normal 3 3 3 2 3 2 3 2 2" xfId="49684" xr:uid="{00000000-0005-0000-0000-000091AE0000}"/>
    <cellStyle name="Normal 3 3 3 2 3 2 3 3" xfId="36768" xr:uid="{00000000-0005-0000-0000-000092AE0000}"/>
    <cellStyle name="Normal 3 3 3 2 3 2 4" xfId="17352" xr:uid="{00000000-0005-0000-0000-000093AE0000}"/>
    <cellStyle name="Normal 3 3 3 2 3 2 4 2" xfId="43226" xr:uid="{00000000-0005-0000-0000-000094AE0000}"/>
    <cellStyle name="Normal 3 3 3 2 3 2 5" xfId="30278" xr:uid="{00000000-0005-0000-0000-000095AE0000}"/>
    <cellStyle name="Normal 3 3 3 2 3 3" xfId="6048" xr:uid="{00000000-0005-0000-0000-000096AE0000}"/>
    <cellStyle name="Normal 3 3 3 2 3 3 2" xfId="12507" xr:uid="{00000000-0005-0000-0000-000097AE0000}"/>
    <cellStyle name="Normal 3 3 3 2 3 3 2 2" xfId="25424" xr:uid="{00000000-0005-0000-0000-000098AE0000}"/>
    <cellStyle name="Normal 3 3 3 2 3 3 2 2 2" xfId="51298" xr:uid="{00000000-0005-0000-0000-000099AE0000}"/>
    <cellStyle name="Normal 3 3 3 2 3 3 2 3" xfId="38382" xr:uid="{00000000-0005-0000-0000-00009AAE0000}"/>
    <cellStyle name="Normal 3 3 3 2 3 3 3" xfId="18966" xr:uid="{00000000-0005-0000-0000-00009BAE0000}"/>
    <cellStyle name="Normal 3 3 3 2 3 3 3 2" xfId="44840" xr:uid="{00000000-0005-0000-0000-00009CAE0000}"/>
    <cellStyle name="Normal 3 3 3 2 3 3 4" xfId="31924" xr:uid="{00000000-0005-0000-0000-00009DAE0000}"/>
    <cellStyle name="Normal 3 3 3 2 3 4" xfId="9279" xr:uid="{00000000-0005-0000-0000-00009EAE0000}"/>
    <cellStyle name="Normal 3 3 3 2 3 4 2" xfId="22196" xr:uid="{00000000-0005-0000-0000-00009FAE0000}"/>
    <cellStyle name="Normal 3 3 3 2 3 4 2 2" xfId="48070" xr:uid="{00000000-0005-0000-0000-0000A0AE0000}"/>
    <cellStyle name="Normal 3 3 3 2 3 4 3" xfId="35154" xr:uid="{00000000-0005-0000-0000-0000A1AE0000}"/>
    <cellStyle name="Normal 3 3 3 2 3 5" xfId="15738" xr:uid="{00000000-0005-0000-0000-0000A2AE0000}"/>
    <cellStyle name="Normal 3 3 3 2 3 5 2" xfId="41612" xr:uid="{00000000-0005-0000-0000-0000A3AE0000}"/>
    <cellStyle name="Normal 3 3 3 2 3 6" xfId="28664" xr:uid="{00000000-0005-0000-0000-0000A4AE0000}"/>
    <cellStyle name="Normal 3 3 3 2 3 7" xfId="2774" xr:uid="{00000000-0005-0000-0000-0000A5AE0000}"/>
    <cellStyle name="Normal 3 3 3 2 4" xfId="3601" xr:uid="{00000000-0005-0000-0000-0000A6AE0000}"/>
    <cellStyle name="Normal 3 3 3 2 4 2" xfId="6855" xr:uid="{00000000-0005-0000-0000-0000A7AE0000}"/>
    <cellStyle name="Normal 3 3 3 2 4 2 2" xfId="13314" xr:uid="{00000000-0005-0000-0000-0000A8AE0000}"/>
    <cellStyle name="Normal 3 3 3 2 4 2 2 2" xfId="26231" xr:uid="{00000000-0005-0000-0000-0000A9AE0000}"/>
    <cellStyle name="Normal 3 3 3 2 4 2 2 2 2" xfId="52105" xr:uid="{00000000-0005-0000-0000-0000AAAE0000}"/>
    <cellStyle name="Normal 3 3 3 2 4 2 2 3" xfId="39189" xr:uid="{00000000-0005-0000-0000-0000ABAE0000}"/>
    <cellStyle name="Normal 3 3 3 2 4 2 3" xfId="19773" xr:uid="{00000000-0005-0000-0000-0000ACAE0000}"/>
    <cellStyle name="Normal 3 3 3 2 4 2 3 2" xfId="45647" xr:uid="{00000000-0005-0000-0000-0000ADAE0000}"/>
    <cellStyle name="Normal 3 3 3 2 4 2 4" xfId="32731" xr:uid="{00000000-0005-0000-0000-0000AEAE0000}"/>
    <cellStyle name="Normal 3 3 3 2 4 3" xfId="10086" xr:uid="{00000000-0005-0000-0000-0000AFAE0000}"/>
    <cellStyle name="Normal 3 3 3 2 4 3 2" xfId="23003" xr:uid="{00000000-0005-0000-0000-0000B0AE0000}"/>
    <cellStyle name="Normal 3 3 3 2 4 3 2 2" xfId="48877" xr:uid="{00000000-0005-0000-0000-0000B1AE0000}"/>
    <cellStyle name="Normal 3 3 3 2 4 3 3" xfId="35961" xr:uid="{00000000-0005-0000-0000-0000B2AE0000}"/>
    <cellStyle name="Normal 3 3 3 2 4 4" xfId="16545" xr:uid="{00000000-0005-0000-0000-0000B3AE0000}"/>
    <cellStyle name="Normal 3 3 3 2 4 4 2" xfId="42419" xr:uid="{00000000-0005-0000-0000-0000B4AE0000}"/>
    <cellStyle name="Normal 3 3 3 2 4 5" xfId="29471" xr:uid="{00000000-0005-0000-0000-0000B5AE0000}"/>
    <cellStyle name="Normal 3 3 3 2 5" xfId="5241" xr:uid="{00000000-0005-0000-0000-0000B6AE0000}"/>
    <cellStyle name="Normal 3 3 3 2 5 2" xfId="11700" xr:uid="{00000000-0005-0000-0000-0000B7AE0000}"/>
    <cellStyle name="Normal 3 3 3 2 5 2 2" xfId="24617" xr:uid="{00000000-0005-0000-0000-0000B8AE0000}"/>
    <cellStyle name="Normal 3 3 3 2 5 2 2 2" xfId="50491" xr:uid="{00000000-0005-0000-0000-0000B9AE0000}"/>
    <cellStyle name="Normal 3 3 3 2 5 2 3" xfId="37575" xr:uid="{00000000-0005-0000-0000-0000BAAE0000}"/>
    <cellStyle name="Normal 3 3 3 2 5 3" xfId="18159" xr:uid="{00000000-0005-0000-0000-0000BBAE0000}"/>
    <cellStyle name="Normal 3 3 3 2 5 3 2" xfId="44033" xr:uid="{00000000-0005-0000-0000-0000BCAE0000}"/>
    <cellStyle name="Normal 3 3 3 2 5 4" xfId="31117" xr:uid="{00000000-0005-0000-0000-0000BDAE0000}"/>
    <cellStyle name="Normal 3 3 3 2 6" xfId="8472" xr:uid="{00000000-0005-0000-0000-0000BEAE0000}"/>
    <cellStyle name="Normal 3 3 3 2 6 2" xfId="21389" xr:uid="{00000000-0005-0000-0000-0000BFAE0000}"/>
    <cellStyle name="Normal 3 3 3 2 6 2 2" xfId="47263" xr:uid="{00000000-0005-0000-0000-0000C0AE0000}"/>
    <cellStyle name="Normal 3 3 3 2 6 3" xfId="34347" xr:uid="{00000000-0005-0000-0000-0000C1AE0000}"/>
    <cellStyle name="Normal 3 3 3 2 7" xfId="14931" xr:uid="{00000000-0005-0000-0000-0000C2AE0000}"/>
    <cellStyle name="Normal 3 3 3 2 7 2" xfId="40805" xr:uid="{00000000-0005-0000-0000-0000C3AE0000}"/>
    <cellStyle name="Normal 3 3 3 2 8" xfId="27856" xr:uid="{00000000-0005-0000-0000-0000C4AE0000}"/>
    <cellStyle name="Normal 3 3 3 2 9" xfId="53719" xr:uid="{00000000-0005-0000-0000-0000C5AE0000}"/>
    <cellStyle name="Normal 3 3 3 3" xfId="922" xr:uid="{00000000-0005-0000-0000-0000C6AE0000}"/>
    <cellStyle name="Normal 3 3 3 3 2" xfId="2983" xr:uid="{00000000-0005-0000-0000-0000C7AE0000}"/>
    <cellStyle name="Normal 3 3 3 3 2 2" xfId="4640" xr:uid="{00000000-0005-0000-0000-0000C8AE0000}"/>
    <cellStyle name="Normal 3 3 3 3 2 2 2" xfId="7871" xr:uid="{00000000-0005-0000-0000-0000C9AE0000}"/>
    <cellStyle name="Normal 3 3 3 3 2 2 2 2" xfId="14330" xr:uid="{00000000-0005-0000-0000-0000CAAE0000}"/>
    <cellStyle name="Normal 3 3 3 3 2 2 2 2 2" xfId="27247" xr:uid="{00000000-0005-0000-0000-0000CBAE0000}"/>
    <cellStyle name="Normal 3 3 3 3 2 2 2 2 2 2" xfId="53121" xr:uid="{00000000-0005-0000-0000-0000CCAE0000}"/>
    <cellStyle name="Normal 3 3 3 3 2 2 2 2 3" xfId="40205" xr:uid="{00000000-0005-0000-0000-0000CDAE0000}"/>
    <cellStyle name="Normal 3 3 3 3 2 2 2 3" xfId="20789" xr:uid="{00000000-0005-0000-0000-0000CEAE0000}"/>
    <cellStyle name="Normal 3 3 3 3 2 2 2 3 2" xfId="46663" xr:uid="{00000000-0005-0000-0000-0000CFAE0000}"/>
    <cellStyle name="Normal 3 3 3 3 2 2 2 4" xfId="33747" xr:uid="{00000000-0005-0000-0000-0000D0AE0000}"/>
    <cellStyle name="Normal 3 3 3 3 2 2 3" xfId="11102" xr:uid="{00000000-0005-0000-0000-0000D1AE0000}"/>
    <cellStyle name="Normal 3 3 3 3 2 2 3 2" xfId="24019" xr:uid="{00000000-0005-0000-0000-0000D2AE0000}"/>
    <cellStyle name="Normal 3 3 3 3 2 2 3 2 2" xfId="49893" xr:uid="{00000000-0005-0000-0000-0000D3AE0000}"/>
    <cellStyle name="Normal 3 3 3 3 2 2 3 3" xfId="36977" xr:uid="{00000000-0005-0000-0000-0000D4AE0000}"/>
    <cellStyle name="Normal 3 3 3 3 2 2 4" xfId="17561" xr:uid="{00000000-0005-0000-0000-0000D5AE0000}"/>
    <cellStyle name="Normal 3 3 3 3 2 2 4 2" xfId="43435" xr:uid="{00000000-0005-0000-0000-0000D6AE0000}"/>
    <cellStyle name="Normal 3 3 3 3 2 2 5" xfId="30487" xr:uid="{00000000-0005-0000-0000-0000D7AE0000}"/>
    <cellStyle name="Normal 3 3 3 3 2 3" xfId="6257" xr:uid="{00000000-0005-0000-0000-0000D8AE0000}"/>
    <cellStyle name="Normal 3 3 3 3 2 3 2" xfId="12716" xr:uid="{00000000-0005-0000-0000-0000D9AE0000}"/>
    <cellStyle name="Normal 3 3 3 3 2 3 2 2" xfId="25633" xr:uid="{00000000-0005-0000-0000-0000DAAE0000}"/>
    <cellStyle name="Normal 3 3 3 3 2 3 2 2 2" xfId="51507" xr:uid="{00000000-0005-0000-0000-0000DBAE0000}"/>
    <cellStyle name="Normal 3 3 3 3 2 3 2 3" xfId="38591" xr:uid="{00000000-0005-0000-0000-0000DCAE0000}"/>
    <cellStyle name="Normal 3 3 3 3 2 3 3" xfId="19175" xr:uid="{00000000-0005-0000-0000-0000DDAE0000}"/>
    <cellStyle name="Normal 3 3 3 3 2 3 3 2" xfId="45049" xr:uid="{00000000-0005-0000-0000-0000DEAE0000}"/>
    <cellStyle name="Normal 3 3 3 3 2 3 4" xfId="32133" xr:uid="{00000000-0005-0000-0000-0000DFAE0000}"/>
    <cellStyle name="Normal 3 3 3 3 2 4" xfId="9488" xr:uid="{00000000-0005-0000-0000-0000E0AE0000}"/>
    <cellStyle name="Normal 3 3 3 3 2 4 2" xfId="22405" xr:uid="{00000000-0005-0000-0000-0000E1AE0000}"/>
    <cellStyle name="Normal 3 3 3 3 2 4 2 2" xfId="48279" xr:uid="{00000000-0005-0000-0000-0000E2AE0000}"/>
    <cellStyle name="Normal 3 3 3 3 2 4 3" xfId="35363" xr:uid="{00000000-0005-0000-0000-0000E3AE0000}"/>
    <cellStyle name="Normal 3 3 3 3 2 5" xfId="15947" xr:uid="{00000000-0005-0000-0000-0000E4AE0000}"/>
    <cellStyle name="Normal 3 3 3 3 2 5 2" xfId="41821" xr:uid="{00000000-0005-0000-0000-0000E5AE0000}"/>
    <cellStyle name="Normal 3 3 3 3 2 6" xfId="28873" xr:uid="{00000000-0005-0000-0000-0000E6AE0000}"/>
    <cellStyle name="Normal 3 3 3 3 3" xfId="3810" xr:uid="{00000000-0005-0000-0000-0000E7AE0000}"/>
    <cellStyle name="Normal 3 3 3 3 3 2" xfId="7064" xr:uid="{00000000-0005-0000-0000-0000E8AE0000}"/>
    <cellStyle name="Normal 3 3 3 3 3 2 2" xfId="13523" xr:uid="{00000000-0005-0000-0000-0000E9AE0000}"/>
    <cellStyle name="Normal 3 3 3 3 3 2 2 2" xfId="26440" xr:uid="{00000000-0005-0000-0000-0000EAAE0000}"/>
    <cellStyle name="Normal 3 3 3 3 3 2 2 2 2" xfId="52314" xr:uid="{00000000-0005-0000-0000-0000EBAE0000}"/>
    <cellStyle name="Normal 3 3 3 3 3 2 2 3" xfId="39398" xr:uid="{00000000-0005-0000-0000-0000ECAE0000}"/>
    <cellStyle name="Normal 3 3 3 3 3 2 3" xfId="19982" xr:uid="{00000000-0005-0000-0000-0000EDAE0000}"/>
    <cellStyle name="Normal 3 3 3 3 3 2 3 2" xfId="45856" xr:uid="{00000000-0005-0000-0000-0000EEAE0000}"/>
    <cellStyle name="Normal 3 3 3 3 3 2 4" xfId="32940" xr:uid="{00000000-0005-0000-0000-0000EFAE0000}"/>
    <cellStyle name="Normal 3 3 3 3 3 3" xfId="10295" xr:uid="{00000000-0005-0000-0000-0000F0AE0000}"/>
    <cellStyle name="Normal 3 3 3 3 3 3 2" xfId="23212" xr:uid="{00000000-0005-0000-0000-0000F1AE0000}"/>
    <cellStyle name="Normal 3 3 3 3 3 3 2 2" xfId="49086" xr:uid="{00000000-0005-0000-0000-0000F2AE0000}"/>
    <cellStyle name="Normal 3 3 3 3 3 3 3" xfId="36170" xr:uid="{00000000-0005-0000-0000-0000F3AE0000}"/>
    <cellStyle name="Normal 3 3 3 3 3 4" xfId="16754" xr:uid="{00000000-0005-0000-0000-0000F4AE0000}"/>
    <cellStyle name="Normal 3 3 3 3 3 4 2" xfId="42628" xr:uid="{00000000-0005-0000-0000-0000F5AE0000}"/>
    <cellStyle name="Normal 3 3 3 3 3 5" xfId="29680" xr:uid="{00000000-0005-0000-0000-0000F6AE0000}"/>
    <cellStyle name="Normal 3 3 3 3 4" xfId="5450" xr:uid="{00000000-0005-0000-0000-0000F7AE0000}"/>
    <cellStyle name="Normal 3 3 3 3 4 2" xfId="11909" xr:uid="{00000000-0005-0000-0000-0000F8AE0000}"/>
    <cellStyle name="Normal 3 3 3 3 4 2 2" xfId="24826" xr:uid="{00000000-0005-0000-0000-0000F9AE0000}"/>
    <cellStyle name="Normal 3 3 3 3 4 2 2 2" xfId="50700" xr:uid="{00000000-0005-0000-0000-0000FAAE0000}"/>
    <cellStyle name="Normal 3 3 3 3 4 2 3" xfId="37784" xr:uid="{00000000-0005-0000-0000-0000FBAE0000}"/>
    <cellStyle name="Normal 3 3 3 3 4 3" xfId="18368" xr:uid="{00000000-0005-0000-0000-0000FCAE0000}"/>
    <cellStyle name="Normal 3 3 3 3 4 3 2" xfId="44242" xr:uid="{00000000-0005-0000-0000-0000FDAE0000}"/>
    <cellStyle name="Normal 3 3 3 3 4 4" xfId="31326" xr:uid="{00000000-0005-0000-0000-0000FEAE0000}"/>
    <cellStyle name="Normal 3 3 3 3 5" xfId="8681" xr:uid="{00000000-0005-0000-0000-0000FFAE0000}"/>
    <cellStyle name="Normal 3 3 3 3 5 2" xfId="21598" xr:uid="{00000000-0005-0000-0000-000000AF0000}"/>
    <cellStyle name="Normal 3 3 3 3 5 2 2" xfId="47472" xr:uid="{00000000-0005-0000-0000-000001AF0000}"/>
    <cellStyle name="Normal 3 3 3 3 5 3" xfId="34556" xr:uid="{00000000-0005-0000-0000-000002AF0000}"/>
    <cellStyle name="Normal 3 3 3 3 6" xfId="15140" xr:uid="{00000000-0005-0000-0000-000003AF0000}"/>
    <cellStyle name="Normal 3 3 3 3 6 2" xfId="41014" xr:uid="{00000000-0005-0000-0000-000004AF0000}"/>
    <cellStyle name="Normal 3 3 3 3 7" xfId="28066" xr:uid="{00000000-0005-0000-0000-000005AF0000}"/>
    <cellStyle name="Normal 3 3 3 3 8" xfId="53928" xr:uid="{00000000-0005-0000-0000-000006AF0000}"/>
    <cellStyle name="Normal 3 3 3 3 9" xfId="2169" xr:uid="{00000000-0005-0000-0000-000007AF0000}"/>
    <cellStyle name="Normal 3 3 3 4" xfId="919" xr:uid="{00000000-0005-0000-0000-000008AF0000}"/>
    <cellStyle name="Normal 3 3 3 4 2" xfId="4237" xr:uid="{00000000-0005-0000-0000-000009AF0000}"/>
    <cellStyle name="Normal 3 3 3 4 2 2" xfId="7468" xr:uid="{00000000-0005-0000-0000-00000AAF0000}"/>
    <cellStyle name="Normal 3 3 3 4 2 2 2" xfId="13927" xr:uid="{00000000-0005-0000-0000-00000BAF0000}"/>
    <cellStyle name="Normal 3 3 3 4 2 2 2 2" xfId="26844" xr:uid="{00000000-0005-0000-0000-00000CAF0000}"/>
    <cellStyle name="Normal 3 3 3 4 2 2 2 2 2" xfId="52718" xr:uid="{00000000-0005-0000-0000-00000DAF0000}"/>
    <cellStyle name="Normal 3 3 3 4 2 2 2 3" xfId="39802" xr:uid="{00000000-0005-0000-0000-00000EAF0000}"/>
    <cellStyle name="Normal 3 3 3 4 2 2 3" xfId="20386" xr:uid="{00000000-0005-0000-0000-00000FAF0000}"/>
    <cellStyle name="Normal 3 3 3 4 2 2 3 2" xfId="46260" xr:uid="{00000000-0005-0000-0000-000010AF0000}"/>
    <cellStyle name="Normal 3 3 3 4 2 2 4" xfId="33344" xr:uid="{00000000-0005-0000-0000-000011AF0000}"/>
    <cellStyle name="Normal 3 3 3 4 2 3" xfId="10699" xr:uid="{00000000-0005-0000-0000-000012AF0000}"/>
    <cellStyle name="Normal 3 3 3 4 2 3 2" xfId="23616" xr:uid="{00000000-0005-0000-0000-000013AF0000}"/>
    <cellStyle name="Normal 3 3 3 4 2 3 2 2" xfId="49490" xr:uid="{00000000-0005-0000-0000-000014AF0000}"/>
    <cellStyle name="Normal 3 3 3 4 2 3 3" xfId="36574" xr:uid="{00000000-0005-0000-0000-000015AF0000}"/>
    <cellStyle name="Normal 3 3 3 4 2 4" xfId="17158" xr:uid="{00000000-0005-0000-0000-000016AF0000}"/>
    <cellStyle name="Normal 3 3 3 4 2 4 2" xfId="43032" xr:uid="{00000000-0005-0000-0000-000017AF0000}"/>
    <cellStyle name="Normal 3 3 3 4 2 5" xfId="30084" xr:uid="{00000000-0005-0000-0000-000018AF0000}"/>
    <cellStyle name="Normal 3 3 3 4 3" xfId="5854" xr:uid="{00000000-0005-0000-0000-000019AF0000}"/>
    <cellStyle name="Normal 3 3 3 4 3 2" xfId="12313" xr:uid="{00000000-0005-0000-0000-00001AAF0000}"/>
    <cellStyle name="Normal 3 3 3 4 3 2 2" xfId="25230" xr:uid="{00000000-0005-0000-0000-00001BAF0000}"/>
    <cellStyle name="Normal 3 3 3 4 3 2 2 2" xfId="51104" xr:uid="{00000000-0005-0000-0000-00001CAF0000}"/>
    <cellStyle name="Normal 3 3 3 4 3 2 3" xfId="38188" xr:uid="{00000000-0005-0000-0000-00001DAF0000}"/>
    <cellStyle name="Normal 3 3 3 4 3 3" xfId="18772" xr:uid="{00000000-0005-0000-0000-00001EAF0000}"/>
    <cellStyle name="Normal 3 3 3 4 3 3 2" xfId="44646" xr:uid="{00000000-0005-0000-0000-00001FAF0000}"/>
    <cellStyle name="Normal 3 3 3 4 3 4" xfId="31730" xr:uid="{00000000-0005-0000-0000-000020AF0000}"/>
    <cellStyle name="Normal 3 3 3 4 4" xfId="9085" xr:uid="{00000000-0005-0000-0000-000021AF0000}"/>
    <cellStyle name="Normal 3 3 3 4 4 2" xfId="22002" xr:uid="{00000000-0005-0000-0000-000022AF0000}"/>
    <cellStyle name="Normal 3 3 3 4 4 2 2" xfId="47876" xr:uid="{00000000-0005-0000-0000-000023AF0000}"/>
    <cellStyle name="Normal 3 3 3 4 4 3" xfId="34960" xr:uid="{00000000-0005-0000-0000-000024AF0000}"/>
    <cellStyle name="Normal 3 3 3 4 5" xfId="15544" xr:uid="{00000000-0005-0000-0000-000025AF0000}"/>
    <cellStyle name="Normal 3 3 3 4 5 2" xfId="41418" xr:uid="{00000000-0005-0000-0000-000026AF0000}"/>
    <cellStyle name="Normal 3 3 3 4 6" xfId="28470" xr:uid="{00000000-0005-0000-0000-000027AF0000}"/>
    <cellStyle name="Normal 3 3 3 4 7" xfId="2580" xr:uid="{00000000-0005-0000-0000-000028AF0000}"/>
    <cellStyle name="Normal 3 3 3 5" xfId="3406" xr:uid="{00000000-0005-0000-0000-000029AF0000}"/>
    <cellStyle name="Normal 3 3 3 5 2" xfId="6661" xr:uid="{00000000-0005-0000-0000-00002AAF0000}"/>
    <cellStyle name="Normal 3 3 3 5 2 2" xfId="13120" xr:uid="{00000000-0005-0000-0000-00002BAF0000}"/>
    <cellStyle name="Normal 3 3 3 5 2 2 2" xfId="26037" xr:uid="{00000000-0005-0000-0000-00002CAF0000}"/>
    <cellStyle name="Normal 3 3 3 5 2 2 2 2" xfId="51911" xr:uid="{00000000-0005-0000-0000-00002DAF0000}"/>
    <cellStyle name="Normal 3 3 3 5 2 2 3" xfId="38995" xr:uid="{00000000-0005-0000-0000-00002EAF0000}"/>
    <cellStyle name="Normal 3 3 3 5 2 3" xfId="19579" xr:uid="{00000000-0005-0000-0000-00002FAF0000}"/>
    <cellStyle name="Normal 3 3 3 5 2 3 2" xfId="45453" xr:uid="{00000000-0005-0000-0000-000030AF0000}"/>
    <cellStyle name="Normal 3 3 3 5 2 4" xfId="32537" xr:uid="{00000000-0005-0000-0000-000031AF0000}"/>
    <cellStyle name="Normal 3 3 3 5 3" xfId="9892" xr:uid="{00000000-0005-0000-0000-000032AF0000}"/>
    <cellStyle name="Normal 3 3 3 5 3 2" xfId="22809" xr:uid="{00000000-0005-0000-0000-000033AF0000}"/>
    <cellStyle name="Normal 3 3 3 5 3 2 2" xfId="48683" xr:uid="{00000000-0005-0000-0000-000034AF0000}"/>
    <cellStyle name="Normal 3 3 3 5 3 3" xfId="35767" xr:uid="{00000000-0005-0000-0000-000035AF0000}"/>
    <cellStyle name="Normal 3 3 3 5 4" xfId="16351" xr:uid="{00000000-0005-0000-0000-000036AF0000}"/>
    <cellStyle name="Normal 3 3 3 5 4 2" xfId="42225" xr:uid="{00000000-0005-0000-0000-000037AF0000}"/>
    <cellStyle name="Normal 3 3 3 5 5" xfId="29277" xr:uid="{00000000-0005-0000-0000-000038AF0000}"/>
    <cellStyle name="Normal 3 3 3 6" xfId="5047" xr:uid="{00000000-0005-0000-0000-000039AF0000}"/>
    <cellStyle name="Normal 3 3 3 6 2" xfId="11506" xr:uid="{00000000-0005-0000-0000-00003AAF0000}"/>
    <cellStyle name="Normal 3 3 3 6 2 2" xfId="24423" xr:uid="{00000000-0005-0000-0000-00003BAF0000}"/>
    <cellStyle name="Normal 3 3 3 6 2 2 2" xfId="50297" xr:uid="{00000000-0005-0000-0000-00003CAF0000}"/>
    <cellStyle name="Normal 3 3 3 6 2 3" xfId="37381" xr:uid="{00000000-0005-0000-0000-00003DAF0000}"/>
    <cellStyle name="Normal 3 3 3 6 3" xfId="17965" xr:uid="{00000000-0005-0000-0000-00003EAF0000}"/>
    <cellStyle name="Normal 3 3 3 6 3 2" xfId="43839" xr:uid="{00000000-0005-0000-0000-00003FAF0000}"/>
    <cellStyle name="Normal 3 3 3 6 4" xfId="30923" xr:uid="{00000000-0005-0000-0000-000040AF0000}"/>
    <cellStyle name="Normal 3 3 3 7" xfId="8277" xr:uid="{00000000-0005-0000-0000-000041AF0000}"/>
    <cellStyle name="Normal 3 3 3 7 2" xfId="21194" xr:uid="{00000000-0005-0000-0000-000042AF0000}"/>
    <cellStyle name="Normal 3 3 3 7 2 2" xfId="47068" xr:uid="{00000000-0005-0000-0000-000043AF0000}"/>
    <cellStyle name="Normal 3 3 3 7 3" xfId="34152" xr:uid="{00000000-0005-0000-0000-000044AF0000}"/>
    <cellStyle name="Normal 3 3 3 8" xfId="14736" xr:uid="{00000000-0005-0000-0000-000045AF0000}"/>
    <cellStyle name="Normal 3 3 3 8 2" xfId="40610" xr:uid="{00000000-0005-0000-0000-000046AF0000}"/>
    <cellStyle name="Normal 3 3 3 9" xfId="27660" xr:uid="{00000000-0005-0000-0000-000047AF0000}"/>
    <cellStyle name="Normal 3 3 4" xfId="210" xr:uid="{00000000-0005-0000-0000-000048AF0000}"/>
    <cellStyle name="Normal 3 3 4 10" xfId="1916" xr:uid="{00000000-0005-0000-0000-000049AF0000}"/>
    <cellStyle name="Normal 3 3 4 2" xfId="405" xr:uid="{00000000-0005-0000-0000-00004AAF0000}"/>
    <cellStyle name="Normal 3 3 4 2 2" xfId="925" xr:uid="{00000000-0005-0000-0000-00004BAF0000}"/>
    <cellStyle name="Normal 3 3 4 2 2 2" xfId="4817" xr:uid="{00000000-0005-0000-0000-00004CAF0000}"/>
    <cellStyle name="Normal 3 3 4 2 2 2 2" xfId="8048" xr:uid="{00000000-0005-0000-0000-00004DAF0000}"/>
    <cellStyle name="Normal 3 3 4 2 2 2 2 2" xfId="14507" xr:uid="{00000000-0005-0000-0000-00004EAF0000}"/>
    <cellStyle name="Normal 3 3 4 2 2 2 2 2 2" xfId="27424" xr:uid="{00000000-0005-0000-0000-00004FAF0000}"/>
    <cellStyle name="Normal 3 3 4 2 2 2 2 2 2 2" xfId="53298" xr:uid="{00000000-0005-0000-0000-000050AF0000}"/>
    <cellStyle name="Normal 3 3 4 2 2 2 2 2 3" xfId="40382" xr:uid="{00000000-0005-0000-0000-000051AF0000}"/>
    <cellStyle name="Normal 3 3 4 2 2 2 2 3" xfId="20966" xr:uid="{00000000-0005-0000-0000-000052AF0000}"/>
    <cellStyle name="Normal 3 3 4 2 2 2 2 3 2" xfId="46840" xr:uid="{00000000-0005-0000-0000-000053AF0000}"/>
    <cellStyle name="Normal 3 3 4 2 2 2 2 4" xfId="33924" xr:uid="{00000000-0005-0000-0000-000054AF0000}"/>
    <cellStyle name="Normal 3 3 4 2 2 2 3" xfId="11279" xr:uid="{00000000-0005-0000-0000-000055AF0000}"/>
    <cellStyle name="Normal 3 3 4 2 2 2 3 2" xfId="24196" xr:uid="{00000000-0005-0000-0000-000056AF0000}"/>
    <cellStyle name="Normal 3 3 4 2 2 2 3 2 2" xfId="50070" xr:uid="{00000000-0005-0000-0000-000057AF0000}"/>
    <cellStyle name="Normal 3 3 4 2 2 2 3 3" xfId="37154" xr:uid="{00000000-0005-0000-0000-000058AF0000}"/>
    <cellStyle name="Normal 3 3 4 2 2 2 4" xfId="17738" xr:uid="{00000000-0005-0000-0000-000059AF0000}"/>
    <cellStyle name="Normal 3 3 4 2 2 2 4 2" xfId="43612" xr:uid="{00000000-0005-0000-0000-00005AAF0000}"/>
    <cellStyle name="Normal 3 3 4 2 2 2 5" xfId="30664" xr:uid="{00000000-0005-0000-0000-00005BAF0000}"/>
    <cellStyle name="Normal 3 3 4 2 2 3" xfId="6434" xr:uid="{00000000-0005-0000-0000-00005CAF0000}"/>
    <cellStyle name="Normal 3 3 4 2 2 3 2" xfId="12893" xr:uid="{00000000-0005-0000-0000-00005DAF0000}"/>
    <cellStyle name="Normal 3 3 4 2 2 3 2 2" xfId="25810" xr:uid="{00000000-0005-0000-0000-00005EAF0000}"/>
    <cellStyle name="Normal 3 3 4 2 2 3 2 2 2" xfId="51684" xr:uid="{00000000-0005-0000-0000-00005FAF0000}"/>
    <cellStyle name="Normal 3 3 4 2 2 3 2 3" xfId="38768" xr:uid="{00000000-0005-0000-0000-000060AF0000}"/>
    <cellStyle name="Normal 3 3 4 2 2 3 3" xfId="19352" xr:uid="{00000000-0005-0000-0000-000061AF0000}"/>
    <cellStyle name="Normal 3 3 4 2 2 3 3 2" xfId="45226" xr:uid="{00000000-0005-0000-0000-000062AF0000}"/>
    <cellStyle name="Normal 3 3 4 2 2 3 4" xfId="32310" xr:uid="{00000000-0005-0000-0000-000063AF0000}"/>
    <cellStyle name="Normal 3 3 4 2 2 4" xfId="9665" xr:uid="{00000000-0005-0000-0000-000064AF0000}"/>
    <cellStyle name="Normal 3 3 4 2 2 4 2" xfId="22582" xr:uid="{00000000-0005-0000-0000-000065AF0000}"/>
    <cellStyle name="Normal 3 3 4 2 2 4 2 2" xfId="48456" xr:uid="{00000000-0005-0000-0000-000066AF0000}"/>
    <cellStyle name="Normal 3 3 4 2 2 4 3" xfId="35540" xr:uid="{00000000-0005-0000-0000-000067AF0000}"/>
    <cellStyle name="Normal 3 3 4 2 2 5" xfId="16124" xr:uid="{00000000-0005-0000-0000-000068AF0000}"/>
    <cellStyle name="Normal 3 3 4 2 2 5 2" xfId="41998" xr:uid="{00000000-0005-0000-0000-000069AF0000}"/>
    <cellStyle name="Normal 3 3 4 2 2 6" xfId="29050" xr:uid="{00000000-0005-0000-0000-00006AAF0000}"/>
    <cellStyle name="Normal 3 3 4 2 2 7" xfId="3160" xr:uid="{00000000-0005-0000-0000-00006BAF0000}"/>
    <cellStyle name="Normal 3 3 4 2 3" xfId="924" xr:uid="{00000000-0005-0000-0000-00006CAF0000}"/>
    <cellStyle name="Normal 3 3 4 2 3 2" xfId="7241" xr:uid="{00000000-0005-0000-0000-00006DAF0000}"/>
    <cellStyle name="Normal 3 3 4 2 3 2 2" xfId="13700" xr:uid="{00000000-0005-0000-0000-00006EAF0000}"/>
    <cellStyle name="Normal 3 3 4 2 3 2 2 2" xfId="26617" xr:uid="{00000000-0005-0000-0000-00006FAF0000}"/>
    <cellStyle name="Normal 3 3 4 2 3 2 2 2 2" xfId="52491" xr:uid="{00000000-0005-0000-0000-000070AF0000}"/>
    <cellStyle name="Normal 3 3 4 2 3 2 2 3" xfId="39575" xr:uid="{00000000-0005-0000-0000-000071AF0000}"/>
    <cellStyle name="Normal 3 3 4 2 3 2 3" xfId="20159" xr:uid="{00000000-0005-0000-0000-000072AF0000}"/>
    <cellStyle name="Normal 3 3 4 2 3 2 3 2" xfId="46033" xr:uid="{00000000-0005-0000-0000-000073AF0000}"/>
    <cellStyle name="Normal 3 3 4 2 3 2 4" xfId="33117" xr:uid="{00000000-0005-0000-0000-000074AF0000}"/>
    <cellStyle name="Normal 3 3 4 2 3 3" xfId="10472" xr:uid="{00000000-0005-0000-0000-000075AF0000}"/>
    <cellStyle name="Normal 3 3 4 2 3 3 2" xfId="23389" xr:uid="{00000000-0005-0000-0000-000076AF0000}"/>
    <cellStyle name="Normal 3 3 4 2 3 3 2 2" xfId="49263" xr:uid="{00000000-0005-0000-0000-000077AF0000}"/>
    <cellStyle name="Normal 3 3 4 2 3 3 3" xfId="36347" xr:uid="{00000000-0005-0000-0000-000078AF0000}"/>
    <cellStyle name="Normal 3 3 4 2 3 4" xfId="16931" xr:uid="{00000000-0005-0000-0000-000079AF0000}"/>
    <cellStyle name="Normal 3 3 4 2 3 4 2" xfId="42805" xr:uid="{00000000-0005-0000-0000-00007AAF0000}"/>
    <cellStyle name="Normal 3 3 4 2 3 5" xfId="29857" xr:uid="{00000000-0005-0000-0000-00007BAF0000}"/>
    <cellStyle name="Normal 3 3 4 2 3 6" xfId="3987" xr:uid="{00000000-0005-0000-0000-00007CAF0000}"/>
    <cellStyle name="Normal 3 3 4 2 4" xfId="5627" xr:uid="{00000000-0005-0000-0000-00007DAF0000}"/>
    <cellStyle name="Normal 3 3 4 2 4 2" xfId="12086" xr:uid="{00000000-0005-0000-0000-00007EAF0000}"/>
    <cellStyle name="Normal 3 3 4 2 4 2 2" xfId="25003" xr:uid="{00000000-0005-0000-0000-00007FAF0000}"/>
    <cellStyle name="Normal 3 3 4 2 4 2 2 2" xfId="50877" xr:uid="{00000000-0005-0000-0000-000080AF0000}"/>
    <cellStyle name="Normal 3 3 4 2 4 2 3" xfId="37961" xr:uid="{00000000-0005-0000-0000-000081AF0000}"/>
    <cellStyle name="Normal 3 3 4 2 4 3" xfId="18545" xr:uid="{00000000-0005-0000-0000-000082AF0000}"/>
    <cellStyle name="Normal 3 3 4 2 4 3 2" xfId="44419" xr:uid="{00000000-0005-0000-0000-000083AF0000}"/>
    <cellStyle name="Normal 3 3 4 2 4 4" xfId="31503" xr:uid="{00000000-0005-0000-0000-000084AF0000}"/>
    <cellStyle name="Normal 3 3 4 2 5" xfId="8858" xr:uid="{00000000-0005-0000-0000-000085AF0000}"/>
    <cellStyle name="Normal 3 3 4 2 5 2" xfId="21775" xr:uid="{00000000-0005-0000-0000-000086AF0000}"/>
    <cellStyle name="Normal 3 3 4 2 5 2 2" xfId="47649" xr:uid="{00000000-0005-0000-0000-000087AF0000}"/>
    <cellStyle name="Normal 3 3 4 2 5 3" xfId="34733" xr:uid="{00000000-0005-0000-0000-000088AF0000}"/>
    <cellStyle name="Normal 3 3 4 2 6" xfId="15317" xr:uid="{00000000-0005-0000-0000-000089AF0000}"/>
    <cellStyle name="Normal 3 3 4 2 6 2" xfId="41191" xr:uid="{00000000-0005-0000-0000-00008AAF0000}"/>
    <cellStyle name="Normal 3 3 4 2 7" xfId="28243" xr:uid="{00000000-0005-0000-0000-00008BAF0000}"/>
    <cellStyle name="Normal 3 3 4 2 8" xfId="54105" xr:uid="{00000000-0005-0000-0000-00008CAF0000}"/>
    <cellStyle name="Normal 3 3 4 2 9" xfId="2347" xr:uid="{00000000-0005-0000-0000-00008DAF0000}"/>
    <cellStyle name="Normal 3 3 4 3" xfId="926" xr:uid="{00000000-0005-0000-0000-00008EAF0000}"/>
    <cellStyle name="Normal 3 3 4 3 2" xfId="4413" xr:uid="{00000000-0005-0000-0000-00008FAF0000}"/>
    <cellStyle name="Normal 3 3 4 3 2 2" xfId="7644" xr:uid="{00000000-0005-0000-0000-000090AF0000}"/>
    <cellStyle name="Normal 3 3 4 3 2 2 2" xfId="14103" xr:uid="{00000000-0005-0000-0000-000091AF0000}"/>
    <cellStyle name="Normal 3 3 4 3 2 2 2 2" xfId="27020" xr:uid="{00000000-0005-0000-0000-000092AF0000}"/>
    <cellStyle name="Normal 3 3 4 3 2 2 2 2 2" xfId="52894" xr:uid="{00000000-0005-0000-0000-000093AF0000}"/>
    <cellStyle name="Normal 3 3 4 3 2 2 2 3" xfId="39978" xr:uid="{00000000-0005-0000-0000-000094AF0000}"/>
    <cellStyle name="Normal 3 3 4 3 2 2 3" xfId="20562" xr:uid="{00000000-0005-0000-0000-000095AF0000}"/>
    <cellStyle name="Normal 3 3 4 3 2 2 3 2" xfId="46436" xr:uid="{00000000-0005-0000-0000-000096AF0000}"/>
    <cellStyle name="Normal 3 3 4 3 2 2 4" xfId="33520" xr:uid="{00000000-0005-0000-0000-000097AF0000}"/>
    <cellStyle name="Normal 3 3 4 3 2 3" xfId="10875" xr:uid="{00000000-0005-0000-0000-000098AF0000}"/>
    <cellStyle name="Normal 3 3 4 3 2 3 2" xfId="23792" xr:uid="{00000000-0005-0000-0000-000099AF0000}"/>
    <cellStyle name="Normal 3 3 4 3 2 3 2 2" xfId="49666" xr:uid="{00000000-0005-0000-0000-00009AAF0000}"/>
    <cellStyle name="Normal 3 3 4 3 2 3 3" xfId="36750" xr:uid="{00000000-0005-0000-0000-00009BAF0000}"/>
    <cellStyle name="Normal 3 3 4 3 2 4" xfId="17334" xr:uid="{00000000-0005-0000-0000-00009CAF0000}"/>
    <cellStyle name="Normal 3 3 4 3 2 4 2" xfId="43208" xr:uid="{00000000-0005-0000-0000-00009DAF0000}"/>
    <cellStyle name="Normal 3 3 4 3 2 5" xfId="30260" xr:uid="{00000000-0005-0000-0000-00009EAF0000}"/>
    <cellStyle name="Normal 3 3 4 3 3" xfId="6030" xr:uid="{00000000-0005-0000-0000-00009FAF0000}"/>
    <cellStyle name="Normal 3 3 4 3 3 2" xfId="12489" xr:uid="{00000000-0005-0000-0000-0000A0AF0000}"/>
    <cellStyle name="Normal 3 3 4 3 3 2 2" xfId="25406" xr:uid="{00000000-0005-0000-0000-0000A1AF0000}"/>
    <cellStyle name="Normal 3 3 4 3 3 2 2 2" xfId="51280" xr:uid="{00000000-0005-0000-0000-0000A2AF0000}"/>
    <cellStyle name="Normal 3 3 4 3 3 2 3" xfId="38364" xr:uid="{00000000-0005-0000-0000-0000A3AF0000}"/>
    <cellStyle name="Normal 3 3 4 3 3 3" xfId="18948" xr:uid="{00000000-0005-0000-0000-0000A4AF0000}"/>
    <cellStyle name="Normal 3 3 4 3 3 3 2" xfId="44822" xr:uid="{00000000-0005-0000-0000-0000A5AF0000}"/>
    <cellStyle name="Normal 3 3 4 3 3 4" xfId="31906" xr:uid="{00000000-0005-0000-0000-0000A6AF0000}"/>
    <cellStyle name="Normal 3 3 4 3 4" xfId="9261" xr:uid="{00000000-0005-0000-0000-0000A7AF0000}"/>
    <cellStyle name="Normal 3 3 4 3 4 2" xfId="22178" xr:uid="{00000000-0005-0000-0000-0000A8AF0000}"/>
    <cellStyle name="Normal 3 3 4 3 4 2 2" xfId="48052" xr:uid="{00000000-0005-0000-0000-0000A9AF0000}"/>
    <cellStyle name="Normal 3 3 4 3 4 3" xfId="35136" xr:uid="{00000000-0005-0000-0000-0000AAAF0000}"/>
    <cellStyle name="Normal 3 3 4 3 5" xfId="15720" xr:uid="{00000000-0005-0000-0000-0000ABAF0000}"/>
    <cellStyle name="Normal 3 3 4 3 5 2" xfId="41594" xr:uid="{00000000-0005-0000-0000-0000ACAF0000}"/>
    <cellStyle name="Normal 3 3 4 3 6" xfId="28646" xr:uid="{00000000-0005-0000-0000-0000ADAF0000}"/>
    <cellStyle name="Normal 3 3 4 3 7" xfId="2756" xr:uid="{00000000-0005-0000-0000-0000AEAF0000}"/>
    <cellStyle name="Normal 3 3 4 4" xfId="923" xr:uid="{00000000-0005-0000-0000-0000AFAF0000}"/>
    <cellStyle name="Normal 3 3 4 4 2" xfId="6837" xr:uid="{00000000-0005-0000-0000-0000B0AF0000}"/>
    <cellStyle name="Normal 3 3 4 4 2 2" xfId="13296" xr:uid="{00000000-0005-0000-0000-0000B1AF0000}"/>
    <cellStyle name="Normal 3 3 4 4 2 2 2" xfId="26213" xr:uid="{00000000-0005-0000-0000-0000B2AF0000}"/>
    <cellStyle name="Normal 3 3 4 4 2 2 2 2" xfId="52087" xr:uid="{00000000-0005-0000-0000-0000B3AF0000}"/>
    <cellStyle name="Normal 3 3 4 4 2 2 3" xfId="39171" xr:uid="{00000000-0005-0000-0000-0000B4AF0000}"/>
    <cellStyle name="Normal 3 3 4 4 2 3" xfId="19755" xr:uid="{00000000-0005-0000-0000-0000B5AF0000}"/>
    <cellStyle name="Normal 3 3 4 4 2 3 2" xfId="45629" xr:uid="{00000000-0005-0000-0000-0000B6AF0000}"/>
    <cellStyle name="Normal 3 3 4 4 2 4" xfId="32713" xr:uid="{00000000-0005-0000-0000-0000B7AF0000}"/>
    <cellStyle name="Normal 3 3 4 4 3" xfId="10068" xr:uid="{00000000-0005-0000-0000-0000B8AF0000}"/>
    <cellStyle name="Normal 3 3 4 4 3 2" xfId="22985" xr:uid="{00000000-0005-0000-0000-0000B9AF0000}"/>
    <cellStyle name="Normal 3 3 4 4 3 2 2" xfId="48859" xr:uid="{00000000-0005-0000-0000-0000BAAF0000}"/>
    <cellStyle name="Normal 3 3 4 4 3 3" xfId="35943" xr:uid="{00000000-0005-0000-0000-0000BBAF0000}"/>
    <cellStyle name="Normal 3 3 4 4 4" xfId="16527" xr:uid="{00000000-0005-0000-0000-0000BCAF0000}"/>
    <cellStyle name="Normal 3 3 4 4 4 2" xfId="42401" xr:uid="{00000000-0005-0000-0000-0000BDAF0000}"/>
    <cellStyle name="Normal 3 3 4 4 5" xfId="29453" xr:uid="{00000000-0005-0000-0000-0000BEAF0000}"/>
    <cellStyle name="Normal 3 3 4 4 6" xfId="3583" xr:uid="{00000000-0005-0000-0000-0000BFAF0000}"/>
    <cellStyle name="Normal 3 3 4 5" xfId="5223" xr:uid="{00000000-0005-0000-0000-0000C0AF0000}"/>
    <cellStyle name="Normal 3 3 4 5 2" xfId="11682" xr:uid="{00000000-0005-0000-0000-0000C1AF0000}"/>
    <cellStyle name="Normal 3 3 4 5 2 2" xfId="24599" xr:uid="{00000000-0005-0000-0000-0000C2AF0000}"/>
    <cellStyle name="Normal 3 3 4 5 2 2 2" xfId="50473" xr:uid="{00000000-0005-0000-0000-0000C3AF0000}"/>
    <cellStyle name="Normal 3 3 4 5 2 3" xfId="37557" xr:uid="{00000000-0005-0000-0000-0000C4AF0000}"/>
    <cellStyle name="Normal 3 3 4 5 3" xfId="18141" xr:uid="{00000000-0005-0000-0000-0000C5AF0000}"/>
    <cellStyle name="Normal 3 3 4 5 3 2" xfId="44015" xr:uid="{00000000-0005-0000-0000-0000C6AF0000}"/>
    <cellStyle name="Normal 3 3 4 5 4" xfId="31099" xr:uid="{00000000-0005-0000-0000-0000C7AF0000}"/>
    <cellStyle name="Normal 3 3 4 6" xfId="8454" xr:uid="{00000000-0005-0000-0000-0000C8AF0000}"/>
    <cellStyle name="Normal 3 3 4 6 2" xfId="21371" xr:uid="{00000000-0005-0000-0000-0000C9AF0000}"/>
    <cellStyle name="Normal 3 3 4 6 2 2" xfId="47245" xr:uid="{00000000-0005-0000-0000-0000CAAF0000}"/>
    <cellStyle name="Normal 3 3 4 6 3" xfId="34329" xr:uid="{00000000-0005-0000-0000-0000CBAF0000}"/>
    <cellStyle name="Normal 3 3 4 7" xfId="14913" xr:uid="{00000000-0005-0000-0000-0000CCAF0000}"/>
    <cellStyle name="Normal 3 3 4 7 2" xfId="40787" xr:uid="{00000000-0005-0000-0000-0000CDAF0000}"/>
    <cellStyle name="Normal 3 3 4 8" xfId="27838" xr:uid="{00000000-0005-0000-0000-0000CEAF0000}"/>
    <cellStyle name="Normal 3 3 4 9" xfId="53701" xr:uid="{00000000-0005-0000-0000-0000CFAF0000}"/>
    <cellStyle name="Normal 3 3 5" xfId="388" xr:uid="{00000000-0005-0000-0000-0000D0AF0000}"/>
    <cellStyle name="Normal 3 3 5 2" xfId="928" xr:uid="{00000000-0005-0000-0000-0000D1AF0000}"/>
    <cellStyle name="Normal 3 3 5 2 2" xfId="4622" xr:uid="{00000000-0005-0000-0000-0000D2AF0000}"/>
    <cellStyle name="Normal 3 3 5 2 2 2" xfId="7853" xr:uid="{00000000-0005-0000-0000-0000D3AF0000}"/>
    <cellStyle name="Normal 3 3 5 2 2 2 2" xfId="14312" xr:uid="{00000000-0005-0000-0000-0000D4AF0000}"/>
    <cellStyle name="Normal 3 3 5 2 2 2 2 2" xfId="27229" xr:uid="{00000000-0005-0000-0000-0000D5AF0000}"/>
    <cellStyle name="Normal 3 3 5 2 2 2 2 2 2" xfId="53103" xr:uid="{00000000-0005-0000-0000-0000D6AF0000}"/>
    <cellStyle name="Normal 3 3 5 2 2 2 2 3" xfId="40187" xr:uid="{00000000-0005-0000-0000-0000D7AF0000}"/>
    <cellStyle name="Normal 3 3 5 2 2 2 3" xfId="20771" xr:uid="{00000000-0005-0000-0000-0000D8AF0000}"/>
    <cellStyle name="Normal 3 3 5 2 2 2 3 2" xfId="46645" xr:uid="{00000000-0005-0000-0000-0000D9AF0000}"/>
    <cellStyle name="Normal 3 3 5 2 2 2 4" xfId="33729" xr:uid="{00000000-0005-0000-0000-0000DAAF0000}"/>
    <cellStyle name="Normal 3 3 5 2 2 3" xfId="11084" xr:uid="{00000000-0005-0000-0000-0000DBAF0000}"/>
    <cellStyle name="Normal 3 3 5 2 2 3 2" xfId="24001" xr:uid="{00000000-0005-0000-0000-0000DCAF0000}"/>
    <cellStyle name="Normal 3 3 5 2 2 3 2 2" xfId="49875" xr:uid="{00000000-0005-0000-0000-0000DDAF0000}"/>
    <cellStyle name="Normal 3 3 5 2 2 3 3" xfId="36959" xr:uid="{00000000-0005-0000-0000-0000DEAF0000}"/>
    <cellStyle name="Normal 3 3 5 2 2 4" xfId="17543" xr:uid="{00000000-0005-0000-0000-0000DFAF0000}"/>
    <cellStyle name="Normal 3 3 5 2 2 4 2" xfId="43417" xr:uid="{00000000-0005-0000-0000-0000E0AF0000}"/>
    <cellStyle name="Normal 3 3 5 2 2 5" xfId="30469" xr:uid="{00000000-0005-0000-0000-0000E1AF0000}"/>
    <cellStyle name="Normal 3 3 5 2 3" xfId="6239" xr:uid="{00000000-0005-0000-0000-0000E2AF0000}"/>
    <cellStyle name="Normal 3 3 5 2 3 2" xfId="12698" xr:uid="{00000000-0005-0000-0000-0000E3AF0000}"/>
    <cellStyle name="Normal 3 3 5 2 3 2 2" xfId="25615" xr:uid="{00000000-0005-0000-0000-0000E4AF0000}"/>
    <cellStyle name="Normal 3 3 5 2 3 2 2 2" xfId="51489" xr:uid="{00000000-0005-0000-0000-0000E5AF0000}"/>
    <cellStyle name="Normal 3 3 5 2 3 2 3" xfId="38573" xr:uid="{00000000-0005-0000-0000-0000E6AF0000}"/>
    <cellStyle name="Normal 3 3 5 2 3 3" xfId="19157" xr:uid="{00000000-0005-0000-0000-0000E7AF0000}"/>
    <cellStyle name="Normal 3 3 5 2 3 3 2" xfId="45031" xr:uid="{00000000-0005-0000-0000-0000E8AF0000}"/>
    <cellStyle name="Normal 3 3 5 2 3 4" xfId="32115" xr:uid="{00000000-0005-0000-0000-0000E9AF0000}"/>
    <cellStyle name="Normal 3 3 5 2 4" xfId="9470" xr:uid="{00000000-0005-0000-0000-0000EAAF0000}"/>
    <cellStyle name="Normal 3 3 5 2 4 2" xfId="22387" xr:uid="{00000000-0005-0000-0000-0000EBAF0000}"/>
    <cellStyle name="Normal 3 3 5 2 4 2 2" xfId="48261" xr:uid="{00000000-0005-0000-0000-0000ECAF0000}"/>
    <cellStyle name="Normal 3 3 5 2 4 3" xfId="35345" xr:uid="{00000000-0005-0000-0000-0000EDAF0000}"/>
    <cellStyle name="Normal 3 3 5 2 5" xfId="15929" xr:uid="{00000000-0005-0000-0000-0000EEAF0000}"/>
    <cellStyle name="Normal 3 3 5 2 5 2" xfId="41803" xr:uid="{00000000-0005-0000-0000-0000EFAF0000}"/>
    <cellStyle name="Normal 3 3 5 2 6" xfId="28855" xr:uid="{00000000-0005-0000-0000-0000F0AF0000}"/>
    <cellStyle name="Normal 3 3 5 2 7" xfId="2965" xr:uid="{00000000-0005-0000-0000-0000F1AF0000}"/>
    <cellStyle name="Normal 3 3 5 3" xfId="927" xr:uid="{00000000-0005-0000-0000-0000F2AF0000}"/>
    <cellStyle name="Normal 3 3 5 3 2" xfId="7046" xr:uid="{00000000-0005-0000-0000-0000F3AF0000}"/>
    <cellStyle name="Normal 3 3 5 3 2 2" xfId="13505" xr:uid="{00000000-0005-0000-0000-0000F4AF0000}"/>
    <cellStyle name="Normal 3 3 5 3 2 2 2" xfId="26422" xr:uid="{00000000-0005-0000-0000-0000F5AF0000}"/>
    <cellStyle name="Normal 3 3 5 3 2 2 2 2" xfId="52296" xr:uid="{00000000-0005-0000-0000-0000F6AF0000}"/>
    <cellStyle name="Normal 3 3 5 3 2 2 3" xfId="39380" xr:uid="{00000000-0005-0000-0000-0000F7AF0000}"/>
    <cellStyle name="Normal 3 3 5 3 2 3" xfId="19964" xr:uid="{00000000-0005-0000-0000-0000F8AF0000}"/>
    <cellStyle name="Normal 3 3 5 3 2 3 2" xfId="45838" xr:uid="{00000000-0005-0000-0000-0000F9AF0000}"/>
    <cellStyle name="Normal 3 3 5 3 2 4" xfId="32922" xr:uid="{00000000-0005-0000-0000-0000FAAF0000}"/>
    <cellStyle name="Normal 3 3 5 3 3" xfId="10277" xr:uid="{00000000-0005-0000-0000-0000FBAF0000}"/>
    <cellStyle name="Normal 3 3 5 3 3 2" xfId="23194" xr:uid="{00000000-0005-0000-0000-0000FCAF0000}"/>
    <cellStyle name="Normal 3 3 5 3 3 2 2" xfId="49068" xr:uid="{00000000-0005-0000-0000-0000FDAF0000}"/>
    <cellStyle name="Normal 3 3 5 3 3 3" xfId="36152" xr:uid="{00000000-0005-0000-0000-0000FEAF0000}"/>
    <cellStyle name="Normal 3 3 5 3 4" xfId="16736" xr:uid="{00000000-0005-0000-0000-0000FFAF0000}"/>
    <cellStyle name="Normal 3 3 5 3 4 2" xfId="42610" xr:uid="{00000000-0005-0000-0000-000000B00000}"/>
    <cellStyle name="Normal 3 3 5 3 5" xfId="29662" xr:uid="{00000000-0005-0000-0000-000001B00000}"/>
    <cellStyle name="Normal 3 3 5 3 6" xfId="3792" xr:uid="{00000000-0005-0000-0000-000002B00000}"/>
    <cellStyle name="Normal 3 3 5 4" xfId="5432" xr:uid="{00000000-0005-0000-0000-000003B00000}"/>
    <cellStyle name="Normal 3 3 5 4 2" xfId="11891" xr:uid="{00000000-0005-0000-0000-000004B00000}"/>
    <cellStyle name="Normal 3 3 5 4 2 2" xfId="24808" xr:uid="{00000000-0005-0000-0000-000005B00000}"/>
    <cellStyle name="Normal 3 3 5 4 2 2 2" xfId="50682" xr:uid="{00000000-0005-0000-0000-000006B00000}"/>
    <cellStyle name="Normal 3 3 5 4 2 3" xfId="37766" xr:uid="{00000000-0005-0000-0000-000007B00000}"/>
    <cellStyle name="Normal 3 3 5 4 3" xfId="18350" xr:uid="{00000000-0005-0000-0000-000008B00000}"/>
    <cellStyle name="Normal 3 3 5 4 3 2" xfId="44224" xr:uid="{00000000-0005-0000-0000-000009B00000}"/>
    <cellStyle name="Normal 3 3 5 4 4" xfId="31308" xr:uid="{00000000-0005-0000-0000-00000AB00000}"/>
    <cellStyle name="Normal 3 3 5 5" xfId="8663" xr:uid="{00000000-0005-0000-0000-00000BB00000}"/>
    <cellStyle name="Normal 3 3 5 5 2" xfId="21580" xr:uid="{00000000-0005-0000-0000-00000CB00000}"/>
    <cellStyle name="Normal 3 3 5 5 2 2" xfId="47454" xr:uid="{00000000-0005-0000-0000-00000DB00000}"/>
    <cellStyle name="Normal 3 3 5 5 3" xfId="34538" xr:uid="{00000000-0005-0000-0000-00000EB00000}"/>
    <cellStyle name="Normal 3 3 5 6" xfId="15122" xr:uid="{00000000-0005-0000-0000-00000FB00000}"/>
    <cellStyle name="Normal 3 3 5 6 2" xfId="40996" xr:uid="{00000000-0005-0000-0000-000010B00000}"/>
    <cellStyle name="Normal 3 3 5 7" xfId="28048" xr:uid="{00000000-0005-0000-0000-000011B00000}"/>
    <cellStyle name="Normal 3 3 5 8" xfId="53910" xr:uid="{00000000-0005-0000-0000-000012B00000}"/>
    <cellStyle name="Normal 3 3 5 9" xfId="2151" xr:uid="{00000000-0005-0000-0000-000013B00000}"/>
    <cellStyle name="Normal 3 3 6" xfId="929" xr:uid="{00000000-0005-0000-0000-000014B00000}"/>
    <cellStyle name="Normal 3 3 6 2" xfId="4219" xr:uid="{00000000-0005-0000-0000-000015B00000}"/>
    <cellStyle name="Normal 3 3 6 2 2" xfId="7450" xr:uid="{00000000-0005-0000-0000-000016B00000}"/>
    <cellStyle name="Normal 3 3 6 2 2 2" xfId="13909" xr:uid="{00000000-0005-0000-0000-000017B00000}"/>
    <cellStyle name="Normal 3 3 6 2 2 2 2" xfId="26826" xr:uid="{00000000-0005-0000-0000-000018B00000}"/>
    <cellStyle name="Normal 3 3 6 2 2 2 2 2" xfId="52700" xr:uid="{00000000-0005-0000-0000-000019B00000}"/>
    <cellStyle name="Normal 3 3 6 2 2 2 3" xfId="39784" xr:uid="{00000000-0005-0000-0000-00001AB00000}"/>
    <cellStyle name="Normal 3 3 6 2 2 3" xfId="20368" xr:uid="{00000000-0005-0000-0000-00001BB00000}"/>
    <cellStyle name="Normal 3 3 6 2 2 3 2" xfId="46242" xr:uid="{00000000-0005-0000-0000-00001CB00000}"/>
    <cellStyle name="Normal 3 3 6 2 2 4" xfId="33326" xr:uid="{00000000-0005-0000-0000-00001DB00000}"/>
    <cellStyle name="Normal 3 3 6 2 3" xfId="10681" xr:uid="{00000000-0005-0000-0000-00001EB00000}"/>
    <cellStyle name="Normal 3 3 6 2 3 2" xfId="23598" xr:uid="{00000000-0005-0000-0000-00001FB00000}"/>
    <cellStyle name="Normal 3 3 6 2 3 2 2" xfId="49472" xr:uid="{00000000-0005-0000-0000-000020B00000}"/>
    <cellStyle name="Normal 3 3 6 2 3 3" xfId="36556" xr:uid="{00000000-0005-0000-0000-000021B00000}"/>
    <cellStyle name="Normal 3 3 6 2 4" xfId="17140" xr:uid="{00000000-0005-0000-0000-000022B00000}"/>
    <cellStyle name="Normal 3 3 6 2 4 2" xfId="43014" xr:uid="{00000000-0005-0000-0000-000023B00000}"/>
    <cellStyle name="Normal 3 3 6 2 5" xfId="30066" xr:uid="{00000000-0005-0000-0000-000024B00000}"/>
    <cellStyle name="Normal 3 3 6 3" xfId="5836" xr:uid="{00000000-0005-0000-0000-000025B00000}"/>
    <cellStyle name="Normal 3 3 6 3 2" xfId="12295" xr:uid="{00000000-0005-0000-0000-000026B00000}"/>
    <cellStyle name="Normal 3 3 6 3 2 2" xfId="25212" xr:uid="{00000000-0005-0000-0000-000027B00000}"/>
    <cellStyle name="Normal 3 3 6 3 2 2 2" xfId="51086" xr:uid="{00000000-0005-0000-0000-000028B00000}"/>
    <cellStyle name="Normal 3 3 6 3 2 3" xfId="38170" xr:uid="{00000000-0005-0000-0000-000029B00000}"/>
    <cellStyle name="Normal 3 3 6 3 3" xfId="18754" xr:uid="{00000000-0005-0000-0000-00002AB00000}"/>
    <cellStyle name="Normal 3 3 6 3 3 2" xfId="44628" xr:uid="{00000000-0005-0000-0000-00002BB00000}"/>
    <cellStyle name="Normal 3 3 6 3 4" xfId="31712" xr:uid="{00000000-0005-0000-0000-00002CB00000}"/>
    <cellStyle name="Normal 3 3 6 4" xfId="9067" xr:uid="{00000000-0005-0000-0000-00002DB00000}"/>
    <cellStyle name="Normal 3 3 6 4 2" xfId="21984" xr:uid="{00000000-0005-0000-0000-00002EB00000}"/>
    <cellStyle name="Normal 3 3 6 4 2 2" xfId="47858" xr:uid="{00000000-0005-0000-0000-00002FB00000}"/>
    <cellStyle name="Normal 3 3 6 4 3" xfId="34942" xr:uid="{00000000-0005-0000-0000-000030B00000}"/>
    <cellStyle name="Normal 3 3 6 5" xfId="15526" xr:uid="{00000000-0005-0000-0000-000031B00000}"/>
    <cellStyle name="Normal 3 3 6 5 2" xfId="41400" xr:uid="{00000000-0005-0000-0000-000032B00000}"/>
    <cellStyle name="Normal 3 3 6 6" xfId="28452" xr:uid="{00000000-0005-0000-0000-000033B00000}"/>
    <cellStyle name="Normal 3 3 6 7" xfId="2562" xr:uid="{00000000-0005-0000-0000-000034B00000}"/>
    <cellStyle name="Normal 3 3 7" xfId="914" xr:uid="{00000000-0005-0000-0000-000035B00000}"/>
    <cellStyle name="Normal 3 3 7 2" xfId="6643" xr:uid="{00000000-0005-0000-0000-000036B00000}"/>
    <cellStyle name="Normal 3 3 7 2 2" xfId="13102" xr:uid="{00000000-0005-0000-0000-000037B00000}"/>
    <cellStyle name="Normal 3 3 7 2 2 2" xfId="26019" xr:uid="{00000000-0005-0000-0000-000038B00000}"/>
    <cellStyle name="Normal 3 3 7 2 2 2 2" xfId="51893" xr:uid="{00000000-0005-0000-0000-000039B00000}"/>
    <cellStyle name="Normal 3 3 7 2 2 3" xfId="38977" xr:uid="{00000000-0005-0000-0000-00003AB00000}"/>
    <cellStyle name="Normal 3 3 7 2 3" xfId="19561" xr:uid="{00000000-0005-0000-0000-00003BB00000}"/>
    <cellStyle name="Normal 3 3 7 2 3 2" xfId="45435" xr:uid="{00000000-0005-0000-0000-00003CB00000}"/>
    <cellStyle name="Normal 3 3 7 2 4" xfId="32519" xr:uid="{00000000-0005-0000-0000-00003DB00000}"/>
    <cellStyle name="Normal 3 3 7 3" xfId="9874" xr:uid="{00000000-0005-0000-0000-00003EB00000}"/>
    <cellStyle name="Normal 3 3 7 3 2" xfId="22791" xr:uid="{00000000-0005-0000-0000-00003FB00000}"/>
    <cellStyle name="Normal 3 3 7 3 2 2" xfId="48665" xr:uid="{00000000-0005-0000-0000-000040B00000}"/>
    <cellStyle name="Normal 3 3 7 3 3" xfId="35749" xr:uid="{00000000-0005-0000-0000-000041B00000}"/>
    <cellStyle name="Normal 3 3 7 4" xfId="16333" xr:uid="{00000000-0005-0000-0000-000042B00000}"/>
    <cellStyle name="Normal 3 3 7 4 2" xfId="42207" xr:uid="{00000000-0005-0000-0000-000043B00000}"/>
    <cellStyle name="Normal 3 3 7 5" xfId="29259" xr:uid="{00000000-0005-0000-0000-000044B00000}"/>
    <cellStyle name="Normal 3 3 7 6" xfId="3387" xr:uid="{00000000-0005-0000-0000-000045B00000}"/>
    <cellStyle name="Normal 3 3 8" xfId="5029" xr:uid="{00000000-0005-0000-0000-000046B00000}"/>
    <cellStyle name="Normal 3 3 8 2" xfId="11488" xr:uid="{00000000-0005-0000-0000-000047B00000}"/>
    <cellStyle name="Normal 3 3 8 2 2" xfId="24405" xr:uid="{00000000-0005-0000-0000-000048B00000}"/>
    <cellStyle name="Normal 3 3 8 2 2 2" xfId="50279" xr:uid="{00000000-0005-0000-0000-000049B00000}"/>
    <cellStyle name="Normal 3 3 8 2 3" xfId="37363" xr:uid="{00000000-0005-0000-0000-00004AB00000}"/>
    <cellStyle name="Normal 3 3 8 3" xfId="17947" xr:uid="{00000000-0005-0000-0000-00004BB00000}"/>
    <cellStyle name="Normal 3 3 8 3 2" xfId="43821" xr:uid="{00000000-0005-0000-0000-00004CB00000}"/>
    <cellStyle name="Normal 3 3 8 4" xfId="30905" xr:uid="{00000000-0005-0000-0000-00004DB00000}"/>
    <cellStyle name="Normal 3 3 9" xfId="8259" xr:uid="{00000000-0005-0000-0000-00004EB00000}"/>
    <cellStyle name="Normal 3 3 9 2" xfId="21176" xr:uid="{00000000-0005-0000-0000-00004FB00000}"/>
    <cellStyle name="Normal 3 3 9 2 2" xfId="47050" xr:uid="{00000000-0005-0000-0000-000050B00000}"/>
    <cellStyle name="Normal 3 3 9 3" xfId="34134" xr:uid="{00000000-0005-0000-0000-000051B00000}"/>
    <cellStyle name="Normal 3 4" xfId="52" xr:uid="{00000000-0005-0000-0000-000052B00000}"/>
    <cellStyle name="Normal 3 4 2" xfId="151" xr:uid="{00000000-0005-0000-0000-000053B00000}"/>
    <cellStyle name="Normal 3 5" xfId="264" xr:uid="{00000000-0005-0000-0000-000054B00000}"/>
    <cellStyle name="Normal 3 5 10" xfId="27632" xr:uid="{00000000-0005-0000-0000-000055B00000}"/>
    <cellStyle name="Normal 3 5 11" xfId="53497" xr:uid="{00000000-0005-0000-0000-000056B00000}"/>
    <cellStyle name="Normal 3 5 12" xfId="1557" xr:uid="{00000000-0005-0000-0000-000057B00000}"/>
    <cellStyle name="Normal 3 5 2" xfId="363" xr:uid="{00000000-0005-0000-0000-000058B00000}"/>
    <cellStyle name="Normal 3 5 2 10" xfId="53549" xr:uid="{00000000-0005-0000-0000-000059B00000}"/>
    <cellStyle name="Normal 3 5 2 11" xfId="1633" xr:uid="{00000000-0005-0000-0000-00005AB00000}"/>
    <cellStyle name="Normal 3 5 2 2" xfId="474" xr:uid="{00000000-0005-0000-0000-00005BB00000}"/>
    <cellStyle name="Normal 3 5 2 2 10" xfId="1958" xr:uid="{00000000-0005-0000-0000-00005CB00000}"/>
    <cellStyle name="Normal 3 5 2 2 2" xfId="933" xr:uid="{00000000-0005-0000-0000-00005DB00000}"/>
    <cellStyle name="Normal 3 5 2 2 2 2" xfId="3202" xr:uid="{00000000-0005-0000-0000-00005EB00000}"/>
    <cellStyle name="Normal 3 5 2 2 2 2 2" xfId="4859" xr:uid="{00000000-0005-0000-0000-00005FB00000}"/>
    <cellStyle name="Normal 3 5 2 2 2 2 2 2" xfId="8090" xr:uid="{00000000-0005-0000-0000-000060B00000}"/>
    <cellStyle name="Normal 3 5 2 2 2 2 2 2 2" xfId="14549" xr:uid="{00000000-0005-0000-0000-000061B00000}"/>
    <cellStyle name="Normal 3 5 2 2 2 2 2 2 2 2" xfId="27466" xr:uid="{00000000-0005-0000-0000-000062B00000}"/>
    <cellStyle name="Normal 3 5 2 2 2 2 2 2 2 2 2" xfId="53340" xr:uid="{00000000-0005-0000-0000-000063B00000}"/>
    <cellStyle name="Normal 3 5 2 2 2 2 2 2 2 3" xfId="40424" xr:uid="{00000000-0005-0000-0000-000064B00000}"/>
    <cellStyle name="Normal 3 5 2 2 2 2 2 2 3" xfId="21008" xr:uid="{00000000-0005-0000-0000-000065B00000}"/>
    <cellStyle name="Normal 3 5 2 2 2 2 2 2 3 2" xfId="46882" xr:uid="{00000000-0005-0000-0000-000066B00000}"/>
    <cellStyle name="Normal 3 5 2 2 2 2 2 2 4" xfId="33966" xr:uid="{00000000-0005-0000-0000-000067B00000}"/>
    <cellStyle name="Normal 3 5 2 2 2 2 2 3" xfId="11321" xr:uid="{00000000-0005-0000-0000-000068B00000}"/>
    <cellStyle name="Normal 3 5 2 2 2 2 2 3 2" xfId="24238" xr:uid="{00000000-0005-0000-0000-000069B00000}"/>
    <cellStyle name="Normal 3 5 2 2 2 2 2 3 2 2" xfId="50112" xr:uid="{00000000-0005-0000-0000-00006AB00000}"/>
    <cellStyle name="Normal 3 5 2 2 2 2 2 3 3" xfId="37196" xr:uid="{00000000-0005-0000-0000-00006BB00000}"/>
    <cellStyle name="Normal 3 5 2 2 2 2 2 4" xfId="17780" xr:uid="{00000000-0005-0000-0000-00006CB00000}"/>
    <cellStyle name="Normal 3 5 2 2 2 2 2 4 2" xfId="43654" xr:uid="{00000000-0005-0000-0000-00006DB00000}"/>
    <cellStyle name="Normal 3 5 2 2 2 2 2 5" xfId="30706" xr:uid="{00000000-0005-0000-0000-00006EB00000}"/>
    <cellStyle name="Normal 3 5 2 2 2 2 3" xfId="6476" xr:uid="{00000000-0005-0000-0000-00006FB00000}"/>
    <cellStyle name="Normal 3 5 2 2 2 2 3 2" xfId="12935" xr:uid="{00000000-0005-0000-0000-000070B00000}"/>
    <cellStyle name="Normal 3 5 2 2 2 2 3 2 2" xfId="25852" xr:uid="{00000000-0005-0000-0000-000071B00000}"/>
    <cellStyle name="Normal 3 5 2 2 2 2 3 2 2 2" xfId="51726" xr:uid="{00000000-0005-0000-0000-000072B00000}"/>
    <cellStyle name="Normal 3 5 2 2 2 2 3 2 3" xfId="38810" xr:uid="{00000000-0005-0000-0000-000073B00000}"/>
    <cellStyle name="Normal 3 5 2 2 2 2 3 3" xfId="19394" xr:uid="{00000000-0005-0000-0000-000074B00000}"/>
    <cellStyle name="Normal 3 5 2 2 2 2 3 3 2" xfId="45268" xr:uid="{00000000-0005-0000-0000-000075B00000}"/>
    <cellStyle name="Normal 3 5 2 2 2 2 3 4" xfId="32352" xr:uid="{00000000-0005-0000-0000-000076B00000}"/>
    <cellStyle name="Normal 3 5 2 2 2 2 4" xfId="9707" xr:uid="{00000000-0005-0000-0000-000077B00000}"/>
    <cellStyle name="Normal 3 5 2 2 2 2 4 2" xfId="22624" xr:uid="{00000000-0005-0000-0000-000078B00000}"/>
    <cellStyle name="Normal 3 5 2 2 2 2 4 2 2" xfId="48498" xr:uid="{00000000-0005-0000-0000-000079B00000}"/>
    <cellStyle name="Normal 3 5 2 2 2 2 4 3" xfId="35582" xr:uid="{00000000-0005-0000-0000-00007AB00000}"/>
    <cellStyle name="Normal 3 5 2 2 2 2 5" xfId="16166" xr:uid="{00000000-0005-0000-0000-00007BB00000}"/>
    <cellStyle name="Normal 3 5 2 2 2 2 5 2" xfId="42040" xr:uid="{00000000-0005-0000-0000-00007CB00000}"/>
    <cellStyle name="Normal 3 5 2 2 2 2 6" xfId="29092" xr:uid="{00000000-0005-0000-0000-00007DB00000}"/>
    <cellStyle name="Normal 3 5 2 2 2 3" xfId="4029" xr:uid="{00000000-0005-0000-0000-00007EB00000}"/>
    <cellStyle name="Normal 3 5 2 2 2 3 2" xfId="7283" xr:uid="{00000000-0005-0000-0000-00007FB00000}"/>
    <cellStyle name="Normal 3 5 2 2 2 3 2 2" xfId="13742" xr:uid="{00000000-0005-0000-0000-000080B00000}"/>
    <cellStyle name="Normal 3 5 2 2 2 3 2 2 2" xfId="26659" xr:uid="{00000000-0005-0000-0000-000081B00000}"/>
    <cellStyle name="Normal 3 5 2 2 2 3 2 2 2 2" xfId="52533" xr:uid="{00000000-0005-0000-0000-000082B00000}"/>
    <cellStyle name="Normal 3 5 2 2 2 3 2 2 3" xfId="39617" xr:uid="{00000000-0005-0000-0000-000083B00000}"/>
    <cellStyle name="Normal 3 5 2 2 2 3 2 3" xfId="20201" xr:uid="{00000000-0005-0000-0000-000084B00000}"/>
    <cellStyle name="Normal 3 5 2 2 2 3 2 3 2" xfId="46075" xr:uid="{00000000-0005-0000-0000-000085B00000}"/>
    <cellStyle name="Normal 3 5 2 2 2 3 2 4" xfId="33159" xr:uid="{00000000-0005-0000-0000-000086B00000}"/>
    <cellStyle name="Normal 3 5 2 2 2 3 3" xfId="10514" xr:uid="{00000000-0005-0000-0000-000087B00000}"/>
    <cellStyle name="Normal 3 5 2 2 2 3 3 2" xfId="23431" xr:uid="{00000000-0005-0000-0000-000088B00000}"/>
    <cellStyle name="Normal 3 5 2 2 2 3 3 2 2" xfId="49305" xr:uid="{00000000-0005-0000-0000-000089B00000}"/>
    <cellStyle name="Normal 3 5 2 2 2 3 3 3" xfId="36389" xr:uid="{00000000-0005-0000-0000-00008AB00000}"/>
    <cellStyle name="Normal 3 5 2 2 2 3 4" xfId="16973" xr:uid="{00000000-0005-0000-0000-00008BB00000}"/>
    <cellStyle name="Normal 3 5 2 2 2 3 4 2" xfId="42847" xr:uid="{00000000-0005-0000-0000-00008CB00000}"/>
    <cellStyle name="Normal 3 5 2 2 2 3 5" xfId="29899" xr:uid="{00000000-0005-0000-0000-00008DB00000}"/>
    <cellStyle name="Normal 3 5 2 2 2 4" xfId="5669" xr:uid="{00000000-0005-0000-0000-00008EB00000}"/>
    <cellStyle name="Normal 3 5 2 2 2 4 2" xfId="12128" xr:uid="{00000000-0005-0000-0000-00008FB00000}"/>
    <cellStyle name="Normal 3 5 2 2 2 4 2 2" xfId="25045" xr:uid="{00000000-0005-0000-0000-000090B00000}"/>
    <cellStyle name="Normal 3 5 2 2 2 4 2 2 2" xfId="50919" xr:uid="{00000000-0005-0000-0000-000091B00000}"/>
    <cellStyle name="Normal 3 5 2 2 2 4 2 3" xfId="38003" xr:uid="{00000000-0005-0000-0000-000092B00000}"/>
    <cellStyle name="Normal 3 5 2 2 2 4 3" xfId="18587" xr:uid="{00000000-0005-0000-0000-000093B00000}"/>
    <cellStyle name="Normal 3 5 2 2 2 4 3 2" xfId="44461" xr:uid="{00000000-0005-0000-0000-000094B00000}"/>
    <cellStyle name="Normal 3 5 2 2 2 4 4" xfId="31545" xr:uid="{00000000-0005-0000-0000-000095B00000}"/>
    <cellStyle name="Normal 3 5 2 2 2 5" xfId="8900" xr:uid="{00000000-0005-0000-0000-000096B00000}"/>
    <cellStyle name="Normal 3 5 2 2 2 5 2" xfId="21817" xr:uid="{00000000-0005-0000-0000-000097B00000}"/>
    <cellStyle name="Normal 3 5 2 2 2 5 2 2" xfId="47691" xr:uid="{00000000-0005-0000-0000-000098B00000}"/>
    <cellStyle name="Normal 3 5 2 2 2 5 3" xfId="34775" xr:uid="{00000000-0005-0000-0000-000099B00000}"/>
    <cellStyle name="Normal 3 5 2 2 2 6" xfId="15359" xr:uid="{00000000-0005-0000-0000-00009AB00000}"/>
    <cellStyle name="Normal 3 5 2 2 2 6 2" xfId="41233" xr:uid="{00000000-0005-0000-0000-00009BB00000}"/>
    <cellStyle name="Normal 3 5 2 2 2 7" xfId="28285" xr:uid="{00000000-0005-0000-0000-00009CB00000}"/>
    <cellStyle name="Normal 3 5 2 2 2 8" xfId="54147" xr:uid="{00000000-0005-0000-0000-00009DB00000}"/>
    <cellStyle name="Normal 3 5 2 2 2 9" xfId="2389" xr:uid="{00000000-0005-0000-0000-00009EB00000}"/>
    <cellStyle name="Normal 3 5 2 2 3" xfId="932" xr:uid="{00000000-0005-0000-0000-00009FB00000}"/>
    <cellStyle name="Normal 3 5 2 2 3 2" xfId="4455" xr:uid="{00000000-0005-0000-0000-0000A0B00000}"/>
    <cellStyle name="Normal 3 5 2 2 3 2 2" xfId="7686" xr:uid="{00000000-0005-0000-0000-0000A1B00000}"/>
    <cellStyle name="Normal 3 5 2 2 3 2 2 2" xfId="14145" xr:uid="{00000000-0005-0000-0000-0000A2B00000}"/>
    <cellStyle name="Normal 3 5 2 2 3 2 2 2 2" xfId="27062" xr:uid="{00000000-0005-0000-0000-0000A3B00000}"/>
    <cellStyle name="Normal 3 5 2 2 3 2 2 2 2 2" xfId="52936" xr:uid="{00000000-0005-0000-0000-0000A4B00000}"/>
    <cellStyle name="Normal 3 5 2 2 3 2 2 2 3" xfId="40020" xr:uid="{00000000-0005-0000-0000-0000A5B00000}"/>
    <cellStyle name="Normal 3 5 2 2 3 2 2 3" xfId="20604" xr:uid="{00000000-0005-0000-0000-0000A6B00000}"/>
    <cellStyle name="Normal 3 5 2 2 3 2 2 3 2" xfId="46478" xr:uid="{00000000-0005-0000-0000-0000A7B00000}"/>
    <cellStyle name="Normal 3 5 2 2 3 2 2 4" xfId="33562" xr:uid="{00000000-0005-0000-0000-0000A8B00000}"/>
    <cellStyle name="Normal 3 5 2 2 3 2 3" xfId="10917" xr:uid="{00000000-0005-0000-0000-0000A9B00000}"/>
    <cellStyle name="Normal 3 5 2 2 3 2 3 2" xfId="23834" xr:uid="{00000000-0005-0000-0000-0000AAB00000}"/>
    <cellStyle name="Normal 3 5 2 2 3 2 3 2 2" xfId="49708" xr:uid="{00000000-0005-0000-0000-0000ABB00000}"/>
    <cellStyle name="Normal 3 5 2 2 3 2 3 3" xfId="36792" xr:uid="{00000000-0005-0000-0000-0000ACB00000}"/>
    <cellStyle name="Normal 3 5 2 2 3 2 4" xfId="17376" xr:uid="{00000000-0005-0000-0000-0000ADB00000}"/>
    <cellStyle name="Normal 3 5 2 2 3 2 4 2" xfId="43250" xr:uid="{00000000-0005-0000-0000-0000AEB00000}"/>
    <cellStyle name="Normal 3 5 2 2 3 2 5" xfId="30302" xr:uid="{00000000-0005-0000-0000-0000AFB00000}"/>
    <cellStyle name="Normal 3 5 2 2 3 3" xfId="6072" xr:uid="{00000000-0005-0000-0000-0000B0B00000}"/>
    <cellStyle name="Normal 3 5 2 2 3 3 2" xfId="12531" xr:uid="{00000000-0005-0000-0000-0000B1B00000}"/>
    <cellStyle name="Normal 3 5 2 2 3 3 2 2" xfId="25448" xr:uid="{00000000-0005-0000-0000-0000B2B00000}"/>
    <cellStyle name="Normal 3 5 2 2 3 3 2 2 2" xfId="51322" xr:uid="{00000000-0005-0000-0000-0000B3B00000}"/>
    <cellStyle name="Normal 3 5 2 2 3 3 2 3" xfId="38406" xr:uid="{00000000-0005-0000-0000-0000B4B00000}"/>
    <cellStyle name="Normal 3 5 2 2 3 3 3" xfId="18990" xr:uid="{00000000-0005-0000-0000-0000B5B00000}"/>
    <cellStyle name="Normal 3 5 2 2 3 3 3 2" xfId="44864" xr:uid="{00000000-0005-0000-0000-0000B6B00000}"/>
    <cellStyle name="Normal 3 5 2 2 3 3 4" xfId="31948" xr:uid="{00000000-0005-0000-0000-0000B7B00000}"/>
    <cellStyle name="Normal 3 5 2 2 3 4" xfId="9303" xr:uid="{00000000-0005-0000-0000-0000B8B00000}"/>
    <cellStyle name="Normal 3 5 2 2 3 4 2" xfId="22220" xr:uid="{00000000-0005-0000-0000-0000B9B00000}"/>
    <cellStyle name="Normal 3 5 2 2 3 4 2 2" xfId="48094" xr:uid="{00000000-0005-0000-0000-0000BAB00000}"/>
    <cellStyle name="Normal 3 5 2 2 3 4 3" xfId="35178" xr:uid="{00000000-0005-0000-0000-0000BBB00000}"/>
    <cellStyle name="Normal 3 5 2 2 3 5" xfId="15762" xr:uid="{00000000-0005-0000-0000-0000BCB00000}"/>
    <cellStyle name="Normal 3 5 2 2 3 5 2" xfId="41636" xr:uid="{00000000-0005-0000-0000-0000BDB00000}"/>
    <cellStyle name="Normal 3 5 2 2 3 6" xfId="28688" xr:uid="{00000000-0005-0000-0000-0000BEB00000}"/>
    <cellStyle name="Normal 3 5 2 2 3 7" xfId="2798" xr:uid="{00000000-0005-0000-0000-0000BFB00000}"/>
    <cellStyle name="Normal 3 5 2 2 4" xfId="3625" xr:uid="{00000000-0005-0000-0000-0000C0B00000}"/>
    <cellStyle name="Normal 3 5 2 2 4 2" xfId="6879" xr:uid="{00000000-0005-0000-0000-0000C1B00000}"/>
    <cellStyle name="Normal 3 5 2 2 4 2 2" xfId="13338" xr:uid="{00000000-0005-0000-0000-0000C2B00000}"/>
    <cellStyle name="Normal 3 5 2 2 4 2 2 2" xfId="26255" xr:uid="{00000000-0005-0000-0000-0000C3B00000}"/>
    <cellStyle name="Normal 3 5 2 2 4 2 2 2 2" xfId="52129" xr:uid="{00000000-0005-0000-0000-0000C4B00000}"/>
    <cellStyle name="Normal 3 5 2 2 4 2 2 3" xfId="39213" xr:uid="{00000000-0005-0000-0000-0000C5B00000}"/>
    <cellStyle name="Normal 3 5 2 2 4 2 3" xfId="19797" xr:uid="{00000000-0005-0000-0000-0000C6B00000}"/>
    <cellStyle name="Normal 3 5 2 2 4 2 3 2" xfId="45671" xr:uid="{00000000-0005-0000-0000-0000C7B00000}"/>
    <cellStyle name="Normal 3 5 2 2 4 2 4" xfId="32755" xr:uid="{00000000-0005-0000-0000-0000C8B00000}"/>
    <cellStyle name="Normal 3 5 2 2 4 3" xfId="10110" xr:uid="{00000000-0005-0000-0000-0000C9B00000}"/>
    <cellStyle name="Normal 3 5 2 2 4 3 2" xfId="23027" xr:uid="{00000000-0005-0000-0000-0000CAB00000}"/>
    <cellStyle name="Normal 3 5 2 2 4 3 2 2" xfId="48901" xr:uid="{00000000-0005-0000-0000-0000CBB00000}"/>
    <cellStyle name="Normal 3 5 2 2 4 3 3" xfId="35985" xr:uid="{00000000-0005-0000-0000-0000CCB00000}"/>
    <cellStyle name="Normal 3 5 2 2 4 4" xfId="16569" xr:uid="{00000000-0005-0000-0000-0000CDB00000}"/>
    <cellStyle name="Normal 3 5 2 2 4 4 2" xfId="42443" xr:uid="{00000000-0005-0000-0000-0000CEB00000}"/>
    <cellStyle name="Normal 3 5 2 2 4 5" xfId="29495" xr:uid="{00000000-0005-0000-0000-0000CFB00000}"/>
    <cellStyle name="Normal 3 5 2 2 5" xfId="5265" xr:uid="{00000000-0005-0000-0000-0000D0B00000}"/>
    <cellStyle name="Normal 3 5 2 2 5 2" xfId="11724" xr:uid="{00000000-0005-0000-0000-0000D1B00000}"/>
    <cellStyle name="Normal 3 5 2 2 5 2 2" xfId="24641" xr:uid="{00000000-0005-0000-0000-0000D2B00000}"/>
    <cellStyle name="Normal 3 5 2 2 5 2 2 2" xfId="50515" xr:uid="{00000000-0005-0000-0000-0000D3B00000}"/>
    <cellStyle name="Normal 3 5 2 2 5 2 3" xfId="37599" xr:uid="{00000000-0005-0000-0000-0000D4B00000}"/>
    <cellStyle name="Normal 3 5 2 2 5 3" xfId="18183" xr:uid="{00000000-0005-0000-0000-0000D5B00000}"/>
    <cellStyle name="Normal 3 5 2 2 5 3 2" xfId="44057" xr:uid="{00000000-0005-0000-0000-0000D6B00000}"/>
    <cellStyle name="Normal 3 5 2 2 5 4" xfId="31141" xr:uid="{00000000-0005-0000-0000-0000D7B00000}"/>
    <cellStyle name="Normal 3 5 2 2 6" xfId="8496" xr:uid="{00000000-0005-0000-0000-0000D8B00000}"/>
    <cellStyle name="Normal 3 5 2 2 6 2" xfId="21413" xr:uid="{00000000-0005-0000-0000-0000D9B00000}"/>
    <cellStyle name="Normal 3 5 2 2 6 2 2" xfId="47287" xr:uid="{00000000-0005-0000-0000-0000DAB00000}"/>
    <cellStyle name="Normal 3 5 2 2 6 3" xfId="34371" xr:uid="{00000000-0005-0000-0000-0000DBB00000}"/>
    <cellStyle name="Normal 3 5 2 2 7" xfId="14955" xr:uid="{00000000-0005-0000-0000-0000DCB00000}"/>
    <cellStyle name="Normal 3 5 2 2 7 2" xfId="40829" xr:uid="{00000000-0005-0000-0000-0000DDB00000}"/>
    <cellStyle name="Normal 3 5 2 2 8" xfId="27880" xr:uid="{00000000-0005-0000-0000-0000DEB00000}"/>
    <cellStyle name="Normal 3 5 2 2 9" xfId="53743" xr:uid="{00000000-0005-0000-0000-0000DFB00000}"/>
    <cellStyle name="Normal 3 5 2 3" xfId="934" xr:uid="{00000000-0005-0000-0000-0000E0B00000}"/>
    <cellStyle name="Normal 3 5 2 3 2" xfId="3007" xr:uid="{00000000-0005-0000-0000-0000E1B00000}"/>
    <cellStyle name="Normal 3 5 2 3 2 2" xfId="4664" xr:uid="{00000000-0005-0000-0000-0000E2B00000}"/>
    <cellStyle name="Normal 3 5 2 3 2 2 2" xfId="7895" xr:uid="{00000000-0005-0000-0000-0000E3B00000}"/>
    <cellStyle name="Normal 3 5 2 3 2 2 2 2" xfId="14354" xr:uid="{00000000-0005-0000-0000-0000E4B00000}"/>
    <cellStyle name="Normal 3 5 2 3 2 2 2 2 2" xfId="27271" xr:uid="{00000000-0005-0000-0000-0000E5B00000}"/>
    <cellStyle name="Normal 3 5 2 3 2 2 2 2 2 2" xfId="53145" xr:uid="{00000000-0005-0000-0000-0000E6B00000}"/>
    <cellStyle name="Normal 3 5 2 3 2 2 2 2 3" xfId="40229" xr:uid="{00000000-0005-0000-0000-0000E7B00000}"/>
    <cellStyle name="Normal 3 5 2 3 2 2 2 3" xfId="20813" xr:uid="{00000000-0005-0000-0000-0000E8B00000}"/>
    <cellStyle name="Normal 3 5 2 3 2 2 2 3 2" xfId="46687" xr:uid="{00000000-0005-0000-0000-0000E9B00000}"/>
    <cellStyle name="Normal 3 5 2 3 2 2 2 4" xfId="33771" xr:uid="{00000000-0005-0000-0000-0000EAB00000}"/>
    <cellStyle name="Normal 3 5 2 3 2 2 3" xfId="11126" xr:uid="{00000000-0005-0000-0000-0000EBB00000}"/>
    <cellStyle name="Normal 3 5 2 3 2 2 3 2" xfId="24043" xr:uid="{00000000-0005-0000-0000-0000ECB00000}"/>
    <cellStyle name="Normal 3 5 2 3 2 2 3 2 2" xfId="49917" xr:uid="{00000000-0005-0000-0000-0000EDB00000}"/>
    <cellStyle name="Normal 3 5 2 3 2 2 3 3" xfId="37001" xr:uid="{00000000-0005-0000-0000-0000EEB00000}"/>
    <cellStyle name="Normal 3 5 2 3 2 2 4" xfId="17585" xr:uid="{00000000-0005-0000-0000-0000EFB00000}"/>
    <cellStyle name="Normal 3 5 2 3 2 2 4 2" xfId="43459" xr:uid="{00000000-0005-0000-0000-0000F0B00000}"/>
    <cellStyle name="Normal 3 5 2 3 2 2 5" xfId="30511" xr:uid="{00000000-0005-0000-0000-0000F1B00000}"/>
    <cellStyle name="Normal 3 5 2 3 2 3" xfId="6281" xr:uid="{00000000-0005-0000-0000-0000F2B00000}"/>
    <cellStyle name="Normal 3 5 2 3 2 3 2" xfId="12740" xr:uid="{00000000-0005-0000-0000-0000F3B00000}"/>
    <cellStyle name="Normal 3 5 2 3 2 3 2 2" xfId="25657" xr:uid="{00000000-0005-0000-0000-0000F4B00000}"/>
    <cellStyle name="Normal 3 5 2 3 2 3 2 2 2" xfId="51531" xr:uid="{00000000-0005-0000-0000-0000F5B00000}"/>
    <cellStyle name="Normal 3 5 2 3 2 3 2 3" xfId="38615" xr:uid="{00000000-0005-0000-0000-0000F6B00000}"/>
    <cellStyle name="Normal 3 5 2 3 2 3 3" xfId="19199" xr:uid="{00000000-0005-0000-0000-0000F7B00000}"/>
    <cellStyle name="Normal 3 5 2 3 2 3 3 2" xfId="45073" xr:uid="{00000000-0005-0000-0000-0000F8B00000}"/>
    <cellStyle name="Normal 3 5 2 3 2 3 4" xfId="32157" xr:uid="{00000000-0005-0000-0000-0000F9B00000}"/>
    <cellStyle name="Normal 3 5 2 3 2 4" xfId="9512" xr:uid="{00000000-0005-0000-0000-0000FAB00000}"/>
    <cellStyle name="Normal 3 5 2 3 2 4 2" xfId="22429" xr:uid="{00000000-0005-0000-0000-0000FBB00000}"/>
    <cellStyle name="Normal 3 5 2 3 2 4 2 2" xfId="48303" xr:uid="{00000000-0005-0000-0000-0000FCB00000}"/>
    <cellStyle name="Normal 3 5 2 3 2 4 3" xfId="35387" xr:uid="{00000000-0005-0000-0000-0000FDB00000}"/>
    <cellStyle name="Normal 3 5 2 3 2 5" xfId="15971" xr:uid="{00000000-0005-0000-0000-0000FEB00000}"/>
    <cellStyle name="Normal 3 5 2 3 2 5 2" xfId="41845" xr:uid="{00000000-0005-0000-0000-0000FFB00000}"/>
    <cellStyle name="Normal 3 5 2 3 2 6" xfId="28897" xr:uid="{00000000-0005-0000-0000-000000B10000}"/>
    <cellStyle name="Normal 3 5 2 3 3" xfId="3834" xr:uid="{00000000-0005-0000-0000-000001B10000}"/>
    <cellStyle name="Normal 3 5 2 3 3 2" xfId="7088" xr:uid="{00000000-0005-0000-0000-000002B10000}"/>
    <cellStyle name="Normal 3 5 2 3 3 2 2" xfId="13547" xr:uid="{00000000-0005-0000-0000-000003B10000}"/>
    <cellStyle name="Normal 3 5 2 3 3 2 2 2" xfId="26464" xr:uid="{00000000-0005-0000-0000-000004B10000}"/>
    <cellStyle name="Normal 3 5 2 3 3 2 2 2 2" xfId="52338" xr:uid="{00000000-0005-0000-0000-000005B10000}"/>
    <cellStyle name="Normal 3 5 2 3 3 2 2 3" xfId="39422" xr:uid="{00000000-0005-0000-0000-000006B10000}"/>
    <cellStyle name="Normal 3 5 2 3 3 2 3" xfId="20006" xr:uid="{00000000-0005-0000-0000-000007B10000}"/>
    <cellStyle name="Normal 3 5 2 3 3 2 3 2" xfId="45880" xr:uid="{00000000-0005-0000-0000-000008B10000}"/>
    <cellStyle name="Normal 3 5 2 3 3 2 4" xfId="32964" xr:uid="{00000000-0005-0000-0000-000009B10000}"/>
    <cellStyle name="Normal 3 5 2 3 3 3" xfId="10319" xr:uid="{00000000-0005-0000-0000-00000AB10000}"/>
    <cellStyle name="Normal 3 5 2 3 3 3 2" xfId="23236" xr:uid="{00000000-0005-0000-0000-00000BB10000}"/>
    <cellStyle name="Normal 3 5 2 3 3 3 2 2" xfId="49110" xr:uid="{00000000-0005-0000-0000-00000CB10000}"/>
    <cellStyle name="Normal 3 5 2 3 3 3 3" xfId="36194" xr:uid="{00000000-0005-0000-0000-00000DB10000}"/>
    <cellStyle name="Normal 3 5 2 3 3 4" xfId="16778" xr:uid="{00000000-0005-0000-0000-00000EB10000}"/>
    <cellStyle name="Normal 3 5 2 3 3 4 2" xfId="42652" xr:uid="{00000000-0005-0000-0000-00000FB10000}"/>
    <cellStyle name="Normal 3 5 2 3 3 5" xfId="29704" xr:uid="{00000000-0005-0000-0000-000010B10000}"/>
    <cellStyle name="Normal 3 5 2 3 4" xfId="5474" xr:uid="{00000000-0005-0000-0000-000011B10000}"/>
    <cellStyle name="Normal 3 5 2 3 4 2" xfId="11933" xr:uid="{00000000-0005-0000-0000-000012B10000}"/>
    <cellStyle name="Normal 3 5 2 3 4 2 2" xfId="24850" xr:uid="{00000000-0005-0000-0000-000013B10000}"/>
    <cellStyle name="Normal 3 5 2 3 4 2 2 2" xfId="50724" xr:uid="{00000000-0005-0000-0000-000014B10000}"/>
    <cellStyle name="Normal 3 5 2 3 4 2 3" xfId="37808" xr:uid="{00000000-0005-0000-0000-000015B10000}"/>
    <cellStyle name="Normal 3 5 2 3 4 3" xfId="18392" xr:uid="{00000000-0005-0000-0000-000016B10000}"/>
    <cellStyle name="Normal 3 5 2 3 4 3 2" xfId="44266" xr:uid="{00000000-0005-0000-0000-000017B10000}"/>
    <cellStyle name="Normal 3 5 2 3 4 4" xfId="31350" xr:uid="{00000000-0005-0000-0000-000018B10000}"/>
    <cellStyle name="Normal 3 5 2 3 5" xfId="8705" xr:uid="{00000000-0005-0000-0000-000019B10000}"/>
    <cellStyle name="Normal 3 5 2 3 5 2" xfId="21622" xr:uid="{00000000-0005-0000-0000-00001AB10000}"/>
    <cellStyle name="Normal 3 5 2 3 5 2 2" xfId="47496" xr:uid="{00000000-0005-0000-0000-00001BB10000}"/>
    <cellStyle name="Normal 3 5 2 3 5 3" xfId="34580" xr:uid="{00000000-0005-0000-0000-00001CB10000}"/>
    <cellStyle name="Normal 3 5 2 3 6" xfId="15164" xr:uid="{00000000-0005-0000-0000-00001DB10000}"/>
    <cellStyle name="Normal 3 5 2 3 6 2" xfId="41038" xr:uid="{00000000-0005-0000-0000-00001EB10000}"/>
    <cellStyle name="Normal 3 5 2 3 7" xfId="28090" xr:uid="{00000000-0005-0000-0000-00001FB10000}"/>
    <cellStyle name="Normal 3 5 2 3 8" xfId="53952" xr:uid="{00000000-0005-0000-0000-000020B10000}"/>
    <cellStyle name="Normal 3 5 2 3 9" xfId="2193" xr:uid="{00000000-0005-0000-0000-000021B10000}"/>
    <cellStyle name="Normal 3 5 2 4" xfId="931" xr:uid="{00000000-0005-0000-0000-000022B10000}"/>
    <cellStyle name="Normal 3 5 2 4 2" xfId="4261" xr:uid="{00000000-0005-0000-0000-000023B10000}"/>
    <cellStyle name="Normal 3 5 2 4 2 2" xfId="7492" xr:uid="{00000000-0005-0000-0000-000024B10000}"/>
    <cellStyle name="Normal 3 5 2 4 2 2 2" xfId="13951" xr:uid="{00000000-0005-0000-0000-000025B10000}"/>
    <cellStyle name="Normal 3 5 2 4 2 2 2 2" xfId="26868" xr:uid="{00000000-0005-0000-0000-000026B10000}"/>
    <cellStyle name="Normal 3 5 2 4 2 2 2 2 2" xfId="52742" xr:uid="{00000000-0005-0000-0000-000027B10000}"/>
    <cellStyle name="Normal 3 5 2 4 2 2 2 3" xfId="39826" xr:uid="{00000000-0005-0000-0000-000028B10000}"/>
    <cellStyle name="Normal 3 5 2 4 2 2 3" xfId="20410" xr:uid="{00000000-0005-0000-0000-000029B10000}"/>
    <cellStyle name="Normal 3 5 2 4 2 2 3 2" xfId="46284" xr:uid="{00000000-0005-0000-0000-00002AB10000}"/>
    <cellStyle name="Normal 3 5 2 4 2 2 4" xfId="33368" xr:uid="{00000000-0005-0000-0000-00002BB10000}"/>
    <cellStyle name="Normal 3 5 2 4 2 3" xfId="10723" xr:uid="{00000000-0005-0000-0000-00002CB10000}"/>
    <cellStyle name="Normal 3 5 2 4 2 3 2" xfId="23640" xr:uid="{00000000-0005-0000-0000-00002DB10000}"/>
    <cellStyle name="Normal 3 5 2 4 2 3 2 2" xfId="49514" xr:uid="{00000000-0005-0000-0000-00002EB10000}"/>
    <cellStyle name="Normal 3 5 2 4 2 3 3" xfId="36598" xr:uid="{00000000-0005-0000-0000-00002FB10000}"/>
    <cellStyle name="Normal 3 5 2 4 2 4" xfId="17182" xr:uid="{00000000-0005-0000-0000-000030B10000}"/>
    <cellStyle name="Normal 3 5 2 4 2 4 2" xfId="43056" xr:uid="{00000000-0005-0000-0000-000031B10000}"/>
    <cellStyle name="Normal 3 5 2 4 2 5" xfId="30108" xr:uid="{00000000-0005-0000-0000-000032B10000}"/>
    <cellStyle name="Normal 3 5 2 4 3" xfId="5878" xr:uid="{00000000-0005-0000-0000-000033B10000}"/>
    <cellStyle name="Normal 3 5 2 4 3 2" xfId="12337" xr:uid="{00000000-0005-0000-0000-000034B10000}"/>
    <cellStyle name="Normal 3 5 2 4 3 2 2" xfId="25254" xr:uid="{00000000-0005-0000-0000-000035B10000}"/>
    <cellStyle name="Normal 3 5 2 4 3 2 2 2" xfId="51128" xr:uid="{00000000-0005-0000-0000-000036B10000}"/>
    <cellStyle name="Normal 3 5 2 4 3 2 3" xfId="38212" xr:uid="{00000000-0005-0000-0000-000037B10000}"/>
    <cellStyle name="Normal 3 5 2 4 3 3" xfId="18796" xr:uid="{00000000-0005-0000-0000-000038B10000}"/>
    <cellStyle name="Normal 3 5 2 4 3 3 2" xfId="44670" xr:uid="{00000000-0005-0000-0000-000039B10000}"/>
    <cellStyle name="Normal 3 5 2 4 3 4" xfId="31754" xr:uid="{00000000-0005-0000-0000-00003AB10000}"/>
    <cellStyle name="Normal 3 5 2 4 4" xfId="9109" xr:uid="{00000000-0005-0000-0000-00003BB10000}"/>
    <cellStyle name="Normal 3 5 2 4 4 2" xfId="22026" xr:uid="{00000000-0005-0000-0000-00003CB10000}"/>
    <cellStyle name="Normal 3 5 2 4 4 2 2" xfId="47900" xr:uid="{00000000-0005-0000-0000-00003DB10000}"/>
    <cellStyle name="Normal 3 5 2 4 4 3" xfId="34984" xr:uid="{00000000-0005-0000-0000-00003EB10000}"/>
    <cellStyle name="Normal 3 5 2 4 5" xfId="15568" xr:uid="{00000000-0005-0000-0000-00003FB10000}"/>
    <cellStyle name="Normal 3 5 2 4 5 2" xfId="41442" xr:uid="{00000000-0005-0000-0000-000040B10000}"/>
    <cellStyle name="Normal 3 5 2 4 6" xfId="28494" xr:uid="{00000000-0005-0000-0000-000041B10000}"/>
    <cellStyle name="Normal 3 5 2 4 7" xfId="2604" xr:uid="{00000000-0005-0000-0000-000042B10000}"/>
    <cellStyle name="Normal 3 5 2 5" xfId="3431" xr:uid="{00000000-0005-0000-0000-000043B10000}"/>
    <cellStyle name="Normal 3 5 2 5 2" xfId="6685" xr:uid="{00000000-0005-0000-0000-000044B10000}"/>
    <cellStyle name="Normal 3 5 2 5 2 2" xfId="13144" xr:uid="{00000000-0005-0000-0000-000045B10000}"/>
    <cellStyle name="Normal 3 5 2 5 2 2 2" xfId="26061" xr:uid="{00000000-0005-0000-0000-000046B10000}"/>
    <cellStyle name="Normal 3 5 2 5 2 2 2 2" xfId="51935" xr:uid="{00000000-0005-0000-0000-000047B10000}"/>
    <cellStyle name="Normal 3 5 2 5 2 2 3" xfId="39019" xr:uid="{00000000-0005-0000-0000-000048B10000}"/>
    <cellStyle name="Normal 3 5 2 5 2 3" xfId="19603" xr:uid="{00000000-0005-0000-0000-000049B10000}"/>
    <cellStyle name="Normal 3 5 2 5 2 3 2" xfId="45477" xr:uid="{00000000-0005-0000-0000-00004AB10000}"/>
    <cellStyle name="Normal 3 5 2 5 2 4" xfId="32561" xr:uid="{00000000-0005-0000-0000-00004BB10000}"/>
    <cellStyle name="Normal 3 5 2 5 3" xfId="9916" xr:uid="{00000000-0005-0000-0000-00004CB10000}"/>
    <cellStyle name="Normal 3 5 2 5 3 2" xfId="22833" xr:uid="{00000000-0005-0000-0000-00004DB10000}"/>
    <cellStyle name="Normal 3 5 2 5 3 2 2" xfId="48707" xr:uid="{00000000-0005-0000-0000-00004EB10000}"/>
    <cellStyle name="Normal 3 5 2 5 3 3" xfId="35791" xr:uid="{00000000-0005-0000-0000-00004FB10000}"/>
    <cellStyle name="Normal 3 5 2 5 4" xfId="16375" xr:uid="{00000000-0005-0000-0000-000050B10000}"/>
    <cellStyle name="Normal 3 5 2 5 4 2" xfId="42249" xr:uid="{00000000-0005-0000-0000-000051B10000}"/>
    <cellStyle name="Normal 3 5 2 5 5" xfId="29301" xr:uid="{00000000-0005-0000-0000-000052B10000}"/>
    <cellStyle name="Normal 3 5 2 6" xfId="5071" xr:uid="{00000000-0005-0000-0000-000053B10000}"/>
    <cellStyle name="Normal 3 5 2 6 2" xfId="11530" xr:uid="{00000000-0005-0000-0000-000054B10000}"/>
    <cellStyle name="Normal 3 5 2 6 2 2" xfId="24447" xr:uid="{00000000-0005-0000-0000-000055B10000}"/>
    <cellStyle name="Normal 3 5 2 6 2 2 2" xfId="50321" xr:uid="{00000000-0005-0000-0000-000056B10000}"/>
    <cellStyle name="Normal 3 5 2 6 2 3" xfId="37405" xr:uid="{00000000-0005-0000-0000-000057B10000}"/>
    <cellStyle name="Normal 3 5 2 6 3" xfId="17989" xr:uid="{00000000-0005-0000-0000-000058B10000}"/>
    <cellStyle name="Normal 3 5 2 6 3 2" xfId="43863" xr:uid="{00000000-0005-0000-0000-000059B10000}"/>
    <cellStyle name="Normal 3 5 2 6 4" xfId="30947" xr:uid="{00000000-0005-0000-0000-00005AB10000}"/>
    <cellStyle name="Normal 3 5 2 7" xfId="8301" xr:uid="{00000000-0005-0000-0000-00005BB10000}"/>
    <cellStyle name="Normal 3 5 2 7 2" xfId="21218" xr:uid="{00000000-0005-0000-0000-00005CB10000}"/>
    <cellStyle name="Normal 3 5 2 7 2 2" xfId="47092" xr:uid="{00000000-0005-0000-0000-00005DB10000}"/>
    <cellStyle name="Normal 3 5 2 7 3" xfId="34176" xr:uid="{00000000-0005-0000-0000-00005EB10000}"/>
    <cellStyle name="Normal 3 5 2 8" xfId="14760" xr:uid="{00000000-0005-0000-0000-00005FB10000}"/>
    <cellStyle name="Normal 3 5 2 8 2" xfId="40634" xr:uid="{00000000-0005-0000-0000-000060B10000}"/>
    <cellStyle name="Normal 3 5 2 9" xfId="27684" xr:uid="{00000000-0005-0000-0000-000061B10000}"/>
    <cellStyle name="Normal 3 5 3" xfId="438" xr:uid="{00000000-0005-0000-0000-000062B10000}"/>
    <cellStyle name="Normal 3 5 3 10" xfId="1906" xr:uid="{00000000-0005-0000-0000-000063B10000}"/>
    <cellStyle name="Normal 3 5 3 2" xfId="936" xr:uid="{00000000-0005-0000-0000-000064B10000}"/>
    <cellStyle name="Normal 3 5 3 2 2" xfId="3150" xr:uid="{00000000-0005-0000-0000-000065B10000}"/>
    <cellStyle name="Normal 3 5 3 2 2 2" xfId="4807" xr:uid="{00000000-0005-0000-0000-000066B10000}"/>
    <cellStyle name="Normal 3 5 3 2 2 2 2" xfId="8038" xr:uid="{00000000-0005-0000-0000-000067B10000}"/>
    <cellStyle name="Normal 3 5 3 2 2 2 2 2" xfId="14497" xr:uid="{00000000-0005-0000-0000-000068B10000}"/>
    <cellStyle name="Normal 3 5 3 2 2 2 2 2 2" xfId="27414" xr:uid="{00000000-0005-0000-0000-000069B10000}"/>
    <cellStyle name="Normal 3 5 3 2 2 2 2 2 2 2" xfId="53288" xr:uid="{00000000-0005-0000-0000-00006AB10000}"/>
    <cellStyle name="Normal 3 5 3 2 2 2 2 2 3" xfId="40372" xr:uid="{00000000-0005-0000-0000-00006BB10000}"/>
    <cellStyle name="Normal 3 5 3 2 2 2 2 3" xfId="20956" xr:uid="{00000000-0005-0000-0000-00006CB10000}"/>
    <cellStyle name="Normal 3 5 3 2 2 2 2 3 2" xfId="46830" xr:uid="{00000000-0005-0000-0000-00006DB10000}"/>
    <cellStyle name="Normal 3 5 3 2 2 2 2 4" xfId="33914" xr:uid="{00000000-0005-0000-0000-00006EB10000}"/>
    <cellStyle name="Normal 3 5 3 2 2 2 3" xfId="11269" xr:uid="{00000000-0005-0000-0000-00006FB10000}"/>
    <cellStyle name="Normal 3 5 3 2 2 2 3 2" xfId="24186" xr:uid="{00000000-0005-0000-0000-000070B10000}"/>
    <cellStyle name="Normal 3 5 3 2 2 2 3 2 2" xfId="50060" xr:uid="{00000000-0005-0000-0000-000071B10000}"/>
    <cellStyle name="Normal 3 5 3 2 2 2 3 3" xfId="37144" xr:uid="{00000000-0005-0000-0000-000072B10000}"/>
    <cellStyle name="Normal 3 5 3 2 2 2 4" xfId="17728" xr:uid="{00000000-0005-0000-0000-000073B10000}"/>
    <cellStyle name="Normal 3 5 3 2 2 2 4 2" xfId="43602" xr:uid="{00000000-0005-0000-0000-000074B10000}"/>
    <cellStyle name="Normal 3 5 3 2 2 2 5" xfId="30654" xr:uid="{00000000-0005-0000-0000-000075B10000}"/>
    <cellStyle name="Normal 3 5 3 2 2 3" xfId="6424" xr:uid="{00000000-0005-0000-0000-000076B10000}"/>
    <cellStyle name="Normal 3 5 3 2 2 3 2" xfId="12883" xr:uid="{00000000-0005-0000-0000-000077B10000}"/>
    <cellStyle name="Normal 3 5 3 2 2 3 2 2" xfId="25800" xr:uid="{00000000-0005-0000-0000-000078B10000}"/>
    <cellStyle name="Normal 3 5 3 2 2 3 2 2 2" xfId="51674" xr:uid="{00000000-0005-0000-0000-000079B10000}"/>
    <cellStyle name="Normal 3 5 3 2 2 3 2 3" xfId="38758" xr:uid="{00000000-0005-0000-0000-00007AB10000}"/>
    <cellStyle name="Normal 3 5 3 2 2 3 3" xfId="19342" xr:uid="{00000000-0005-0000-0000-00007BB10000}"/>
    <cellStyle name="Normal 3 5 3 2 2 3 3 2" xfId="45216" xr:uid="{00000000-0005-0000-0000-00007CB10000}"/>
    <cellStyle name="Normal 3 5 3 2 2 3 4" xfId="32300" xr:uid="{00000000-0005-0000-0000-00007DB10000}"/>
    <cellStyle name="Normal 3 5 3 2 2 4" xfId="9655" xr:uid="{00000000-0005-0000-0000-00007EB10000}"/>
    <cellStyle name="Normal 3 5 3 2 2 4 2" xfId="22572" xr:uid="{00000000-0005-0000-0000-00007FB10000}"/>
    <cellStyle name="Normal 3 5 3 2 2 4 2 2" xfId="48446" xr:uid="{00000000-0005-0000-0000-000080B10000}"/>
    <cellStyle name="Normal 3 5 3 2 2 4 3" xfId="35530" xr:uid="{00000000-0005-0000-0000-000081B10000}"/>
    <cellStyle name="Normal 3 5 3 2 2 5" xfId="16114" xr:uid="{00000000-0005-0000-0000-000082B10000}"/>
    <cellStyle name="Normal 3 5 3 2 2 5 2" xfId="41988" xr:uid="{00000000-0005-0000-0000-000083B10000}"/>
    <cellStyle name="Normal 3 5 3 2 2 6" xfId="29040" xr:uid="{00000000-0005-0000-0000-000084B10000}"/>
    <cellStyle name="Normal 3 5 3 2 3" xfId="3977" xr:uid="{00000000-0005-0000-0000-000085B10000}"/>
    <cellStyle name="Normal 3 5 3 2 3 2" xfId="7231" xr:uid="{00000000-0005-0000-0000-000086B10000}"/>
    <cellStyle name="Normal 3 5 3 2 3 2 2" xfId="13690" xr:uid="{00000000-0005-0000-0000-000087B10000}"/>
    <cellStyle name="Normal 3 5 3 2 3 2 2 2" xfId="26607" xr:uid="{00000000-0005-0000-0000-000088B10000}"/>
    <cellStyle name="Normal 3 5 3 2 3 2 2 2 2" xfId="52481" xr:uid="{00000000-0005-0000-0000-000089B10000}"/>
    <cellStyle name="Normal 3 5 3 2 3 2 2 3" xfId="39565" xr:uid="{00000000-0005-0000-0000-00008AB10000}"/>
    <cellStyle name="Normal 3 5 3 2 3 2 3" xfId="20149" xr:uid="{00000000-0005-0000-0000-00008BB10000}"/>
    <cellStyle name="Normal 3 5 3 2 3 2 3 2" xfId="46023" xr:uid="{00000000-0005-0000-0000-00008CB10000}"/>
    <cellStyle name="Normal 3 5 3 2 3 2 4" xfId="33107" xr:uid="{00000000-0005-0000-0000-00008DB10000}"/>
    <cellStyle name="Normal 3 5 3 2 3 3" xfId="10462" xr:uid="{00000000-0005-0000-0000-00008EB10000}"/>
    <cellStyle name="Normal 3 5 3 2 3 3 2" xfId="23379" xr:uid="{00000000-0005-0000-0000-00008FB10000}"/>
    <cellStyle name="Normal 3 5 3 2 3 3 2 2" xfId="49253" xr:uid="{00000000-0005-0000-0000-000090B10000}"/>
    <cellStyle name="Normal 3 5 3 2 3 3 3" xfId="36337" xr:uid="{00000000-0005-0000-0000-000091B10000}"/>
    <cellStyle name="Normal 3 5 3 2 3 4" xfId="16921" xr:uid="{00000000-0005-0000-0000-000092B10000}"/>
    <cellStyle name="Normal 3 5 3 2 3 4 2" xfId="42795" xr:uid="{00000000-0005-0000-0000-000093B10000}"/>
    <cellStyle name="Normal 3 5 3 2 3 5" xfId="29847" xr:uid="{00000000-0005-0000-0000-000094B10000}"/>
    <cellStyle name="Normal 3 5 3 2 4" xfId="5617" xr:uid="{00000000-0005-0000-0000-000095B10000}"/>
    <cellStyle name="Normal 3 5 3 2 4 2" xfId="12076" xr:uid="{00000000-0005-0000-0000-000096B10000}"/>
    <cellStyle name="Normal 3 5 3 2 4 2 2" xfId="24993" xr:uid="{00000000-0005-0000-0000-000097B10000}"/>
    <cellStyle name="Normal 3 5 3 2 4 2 2 2" xfId="50867" xr:uid="{00000000-0005-0000-0000-000098B10000}"/>
    <cellStyle name="Normal 3 5 3 2 4 2 3" xfId="37951" xr:uid="{00000000-0005-0000-0000-000099B10000}"/>
    <cellStyle name="Normal 3 5 3 2 4 3" xfId="18535" xr:uid="{00000000-0005-0000-0000-00009AB10000}"/>
    <cellStyle name="Normal 3 5 3 2 4 3 2" xfId="44409" xr:uid="{00000000-0005-0000-0000-00009BB10000}"/>
    <cellStyle name="Normal 3 5 3 2 4 4" xfId="31493" xr:uid="{00000000-0005-0000-0000-00009CB10000}"/>
    <cellStyle name="Normal 3 5 3 2 5" xfId="8848" xr:uid="{00000000-0005-0000-0000-00009DB10000}"/>
    <cellStyle name="Normal 3 5 3 2 5 2" xfId="21765" xr:uid="{00000000-0005-0000-0000-00009EB10000}"/>
    <cellStyle name="Normal 3 5 3 2 5 2 2" xfId="47639" xr:uid="{00000000-0005-0000-0000-00009FB10000}"/>
    <cellStyle name="Normal 3 5 3 2 5 3" xfId="34723" xr:uid="{00000000-0005-0000-0000-0000A0B10000}"/>
    <cellStyle name="Normal 3 5 3 2 6" xfId="15307" xr:uid="{00000000-0005-0000-0000-0000A1B10000}"/>
    <cellStyle name="Normal 3 5 3 2 6 2" xfId="41181" xr:uid="{00000000-0005-0000-0000-0000A2B10000}"/>
    <cellStyle name="Normal 3 5 3 2 7" xfId="28233" xr:uid="{00000000-0005-0000-0000-0000A3B10000}"/>
    <cellStyle name="Normal 3 5 3 2 8" xfId="54095" xr:uid="{00000000-0005-0000-0000-0000A4B10000}"/>
    <cellStyle name="Normal 3 5 3 2 9" xfId="2337" xr:uid="{00000000-0005-0000-0000-0000A5B10000}"/>
    <cellStyle name="Normal 3 5 3 3" xfId="935" xr:uid="{00000000-0005-0000-0000-0000A6B10000}"/>
    <cellStyle name="Normal 3 5 3 3 2" xfId="4403" xr:uid="{00000000-0005-0000-0000-0000A7B10000}"/>
    <cellStyle name="Normal 3 5 3 3 2 2" xfId="7634" xr:uid="{00000000-0005-0000-0000-0000A8B10000}"/>
    <cellStyle name="Normal 3 5 3 3 2 2 2" xfId="14093" xr:uid="{00000000-0005-0000-0000-0000A9B10000}"/>
    <cellStyle name="Normal 3 5 3 3 2 2 2 2" xfId="27010" xr:uid="{00000000-0005-0000-0000-0000AAB10000}"/>
    <cellStyle name="Normal 3 5 3 3 2 2 2 2 2" xfId="52884" xr:uid="{00000000-0005-0000-0000-0000ABB10000}"/>
    <cellStyle name="Normal 3 5 3 3 2 2 2 3" xfId="39968" xr:uid="{00000000-0005-0000-0000-0000ACB10000}"/>
    <cellStyle name="Normal 3 5 3 3 2 2 3" xfId="20552" xr:uid="{00000000-0005-0000-0000-0000ADB10000}"/>
    <cellStyle name="Normal 3 5 3 3 2 2 3 2" xfId="46426" xr:uid="{00000000-0005-0000-0000-0000AEB10000}"/>
    <cellStyle name="Normal 3 5 3 3 2 2 4" xfId="33510" xr:uid="{00000000-0005-0000-0000-0000AFB10000}"/>
    <cellStyle name="Normal 3 5 3 3 2 3" xfId="10865" xr:uid="{00000000-0005-0000-0000-0000B0B10000}"/>
    <cellStyle name="Normal 3 5 3 3 2 3 2" xfId="23782" xr:uid="{00000000-0005-0000-0000-0000B1B10000}"/>
    <cellStyle name="Normal 3 5 3 3 2 3 2 2" xfId="49656" xr:uid="{00000000-0005-0000-0000-0000B2B10000}"/>
    <cellStyle name="Normal 3 5 3 3 2 3 3" xfId="36740" xr:uid="{00000000-0005-0000-0000-0000B3B10000}"/>
    <cellStyle name="Normal 3 5 3 3 2 4" xfId="17324" xr:uid="{00000000-0005-0000-0000-0000B4B10000}"/>
    <cellStyle name="Normal 3 5 3 3 2 4 2" xfId="43198" xr:uid="{00000000-0005-0000-0000-0000B5B10000}"/>
    <cellStyle name="Normal 3 5 3 3 2 5" xfId="30250" xr:uid="{00000000-0005-0000-0000-0000B6B10000}"/>
    <cellStyle name="Normal 3 5 3 3 3" xfId="6020" xr:uid="{00000000-0005-0000-0000-0000B7B10000}"/>
    <cellStyle name="Normal 3 5 3 3 3 2" xfId="12479" xr:uid="{00000000-0005-0000-0000-0000B8B10000}"/>
    <cellStyle name="Normal 3 5 3 3 3 2 2" xfId="25396" xr:uid="{00000000-0005-0000-0000-0000B9B10000}"/>
    <cellStyle name="Normal 3 5 3 3 3 2 2 2" xfId="51270" xr:uid="{00000000-0005-0000-0000-0000BAB10000}"/>
    <cellStyle name="Normal 3 5 3 3 3 2 3" xfId="38354" xr:uid="{00000000-0005-0000-0000-0000BBB10000}"/>
    <cellStyle name="Normal 3 5 3 3 3 3" xfId="18938" xr:uid="{00000000-0005-0000-0000-0000BCB10000}"/>
    <cellStyle name="Normal 3 5 3 3 3 3 2" xfId="44812" xr:uid="{00000000-0005-0000-0000-0000BDB10000}"/>
    <cellStyle name="Normal 3 5 3 3 3 4" xfId="31896" xr:uid="{00000000-0005-0000-0000-0000BEB10000}"/>
    <cellStyle name="Normal 3 5 3 3 4" xfId="9251" xr:uid="{00000000-0005-0000-0000-0000BFB10000}"/>
    <cellStyle name="Normal 3 5 3 3 4 2" xfId="22168" xr:uid="{00000000-0005-0000-0000-0000C0B10000}"/>
    <cellStyle name="Normal 3 5 3 3 4 2 2" xfId="48042" xr:uid="{00000000-0005-0000-0000-0000C1B10000}"/>
    <cellStyle name="Normal 3 5 3 3 4 3" xfId="35126" xr:uid="{00000000-0005-0000-0000-0000C2B10000}"/>
    <cellStyle name="Normal 3 5 3 3 5" xfId="15710" xr:uid="{00000000-0005-0000-0000-0000C3B10000}"/>
    <cellStyle name="Normal 3 5 3 3 5 2" xfId="41584" xr:uid="{00000000-0005-0000-0000-0000C4B10000}"/>
    <cellStyle name="Normal 3 5 3 3 6" xfId="28636" xr:uid="{00000000-0005-0000-0000-0000C5B10000}"/>
    <cellStyle name="Normal 3 5 3 3 7" xfId="2746" xr:uid="{00000000-0005-0000-0000-0000C6B10000}"/>
    <cellStyle name="Normal 3 5 3 4" xfId="3573" xr:uid="{00000000-0005-0000-0000-0000C7B10000}"/>
    <cellStyle name="Normal 3 5 3 4 2" xfId="6827" xr:uid="{00000000-0005-0000-0000-0000C8B10000}"/>
    <cellStyle name="Normal 3 5 3 4 2 2" xfId="13286" xr:uid="{00000000-0005-0000-0000-0000C9B10000}"/>
    <cellStyle name="Normal 3 5 3 4 2 2 2" xfId="26203" xr:uid="{00000000-0005-0000-0000-0000CAB10000}"/>
    <cellStyle name="Normal 3 5 3 4 2 2 2 2" xfId="52077" xr:uid="{00000000-0005-0000-0000-0000CBB10000}"/>
    <cellStyle name="Normal 3 5 3 4 2 2 3" xfId="39161" xr:uid="{00000000-0005-0000-0000-0000CCB10000}"/>
    <cellStyle name="Normal 3 5 3 4 2 3" xfId="19745" xr:uid="{00000000-0005-0000-0000-0000CDB10000}"/>
    <cellStyle name="Normal 3 5 3 4 2 3 2" xfId="45619" xr:uid="{00000000-0005-0000-0000-0000CEB10000}"/>
    <cellStyle name="Normal 3 5 3 4 2 4" xfId="32703" xr:uid="{00000000-0005-0000-0000-0000CFB10000}"/>
    <cellStyle name="Normal 3 5 3 4 3" xfId="10058" xr:uid="{00000000-0005-0000-0000-0000D0B10000}"/>
    <cellStyle name="Normal 3 5 3 4 3 2" xfId="22975" xr:uid="{00000000-0005-0000-0000-0000D1B10000}"/>
    <cellStyle name="Normal 3 5 3 4 3 2 2" xfId="48849" xr:uid="{00000000-0005-0000-0000-0000D2B10000}"/>
    <cellStyle name="Normal 3 5 3 4 3 3" xfId="35933" xr:uid="{00000000-0005-0000-0000-0000D3B10000}"/>
    <cellStyle name="Normal 3 5 3 4 4" xfId="16517" xr:uid="{00000000-0005-0000-0000-0000D4B10000}"/>
    <cellStyle name="Normal 3 5 3 4 4 2" xfId="42391" xr:uid="{00000000-0005-0000-0000-0000D5B10000}"/>
    <cellStyle name="Normal 3 5 3 4 5" xfId="29443" xr:uid="{00000000-0005-0000-0000-0000D6B10000}"/>
    <cellStyle name="Normal 3 5 3 5" xfId="5213" xr:uid="{00000000-0005-0000-0000-0000D7B10000}"/>
    <cellStyle name="Normal 3 5 3 5 2" xfId="11672" xr:uid="{00000000-0005-0000-0000-0000D8B10000}"/>
    <cellStyle name="Normal 3 5 3 5 2 2" xfId="24589" xr:uid="{00000000-0005-0000-0000-0000D9B10000}"/>
    <cellStyle name="Normal 3 5 3 5 2 2 2" xfId="50463" xr:uid="{00000000-0005-0000-0000-0000DAB10000}"/>
    <cellStyle name="Normal 3 5 3 5 2 3" xfId="37547" xr:uid="{00000000-0005-0000-0000-0000DBB10000}"/>
    <cellStyle name="Normal 3 5 3 5 3" xfId="18131" xr:uid="{00000000-0005-0000-0000-0000DCB10000}"/>
    <cellStyle name="Normal 3 5 3 5 3 2" xfId="44005" xr:uid="{00000000-0005-0000-0000-0000DDB10000}"/>
    <cellStyle name="Normal 3 5 3 5 4" xfId="31089" xr:uid="{00000000-0005-0000-0000-0000DEB10000}"/>
    <cellStyle name="Normal 3 5 3 6" xfId="8444" xr:uid="{00000000-0005-0000-0000-0000DFB10000}"/>
    <cellStyle name="Normal 3 5 3 6 2" xfId="21361" xr:uid="{00000000-0005-0000-0000-0000E0B10000}"/>
    <cellStyle name="Normal 3 5 3 6 2 2" xfId="47235" xr:uid="{00000000-0005-0000-0000-0000E1B10000}"/>
    <cellStyle name="Normal 3 5 3 6 3" xfId="34319" xr:uid="{00000000-0005-0000-0000-0000E2B10000}"/>
    <cellStyle name="Normal 3 5 3 7" xfId="14903" xr:uid="{00000000-0005-0000-0000-0000E3B10000}"/>
    <cellStyle name="Normal 3 5 3 7 2" xfId="40777" xr:uid="{00000000-0005-0000-0000-0000E4B10000}"/>
    <cellStyle name="Normal 3 5 3 8" xfId="27828" xr:uid="{00000000-0005-0000-0000-0000E5B10000}"/>
    <cellStyle name="Normal 3 5 3 9" xfId="53691" xr:uid="{00000000-0005-0000-0000-0000E6B10000}"/>
    <cellStyle name="Normal 3 5 4" xfId="937" xr:uid="{00000000-0005-0000-0000-0000E7B10000}"/>
    <cellStyle name="Normal 3 5 4 2" xfId="2955" xr:uid="{00000000-0005-0000-0000-0000E8B10000}"/>
    <cellStyle name="Normal 3 5 4 2 2" xfId="4612" xr:uid="{00000000-0005-0000-0000-0000E9B10000}"/>
    <cellStyle name="Normal 3 5 4 2 2 2" xfId="7843" xr:uid="{00000000-0005-0000-0000-0000EAB10000}"/>
    <cellStyle name="Normal 3 5 4 2 2 2 2" xfId="14302" xr:uid="{00000000-0005-0000-0000-0000EBB10000}"/>
    <cellStyle name="Normal 3 5 4 2 2 2 2 2" xfId="27219" xr:uid="{00000000-0005-0000-0000-0000ECB10000}"/>
    <cellStyle name="Normal 3 5 4 2 2 2 2 2 2" xfId="53093" xr:uid="{00000000-0005-0000-0000-0000EDB10000}"/>
    <cellStyle name="Normal 3 5 4 2 2 2 2 3" xfId="40177" xr:uid="{00000000-0005-0000-0000-0000EEB10000}"/>
    <cellStyle name="Normal 3 5 4 2 2 2 3" xfId="20761" xr:uid="{00000000-0005-0000-0000-0000EFB10000}"/>
    <cellStyle name="Normal 3 5 4 2 2 2 3 2" xfId="46635" xr:uid="{00000000-0005-0000-0000-0000F0B10000}"/>
    <cellStyle name="Normal 3 5 4 2 2 2 4" xfId="33719" xr:uid="{00000000-0005-0000-0000-0000F1B10000}"/>
    <cellStyle name="Normal 3 5 4 2 2 3" xfId="11074" xr:uid="{00000000-0005-0000-0000-0000F2B10000}"/>
    <cellStyle name="Normal 3 5 4 2 2 3 2" xfId="23991" xr:uid="{00000000-0005-0000-0000-0000F3B10000}"/>
    <cellStyle name="Normal 3 5 4 2 2 3 2 2" xfId="49865" xr:uid="{00000000-0005-0000-0000-0000F4B10000}"/>
    <cellStyle name="Normal 3 5 4 2 2 3 3" xfId="36949" xr:uid="{00000000-0005-0000-0000-0000F5B10000}"/>
    <cellStyle name="Normal 3 5 4 2 2 4" xfId="17533" xr:uid="{00000000-0005-0000-0000-0000F6B10000}"/>
    <cellStyle name="Normal 3 5 4 2 2 4 2" xfId="43407" xr:uid="{00000000-0005-0000-0000-0000F7B10000}"/>
    <cellStyle name="Normal 3 5 4 2 2 5" xfId="30459" xr:uid="{00000000-0005-0000-0000-0000F8B10000}"/>
    <cellStyle name="Normal 3 5 4 2 3" xfId="6229" xr:uid="{00000000-0005-0000-0000-0000F9B10000}"/>
    <cellStyle name="Normal 3 5 4 2 3 2" xfId="12688" xr:uid="{00000000-0005-0000-0000-0000FAB10000}"/>
    <cellStyle name="Normal 3 5 4 2 3 2 2" xfId="25605" xr:uid="{00000000-0005-0000-0000-0000FBB10000}"/>
    <cellStyle name="Normal 3 5 4 2 3 2 2 2" xfId="51479" xr:uid="{00000000-0005-0000-0000-0000FCB10000}"/>
    <cellStyle name="Normal 3 5 4 2 3 2 3" xfId="38563" xr:uid="{00000000-0005-0000-0000-0000FDB10000}"/>
    <cellStyle name="Normal 3 5 4 2 3 3" xfId="19147" xr:uid="{00000000-0005-0000-0000-0000FEB10000}"/>
    <cellStyle name="Normal 3 5 4 2 3 3 2" xfId="45021" xr:uid="{00000000-0005-0000-0000-0000FFB10000}"/>
    <cellStyle name="Normal 3 5 4 2 3 4" xfId="32105" xr:uid="{00000000-0005-0000-0000-000000B20000}"/>
    <cellStyle name="Normal 3 5 4 2 4" xfId="9460" xr:uid="{00000000-0005-0000-0000-000001B20000}"/>
    <cellStyle name="Normal 3 5 4 2 4 2" xfId="22377" xr:uid="{00000000-0005-0000-0000-000002B20000}"/>
    <cellStyle name="Normal 3 5 4 2 4 2 2" xfId="48251" xr:uid="{00000000-0005-0000-0000-000003B20000}"/>
    <cellStyle name="Normal 3 5 4 2 4 3" xfId="35335" xr:uid="{00000000-0005-0000-0000-000004B20000}"/>
    <cellStyle name="Normal 3 5 4 2 5" xfId="15919" xr:uid="{00000000-0005-0000-0000-000005B20000}"/>
    <cellStyle name="Normal 3 5 4 2 5 2" xfId="41793" xr:uid="{00000000-0005-0000-0000-000006B20000}"/>
    <cellStyle name="Normal 3 5 4 2 6" xfId="28845" xr:uid="{00000000-0005-0000-0000-000007B20000}"/>
    <cellStyle name="Normal 3 5 4 3" xfId="3782" xr:uid="{00000000-0005-0000-0000-000008B20000}"/>
    <cellStyle name="Normal 3 5 4 3 2" xfId="7036" xr:uid="{00000000-0005-0000-0000-000009B20000}"/>
    <cellStyle name="Normal 3 5 4 3 2 2" xfId="13495" xr:uid="{00000000-0005-0000-0000-00000AB20000}"/>
    <cellStyle name="Normal 3 5 4 3 2 2 2" xfId="26412" xr:uid="{00000000-0005-0000-0000-00000BB20000}"/>
    <cellStyle name="Normal 3 5 4 3 2 2 2 2" xfId="52286" xr:uid="{00000000-0005-0000-0000-00000CB20000}"/>
    <cellStyle name="Normal 3 5 4 3 2 2 3" xfId="39370" xr:uid="{00000000-0005-0000-0000-00000DB20000}"/>
    <cellStyle name="Normal 3 5 4 3 2 3" xfId="19954" xr:uid="{00000000-0005-0000-0000-00000EB20000}"/>
    <cellStyle name="Normal 3 5 4 3 2 3 2" xfId="45828" xr:uid="{00000000-0005-0000-0000-00000FB20000}"/>
    <cellStyle name="Normal 3 5 4 3 2 4" xfId="32912" xr:uid="{00000000-0005-0000-0000-000010B20000}"/>
    <cellStyle name="Normal 3 5 4 3 3" xfId="10267" xr:uid="{00000000-0005-0000-0000-000011B20000}"/>
    <cellStyle name="Normal 3 5 4 3 3 2" xfId="23184" xr:uid="{00000000-0005-0000-0000-000012B20000}"/>
    <cellStyle name="Normal 3 5 4 3 3 2 2" xfId="49058" xr:uid="{00000000-0005-0000-0000-000013B20000}"/>
    <cellStyle name="Normal 3 5 4 3 3 3" xfId="36142" xr:uid="{00000000-0005-0000-0000-000014B20000}"/>
    <cellStyle name="Normal 3 5 4 3 4" xfId="16726" xr:uid="{00000000-0005-0000-0000-000015B20000}"/>
    <cellStyle name="Normal 3 5 4 3 4 2" xfId="42600" xr:uid="{00000000-0005-0000-0000-000016B20000}"/>
    <cellStyle name="Normal 3 5 4 3 5" xfId="29652" xr:uid="{00000000-0005-0000-0000-000017B20000}"/>
    <cellStyle name="Normal 3 5 4 4" xfId="5422" xr:uid="{00000000-0005-0000-0000-000018B20000}"/>
    <cellStyle name="Normal 3 5 4 4 2" xfId="11881" xr:uid="{00000000-0005-0000-0000-000019B20000}"/>
    <cellStyle name="Normal 3 5 4 4 2 2" xfId="24798" xr:uid="{00000000-0005-0000-0000-00001AB20000}"/>
    <cellStyle name="Normal 3 5 4 4 2 2 2" xfId="50672" xr:uid="{00000000-0005-0000-0000-00001BB20000}"/>
    <cellStyle name="Normal 3 5 4 4 2 3" xfId="37756" xr:uid="{00000000-0005-0000-0000-00001CB20000}"/>
    <cellStyle name="Normal 3 5 4 4 3" xfId="18340" xr:uid="{00000000-0005-0000-0000-00001DB20000}"/>
    <cellStyle name="Normal 3 5 4 4 3 2" xfId="44214" xr:uid="{00000000-0005-0000-0000-00001EB20000}"/>
    <cellStyle name="Normal 3 5 4 4 4" xfId="31298" xr:uid="{00000000-0005-0000-0000-00001FB20000}"/>
    <cellStyle name="Normal 3 5 4 5" xfId="8653" xr:uid="{00000000-0005-0000-0000-000020B20000}"/>
    <cellStyle name="Normal 3 5 4 5 2" xfId="21570" xr:uid="{00000000-0005-0000-0000-000021B20000}"/>
    <cellStyle name="Normal 3 5 4 5 2 2" xfId="47444" xr:uid="{00000000-0005-0000-0000-000022B20000}"/>
    <cellStyle name="Normal 3 5 4 5 3" xfId="34528" xr:uid="{00000000-0005-0000-0000-000023B20000}"/>
    <cellStyle name="Normal 3 5 4 6" xfId="15112" xr:uid="{00000000-0005-0000-0000-000024B20000}"/>
    <cellStyle name="Normal 3 5 4 6 2" xfId="40986" xr:uid="{00000000-0005-0000-0000-000025B20000}"/>
    <cellStyle name="Normal 3 5 4 7" xfId="28038" xr:uid="{00000000-0005-0000-0000-000026B20000}"/>
    <cellStyle name="Normal 3 5 4 8" xfId="53900" xr:uid="{00000000-0005-0000-0000-000027B20000}"/>
    <cellStyle name="Normal 3 5 4 9" xfId="2141" xr:uid="{00000000-0005-0000-0000-000028B20000}"/>
    <cellStyle name="Normal 3 5 5" xfId="930" xr:uid="{00000000-0005-0000-0000-000029B20000}"/>
    <cellStyle name="Normal 3 5 5 2" xfId="4209" xr:uid="{00000000-0005-0000-0000-00002AB20000}"/>
    <cellStyle name="Normal 3 5 5 2 2" xfId="7440" xr:uid="{00000000-0005-0000-0000-00002BB20000}"/>
    <cellStyle name="Normal 3 5 5 2 2 2" xfId="13899" xr:uid="{00000000-0005-0000-0000-00002CB20000}"/>
    <cellStyle name="Normal 3 5 5 2 2 2 2" xfId="26816" xr:uid="{00000000-0005-0000-0000-00002DB20000}"/>
    <cellStyle name="Normal 3 5 5 2 2 2 2 2" xfId="52690" xr:uid="{00000000-0005-0000-0000-00002EB20000}"/>
    <cellStyle name="Normal 3 5 5 2 2 2 3" xfId="39774" xr:uid="{00000000-0005-0000-0000-00002FB20000}"/>
    <cellStyle name="Normal 3 5 5 2 2 3" xfId="20358" xr:uid="{00000000-0005-0000-0000-000030B20000}"/>
    <cellStyle name="Normal 3 5 5 2 2 3 2" xfId="46232" xr:uid="{00000000-0005-0000-0000-000031B20000}"/>
    <cellStyle name="Normal 3 5 5 2 2 4" xfId="33316" xr:uid="{00000000-0005-0000-0000-000032B20000}"/>
    <cellStyle name="Normal 3 5 5 2 3" xfId="10671" xr:uid="{00000000-0005-0000-0000-000033B20000}"/>
    <cellStyle name="Normal 3 5 5 2 3 2" xfId="23588" xr:uid="{00000000-0005-0000-0000-000034B20000}"/>
    <cellStyle name="Normal 3 5 5 2 3 2 2" xfId="49462" xr:uid="{00000000-0005-0000-0000-000035B20000}"/>
    <cellStyle name="Normal 3 5 5 2 3 3" xfId="36546" xr:uid="{00000000-0005-0000-0000-000036B20000}"/>
    <cellStyle name="Normal 3 5 5 2 4" xfId="17130" xr:uid="{00000000-0005-0000-0000-000037B20000}"/>
    <cellStyle name="Normal 3 5 5 2 4 2" xfId="43004" xr:uid="{00000000-0005-0000-0000-000038B20000}"/>
    <cellStyle name="Normal 3 5 5 2 5" xfId="30056" xr:uid="{00000000-0005-0000-0000-000039B20000}"/>
    <cellStyle name="Normal 3 5 5 3" xfId="5826" xr:uid="{00000000-0005-0000-0000-00003AB20000}"/>
    <cellStyle name="Normal 3 5 5 3 2" xfId="12285" xr:uid="{00000000-0005-0000-0000-00003BB20000}"/>
    <cellStyle name="Normal 3 5 5 3 2 2" xfId="25202" xr:uid="{00000000-0005-0000-0000-00003CB20000}"/>
    <cellStyle name="Normal 3 5 5 3 2 2 2" xfId="51076" xr:uid="{00000000-0005-0000-0000-00003DB20000}"/>
    <cellStyle name="Normal 3 5 5 3 2 3" xfId="38160" xr:uid="{00000000-0005-0000-0000-00003EB20000}"/>
    <cellStyle name="Normal 3 5 5 3 3" xfId="18744" xr:uid="{00000000-0005-0000-0000-00003FB20000}"/>
    <cellStyle name="Normal 3 5 5 3 3 2" xfId="44618" xr:uid="{00000000-0005-0000-0000-000040B20000}"/>
    <cellStyle name="Normal 3 5 5 3 4" xfId="31702" xr:uid="{00000000-0005-0000-0000-000041B20000}"/>
    <cellStyle name="Normal 3 5 5 4" xfId="9057" xr:uid="{00000000-0005-0000-0000-000042B20000}"/>
    <cellStyle name="Normal 3 5 5 4 2" xfId="21974" xr:uid="{00000000-0005-0000-0000-000043B20000}"/>
    <cellStyle name="Normal 3 5 5 4 2 2" xfId="47848" xr:uid="{00000000-0005-0000-0000-000044B20000}"/>
    <cellStyle name="Normal 3 5 5 4 3" xfId="34932" xr:uid="{00000000-0005-0000-0000-000045B20000}"/>
    <cellStyle name="Normal 3 5 5 5" xfId="15516" xr:uid="{00000000-0005-0000-0000-000046B20000}"/>
    <cellStyle name="Normal 3 5 5 5 2" xfId="41390" xr:uid="{00000000-0005-0000-0000-000047B20000}"/>
    <cellStyle name="Normal 3 5 5 6" xfId="28442" xr:uid="{00000000-0005-0000-0000-000048B20000}"/>
    <cellStyle name="Normal 3 5 5 7" xfId="2552" xr:uid="{00000000-0005-0000-0000-000049B20000}"/>
    <cellStyle name="Normal 3 5 6" xfId="3377" xr:uid="{00000000-0005-0000-0000-00004AB20000}"/>
    <cellStyle name="Normal 3 5 6 2" xfId="6633" xr:uid="{00000000-0005-0000-0000-00004BB20000}"/>
    <cellStyle name="Normal 3 5 6 2 2" xfId="13092" xr:uid="{00000000-0005-0000-0000-00004CB20000}"/>
    <cellStyle name="Normal 3 5 6 2 2 2" xfId="26009" xr:uid="{00000000-0005-0000-0000-00004DB20000}"/>
    <cellStyle name="Normal 3 5 6 2 2 2 2" xfId="51883" xr:uid="{00000000-0005-0000-0000-00004EB20000}"/>
    <cellStyle name="Normal 3 5 6 2 2 3" xfId="38967" xr:uid="{00000000-0005-0000-0000-00004FB20000}"/>
    <cellStyle name="Normal 3 5 6 2 3" xfId="19551" xr:uid="{00000000-0005-0000-0000-000050B20000}"/>
    <cellStyle name="Normal 3 5 6 2 3 2" xfId="45425" xr:uid="{00000000-0005-0000-0000-000051B20000}"/>
    <cellStyle name="Normal 3 5 6 2 4" xfId="32509" xr:uid="{00000000-0005-0000-0000-000052B20000}"/>
    <cellStyle name="Normal 3 5 6 3" xfId="9864" xr:uid="{00000000-0005-0000-0000-000053B20000}"/>
    <cellStyle name="Normal 3 5 6 3 2" xfId="22781" xr:uid="{00000000-0005-0000-0000-000054B20000}"/>
    <cellStyle name="Normal 3 5 6 3 2 2" xfId="48655" xr:uid="{00000000-0005-0000-0000-000055B20000}"/>
    <cellStyle name="Normal 3 5 6 3 3" xfId="35739" xr:uid="{00000000-0005-0000-0000-000056B20000}"/>
    <cellStyle name="Normal 3 5 6 4" xfId="16323" xr:uid="{00000000-0005-0000-0000-000057B20000}"/>
    <cellStyle name="Normal 3 5 6 4 2" xfId="42197" xr:uid="{00000000-0005-0000-0000-000058B20000}"/>
    <cellStyle name="Normal 3 5 6 5" xfId="29249" xr:uid="{00000000-0005-0000-0000-000059B20000}"/>
    <cellStyle name="Normal 3 5 7" xfId="5019" xr:uid="{00000000-0005-0000-0000-00005AB20000}"/>
    <cellStyle name="Normal 3 5 7 2" xfId="11478" xr:uid="{00000000-0005-0000-0000-00005BB20000}"/>
    <cellStyle name="Normal 3 5 7 2 2" xfId="24395" xr:uid="{00000000-0005-0000-0000-00005CB20000}"/>
    <cellStyle name="Normal 3 5 7 2 2 2" xfId="50269" xr:uid="{00000000-0005-0000-0000-00005DB20000}"/>
    <cellStyle name="Normal 3 5 7 2 3" xfId="37353" xr:uid="{00000000-0005-0000-0000-00005EB20000}"/>
    <cellStyle name="Normal 3 5 7 3" xfId="17937" xr:uid="{00000000-0005-0000-0000-00005FB20000}"/>
    <cellStyle name="Normal 3 5 7 3 2" xfId="43811" xr:uid="{00000000-0005-0000-0000-000060B20000}"/>
    <cellStyle name="Normal 3 5 7 4" xfId="30895" xr:uid="{00000000-0005-0000-0000-000061B20000}"/>
    <cellStyle name="Normal 3 5 8" xfId="8249" xr:uid="{00000000-0005-0000-0000-000062B20000}"/>
    <cellStyle name="Normal 3 5 8 2" xfId="21166" xr:uid="{00000000-0005-0000-0000-000063B20000}"/>
    <cellStyle name="Normal 3 5 8 2 2" xfId="47040" xr:uid="{00000000-0005-0000-0000-000064B20000}"/>
    <cellStyle name="Normal 3 5 8 3" xfId="34124" xr:uid="{00000000-0005-0000-0000-000065B20000}"/>
    <cellStyle name="Normal 3 5 9" xfId="14708" xr:uid="{00000000-0005-0000-0000-000066B20000}"/>
    <cellStyle name="Normal 3 5 9 2" xfId="40582" xr:uid="{00000000-0005-0000-0000-000067B20000}"/>
    <cellStyle name="Normal 3 6" xfId="253" xr:uid="{00000000-0005-0000-0000-000068B20000}"/>
    <cellStyle name="Normal 3 6 10" xfId="53541" xr:uid="{00000000-0005-0000-0000-000069B20000}"/>
    <cellStyle name="Normal 3 6 11" xfId="1625" xr:uid="{00000000-0005-0000-0000-00006AB20000}"/>
    <cellStyle name="Normal 3 6 2" xfId="430" xr:uid="{00000000-0005-0000-0000-00006BB20000}"/>
    <cellStyle name="Normal 3 6 2 10" xfId="1950" xr:uid="{00000000-0005-0000-0000-00006CB20000}"/>
    <cellStyle name="Normal 3 6 2 2" xfId="940" xr:uid="{00000000-0005-0000-0000-00006DB20000}"/>
    <cellStyle name="Normal 3 6 2 2 2" xfId="3194" xr:uid="{00000000-0005-0000-0000-00006EB20000}"/>
    <cellStyle name="Normal 3 6 2 2 2 2" xfId="4851" xr:uid="{00000000-0005-0000-0000-00006FB20000}"/>
    <cellStyle name="Normal 3 6 2 2 2 2 2" xfId="8082" xr:uid="{00000000-0005-0000-0000-000070B20000}"/>
    <cellStyle name="Normal 3 6 2 2 2 2 2 2" xfId="14541" xr:uid="{00000000-0005-0000-0000-000071B20000}"/>
    <cellStyle name="Normal 3 6 2 2 2 2 2 2 2" xfId="27458" xr:uid="{00000000-0005-0000-0000-000072B20000}"/>
    <cellStyle name="Normal 3 6 2 2 2 2 2 2 2 2" xfId="53332" xr:uid="{00000000-0005-0000-0000-000073B20000}"/>
    <cellStyle name="Normal 3 6 2 2 2 2 2 2 3" xfId="40416" xr:uid="{00000000-0005-0000-0000-000074B20000}"/>
    <cellStyle name="Normal 3 6 2 2 2 2 2 3" xfId="21000" xr:uid="{00000000-0005-0000-0000-000075B20000}"/>
    <cellStyle name="Normal 3 6 2 2 2 2 2 3 2" xfId="46874" xr:uid="{00000000-0005-0000-0000-000076B20000}"/>
    <cellStyle name="Normal 3 6 2 2 2 2 2 4" xfId="33958" xr:uid="{00000000-0005-0000-0000-000077B20000}"/>
    <cellStyle name="Normal 3 6 2 2 2 2 3" xfId="11313" xr:uid="{00000000-0005-0000-0000-000078B20000}"/>
    <cellStyle name="Normal 3 6 2 2 2 2 3 2" xfId="24230" xr:uid="{00000000-0005-0000-0000-000079B20000}"/>
    <cellStyle name="Normal 3 6 2 2 2 2 3 2 2" xfId="50104" xr:uid="{00000000-0005-0000-0000-00007AB20000}"/>
    <cellStyle name="Normal 3 6 2 2 2 2 3 3" xfId="37188" xr:uid="{00000000-0005-0000-0000-00007BB20000}"/>
    <cellStyle name="Normal 3 6 2 2 2 2 4" xfId="17772" xr:uid="{00000000-0005-0000-0000-00007CB20000}"/>
    <cellStyle name="Normal 3 6 2 2 2 2 4 2" xfId="43646" xr:uid="{00000000-0005-0000-0000-00007DB20000}"/>
    <cellStyle name="Normal 3 6 2 2 2 2 5" xfId="30698" xr:uid="{00000000-0005-0000-0000-00007EB20000}"/>
    <cellStyle name="Normal 3 6 2 2 2 3" xfId="6468" xr:uid="{00000000-0005-0000-0000-00007FB20000}"/>
    <cellStyle name="Normal 3 6 2 2 2 3 2" xfId="12927" xr:uid="{00000000-0005-0000-0000-000080B20000}"/>
    <cellStyle name="Normal 3 6 2 2 2 3 2 2" xfId="25844" xr:uid="{00000000-0005-0000-0000-000081B20000}"/>
    <cellStyle name="Normal 3 6 2 2 2 3 2 2 2" xfId="51718" xr:uid="{00000000-0005-0000-0000-000082B20000}"/>
    <cellStyle name="Normal 3 6 2 2 2 3 2 3" xfId="38802" xr:uid="{00000000-0005-0000-0000-000083B20000}"/>
    <cellStyle name="Normal 3 6 2 2 2 3 3" xfId="19386" xr:uid="{00000000-0005-0000-0000-000084B20000}"/>
    <cellStyle name="Normal 3 6 2 2 2 3 3 2" xfId="45260" xr:uid="{00000000-0005-0000-0000-000085B20000}"/>
    <cellStyle name="Normal 3 6 2 2 2 3 4" xfId="32344" xr:uid="{00000000-0005-0000-0000-000086B20000}"/>
    <cellStyle name="Normal 3 6 2 2 2 4" xfId="9699" xr:uid="{00000000-0005-0000-0000-000087B20000}"/>
    <cellStyle name="Normal 3 6 2 2 2 4 2" xfId="22616" xr:uid="{00000000-0005-0000-0000-000088B20000}"/>
    <cellStyle name="Normal 3 6 2 2 2 4 2 2" xfId="48490" xr:uid="{00000000-0005-0000-0000-000089B20000}"/>
    <cellStyle name="Normal 3 6 2 2 2 4 3" xfId="35574" xr:uid="{00000000-0005-0000-0000-00008AB20000}"/>
    <cellStyle name="Normal 3 6 2 2 2 5" xfId="16158" xr:uid="{00000000-0005-0000-0000-00008BB20000}"/>
    <cellStyle name="Normal 3 6 2 2 2 5 2" xfId="42032" xr:uid="{00000000-0005-0000-0000-00008CB20000}"/>
    <cellStyle name="Normal 3 6 2 2 2 6" xfId="29084" xr:uid="{00000000-0005-0000-0000-00008DB20000}"/>
    <cellStyle name="Normal 3 6 2 2 3" xfId="4021" xr:uid="{00000000-0005-0000-0000-00008EB20000}"/>
    <cellStyle name="Normal 3 6 2 2 3 2" xfId="7275" xr:uid="{00000000-0005-0000-0000-00008FB20000}"/>
    <cellStyle name="Normal 3 6 2 2 3 2 2" xfId="13734" xr:uid="{00000000-0005-0000-0000-000090B20000}"/>
    <cellStyle name="Normal 3 6 2 2 3 2 2 2" xfId="26651" xr:uid="{00000000-0005-0000-0000-000091B20000}"/>
    <cellStyle name="Normal 3 6 2 2 3 2 2 2 2" xfId="52525" xr:uid="{00000000-0005-0000-0000-000092B20000}"/>
    <cellStyle name="Normal 3 6 2 2 3 2 2 3" xfId="39609" xr:uid="{00000000-0005-0000-0000-000093B20000}"/>
    <cellStyle name="Normal 3 6 2 2 3 2 3" xfId="20193" xr:uid="{00000000-0005-0000-0000-000094B20000}"/>
    <cellStyle name="Normal 3 6 2 2 3 2 3 2" xfId="46067" xr:uid="{00000000-0005-0000-0000-000095B20000}"/>
    <cellStyle name="Normal 3 6 2 2 3 2 4" xfId="33151" xr:uid="{00000000-0005-0000-0000-000096B20000}"/>
    <cellStyle name="Normal 3 6 2 2 3 3" xfId="10506" xr:uid="{00000000-0005-0000-0000-000097B20000}"/>
    <cellStyle name="Normal 3 6 2 2 3 3 2" xfId="23423" xr:uid="{00000000-0005-0000-0000-000098B20000}"/>
    <cellStyle name="Normal 3 6 2 2 3 3 2 2" xfId="49297" xr:uid="{00000000-0005-0000-0000-000099B20000}"/>
    <cellStyle name="Normal 3 6 2 2 3 3 3" xfId="36381" xr:uid="{00000000-0005-0000-0000-00009AB20000}"/>
    <cellStyle name="Normal 3 6 2 2 3 4" xfId="16965" xr:uid="{00000000-0005-0000-0000-00009BB20000}"/>
    <cellStyle name="Normal 3 6 2 2 3 4 2" xfId="42839" xr:uid="{00000000-0005-0000-0000-00009CB20000}"/>
    <cellStyle name="Normal 3 6 2 2 3 5" xfId="29891" xr:uid="{00000000-0005-0000-0000-00009DB20000}"/>
    <cellStyle name="Normal 3 6 2 2 4" xfId="5661" xr:uid="{00000000-0005-0000-0000-00009EB20000}"/>
    <cellStyle name="Normal 3 6 2 2 4 2" xfId="12120" xr:uid="{00000000-0005-0000-0000-00009FB20000}"/>
    <cellStyle name="Normal 3 6 2 2 4 2 2" xfId="25037" xr:uid="{00000000-0005-0000-0000-0000A0B20000}"/>
    <cellStyle name="Normal 3 6 2 2 4 2 2 2" xfId="50911" xr:uid="{00000000-0005-0000-0000-0000A1B20000}"/>
    <cellStyle name="Normal 3 6 2 2 4 2 3" xfId="37995" xr:uid="{00000000-0005-0000-0000-0000A2B20000}"/>
    <cellStyle name="Normal 3 6 2 2 4 3" xfId="18579" xr:uid="{00000000-0005-0000-0000-0000A3B20000}"/>
    <cellStyle name="Normal 3 6 2 2 4 3 2" xfId="44453" xr:uid="{00000000-0005-0000-0000-0000A4B20000}"/>
    <cellStyle name="Normal 3 6 2 2 4 4" xfId="31537" xr:uid="{00000000-0005-0000-0000-0000A5B20000}"/>
    <cellStyle name="Normal 3 6 2 2 5" xfId="8892" xr:uid="{00000000-0005-0000-0000-0000A6B20000}"/>
    <cellStyle name="Normal 3 6 2 2 5 2" xfId="21809" xr:uid="{00000000-0005-0000-0000-0000A7B20000}"/>
    <cellStyle name="Normal 3 6 2 2 5 2 2" xfId="47683" xr:uid="{00000000-0005-0000-0000-0000A8B20000}"/>
    <cellStyle name="Normal 3 6 2 2 5 3" xfId="34767" xr:uid="{00000000-0005-0000-0000-0000A9B20000}"/>
    <cellStyle name="Normal 3 6 2 2 6" xfId="15351" xr:uid="{00000000-0005-0000-0000-0000AAB20000}"/>
    <cellStyle name="Normal 3 6 2 2 6 2" xfId="41225" xr:uid="{00000000-0005-0000-0000-0000ABB20000}"/>
    <cellStyle name="Normal 3 6 2 2 7" xfId="28277" xr:uid="{00000000-0005-0000-0000-0000ACB20000}"/>
    <cellStyle name="Normal 3 6 2 2 8" xfId="54139" xr:uid="{00000000-0005-0000-0000-0000ADB20000}"/>
    <cellStyle name="Normal 3 6 2 2 9" xfId="2381" xr:uid="{00000000-0005-0000-0000-0000AEB20000}"/>
    <cellStyle name="Normal 3 6 2 3" xfId="939" xr:uid="{00000000-0005-0000-0000-0000AFB20000}"/>
    <cellStyle name="Normal 3 6 2 3 2" xfId="4447" xr:uid="{00000000-0005-0000-0000-0000B0B20000}"/>
    <cellStyle name="Normal 3 6 2 3 2 2" xfId="7678" xr:uid="{00000000-0005-0000-0000-0000B1B20000}"/>
    <cellStyle name="Normal 3 6 2 3 2 2 2" xfId="14137" xr:uid="{00000000-0005-0000-0000-0000B2B20000}"/>
    <cellStyle name="Normal 3 6 2 3 2 2 2 2" xfId="27054" xr:uid="{00000000-0005-0000-0000-0000B3B20000}"/>
    <cellStyle name="Normal 3 6 2 3 2 2 2 2 2" xfId="52928" xr:uid="{00000000-0005-0000-0000-0000B4B20000}"/>
    <cellStyle name="Normal 3 6 2 3 2 2 2 3" xfId="40012" xr:uid="{00000000-0005-0000-0000-0000B5B20000}"/>
    <cellStyle name="Normal 3 6 2 3 2 2 3" xfId="20596" xr:uid="{00000000-0005-0000-0000-0000B6B20000}"/>
    <cellStyle name="Normal 3 6 2 3 2 2 3 2" xfId="46470" xr:uid="{00000000-0005-0000-0000-0000B7B20000}"/>
    <cellStyle name="Normal 3 6 2 3 2 2 4" xfId="33554" xr:uid="{00000000-0005-0000-0000-0000B8B20000}"/>
    <cellStyle name="Normal 3 6 2 3 2 3" xfId="10909" xr:uid="{00000000-0005-0000-0000-0000B9B20000}"/>
    <cellStyle name="Normal 3 6 2 3 2 3 2" xfId="23826" xr:uid="{00000000-0005-0000-0000-0000BAB20000}"/>
    <cellStyle name="Normal 3 6 2 3 2 3 2 2" xfId="49700" xr:uid="{00000000-0005-0000-0000-0000BBB20000}"/>
    <cellStyle name="Normal 3 6 2 3 2 3 3" xfId="36784" xr:uid="{00000000-0005-0000-0000-0000BCB20000}"/>
    <cellStyle name="Normal 3 6 2 3 2 4" xfId="17368" xr:uid="{00000000-0005-0000-0000-0000BDB20000}"/>
    <cellStyle name="Normal 3 6 2 3 2 4 2" xfId="43242" xr:uid="{00000000-0005-0000-0000-0000BEB20000}"/>
    <cellStyle name="Normal 3 6 2 3 2 5" xfId="30294" xr:uid="{00000000-0005-0000-0000-0000BFB20000}"/>
    <cellStyle name="Normal 3 6 2 3 3" xfId="6064" xr:uid="{00000000-0005-0000-0000-0000C0B20000}"/>
    <cellStyle name="Normal 3 6 2 3 3 2" xfId="12523" xr:uid="{00000000-0005-0000-0000-0000C1B20000}"/>
    <cellStyle name="Normal 3 6 2 3 3 2 2" xfId="25440" xr:uid="{00000000-0005-0000-0000-0000C2B20000}"/>
    <cellStyle name="Normal 3 6 2 3 3 2 2 2" xfId="51314" xr:uid="{00000000-0005-0000-0000-0000C3B20000}"/>
    <cellStyle name="Normal 3 6 2 3 3 2 3" xfId="38398" xr:uid="{00000000-0005-0000-0000-0000C4B20000}"/>
    <cellStyle name="Normal 3 6 2 3 3 3" xfId="18982" xr:uid="{00000000-0005-0000-0000-0000C5B20000}"/>
    <cellStyle name="Normal 3 6 2 3 3 3 2" xfId="44856" xr:uid="{00000000-0005-0000-0000-0000C6B20000}"/>
    <cellStyle name="Normal 3 6 2 3 3 4" xfId="31940" xr:uid="{00000000-0005-0000-0000-0000C7B20000}"/>
    <cellStyle name="Normal 3 6 2 3 4" xfId="9295" xr:uid="{00000000-0005-0000-0000-0000C8B20000}"/>
    <cellStyle name="Normal 3 6 2 3 4 2" xfId="22212" xr:uid="{00000000-0005-0000-0000-0000C9B20000}"/>
    <cellStyle name="Normal 3 6 2 3 4 2 2" xfId="48086" xr:uid="{00000000-0005-0000-0000-0000CAB20000}"/>
    <cellStyle name="Normal 3 6 2 3 4 3" xfId="35170" xr:uid="{00000000-0005-0000-0000-0000CBB20000}"/>
    <cellStyle name="Normal 3 6 2 3 5" xfId="15754" xr:uid="{00000000-0005-0000-0000-0000CCB20000}"/>
    <cellStyle name="Normal 3 6 2 3 5 2" xfId="41628" xr:uid="{00000000-0005-0000-0000-0000CDB20000}"/>
    <cellStyle name="Normal 3 6 2 3 6" xfId="28680" xr:uid="{00000000-0005-0000-0000-0000CEB20000}"/>
    <cellStyle name="Normal 3 6 2 3 7" xfId="2790" xr:uid="{00000000-0005-0000-0000-0000CFB20000}"/>
    <cellStyle name="Normal 3 6 2 4" xfId="3617" xr:uid="{00000000-0005-0000-0000-0000D0B20000}"/>
    <cellStyle name="Normal 3 6 2 4 2" xfId="6871" xr:uid="{00000000-0005-0000-0000-0000D1B20000}"/>
    <cellStyle name="Normal 3 6 2 4 2 2" xfId="13330" xr:uid="{00000000-0005-0000-0000-0000D2B20000}"/>
    <cellStyle name="Normal 3 6 2 4 2 2 2" xfId="26247" xr:uid="{00000000-0005-0000-0000-0000D3B20000}"/>
    <cellStyle name="Normal 3 6 2 4 2 2 2 2" xfId="52121" xr:uid="{00000000-0005-0000-0000-0000D4B20000}"/>
    <cellStyle name="Normal 3 6 2 4 2 2 3" xfId="39205" xr:uid="{00000000-0005-0000-0000-0000D5B20000}"/>
    <cellStyle name="Normal 3 6 2 4 2 3" xfId="19789" xr:uid="{00000000-0005-0000-0000-0000D6B20000}"/>
    <cellStyle name="Normal 3 6 2 4 2 3 2" xfId="45663" xr:uid="{00000000-0005-0000-0000-0000D7B20000}"/>
    <cellStyle name="Normal 3 6 2 4 2 4" xfId="32747" xr:uid="{00000000-0005-0000-0000-0000D8B20000}"/>
    <cellStyle name="Normal 3 6 2 4 3" xfId="10102" xr:uid="{00000000-0005-0000-0000-0000D9B20000}"/>
    <cellStyle name="Normal 3 6 2 4 3 2" xfId="23019" xr:uid="{00000000-0005-0000-0000-0000DAB20000}"/>
    <cellStyle name="Normal 3 6 2 4 3 2 2" xfId="48893" xr:uid="{00000000-0005-0000-0000-0000DBB20000}"/>
    <cellStyle name="Normal 3 6 2 4 3 3" xfId="35977" xr:uid="{00000000-0005-0000-0000-0000DCB20000}"/>
    <cellStyle name="Normal 3 6 2 4 4" xfId="16561" xr:uid="{00000000-0005-0000-0000-0000DDB20000}"/>
    <cellStyle name="Normal 3 6 2 4 4 2" xfId="42435" xr:uid="{00000000-0005-0000-0000-0000DEB20000}"/>
    <cellStyle name="Normal 3 6 2 4 5" xfId="29487" xr:uid="{00000000-0005-0000-0000-0000DFB20000}"/>
    <cellStyle name="Normal 3 6 2 5" xfId="5257" xr:uid="{00000000-0005-0000-0000-0000E0B20000}"/>
    <cellStyle name="Normal 3 6 2 5 2" xfId="11716" xr:uid="{00000000-0005-0000-0000-0000E1B20000}"/>
    <cellStyle name="Normal 3 6 2 5 2 2" xfId="24633" xr:uid="{00000000-0005-0000-0000-0000E2B20000}"/>
    <cellStyle name="Normal 3 6 2 5 2 2 2" xfId="50507" xr:uid="{00000000-0005-0000-0000-0000E3B20000}"/>
    <cellStyle name="Normal 3 6 2 5 2 3" xfId="37591" xr:uid="{00000000-0005-0000-0000-0000E4B20000}"/>
    <cellStyle name="Normal 3 6 2 5 3" xfId="18175" xr:uid="{00000000-0005-0000-0000-0000E5B20000}"/>
    <cellStyle name="Normal 3 6 2 5 3 2" xfId="44049" xr:uid="{00000000-0005-0000-0000-0000E6B20000}"/>
    <cellStyle name="Normal 3 6 2 5 4" xfId="31133" xr:uid="{00000000-0005-0000-0000-0000E7B20000}"/>
    <cellStyle name="Normal 3 6 2 6" xfId="8488" xr:uid="{00000000-0005-0000-0000-0000E8B20000}"/>
    <cellStyle name="Normal 3 6 2 6 2" xfId="21405" xr:uid="{00000000-0005-0000-0000-0000E9B20000}"/>
    <cellStyle name="Normal 3 6 2 6 2 2" xfId="47279" xr:uid="{00000000-0005-0000-0000-0000EAB20000}"/>
    <cellStyle name="Normal 3 6 2 6 3" xfId="34363" xr:uid="{00000000-0005-0000-0000-0000EBB20000}"/>
    <cellStyle name="Normal 3 6 2 7" xfId="14947" xr:uid="{00000000-0005-0000-0000-0000ECB20000}"/>
    <cellStyle name="Normal 3 6 2 7 2" xfId="40821" xr:uid="{00000000-0005-0000-0000-0000EDB20000}"/>
    <cellStyle name="Normal 3 6 2 8" xfId="27872" xr:uid="{00000000-0005-0000-0000-0000EEB20000}"/>
    <cellStyle name="Normal 3 6 2 9" xfId="53735" xr:uid="{00000000-0005-0000-0000-0000EFB20000}"/>
    <cellStyle name="Normal 3 6 3" xfId="941" xr:uid="{00000000-0005-0000-0000-0000F0B20000}"/>
    <cellStyle name="Normal 3 6 3 2" xfId="2999" xr:uid="{00000000-0005-0000-0000-0000F1B20000}"/>
    <cellStyle name="Normal 3 6 3 2 2" xfId="4656" xr:uid="{00000000-0005-0000-0000-0000F2B20000}"/>
    <cellStyle name="Normal 3 6 3 2 2 2" xfId="7887" xr:uid="{00000000-0005-0000-0000-0000F3B20000}"/>
    <cellStyle name="Normal 3 6 3 2 2 2 2" xfId="14346" xr:uid="{00000000-0005-0000-0000-0000F4B20000}"/>
    <cellStyle name="Normal 3 6 3 2 2 2 2 2" xfId="27263" xr:uid="{00000000-0005-0000-0000-0000F5B20000}"/>
    <cellStyle name="Normal 3 6 3 2 2 2 2 2 2" xfId="53137" xr:uid="{00000000-0005-0000-0000-0000F6B20000}"/>
    <cellStyle name="Normal 3 6 3 2 2 2 2 3" xfId="40221" xr:uid="{00000000-0005-0000-0000-0000F7B20000}"/>
    <cellStyle name="Normal 3 6 3 2 2 2 3" xfId="20805" xr:uid="{00000000-0005-0000-0000-0000F8B20000}"/>
    <cellStyle name="Normal 3 6 3 2 2 2 3 2" xfId="46679" xr:uid="{00000000-0005-0000-0000-0000F9B20000}"/>
    <cellStyle name="Normal 3 6 3 2 2 2 4" xfId="33763" xr:uid="{00000000-0005-0000-0000-0000FAB20000}"/>
    <cellStyle name="Normal 3 6 3 2 2 3" xfId="11118" xr:uid="{00000000-0005-0000-0000-0000FBB20000}"/>
    <cellStyle name="Normal 3 6 3 2 2 3 2" xfId="24035" xr:uid="{00000000-0005-0000-0000-0000FCB20000}"/>
    <cellStyle name="Normal 3 6 3 2 2 3 2 2" xfId="49909" xr:uid="{00000000-0005-0000-0000-0000FDB20000}"/>
    <cellStyle name="Normal 3 6 3 2 2 3 3" xfId="36993" xr:uid="{00000000-0005-0000-0000-0000FEB20000}"/>
    <cellStyle name="Normal 3 6 3 2 2 4" xfId="17577" xr:uid="{00000000-0005-0000-0000-0000FFB20000}"/>
    <cellStyle name="Normal 3 6 3 2 2 4 2" xfId="43451" xr:uid="{00000000-0005-0000-0000-000000B30000}"/>
    <cellStyle name="Normal 3 6 3 2 2 5" xfId="30503" xr:uid="{00000000-0005-0000-0000-000001B30000}"/>
    <cellStyle name="Normal 3 6 3 2 3" xfId="6273" xr:uid="{00000000-0005-0000-0000-000002B30000}"/>
    <cellStyle name="Normal 3 6 3 2 3 2" xfId="12732" xr:uid="{00000000-0005-0000-0000-000003B30000}"/>
    <cellStyle name="Normal 3 6 3 2 3 2 2" xfId="25649" xr:uid="{00000000-0005-0000-0000-000004B30000}"/>
    <cellStyle name="Normal 3 6 3 2 3 2 2 2" xfId="51523" xr:uid="{00000000-0005-0000-0000-000005B30000}"/>
    <cellStyle name="Normal 3 6 3 2 3 2 3" xfId="38607" xr:uid="{00000000-0005-0000-0000-000006B30000}"/>
    <cellStyle name="Normal 3 6 3 2 3 3" xfId="19191" xr:uid="{00000000-0005-0000-0000-000007B30000}"/>
    <cellStyle name="Normal 3 6 3 2 3 3 2" xfId="45065" xr:uid="{00000000-0005-0000-0000-000008B30000}"/>
    <cellStyle name="Normal 3 6 3 2 3 4" xfId="32149" xr:uid="{00000000-0005-0000-0000-000009B30000}"/>
    <cellStyle name="Normal 3 6 3 2 4" xfId="9504" xr:uid="{00000000-0005-0000-0000-00000AB30000}"/>
    <cellStyle name="Normal 3 6 3 2 4 2" xfId="22421" xr:uid="{00000000-0005-0000-0000-00000BB30000}"/>
    <cellStyle name="Normal 3 6 3 2 4 2 2" xfId="48295" xr:uid="{00000000-0005-0000-0000-00000CB30000}"/>
    <cellStyle name="Normal 3 6 3 2 4 3" xfId="35379" xr:uid="{00000000-0005-0000-0000-00000DB30000}"/>
    <cellStyle name="Normal 3 6 3 2 5" xfId="15963" xr:uid="{00000000-0005-0000-0000-00000EB30000}"/>
    <cellStyle name="Normal 3 6 3 2 5 2" xfId="41837" xr:uid="{00000000-0005-0000-0000-00000FB30000}"/>
    <cellStyle name="Normal 3 6 3 2 6" xfId="28889" xr:uid="{00000000-0005-0000-0000-000010B30000}"/>
    <cellStyle name="Normal 3 6 3 3" xfId="3826" xr:uid="{00000000-0005-0000-0000-000011B30000}"/>
    <cellStyle name="Normal 3 6 3 3 2" xfId="7080" xr:uid="{00000000-0005-0000-0000-000012B30000}"/>
    <cellStyle name="Normal 3 6 3 3 2 2" xfId="13539" xr:uid="{00000000-0005-0000-0000-000013B30000}"/>
    <cellStyle name="Normal 3 6 3 3 2 2 2" xfId="26456" xr:uid="{00000000-0005-0000-0000-000014B30000}"/>
    <cellStyle name="Normal 3 6 3 3 2 2 2 2" xfId="52330" xr:uid="{00000000-0005-0000-0000-000015B30000}"/>
    <cellStyle name="Normal 3 6 3 3 2 2 3" xfId="39414" xr:uid="{00000000-0005-0000-0000-000016B30000}"/>
    <cellStyle name="Normal 3 6 3 3 2 3" xfId="19998" xr:uid="{00000000-0005-0000-0000-000017B30000}"/>
    <cellStyle name="Normal 3 6 3 3 2 3 2" xfId="45872" xr:uid="{00000000-0005-0000-0000-000018B30000}"/>
    <cellStyle name="Normal 3 6 3 3 2 4" xfId="32956" xr:uid="{00000000-0005-0000-0000-000019B30000}"/>
    <cellStyle name="Normal 3 6 3 3 3" xfId="10311" xr:uid="{00000000-0005-0000-0000-00001AB30000}"/>
    <cellStyle name="Normal 3 6 3 3 3 2" xfId="23228" xr:uid="{00000000-0005-0000-0000-00001BB30000}"/>
    <cellStyle name="Normal 3 6 3 3 3 2 2" xfId="49102" xr:uid="{00000000-0005-0000-0000-00001CB30000}"/>
    <cellStyle name="Normal 3 6 3 3 3 3" xfId="36186" xr:uid="{00000000-0005-0000-0000-00001DB30000}"/>
    <cellStyle name="Normal 3 6 3 3 4" xfId="16770" xr:uid="{00000000-0005-0000-0000-00001EB30000}"/>
    <cellStyle name="Normal 3 6 3 3 4 2" xfId="42644" xr:uid="{00000000-0005-0000-0000-00001FB30000}"/>
    <cellStyle name="Normal 3 6 3 3 5" xfId="29696" xr:uid="{00000000-0005-0000-0000-000020B30000}"/>
    <cellStyle name="Normal 3 6 3 4" xfId="5466" xr:uid="{00000000-0005-0000-0000-000021B30000}"/>
    <cellStyle name="Normal 3 6 3 4 2" xfId="11925" xr:uid="{00000000-0005-0000-0000-000022B30000}"/>
    <cellStyle name="Normal 3 6 3 4 2 2" xfId="24842" xr:uid="{00000000-0005-0000-0000-000023B30000}"/>
    <cellStyle name="Normal 3 6 3 4 2 2 2" xfId="50716" xr:uid="{00000000-0005-0000-0000-000024B30000}"/>
    <cellStyle name="Normal 3 6 3 4 2 3" xfId="37800" xr:uid="{00000000-0005-0000-0000-000025B30000}"/>
    <cellStyle name="Normal 3 6 3 4 3" xfId="18384" xr:uid="{00000000-0005-0000-0000-000026B30000}"/>
    <cellStyle name="Normal 3 6 3 4 3 2" xfId="44258" xr:uid="{00000000-0005-0000-0000-000027B30000}"/>
    <cellStyle name="Normal 3 6 3 4 4" xfId="31342" xr:uid="{00000000-0005-0000-0000-000028B30000}"/>
    <cellStyle name="Normal 3 6 3 5" xfId="8697" xr:uid="{00000000-0005-0000-0000-000029B30000}"/>
    <cellStyle name="Normal 3 6 3 5 2" xfId="21614" xr:uid="{00000000-0005-0000-0000-00002AB30000}"/>
    <cellStyle name="Normal 3 6 3 5 2 2" xfId="47488" xr:uid="{00000000-0005-0000-0000-00002BB30000}"/>
    <cellStyle name="Normal 3 6 3 5 3" xfId="34572" xr:uid="{00000000-0005-0000-0000-00002CB30000}"/>
    <cellStyle name="Normal 3 6 3 6" xfId="15156" xr:uid="{00000000-0005-0000-0000-00002DB30000}"/>
    <cellStyle name="Normal 3 6 3 6 2" xfId="41030" xr:uid="{00000000-0005-0000-0000-00002EB30000}"/>
    <cellStyle name="Normal 3 6 3 7" xfId="28082" xr:uid="{00000000-0005-0000-0000-00002FB30000}"/>
    <cellStyle name="Normal 3 6 3 8" xfId="53944" xr:uid="{00000000-0005-0000-0000-000030B30000}"/>
    <cellStyle name="Normal 3 6 3 9" xfId="2185" xr:uid="{00000000-0005-0000-0000-000031B30000}"/>
    <cellStyle name="Normal 3 6 4" xfId="938" xr:uid="{00000000-0005-0000-0000-000032B30000}"/>
    <cellStyle name="Normal 3 6 4 2" xfId="4253" xr:uid="{00000000-0005-0000-0000-000033B30000}"/>
    <cellStyle name="Normal 3 6 4 2 2" xfId="7484" xr:uid="{00000000-0005-0000-0000-000034B30000}"/>
    <cellStyle name="Normal 3 6 4 2 2 2" xfId="13943" xr:uid="{00000000-0005-0000-0000-000035B30000}"/>
    <cellStyle name="Normal 3 6 4 2 2 2 2" xfId="26860" xr:uid="{00000000-0005-0000-0000-000036B30000}"/>
    <cellStyle name="Normal 3 6 4 2 2 2 2 2" xfId="52734" xr:uid="{00000000-0005-0000-0000-000037B30000}"/>
    <cellStyle name="Normal 3 6 4 2 2 2 3" xfId="39818" xr:uid="{00000000-0005-0000-0000-000038B30000}"/>
    <cellStyle name="Normal 3 6 4 2 2 3" xfId="20402" xr:uid="{00000000-0005-0000-0000-000039B30000}"/>
    <cellStyle name="Normal 3 6 4 2 2 3 2" xfId="46276" xr:uid="{00000000-0005-0000-0000-00003AB30000}"/>
    <cellStyle name="Normal 3 6 4 2 2 4" xfId="33360" xr:uid="{00000000-0005-0000-0000-00003BB30000}"/>
    <cellStyle name="Normal 3 6 4 2 3" xfId="10715" xr:uid="{00000000-0005-0000-0000-00003CB30000}"/>
    <cellStyle name="Normal 3 6 4 2 3 2" xfId="23632" xr:uid="{00000000-0005-0000-0000-00003DB30000}"/>
    <cellStyle name="Normal 3 6 4 2 3 2 2" xfId="49506" xr:uid="{00000000-0005-0000-0000-00003EB30000}"/>
    <cellStyle name="Normal 3 6 4 2 3 3" xfId="36590" xr:uid="{00000000-0005-0000-0000-00003FB30000}"/>
    <cellStyle name="Normal 3 6 4 2 4" xfId="17174" xr:uid="{00000000-0005-0000-0000-000040B30000}"/>
    <cellStyle name="Normal 3 6 4 2 4 2" xfId="43048" xr:uid="{00000000-0005-0000-0000-000041B30000}"/>
    <cellStyle name="Normal 3 6 4 2 5" xfId="30100" xr:uid="{00000000-0005-0000-0000-000042B30000}"/>
    <cellStyle name="Normal 3 6 4 3" xfId="5870" xr:uid="{00000000-0005-0000-0000-000043B30000}"/>
    <cellStyle name="Normal 3 6 4 3 2" xfId="12329" xr:uid="{00000000-0005-0000-0000-000044B30000}"/>
    <cellStyle name="Normal 3 6 4 3 2 2" xfId="25246" xr:uid="{00000000-0005-0000-0000-000045B30000}"/>
    <cellStyle name="Normal 3 6 4 3 2 2 2" xfId="51120" xr:uid="{00000000-0005-0000-0000-000046B30000}"/>
    <cellStyle name="Normal 3 6 4 3 2 3" xfId="38204" xr:uid="{00000000-0005-0000-0000-000047B30000}"/>
    <cellStyle name="Normal 3 6 4 3 3" xfId="18788" xr:uid="{00000000-0005-0000-0000-000048B30000}"/>
    <cellStyle name="Normal 3 6 4 3 3 2" xfId="44662" xr:uid="{00000000-0005-0000-0000-000049B30000}"/>
    <cellStyle name="Normal 3 6 4 3 4" xfId="31746" xr:uid="{00000000-0005-0000-0000-00004AB30000}"/>
    <cellStyle name="Normal 3 6 4 4" xfId="9101" xr:uid="{00000000-0005-0000-0000-00004BB30000}"/>
    <cellStyle name="Normal 3 6 4 4 2" xfId="22018" xr:uid="{00000000-0005-0000-0000-00004CB30000}"/>
    <cellStyle name="Normal 3 6 4 4 2 2" xfId="47892" xr:uid="{00000000-0005-0000-0000-00004DB30000}"/>
    <cellStyle name="Normal 3 6 4 4 3" xfId="34976" xr:uid="{00000000-0005-0000-0000-00004EB30000}"/>
    <cellStyle name="Normal 3 6 4 5" xfId="15560" xr:uid="{00000000-0005-0000-0000-00004FB30000}"/>
    <cellStyle name="Normal 3 6 4 5 2" xfId="41434" xr:uid="{00000000-0005-0000-0000-000050B30000}"/>
    <cellStyle name="Normal 3 6 4 6" xfId="28486" xr:uid="{00000000-0005-0000-0000-000051B30000}"/>
    <cellStyle name="Normal 3 6 4 7" xfId="2596" xr:uid="{00000000-0005-0000-0000-000052B30000}"/>
    <cellStyle name="Normal 3 6 5" xfId="3423" xr:uid="{00000000-0005-0000-0000-000053B30000}"/>
    <cellStyle name="Normal 3 6 5 2" xfId="6677" xr:uid="{00000000-0005-0000-0000-000054B30000}"/>
    <cellStyle name="Normal 3 6 5 2 2" xfId="13136" xr:uid="{00000000-0005-0000-0000-000055B30000}"/>
    <cellStyle name="Normal 3 6 5 2 2 2" xfId="26053" xr:uid="{00000000-0005-0000-0000-000056B30000}"/>
    <cellStyle name="Normal 3 6 5 2 2 2 2" xfId="51927" xr:uid="{00000000-0005-0000-0000-000057B30000}"/>
    <cellStyle name="Normal 3 6 5 2 2 3" xfId="39011" xr:uid="{00000000-0005-0000-0000-000058B30000}"/>
    <cellStyle name="Normal 3 6 5 2 3" xfId="19595" xr:uid="{00000000-0005-0000-0000-000059B30000}"/>
    <cellStyle name="Normal 3 6 5 2 3 2" xfId="45469" xr:uid="{00000000-0005-0000-0000-00005AB30000}"/>
    <cellStyle name="Normal 3 6 5 2 4" xfId="32553" xr:uid="{00000000-0005-0000-0000-00005BB30000}"/>
    <cellStyle name="Normal 3 6 5 3" xfId="9908" xr:uid="{00000000-0005-0000-0000-00005CB30000}"/>
    <cellStyle name="Normal 3 6 5 3 2" xfId="22825" xr:uid="{00000000-0005-0000-0000-00005DB30000}"/>
    <cellStyle name="Normal 3 6 5 3 2 2" xfId="48699" xr:uid="{00000000-0005-0000-0000-00005EB30000}"/>
    <cellStyle name="Normal 3 6 5 3 3" xfId="35783" xr:uid="{00000000-0005-0000-0000-00005FB30000}"/>
    <cellStyle name="Normal 3 6 5 4" xfId="16367" xr:uid="{00000000-0005-0000-0000-000060B30000}"/>
    <cellStyle name="Normal 3 6 5 4 2" xfId="42241" xr:uid="{00000000-0005-0000-0000-000061B30000}"/>
    <cellStyle name="Normal 3 6 5 5" xfId="29293" xr:uid="{00000000-0005-0000-0000-000062B30000}"/>
    <cellStyle name="Normal 3 6 6" xfId="5063" xr:uid="{00000000-0005-0000-0000-000063B30000}"/>
    <cellStyle name="Normal 3 6 6 2" xfId="11522" xr:uid="{00000000-0005-0000-0000-000064B30000}"/>
    <cellStyle name="Normal 3 6 6 2 2" xfId="24439" xr:uid="{00000000-0005-0000-0000-000065B30000}"/>
    <cellStyle name="Normal 3 6 6 2 2 2" xfId="50313" xr:uid="{00000000-0005-0000-0000-000066B30000}"/>
    <cellStyle name="Normal 3 6 6 2 3" xfId="37397" xr:uid="{00000000-0005-0000-0000-000067B30000}"/>
    <cellStyle name="Normal 3 6 6 3" xfId="17981" xr:uid="{00000000-0005-0000-0000-000068B30000}"/>
    <cellStyle name="Normal 3 6 6 3 2" xfId="43855" xr:uid="{00000000-0005-0000-0000-000069B30000}"/>
    <cellStyle name="Normal 3 6 6 4" xfId="30939" xr:uid="{00000000-0005-0000-0000-00006AB30000}"/>
    <cellStyle name="Normal 3 6 7" xfId="8293" xr:uid="{00000000-0005-0000-0000-00006BB30000}"/>
    <cellStyle name="Normal 3 6 7 2" xfId="21210" xr:uid="{00000000-0005-0000-0000-00006CB30000}"/>
    <cellStyle name="Normal 3 6 7 2 2" xfId="47084" xr:uid="{00000000-0005-0000-0000-00006DB30000}"/>
    <cellStyle name="Normal 3 6 7 3" xfId="34168" xr:uid="{00000000-0005-0000-0000-00006EB30000}"/>
    <cellStyle name="Normal 3 6 8" xfId="14752" xr:uid="{00000000-0005-0000-0000-00006FB30000}"/>
    <cellStyle name="Normal 3 6 8 2" xfId="40626" xr:uid="{00000000-0005-0000-0000-000070B30000}"/>
    <cellStyle name="Normal 3 6 9" xfId="27676" xr:uid="{00000000-0005-0000-0000-000071B30000}"/>
    <cellStyle name="Normal 3 7" xfId="316" xr:uid="{00000000-0005-0000-0000-000072B30000}"/>
    <cellStyle name="Normal 3 7 10" xfId="53515" xr:uid="{00000000-0005-0000-0000-000073B30000}"/>
    <cellStyle name="Normal 3 7 11" xfId="1597" xr:uid="{00000000-0005-0000-0000-000074B30000}"/>
    <cellStyle name="Normal 3 7 2" xfId="456" xr:uid="{00000000-0005-0000-0000-000075B30000}"/>
    <cellStyle name="Normal 3 7 2 10" xfId="1924" xr:uid="{00000000-0005-0000-0000-000076B30000}"/>
    <cellStyle name="Normal 3 7 2 2" xfId="944" xr:uid="{00000000-0005-0000-0000-000077B30000}"/>
    <cellStyle name="Normal 3 7 2 2 2" xfId="3168" xr:uid="{00000000-0005-0000-0000-000078B30000}"/>
    <cellStyle name="Normal 3 7 2 2 2 2" xfId="4825" xr:uid="{00000000-0005-0000-0000-000079B30000}"/>
    <cellStyle name="Normal 3 7 2 2 2 2 2" xfId="8056" xr:uid="{00000000-0005-0000-0000-00007AB30000}"/>
    <cellStyle name="Normal 3 7 2 2 2 2 2 2" xfId="14515" xr:uid="{00000000-0005-0000-0000-00007BB30000}"/>
    <cellStyle name="Normal 3 7 2 2 2 2 2 2 2" xfId="27432" xr:uid="{00000000-0005-0000-0000-00007CB30000}"/>
    <cellStyle name="Normal 3 7 2 2 2 2 2 2 2 2" xfId="53306" xr:uid="{00000000-0005-0000-0000-00007DB30000}"/>
    <cellStyle name="Normal 3 7 2 2 2 2 2 2 3" xfId="40390" xr:uid="{00000000-0005-0000-0000-00007EB30000}"/>
    <cellStyle name="Normal 3 7 2 2 2 2 2 3" xfId="20974" xr:uid="{00000000-0005-0000-0000-00007FB30000}"/>
    <cellStyle name="Normal 3 7 2 2 2 2 2 3 2" xfId="46848" xr:uid="{00000000-0005-0000-0000-000080B30000}"/>
    <cellStyle name="Normal 3 7 2 2 2 2 2 4" xfId="33932" xr:uid="{00000000-0005-0000-0000-000081B30000}"/>
    <cellStyle name="Normal 3 7 2 2 2 2 3" xfId="11287" xr:uid="{00000000-0005-0000-0000-000082B30000}"/>
    <cellStyle name="Normal 3 7 2 2 2 2 3 2" xfId="24204" xr:uid="{00000000-0005-0000-0000-000083B30000}"/>
    <cellStyle name="Normal 3 7 2 2 2 2 3 2 2" xfId="50078" xr:uid="{00000000-0005-0000-0000-000084B30000}"/>
    <cellStyle name="Normal 3 7 2 2 2 2 3 3" xfId="37162" xr:uid="{00000000-0005-0000-0000-000085B30000}"/>
    <cellStyle name="Normal 3 7 2 2 2 2 4" xfId="17746" xr:uid="{00000000-0005-0000-0000-000086B30000}"/>
    <cellStyle name="Normal 3 7 2 2 2 2 4 2" xfId="43620" xr:uid="{00000000-0005-0000-0000-000087B30000}"/>
    <cellStyle name="Normal 3 7 2 2 2 2 5" xfId="30672" xr:uid="{00000000-0005-0000-0000-000088B30000}"/>
    <cellStyle name="Normal 3 7 2 2 2 3" xfId="6442" xr:uid="{00000000-0005-0000-0000-000089B30000}"/>
    <cellStyle name="Normal 3 7 2 2 2 3 2" xfId="12901" xr:uid="{00000000-0005-0000-0000-00008AB30000}"/>
    <cellStyle name="Normal 3 7 2 2 2 3 2 2" xfId="25818" xr:uid="{00000000-0005-0000-0000-00008BB30000}"/>
    <cellStyle name="Normal 3 7 2 2 2 3 2 2 2" xfId="51692" xr:uid="{00000000-0005-0000-0000-00008CB30000}"/>
    <cellStyle name="Normal 3 7 2 2 2 3 2 3" xfId="38776" xr:uid="{00000000-0005-0000-0000-00008DB30000}"/>
    <cellStyle name="Normal 3 7 2 2 2 3 3" xfId="19360" xr:uid="{00000000-0005-0000-0000-00008EB30000}"/>
    <cellStyle name="Normal 3 7 2 2 2 3 3 2" xfId="45234" xr:uid="{00000000-0005-0000-0000-00008FB30000}"/>
    <cellStyle name="Normal 3 7 2 2 2 3 4" xfId="32318" xr:uid="{00000000-0005-0000-0000-000090B30000}"/>
    <cellStyle name="Normal 3 7 2 2 2 4" xfId="9673" xr:uid="{00000000-0005-0000-0000-000091B30000}"/>
    <cellStyle name="Normal 3 7 2 2 2 4 2" xfId="22590" xr:uid="{00000000-0005-0000-0000-000092B30000}"/>
    <cellStyle name="Normal 3 7 2 2 2 4 2 2" xfId="48464" xr:uid="{00000000-0005-0000-0000-000093B30000}"/>
    <cellStyle name="Normal 3 7 2 2 2 4 3" xfId="35548" xr:uid="{00000000-0005-0000-0000-000094B30000}"/>
    <cellStyle name="Normal 3 7 2 2 2 5" xfId="16132" xr:uid="{00000000-0005-0000-0000-000095B30000}"/>
    <cellStyle name="Normal 3 7 2 2 2 5 2" xfId="42006" xr:uid="{00000000-0005-0000-0000-000096B30000}"/>
    <cellStyle name="Normal 3 7 2 2 2 6" xfId="29058" xr:uid="{00000000-0005-0000-0000-000097B30000}"/>
    <cellStyle name="Normal 3 7 2 2 3" xfId="3995" xr:uid="{00000000-0005-0000-0000-000098B30000}"/>
    <cellStyle name="Normal 3 7 2 2 3 2" xfId="7249" xr:uid="{00000000-0005-0000-0000-000099B30000}"/>
    <cellStyle name="Normal 3 7 2 2 3 2 2" xfId="13708" xr:uid="{00000000-0005-0000-0000-00009AB30000}"/>
    <cellStyle name="Normal 3 7 2 2 3 2 2 2" xfId="26625" xr:uid="{00000000-0005-0000-0000-00009BB30000}"/>
    <cellStyle name="Normal 3 7 2 2 3 2 2 2 2" xfId="52499" xr:uid="{00000000-0005-0000-0000-00009CB30000}"/>
    <cellStyle name="Normal 3 7 2 2 3 2 2 3" xfId="39583" xr:uid="{00000000-0005-0000-0000-00009DB30000}"/>
    <cellStyle name="Normal 3 7 2 2 3 2 3" xfId="20167" xr:uid="{00000000-0005-0000-0000-00009EB30000}"/>
    <cellStyle name="Normal 3 7 2 2 3 2 3 2" xfId="46041" xr:uid="{00000000-0005-0000-0000-00009FB30000}"/>
    <cellStyle name="Normal 3 7 2 2 3 2 4" xfId="33125" xr:uid="{00000000-0005-0000-0000-0000A0B30000}"/>
    <cellStyle name="Normal 3 7 2 2 3 3" xfId="10480" xr:uid="{00000000-0005-0000-0000-0000A1B30000}"/>
    <cellStyle name="Normal 3 7 2 2 3 3 2" xfId="23397" xr:uid="{00000000-0005-0000-0000-0000A2B30000}"/>
    <cellStyle name="Normal 3 7 2 2 3 3 2 2" xfId="49271" xr:uid="{00000000-0005-0000-0000-0000A3B30000}"/>
    <cellStyle name="Normal 3 7 2 2 3 3 3" xfId="36355" xr:uid="{00000000-0005-0000-0000-0000A4B30000}"/>
    <cellStyle name="Normal 3 7 2 2 3 4" xfId="16939" xr:uid="{00000000-0005-0000-0000-0000A5B30000}"/>
    <cellStyle name="Normal 3 7 2 2 3 4 2" xfId="42813" xr:uid="{00000000-0005-0000-0000-0000A6B30000}"/>
    <cellStyle name="Normal 3 7 2 2 3 5" xfId="29865" xr:uid="{00000000-0005-0000-0000-0000A7B30000}"/>
    <cellStyle name="Normal 3 7 2 2 4" xfId="5635" xr:uid="{00000000-0005-0000-0000-0000A8B30000}"/>
    <cellStyle name="Normal 3 7 2 2 4 2" xfId="12094" xr:uid="{00000000-0005-0000-0000-0000A9B30000}"/>
    <cellStyle name="Normal 3 7 2 2 4 2 2" xfId="25011" xr:uid="{00000000-0005-0000-0000-0000AAB30000}"/>
    <cellStyle name="Normal 3 7 2 2 4 2 2 2" xfId="50885" xr:uid="{00000000-0005-0000-0000-0000ABB30000}"/>
    <cellStyle name="Normal 3 7 2 2 4 2 3" xfId="37969" xr:uid="{00000000-0005-0000-0000-0000ACB30000}"/>
    <cellStyle name="Normal 3 7 2 2 4 3" xfId="18553" xr:uid="{00000000-0005-0000-0000-0000ADB30000}"/>
    <cellStyle name="Normal 3 7 2 2 4 3 2" xfId="44427" xr:uid="{00000000-0005-0000-0000-0000AEB30000}"/>
    <cellStyle name="Normal 3 7 2 2 4 4" xfId="31511" xr:uid="{00000000-0005-0000-0000-0000AFB30000}"/>
    <cellStyle name="Normal 3 7 2 2 5" xfId="8866" xr:uid="{00000000-0005-0000-0000-0000B0B30000}"/>
    <cellStyle name="Normal 3 7 2 2 5 2" xfId="21783" xr:uid="{00000000-0005-0000-0000-0000B1B30000}"/>
    <cellStyle name="Normal 3 7 2 2 5 2 2" xfId="47657" xr:uid="{00000000-0005-0000-0000-0000B2B30000}"/>
    <cellStyle name="Normal 3 7 2 2 5 3" xfId="34741" xr:uid="{00000000-0005-0000-0000-0000B3B30000}"/>
    <cellStyle name="Normal 3 7 2 2 6" xfId="15325" xr:uid="{00000000-0005-0000-0000-0000B4B30000}"/>
    <cellStyle name="Normal 3 7 2 2 6 2" xfId="41199" xr:uid="{00000000-0005-0000-0000-0000B5B30000}"/>
    <cellStyle name="Normal 3 7 2 2 7" xfId="28251" xr:uid="{00000000-0005-0000-0000-0000B6B30000}"/>
    <cellStyle name="Normal 3 7 2 2 8" xfId="54113" xr:uid="{00000000-0005-0000-0000-0000B7B30000}"/>
    <cellStyle name="Normal 3 7 2 2 9" xfId="2355" xr:uid="{00000000-0005-0000-0000-0000B8B30000}"/>
    <cellStyle name="Normal 3 7 2 3" xfId="943" xr:uid="{00000000-0005-0000-0000-0000B9B30000}"/>
    <cellStyle name="Normal 3 7 2 3 2" xfId="4421" xr:uid="{00000000-0005-0000-0000-0000BAB30000}"/>
    <cellStyle name="Normal 3 7 2 3 2 2" xfId="7652" xr:uid="{00000000-0005-0000-0000-0000BBB30000}"/>
    <cellStyle name="Normal 3 7 2 3 2 2 2" xfId="14111" xr:uid="{00000000-0005-0000-0000-0000BCB30000}"/>
    <cellStyle name="Normal 3 7 2 3 2 2 2 2" xfId="27028" xr:uid="{00000000-0005-0000-0000-0000BDB30000}"/>
    <cellStyle name="Normal 3 7 2 3 2 2 2 2 2" xfId="52902" xr:uid="{00000000-0005-0000-0000-0000BEB30000}"/>
    <cellStyle name="Normal 3 7 2 3 2 2 2 3" xfId="39986" xr:uid="{00000000-0005-0000-0000-0000BFB30000}"/>
    <cellStyle name="Normal 3 7 2 3 2 2 3" xfId="20570" xr:uid="{00000000-0005-0000-0000-0000C0B30000}"/>
    <cellStyle name="Normal 3 7 2 3 2 2 3 2" xfId="46444" xr:uid="{00000000-0005-0000-0000-0000C1B30000}"/>
    <cellStyle name="Normal 3 7 2 3 2 2 4" xfId="33528" xr:uid="{00000000-0005-0000-0000-0000C2B30000}"/>
    <cellStyle name="Normal 3 7 2 3 2 3" xfId="10883" xr:uid="{00000000-0005-0000-0000-0000C3B30000}"/>
    <cellStyle name="Normal 3 7 2 3 2 3 2" xfId="23800" xr:uid="{00000000-0005-0000-0000-0000C4B30000}"/>
    <cellStyle name="Normal 3 7 2 3 2 3 2 2" xfId="49674" xr:uid="{00000000-0005-0000-0000-0000C5B30000}"/>
    <cellStyle name="Normal 3 7 2 3 2 3 3" xfId="36758" xr:uid="{00000000-0005-0000-0000-0000C6B30000}"/>
    <cellStyle name="Normal 3 7 2 3 2 4" xfId="17342" xr:uid="{00000000-0005-0000-0000-0000C7B30000}"/>
    <cellStyle name="Normal 3 7 2 3 2 4 2" xfId="43216" xr:uid="{00000000-0005-0000-0000-0000C8B30000}"/>
    <cellStyle name="Normal 3 7 2 3 2 5" xfId="30268" xr:uid="{00000000-0005-0000-0000-0000C9B30000}"/>
    <cellStyle name="Normal 3 7 2 3 3" xfId="6038" xr:uid="{00000000-0005-0000-0000-0000CAB30000}"/>
    <cellStyle name="Normal 3 7 2 3 3 2" xfId="12497" xr:uid="{00000000-0005-0000-0000-0000CBB30000}"/>
    <cellStyle name="Normal 3 7 2 3 3 2 2" xfId="25414" xr:uid="{00000000-0005-0000-0000-0000CCB30000}"/>
    <cellStyle name="Normal 3 7 2 3 3 2 2 2" xfId="51288" xr:uid="{00000000-0005-0000-0000-0000CDB30000}"/>
    <cellStyle name="Normal 3 7 2 3 3 2 3" xfId="38372" xr:uid="{00000000-0005-0000-0000-0000CEB30000}"/>
    <cellStyle name="Normal 3 7 2 3 3 3" xfId="18956" xr:uid="{00000000-0005-0000-0000-0000CFB30000}"/>
    <cellStyle name="Normal 3 7 2 3 3 3 2" xfId="44830" xr:uid="{00000000-0005-0000-0000-0000D0B30000}"/>
    <cellStyle name="Normal 3 7 2 3 3 4" xfId="31914" xr:uid="{00000000-0005-0000-0000-0000D1B30000}"/>
    <cellStyle name="Normal 3 7 2 3 4" xfId="9269" xr:uid="{00000000-0005-0000-0000-0000D2B30000}"/>
    <cellStyle name="Normal 3 7 2 3 4 2" xfId="22186" xr:uid="{00000000-0005-0000-0000-0000D3B30000}"/>
    <cellStyle name="Normal 3 7 2 3 4 2 2" xfId="48060" xr:uid="{00000000-0005-0000-0000-0000D4B30000}"/>
    <cellStyle name="Normal 3 7 2 3 4 3" xfId="35144" xr:uid="{00000000-0005-0000-0000-0000D5B30000}"/>
    <cellStyle name="Normal 3 7 2 3 5" xfId="15728" xr:uid="{00000000-0005-0000-0000-0000D6B30000}"/>
    <cellStyle name="Normal 3 7 2 3 5 2" xfId="41602" xr:uid="{00000000-0005-0000-0000-0000D7B30000}"/>
    <cellStyle name="Normal 3 7 2 3 6" xfId="28654" xr:uid="{00000000-0005-0000-0000-0000D8B30000}"/>
    <cellStyle name="Normal 3 7 2 3 7" xfId="2764" xr:uid="{00000000-0005-0000-0000-0000D9B30000}"/>
    <cellStyle name="Normal 3 7 2 4" xfId="3591" xr:uid="{00000000-0005-0000-0000-0000DAB30000}"/>
    <cellStyle name="Normal 3 7 2 4 2" xfId="6845" xr:uid="{00000000-0005-0000-0000-0000DBB30000}"/>
    <cellStyle name="Normal 3 7 2 4 2 2" xfId="13304" xr:uid="{00000000-0005-0000-0000-0000DCB30000}"/>
    <cellStyle name="Normal 3 7 2 4 2 2 2" xfId="26221" xr:uid="{00000000-0005-0000-0000-0000DDB30000}"/>
    <cellStyle name="Normal 3 7 2 4 2 2 2 2" xfId="52095" xr:uid="{00000000-0005-0000-0000-0000DEB30000}"/>
    <cellStyle name="Normal 3 7 2 4 2 2 3" xfId="39179" xr:uid="{00000000-0005-0000-0000-0000DFB30000}"/>
    <cellStyle name="Normal 3 7 2 4 2 3" xfId="19763" xr:uid="{00000000-0005-0000-0000-0000E0B30000}"/>
    <cellStyle name="Normal 3 7 2 4 2 3 2" xfId="45637" xr:uid="{00000000-0005-0000-0000-0000E1B30000}"/>
    <cellStyle name="Normal 3 7 2 4 2 4" xfId="32721" xr:uid="{00000000-0005-0000-0000-0000E2B30000}"/>
    <cellStyle name="Normal 3 7 2 4 3" xfId="10076" xr:uid="{00000000-0005-0000-0000-0000E3B30000}"/>
    <cellStyle name="Normal 3 7 2 4 3 2" xfId="22993" xr:uid="{00000000-0005-0000-0000-0000E4B30000}"/>
    <cellStyle name="Normal 3 7 2 4 3 2 2" xfId="48867" xr:uid="{00000000-0005-0000-0000-0000E5B30000}"/>
    <cellStyle name="Normal 3 7 2 4 3 3" xfId="35951" xr:uid="{00000000-0005-0000-0000-0000E6B30000}"/>
    <cellStyle name="Normal 3 7 2 4 4" xfId="16535" xr:uid="{00000000-0005-0000-0000-0000E7B30000}"/>
    <cellStyle name="Normal 3 7 2 4 4 2" xfId="42409" xr:uid="{00000000-0005-0000-0000-0000E8B30000}"/>
    <cellStyle name="Normal 3 7 2 4 5" xfId="29461" xr:uid="{00000000-0005-0000-0000-0000E9B30000}"/>
    <cellStyle name="Normal 3 7 2 5" xfId="5231" xr:uid="{00000000-0005-0000-0000-0000EAB30000}"/>
    <cellStyle name="Normal 3 7 2 5 2" xfId="11690" xr:uid="{00000000-0005-0000-0000-0000EBB30000}"/>
    <cellStyle name="Normal 3 7 2 5 2 2" xfId="24607" xr:uid="{00000000-0005-0000-0000-0000ECB30000}"/>
    <cellStyle name="Normal 3 7 2 5 2 2 2" xfId="50481" xr:uid="{00000000-0005-0000-0000-0000EDB30000}"/>
    <cellStyle name="Normal 3 7 2 5 2 3" xfId="37565" xr:uid="{00000000-0005-0000-0000-0000EEB30000}"/>
    <cellStyle name="Normal 3 7 2 5 3" xfId="18149" xr:uid="{00000000-0005-0000-0000-0000EFB30000}"/>
    <cellStyle name="Normal 3 7 2 5 3 2" xfId="44023" xr:uid="{00000000-0005-0000-0000-0000F0B30000}"/>
    <cellStyle name="Normal 3 7 2 5 4" xfId="31107" xr:uid="{00000000-0005-0000-0000-0000F1B30000}"/>
    <cellStyle name="Normal 3 7 2 6" xfId="8462" xr:uid="{00000000-0005-0000-0000-0000F2B30000}"/>
    <cellStyle name="Normal 3 7 2 6 2" xfId="21379" xr:uid="{00000000-0005-0000-0000-0000F3B30000}"/>
    <cellStyle name="Normal 3 7 2 6 2 2" xfId="47253" xr:uid="{00000000-0005-0000-0000-0000F4B30000}"/>
    <cellStyle name="Normal 3 7 2 6 3" xfId="34337" xr:uid="{00000000-0005-0000-0000-0000F5B30000}"/>
    <cellStyle name="Normal 3 7 2 7" xfId="14921" xr:uid="{00000000-0005-0000-0000-0000F6B30000}"/>
    <cellStyle name="Normal 3 7 2 7 2" xfId="40795" xr:uid="{00000000-0005-0000-0000-0000F7B30000}"/>
    <cellStyle name="Normal 3 7 2 8" xfId="27846" xr:uid="{00000000-0005-0000-0000-0000F8B30000}"/>
    <cellStyle name="Normal 3 7 2 9" xfId="53709" xr:uid="{00000000-0005-0000-0000-0000F9B30000}"/>
    <cellStyle name="Normal 3 7 3" xfId="945" xr:uid="{00000000-0005-0000-0000-0000FAB30000}"/>
    <cellStyle name="Normal 3 7 3 2" xfId="2973" xr:uid="{00000000-0005-0000-0000-0000FBB30000}"/>
    <cellStyle name="Normal 3 7 3 2 2" xfId="4630" xr:uid="{00000000-0005-0000-0000-0000FCB30000}"/>
    <cellStyle name="Normal 3 7 3 2 2 2" xfId="7861" xr:uid="{00000000-0005-0000-0000-0000FDB30000}"/>
    <cellStyle name="Normal 3 7 3 2 2 2 2" xfId="14320" xr:uid="{00000000-0005-0000-0000-0000FEB30000}"/>
    <cellStyle name="Normal 3 7 3 2 2 2 2 2" xfId="27237" xr:uid="{00000000-0005-0000-0000-0000FFB30000}"/>
    <cellStyle name="Normal 3 7 3 2 2 2 2 2 2" xfId="53111" xr:uid="{00000000-0005-0000-0000-000000B40000}"/>
    <cellStyle name="Normal 3 7 3 2 2 2 2 3" xfId="40195" xr:uid="{00000000-0005-0000-0000-000001B40000}"/>
    <cellStyle name="Normal 3 7 3 2 2 2 3" xfId="20779" xr:uid="{00000000-0005-0000-0000-000002B40000}"/>
    <cellStyle name="Normal 3 7 3 2 2 2 3 2" xfId="46653" xr:uid="{00000000-0005-0000-0000-000003B40000}"/>
    <cellStyle name="Normal 3 7 3 2 2 2 4" xfId="33737" xr:uid="{00000000-0005-0000-0000-000004B40000}"/>
    <cellStyle name="Normal 3 7 3 2 2 3" xfId="11092" xr:uid="{00000000-0005-0000-0000-000005B40000}"/>
    <cellStyle name="Normal 3 7 3 2 2 3 2" xfId="24009" xr:uid="{00000000-0005-0000-0000-000006B40000}"/>
    <cellStyle name="Normal 3 7 3 2 2 3 2 2" xfId="49883" xr:uid="{00000000-0005-0000-0000-000007B40000}"/>
    <cellStyle name="Normal 3 7 3 2 2 3 3" xfId="36967" xr:uid="{00000000-0005-0000-0000-000008B40000}"/>
    <cellStyle name="Normal 3 7 3 2 2 4" xfId="17551" xr:uid="{00000000-0005-0000-0000-000009B40000}"/>
    <cellStyle name="Normal 3 7 3 2 2 4 2" xfId="43425" xr:uid="{00000000-0005-0000-0000-00000AB40000}"/>
    <cellStyle name="Normal 3 7 3 2 2 5" xfId="30477" xr:uid="{00000000-0005-0000-0000-00000BB40000}"/>
    <cellStyle name="Normal 3 7 3 2 3" xfId="6247" xr:uid="{00000000-0005-0000-0000-00000CB40000}"/>
    <cellStyle name="Normal 3 7 3 2 3 2" xfId="12706" xr:uid="{00000000-0005-0000-0000-00000DB40000}"/>
    <cellStyle name="Normal 3 7 3 2 3 2 2" xfId="25623" xr:uid="{00000000-0005-0000-0000-00000EB40000}"/>
    <cellStyle name="Normal 3 7 3 2 3 2 2 2" xfId="51497" xr:uid="{00000000-0005-0000-0000-00000FB40000}"/>
    <cellStyle name="Normal 3 7 3 2 3 2 3" xfId="38581" xr:uid="{00000000-0005-0000-0000-000010B40000}"/>
    <cellStyle name="Normal 3 7 3 2 3 3" xfId="19165" xr:uid="{00000000-0005-0000-0000-000011B40000}"/>
    <cellStyle name="Normal 3 7 3 2 3 3 2" xfId="45039" xr:uid="{00000000-0005-0000-0000-000012B40000}"/>
    <cellStyle name="Normal 3 7 3 2 3 4" xfId="32123" xr:uid="{00000000-0005-0000-0000-000013B40000}"/>
    <cellStyle name="Normal 3 7 3 2 4" xfId="9478" xr:uid="{00000000-0005-0000-0000-000014B40000}"/>
    <cellStyle name="Normal 3 7 3 2 4 2" xfId="22395" xr:uid="{00000000-0005-0000-0000-000015B40000}"/>
    <cellStyle name="Normal 3 7 3 2 4 2 2" xfId="48269" xr:uid="{00000000-0005-0000-0000-000016B40000}"/>
    <cellStyle name="Normal 3 7 3 2 4 3" xfId="35353" xr:uid="{00000000-0005-0000-0000-000017B40000}"/>
    <cellStyle name="Normal 3 7 3 2 5" xfId="15937" xr:uid="{00000000-0005-0000-0000-000018B40000}"/>
    <cellStyle name="Normal 3 7 3 2 5 2" xfId="41811" xr:uid="{00000000-0005-0000-0000-000019B40000}"/>
    <cellStyle name="Normal 3 7 3 2 6" xfId="28863" xr:uid="{00000000-0005-0000-0000-00001AB40000}"/>
    <cellStyle name="Normal 3 7 3 3" xfId="3800" xr:uid="{00000000-0005-0000-0000-00001BB40000}"/>
    <cellStyle name="Normal 3 7 3 3 2" xfId="7054" xr:uid="{00000000-0005-0000-0000-00001CB40000}"/>
    <cellStyle name="Normal 3 7 3 3 2 2" xfId="13513" xr:uid="{00000000-0005-0000-0000-00001DB40000}"/>
    <cellStyle name="Normal 3 7 3 3 2 2 2" xfId="26430" xr:uid="{00000000-0005-0000-0000-00001EB40000}"/>
    <cellStyle name="Normal 3 7 3 3 2 2 2 2" xfId="52304" xr:uid="{00000000-0005-0000-0000-00001FB40000}"/>
    <cellStyle name="Normal 3 7 3 3 2 2 3" xfId="39388" xr:uid="{00000000-0005-0000-0000-000020B40000}"/>
    <cellStyle name="Normal 3 7 3 3 2 3" xfId="19972" xr:uid="{00000000-0005-0000-0000-000021B40000}"/>
    <cellStyle name="Normal 3 7 3 3 2 3 2" xfId="45846" xr:uid="{00000000-0005-0000-0000-000022B40000}"/>
    <cellStyle name="Normal 3 7 3 3 2 4" xfId="32930" xr:uid="{00000000-0005-0000-0000-000023B40000}"/>
    <cellStyle name="Normal 3 7 3 3 3" xfId="10285" xr:uid="{00000000-0005-0000-0000-000024B40000}"/>
    <cellStyle name="Normal 3 7 3 3 3 2" xfId="23202" xr:uid="{00000000-0005-0000-0000-000025B40000}"/>
    <cellStyle name="Normal 3 7 3 3 3 2 2" xfId="49076" xr:uid="{00000000-0005-0000-0000-000026B40000}"/>
    <cellStyle name="Normal 3 7 3 3 3 3" xfId="36160" xr:uid="{00000000-0005-0000-0000-000027B40000}"/>
    <cellStyle name="Normal 3 7 3 3 4" xfId="16744" xr:uid="{00000000-0005-0000-0000-000028B40000}"/>
    <cellStyle name="Normal 3 7 3 3 4 2" xfId="42618" xr:uid="{00000000-0005-0000-0000-000029B40000}"/>
    <cellStyle name="Normal 3 7 3 3 5" xfId="29670" xr:uid="{00000000-0005-0000-0000-00002AB40000}"/>
    <cellStyle name="Normal 3 7 3 4" xfId="5440" xr:uid="{00000000-0005-0000-0000-00002BB40000}"/>
    <cellStyle name="Normal 3 7 3 4 2" xfId="11899" xr:uid="{00000000-0005-0000-0000-00002CB40000}"/>
    <cellStyle name="Normal 3 7 3 4 2 2" xfId="24816" xr:uid="{00000000-0005-0000-0000-00002DB40000}"/>
    <cellStyle name="Normal 3 7 3 4 2 2 2" xfId="50690" xr:uid="{00000000-0005-0000-0000-00002EB40000}"/>
    <cellStyle name="Normal 3 7 3 4 2 3" xfId="37774" xr:uid="{00000000-0005-0000-0000-00002FB40000}"/>
    <cellStyle name="Normal 3 7 3 4 3" xfId="18358" xr:uid="{00000000-0005-0000-0000-000030B40000}"/>
    <cellStyle name="Normal 3 7 3 4 3 2" xfId="44232" xr:uid="{00000000-0005-0000-0000-000031B40000}"/>
    <cellStyle name="Normal 3 7 3 4 4" xfId="31316" xr:uid="{00000000-0005-0000-0000-000032B40000}"/>
    <cellStyle name="Normal 3 7 3 5" xfId="8671" xr:uid="{00000000-0005-0000-0000-000033B40000}"/>
    <cellStyle name="Normal 3 7 3 5 2" xfId="21588" xr:uid="{00000000-0005-0000-0000-000034B40000}"/>
    <cellStyle name="Normal 3 7 3 5 2 2" xfId="47462" xr:uid="{00000000-0005-0000-0000-000035B40000}"/>
    <cellStyle name="Normal 3 7 3 5 3" xfId="34546" xr:uid="{00000000-0005-0000-0000-000036B40000}"/>
    <cellStyle name="Normal 3 7 3 6" xfId="15130" xr:uid="{00000000-0005-0000-0000-000037B40000}"/>
    <cellStyle name="Normal 3 7 3 6 2" xfId="41004" xr:uid="{00000000-0005-0000-0000-000038B40000}"/>
    <cellStyle name="Normal 3 7 3 7" xfId="28056" xr:uid="{00000000-0005-0000-0000-000039B40000}"/>
    <cellStyle name="Normal 3 7 3 8" xfId="53918" xr:uid="{00000000-0005-0000-0000-00003AB40000}"/>
    <cellStyle name="Normal 3 7 3 9" xfId="2159" xr:uid="{00000000-0005-0000-0000-00003BB40000}"/>
    <cellStyle name="Normal 3 7 4" xfId="942" xr:uid="{00000000-0005-0000-0000-00003CB40000}"/>
    <cellStyle name="Normal 3 7 4 2" xfId="4227" xr:uid="{00000000-0005-0000-0000-00003DB40000}"/>
    <cellStyle name="Normal 3 7 4 2 2" xfId="7458" xr:uid="{00000000-0005-0000-0000-00003EB40000}"/>
    <cellStyle name="Normal 3 7 4 2 2 2" xfId="13917" xr:uid="{00000000-0005-0000-0000-00003FB40000}"/>
    <cellStyle name="Normal 3 7 4 2 2 2 2" xfId="26834" xr:uid="{00000000-0005-0000-0000-000040B40000}"/>
    <cellStyle name="Normal 3 7 4 2 2 2 2 2" xfId="52708" xr:uid="{00000000-0005-0000-0000-000041B40000}"/>
    <cellStyle name="Normal 3 7 4 2 2 2 3" xfId="39792" xr:uid="{00000000-0005-0000-0000-000042B40000}"/>
    <cellStyle name="Normal 3 7 4 2 2 3" xfId="20376" xr:uid="{00000000-0005-0000-0000-000043B40000}"/>
    <cellStyle name="Normal 3 7 4 2 2 3 2" xfId="46250" xr:uid="{00000000-0005-0000-0000-000044B40000}"/>
    <cellStyle name="Normal 3 7 4 2 2 4" xfId="33334" xr:uid="{00000000-0005-0000-0000-000045B40000}"/>
    <cellStyle name="Normal 3 7 4 2 3" xfId="10689" xr:uid="{00000000-0005-0000-0000-000046B40000}"/>
    <cellStyle name="Normal 3 7 4 2 3 2" xfId="23606" xr:uid="{00000000-0005-0000-0000-000047B40000}"/>
    <cellStyle name="Normal 3 7 4 2 3 2 2" xfId="49480" xr:uid="{00000000-0005-0000-0000-000048B40000}"/>
    <cellStyle name="Normal 3 7 4 2 3 3" xfId="36564" xr:uid="{00000000-0005-0000-0000-000049B40000}"/>
    <cellStyle name="Normal 3 7 4 2 4" xfId="17148" xr:uid="{00000000-0005-0000-0000-00004AB40000}"/>
    <cellStyle name="Normal 3 7 4 2 4 2" xfId="43022" xr:uid="{00000000-0005-0000-0000-00004BB40000}"/>
    <cellStyle name="Normal 3 7 4 2 5" xfId="30074" xr:uid="{00000000-0005-0000-0000-00004CB40000}"/>
    <cellStyle name="Normal 3 7 4 3" xfId="5844" xr:uid="{00000000-0005-0000-0000-00004DB40000}"/>
    <cellStyle name="Normal 3 7 4 3 2" xfId="12303" xr:uid="{00000000-0005-0000-0000-00004EB40000}"/>
    <cellStyle name="Normal 3 7 4 3 2 2" xfId="25220" xr:uid="{00000000-0005-0000-0000-00004FB40000}"/>
    <cellStyle name="Normal 3 7 4 3 2 2 2" xfId="51094" xr:uid="{00000000-0005-0000-0000-000050B40000}"/>
    <cellStyle name="Normal 3 7 4 3 2 3" xfId="38178" xr:uid="{00000000-0005-0000-0000-000051B40000}"/>
    <cellStyle name="Normal 3 7 4 3 3" xfId="18762" xr:uid="{00000000-0005-0000-0000-000052B40000}"/>
    <cellStyle name="Normal 3 7 4 3 3 2" xfId="44636" xr:uid="{00000000-0005-0000-0000-000053B40000}"/>
    <cellStyle name="Normal 3 7 4 3 4" xfId="31720" xr:uid="{00000000-0005-0000-0000-000054B40000}"/>
    <cellStyle name="Normal 3 7 4 4" xfId="9075" xr:uid="{00000000-0005-0000-0000-000055B40000}"/>
    <cellStyle name="Normal 3 7 4 4 2" xfId="21992" xr:uid="{00000000-0005-0000-0000-000056B40000}"/>
    <cellStyle name="Normal 3 7 4 4 2 2" xfId="47866" xr:uid="{00000000-0005-0000-0000-000057B40000}"/>
    <cellStyle name="Normal 3 7 4 4 3" xfId="34950" xr:uid="{00000000-0005-0000-0000-000058B40000}"/>
    <cellStyle name="Normal 3 7 4 5" xfId="15534" xr:uid="{00000000-0005-0000-0000-000059B40000}"/>
    <cellStyle name="Normal 3 7 4 5 2" xfId="41408" xr:uid="{00000000-0005-0000-0000-00005AB40000}"/>
    <cellStyle name="Normal 3 7 4 6" xfId="28460" xr:uid="{00000000-0005-0000-0000-00005BB40000}"/>
    <cellStyle name="Normal 3 7 4 7" xfId="2570" xr:uid="{00000000-0005-0000-0000-00005CB40000}"/>
    <cellStyle name="Normal 3 7 5" xfId="3395" xr:uid="{00000000-0005-0000-0000-00005DB40000}"/>
    <cellStyle name="Normal 3 7 5 2" xfId="6651" xr:uid="{00000000-0005-0000-0000-00005EB40000}"/>
    <cellStyle name="Normal 3 7 5 2 2" xfId="13110" xr:uid="{00000000-0005-0000-0000-00005FB40000}"/>
    <cellStyle name="Normal 3 7 5 2 2 2" xfId="26027" xr:uid="{00000000-0005-0000-0000-000060B40000}"/>
    <cellStyle name="Normal 3 7 5 2 2 2 2" xfId="51901" xr:uid="{00000000-0005-0000-0000-000061B40000}"/>
    <cellStyle name="Normal 3 7 5 2 2 3" xfId="38985" xr:uid="{00000000-0005-0000-0000-000062B40000}"/>
    <cellStyle name="Normal 3 7 5 2 3" xfId="19569" xr:uid="{00000000-0005-0000-0000-000063B40000}"/>
    <cellStyle name="Normal 3 7 5 2 3 2" xfId="45443" xr:uid="{00000000-0005-0000-0000-000064B40000}"/>
    <cellStyle name="Normal 3 7 5 2 4" xfId="32527" xr:uid="{00000000-0005-0000-0000-000065B40000}"/>
    <cellStyle name="Normal 3 7 5 3" xfId="9882" xr:uid="{00000000-0005-0000-0000-000066B40000}"/>
    <cellStyle name="Normal 3 7 5 3 2" xfId="22799" xr:uid="{00000000-0005-0000-0000-000067B40000}"/>
    <cellStyle name="Normal 3 7 5 3 2 2" xfId="48673" xr:uid="{00000000-0005-0000-0000-000068B40000}"/>
    <cellStyle name="Normal 3 7 5 3 3" xfId="35757" xr:uid="{00000000-0005-0000-0000-000069B40000}"/>
    <cellStyle name="Normal 3 7 5 4" xfId="16341" xr:uid="{00000000-0005-0000-0000-00006AB40000}"/>
    <cellStyle name="Normal 3 7 5 4 2" xfId="42215" xr:uid="{00000000-0005-0000-0000-00006BB40000}"/>
    <cellStyle name="Normal 3 7 5 5" xfId="29267" xr:uid="{00000000-0005-0000-0000-00006CB40000}"/>
    <cellStyle name="Normal 3 7 6" xfId="5037" xr:uid="{00000000-0005-0000-0000-00006DB40000}"/>
    <cellStyle name="Normal 3 7 6 2" xfId="11496" xr:uid="{00000000-0005-0000-0000-00006EB40000}"/>
    <cellStyle name="Normal 3 7 6 2 2" xfId="24413" xr:uid="{00000000-0005-0000-0000-00006FB40000}"/>
    <cellStyle name="Normal 3 7 6 2 2 2" xfId="50287" xr:uid="{00000000-0005-0000-0000-000070B40000}"/>
    <cellStyle name="Normal 3 7 6 2 3" xfId="37371" xr:uid="{00000000-0005-0000-0000-000071B40000}"/>
    <cellStyle name="Normal 3 7 6 3" xfId="17955" xr:uid="{00000000-0005-0000-0000-000072B40000}"/>
    <cellStyle name="Normal 3 7 6 3 2" xfId="43829" xr:uid="{00000000-0005-0000-0000-000073B40000}"/>
    <cellStyle name="Normal 3 7 6 4" xfId="30913" xr:uid="{00000000-0005-0000-0000-000074B40000}"/>
    <cellStyle name="Normal 3 7 7" xfId="8267" xr:uid="{00000000-0005-0000-0000-000075B40000}"/>
    <cellStyle name="Normal 3 7 7 2" xfId="21184" xr:uid="{00000000-0005-0000-0000-000076B40000}"/>
    <cellStyle name="Normal 3 7 7 2 2" xfId="47058" xr:uid="{00000000-0005-0000-0000-000077B40000}"/>
    <cellStyle name="Normal 3 7 7 3" xfId="34142" xr:uid="{00000000-0005-0000-0000-000078B40000}"/>
    <cellStyle name="Normal 3 7 8" xfId="14726" xr:uid="{00000000-0005-0000-0000-000079B40000}"/>
    <cellStyle name="Normal 3 7 8 2" xfId="40600" xr:uid="{00000000-0005-0000-0000-00007AB40000}"/>
    <cellStyle name="Normal 3 7 9" xfId="27650" xr:uid="{00000000-0005-0000-0000-00007BB40000}"/>
    <cellStyle name="Normal 3 8" xfId="387" xr:uid="{00000000-0005-0000-0000-00007CB40000}"/>
    <cellStyle name="Normal 3 8 2" xfId="947" xr:uid="{00000000-0005-0000-0000-00007DB40000}"/>
    <cellStyle name="Normal 3 8 3" xfId="946" xr:uid="{00000000-0005-0000-0000-00007EB40000}"/>
    <cellStyle name="Normal 3 8 4" xfId="1714" xr:uid="{00000000-0005-0000-0000-00007FB40000}"/>
    <cellStyle name="Normal 3 9" xfId="492" xr:uid="{00000000-0005-0000-0000-000080B40000}"/>
    <cellStyle name="Normal 3 9 10" xfId="53489" xr:uid="{00000000-0005-0000-0000-000081B40000}"/>
    <cellStyle name="Normal 3 9 11" xfId="1542" xr:uid="{00000000-0005-0000-0000-000082B40000}"/>
    <cellStyle name="Normal 3 9 2" xfId="949" xr:uid="{00000000-0005-0000-0000-000083B40000}"/>
    <cellStyle name="Normal 3 9 2 10" xfId="1898" xr:uid="{00000000-0005-0000-0000-000084B40000}"/>
    <cellStyle name="Normal 3 9 2 2" xfId="2329" xr:uid="{00000000-0005-0000-0000-000085B40000}"/>
    <cellStyle name="Normal 3 9 2 2 2" xfId="3142" xr:uid="{00000000-0005-0000-0000-000086B40000}"/>
    <cellStyle name="Normal 3 9 2 2 2 2" xfId="4799" xr:uid="{00000000-0005-0000-0000-000087B40000}"/>
    <cellStyle name="Normal 3 9 2 2 2 2 2" xfId="8030" xr:uid="{00000000-0005-0000-0000-000088B40000}"/>
    <cellStyle name="Normal 3 9 2 2 2 2 2 2" xfId="14489" xr:uid="{00000000-0005-0000-0000-000089B40000}"/>
    <cellStyle name="Normal 3 9 2 2 2 2 2 2 2" xfId="27406" xr:uid="{00000000-0005-0000-0000-00008AB40000}"/>
    <cellStyle name="Normal 3 9 2 2 2 2 2 2 2 2" xfId="53280" xr:uid="{00000000-0005-0000-0000-00008BB40000}"/>
    <cellStyle name="Normal 3 9 2 2 2 2 2 2 3" xfId="40364" xr:uid="{00000000-0005-0000-0000-00008CB40000}"/>
    <cellStyle name="Normal 3 9 2 2 2 2 2 3" xfId="20948" xr:uid="{00000000-0005-0000-0000-00008DB40000}"/>
    <cellStyle name="Normal 3 9 2 2 2 2 2 3 2" xfId="46822" xr:uid="{00000000-0005-0000-0000-00008EB40000}"/>
    <cellStyle name="Normal 3 9 2 2 2 2 2 4" xfId="33906" xr:uid="{00000000-0005-0000-0000-00008FB40000}"/>
    <cellStyle name="Normal 3 9 2 2 2 2 3" xfId="11261" xr:uid="{00000000-0005-0000-0000-000090B40000}"/>
    <cellStyle name="Normal 3 9 2 2 2 2 3 2" xfId="24178" xr:uid="{00000000-0005-0000-0000-000091B40000}"/>
    <cellStyle name="Normal 3 9 2 2 2 2 3 2 2" xfId="50052" xr:uid="{00000000-0005-0000-0000-000092B40000}"/>
    <cellStyle name="Normal 3 9 2 2 2 2 3 3" xfId="37136" xr:uid="{00000000-0005-0000-0000-000093B40000}"/>
    <cellStyle name="Normal 3 9 2 2 2 2 4" xfId="17720" xr:uid="{00000000-0005-0000-0000-000094B40000}"/>
    <cellStyle name="Normal 3 9 2 2 2 2 4 2" xfId="43594" xr:uid="{00000000-0005-0000-0000-000095B40000}"/>
    <cellStyle name="Normal 3 9 2 2 2 2 5" xfId="30646" xr:uid="{00000000-0005-0000-0000-000096B40000}"/>
    <cellStyle name="Normal 3 9 2 2 2 3" xfId="6416" xr:uid="{00000000-0005-0000-0000-000097B40000}"/>
    <cellStyle name="Normal 3 9 2 2 2 3 2" xfId="12875" xr:uid="{00000000-0005-0000-0000-000098B40000}"/>
    <cellStyle name="Normal 3 9 2 2 2 3 2 2" xfId="25792" xr:uid="{00000000-0005-0000-0000-000099B40000}"/>
    <cellStyle name="Normal 3 9 2 2 2 3 2 2 2" xfId="51666" xr:uid="{00000000-0005-0000-0000-00009AB40000}"/>
    <cellStyle name="Normal 3 9 2 2 2 3 2 3" xfId="38750" xr:uid="{00000000-0005-0000-0000-00009BB40000}"/>
    <cellStyle name="Normal 3 9 2 2 2 3 3" xfId="19334" xr:uid="{00000000-0005-0000-0000-00009CB40000}"/>
    <cellStyle name="Normal 3 9 2 2 2 3 3 2" xfId="45208" xr:uid="{00000000-0005-0000-0000-00009DB40000}"/>
    <cellStyle name="Normal 3 9 2 2 2 3 4" xfId="32292" xr:uid="{00000000-0005-0000-0000-00009EB40000}"/>
    <cellStyle name="Normal 3 9 2 2 2 4" xfId="9647" xr:uid="{00000000-0005-0000-0000-00009FB40000}"/>
    <cellStyle name="Normal 3 9 2 2 2 4 2" xfId="22564" xr:uid="{00000000-0005-0000-0000-0000A0B40000}"/>
    <cellStyle name="Normal 3 9 2 2 2 4 2 2" xfId="48438" xr:uid="{00000000-0005-0000-0000-0000A1B40000}"/>
    <cellStyle name="Normal 3 9 2 2 2 4 3" xfId="35522" xr:uid="{00000000-0005-0000-0000-0000A2B40000}"/>
    <cellStyle name="Normal 3 9 2 2 2 5" xfId="16106" xr:uid="{00000000-0005-0000-0000-0000A3B40000}"/>
    <cellStyle name="Normal 3 9 2 2 2 5 2" xfId="41980" xr:uid="{00000000-0005-0000-0000-0000A4B40000}"/>
    <cellStyle name="Normal 3 9 2 2 2 6" xfId="29032" xr:uid="{00000000-0005-0000-0000-0000A5B40000}"/>
    <cellStyle name="Normal 3 9 2 2 3" xfId="3969" xr:uid="{00000000-0005-0000-0000-0000A6B40000}"/>
    <cellStyle name="Normal 3 9 2 2 3 2" xfId="7223" xr:uid="{00000000-0005-0000-0000-0000A7B40000}"/>
    <cellStyle name="Normal 3 9 2 2 3 2 2" xfId="13682" xr:uid="{00000000-0005-0000-0000-0000A8B40000}"/>
    <cellStyle name="Normal 3 9 2 2 3 2 2 2" xfId="26599" xr:uid="{00000000-0005-0000-0000-0000A9B40000}"/>
    <cellStyle name="Normal 3 9 2 2 3 2 2 2 2" xfId="52473" xr:uid="{00000000-0005-0000-0000-0000AAB40000}"/>
    <cellStyle name="Normal 3 9 2 2 3 2 2 3" xfId="39557" xr:uid="{00000000-0005-0000-0000-0000ABB40000}"/>
    <cellStyle name="Normal 3 9 2 2 3 2 3" xfId="20141" xr:uid="{00000000-0005-0000-0000-0000ACB40000}"/>
    <cellStyle name="Normal 3 9 2 2 3 2 3 2" xfId="46015" xr:uid="{00000000-0005-0000-0000-0000ADB40000}"/>
    <cellStyle name="Normal 3 9 2 2 3 2 4" xfId="33099" xr:uid="{00000000-0005-0000-0000-0000AEB40000}"/>
    <cellStyle name="Normal 3 9 2 2 3 3" xfId="10454" xr:uid="{00000000-0005-0000-0000-0000AFB40000}"/>
    <cellStyle name="Normal 3 9 2 2 3 3 2" xfId="23371" xr:uid="{00000000-0005-0000-0000-0000B0B40000}"/>
    <cellStyle name="Normal 3 9 2 2 3 3 2 2" xfId="49245" xr:uid="{00000000-0005-0000-0000-0000B1B40000}"/>
    <cellStyle name="Normal 3 9 2 2 3 3 3" xfId="36329" xr:uid="{00000000-0005-0000-0000-0000B2B40000}"/>
    <cellStyle name="Normal 3 9 2 2 3 4" xfId="16913" xr:uid="{00000000-0005-0000-0000-0000B3B40000}"/>
    <cellStyle name="Normal 3 9 2 2 3 4 2" xfId="42787" xr:uid="{00000000-0005-0000-0000-0000B4B40000}"/>
    <cellStyle name="Normal 3 9 2 2 3 5" xfId="29839" xr:uid="{00000000-0005-0000-0000-0000B5B40000}"/>
    <cellStyle name="Normal 3 9 2 2 4" xfId="5609" xr:uid="{00000000-0005-0000-0000-0000B6B40000}"/>
    <cellStyle name="Normal 3 9 2 2 4 2" xfId="12068" xr:uid="{00000000-0005-0000-0000-0000B7B40000}"/>
    <cellStyle name="Normal 3 9 2 2 4 2 2" xfId="24985" xr:uid="{00000000-0005-0000-0000-0000B8B40000}"/>
    <cellStyle name="Normal 3 9 2 2 4 2 2 2" xfId="50859" xr:uid="{00000000-0005-0000-0000-0000B9B40000}"/>
    <cellStyle name="Normal 3 9 2 2 4 2 3" xfId="37943" xr:uid="{00000000-0005-0000-0000-0000BAB40000}"/>
    <cellStyle name="Normal 3 9 2 2 4 3" xfId="18527" xr:uid="{00000000-0005-0000-0000-0000BBB40000}"/>
    <cellStyle name="Normal 3 9 2 2 4 3 2" xfId="44401" xr:uid="{00000000-0005-0000-0000-0000BCB40000}"/>
    <cellStyle name="Normal 3 9 2 2 4 4" xfId="31485" xr:uid="{00000000-0005-0000-0000-0000BDB40000}"/>
    <cellStyle name="Normal 3 9 2 2 5" xfId="8840" xr:uid="{00000000-0005-0000-0000-0000BEB40000}"/>
    <cellStyle name="Normal 3 9 2 2 5 2" xfId="21757" xr:uid="{00000000-0005-0000-0000-0000BFB40000}"/>
    <cellStyle name="Normal 3 9 2 2 5 2 2" xfId="47631" xr:uid="{00000000-0005-0000-0000-0000C0B40000}"/>
    <cellStyle name="Normal 3 9 2 2 5 3" xfId="34715" xr:uid="{00000000-0005-0000-0000-0000C1B40000}"/>
    <cellStyle name="Normal 3 9 2 2 6" xfId="15299" xr:uid="{00000000-0005-0000-0000-0000C2B40000}"/>
    <cellStyle name="Normal 3 9 2 2 6 2" xfId="41173" xr:uid="{00000000-0005-0000-0000-0000C3B40000}"/>
    <cellStyle name="Normal 3 9 2 2 7" xfId="28225" xr:uid="{00000000-0005-0000-0000-0000C4B40000}"/>
    <cellStyle name="Normal 3 9 2 2 8" xfId="54087" xr:uid="{00000000-0005-0000-0000-0000C5B40000}"/>
    <cellStyle name="Normal 3 9 2 3" xfId="2738" xr:uid="{00000000-0005-0000-0000-0000C6B40000}"/>
    <cellStyle name="Normal 3 9 2 3 2" xfId="4395" xr:uid="{00000000-0005-0000-0000-0000C7B40000}"/>
    <cellStyle name="Normal 3 9 2 3 2 2" xfId="7626" xr:uid="{00000000-0005-0000-0000-0000C8B40000}"/>
    <cellStyle name="Normal 3 9 2 3 2 2 2" xfId="14085" xr:uid="{00000000-0005-0000-0000-0000C9B40000}"/>
    <cellStyle name="Normal 3 9 2 3 2 2 2 2" xfId="27002" xr:uid="{00000000-0005-0000-0000-0000CAB40000}"/>
    <cellStyle name="Normal 3 9 2 3 2 2 2 2 2" xfId="52876" xr:uid="{00000000-0005-0000-0000-0000CBB40000}"/>
    <cellStyle name="Normal 3 9 2 3 2 2 2 3" xfId="39960" xr:uid="{00000000-0005-0000-0000-0000CCB40000}"/>
    <cellStyle name="Normal 3 9 2 3 2 2 3" xfId="20544" xr:uid="{00000000-0005-0000-0000-0000CDB40000}"/>
    <cellStyle name="Normal 3 9 2 3 2 2 3 2" xfId="46418" xr:uid="{00000000-0005-0000-0000-0000CEB40000}"/>
    <cellStyle name="Normal 3 9 2 3 2 2 4" xfId="33502" xr:uid="{00000000-0005-0000-0000-0000CFB40000}"/>
    <cellStyle name="Normal 3 9 2 3 2 3" xfId="10857" xr:uid="{00000000-0005-0000-0000-0000D0B40000}"/>
    <cellStyle name="Normal 3 9 2 3 2 3 2" xfId="23774" xr:uid="{00000000-0005-0000-0000-0000D1B40000}"/>
    <cellStyle name="Normal 3 9 2 3 2 3 2 2" xfId="49648" xr:uid="{00000000-0005-0000-0000-0000D2B40000}"/>
    <cellStyle name="Normal 3 9 2 3 2 3 3" xfId="36732" xr:uid="{00000000-0005-0000-0000-0000D3B40000}"/>
    <cellStyle name="Normal 3 9 2 3 2 4" xfId="17316" xr:uid="{00000000-0005-0000-0000-0000D4B40000}"/>
    <cellStyle name="Normal 3 9 2 3 2 4 2" xfId="43190" xr:uid="{00000000-0005-0000-0000-0000D5B40000}"/>
    <cellStyle name="Normal 3 9 2 3 2 5" xfId="30242" xr:uid="{00000000-0005-0000-0000-0000D6B40000}"/>
    <cellStyle name="Normal 3 9 2 3 3" xfId="6012" xr:uid="{00000000-0005-0000-0000-0000D7B40000}"/>
    <cellStyle name="Normal 3 9 2 3 3 2" xfId="12471" xr:uid="{00000000-0005-0000-0000-0000D8B40000}"/>
    <cellStyle name="Normal 3 9 2 3 3 2 2" xfId="25388" xr:uid="{00000000-0005-0000-0000-0000D9B40000}"/>
    <cellStyle name="Normal 3 9 2 3 3 2 2 2" xfId="51262" xr:uid="{00000000-0005-0000-0000-0000DAB40000}"/>
    <cellStyle name="Normal 3 9 2 3 3 2 3" xfId="38346" xr:uid="{00000000-0005-0000-0000-0000DBB40000}"/>
    <cellStyle name="Normal 3 9 2 3 3 3" xfId="18930" xr:uid="{00000000-0005-0000-0000-0000DCB40000}"/>
    <cellStyle name="Normal 3 9 2 3 3 3 2" xfId="44804" xr:uid="{00000000-0005-0000-0000-0000DDB40000}"/>
    <cellStyle name="Normal 3 9 2 3 3 4" xfId="31888" xr:uid="{00000000-0005-0000-0000-0000DEB40000}"/>
    <cellStyle name="Normal 3 9 2 3 4" xfId="9243" xr:uid="{00000000-0005-0000-0000-0000DFB40000}"/>
    <cellStyle name="Normal 3 9 2 3 4 2" xfId="22160" xr:uid="{00000000-0005-0000-0000-0000E0B40000}"/>
    <cellStyle name="Normal 3 9 2 3 4 2 2" xfId="48034" xr:uid="{00000000-0005-0000-0000-0000E1B40000}"/>
    <cellStyle name="Normal 3 9 2 3 4 3" xfId="35118" xr:uid="{00000000-0005-0000-0000-0000E2B40000}"/>
    <cellStyle name="Normal 3 9 2 3 5" xfId="15702" xr:uid="{00000000-0005-0000-0000-0000E3B40000}"/>
    <cellStyle name="Normal 3 9 2 3 5 2" xfId="41576" xr:uid="{00000000-0005-0000-0000-0000E4B40000}"/>
    <cellStyle name="Normal 3 9 2 3 6" xfId="28628" xr:uid="{00000000-0005-0000-0000-0000E5B40000}"/>
    <cellStyle name="Normal 3 9 2 4" xfId="3565" xr:uid="{00000000-0005-0000-0000-0000E6B40000}"/>
    <cellStyle name="Normal 3 9 2 4 2" xfId="6819" xr:uid="{00000000-0005-0000-0000-0000E7B40000}"/>
    <cellStyle name="Normal 3 9 2 4 2 2" xfId="13278" xr:uid="{00000000-0005-0000-0000-0000E8B40000}"/>
    <cellStyle name="Normal 3 9 2 4 2 2 2" xfId="26195" xr:uid="{00000000-0005-0000-0000-0000E9B40000}"/>
    <cellStyle name="Normal 3 9 2 4 2 2 2 2" xfId="52069" xr:uid="{00000000-0005-0000-0000-0000EAB40000}"/>
    <cellStyle name="Normal 3 9 2 4 2 2 3" xfId="39153" xr:uid="{00000000-0005-0000-0000-0000EBB40000}"/>
    <cellStyle name="Normal 3 9 2 4 2 3" xfId="19737" xr:uid="{00000000-0005-0000-0000-0000ECB40000}"/>
    <cellStyle name="Normal 3 9 2 4 2 3 2" xfId="45611" xr:uid="{00000000-0005-0000-0000-0000EDB40000}"/>
    <cellStyle name="Normal 3 9 2 4 2 4" xfId="32695" xr:uid="{00000000-0005-0000-0000-0000EEB40000}"/>
    <cellStyle name="Normal 3 9 2 4 3" xfId="10050" xr:uid="{00000000-0005-0000-0000-0000EFB40000}"/>
    <cellStyle name="Normal 3 9 2 4 3 2" xfId="22967" xr:uid="{00000000-0005-0000-0000-0000F0B40000}"/>
    <cellStyle name="Normal 3 9 2 4 3 2 2" xfId="48841" xr:uid="{00000000-0005-0000-0000-0000F1B40000}"/>
    <cellStyle name="Normal 3 9 2 4 3 3" xfId="35925" xr:uid="{00000000-0005-0000-0000-0000F2B40000}"/>
    <cellStyle name="Normal 3 9 2 4 4" xfId="16509" xr:uid="{00000000-0005-0000-0000-0000F3B40000}"/>
    <cellStyle name="Normal 3 9 2 4 4 2" xfId="42383" xr:uid="{00000000-0005-0000-0000-0000F4B40000}"/>
    <cellStyle name="Normal 3 9 2 4 5" xfId="29435" xr:uid="{00000000-0005-0000-0000-0000F5B40000}"/>
    <cellStyle name="Normal 3 9 2 5" xfId="5205" xr:uid="{00000000-0005-0000-0000-0000F6B40000}"/>
    <cellStyle name="Normal 3 9 2 5 2" xfId="11664" xr:uid="{00000000-0005-0000-0000-0000F7B40000}"/>
    <cellStyle name="Normal 3 9 2 5 2 2" xfId="24581" xr:uid="{00000000-0005-0000-0000-0000F8B40000}"/>
    <cellStyle name="Normal 3 9 2 5 2 2 2" xfId="50455" xr:uid="{00000000-0005-0000-0000-0000F9B40000}"/>
    <cellStyle name="Normal 3 9 2 5 2 3" xfId="37539" xr:uid="{00000000-0005-0000-0000-0000FAB40000}"/>
    <cellStyle name="Normal 3 9 2 5 3" xfId="18123" xr:uid="{00000000-0005-0000-0000-0000FBB40000}"/>
    <cellStyle name="Normal 3 9 2 5 3 2" xfId="43997" xr:uid="{00000000-0005-0000-0000-0000FCB40000}"/>
    <cellStyle name="Normal 3 9 2 5 4" xfId="31081" xr:uid="{00000000-0005-0000-0000-0000FDB40000}"/>
    <cellStyle name="Normal 3 9 2 6" xfId="8436" xr:uid="{00000000-0005-0000-0000-0000FEB40000}"/>
    <cellStyle name="Normal 3 9 2 6 2" xfId="21353" xr:uid="{00000000-0005-0000-0000-0000FFB40000}"/>
    <cellStyle name="Normal 3 9 2 6 2 2" xfId="47227" xr:uid="{00000000-0005-0000-0000-000000B50000}"/>
    <cellStyle name="Normal 3 9 2 6 3" xfId="34311" xr:uid="{00000000-0005-0000-0000-000001B50000}"/>
    <cellStyle name="Normal 3 9 2 7" xfId="14895" xr:uid="{00000000-0005-0000-0000-000002B50000}"/>
    <cellStyle name="Normal 3 9 2 7 2" xfId="40769" xr:uid="{00000000-0005-0000-0000-000003B50000}"/>
    <cellStyle name="Normal 3 9 2 8" xfId="27820" xr:uid="{00000000-0005-0000-0000-000004B50000}"/>
    <cellStyle name="Normal 3 9 2 9" xfId="53683" xr:uid="{00000000-0005-0000-0000-000005B50000}"/>
    <cellStyle name="Normal 3 9 3" xfId="948" xr:uid="{00000000-0005-0000-0000-000006B50000}"/>
    <cellStyle name="Normal 3 9 3 2" xfId="2947" xr:uid="{00000000-0005-0000-0000-000007B50000}"/>
    <cellStyle name="Normal 3 9 3 2 2" xfId="4604" xr:uid="{00000000-0005-0000-0000-000008B50000}"/>
    <cellStyle name="Normal 3 9 3 2 2 2" xfId="7835" xr:uid="{00000000-0005-0000-0000-000009B50000}"/>
    <cellStyle name="Normal 3 9 3 2 2 2 2" xfId="14294" xr:uid="{00000000-0005-0000-0000-00000AB50000}"/>
    <cellStyle name="Normal 3 9 3 2 2 2 2 2" xfId="27211" xr:uid="{00000000-0005-0000-0000-00000BB50000}"/>
    <cellStyle name="Normal 3 9 3 2 2 2 2 2 2" xfId="53085" xr:uid="{00000000-0005-0000-0000-00000CB50000}"/>
    <cellStyle name="Normal 3 9 3 2 2 2 2 3" xfId="40169" xr:uid="{00000000-0005-0000-0000-00000DB50000}"/>
    <cellStyle name="Normal 3 9 3 2 2 2 3" xfId="20753" xr:uid="{00000000-0005-0000-0000-00000EB50000}"/>
    <cellStyle name="Normal 3 9 3 2 2 2 3 2" xfId="46627" xr:uid="{00000000-0005-0000-0000-00000FB50000}"/>
    <cellStyle name="Normal 3 9 3 2 2 2 4" xfId="33711" xr:uid="{00000000-0005-0000-0000-000010B50000}"/>
    <cellStyle name="Normal 3 9 3 2 2 3" xfId="11066" xr:uid="{00000000-0005-0000-0000-000011B50000}"/>
    <cellStyle name="Normal 3 9 3 2 2 3 2" xfId="23983" xr:uid="{00000000-0005-0000-0000-000012B50000}"/>
    <cellStyle name="Normal 3 9 3 2 2 3 2 2" xfId="49857" xr:uid="{00000000-0005-0000-0000-000013B50000}"/>
    <cellStyle name="Normal 3 9 3 2 2 3 3" xfId="36941" xr:uid="{00000000-0005-0000-0000-000014B50000}"/>
    <cellStyle name="Normal 3 9 3 2 2 4" xfId="17525" xr:uid="{00000000-0005-0000-0000-000015B50000}"/>
    <cellStyle name="Normal 3 9 3 2 2 4 2" xfId="43399" xr:uid="{00000000-0005-0000-0000-000016B50000}"/>
    <cellStyle name="Normal 3 9 3 2 2 5" xfId="30451" xr:uid="{00000000-0005-0000-0000-000017B50000}"/>
    <cellStyle name="Normal 3 9 3 2 3" xfId="6221" xr:uid="{00000000-0005-0000-0000-000018B50000}"/>
    <cellStyle name="Normal 3 9 3 2 3 2" xfId="12680" xr:uid="{00000000-0005-0000-0000-000019B50000}"/>
    <cellStyle name="Normal 3 9 3 2 3 2 2" xfId="25597" xr:uid="{00000000-0005-0000-0000-00001AB50000}"/>
    <cellStyle name="Normal 3 9 3 2 3 2 2 2" xfId="51471" xr:uid="{00000000-0005-0000-0000-00001BB50000}"/>
    <cellStyle name="Normal 3 9 3 2 3 2 3" xfId="38555" xr:uid="{00000000-0005-0000-0000-00001CB50000}"/>
    <cellStyle name="Normal 3 9 3 2 3 3" xfId="19139" xr:uid="{00000000-0005-0000-0000-00001DB50000}"/>
    <cellStyle name="Normal 3 9 3 2 3 3 2" xfId="45013" xr:uid="{00000000-0005-0000-0000-00001EB50000}"/>
    <cellStyle name="Normal 3 9 3 2 3 4" xfId="32097" xr:uid="{00000000-0005-0000-0000-00001FB50000}"/>
    <cellStyle name="Normal 3 9 3 2 4" xfId="9452" xr:uid="{00000000-0005-0000-0000-000020B50000}"/>
    <cellStyle name="Normal 3 9 3 2 4 2" xfId="22369" xr:uid="{00000000-0005-0000-0000-000021B50000}"/>
    <cellStyle name="Normal 3 9 3 2 4 2 2" xfId="48243" xr:uid="{00000000-0005-0000-0000-000022B50000}"/>
    <cellStyle name="Normal 3 9 3 2 4 3" xfId="35327" xr:uid="{00000000-0005-0000-0000-000023B50000}"/>
    <cellStyle name="Normal 3 9 3 2 5" xfId="15911" xr:uid="{00000000-0005-0000-0000-000024B50000}"/>
    <cellStyle name="Normal 3 9 3 2 5 2" xfId="41785" xr:uid="{00000000-0005-0000-0000-000025B50000}"/>
    <cellStyle name="Normal 3 9 3 2 6" xfId="28837" xr:uid="{00000000-0005-0000-0000-000026B50000}"/>
    <cellStyle name="Normal 3 9 3 3" xfId="3774" xr:uid="{00000000-0005-0000-0000-000027B50000}"/>
    <cellStyle name="Normal 3 9 3 3 2" xfId="7028" xr:uid="{00000000-0005-0000-0000-000028B50000}"/>
    <cellStyle name="Normal 3 9 3 3 2 2" xfId="13487" xr:uid="{00000000-0005-0000-0000-000029B50000}"/>
    <cellStyle name="Normal 3 9 3 3 2 2 2" xfId="26404" xr:uid="{00000000-0005-0000-0000-00002AB50000}"/>
    <cellStyle name="Normal 3 9 3 3 2 2 2 2" xfId="52278" xr:uid="{00000000-0005-0000-0000-00002BB50000}"/>
    <cellStyle name="Normal 3 9 3 3 2 2 3" xfId="39362" xr:uid="{00000000-0005-0000-0000-00002CB50000}"/>
    <cellStyle name="Normal 3 9 3 3 2 3" xfId="19946" xr:uid="{00000000-0005-0000-0000-00002DB50000}"/>
    <cellStyle name="Normal 3 9 3 3 2 3 2" xfId="45820" xr:uid="{00000000-0005-0000-0000-00002EB50000}"/>
    <cellStyle name="Normal 3 9 3 3 2 4" xfId="32904" xr:uid="{00000000-0005-0000-0000-00002FB50000}"/>
    <cellStyle name="Normal 3 9 3 3 3" xfId="10259" xr:uid="{00000000-0005-0000-0000-000030B50000}"/>
    <cellStyle name="Normal 3 9 3 3 3 2" xfId="23176" xr:uid="{00000000-0005-0000-0000-000031B50000}"/>
    <cellStyle name="Normal 3 9 3 3 3 2 2" xfId="49050" xr:uid="{00000000-0005-0000-0000-000032B50000}"/>
    <cellStyle name="Normal 3 9 3 3 3 3" xfId="36134" xr:uid="{00000000-0005-0000-0000-000033B50000}"/>
    <cellStyle name="Normal 3 9 3 3 4" xfId="16718" xr:uid="{00000000-0005-0000-0000-000034B50000}"/>
    <cellStyle name="Normal 3 9 3 3 4 2" xfId="42592" xr:uid="{00000000-0005-0000-0000-000035B50000}"/>
    <cellStyle name="Normal 3 9 3 3 5" xfId="29644" xr:uid="{00000000-0005-0000-0000-000036B50000}"/>
    <cellStyle name="Normal 3 9 3 4" xfId="5414" xr:uid="{00000000-0005-0000-0000-000037B50000}"/>
    <cellStyle name="Normal 3 9 3 4 2" xfId="11873" xr:uid="{00000000-0005-0000-0000-000038B50000}"/>
    <cellStyle name="Normal 3 9 3 4 2 2" xfId="24790" xr:uid="{00000000-0005-0000-0000-000039B50000}"/>
    <cellStyle name="Normal 3 9 3 4 2 2 2" xfId="50664" xr:uid="{00000000-0005-0000-0000-00003AB50000}"/>
    <cellStyle name="Normal 3 9 3 4 2 3" xfId="37748" xr:uid="{00000000-0005-0000-0000-00003BB50000}"/>
    <cellStyle name="Normal 3 9 3 4 3" xfId="18332" xr:uid="{00000000-0005-0000-0000-00003CB50000}"/>
    <cellStyle name="Normal 3 9 3 4 3 2" xfId="44206" xr:uid="{00000000-0005-0000-0000-00003DB50000}"/>
    <cellStyle name="Normal 3 9 3 4 4" xfId="31290" xr:uid="{00000000-0005-0000-0000-00003EB50000}"/>
    <cellStyle name="Normal 3 9 3 5" xfId="8645" xr:uid="{00000000-0005-0000-0000-00003FB50000}"/>
    <cellStyle name="Normal 3 9 3 5 2" xfId="21562" xr:uid="{00000000-0005-0000-0000-000040B50000}"/>
    <cellStyle name="Normal 3 9 3 5 2 2" xfId="47436" xr:uid="{00000000-0005-0000-0000-000041B50000}"/>
    <cellStyle name="Normal 3 9 3 5 3" xfId="34520" xr:uid="{00000000-0005-0000-0000-000042B50000}"/>
    <cellStyle name="Normal 3 9 3 6" xfId="15104" xr:uid="{00000000-0005-0000-0000-000043B50000}"/>
    <cellStyle name="Normal 3 9 3 6 2" xfId="40978" xr:uid="{00000000-0005-0000-0000-000044B50000}"/>
    <cellStyle name="Normal 3 9 3 7" xfId="28030" xr:uid="{00000000-0005-0000-0000-000045B50000}"/>
    <cellStyle name="Normal 3 9 3 8" xfId="53892" xr:uid="{00000000-0005-0000-0000-000046B50000}"/>
    <cellStyle name="Normal 3 9 3 9" xfId="2133" xr:uid="{00000000-0005-0000-0000-000047B50000}"/>
    <cellStyle name="Normal 3 9 4" xfId="2544" xr:uid="{00000000-0005-0000-0000-000048B50000}"/>
    <cellStyle name="Normal 3 9 4 2" xfId="4201" xr:uid="{00000000-0005-0000-0000-000049B50000}"/>
    <cellStyle name="Normal 3 9 4 2 2" xfId="7432" xr:uid="{00000000-0005-0000-0000-00004AB50000}"/>
    <cellStyle name="Normal 3 9 4 2 2 2" xfId="13891" xr:uid="{00000000-0005-0000-0000-00004BB50000}"/>
    <cellStyle name="Normal 3 9 4 2 2 2 2" xfId="26808" xr:uid="{00000000-0005-0000-0000-00004CB50000}"/>
    <cellStyle name="Normal 3 9 4 2 2 2 2 2" xfId="52682" xr:uid="{00000000-0005-0000-0000-00004DB50000}"/>
    <cellStyle name="Normal 3 9 4 2 2 2 3" xfId="39766" xr:uid="{00000000-0005-0000-0000-00004EB50000}"/>
    <cellStyle name="Normal 3 9 4 2 2 3" xfId="20350" xr:uid="{00000000-0005-0000-0000-00004FB50000}"/>
    <cellStyle name="Normal 3 9 4 2 2 3 2" xfId="46224" xr:uid="{00000000-0005-0000-0000-000050B50000}"/>
    <cellStyle name="Normal 3 9 4 2 2 4" xfId="33308" xr:uid="{00000000-0005-0000-0000-000051B50000}"/>
    <cellStyle name="Normal 3 9 4 2 3" xfId="10663" xr:uid="{00000000-0005-0000-0000-000052B50000}"/>
    <cellStyle name="Normal 3 9 4 2 3 2" xfId="23580" xr:uid="{00000000-0005-0000-0000-000053B50000}"/>
    <cellStyle name="Normal 3 9 4 2 3 2 2" xfId="49454" xr:uid="{00000000-0005-0000-0000-000054B50000}"/>
    <cellStyle name="Normal 3 9 4 2 3 3" xfId="36538" xr:uid="{00000000-0005-0000-0000-000055B50000}"/>
    <cellStyle name="Normal 3 9 4 2 4" xfId="17122" xr:uid="{00000000-0005-0000-0000-000056B50000}"/>
    <cellStyle name="Normal 3 9 4 2 4 2" xfId="42996" xr:uid="{00000000-0005-0000-0000-000057B50000}"/>
    <cellStyle name="Normal 3 9 4 2 5" xfId="30048" xr:uid="{00000000-0005-0000-0000-000058B50000}"/>
    <cellStyle name="Normal 3 9 4 3" xfId="5818" xr:uid="{00000000-0005-0000-0000-000059B50000}"/>
    <cellStyle name="Normal 3 9 4 3 2" xfId="12277" xr:uid="{00000000-0005-0000-0000-00005AB50000}"/>
    <cellStyle name="Normal 3 9 4 3 2 2" xfId="25194" xr:uid="{00000000-0005-0000-0000-00005BB50000}"/>
    <cellStyle name="Normal 3 9 4 3 2 2 2" xfId="51068" xr:uid="{00000000-0005-0000-0000-00005CB50000}"/>
    <cellStyle name="Normal 3 9 4 3 2 3" xfId="38152" xr:uid="{00000000-0005-0000-0000-00005DB50000}"/>
    <cellStyle name="Normal 3 9 4 3 3" xfId="18736" xr:uid="{00000000-0005-0000-0000-00005EB50000}"/>
    <cellStyle name="Normal 3 9 4 3 3 2" xfId="44610" xr:uid="{00000000-0005-0000-0000-00005FB50000}"/>
    <cellStyle name="Normal 3 9 4 3 4" xfId="31694" xr:uid="{00000000-0005-0000-0000-000060B50000}"/>
    <cellStyle name="Normal 3 9 4 4" xfId="9049" xr:uid="{00000000-0005-0000-0000-000061B50000}"/>
    <cellStyle name="Normal 3 9 4 4 2" xfId="21966" xr:uid="{00000000-0005-0000-0000-000062B50000}"/>
    <cellStyle name="Normal 3 9 4 4 2 2" xfId="47840" xr:uid="{00000000-0005-0000-0000-000063B50000}"/>
    <cellStyle name="Normal 3 9 4 4 3" xfId="34924" xr:uid="{00000000-0005-0000-0000-000064B50000}"/>
    <cellStyle name="Normal 3 9 4 5" xfId="15508" xr:uid="{00000000-0005-0000-0000-000065B50000}"/>
    <cellStyle name="Normal 3 9 4 5 2" xfId="41382" xr:uid="{00000000-0005-0000-0000-000066B50000}"/>
    <cellStyle name="Normal 3 9 4 6" xfId="28434" xr:uid="{00000000-0005-0000-0000-000067B50000}"/>
    <cellStyle name="Normal 3 9 5" xfId="3367" xr:uid="{00000000-0005-0000-0000-000068B50000}"/>
    <cellStyle name="Normal 3 9 5 2" xfId="6625" xr:uid="{00000000-0005-0000-0000-000069B50000}"/>
    <cellStyle name="Normal 3 9 5 2 2" xfId="13084" xr:uid="{00000000-0005-0000-0000-00006AB50000}"/>
    <cellStyle name="Normal 3 9 5 2 2 2" xfId="26001" xr:uid="{00000000-0005-0000-0000-00006BB50000}"/>
    <cellStyle name="Normal 3 9 5 2 2 2 2" xfId="51875" xr:uid="{00000000-0005-0000-0000-00006CB50000}"/>
    <cellStyle name="Normal 3 9 5 2 2 3" xfId="38959" xr:uid="{00000000-0005-0000-0000-00006DB50000}"/>
    <cellStyle name="Normal 3 9 5 2 3" xfId="19543" xr:uid="{00000000-0005-0000-0000-00006EB50000}"/>
    <cellStyle name="Normal 3 9 5 2 3 2" xfId="45417" xr:uid="{00000000-0005-0000-0000-00006FB50000}"/>
    <cellStyle name="Normal 3 9 5 2 4" xfId="32501" xr:uid="{00000000-0005-0000-0000-000070B50000}"/>
    <cellStyle name="Normal 3 9 5 3" xfId="9856" xr:uid="{00000000-0005-0000-0000-000071B50000}"/>
    <cellStyle name="Normal 3 9 5 3 2" xfId="22773" xr:uid="{00000000-0005-0000-0000-000072B50000}"/>
    <cellStyle name="Normal 3 9 5 3 2 2" xfId="48647" xr:uid="{00000000-0005-0000-0000-000073B50000}"/>
    <cellStyle name="Normal 3 9 5 3 3" xfId="35731" xr:uid="{00000000-0005-0000-0000-000074B50000}"/>
    <cellStyle name="Normal 3 9 5 4" xfId="16315" xr:uid="{00000000-0005-0000-0000-000075B50000}"/>
    <cellStyle name="Normal 3 9 5 4 2" xfId="42189" xr:uid="{00000000-0005-0000-0000-000076B50000}"/>
    <cellStyle name="Normal 3 9 5 5" xfId="29241" xr:uid="{00000000-0005-0000-0000-000077B50000}"/>
    <cellStyle name="Normal 3 9 6" xfId="5011" xr:uid="{00000000-0005-0000-0000-000078B50000}"/>
    <cellStyle name="Normal 3 9 6 2" xfId="11470" xr:uid="{00000000-0005-0000-0000-000079B50000}"/>
    <cellStyle name="Normal 3 9 6 2 2" xfId="24387" xr:uid="{00000000-0005-0000-0000-00007AB50000}"/>
    <cellStyle name="Normal 3 9 6 2 2 2" xfId="50261" xr:uid="{00000000-0005-0000-0000-00007BB50000}"/>
    <cellStyle name="Normal 3 9 6 2 3" xfId="37345" xr:uid="{00000000-0005-0000-0000-00007CB50000}"/>
    <cellStyle name="Normal 3 9 6 3" xfId="17929" xr:uid="{00000000-0005-0000-0000-00007DB50000}"/>
    <cellStyle name="Normal 3 9 6 3 2" xfId="43803" xr:uid="{00000000-0005-0000-0000-00007EB50000}"/>
    <cellStyle name="Normal 3 9 6 4" xfId="30887" xr:uid="{00000000-0005-0000-0000-00007FB50000}"/>
    <cellStyle name="Normal 3 9 7" xfId="8241" xr:uid="{00000000-0005-0000-0000-000080B50000}"/>
    <cellStyle name="Normal 3 9 7 2" xfId="21158" xr:uid="{00000000-0005-0000-0000-000081B50000}"/>
    <cellStyle name="Normal 3 9 7 2 2" xfId="47032" xr:uid="{00000000-0005-0000-0000-000082B50000}"/>
    <cellStyle name="Normal 3 9 7 3" xfId="34116" xr:uid="{00000000-0005-0000-0000-000083B50000}"/>
    <cellStyle name="Normal 3 9 8" xfId="14700" xr:uid="{00000000-0005-0000-0000-000084B50000}"/>
    <cellStyle name="Normal 3 9 8 2" xfId="40574" xr:uid="{00000000-0005-0000-0000-000085B50000}"/>
    <cellStyle name="Normal 3 9 9" xfId="27624" xr:uid="{00000000-0005-0000-0000-000086B50000}"/>
    <cellStyle name="Normal 30" xfId="14620" xr:uid="{00000000-0005-0000-0000-000087B50000}"/>
    <cellStyle name="Normal 30 2" xfId="40494" xr:uid="{00000000-0005-0000-0000-000088B50000}"/>
    <cellStyle name="Normal 31" xfId="27537" xr:uid="{00000000-0005-0000-0000-000089B50000}"/>
    <cellStyle name="Normal 32" xfId="30778" xr:uid="{00000000-0005-0000-0000-00008AB50000}"/>
    <cellStyle name="Normal 33" xfId="53410" xr:uid="{00000000-0005-0000-0000-00008BB50000}"/>
    <cellStyle name="Normal 34" xfId="950" xr:uid="{00000000-0005-0000-0000-00008CB50000}"/>
    <cellStyle name="Normal 35" xfId="73" xr:uid="{00000000-0005-0000-0000-00008DB50000}"/>
    <cellStyle name="Normal 4" xfId="4" xr:uid="{00000000-0005-0000-0000-00008EB50000}"/>
    <cellStyle name="Normal 4 2" xfId="70" xr:uid="{00000000-0005-0000-0000-00008FB50000}"/>
    <cellStyle name="Normal 4 2 10" xfId="1326" xr:uid="{00000000-0005-0000-0000-000090B50000}"/>
    <cellStyle name="Normal 4 2 11" xfId="153" xr:uid="{00000000-0005-0000-0000-000091B50000}"/>
    <cellStyle name="Normal 4 2 2" xfId="265" xr:uid="{00000000-0005-0000-0000-000092B50000}"/>
    <cellStyle name="Normal 4 2 2 2" xfId="364" xr:uid="{00000000-0005-0000-0000-000093B50000}"/>
    <cellStyle name="Normal 4 2 2 2 2" xfId="475" xr:uid="{00000000-0005-0000-0000-000094B50000}"/>
    <cellStyle name="Normal 4 2 2 2 2 2" xfId="955" xr:uid="{00000000-0005-0000-0000-000095B50000}"/>
    <cellStyle name="Normal 4 2 2 2 2 3" xfId="954" xr:uid="{00000000-0005-0000-0000-000096B50000}"/>
    <cellStyle name="Normal 4 2 2 2 2 4" xfId="1485" xr:uid="{00000000-0005-0000-0000-000097B50000}"/>
    <cellStyle name="Normal 4 2 2 2 3" xfId="956" xr:uid="{00000000-0005-0000-0000-000098B50000}"/>
    <cellStyle name="Normal 4 2 2 2 3 10" xfId="53550" xr:uid="{00000000-0005-0000-0000-000099B50000}"/>
    <cellStyle name="Normal 4 2 2 2 3 11" xfId="1634" xr:uid="{00000000-0005-0000-0000-00009AB50000}"/>
    <cellStyle name="Normal 4 2 2 2 3 2" xfId="1959" xr:uid="{00000000-0005-0000-0000-00009BB50000}"/>
    <cellStyle name="Normal 4 2 2 2 3 2 2" xfId="2390" xr:uid="{00000000-0005-0000-0000-00009CB50000}"/>
    <cellStyle name="Normal 4 2 2 2 3 2 2 2" xfId="3203" xr:uid="{00000000-0005-0000-0000-00009DB50000}"/>
    <cellStyle name="Normal 4 2 2 2 3 2 2 2 2" xfId="4860" xr:uid="{00000000-0005-0000-0000-00009EB50000}"/>
    <cellStyle name="Normal 4 2 2 2 3 2 2 2 2 2" xfId="8091" xr:uid="{00000000-0005-0000-0000-00009FB50000}"/>
    <cellStyle name="Normal 4 2 2 2 3 2 2 2 2 2 2" xfId="14550" xr:uid="{00000000-0005-0000-0000-0000A0B50000}"/>
    <cellStyle name="Normal 4 2 2 2 3 2 2 2 2 2 2 2" xfId="27467" xr:uid="{00000000-0005-0000-0000-0000A1B50000}"/>
    <cellStyle name="Normal 4 2 2 2 3 2 2 2 2 2 2 2 2" xfId="53341" xr:uid="{00000000-0005-0000-0000-0000A2B50000}"/>
    <cellStyle name="Normal 4 2 2 2 3 2 2 2 2 2 2 3" xfId="40425" xr:uid="{00000000-0005-0000-0000-0000A3B50000}"/>
    <cellStyle name="Normal 4 2 2 2 3 2 2 2 2 2 3" xfId="21009" xr:uid="{00000000-0005-0000-0000-0000A4B50000}"/>
    <cellStyle name="Normal 4 2 2 2 3 2 2 2 2 2 3 2" xfId="46883" xr:uid="{00000000-0005-0000-0000-0000A5B50000}"/>
    <cellStyle name="Normal 4 2 2 2 3 2 2 2 2 2 4" xfId="33967" xr:uid="{00000000-0005-0000-0000-0000A6B50000}"/>
    <cellStyle name="Normal 4 2 2 2 3 2 2 2 2 3" xfId="11322" xr:uid="{00000000-0005-0000-0000-0000A7B50000}"/>
    <cellStyle name="Normal 4 2 2 2 3 2 2 2 2 3 2" xfId="24239" xr:uid="{00000000-0005-0000-0000-0000A8B50000}"/>
    <cellStyle name="Normal 4 2 2 2 3 2 2 2 2 3 2 2" xfId="50113" xr:uid="{00000000-0005-0000-0000-0000A9B50000}"/>
    <cellStyle name="Normal 4 2 2 2 3 2 2 2 2 3 3" xfId="37197" xr:uid="{00000000-0005-0000-0000-0000AAB50000}"/>
    <cellStyle name="Normal 4 2 2 2 3 2 2 2 2 4" xfId="17781" xr:uid="{00000000-0005-0000-0000-0000ABB50000}"/>
    <cellStyle name="Normal 4 2 2 2 3 2 2 2 2 4 2" xfId="43655" xr:uid="{00000000-0005-0000-0000-0000ACB50000}"/>
    <cellStyle name="Normal 4 2 2 2 3 2 2 2 2 5" xfId="30707" xr:uid="{00000000-0005-0000-0000-0000ADB50000}"/>
    <cellStyle name="Normal 4 2 2 2 3 2 2 2 3" xfId="6477" xr:uid="{00000000-0005-0000-0000-0000AEB50000}"/>
    <cellStyle name="Normal 4 2 2 2 3 2 2 2 3 2" xfId="12936" xr:uid="{00000000-0005-0000-0000-0000AFB50000}"/>
    <cellStyle name="Normal 4 2 2 2 3 2 2 2 3 2 2" xfId="25853" xr:uid="{00000000-0005-0000-0000-0000B0B50000}"/>
    <cellStyle name="Normal 4 2 2 2 3 2 2 2 3 2 2 2" xfId="51727" xr:uid="{00000000-0005-0000-0000-0000B1B50000}"/>
    <cellStyle name="Normal 4 2 2 2 3 2 2 2 3 2 3" xfId="38811" xr:uid="{00000000-0005-0000-0000-0000B2B50000}"/>
    <cellStyle name="Normal 4 2 2 2 3 2 2 2 3 3" xfId="19395" xr:uid="{00000000-0005-0000-0000-0000B3B50000}"/>
    <cellStyle name="Normal 4 2 2 2 3 2 2 2 3 3 2" xfId="45269" xr:uid="{00000000-0005-0000-0000-0000B4B50000}"/>
    <cellStyle name="Normal 4 2 2 2 3 2 2 2 3 4" xfId="32353" xr:uid="{00000000-0005-0000-0000-0000B5B50000}"/>
    <cellStyle name="Normal 4 2 2 2 3 2 2 2 4" xfId="9708" xr:uid="{00000000-0005-0000-0000-0000B6B50000}"/>
    <cellStyle name="Normal 4 2 2 2 3 2 2 2 4 2" xfId="22625" xr:uid="{00000000-0005-0000-0000-0000B7B50000}"/>
    <cellStyle name="Normal 4 2 2 2 3 2 2 2 4 2 2" xfId="48499" xr:uid="{00000000-0005-0000-0000-0000B8B50000}"/>
    <cellStyle name="Normal 4 2 2 2 3 2 2 2 4 3" xfId="35583" xr:uid="{00000000-0005-0000-0000-0000B9B50000}"/>
    <cellStyle name="Normal 4 2 2 2 3 2 2 2 5" xfId="16167" xr:uid="{00000000-0005-0000-0000-0000BAB50000}"/>
    <cellStyle name="Normal 4 2 2 2 3 2 2 2 5 2" xfId="42041" xr:uid="{00000000-0005-0000-0000-0000BBB50000}"/>
    <cellStyle name="Normal 4 2 2 2 3 2 2 2 6" xfId="29093" xr:uid="{00000000-0005-0000-0000-0000BCB50000}"/>
    <cellStyle name="Normal 4 2 2 2 3 2 2 3" xfId="4030" xr:uid="{00000000-0005-0000-0000-0000BDB50000}"/>
    <cellStyle name="Normal 4 2 2 2 3 2 2 3 2" xfId="7284" xr:uid="{00000000-0005-0000-0000-0000BEB50000}"/>
    <cellStyle name="Normal 4 2 2 2 3 2 2 3 2 2" xfId="13743" xr:uid="{00000000-0005-0000-0000-0000BFB50000}"/>
    <cellStyle name="Normal 4 2 2 2 3 2 2 3 2 2 2" xfId="26660" xr:uid="{00000000-0005-0000-0000-0000C0B50000}"/>
    <cellStyle name="Normal 4 2 2 2 3 2 2 3 2 2 2 2" xfId="52534" xr:uid="{00000000-0005-0000-0000-0000C1B50000}"/>
    <cellStyle name="Normal 4 2 2 2 3 2 2 3 2 2 3" xfId="39618" xr:uid="{00000000-0005-0000-0000-0000C2B50000}"/>
    <cellStyle name="Normal 4 2 2 2 3 2 2 3 2 3" xfId="20202" xr:uid="{00000000-0005-0000-0000-0000C3B50000}"/>
    <cellStyle name="Normal 4 2 2 2 3 2 2 3 2 3 2" xfId="46076" xr:uid="{00000000-0005-0000-0000-0000C4B50000}"/>
    <cellStyle name="Normal 4 2 2 2 3 2 2 3 2 4" xfId="33160" xr:uid="{00000000-0005-0000-0000-0000C5B50000}"/>
    <cellStyle name="Normal 4 2 2 2 3 2 2 3 3" xfId="10515" xr:uid="{00000000-0005-0000-0000-0000C6B50000}"/>
    <cellStyle name="Normal 4 2 2 2 3 2 2 3 3 2" xfId="23432" xr:uid="{00000000-0005-0000-0000-0000C7B50000}"/>
    <cellStyle name="Normal 4 2 2 2 3 2 2 3 3 2 2" xfId="49306" xr:uid="{00000000-0005-0000-0000-0000C8B50000}"/>
    <cellStyle name="Normal 4 2 2 2 3 2 2 3 3 3" xfId="36390" xr:uid="{00000000-0005-0000-0000-0000C9B50000}"/>
    <cellStyle name="Normal 4 2 2 2 3 2 2 3 4" xfId="16974" xr:uid="{00000000-0005-0000-0000-0000CAB50000}"/>
    <cellStyle name="Normal 4 2 2 2 3 2 2 3 4 2" xfId="42848" xr:uid="{00000000-0005-0000-0000-0000CBB50000}"/>
    <cellStyle name="Normal 4 2 2 2 3 2 2 3 5" xfId="29900" xr:uid="{00000000-0005-0000-0000-0000CCB50000}"/>
    <cellStyle name="Normal 4 2 2 2 3 2 2 4" xfId="5670" xr:uid="{00000000-0005-0000-0000-0000CDB50000}"/>
    <cellStyle name="Normal 4 2 2 2 3 2 2 4 2" xfId="12129" xr:uid="{00000000-0005-0000-0000-0000CEB50000}"/>
    <cellStyle name="Normal 4 2 2 2 3 2 2 4 2 2" xfId="25046" xr:uid="{00000000-0005-0000-0000-0000CFB50000}"/>
    <cellStyle name="Normal 4 2 2 2 3 2 2 4 2 2 2" xfId="50920" xr:uid="{00000000-0005-0000-0000-0000D0B50000}"/>
    <cellStyle name="Normal 4 2 2 2 3 2 2 4 2 3" xfId="38004" xr:uid="{00000000-0005-0000-0000-0000D1B50000}"/>
    <cellStyle name="Normal 4 2 2 2 3 2 2 4 3" xfId="18588" xr:uid="{00000000-0005-0000-0000-0000D2B50000}"/>
    <cellStyle name="Normal 4 2 2 2 3 2 2 4 3 2" xfId="44462" xr:uid="{00000000-0005-0000-0000-0000D3B50000}"/>
    <cellStyle name="Normal 4 2 2 2 3 2 2 4 4" xfId="31546" xr:uid="{00000000-0005-0000-0000-0000D4B50000}"/>
    <cellStyle name="Normal 4 2 2 2 3 2 2 5" xfId="8901" xr:uid="{00000000-0005-0000-0000-0000D5B50000}"/>
    <cellStyle name="Normal 4 2 2 2 3 2 2 5 2" xfId="21818" xr:uid="{00000000-0005-0000-0000-0000D6B50000}"/>
    <cellStyle name="Normal 4 2 2 2 3 2 2 5 2 2" xfId="47692" xr:uid="{00000000-0005-0000-0000-0000D7B50000}"/>
    <cellStyle name="Normal 4 2 2 2 3 2 2 5 3" xfId="34776" xr:uid="{00000000-0005-0000-0000-0000D8B50000}"/>
    <cellStyle name="Normal 4 2 2 2 3 2 2 6" xfId="15360" xr:uid="{00000000-0005-0000-0000-0000D9B50000}"/>
    <cellStyle name="Normal 4 2 2 2 3 2 2 6 2" xfId="41234" xr:uid="{00000000-0005-0000-0000-0000DAB50000}"/>
    <cellStyle name="Normal 4 2 2 2 3 2 2 7" xfId="28286" xr:uid="{00000000-0005-0000-0000-0000DBB50000}"/>
    <cellStyle name="Normal 4 2 2 2 3 2 2 8" xfId="54148" xr:uid="{00000000-0005-0000-0000-0000DCB50000}"/>
    <cellStyle name="Normal 4 2 2 2 3 2 3" xfId="2799" xr:uid="{00000000-0005-0000-0000-0000DDB50000}"/>
    <cellStyle name="Normal 4 2 2 2 3 2 3 2" xfId="4456" xr:uid="{00000000-0005-0000-0000-0000DEB50000}"/>
    <cellStyle name="Normal 4 2 2 2 3 2 3 2 2" xfId="7687" xr:uid="{00000000-0005-0000-0000-0000DFB50000}"/>
    <cellStyle name="Normal 4 2 2 2 3 2 3 2 2 2" xfId="14146" xr:uid="{00000000-0005-0000-0000-0000E0B50000}"/>
    <cellStyle name="Normal 4 2 2 2 3 2 3 2 2 2 2" xfId="27063" xr:uid="{00000000-0005-0000-0000-0000E1B50000}"/>
    <cellStyle name="Normal 4 2 2 2 3 2 3 2 2 2 2 2" xfId="52937" xr:uid="{00000000-0005-0000-0000-0000E2B50000}"/>
    <cellStyle name="Normal 4 2 2 2 3 2 3 2 2 2 3" xfId="40021" xr:uid="{00000000-0005-0000-0000-0000E3B50000}"/>
    <cellStyle name="Normal 4 2 2 2 3 2 3 2 2 3" xfId="20605" xr:uid="{00000000-0005-0000-0000-0000E4B50000}"/>
    <cellStyle name="Normal 4 2 2 2 3 2 3 2 2 3 2" xfId="46479" xr:uid="{00000000-0005-0000-0000-0000E5B50000}"/>
    <cellStyle name="Normal 4 2 2 2 3 2 3 2 2 4" xfId="33563" xr:uid="{00000000-0005-0000-0000-0000E6B50000}"/>
    <cellStyle name="Normal 4 2 2 2 3 2 3 2 3" xfId="10918" xr:uid="{00000000-0005-0000-0000-0000E7B50000}"/>
    <cellStyle name="Normal 4 2 2 2 3 2 3 2 3 2" xfId="23835" xr:uid="{00000000-0005-0000-0000-0000E8B50000}"/>
    <cellStyle name="Normal 4 2 2 2 3 2 3 2 3 2 2" xfId="49709" xr:uid="{00000000-0005-0000-0000-0000E9B50000}"/>
    <cellStyle name="Normal 4 2 2 2 3 2 3 2 3 3" xfId="36793" xr:uid="{00000000-0005-0000-0000-0000EAB50000}"/>
    <cellStyle name="Normal 4 2 2 2 3 2 3 2 4" xfId="17377" xr:uid="{00000000-0005-0000-0000-0000EBB50000}"/>
    <cellStyle name="Normal 4 2 2 2 3 2 3 2 4 2" xfId="43251" xr:uid="{00000000-0005-0000-0000-0000ECB50000}"/>
    <cellStyle name="Normal 4 2 2 2 3 2 3 2 5" xfId="30303" xr:uid="{00000000-0005-0000-0000-0000EDB50000}"/>
    <cellStyle name="Normal 4 2 2 2 3 2 3 3" xfId="6073" xr:uid="{00000000-0005-0000-0000-0000EEB50000}"/>
    <cellStyle name="Normal 4 2 2 2 3 2 3 3 2" xfId="12532" xr:uid="{00000000-0005-0000-0000-0000EFB50000}"/>
    <cellStyle name="Normal 4 2 2 2 3 2 3 3 2 2" xfId="25449" xr:uid="{00000000-0005-0000-0000-0000F0B50000}"/>
    <cellStyle name="Normal 4 2 2 2 3 2 3 3 2 2 2" xfId="51323" xr:uid="{00000000-0005-0000-0000-0000F1B50000}"/>
    <cellStyle name="Normal 4 2 2 2 3 2 3 3 2 3" xfId="38407" xr:uid="{00000000-0005-0000-0000-0000F2B50000}"/>
    <cellStyle name="Normal 4 2 2 2 3 2 3 3 3" xfId="18991" xr:uid="{00000000-0005-0000-0000-0000F3B50000}"/>
    <cellStyle name="Normal 4 2 2 2 3 2 3 3 3 2" xfId="44865" xr:uid="{00000000-0005-0000-0000-0000F4B50000}"/>
    <cellStyle name="Normal 4 2 2 2 3 2 3 3 4" xfId="31949" xr:uid="{00000000-0005-0000-0000-0000F5B50000}"/>
    <cellStyle name="Normal 4 2 2 2 3 2 3 4" xfId="9304" xr:uid="{00000000-0005-0000-0000-0000F6B50000}"/>
    <cellStyle name="Normal 4 2 2 2 3 2 3 4 2" xfId="22221" xr:uid="{00000000-0005-0000-0000-0000F7B50000}"/>
    <cellStyle name="Normal 4 2 2 2 3 2 3 4 2 2" xfId="48095" xr:uid="{00000000-0005-0000-0000-0000F8B50000}"/>
    <cellStyle name="Normal 4 2 2 2 3 2 3 4 3" xfId="35179" xr:uid="{00000000-0005-0000-0000-0000F9B50000}"/>
    <cellStyle name="Normal 4 2 2 2 3 2 3 5" xfId="15763" xr:uid="{00000000-0005-0000-0000-0000FAB50000}"/>
    <cellStyle name="Normal 4 2 2 2 3 2 3 5 2" xfId="41637" xr:uid="{00000000-0005-0000-0000-0000FBB50000}"/>
    <cellStyle name="Normal 4 2 2 2 3 2 3 6" xfId="28689" xr:uid="{00000000-0005-0000-0000-0000FCB50000}"/>
    <cellStyle name="Normal 4 2 2 2 3 2 4" xfId="3626" xr:uid="{00000000-0005-0000-0000-0000FDB50000}"/>
    <cellStyle name="Normal 4 2 2 2 3 2 4 2" xfId="6880" xr:uid="{00000000-0005-0000-0000-0000FEB50000}"/>
    <cellStyle name="Normal 4 2 2 2 3 2 4 2 2" xfId="13339" xr:uid="{00000000-0005-0000-0000-0000FFB50000}"/>
    <cellStyle name="Normal 4 2 2 2 3 2 4 2 2 2" xfId="26256" xr:uid="{00000000-0005-0000-0000-000000B60000}"/>
    <cellStyle name="Normal 4 2 2 2 3 2 4 2 2 2 2" xfId="52130" xr:uid="{00000000-0005-0000-0000-000001B60000}"/>
    <cellStyle name="Normal 4 2 2 2 3 2 4 2 2 3" xfId="39214" xr:uid="{00000000-0005-0000-0000-000002B60000}"/>
    <cellStyle name="Normal 4 2 2 2 3 2 4 2 3" xfId="19798" xr:uid="{00000000-0005-0000-0000-000003B60000}"/>
    <cellStyle name="Normal 4 2 2 2 3 2 4 2 3 2" xfId="45672" xr:uid="{00000000-0005-0000-0000-000004B60000}"/>
    <cellStyle name="Normal 4 2 2 2 3 2 4 2 4" xfId="32756" xr:uid="{00000000-0005-0000-0000-000005B60000}"/>
    <cellStyle name="Normal 4 2 2 2 3 2 4 3" xfId="10111" xr:uid="{00000000-0005-0000-0000-000006B60000}"/>
    <cellStyle name="Normal 4 2 2 2 3 2 4 3 2" xfId="23028" xr:uid="{00000000-0005-0000-0000-000007B60000}"/>
    <cellStyle name="Normal 4 2 2 2 3 2 4 3 2 2" xfId="48902" xr:uid="{00000000-0005-0000-0000-000008B60000}"/>
    <cellStyle name="Normal 4 2 2 2 3 2 4 3 3" xfId="35986" xr:uid="{00000000-0005-0000-0000-000009B60000}"/>
    <cellStyle name="Normal 4 2 2 2 3 2 4 4" xfId="16570" xr:uid="{00000000-0005-0000-0000-00000AB60000}"/>
    <cellStyle name="Normal 4 2 2 2 3 2 4 4 2" xfId="42444" xr:uid="{00000000-0005-0000-0000-00000BB60000}"/>
    <cellStyle name="Normal 4 2 2 2 3 2 4 5" xfId="29496" xr:uid="{00000000-0005-0000-0000-00000CB60000}"/>
    <cellStyle name="Normal 4 2 2 2 3 2 5" xfId="5266" xr:uid="{00000000-0005-0000-0000-00000DB60000}"/>
    <cellStyle name="Normal 4 2 2 2 3 2 5 2" xfId="11725" xr:uid="{00000000-0005-0000-0000-00000EB60000}"/>
    <cellStyle name="Normal 4 2 2 2 3 2 5 2 2" xfId="24642" xr:uid="{00000000-0005-0000-0000-00000FB60000}"/>
    <cellStyle name="Normal 4 2 2 2 3 2 5 2 2 2" xfId="50516" xr:uid="{00000000-0005-0000-0000-000010B60000}"/>
    <cellStyle name="Normal 4 2 2 2 3 2 5 2 3" xfId="37600" xr:uid="{00000000-0005-0000-0000-000011B60000}"/>
    <cellStyle name="Normal 4 2 2 2 3 2 5 3" xfId="18184" xr:uid="{00000000-0005-0000-0000-000012B60000}"/>
    <cellStyle name="Normal 4 2 2 2 3 2 5 3 2" xfId="44058" xr:uid="{00000000-0005-0000-0000-000013B60000}"/>
    <cellStyle name="Normal 4 2 2 2 3 2 5 4" xfId="31142" xr:uid="{00000000-0005-0000-0000-000014B60000}"/>
    <cellStyle name="Normal 4 2 2 2 3 2 6" xfId="8497" xr:uid="{00000000-0005-0000-0000-000015B60000}"/>
    <cellStyle name="Normal 4 2 2 2 3 2 6 2" xfId="21414" xr:uid="{00000000-0005-0000-0000-000016B60000}"/>
    <cellStyle name="Normal 4 2 2 2 3 2 6 2 2" xfId="47288" xr:uid="{00000000-0005-0000-0000-000017B60000}"/>
    <cellStyle name="Normal 4 2 2 2 3 2 6 3" xfId="34372" xr:uid="{00000000-0005-0000-0000-000018B60000}"/>
    <cellStyle name="Normal 4 2 2 2 3 2 7" xfId="14956" xr:uid="{00000000-0005-0000-0000-000019B60000}"/>
    <cellStyle name="Normal 4 2 2 2 3 2 7 2" xfId="40830" xr:uid="{00000000-0005-0000-0000-00001AB60000}"/>
    <cellStyle name="Normal 4 2 2 2 3 2 8" xfId="27881" xr:uid="{00000000-0005-0000-0000-00001BB60000}"/>
    <cellStyle name="Normal 4 2 2 2 3 2 9" xfId="53744" xr:uid="{00000000-0005-0000-0000-00001CB60000}"/>
    <cellStyle name="Normal 4 2 2 2 3 3" xfId="2194" xr:uid="{00000000-0005-0000-0000-00001DB60000}"/>
    <cellStyle name="Normal 4 2 2 2 3 3 2" xfId="3008" xr:uid="{00000000-0005-0000-0000-00001EB60000}"/>
    <cellStyle name="Normal 4 2 2 2 3 3 2 2" xfId="4665" xr:uid="{00000000-0005-0000-0000-00001FB60000}"/>
    <cellStyle name="Normal 4 2 2 2 3 3 2 2 2" xfId="7896" xr:uid="{00000000-0005-0000-0000-000020B60000}"/>
    <cellStyle name="Normal 4 2 2 2 3 3 2 2 2 2" xfId="14355" xr:uid="{00000000-0005-0000-0000-000021B60000}"/>
    <cellStyle name="Normal 4 2 2 2 3 3 2 2 2 2 2" xfId="27272" xr:uid="{00000000-0005-0000-0000-000022B60000}"/>
    <cellStyle name="Normal 4 2 2 2 3 3 2 2 2 2 2 2" xfId="53146" xr:uid="{00000000-0005-0000-0000-000023B60000}"/>
    <cellStyle name="Normal 4 2 2 2 3 3 2 2 2 2 3" xfId="40230" xr:uid="{00000000-0005-0000-0000-000024B60000}"/>
    <cellStyle name="Normal 4 2 2 2 3 3 2 2 2 3" xfId="20814" xr:uid="{00000000-0005-0000-0000-000025B60000}"/>
    <cellStyle name="Normal 4 2 2 2 3 3 2 2 2 3 2" xfId="46688" xr:uid="{00000000-0005-0000-0000-000026B60000}"/>
    <cellStyle name="Normal 4 2 2 2 3 3 2 2 2 4" xfId="33772" xr:uid="{00000000-0005-0000-0000-000027B60000}"/>
    <cellStyle name="Normal 4 2 2 2 3 3 2 2 3" xfId="11127" xr:uid="{00000000-0005-0000-0000-000028B60000}"/>
    <cellStyle name="Normal 4 2 2 2 3 3 2 2 3 2" xfId="24044" xr:uid="{00000000-0005-0000-0000-000029B60000}"/>
    <cellStyle name="Normal 4 2 2 2 3 3 2 2 3 2 2" xfId="49918" xr:uid="{00000000-0005-0000-0000-00002AB60000}"/>
    <cellStyle name="Normal 4 2 2 2 3 3 2 2 3 3" xfId="37002" xr:uid="{00000000-0005-0000-0000-00002BB60000}"/>
    <cellStyle name="Normal 4 2 2 2 3 3 2 2 4" xfId="17586" xr:uid="{00000000-0005-0000-0000-00002CB60000}"/>
    <cellStyle name="Normal 4 2 2 2 3 3 2 2 4 2" xfId="43460" xr:uid="{00000000-0005-0000-0000-00002DB60000}"/>
    <cellStyle name="Normal 4 2 2 2 3 3 2 2 5" xfId="30512" xr:uid="{00000000-0005-0000-0000-00002EB60000}"/>
    <cellStyle name="Normal 4 2 2 2 3 3 2 3" xfId="6282" xr:uid="{00000000-0005-0000-0000-00002FB60000}"/>
    <cellStyle name="Normal 4 2 2 2 3 3 2 3 2" xfId="12741" xr:uid="{00000000-0005-0000-0000-000030B60000}"/>
    <cellStyle name="Normal 4 2 2 2 3 3 2 3 2 2" xfId="25658" xr:uid="{00000000-0005-0000-0000-000031B60000}"/>
    <cellStyle name="Normal 4 2 2 2 3 3 2 3 2 2 2" xfId="51532" xr:uid="{00000000-0005-0000-0000-000032B60000}"/>
    <cellStyle name="Normal 4 2 2 2 3 3 2 3 2 3" xfId="38616" xr:uid="{00000000-0005-0000-0000-000033B60000}"/>
    <cellStyle name="Normal 4 2 2 2 3 3 2 3 3" xfId="19200" xr:uid="{00000000-0005-0000-0000-000034B60000}"/>
    <cellStyle name="Normal 4 2 2 2 3 3 2 3 3 2" xfId="45074" xr:uid="{00000000-0005-0000-0000-000035B60000}"/>
    <cellStyle name="Normal 4 2 2 2 3 3 2 3 4" xfId="32158" xr:uid="{00000000-0005-0000-0000-000036B60000}"/>
    <cellStyle name="Normal 4 2 2 2 3 3 2 4" xfId="9513" xr:uid="{00000000-0005-0000-0000-000037B60000}"/>
    <cellStyle name="Normal 4 2 2 2 3 3 2 4 2" xfId="22430" xr:uid="{00000000-0005-0000-0000-000038B60000}"/>
    <cellStyle name="Normal 4 2 2 2 3 3 2 4 2 2" xfId="48304" xr:uid="{00000000-0005-0000-0000-000039B60000}"/>
    <cellStyle name="Normal 4 2 2 2 3 3 2 4 3" xfId="35388" xr:uid="{00000000-0005-0000-0000-00003AB60000}"/>
    <cellStyle name="Normal 4 2 2 2 3 3 2 5" xfId="15972" xr:uid="{00000000-0005-0000-0000-00003BB60000}"/>
    <cellStyle name="Normal 4 2 2 2 3 3 2 5 2" xfId="41846" xr:uid="{00000000-0005-0000-0000-00003CB60000}"/>
    <cellStyle name="Normal 4 2 2 2 3 3 2 6" xfId="28898" xr:uid="{00000000-0005-0000-0000-00003DB60000}"/>
    <cellStyle name="Normal 4 2 2 2 3 3 3" xfId="3835" xr:uid="{00000000-0005-0000-0000-00003EB60000}"/>
    <cellStyle name="Normal 4 2 2 2 3 3 3 2" xfId="7089" xr:uid="{00000000-0005-0000-0000-00003FB60000}"/>
    <cellStyle name="Normal 4 2 2 2 3 3 3 2 2" xfId="13548" xr:uid="{00000000-0005-0000-0000-000040B60000}"/>
    <cellStyle name="Normal 4 2 2 2 3 3 3 2 2 2" xfId="26465" xr:uid="{00000000-0005-0000-0000-000041B60000}"/>
    <cellStyle name="Normal 4 2 2 2 3 3 3 2 2 2 2" xfId="52339" xr:uid="{00000000-0005-0000-0000-000042B60000}"/>
    <cellStyle name="Normal 4 2 2 2 3 3 3 2 2 3" xfId="39423" xr:uid="{00000000-0005-0000-0000-000043B60000}"/>
    <cellStyle name="Normal 4 2 2 2 3 3 3 2 3" xfId="20007" xr:uid="{00000000-0005-0000-0000-000044B60000}"/>
    <cellStyle name="Normal 4 2 2 2 3 3 3 2 3 2" xfId="45881" xr:uid="{00000000-0005-0000-0000-000045B60000}"/>
    <cellStyle name="Normal 4 2 2 2 3 3 3 2 4" xfId="32965" xr:uid="{00000000-0005-0000-0000-000046B60000}"/>
    <cellStyle name="Normal 4 2 2 2 3 3 3 3" xfId="10320" xr:uid="{00000000-0005-0000-0000-000047B60000}"/>
    <cellStyle name="Normal 4 2 2 2 3 3 3 3 2" xfId="23237" xr:uid="{00000000-0005-0000-0000-000048B60000}"/>
    <cellStyle name="Normal 4 2 2 2 3 3 3 3 2 2" xfId="49111" xr:uid="{00000000-0005-0000-0000-000049B60000}"/>
    <cellStyle name="Normal 4 2 2 2 3 3 3 3 3" xfId="36195" xr:uid="{00000000-0005-0000-0000-00004AB60000}"/>
    <cellStyle name="Normal 4 2 2 2 3 3 3 4" xfId="16779" xr:uid="{00000000-0005-0000-0000-00004BB60000}"/>
    <cellStyle name="Normal 4 2 2 2 3 3 3 4 2" xfId="42653" xr:uid="{00000000-0005-0000-0000-00004CB60000}"/>
    <cellStyle name="Normal 4 2 2 2 3 3 3 5" xfId="29705" xr:uid="{00000000-0005-0000-0000-00004DB60000}"/>
    <cellStyle name="Normal 4 2 2 2 3 3 4" xfId="5475" xr:uid="{00000000-0005-0000-0000-00004EB60000}"/>
    <cellStyle name="Normal 4 2 2 2 3 3 4 2" xfId="11934" xr:uid="{00000000-0005-0000-0000-00004FB60000}"/>
    <cellStyle name="Normal 4 2 2 2 3 3 4 2 2" xfId="24851" xr:uid="{00000000-0005-0000-0000-000050B60000}"/>
    <cellStyle name="Normal 4 2 2 2 3 3 4 2 2 2" xfId="50725" xr:uid="{00000000-0005-0000-0000-000051B60000}"/>
    <cellStyle name="Normal 4 2 2 2 3 3 4 2 3" xfId="37809" xr:uid="{00000000-0005-0000-0000-000052B60000}"/>
    <cellStyle name="Normal 4 2 2 2 3 3 4 3" xfId="18393" xr:uid="{00000000-0005-0000-0000-000053B60000}"/>
    <cellStyle name="Normal 4 2 2 2 3 3 4 3 2" xfId="44267" xr:uid="{00000000-0005-0000-0000-000054B60000}"/>
    <cellStyle name="Normal 4 2 2 2 3 3 4 4" xfId="31351" xr:uid="{00000000-0005-0000-0000-000055B60000}"/>
    <cellStyle name="Normal 4 2 2 2 3 3 5" xfId="8706" xr:uid="{00000000-0005-0000-0000-000056B60000}"/>
    <cellStyle name="Normal 4 2 2 2 3 3 5 2" xfId="21623" xr:uid="{00000000-0005-0000-0000-000057B60000}"/>
    <cellStyle name="Normal 4 2 2 2 3 3 5 2 2" xfId="47497" xr:uid="{00000000-0005-0000-0000-000058B60000}"/>
    <cellStyle name="Normal 4 2 2 2 3 3 5 3" xfId="34581" xr:uid="{00000000-0005-0000-0000-000059B60000}"/>
    <cellStyle name="Normal 4 2 2 2 3 3 6" xfId="15165" xr:uid="{00000000-0005-0000-0000-00005AB60000}"/>
    <cellStyle name="Normal 4 2 2 2 3 3 6 2" xfId="41039" xr:uid="{00000000-0005-0000-0000-00005BB60000}"/>
    <cellStyle name="Normal 4 2 2 2 3 3 7" xfId="28091" xr:uid="{00000000-0005-0000-0000-00005CB60000}"/>
    <cellStyle name="Normal 4 2 2 2 3 3 8" xfId="53953" xr:uid="{00000000-0005-0000-0000-00005DB60000}"/>
    <cellStyle name="Normal 4 2 2 2 3 4" xfId="2605" xr:uid="{00000000-0005-0000-0000-00005EB60000}"/>
    <cellStyle name="Normal 4 2 2 2 3 4 2" xfId="4262" xr:uid="{00000000-0005-0000-0000-00005FB60000}"/>
    <cellStyle name="Normal 4 2 2 2 3 4 2 2" xfId="7493" xr:uid="{00000000-0005-0000-0000-000060B60000}"/>
    <cellStyle name="Normal 4 2 2 2 3 4 2 2 2" xfId="13952" xr:uid="{00000000-0005-0000-0000-000061B60000}"/>
    <cellStyle name="Normal 4 2 2 2 3 4 2 2 2 2" xfId="26869" xr:uid="{00000000-0005-0000-0000-000062B60000}"/>
    <cellStyle name="Normal 4 2 2 2 3 4 2 2 2 2 2" xfId="52743" xr:uid="{00000000-0005-0000-0000-000063B60000}"/>
    <cellStyle name="Normal 4 2 2 2 3 4 2 2 2 3" xfId="39827" xr:uid="{00000000-0005-0000-0000-000064B60000}"/>
    <cellStyle name="Normal 4 2 2 2 3 4 2 2 3" xfId="20411" xr:uid="{00000000-0005-0000-0000-000065B60000}"/>
    <cellStyle name="Normal 4 2 2 2 3 4 2 2 3 2" xfId="46285" xr:uid="{00000000-0005-0000-0000-000066B60000}"/>
    <cellStyle name="Normal 4 2 2 2 3 4 2 2 4" xfId="33369" xr:uid="{00000000-0005-0000-0000-000067B60000}"/>
    <cellStyle name="Normal 4 2 2 2 3 4 2 3" xfId="10724" xr:uid="{00000000-0005-0000-0000-000068B60000}"/>
    <cellStyle name="Normal 4 2 2 2 3 4 2 3 2" xfId="23641" xr:uid="{00000000-0005-0000-0000-000069B60000}"/>
    <cellStyle name="Normal 4 2 2 2 3 4 2 3 2 2" xfId="49515" xr:uid="{00000000-0005-0000-0000-00006AB60000}"/>
    <cellStyle name="Normal 4 2 2 2 3 4 2 3 3" xfId="36599" xr:uid="{00000000-0005-0000-0000-00006BB60000}"/>
    <cellStyle name="Normal 4 2 2 2 3 4 2 4" xfId="17183" xr:uid="{00000000-0005-0000-0000-00006CB60000}"/>
    <cellStyle name="Normal 4 2 2 2 3 4 2 4 2" xfId="43057" xr:uid="{00000000-0005-0000-0000-00006DB60000}"/>
    <cellStyle name="Normal 4 2 2 2 3 4 2 5" xfId="30109" xr:uid="{00000000-0005-0000-0000-00006EB60000}"/>
    <cellStyle name="Normal 4 2 2 2 3 4 3" xfId="5879" xr:uid="{00000000-0005-0000-0000-00006FB60000}"/>
    <cellStyle name="Normal 4 2 2 2 3 4 3 2" xfId="12338" xr:uid="{00000000-0005-0000-0000-000070B60000}"/>
    <cellStyle name="Normal 4 2 2 2 3 4 3 2 2" xfId="25255" xr:uid="{00000000-0005-0000-0000-000071B60000}"/>
    <cellStyle name="Normal 4 2 2 2 3 4 3 2 2 2" xfId="51129" xr:uid="{00000000-0005-0000-0000-000072B60000}"/>
    <cellStyle name="Normal 4 2 2 2 3 4 3 2 3" xfId="38213" xr:uid="{00000000-0005-0000-0000-000073B60000}"/>
    <cellStyle name="Normal 4 2 2 2 3 4 3 3" xfId="18797" xr:uid="{00000000-0005-0000-0000-000074B60000}"/>
    <cellStyle name="Normal 4 2 2 2 3 4 3 3 2" xfId="44671" xr:uid="{00000000-0005-0000-0000-000075B60000}"/>
    <cellStyle name="Normal 4 2 2 2 3 4 3 4" xfId="31755" xr:uid="{00000000-0005-0000-0000-000076B60000}"/>
    <cellStyle name="Normal 4 2 2 2 3 4 4" xfId="9110" xr:uid="{00000000-0005-0000-0000-000077B60000}"/>
    <cellStyle name="Normal 4 2 2 2 3 4 4 2" xfId="22027" xr:uid="{00000000-0005-0000-0000-000078B60000}"/>
    <cellStyle name="Normal 4 2 2 2 3 4 4 2 2" xfId="47901" xr:uid="{00000000-0005-0000-0000-000079B60000}"/>
    <cellStyle name="Normal 4 2 2 2 3 4 4 3" xfId="34985" xr:uid="{00000000-0005-0000-0000-00007AB60000}"/>
    <cellStyle name="Normal 4 2 2 2 3 4 5" xfId="15569" xr:uid="{00000000-0005-0000-0000-00007BB60000}"/>
    <cellStyle name="Normal 4 2 2 2 3 4 5 2" xfId="41443" xr:uid="{00000000-0005-0000-0000-00007CB60000}"/>
    <cellStyle name="Normal 4 2 2 2 3 4 6" xfId="28495" xr:uid="{00000000-0005-0000-0000-00007DB60000}"/>
    <cellStyle name="Normal 4 2 2 2 3 5" xfId="3432" xr:uid="{00000000-0005-0000-0000-00007EB60000}"/>
    <cellStyle name="Normal 4 2 2 2 3 5 2" xfId="6686" xr:uid="{00000000-0005-0000-0000-00007FB60000}"/>
    <cellStyle name="Normal 4 2 2 2 3 5 2 2" xfId="13145" xr:uid="{00000000-0005-0000-0000-000080B60000}"/>
    <cellStyle name="Normal 4 2 2 2 3 5 2 2 2" xfId="26062" xr:uid="{00000000-0005-0000-0000-000081B60000}"/>
    <cellStyle name="Normal 4 2 2 2 3 5 2 2 2 2" xfId="51936" xr:uid="{00000000-0005-0000-0000-000082B60000}"/>
    <cellStyle name="Normal 4 2 2 2 3 5 2 2 3" xfId="39020" xr:uid="{00000000-0005-0000-0000-000083B60000}"/>
    <cellStyle name="Normal 4 2 2 2 3 5 2 3" xfId="19604" xr:uid="{00000000-0005-0000-0000-000084B60000}"/>
    <cellStyle name="Normal 4 2 2 2 3 5 2 3 2" xfId="45478" xr:uid="{00000000-0005-0000-0000-000085B60000}"/>
    <cellStyle name="Normal 4 2 2 2 3 5 2 4" xfId="32562" xr:uid="{00000000-0005-0000-0000-000086B60000}"/>
    <cellStyle name="Normal 4 2 2 2 3 5 3" xfId="9917" xr:uid="{00000000-0005-0000-0000-000087B60000}"/>
    <cellStyle name="Normal 4 2 2 2 3 5 3 2" xfId="22834" xr:uid="{00000000-0005-0000-0000-000088B60000}"/>
    <cellStyle name="Normal 4 2 2 2 3 5 3 2 2" xfId="48708" xr:uid="{00000000-0005-0000-0000-000089B60000}"/>
    <cellStyle name="Normal 4 2 2 2 3 5 3 3" xfId="35792" xr:uid="{00000000-0005-0000-0000-00008AB60000}"/>
    <cellStyle name="Normal 4 2 2 2 3 5 4" xfId="16376" xr:uid="{00000000-0005-0000-0000-00008BB60000}"/>
    <cellStyle name="Normal 4 2 2 2 3 5 4 2" xfId="42250" xr:uid="{00000000-0005-0000-0000-00008CB60000}"/>
    <cellStyle name="Normal 4 2 2 2 3 5 5" xfId="29302" xr:uid="{00000000-0005-0000-0000-00008DB60000}"/>
    <cellStyle name="Normal 4 2 2 2 3 6" xfId="5072" xr:uid="{00000000-0005-0000-0000-00008EB60000}"/>
    <cellStyle name="Normal 4 2 2 2 3 6 2" xfId="11531" xr:uid="{00000000-0005-0000-0000-00008FB60000}"/>
    <cellStyle name="Normal 4 2 2 2 3 6 2 2" xfId="24448" xr:uid="{00000000-0005-0000-0000-000090B60000}"/>
    <cellStyle name="Normal 4 2 2 2 3 6 2 2 2" xfId="50322" xr:uid="{00000000-0005-0000-0000-000091B60000}"/>
    <cellStyle name="Normal 4 2 2 2 3 6 2 3" xfId="37406" xr:uid="{00000000-0005-0000-0000-000092B60000}"/>
    <cellStyle name="Normal 4 2 2 2 3 6 3" xfId="17990" xr:uid="{00000000-0005-0000-0000-000093B60000}"/>
    <cellStyle name="Normal 4 2 2 2 3 6 3 2" xfId="43864" xr:uid="{00000000-0005-0000-0000-000094B60000}"/>
    <cellStyle name="Normal 4 2 2 2 3 6 4" xfId="30948" xr:uid="{00000000-0005-0000-0000-000095B60000}"/>
    <cellStyle name="Normal 4 2 2 2 3 7" xfId="8302" xr:uid="{00000000-0005-0000-0000-000096B60000}"/>
    <cellStyle name="Normal 4 2 2 2 3 7 2" xfId="21219" xr:uid="{00000000-0005-0000-0000-000097B60000}"/>
    <cellStyle name="Normal 4 2 2 2 3 7 2 2" xfId="47093" xr:uid="{00000000-0005-0000-0000-000098B60000}"/>
    <cellStyle name="Normal 4 2 2 2 3 7 3" xfId="34177" xr:uid="{00000000-0005-0000-0000-000099B60000}"/>
    <cellStyle name="Normal 4 2 2 2 3 8" xfId="14761" xr:uid="{00000000-0005-0000-0000-00009AB60000}"/>
    <cellStyle name="Normal 4 2 2 2 3 8 2" xfId="40635" xr:uid="{00000000-0005-0000-0000-00009BB60000}"/>
    <cellStyle name="Normal 4 2 2 2 3 9" xfId="27685" xr:uid="{00000000-0005-0000-0000-00009CB60000}"/>
    <cellStyle name="Normal 4 2 2 2 4" xfId="953" xr:uid="{00000000-0005-0000-0000-00009DB60000}"/>
    <cellStyle name="Normal 4 2 2 2 5" xfId="1328" xr:uid="{00000000-0005-0000-0000-00009EB60000}"/>
    <cellStyle name="Normal 4 2 2 3" xfId="439" xr:uid="{00000000-0005-0000-0000-00009FB60000}"/>
    <cellStyle name="Normal 4 2 2 3 2" xfId="958" xr:uid="{00000000-0005-0000-0000-0000A0B60000}"/>
    <cellStyle name="Normal 4 2 2 3 2 2" xfId="1487" xr:uid="{00000000-0005-0000-0000-0000A1B60000}"/>
    <cellStyle name="Normal 4 2 2 3 2 3" xfId="1330" xr:uid="{00000000-0005-0000-0000-0000A2B60000}"/>
    <cellStyle name="Normal 4 2 2 3 3" xfId="957" xr:uid="{00000000-0005-0000-0000-0000A3B60000}"/>
    <cellStyle name="Normal 4 2 2 3 3 2" xfId="1488" xr:uid="{00000000-0005-0000-0000-0000A4B60000}"/>
    <cellStyle name="Normal 4 2 2 3 3 3" xfId="1331" xr:uid="{00000000-0005-0000-0000-0000A5B60000}"/>
    <cellStyle name="Normal 4 2 2 3 4" xfId="1332" xr:uid="{00000000-0005-0000-0000-0000A6B60000}"/>
    <cellStyle name="Normal 4 2 2 3 4 2" xfId="1333" xr:uid="{00000000-0005-0000-0000-0000A7B60000}"/>
    <cellStyle name="Normal 4 2 2 3 4 2 2" xfId="1334" xr:uid="{00000000-0005-0000-0000-0000A8B60000}"/>
    <cellStyle name="Normal 4 2 2 3 4 2 2 2" xfId="1795" xr:uid="{00000000-0005-0000-0000-0000A9B60000}"/>
    <cellStyle name="Normal 4 2 2 3 4 2 2 2 2" xfId="1836" xr:uid="{00000000-0005-0000-0000-0000AAB60000}"/>
    <cellStyle name="Normal 4 2 2 3 4 2 2 3" xfId="1817" xr:uid="{00000000-0005-0000-0000-0000ABB60000}"/>
    <cellStyle name="Normal 4 2 2 3 4 2 2 3 2" xfId="2031" xr:uid="{00000000-0005-0000-0000-0000ACB60000}"/>
    <cellStyle name="Normal 4 2 2 3 4 2 2 3 3" xfId="2460" xr:uid="{00000000-0005-0000-0000-0000ADB60000}"/>
    <cellStyle name="Normal 4 2 2 3 4 2 2 3 4" xfId="4117" xr:uid="{00000000-0005-0000-0000-0000AEB60000}"/>
    <cellStyle name="Normal 4 2 2 3 4 2 2 3 4 2" xfId="3275" xr:uid="{00000000-0005-0000-0000-0000AFB60000}"/>
    <cellStyle name="Normal 4 2 2 3 4 2 2 4" xfId="1828" xr:uid="{00000000-0005-0000-0000-0000B0B60000}"/>
    <cellStyle name="Normal 4 2 2 3 4 2 3" xfId="1489" xr:uid="{00000000-0005-0000-0000-0000B1B60000}"/>
    <cellStyle name="Normal 4 2 2 3 5" xfId="1486" xr:uid="{00000000-0005-0000-0000-0000B2B60000}"/>
    <cellStyle name="Normal 4 2 2 3 5 2" xfId="1880" xr:uid="{00000000-0005-0000-0000-0000B3B60000}"/>
    <cellStyle name="Normal 4 2 2 3 5 3" xfId="1807" xr:uid="{00000000-0005-0000-0000-0000B4B60000}"/>
    <cellStyle name="Normal 4 2 2 3 5 3 2" xfId="2021" xr:uid="{00000000-0005-0000-0000-0000B5B60000}"/>
    <cellStyle name="Normal 4 2 2 3 5 3 3" xfId="4107" xr:uid="{00000000-0005-0000-0000-0000B6B60000}"/>
    <cellStyle name="Normal 4 2 2 3 5 3 3 2" xfId="3301" xr:uid="{00000000-0005-0000-0000-0000B7B60000}"/>
    <cellStyle name="Normal 4 2 2 3 6" xfId="1329" xr:uid="{00000000-0005-0000-0000-0000B8B60000}"/>
    <cellStyle name="Normal 4 2 2 4" xfId="959" xr:uid="{00000000-0005-0000-0000-0000B9B60000}"/>
    <cellStyle name="Normal 4 2 2 4 2" xfId="1336" xr:uid="{00000000-0005-0000-0000-0000BAB60000}"/>
    <cellStyle name="Normal 4 2 2 4 2 2" xfId="1792" xr:uid="{00000000-0005-0000-0000-0000BBB60000}"/>
    <cellStyle name="Normal 4 2 2 4 2 2 2" xfId="1835" xr:uid="{00000000-0005-0000-0000-0000BCB60000}"/>
    <cellStyle name="Normal 4 2 2 4 2 3" xfId="1814" xr:uid="{00000000-0005-0000-0000-0000BDB60000}"/>
    <cellStyle name="Normal 4 2 2 4 2 3 2" xfId="2028" xr:uid="{00000000-0005-0000-0000-0000BEB60000}"/>
    <cellStyle name="Normal 4 2 2 4 2 3 3" xfId="2119" xr:uid="{00000000-0005-0000-0000-0000BFB60000}"/>
    <cellStyle name="Normal 4 2 2 4 2 3 4" xfId="4114" xr:uid="{00000000-0005-0000-0000-0000C0B60000}"/>
    <cellStyle name="Normal 4 2 2 4 2 3 4 2" xfId="4930" xr:uid="{00000000-0005-0000-0000-0000C1B60000}"/>
    <cellStyle name="Normal 4 2 2 4 2 4" xfId="1825" xr:uid="{00000000-0005-0000-0000-0000C2B60000}"/>
    <cellStyle name="Normal 4 2 2 4 3" xfId="1490" xr:uid="{00000000-0005-0000-0000-0000C3B60000}"/>
    <cellStyle name="Normal 4 2 2 4 4" xfId="1335" xr:uid="{00000000-0005-0000-0000-0000C4B60000}"/>
    <cellStyle name="Normal 4 2 2 5" xfId="952" xr:uid="{00000000-0005-0000-0000-0000C5B60000}"/>
    <cellStyle name="Normal 4 2 2 5 2" xfId="1879" xr:uid="{00000000-0005-0000-0000-0000C6B60000}"/>
    <cellStyle name="Normal 4 2 2 5 3" xfId="1802" xr:uid="{00000000-0005-0000-0000-0000C7B60000}"/>
    <cellStyle name="Normal 4 2 2 5 3 2" xfId="2016" xr:uid="{00000000-0005-0000-0000-0000C8B60000}"/>
    <cellStyle name="Normal 4 2 2 5 3 3" xfId="4102" xr:uid="{00000000-0005-0000-0000-0000C9B60000}"/>
    <cellStyle name="Normal 4 2 2 5 3 3 2" xfId="3304" xr:uid="{00000000-0005-0000-0000-0000CAB60000}"/>
    <cellStyle name="Normal 4 2 2 5 4" xfId="1484" xr:uid="{00000000-0005-0000-0000-0000CBB60000}"/>
    <cellStyle name="Normal 4 2 2 6" xfId="1558" xr:uid="{00000000-0005-0000-0000-0000CCB60000}"/>
    <cellStyle name="Normal 4 2 2 6 10" xfId="53498" xr:uid="{00000000-0005-0000-0000-0000CDB60000}"/>
    <cellStyle name="Normal 4 2 2 6 2" xfId="1907" xr:uid="{00000000-0005-0000-0000-0000CEB60000}"/>
    <cellStyle name="Normal 4 2 2 6 2 2" xfId="2338" xr:uid="{00000000-0005-0000-0000-0000CFB60000}"/>
    <cellStyle name="Normal 4 2 2 6 2 2 2" xfId="3151" xr:uid="{00000000-0005-0000-0000-0000D0B60000}"/>
    <cellStyle name="Normal 4 2 2 6 2 2 2 2" xfId="4808" xr:uid="{00000000-0005-0000-0000-0000D1B60000}"/>
    <cellStyle name="Normal 4 2 2 6 2 2 2 2 2" xfId="8039" xr:uid="{00000000-0005-0000-0000-0000D2B60000}"/>
    <cellStyle name="Normal 4 2 2 6 2 2 2 2 2 2" xfId="14498" xr:uid="{00000000-0005-0000-0000-0000D3B60000}"/>
    <cellStyle name="Normal 4 2 2 6 2 2 2 2 2 2 2" xfId="27415" xr:uid="{00000000-0005-0000-0000-0000D4B60000}"/>
    <cellStyle name="Normal 4 2 2 6 2 2 2 2 2 2 2 2" xfId="53289" xr:uid="{00000000-0005-0000-0000-0000D5B60000}"/>
    <cellStyle name="Normal 4 2 2 6 2 2 2 2 2 2 3" xfId="40373" xr:uid="{00000000-0005-0000-0000-0000D6B60000}"/>
    <cellStyle name="Normal 4 2 2 6 2 2 2 2 2 3" xfId="20957" xr:uid="{00000000-0005-0000-0000-0000D7B60000}"/>
    <cellStyle name="Normal 4 2 2 6 2 2 2 2 2 3 2" xfId="46831" xr:uid="{00000000-0005-0000-0000-0000D8B60000}"/>
    <cellStyle name="Normal 4 2 2 6 2 2 2 2 2 4" xfId="33915" xr:uid="{00000000-0005-0000-0000-0000D9B60000}"/>
    <cellStyle name="Normal 4 2 2 6 2 2 2 2 3" xfId="11270" xr:uid="{00000000-0005-0000-0000-0000DAB60000}"/>
    <cellStyle name="Normal 4 2 2 6 2 2 2 2 3 2" xfId="24187" xr:uid="{00000000-0005-0000-0000-0000DBB60000}"/>
    <cellStyle name="Normal 4 2 2 6 2 2 2 2 3 2 2" xfId="50061" xr:uid="{00000000-0005-0000-0000-0000DCB60000}"/>
    <cellStyle name="Normal 4 2 2 6 2 2 2 2 3 3" xfId="37145" xr:uid="{00000000-0005-0000-0000-0000DDB60000}"/>
    <cellStyle name="Normal 4 2 2 6 2 2 2 2 4" xfId="17729" xr:uid="{00000000-0005-0000-0000-0000DEB60000}"/>
    <cellStyle name="Normal 4 2 2 6 2 2 2 2 4 2" xfId="43603" xr:uid="{00000000-0005-0000-0000-0000DFB60000}"/>
    <cellStyle name="Normal 4 2 2 6 2 2 2 2 5" xfId="30655" xr:uid="{00000000-0005-0000-0000-0000E0B60000}"/>
    <cellStyle name="Normal 4 2 2 6 2 2 2 3" xfId="6425" xr:uid="{00000000-0005-0000-0000-0000E1B60000}"/>
    <cellStyle name="Normal 4 2 2 6 2 2 2 3 2" xfId="12884" xr:uid="{00000000-0005-0000-0000-0000E2B60000}"/>
    <cellStyle name="Normal 4 2 2 6 2 2 2 3 2 2" xfId="25801" xr:uid="{00000000-0005-0000-0000-0000E3B60000}"/>
    <cellStyle name="Normal 4 2 2 6 2 2 2 3 2 2 2" xfId="51675" xr:uid="{00000000-0005-0000-0000-0000E4B60000}"/>
    <cellStyle name="Normal 4 2 2 6 2 2 2 3 2 3" xfId="38759" xr:uid="{00000000-0005-0000-0000-0000E5B60000}"/>
    <cellStyle name="Normal 4 2 2 6 2 2 2 3 3" xfId="19343" xr:uid="{00000000-0005-0000-0000-0000E6B60000}"/>
    <cellStyle name="Normal 4 2 2 6 2 2 2 3 3 2" xfId="45217" xr:uid="{00000000-0005-0000-0000-0000E7B60000}"/>
    <cellStyle name="Normal 4 2 2 6 2 2 2 3 4" xfId="32301" xr:uid="{00000000-0005-0000-0000-0000E8B60000}"/>
    <cellStyle name="Normal 4 2 2 6 2 2 2 4" xfId="9656" xr:uid="{00000000-0005-0000-0000-0000E9B60000}"/>
    <cellStyle name="Normal 4 2 2 6 2 2 2 4 2" xfId="22573" xr:uid="{00000000-0005-0000-0000-0000EAB60000}"/>
    <cellStyle name="Normal 4 2 2 6 2 2 2 4 2 2" xfId="48447" xr:uid="{00000000-0005-0000-0000-0000EBB60000}"/>
    <cellStyle name="Normal 4 2 2 6 2 2 2 4 3" xfId="35531" xr:uid="{00000000-0005-0000-0000-0000ECB60000}"/>
    <cellStyle name="Normal 4 2 2 6 2 2 2 5" xfId="16115" xr:uid="{00000000-0005-0000-0000-0000EDB60000}"/>
    <cellStyle name="Normal 4 2 2 6 2 2 2 5 2" xfId="41989" xr:uid="{00000000-0005-0000-0000-0000EEB60000}"/>
    <cellStyle name="Normal 4 2 2 6 2 2 2 6" xfId="29041" xr:uid="{00000000-0005-0000-0000-0000EFB60000}"/>
    <cellStyle name="Normal 4 2 2 6 2 2 3" xfId="3978" xr:uid="{00000000-0005-0000-0000-0000F0B60000}"/>
    <cellStyle name="Normal 4 2 2 6 2 2 3 2" xfId="7232" xr:uid="{00000000-0005-0000-0000-0000F1B60000}"/>
    <cellStyle name="Normal 4 2 2 6 2 2 3 2 2" xfId="13691" xr:uid="{00000000-0005-0000-0000-0000F2B60000}"/>
    <cellStyle name="Normal 4 2 2 6 2 2 3 2 2 2" xfId="26608" xr:uid="{00000000-0005-0000-0000-0000F3B60000}"/>
    <cellStyle name="Normal 4 2 2 6 2 2 3 2 2 2 2" xfId="52482" xr:uid="{00000000-0005-0000-0000-0000F4B60000}"/>
    <cellStyle name="Normal 4 2 2 6 2 2 3 2 2 3" xfId="39566" xr:uid="{00000000-0005-0000-0000-0000F5B60000}"/>
    <cellStyle name="Normal 4 2 2 6 2 2 3 2 3" xfId="20150" xr:uid="{00000000-0005-0000-0000-0000F6B60000}"/>
    <cellStyle name="Normal 4 2 2 6 2 2 3 2 3 2" xfId="46024" xr:uid="{00000000-0005-0000-0000-0000F7B60000}"/>
    <cellStyle name="Normal 4 2 2 6 2 2 3 2 4" xfId="33108" xr:uid="{00000000-0005-0000-0000-0000F8B60000}"/>
    <cellStyle name="Normal 4 2 2 6 2 2 3 3" xfId="10463" xr:uid="{00000000-0005-0000-0000-0000F9B60000}"/>
    <cellStyle name="Normal 4 2 2 6 2 2 3 3 2" xfId="23380" xr:uid="{00000000-0005-0000-0000-0000FAB60000}"/>
    <cellStyle name="Normal 4 2 2 6 2 2 3 3 2 2" xfId="49254" xr:uid="{00000000-0005-0000-0000-0000FBB60000}"/>
    <cellStyle name="Normal 4 2 2 6 2 2 3 3 3" xfId="36338" xr:uid="{00000000-0005-0000-0000-0000FCB60000}"/>
    <cellStyle name="Normal 4 2 2 6 2 2 3 4" xfId="16922" xr:uid="{00000000-0005-0000-0000-0000FDB60000}"/>
    <cellStyle name="Normal 4 2 2 6 2 2 3 4 2" xfId="42796" xr:uid="{00000000-0005-0000-0000-0000FEB60000}"/>
    <cellStyle name="Normal 4 2 2 6 2 2 3 5" xfId="29848" xr:uid="{00000000-0005-0000-0000-0000FFB60000}"/>
    <cellStyle name="Normal 4 2 2 6 2 2 4" xfId="5618" xr:uid="{00000000-0005-0000-0000-000000B70000}"/>
    <cellStyle name="Normal 4 2 2 6 2 2 4 2" xfId="12077" xr:uid="{00000000-0005-0000-0000-000001B70000}"/>
    <cellStyle name="Normal 4 2 2 6 2 2 4 2 2" xfId="24994" xr:uid="{00000000-0005-0000-0000-000002B70000}"/>
    <cellStyle name="Normal 4 2 2 6 2 2 4 2 2 2" xfId="50868" xr:uid="{00000000-0005-0000-0000-000003B70000}"/>
    <cellStyle name="Normal 4 2 2 6 2 2 4 2 3" xfId="37952" xr:uid="{00000000-0005-0000-0000-000004B70000}"/>
    <cellStyle name="Normal 4 2 2 6 2 2 4 3" xfId="18536" xr:uid="{00000000-0005-0000-0000-000005B70000}"/>
    <cellStyle name="Normal 4 2 2 6 2 2 4 3 2" xfId="44410" xr:uid="{00000000-0005-0000-0000-000006B70000}"/>
    <cellStyle name="Normal 4 2 2 6 2 2 4 4" xfId="31494" xr:uid="{00000000-0005-0000-0000-000007B70000}"/>
    <cellStyle name="Normal 4 2 2 6 2 2 5" xfId="8849" xr:uid="{00000000-0005-0000-0000-000008B70000}"/>
    <cellStyle name="Normal 4 2 2 6 2 2 5 2" xfId="21766" xr:uid="{00000000-0005-0000-0000-000009B70000}"/>
    <cellStyle name="Normal 4 2 2 6 2 2 5 2 2" xfId="47640" xr:uid="{00000000-0005-0000-0000-00000AB70000}"/>
    <cellStyle name="Normal 4 2 2 6 2 2 5 3" xfId="34724" xr:uid="{00000000-0005-0000-0000-00000BB70000}"/>
    <cellStyle name="Normal 4 2 2 6 2 2 6" xfId="15308" xr:uid="{00000000-0005-0000-0000-00000CB70000}"/>
    <cellStyle name="Normal 4 2 2 6 2 2 6 2" xfId="41182" xr:uid="{00000000-0005-0000-0000-00000DB70000}"/>
    <cellStyle name="Normal 4 2 2 6 2 2 7" xfId="28234" xr:uid="{00000000-0005-0000-0000-00000EB70000}"/>
    <cellStyle name="Normal 4 2 2 6 2 2 8" xfId="54096" xr:uid="{00000000-0005-0000-0000-00000FB70000}"/>
    <cellStyle name="Normal 4 2 2 6 2 3" xfId="2747" xr:uid="{00000000-0005-0000-0000-000010B70000}"/>
    <cellStyle name="Normal 4 2 2 6 2 3 2" xfId="4404" xr:uid="{00000000-0005-0000-0000-000011B70000}"/>
    <cellStyle name="Normal 4 2 2 6 2 3 2 2" xfId="7635" xr:uid="{00000000-0005-0000-0000-000012B70000}"/>
    <cellStyle name="Normal 4 2 2 6 2 3 2 2 2" xfId="14094" xr:uid="{00000000-0005-0000-0000-000013B70000}"/>
    <cellStyle name="Normal 4 2 2 6 2 3 2 2 2 2" xfId="27011" xr:uid="{00000000-0005-0000-0000-000014B70000}"/>
    <cellStyle name="Normal 4 2 2 6 2 3 2 2 2 2 2" xfId="52885" xr:uid="{00000000-0005-0000-0000-000015B70000}"/>
    <cellStyle name="Normal 4 2 2 6 2 3 2 2 2 3" xfId="39969" xr:uid="{00000000-0005-0000-0000-000016B70000}"/>
    <cellStyle name="Normal 4 2 2 6 2 3 2 2 3" xfId="20553" xr:uid="{00000000-0005-0000-0000-000017B70000}"/>
    <cellStyle name="Normal 4 2 2 6 2 3 2 2 3 2" xfId="46427" xr:uid="{00000000-0005-0000-0000-000018B70000}"/>
    <cellStyle name="Normal 4 2 2 6 2 3 2 2 4" xfId="33511" xr:uid="{00000000-0005-0000-0000-000019B70000}"/>
    <cellStyle name="Normal 4 2 2 6 2 3 2 3" xfId="10866" xr:uid="{00000000-0005-0000-0000-00001AB70000}"/>
    <cellStyle name="Normal 4 2 2 6 2 3 2 3 2" xfId="23783" xr:uid="{00000000-0005-0000-0000-00001BB70000}"/>
    <cellStyle name="Normal 4 2 2 6 2 3 2 3 2 2" xfId="49657" xr:uid="{00000000-0005-0000-0000-00001CB70000}"/>
    <cellStyle name="Normal 4 2 2 6 2 3 2 3 3" xfId="36741" xr:uid="{00000000-0005-0000-0000-00001DB70000}"/>
    <cellStyle name="Normal 4 2 2 6 2 3 2 4" xfId="17325" xr:uid="{00000000-0005-0000-0000-00001EB70000}"/>
    <cellStyle name="Normal 4 2 2 6 2 3 2 4 2" xfId="43199" xr:uid="{00000000-0005-0000-0000-00001FB70000}"/>
    <cellStyle name="Normal 4 2 2 6 2 3 2 5" xfId="30251" xr:uid="{00000000-0005-0000-0000-000020B70000}"/>
    <cellStyle name="Normal 4 2 2 6 2 3 3" xfId="6021" xr:uid="{00000000-0005-0000-0000-000021B70000}"/>
    <cellStyle name="Normal 4 2 2 6 2 3 3 2" xfId="12480" xr:uid="{00000000-0005-0000-0000-000022B70000}"/>
    <cellStyle name="Normal 4 2 2 6 2 3 3 2 2" xfId="25397" xr:uid="{00000000-0005-0000-0000-000023B70000}"/>
    <cellStyle name="Normal 4 2 2 6 2 3 3 2 2 2" xfId="51271" xr:uid="{00000000-0005-0000-0000-000024B70000}"/>
    <cellStyle name="Normal 4 2 2 6 2 3 3 2 3" xfId="38355" xr:uid="{00000000-0005-0000-0000-000025B70000}"/>
    <cellStyle name="Normal 4 2 2 6 2 3 3 3" xfId="18939" xr:uid="{00000000-0005-0000-0000-000026B70000}"/>
    <cellStyle name="Normal 4 2 2 6 2 3 3 3 2" xfId="44813" xr:uid="{00000000-0005-0000-0000-000027B70000}"/>
    <cellStyle name="Normal 4 2 2 6 2 3 3 4" xfId="31897" xr:uid="{00000000-0005-0000-0000-000028B70000}"/>
    <cellStyle name="Normal 4 2 2 6 2 3 4" xfId="9252" xr:uid="{00000000-0005-0000-0000-000029B70000}"/>
    <cellStyle name="Normal 4 2 2 6 2 3 4 2" xfId="22169" xr:uid="{00000000-0005-0000-0000-00002AB70000}"/>
    <cellStyle name="Normal 4 2 2 6 2 3 4 2 2" xfId="48043" xr:uid="{00000000-0005-0000-0000-00002BB70000}"/>
    <cellStyle name="Normal 4 2 2 6 2 3 4 3" xfId="35127" xr:uid="{00000000-0005-0000-0000-00002CB70000}"/>
    <cellStyle name="Normal 4 2 2 6 2 3 5" xfId="15711" xr:uid="{00000000-0005-0000-0000-00002DB70000}"/>
    <cellStyle name="Normal 4 2 2 6 2 3 5 2" xfId="41585" xr:uid="{00000000-0005-0000-0000-00002EB70000}"/>
    <cellStyle name="Normal 4 2 2 6 2 3 6" xfId="28637" xr:uid="{00000000-0005-0000-0000-00002FB70000}"/>
    <cellStyle name="Normal 4 2 2 6 2 4" xfId="3574" xr:uid="{00000000-0005-0000-0000-000030B70000}"/>
    <cellStyle name="Normal 4 2 2 6 2 4 2" xfId="6828" xr:uid="{00000000-0005-0000-0000-000031B70000}"/>
    <cellStyle name="Normal 4 2 2 6 2 4 2 2" xfId="13287" xr:uid="{00000000-0005-0000-0000-000032B70000}"/>
    <cellStyle name="Normal 4 2 2 6 2 4 2 2 2" xfId="26204" xr:uid="{00000000-0005-0000-0000-000033B70000}"/>
    <cellStyle name="Normal 4 2 2 6 2 4 2 2 2 2" xfId="52078" xr:uid="{00000000-0005-0000-0000-000034B70000}"/>
    <cellStyle name="Normal 4 2 2 6 2 4 2 2 3" xfId="39162" xr:uid="{00000000-0005-0000-0000-000035B70000}"/>
    <cellStyle name="Normal 4 2 2 6 2 4 2 3" xfId="19746" xr:uid="{00000000-0005-0000-0000-000036B70000}"/>
    <cellStyle name="Normal 4 2 2 6 2 4 2 3 2" xfId="45620" xr:uid="{00000000-0005-0000-0000-000037B70000}"/>
    <cellStyle name="Normal 4 2 2 6 2 4 2 4" xfId="32704" xr:uid="{00000000-0005-0000-0000-000038B70000}"/>
    <cellStyle name="Normal 4 2 2 6 2 4 3" xfId="10059" xr:uid="{00000000-0005-0000-0000-000039B70000}"/>
    <cellStyle name="Normal 4 2 2 6 2 4 3 2" xfId="22976" xr:uid="{00000000-0005-0000-0000-00003AB70000}"/>
    <cellStyle name="Normal 4 2 2 6 2 4 3 2 2" xfId="48850" xr:uid="{00000000-0005-0000-0000-00003BB70000}"/>
    <cellStyle name="Normal 4 2 2 6 2 4 3 3" xfId="35934" xr:uid="{00000000-0005-0000-0000-00003CB70000}"/>
    <cellStyle name="Normal 4 2 2 6 2 4 4" xfId="16518" xr:uid="{00000000-0005-0000-0000-00003DB70000}"/>
    <cellStyle name="Normal 4 2 2 6 2 4 4 2" xfId="42392" xr:uid="{00000000-0005-0000-0000-00003EB70000}"/>
    <cellStyle name="Normal 4 2 2 6 2 4 5" xfId="29444" xr:uid="{00000000-0005-0000-0000-00003FB70000}"/>
    <cellStyle name="Normal 4 2 2 6 2 5" xfId="5214" xr:uid="{00000000-0005-0000-0000-000040B70000}"/>
    <cellStyle name="Normal 4 2 2 6 2 5 2" xfId="11673" xr:uid="{00000000-0005-0000-0000-000041B70000}"/>
    <cellStyle name="Normal 4 2 2 6 2 5 2 2" xfId="24590" xr:uid="{00000000-0005-0000-0000-000042B70000}"/>
    <cellStyle name="Normal 4 2 2 6 2 5 2 2 2" xfId="50464" xr:uid="{00000000-0005-0000-0000-000043B70000}"/>
    <cellStyle name="Normal 4 2 2 6 2 5 2 3" xfId="37548" xr:uid="{00000000-0005-0000-0000-000044B70000}"/>
    <cellStyle name="Normal 4 2 2 6 2 5 3" xfId="18132" xr:uid="{00000000-0005-0000-0000-000045B70000}"/>
    <cellStyle name="Normal 4 2 2 6 2 5 3 2" xfId="44006" xr:uid="{00000000-0005-0000-0000-000046B70000}"/>
    <cellStyle name="Normal 4 2 2 6 2 5 4" xfId="31090" xr:uid="{00000000-0005-0000-0000-000047B70000}"/>
    <cellStyle name="Normal 4 2 2 6 2 6" xfId="8445" xr:uid="{00000000-0005-0000-0000-000048B70000}"/>
    <cellStyle name="Normal 4 2 2 6 2 6 2" xfId="21362" xr:uid="{00000000-0005-0000-0000-000049B70000}"/>
    <cellStyle name="Normal 4 2 2 6 2 6 2 2" xfId="47236" xr:uid="{00000000-0005-0000-0000-00004AB70000}"/>
    <cellStyle name="Normal 4 2 2 6 2 6 3" xfId="34320" xr:uid="{00000000-0005-0000-0000-00004BB70000}"/>
    <cellStyle name="Normal 4 2 2 6 2 7" xfId="14904" xr:uid="{00000000-0005-0000-0000-00004CB70000}"/>
    <cellStyle name="Normal 4 2 2 6 2 7 2" xfId="40778" xr:uid="{00000000-0005-0000-0000-00004DB70000}"/>
    <cellStyle name="Normal 4 2 2 6 2 8" xfId="27829" xr:uid="{00000000-0005-0000-0000-00004EB70000}"/>
    <cellStyle name="Normal 4 2 2 6 2 9" xfId="53692" xr:uid="{00000000-0005-0000-0000-00004FB70000}"/>
    <cellStyle name="Normal 4 2 2 6 3" xfId="2142" xr:uid="{00000000-0005-0000-0000-000050B70000}"/>
    <cellStyle name="Normal 4 2 2 6 3 2" xfId="2956" xr:uid="{00000000-0005-0000-0000-000051B70000}"/>
    <cellStyle name="Normal 4 2 2 6 3 2 2" xfId="4613" xr:uid="{00000000-0005-0000-0000-000052B70000}"/>
    <cellStyle name="Normal 4 2 2 6 3 2 2 2" xfId="7844" xr:uid="{00000000-0005-0000-0000-000053B70000}"/>
    <cellStyle name="Normal 4 2 2 6 3 2 2 2 2" xfId="14303" xr:uid="{00000000-0005-0000-0000-000054B70000}"/>
    <cellStyle name="Normal 4 2 2 6 3 2 2 2 2 2" xfId="27220" xr:uid="{00000000-0005-0000-0000-000055B70000}"/>
    <cellStyle name="Normal 4 2 2 6 3 2 2 2 2 2 2" xfId="53094" xr:uid="{00000000-0005-0000-0000-000056B70000}"/>
    <cellStyle name="Normal 4 2 2 6 3 2 2 2 2 3" xfId="40178" xr:uid="{00000000-0005-0000-0000-000057B70000}"/>
    <cellStyle name="Normal 4 2 2 6 3 2 2 2 3" xfId="20762" xr:uid="{00000000-0005-0000-0000-000058B70000}"/>
    <cellStyle name="Normal 4 2 2 6 3 2 2 2 3 2" xfId="46636" xr:uid="{00000000-0005-0000-0000-000059B70000}"/>
    <cellStyle name="Normal 4 2 2 6 3 2 2 2 4" xfId="33720" xr:uid="{00000000-0005-0000-0000-00005AB70000}"/>
    <cellStyle name="Normal 4 2 2 6 3 2 2 3" xfId="11075" xr:uid="{00000000-0005-0000-0000-00005BB70000}"/>
    <cellStyle name="Normal 4 2 2 6 3 2 2 3 2" xfId="23992" xr:uid="{00000000-0005-0000-0000-00005CB70000}"/>
    <cellStyle name="Normal 4 2 2 6 3 2 2 3 2 2" xfId="49866" xr:uid="{00000000-0005-0000-0000-00005DB70000}"/>
    <cellStyle name="Normal 4 2 2 6 3 2 2 3 3" xfId="36950" xr:uid="{00000000-0005-0000-0000-00005EB70000}"/>
    <cellStyle name="Normal 4 2 2 6 3 2 2 4" xfId="17534" xr:uid="{00000000-0005-0000-0000-00005FB70000}"/>
    <cellStyle name="Normal 4 2 2 6 3 2 2 4 2" xfId="43408" xr:uid="{00000000-0005-0000-0000-000060B70000}"/>
    <cellStyle name="Normal 4 2 2 6 3 2 2 5" xfId="30460" xr:uid="{00000000-0005-0000-0000-000061B70000}"/>
    <cellStyle name="Normal 4 2 2 6 3 2 3" xfId="6230" xr:uid="{00000000-0005-0000-0000-000062B70000}"/>
    <cellStyle name="Normal 4 2 2 6 3 2 3 2" xfId="12689" xr:uid="{00000000-0005-0000-0000-000063B70000}"/>
    <cellStyle name="Normal 4 2 2 6 3 2 3 2 2" xfId="25606" xr:uid="{00000000-0005-0000-0000-000064B70000}"/>
    <cellStyle name="Normal 4 2 2 6 3 2 3 2 2 2" xfId="51480" xr:uid="{00000000-0005-0000-0000-000065B70000}"/>
    <cellStyle name="Normal 4 2 2 6 3 2 3 2 3" xfId="38564" xr:uid="{00000000-0005-0000-0000-000066B70000}"/>
    <cellStyle name="Normal 4 2 2 6 3 2 3 3" xfId="19148" xr:uid="{00000000-0005-0000-0000-000067B70000}"/>
    <cellStyle name="Normal 4 2 2 6 3 2 3 3 2" xfId="45022" xr:uid="{00000000-0005-0000-0000-000068B70000}"/>
    <cellStyle name="Normal 4 2 2 6 3 2 3 4" xfId="32106" xr:uid="{00000000-0005-0000-0000-000069B70000}"/>
    <cellStyle name="Normal 4 2 2 6 3 2 4" xfId="9461" xr:uid="{00000000-0005-0000-0000-00006AB70000}"/>
    <cellStyle name="Normal 4 2 2 6 3 2 4 2" xfId="22378" xr:uid="{00000000-0005-0000-0000-00006BB70000}"/>
    <cellStyle name="Normal 4 2 2 6 3 2 4 2 2" xfId="48252" xr:uid="{00000000-0005-0000-0000-00006CB70000}"/>
    <cellStyle name="Normal 4 2 2 6 3 2 4 3" xfId="35336" xr:uid="{00000000-0005-0000-0000-00006DB70000}"/>
    <cellStyle name="Normal 4 2 2 6 3 2 5" xfId="15920" xr:uid="{00000000-0005-0000-0000-00006EB70000}"/>
    <cellStyle name="Normal 4 2 2 6 3 2 5 2" xfId="41794" xr:uid="{00000000-0005-0000-0000-00006FB70000}"/>
    <cellStyle name="Normal 4 2 2 6 3 2 6" xfId="28846" xr:uid="{00000000-0005-0000-0000-000070B70000}"/>
    <cellStyle name="Normal 4 2 2 6 3 3" xfId="3783" xr:uid="{00000000-0005-0000-0000-000071B70000}"/>
    <cellStyle name="Normal 4 2 2 6 3 3 2" xfId="7037" xr:uid="{00000000-0005-0000-0000-000072B70000}"/>
    <cellStyle name="Normal 4 2 2 6 3 3 2 2" xfId="13496" xr:uid="{00000000-0005-0000-0000-000073B70000}"/>
    <cellStyle name="Normal 4 2 2 6 3 3 2 2 2" xfId="26413" xr:uid="{00000000-0005-0000-0000-000074B70000}"/>
    <cellStyle name="Normal 4 2 2 6 3 3 2 2 2 2" xfId="52287" xr:uid="{00000000-0005-0000-0000-000075B70000}"/>
    <cellStyle name="Normal 4 2 2 6 3 3 2 2 3" xfId="39371" xr:uid="{00000000-0005-0000-0000-000076B70000}"/>
    <cellStyle name="Normal 4 2 2 6 3 3 2 3" xfId="19955" xr:uid="{00000000-0005-0000-0000-000077B70000}"/>
    <cellStyle name="Normal 4 2 2 6 3 3 2 3 2" xfId="45829" xr:uid="{00000000-0005-0000-0000-000078B70000}"/>
    <cellStyle name="Normal 4 2 2 6 3 3 2 4" xfId="32913" xr:uid="{00000000-0005-0000-0000-000079B70000}"/>
    <cellStyle name="Normal 4 2 2 6 3 3 3" xfId="10268" xr:uid="{00000000-0005-0000-0000-00007AB70000}"/>
    <cellStyle name="Normal 4 2 2 6 3 3 3 2" xfId="23185" xr:uid="{00000000-0005-0000-0000-00007BB70000}"/>
    <cellStyle name="Normal 4 2 2 6 3 3 3 2 2" xfId="49059" xr:uid="{00000000-0005-0000-0000-00007CB70000}"/>
    <cellStyle name="Normal 4 2 2 6 3 3 3 3" xfId="36143" xr:uid="{00000000-0005-0000-0000-00007DB70000}"/>
    <cellStyle name="Normal 4 2 2 6 3 3 4" xfId="16727" xr:uid="{00000000-0005-0000-0000-00007EB70000}"/>
    <cellStyle name="Normal 4 2 2 6 3 3 4 2" xfId="42601" xr:uid="{00000000-0005-0000-0000-00007FB70000}"/>
    <cellStyle name="Normal 4 2 2 6 3 3 5" xfId="29653" xr:uid="{00000000-0005-0000-0000-000080B70000}"/>
    <cellStyle name="Normal 4 2 2 6 3 4" xfId="5423" xr:uid="{00000000-0005-0000-0000-000081B70000}"/>
    <cellStyle name="Normal 4 2 2 6 3 4 2" xfId="11882" xr:uid="{00000000-0005-0000-0000-000082B70000}"/>
    <cellStyle name="Normal 4 2 2 6 3 4 2 2" xfId="24799" xr:uid="{00000000-0005-0000-0000-000083B70000}"/>
    <cellStyle name="Normal 4 2 2 6 3 4 2 2 2" xfId="50673" xr:uid="{00000000-0005-0000-0000-000084B70000}"/>
    <cellStyle name="Normal 4 2 2 6 3 4 2 3" xfId="37757" xr:uid="{00000000-0005-0000-0000-000085B70000}"/>
    <cellStyle name="Normal 4 2 2 6 3 4 3" xfId="18341" xr:uid="{00000000-0005-0000-0000-000086B70000}"/>
    <cellStyle name="Normal 4 2 2 6 3 4 3 2" xfId="44215" xr:uid="{00000000-0005-0000-0000-000087B70000}"/>
    <cellStyle name="Normal 4 2 2 6 3 4 4" xfId="31299" xr:uid="{00000000-0005-0000-0000-000088B70000}"/>
    <cellStyle name="Normal 4 2 2 6 3 5" xfId="8654" xr:uid="{00000000-0005-0000-0000-000089B70000}"/>
    <cellStyle name="Normal 4 2 2 6 3 5 2" xfId="21571" xr:uid="{00000000-0005-0000-0000-00008AB70000}"/>
    <cellStyle name="Normal 4 2 2 6 3 5 2 2" xfId="47445" xr:uid="{00000000-0005-0000-0000-00008BB70000}"/>
    <cellStyle name="Normal 4 2 2 6 3 5 3" xfId="34529" xr:uid="{00000000-0005-0000-0000-00008CB70000}"/>
    <cellStyle name="Normal 4 2 2 6 3 6" xfId="15113" xr:uid="{00000000-0005-0000-0000-00008DB70000}"/>
    <cellStyle name="Normal 4 2 2 6 3 6 2" xfId="40987" xr:uid="{00000000-0005-0000-0000-00008EB70000}"/>
    <cellStyle name="Normal 4 2 2 6 3 7" xfId="28039" xr:uid="{00000000-0005-0000-0000-00008FB70000}"/>
    <cellStyle name="Normal 4 2 2 6 3 8" xfId="53901" xr:uid="{00000000-0005-0000-0000-000090B70000}"/>
    <cellStyle name="Normal 4 2 2 6 4" xfId="2553" xr:uid="{00000000-0005-0000-0000-000091B70000}"/>
    <cellStyle name="Normal 4 2 2 6 4 2" xfId="4210" xr:uid="{00000000-0005-0000-0000-000092B70000}"/>
    <cellStyle name="Normal 4 2 2 6 4 2 2" xfId="7441" xr:uid="{00000000-0005-0000-0000-000093B70000}"/>
    <cellStyle name="Normal 4 2 2 6 4 2 2 2" xfId="13900" xr:uid="{00000000-0005-0000-0000-000094B70000}"/>
    <cellStyle name="Normal 4 2 2 6 4 2 2 2 2" xfId="26817" xr:uid="{00000000-0005-0000-0000-000095B70000}"/>
    <cellStyle name="Normal 4 2 2 6 4 2 2 2 2 2" xfId="52691" xr:uid="{00000000-0005-0000-0000-000096B70000}"/>
    <cellStyle name="Normal 4 2 2 6 4 2 2 2 3" xfId="39775" xr:uid="{00000000-0005-0000-0000-000097B70000}"/>
    <cellStyle name="Normal 4 2 2 6 4 2 2 3" xfId="20359" xr:uid="{00000000-0005-0000-0000-000098B70000}"/>
    <cellStyle name="Normal 4 2 2 6 4 2 2 3 2" xfId="46233" xr:uid="{00000000-0005-0000-0000-000099B70000}"/>
    <cellStyle name="Normal 4 2 2 6 4 2 2 4" xfId="33317" xr:uid="{00000000-0005-0000-0000-00009AB70000}"/>
    <cellStyle name="Normal 4 2 2 6 4 2 3" xfId="10672" xr:uid="{00000000-0005-0000-0000-00009BB70000}"/>
    <cellStyle name="Normal 4 2 2 6 4 2 3 2" xfId="23589" xr:uid="{00000000-0005-0000-0000-00009CB70000}"/>
    <cellStyle name="Normal 4 2 2 6 4 2 3 2 2" xfId="49463" xr:uid="{00000000-0005-0000-0000-00009DB70000}"/>
    <cellStyle name="Normal 4 2 2 6 4 2 3 3" xfId="36547" xr:uid="{00000000-0005-0000-0000-00009EB70000}"/>
    <cellStyle name="Normal 4 2 2 6 4 2 4" xfId="17131" xr:uid="{00000000-0005-0000-0000-00009FB70000}"/>
    <cellStyle name="Normal 4 2 2 6 4 2 4 2" xfId="43005" xr:uid="{00000000-0005-0000-0000-0000A0B70000}"/>
    <cellStyle name="Normal 4 2 2 6 4 2 5" xfId="30057" xr:uid="{00000000-0005-0000-0000-0000A1B70000}"/>
    <cellStyle name="Normal 4 2 2 6 4 3" xfId="5827" xr:uid="{00000000-0005-0000-0000-0000A2B70000}"/>
    <cellStyle name="Normal 4 2 2 6 4 3 2" xfId="12286" xr:uid="{00000000-0005-0000-0000-0000A3B70000}"/>
    <cellStyle name="Normal 4 2 2 6 4 3 2 2" xfId="25203" xr:uid="{00000000-0005-0000-0000-0000A4B70000}"/>
    <cellStyle name="Normal 4 2 2 6 4 3 2 2 2" xfId="51077" xr:uid="{00000000-0005-0000-0000-0000A5B70000}"/>
    <cellStyle name="Normal 4 2 2 6 4 3 2 3" xfId="38161" xr:uid="{00000000-0005-0000-0000-0000A6B70000}"/>
    <cellStyle name="Normal 4 2 2 6 4 3 3" xfId="18745" xr:uid="{00000000-0005-0000-0000-0000A7B70000}"/>
    <cellStyle name="Normal 4 2 2 6 4 3 3 2" xfId="44619" xr:uid="{00000000-0005-0000-0000-0000A8B70000}"/>
    <cellStyle name="Normal 4 2 2 6 4 3 4" xfId="31703" xr:uid="{00000000-0005-0000-0000-0000A9B70000}"/>
    <cellStyle name="Normal 4 2 2 6 4 4" xfId="9058" xr:uid="{00000000-0005-0000-0000-0000AAB70000}"/>
    <cellStyle name="Normal 4 2 2 6 4 4 2" xfId="21975" xr:uid="{00000000-0005-0000-0000-0000ABB70000}"/>
    <cellStyle name="Normal 4 2 2 6 4 4 2 2" xfId="47849" xr:uid="{00000000-0005-0000-0000-0000ACB70000}"/>
    <cellStyle name="Normal 4 2 2 6 4 4 3" xfId="34933" xr:uid="{00000000-0005-0000-0000-0000ADB70000}"/>
    <cellStyle name="Normal 4 2 2 6 4 5" xfId="15517" xr:uid="{00000000-0005-0000-0000-0000AEB70000}"/>
    <cellStyle name="Normal 4 2 2 6 4 5 2" xfId="41391" xr:uid="{00000000-0005-0000-0000-0000AFB70000}"/>
    <cellStyle name="Normal 4 2 2 6 4 6" xfId="28443" xr:uid="{00000000-0005-0000-0000-0000B0B70000}"/>
    <cellStyle name="Normal 4 2 2 6 5" xfId="3378" xr:uid="{00000000-0005-0000-0000-0000B1B70000}"/>
    <cellStyle name="Normal 4 2 2 6 5 2" xfId="6634" xr:uid="{00000000-0005-0000-0000-0000B2B70000}"/>
    <cellStyle name="Normal 4 2 2 6 5 2 2" xfId="13093" xr:uid="{00000000-0005-0000-0000-0000B3B70000}"/>
    <cellStyle name="Normal 4 2 2 6 5 2 2 2" xfId="26010" xr:uid="{00000000-0005-0000-0000-0000B4B70000}"/>
    <cellStyle name="Normal 4 2 2 6 5 2 2 2 2" xfId="51884" xr:uid="{00000000-0005-0000-0000-0000B5B70000}"/>
    <cellStyle name="Normal 4 2 2 6 5 2 2 3" xfId="38968" xr:uid="{00000000-0005-0000-0000-0000B6B70000}"/>
    <cellStyle name="Normal 4 2 2 6 5 2 3" xfId="19552" xr:uid="{00000000-0005-0000-0000-0000B7B70000}"/>
    <cellStyle name="Normal 4 2 2 6 5 2 3 2" xfId="45426" xr:uid="{00000000-0005-0000-0000-0000B8B70000}"/>
    <cellStyle name="Normal 4 2 2 6 5 2 4" xfId="32510" xr:uid="{00000000-0005-0000-0000-0000B9B70000}"/>
    <cellStyle name="Normal 4 2 2 6 5 3" xfId="9865" xr:uid="{00000000-0005-0000-0000-0000BAB70000}"/>
    <cellStyle name="Normal 4 2 2 6 5 3 2" xfId="22782" xr:uid="{00000000-0005-0000-0000-0000BBB70000}"/>
    <cellStyle name="Normal 4 2 2 6 5 3 2 2" xfId="48656" xr:uid="{00000000-0005-0000-0000-0000BCB70000}"/>
    <cellStyle name="Normal 4 2 2 6 5 3 3" xfId="35740" xr:uid="{00000000-0005-0000-0000-0000BDB70000}"/>
    <cellStyle name="Normal 4 2 2 6 5 4" xfId="16324" xr:uid="{00000000-0005-0000-0000-0000BEB70000}"/>
    <cellStyle name="Normal 4 2 2 6 5 4 2" xfId="42198" xr:uid="{00000000-0005-0000-0000-0000BFB70000}"/>
    <cellStyle name="Normal 4 2 2 6 5 5" xfId="29250" xr:uid="{00000000-0005-0000-0000-0000C0B70000}"/>
    <cellStyle name="Normal 4 2 2 6 6" xfId="5020" xr:uid="{00000000-0005-0000-0000-0000C1B70000}"/>
    <cellStyle name="Normal 4 2 2 6 6 2" xfId="11479" xr:uid="{00000000-0005-0000-0000-0000C2B70000}"/>
    <cellStyle name="Normal 4 2 2 6 6 2 2" xfId="24396" xr:uid="{00000000-0005-0000-0000-0000C3B70000}"/>
    <cellStyle name="Normal 4 2 2 6 6 2 2 2" xfId="50270" xr:uid="{00000000-0005-0000-0000-0000C4B70000}"/>
    <cellStyle name="Normal 4 2 2 6 6 2 3" xfId="37354" xr:uid="{00000000-0005-0000-0000-0000C5B70000}"/>
    <cellStyle name="Normal 4 2 2 6 6 3" xfId="17938" xr:uid="{00000000-0005-0000-0000-0000C6B70000}"/>
    <cellStyle name="Normal 4 2 2 6 6 3 2" xfId="43812" xr:uid="{00000000-0005-0000-0000-0000C7B70000}"/>
    <cellStyle name="Normal 4 2 2 6 6 4" xfId="30896" xr:uid="{00000000-0005-0000-0000-0000C8B70000}"/>
    <cellStyle name="Normal 4 2 2 6 7" xfId="8250" xr:uid="{00000000-0005-0000-0000-0000C9B70000}"/>
    <cellStyle name="Normal 4 2 2 6 7 2" xfId="21167" xr:uid="{00000000-0005-0000-0000-0000CAB70000}"/>
    <cellStyle name="Normal 4 2 2 6 7 2 2" xfId="47041" xr:uid="{00000000-0005-0000-0000-0000CBB70000}"/>
    <cellStyle name="Normal 4 2 2 6 7 3" xfId="34125" xr:uid="{00000000-0005-0000-0000-0000CCB70000}"/>
    <cellStyle name="Normal 4 2 2 6 8" xfId="14709" xr:uid="{00000000-0005-0000-0000-0000CDB70000}"/>
    <cellStyle name="Normal 4 2 2 6 8 2" xfId="40583" xr:uid="{00000000-0005-0000-0000-0000CEB70000}"/>
    <cellStyle name="Normal 4 2 2 6 9" xfId="27633" xr:uid="{00000000-0005-0000-0000-0000CFB70000}"/>
    <cellStyle name="Normal 4 2 2 7" xfId="1327" xr:uid="{00000000-0005-0000-0000-0000D0B70000}"/>
    <cellStyle name="Normal 4 2 3" xfId="254" xr:uid="{00000000-0005-0000-0000-0000D1B70000}"/>
    <cellStyle name="Normal 4 2 3 2" xfId="431" xr:uid="{00000000-0005-0000-0000-0000D2B70000}"/>
    <cellStyle name="Normal 4 2 3 2 2" xfId="962" xr:uid="{00000000-0005-0000-0000-0000D3B70000}"/>
    <cellStyle name="Normal 4 2 3 2 3" xfId="961" xr:uid="{00000000-0005-0000-0000-0000D4B70000}"/>
    <cellStyle name="Normal 4 2 3 2 4" xfId="1491" xr:uid="{00000000-0005-0000-0000-0000D5B70000}"/>
    <cellStyle name="Normal 4 2 3 3" xfId="963" xr:uid="{00000000-0005-0000-0000-0000D6B70000}"/>
    <cellStyle name="Normal 4 2 3 3 10" xfId="53542" xr:uid="{00000000-0005-0000-0000-0000D7B70000}"/>
    <cellStyle name="Normal 4 2 3 3 11" xfId="1626" xr:uid="{00000000-0005-0000-0000-0000D8B70000}"/>
    <cellStyle name="Normal 4 2 3 3 2" xfId="1951" xr:uid="{00000000-0005-0000-0000-0000D9B70000}"/>
    <cellStyle name="Normal 4 2 3 3 2 2" xfId="2382" xr:uid="{00000000-0005-0000-0000-0000DAB70000}"/>
    <cellStyle name="Normal 4 2 3 3 2 2 2" xfId="3195" xr:uid="{00000000-0005-0000-0000-0000DBB70000}"/>
    <cellStyle name="Normal 4 2 3 3 2 2 2 2" xfId="4852" xr:uid="{00000000-0005-0000-0000-0000DCB70000}"/>
    <cellStyle name="Normal 4 2 3 3 2 2 2 2 2" xfId="8083" xr:uid="{00000000-0005-0000-0000-0000DDB70000}"/>
    <cellStyle name="Normal 4 2 3 3 2 2 2 2 2 2" xfId="14542" xr:uid="{00000000-0005-0000-0000-0000DEB70000}"/>
    <cellStyle name="Normal 4 2 3 3 2 2 2 2 2 2 2" xfId="27459" xr:uid="{00000000-0005-0000-0000-0000DFB70000}"/>
    <cellStyle name="Normal 4 2 3 3 2 2 2 2 2 2 2 2" xfId="53333" xr:uid="{00000000-0005-0000-0000-0000E0B70000}"/>
    <cellStyle name="Normal 4 2 3 3 2 2 2 2 2 2 3" xfId="40417" xr:uid="{00000000-0005-0000-0000-0000E1B70000}"/>
    <cellStyle name="Normal 4 2 3 3 2 2 2 2 2 3" xfId="21001" xr:uid="{00000000-0005-0000-0000-0000E2B70000}"/>
    <cellStyle name="Normal 4 2 3 3 2 2 2 2 2 3 2" xfId="46875" xr:uid="{00000000-0005-0000-0000-0000E3B70000}"/>
    <cellStyle name="Normal 4 2 3 3 2 2 2 2 2 4" xfId="33959" xr:uid="{00000000-0005-0000-0000-0000E4B70000}"/>
    <cellStyle name="Normal 4 2 3 3 2 2 2 2 3" xfId="11314" xr:uid="{00000000-0005-0000-0000-0000E5B70000}"/>
    <cellStyle name="Normal 4 2 3 3 2 2 2 2 3 2" xfId="24231" xr:uid="{00000000-0005-0000-0000-0000E6B70000}"/>
    <cellStyle name="Normal 4 2 3 3 2 2 2 2 3 2 2" xfId="50105" xr:uid="{00000000-0005-0000-0000-0000E7B70000}"/>
    <cellStyle name="Normal 4 2 3 3 2 2 2 2 3 3" xfId="37189" xr:uid="{00000000-0005-0000-0000-0000E8B70000}"/>
    <cellStyle name="Normal 4 2 3 3 2 2 2 2 4" xfId="17773" xr:uid="{00000000-0005-0000-0000-0000E9B70000}"/>
    <cellStyle name="Normal 4 2 3 3 2 2 2 2 4 2" xfId="43647" xr:uid="{00000000-0005-0000-0000-0000EAB70000}"/>
    <cellStyle name="Normal 4 2 3 3 2 2 2 2 5" xfId="30699" xr:uid="{00000000-0005-0000-0000-0000EBB70000}"/>
    <cellStyle name="Normal 4 2 3 3 2 2 2 3" xfId="6469" xr:uid="{00000000-0005-0000-0000-0000ECB70000}"/>
    <cellStyle name="Normal 4 2 3 3 2 2 2 3 2" xfId="12928" xr:uid="{00000000-0005-0000-0000-0000EDB70000}"/>
    <cellStyle name="Normal 4 2 3 3 2 2 2 3 2 2" xfId="25845" xr:uid="{00000000-0005-0000-0000-0000EEB70000}"/>
    <cellStyle name="Normal 4 2 3 3 2 2 2 3 2 2 2" xfId="51719" xr:uid="{00000000-0005-0000-0000-0000EFB70000}"/>
    <cellStyle name="Normal 4 2 3 3 2 2 2 3 2 3" xfId="38803" xr:uid="{00000000-0005-0000-0000-0000F0B70000}"/>
    <cellStyle name="Normal 4 2 3 3 2 2 2 3 3" xfId="19387" xr:uid="{00000000-0005-0000-0000-0000F1B70000}"/>
    <cellStyle name="Normal 4 2 3 3 2 2 2 3 3 2" xfId="45261" xr:uid="{00000000-0005-0000-0000-0000F2B70000}"/>
    <cellStyle name="Normal 4 2 3 3 2 2 2 3 4" xfId="32345" xr:uid="{00000000-0005-0000-0000-0000F3B70000}"/>
    <cellStyle name="Normal 4 2 3 3 2 2 2 4" xfId="9700" xr:uid="{00000000-0005-0000-0000-0000F4B70000}"/>
    <cellStyle name="Normal 4 2 3 3 2 2 2 4 2" xfId="22617" xr:uid="{00000000-0005-0000-0000-0000F5B70000}"/>
    <cellStyle name="Normal 4 2 3 3 2 2 2 4 2 2" xfId="48491" xr:uid="{00000000-0005-0000-0000-0000F6B70000}"/>
    <cellStyle name="Normal 4 2 3 3 2 2 2 4 3" xfId="35575" xr:uid="{00000000-0005-0000-0000-0000F7B70000}"/>
    <cellStyle name="Normal 4 2 3 3 2 2 2 5" xfId="16159" xr:uid="{00000000-0005-0000-0000-0000F8B70000}"/>
    <cellStyle name="Normal 4 2 3 3 2 2 2 5 2" xfId="42033" xr:uid="{00000000-0005-0000-0000-0000F9B70000}"/>
    <cellStyle name="Normal 4 2 3 3 2 2 2 6" xfId="29085" xr:uid="{00000000-0005-0000-0000-0000FAB70000}"/>
    <cellStyle name="Normal 4 2 3 3 2 2 3" xfId="4022" xr:uid="{00000000-0005-0000-0000-0000FBB70000}"/>
    <cellStyle name="Normal 4 2 3 3 2 2 3 2" xfId="7276" xr:uid="{00000000-0005-0000-0000-0000FCB70000}"/>
    <cellStyle name="Normal 4 2 3 3 2 2 3 2 2" xfId="13735" xr:uid="{00000000-0005-0000-0000-0000FDB70000}"/>
    <cellStyle name="Normal 4 2 3 3 2 2 3 2 2 2" xfId="26652" xr:uid="{00000000-0005-0000-0000-0000FEB70000}"/>
    <cellStyle name="Normal 4 2 3 3 2 2 3 2 2 2 2" xfId="52526" xr:uid="{00000000-0005-0000-0000-0000FFB70000}"/>
    <cellStyle name="Normal 4 2 3 3 2 2 3 2 2 3" xfId="39610" xr:uid="{00000000-0005-0000-0000-000000B80000}"/>
    <cellStyle name="Normal 4 2 3 3 2 2 3 2 3" xfId="20194" xr:uid="{00000000-0005-0000-0000-000001B80000}"/>
    <cellStyle name="Normal 4 2 3 3 2 2 3 2 3 2" xfId="46068" xr:uid="{00000000-0005-0000-0000-000002B80000}"/>
    <cellStyle name="Normal 4 2 3 3 2 2 3 2 4" xfId="33152" xr:uid="{00000000-0005-0000-0000-000003B80000}"/>
    <cellStyle name="Normal 4 2 3 3 2 2 3 3" xfId="10507" xr:uid="{00000000-0005-0000-0000-000004B80000}"/>
    <cellStyle name="Normal 4 2 3 3 2 2 3 3 2" xfId="23424" xr:uid="{00000000-0005-0000-0000-000005B80000}"/>
    <cellStyle name="Normal 4 2 3 3 2 2 3 3 2 2" xfId="49298" xr:uid="{00000000-0005-0000-0000-000006B80000}"/>
    <cellStyle name="Normal 4 2 3 3 2 2 3 3 3" xfId="36382" xr:uid="{00000000-0005-0000-0000-000007B80000}"/>
    <cellStyle name="Normal 4 2 3 3 2 2 3 4" xfId="16966" xr:uid="{00000000-0005-0000-0000-000008B80000}"/>
    <cellStyle name="Normal 4 2 3 3 2 2 3 4 2" xfId="42840" xr:uid="{00000000-0005-0000-0000-000009B80000}"/>
    <cellStyle name="Normal 4 2 3 3 2 2 3 5" xfId="29892" xr:uid="{00000000-0005-0000-0000-00000AB80000}"/>
    <cellStyle name="Normal 4 2 3 3 2 2 4" xfId="5662" xr:uid="{00000000-0005-0000-0000-00000BB80000}"/>
    <cellStyle name="Normal 4 2 3 3 2 2 4 2" xfId="12121" xr:uid="{00000000-0005-0000-0000-00000CB80000}"/>
    <cellStyle name="Normal 4 2 3 3 2 2 4 2 2" xfId="25038" xr:uid="{00000000-0005-0000-0000-00000DB80000}"/>
    <cellStyle name="Normal 4 2 3 3 2 2 4 2 2 2" xfId="50912" xr:uid="{00000000-0005-0000-0000-00000EB80000}"/>
    <cellStyle name="Normal 4 2 3 3 2 2 4 2 3" xfId="37996" xr:uid="{00000000-0005-0000-0000-00000FB80000}"/>
    <cellStyle name="Normal 4 2 3 3 2 2 4 3" xfId="18580" xr:uid="{00000000-0005-0000-0000-000010B80000}"/>
    <cellStyle name="Normal 4 2 3 3 2 2 4 3 2" xfId="44454" xr:uid="{00000000-0005-0000-0000-000011B80000}"/>
    <cellStyle name="Normal 4 2 3 3 2 2 4 4" xfId="31538" xr:uid="{00000000-0005-0000-0000-000012B80000}"/>
    <cellStyle name="Normal 4 2 3 3 2 2 5" xfId="8893" xr:uid="{00000000-0005-0000-0000-000013B80000}"/>
    <cellStyle name="Normal 4 2 3 3 2 2 5 2" xfId="21810" xr:uid="{00000000-0005-0000-0000-000014B80000}"/>
    <cellStyle name="Normal 4 2 3 3 2 2 5 2 2" xfId="47684" xr:uid="{00000000-0005-0000-0000-000015B80000}"/>
    <cellStyle name="Normal 4 2 3 3 2 2 5 3" xfId="34768" xr:uid="{00000000-0005-0000-0000-000016B80000}"/>
    <cellStyle name="Normal 4 2 3 3 2 2 6" xfId="15352" xr:uid="{00000000-0005-0000-0000-000017B80000}"/>
    <cellStyle name="Normal 4 2 3 3 2 2 6 2" xfId="41226" xr:uid="{00000000-0005-0000-0000-000018B80000}"/>
    <cellStyle name="Normal 4 2 3 3 2 2 7" xfId="28278" xr:uid="{00000000-0005-0000-0000-000019B80000}"/>
    <cellStyle name="Normal 4 2 3 3 2 2 8" xfId="54140" xr:uid="{00000000-0005-0000-0000-00001AB80000}"/>
    <cellStyle name="Normal 4 2 3 3 2 3" xfId="2791" xr:uid="{00000000-0005-0000-0000-00001BB80000}"/>
    <cellStyle name="Normal 4 2 3 3 2 3 2" xfId="4448" xr:uid="{00000000-0005-0000-0000-00001CB80000}"/>
    <cellStyle name="Normal 4 2 3 3 2 3 2 2" xfId="7679" xr:uid="{00000000-0005-0000-0000-00001DB80000}"/>
    <cellStyle name="Normal 4 2 3 3 2 3 2 2 2" xfId="14138" xr:uid="{00000000-0005-0000-0000-00001EB80000}"/>
    <cellStyle name="Normal 4 2 3 3 2 3 2 2 2 2" xfId="27055" xr:uid="{00000000-0005-0000-0000-00001FB80000}"/>
    <cellStyle name="Normal 4 2 3 3 2 3 2 2 2 2 2" xfId="52929" xr:uid="{00000000-0005-0000-0000-000020B80000}"/>
    <cellStyle name="Normal 4 2 3 3 2 3 2 2 2 3" xfId="40013" xr:uid="{00000000-0005-0000-0000-000021B80000}"/>
    <cellStyle name="Normal 4 2 3 3 2 3 2 2 3" xfId="20597" xr:uid="{00000000-0005-0000-0000-000022B80000}"/>
    <cellStyle name="Normal 4 2 3 3 2 3 2 2 3 2" xfId="46471" xr:uid="{00000000-0005-0000-0000-000023B80000}"/>
    <cellStyle name="Normal 4 2 3 3 2 3 2 2 4" xfId="33555" xr:uid="{00000000-0005-0000-0000-000024B80000}"/>
    <cellStyle name="Normal 4 2 3 3 2 3 2 3" xfId="10910" xr:uid="{00000000-0005-0000-0000-000025B80000}"/>
    <cellStyle name="Normal 4 2 3 3 2 3 2 3 2" xfId="23827" xr:uid="{00000000-0005-0000-0000-000026B80000}"/>
    <cellStyle name="Normal 4 2 3 3 2 3 2 3 2 2" xfId="49701" xr:uid="{00000000-0005-0000-0000-000027B80000}"/>
    <cellStyle name="Normal 4 2 3 3 2 3 2 3 3" xfId="36785" xr:uid="{00000000-0005-0000-0000-000028B80000}"/>
    <cellStyle name="Normal 4 2 3 3 2 3 2 4" xfId="17369" xr:uid="{00000000-0005-0000-0000-000029B80000}"/>
    <cellStyle name="Normal 4 2 3 3 2 3 2 4 2" xfId="43243" xr:uid="{00000000-0005-0000-0000-00002AB80000}"/>
    <cellStyle name="Normal 4 2 3 3 2 3 2 5" xfId="30295" xr:uid="{00000000-0005-0000-0000-00002BB80000}"/>
    <cellStyle name="Normal 4 2 3 3 2 3 3" xfId="6065" xr:uid="{00000000-0005-0000-0000-00002CB80000}"/>
    <cellStyle name="Normal 4 2 3 3 2 3 3 2" xfId="12524" xr:uid="{00000000-0005-0000-0000-00002DB80000}"/>
    <cellStyle name="Normal 4 2 3 3 2 3 3 2 2" xfId="25441" xr:uid="{00000000-0005-0000-0000-00002EB80000}"/>
    <cellStyle name="Normal 4 2 3 3 2 3 3 2 2 2" xfId="51315" xr:uid="{00000000-0005-0000-0000-00002FB80000}"/>
    <cellStyle name="Normal 4 2 3 3 2 3 3 2 3" xfId="38399" xr:uid="{00000000-0005-0000-0000-000030B80000}"/>
    <cellStyle name="Normal 4 2 3 3 2 3 3 3" xfId="18983" xr:uid="{00000000-0005-0000-0000-000031B80000}"/>
    <cellStyle name="Normal 4 2 3 3 2 3 3 3 2" xfId="44857" xr:uid="{00000000-0005-0000-0000-000032B80000}"/>
    <cellStyle name="Normal 4 2 3 3 2 3 3 4" xfId="31941" xr:uid="{00000000-0005-0000-0000-000033B80000}"/>
    <cellStyle name="Normal 4 2 3 3 2 3 4" xfId="9296" xr:uid="{00000000-0005-0000-0000-000034B80000}"/>
    <cellStyle name="Normal 4 2 3 3 2 3 4 2" xfId="22213" xr:uid="{00000000-0005-0000-0000-000035B80000}"/>
    <cellStyle name="Normal 4 2 3 3 2 3 4 2 2" xfId="48087" xr:uid="{00000000-0005-0000-0000-000036B80000}"/>
    <cellStyle name="Normal 4 2 3 3 2 3 4 3" xfId="35171" xr:uid="{00000000-0005-0000-0000-000037B80000}"/>
    <cellStyle name="Normal 4 2 3 3 2 3 5" xfId="15755" xr:uid="{00000000-0005-0000-0000-000038B80000}"/>
    <cellStyle name="Normal 4 2 3 3 2 3 5 2" xfId="41629" xr:uid="{00000000-0005-0000-0000-000039B80000}"/>
    <cellStyle name="Normal 4 2 3 3 2 3 6" xfId="28681" xr:uid="{00000000-0005-0000-0000-00003AB80000}"/>
    <cellStyle name="Normal 4 2 3 3 2 4" xfId="3618" xr:uid="{00000000-0005-0000-0000-00003BB80000}"/>
    <cellStyle name="Normal 4 2 3 3 2 4 2" xfId="6872" xr:uid="{00000000-0005-0000-0000-00003CB80000}"/>
    <cellStyle name="Normal 4 2 3 3 2 4 2 2" xfId="13331" xr:uid="{00000000-0005-0000-0000-00003DB80000}"/>
    <cellStyle name="Normal 4 2 3 3 2 4 2 2 2" xfId="26248" xr:uid="{00000000-0005-0000-0000-00003EB80000}"/>
    <cellStyle name="Normal 4 2 3 3 2 4 2 2 2 2" xfId="52122" xr:uid="{00000000-0005-0000-0000-00003FB80000}"/>
    <cellStyle name="Normal 4 2 3 3 2 4 2 2 3" xfId="39206" xr:uid="{00000000-0005-0000-0000-000040B80000}"/>
    <cellStyle name="Normal 4 2 3 3 2 4 2 3" xfId="19790" xr:uid="{00000000-0005-0000-0000-000041B80000}"/>
    <cellStyle name="Normal 4 2 3 3 2 4 2 3 2" xfId="45664" xr:uid="{00000000-0005-0000-0000-000042B80000}"/>
    <cellStyle name="Normal 4 2 3 3 2 4 2 4" xfId="32748" xr:uid="{00000000-0005-0000-0000-000043B80000}"/>
    <cellStyle name="Normal 4 2 3 3 2 4 3" xfId="10103" xr:uid="{00000000-0005-0000-0000-000044B80000}"/>
    <cellStyle name="Normal 4 2 3 3 2 4 3 2" xfId="23020" xr:uid="{00000000-0005-0000-0000-000045B80000}"/>
    <cellStyle name="Normal 4 2 3 3 2 4 3 2 2" xfId="48894" xr:uid="{00000000-0005-0000-0000-000046B80000}"/>
    <cellStyle name="Normal 4 2 3 3 2 4 3 3" xfId="35978" xr:uid="{00000000-0005-0000-0000-000047B80000}"/>
    <cellStyle name="Normal 4 2 3 3 2 4 4" xfId="16562" xr:uid="{00000000-0005-0000-0000-000048B80000}"/>
    <cellStyle name="Normal 4 2 3 3 2 4 4 2" xfId="42436" xr:uid="{00000000-0005-0000-0000-000049B80000}"/>
    <cellStyle name="Normal 4 2 3 3 2 4 5" xfId="29488" xr:uid="{00000000-0005-0000-0000-00004AB80000}"/>
    <cellStyle name="Normal 4 2 3 3 2 5" xfId="5258" xr:uid="{00000000-0005-0000-0000-00004BB80000}"/>
    <cellStyle name="Normal 4 2 3 3 2 5 2" xfId="11717" xr:uid="{00000000-0005-0000-0000-00004CB80000}"/>
    <cellStyle name="Normal 4 2 3 3 2 5 2 2" xfId="24634" xr:uid="{00000000-0005-0000-0000-00004DB80000}"/>
    <cellStyle name="Normal 4 2 3 3 2 5 2 2 2" xfId="50508" xr:uid="{00000000-0005-0000-0000-00004EB80000}"/>
    <cellStyle name="Normal 4 2 3 3 2 5 2 3" xfId="37592" xr:uid="{00000000-0005-0000-0000-00004FB80000}"/>
    <cellStyle name="Normal 4 2 3 3 2 5 3" xfId="18176" xr:uid="{00000000-0005-0000-0000-000050B80000}"/>
    <cellStyle name="Normal 4 2 3 3 2 5 3 2" xfId="44050" xr:uid="{00000000-0005-0000-0000-000051B80000}"/>
    <cellStyle name="Normal 4 2 3 3 2 5 4" xfId="31134" xr:uid="{00000000-0005-0000-0000-000052B80000}"/>
    <cellStyle name="Normal 4 2 3 3 2 6" xfId="8489" xr:uid="{00000000-0005-0000-0000-000053B80000}"/>
    <cellStyle name="Normal 4 2 3 3 2 6 2" xfId="21406" xr:uid="{00000000-0005-0000-0000-000054B80000}"/>
    <cellStyle name="Normal 4 2 3 3 2 6 2 2" xfId="47280" xr:uid="{00000000-0005-0000-0000-000055B80000}"/>
    <cellStyle name="Normal 4 2 3 3 2 6 3" xfId="34364" xr:uid="{00000000-0005-0000-0000-000056B80000}"/>
    <cellStyle name="Normal 4 2 3 3 2 7" xfId="14948" xr:uid="{00000000-0005-0000-0000-000057B80000}"/>
    <cellStyle name="Normal 4 2 3 3 2 7 2" xfId="40822" xr:uid="{00000000-0005-0000-0000-000058B80000}"/>
    <cellStyle name="Normal 4 2 3 3 2 8" xfId="27873" xr:uid="{00000000-0005-0000-0000-000059B80000}"/>
    <cellStyle name="Normal 4 2 3 3 2 9" xfId="53736" xr:uid="{00000000-0005-0000-0000-00005AB80000}"/>
    <cellStyle name="Normal 4 2 3 3 3" xfId="2186" xr:uid="{00000000-0005-0000-0000-00005BB80000}"/>
    <cellStyle name="Normal 4 2 3 3 3 2" xfId="3000" xr:uid="{00000000-0005-0000-0000-00005CB80000}"/>
    <cellStyle name="Normal 4 2 3 3 3 2 2" xfId="4657" xr:uid="{00000000-0005-0000-0000-00005DB80000}"/>
    <cellStyle name="Normal 4 2 3 3 3 2 2 2" xfId="7888" xr:uid="{00000000-0005-0000-0000-00005EB80000}"/>
    <cellStyle name="Normal 4 2 3 3 3 2 2 2 2" xfId="14347" xr:uid="{00000000-0005-0000-0000-00005FB80000}"/>
    <cellStyle name="Normal 4 2 3 3 3 2 2 2 2 2" xfId="27264" xr:uid="{00000000-0005-0000-0000-000060B80000}"/>
    <cellStyle name="Normal 4 2 3 3 3 2 2 2 2 2 2" xfId="53138" xr:uid="{00000000-0005-0000-0000-000061B80000}"/>
    <cellStyle name="Normal 4 2 3 3 3 2 2 2 2 3" xfId="40222" xr:uid="{00000000-0005-0000-0000-000062B80000}"/>
    <cellStyle name="Normal 4 2 3 3 3 2 2 2 3" xfId="20806" xr:uid="{00000000-0005-0000-0000-000063B80000}"/>
    <cellStyle name="Normal 4 2 3 3 3 2 2 2 3 2" xfId="46680" xr:uid="{00000000-0005-0000-0000-000064B80000}"/>
    <cellStyle name="Normal 4 2 3 3 3 2 2 2 4" xfId="33764" xr:uid="{00000000-0005-0000-0000-000065B80000}"/>
    <cellStyle name="Normal 4 2 3 3 3 2 2 3" xfId="11119" xr:uid="{00000000-0005-0000-0000-000066B80000}"/>
    <cellStyle name="Normal 4 2 3 3 3 2 2 3 2" xfId="24036" xr:uid="{00000000-0005-0000-0000-000067B80000}"/>
    <cellStyle name="Normal 4 2 3 3 3 2 2 3 2 2" xfId="49910" xr:uid="{00000000-0005-0000-0000-000068B80000}"/>
    <cellStyle name="Normal 4 2 3 3 3 2 2 3 3" xfId="36994" xr:uid="{00000000-0005-0000-0000-000069B80000}"/>
    <cellStyle name="Normal 4 2 3 3 3 2 2 4" xfId="17578" xr:uid="{00000000-0005-0000-0000-00006AB80000}"/>
    <cellStyle name="Normal 4 2 3 3 3 2 2 4 2" xfId="43452" xr:uid="{00000000-0005-0000-0000-00006BB80000}"/>
    <cellStyle name="Normal 4 2 3 3 3 2 2 5" xfId="30504" xr:uid="{00000000-0005-0000-0000-00006CB80000}"/>
    <cellStyle name="Normal 4 2 3 3 3 2 3" xfId="6274" xr:uid="{00000000-0005-0000-0000-00006DB80000}"/>
    <cellStyle name="Normal 4 2 3 3 3 2 3 2" xfId="12733" xr:uid="{00000000-0005-0000-0000-00006EB80000}"/>
    <cellStyle name="Normal 4 2 3 3 3 2 3 2 2" xfId="25650" xr:uid="{00000000-0005-0000-0000-00006FB80000}"/>
    <cellStyle name="Normal 4 2 3 3 3 2 3 2 2 2" xfId="51524" xr:uid="{00000000-0005-0000-0000-000070B80000}"/>
    <cellStyle name="Normal 4 2 3 3 3 2 3 2 3" xfId="38608" xr:uid="{00000000-0005-0000-0000-000071B80000}"/>
    <cellStyle name="Normal 4 2 3 3 3 2 3 3" xfId="19192" xr:uid="{00000000-0005-0000-0000-000072B80000}"/>
    <cellStyle name="Normal 4 2 3 3 3 2 3 3 2" xfId="45066" xr:uid="{00000000-0005-0000-0000-000073B80000}"/>
    <cellStyle name="Normal 4 2 3 3 3 2 3 4" xfId="32150" xr:uid="{00000000-0005-0000-0000-000074B80000}"/>
    <cellStyle name="Normal 4 2 3 3 3 2 4" xfId="9505" xr:uid="{00000000-0005-0000-0000-000075B80000}"/>
    <cellStyle name="Normal 4 2 3 3 3 2 4 2" xfId="22422" xr:uid="{00000000-0005-0000-0000-000076B80000}"/>
    <cellStyle name="Normal 4 2 3 3 3 2 4 2 2" xfId="48296" xr:uid="{00000000-0005-0000-0000-000077B80000}"/>
    <cellStyle name="Normal 4 2 3 3 3 2 4 3" xfId="35380" xr:uid="{00000000-0005-0000-0000-000078B80000}"/>
    <cellStyle name="Normal 4 2 3 3 3 2 5" xfId="15964" xr:uid="{00000000-0005-0000-0000-000079B80000}"/>
    <cellStyle name="Normal 4 2 3 3 3 2 5 2" xfId="41838" xr:uid="{00000000-0005-0000-0000-00007AB80000}"/>
    <cellStyle name="Normal 4 2 3 3 3 2 6" xfId="28890" xr:uid="{00000000-0005-0000-0000-00007BB80000}"/>
    <cellStyle name="Normal 4 2 3 3 3 3" xfId="3827" xr:uid="{00000000-0005-0000-0000-00007CB80000}"/>
    <cellStyle name="Normal 4 2 3 3 3 3 2" xfId="7081" xr:uid="{00000000-0005-0000-0000-00007DB80000}"/>
    <cellStyle name="Normal 4 2 3 3 3 3 2 2" xfId="13540" xr:uid="{00000000-0005-0000-0000-00007EB80000}"/>
    <cellStyle name="Normal 4 2 3 3 3 3 2 2 2" xfId="26457" xr:uid="{00000000-0005-0000-0000-00007FB80000}"/>
    <cellStyle name="Normal 4 2 3 3 3 3 2 2 2 2" xfId="52331" xr:uid="{00000000-0005-0000-0000-000080B80000}"/>
    <cellStyle name="Normal 4 2 3 3 3 3 2 2 3" xfId="39415" xr:uid="{00000000-0005-0000-0000-000081B80000}"/>
    <cellStyle name="Normal 4 2 3 3 3 3 2 3" xfId="19999" xr:uid="{00000000-0005-0000-0000-000082B80000}"/>
    <cellStyle name="Normal 4 2 3 3 3 3 2 3 2" xfId="45873" xr:uid="{00000000-0005-0000-0000-000083B80000}"/>
    <cellStyle name="Normal 4 2 3 3 3 3 2 4" xfId="32957" xr:uid="{00000000-0005-0000-0000-000084B80000}"/>
    <cellStyle name="Normal 4 2 3 3 3 3 3" xfId="10312" xr:uid="{00000000-0005-0000-0000-000085B80000}"/>
    <cellStyle name="Normal 4 2 3 3 3 3 3 2" xfId="23229" xr:uid="{00000000-0005-0000-0000-000086B80000}"/>
    <cellStyle name="Normal 4 2 3 3 3 3 3 2 2" xfId="49103" xr:uid="{00000000-0005-0000-0000-000087B80000}"/>
    <cellStyle name="Normal 4 2 3 3 3 3 3 3" xfId="36187" xr:uid="{00000000-0005-0000-0000-000088B80000}"/>
    <cellStyle name="Normal 4 2 3 3 3 3 4" xfId="16771" xr:uid="{00000000-0005-0000-0000-000089B80000}"/>
    <cellStyle name="Normal 4 2 3 3 3 3 4 2" xfId="42645" xr:uid="{00000000-0005-0000-0000-00008AB80000}"/>
    <cellStyle name="Normal 4 2 3 3 3 3 5" xfId="29697" xr:uid="{00000000-0005-0000-0000-00008BB80000}"/>
    <cellStyle name="Normal 4 2 3 3 3 4" xfId="5467" xr:uid="{00000000-0005-0000-0000-00008CB80000}"/>
    <cellStyle name="Normal 4 2 3 3 3 4 2" xfId="11926" xr:uid="{00000000-0005-0000-0000-00008DB80000}"/>
    <cellStyle name="Normal 4 2 3 3 3 4 2 2" xfId="24843" xr:uid="{00000000-0005-0000-0000-00008EB80000}"/>
    <cellStyle name="Normal 4 2 3 3 3 4 2 2 2" xfId="50717" xr:uid="{00000000-0005-0000-0000-00008FB80000}"/>
    <cellStyle name="Normal 4 2 3 3 3 4 2 3" xfId="37801" xr:uid="{00000000-0005-0000-0000-000090B80000}"/>
    <cellStyle name="Normal 4 2 3 3 3 4 3" xfId="18385" xr:uid="{00000000-0005-0000-0000-000091B80000}"/>
    <cellStyle name="Normal 4 2 3 3 3 4 3 2" xfId="44259" xr:uid="{00000000-0005-0000-0000-000092B80000}"/>
    <cellStyle name="Normal 4 2 3 3 3 4 4" xfId="31343" xr:uid="{00000000-0005-0000-0000-000093B80000}"/>
    <cellStyle name="Normal 4 2 3 3 3 5" xfId="8698" xr:uid="{00000000-0005-0000-0000-000094B80000}"/>
    <cellStyle name="Normal 4 2 3 3 3 5 2" xfId="21615" xr:uid="{00000000-0005-0000-0000-000095B80000}"/>
    <cellStyle name="Normal 4 2 3 3 3 5 2 2" xfId="47489" xr:uid="{00000000-0005-0000-0000-000096B80000}"/>
    <cellStyle name="Normal 4 2 3 3 3 5 3" xfId="34573" xr:uid="{00000000-0005-0000-0000-000097B80000}"/>
    <cellStyle name="Normal 4 2 3 3 3 6" xfId="15157" xr:uid="{00000000-0005-0000-0000-000098B80000}"/>
    <cellStyle name="Normal 4 2 3 3 3 6 2" xfId="41031" xr:uid="{00000000-0005-0000-0000-000099B80000}"/>
    <cellStyle name="Normal 4 2 3 3 3 7" xfId="28083" xr:uid="{00000000-0005-0000-0000-00009AB80000}"/>
    <cellStyle name="Normal 4 2 3 3 3 8" xfId="53945" xr:uid="{00000000-0005-0000-0000-00009BB80000}"/>
    <cellStyle name="Normal 4 2 3 3 4" xfId="2597" xr:uid="{00000000-0005-0000-0000-00009CB80000}"/>
    <cellStyle name="Normal 4 2 3 3 4 2" xfId="4254" xr:uid="{00000000-0005-0000-0000-00009DB80000}"/>
    <cellStyle name="Normal 4 2 3 3 4 2 2" xfId="7485" xr:uid="{00000000-0005-0000-0000-00009EB80000}"/>
    <cellStyle name="Normal 4 2 3 3 4 2 2 2" xfId="13944" xr:uid="{00000000-0005-0000-0000-00009FB80000}"/>
    <cellStyle name="Normal 4 2 3 3 4 2 2 2 2" xfId="26861" xr:uid="{00000000-0005-0000-0000-0000A0B80000}"/>
    <cellStyle name="Normal 4 2 3 3 4 2 2 2 2 2" xfId="52735" xr:uid="{00000000-0005-0000-0000-0000A1B80000}"/>
    <cellStyle name="Normal 4 2 3 3 4 2 2 2 3" xfId="39819" xr:uid="{00000000-0005-0000-0000-0000A2B80000}"/>
    <cellStyle name="Normal 4 2 3 3 4 2 2 3" xfId="20403" xr:uid="{00000000-0005-0000-0000-0000A3B80000}"/>
    <cellStyle name="Normal 4 2 3 3 4 2 2 3 2" xfId="46277" xr:uid="{00000000-0005-0000-0000-0000A4B80000}"/>
    <cellStyle name="Normal 4 2 3 3 4 2 2 4" xfId="33361" xr:uid="{00000000-0005-0000-0000-0000A5B80000}"/>
    <cellStyle name="Normal 4 2 3 3 4 2 3" xfId="10716" xr:uid="{00000000-0005-0000-0000-0000A6B80000}"/>
    <cellStyle name="Normal 4 2 3 3 4 2 3 2" xfId="23633" xr:uid="{00000000-0005-0000-0000-0000A7B80000}"/>
    <cellStyle name="Normal 4 2 3 3 4 2 3 2 2" xfId="49507" xr:uid="{00000000-0005-0000-0000-0000A8B80000}"/>
    <cellStyle name="Normal 4 2 3 3 4 2 3 3" xfId="36591" xr:uid="{00000000-0005-0000-0000-0000A9B80000}"/>
    <cellStyle name="Normal 4 2 3 3 4 2 4" xfId="17175" xr:uid="{00000000-0005-0000-0000-0000AAB80000}"/>
    <cellStyle name="Normal 4 2 3 3 4 2 4 2" xfId="43049" xr:uid="{00000000-0005-0000-0000-0000ABB80000}"/>
    <cellStyle name="Normal 4 2 3 3 4 2 5" xfId="30101" xr:uid="{00000000-0005-0000-0000-0000ACB80000}"/>
    <cellStyle name="Normal 4 2 3 3 4 3" xfId="5871" xr:uid="{00000000-0005-0000-0000-0000ADB80000}"/>
    <cellStyle name="Normal 4 2 3 3 4 3 2" xfId="12330" xr:uid="{00000000-0005-0000-0000-0000AEB80000}"/>
    <cellStyle name="Normal 4 2 3 3 4 3 2 2" xfId="25247" xr:uid="{00000000-0005-0000-0000-0000AFB80000}"/>
    <cellStyle name="Normal 4 2 3 3 4 3 2 2 2" xfId="51121" xr:uid="{00000000-0005-0000-0000-0000B0B80000}"/>
    <cellStyle name="Normal 4 2 3 3 4 3 2 3" xfId="38205" xr:uid="{00000000-0005-0000-0000-0000B1B80000}"/>
    <cellStyle name="Normal 4 2 3 3 4 3 3" xfId="18789" xr:uid="{00000000-0005-0000-0000-0000B2B80000}"/>
    <cellStyle name="Normal 4 2 3 3 4 3 3 2" xfId="44663" xr:uid="{00000000-0005-0000-0000-0000B3B80000}"/>
    <cellStyle name="Normal 4 2 3 3 4 3 4" xfId="31747" xr:uid="{00000000-0005-0000-0000-0000B4B80000}"/>
    <cellStyle name="Normal 4 2 3 3 4 4" xfId="9102" xr:uid="{00000000-0005-0000-0000-0000B5B80000}"/>
    <cellStyle name="Normal 4 2 3 3 4 4 2" xfId="22019" xr:uid="{00000000-0005-0000-0000-0000B6B80000}"/>
    <cellStyle name="Normal 4 2 3 3 4 4 2 2" xfId="47893" xr:uid="{00000000-0005-0000-0000-0000B7B80000}"/>
    <cellStyle name="Normal 4 2 3 3 4 4 3" xfId="34977" xr:uid="{00000000-0005-0000-0000-0000B8B80000}"/>
    <cellStyle name="Normal 4 2 3 3 4 5" xfId="15561" xr:uid="{00000000-0005-0000-0000-0000B9B80000}"/>
    <cellStyle name="Normal 4 2 3 3 4 5 2" xfId="41435" xr:uid="{00000000-0005-0000-0000-0000BAB80000}"/>
    <cellStyle name="Normal 4 2 3 3 4 6" xfId="28487" xr:uid="{00000000-0005-0000-0000-0000BBB80000}"/>
    <cellStyle name="Normal 4 2 3 3 5" xfId="3424" xr:uid="{00000000-0005-0000-0000-0000BCB80000}"/>
    <cellStyle name="Normal 4 2 3 3 5 2" xfId="6678" xr:uid="{00000000-0005-0000-0000-0000BDB80000}"/>
    <cellStyle name="Normal 4 2 3 3 5 2 2" xfId="13137" xr:uid="{00000000-0005-0000-0000-0000BEB80000}"/>
    <cellStyle name="Normal 4 2 3 3 5 2 2 2" xfId="26054" xr:uid="{00000000-0005-0000-0000-0000BFB80000}"/>
    <cellStyle name="Normal 4 2 3 3 5 2 2 2 2" xfId="51928" xr:uid="{00000000-0005-0000-0000-0000C0B80000}"/>
    <cellStyle name="Normal 4 2 3 3 5 2 2 3" xfId="39012" xr:uid="{00000000-0005-0000-0000-0000C1B80000}"/>
    <cellStyle name="Normal 4 2 3 3 5 2 3" xfId="19596" xr:uid="{00000000-0005-0000-0000-0000C2B80000}"/>
    <cellStyle name="Normal 4 2 3 3 5 2 3 2" xfId="45470" xr:uid="{00000000-0005-0000-0000-0000C3B80000}"/>
    <cellStyle name="Normal 4 2 3 3 5 2 4" xfId="32554" xr:uid="{00000000-0005-0000-0000-0000C4B80000}"/>
    <cellStyle name="Normal 4 2 3 3 5 3" xfId="9909" xr:uid="{00000000-0005-0000-0000-0000C5B80000}"/>
    <cellStyle name="Normal 4 2 3 3 5 3 2" xfId="22826" xr:uid="{00000000-0005-0000-0000-0000C6B80000}"/>
    <cellStyle name="Normal 4 2 3 3 5 3 2 2" xfId="48700" xr:uid="{00000000-0005-0000-0000-0000C7B80000}"/>
    <cellStyle name="Normal 4 2 3 3 5 3 3" xfId="35784" xr:uid="{00000000-0005-0000-0000-0000C8B80000}"/>
    <cellStyle name="Normal 4 2 3 3 5 4" xfId="16368" xr:uid="{00000000-0005-0000-0000-0000C9B80000}"/>
    <cellStyle name="Normal 4 2 3 3 5 4 2" xfId="42242" xr:uid="{00000000-0005-0000-0000-0000CAB80000}"/>
    <cellStyle name="Normal 4 2 3 3 5 5" xfId="29294" xr:uid="{00000000-0005-0000-0000-0000CBB80000}"/>
    <cellStyle name="Normal 4 2 3 3 6" xfId="5064" xr:uid="{00000000-0005-0000-0000-0000CCB80000}"/>
    <cellStyle name="Normal 4 2 3 3 6 2" xfId="11523" xr:uid="{00000000-0005-0000-0000-0000CDB80000}"/>
    <cellStyle name="Normal 4 2 3 3 6 2 2" xfId="24440" xr:uid="{00000000-0005-0000-0000-0000CEB80000}"/>
    <cellStyle name="Normal 4 2 3 3 6 2 2 2" xfId="50314" xr:uid="{00000000-0005-0000-0000-0000CFB80000}"/>
    <cellStyle name="Normal 4 2 3 3 6 2 3" xfId="37398" xr:uid="{00000000-0005-0000-0000-0000D0B80000}"/>
    <cellStyle name="Normal 4 2 3 3 6 3" xfId="17982" xr:uid="{00000000-0005-0000-0000-0000D1B80000}"/>
    <cellStyle name="Normal 4 2 3 3 6 3 2" xfId="43856" xr:uid="{00000000-0005-0000-0000-0000D2B80000}"/>
    <cellStyle name="Normal 4 2 3 3 6 4" xfId="30940" xr:uid="{00000000-0005-0000-0000-0000D3B80000}"/>
    <cellStyle name="Normal 4 2 3 3 7" xfId="8294" xr:uid="{00000000-0005-0000-0000-0000D4B80000}"/>
    <cellStyle name="Normal 4 2 3 3 7 2" xfId="21211" xr:uid="{00000000-0005-0000-0000-0000D5B80000}"/>
    <cellStyle name="Normal 4 2 3 3 7 2 2" xfId="47085" xr:uid="{00000000-0005-0000-0000-0000D6B80000}"/>
    <cellStyle name="Normal 4 2 3 3 7 3" xfId="34169" xr:uid="{00000000-0005-0000-0000-0000D7B80000}"/>
    <cellStyle name="Normal 4 2 3 3 8" xfId="14753" xr:uid="{00000000-0005-0000-0000-0000D8B80000}"/>
    <cellStyle name="Normal 4 2 3 3 8 2" xfId="40627" xr:uid="{00000000-0005-0000-0000-0000D9B80000}"/>
    <cellStyle name="Normal 4 2 3 3 9" xfId="27677" xr:uid="{00000000-0005-0000-0000-0000DAB80000}"/>
    <cellStyle name="Normal 4 2 3 4" xfId="960" xr:uid="{00000000-0005-0000-0000-0000DBB80000}"/>
    <cellStyle name="Normal 4 2 3 5" xfId="1337" xr:uid="{00000000-0005-0000-0000-0000DCB80000}"/>
    <cellStyle name="Normal 4 2 4" xfId="317" xr:uid="{00000000-0005-0000-0000-0000DDB80000}"/>
    <cellStyle name="Normal 4 2 4 10" xfId="53516" xr:uid="{00000000-0005-0000-0000-0000DEB80000}"/>
    <cellStyle name="Normal 4 2 4 11" xfId="1598" xr:uid="{00000000-0005-0000-0000-0000DFB80000}"/>
    <cellStyle name="Normal 4 2 4 2" xfId="457" xr:uid="{00000000-0005-0000-0000-0000E0B80000}"/>
    <cellStyle name="Normal 4 2 4 2 10" xfId="1925" xr:uid="{00000000-0005-0000-0000-0000E1B80000}"/>
    <cellStyle name="Normal 4 2 4 2 2" xfId="966" xr:uid="{00000000-0005-0000-0000-0000E2B80000}"/>
    <cellStyle name="Normal 4 2 4 2 2 2" xfId="3169" xr:uid="{00000000-0005-0000-0000-0000E3B80000}"/>
    <cellStyle name="Normal 4 2 4 2 2 2 2" xfId="4826" xr:uid="{00000000-0005-0000-0000-0000E4B80000}"/>
    <cellStyle name="Normal 4 2 4 2 2 2 2 2" xfId="8057" xr:uid="{00000000-0005-0000-0000-0000E5B80000}"/>
    <cellStyle name="Normal 4 2 4 2 2 2 2 2 2" xfId="14516" xr:uid="{00000000-0005-0000-0000-0000E6B80000}"/>
    <cellStyle name="Normal 4 2 4 2 2 2 2 2 2 2" xfId="27433" xr:uid="{00000000-0005-0000-0000-0000E7B80000}"/>
    <cellStyle name="Normal 4 2 4 2 2 2 2 2 2 2 2" xfId="53307" xr:uid="{00000000-0005-0000-0000-0000E8B80000}"/>
    <cellStyle name="Normal 4 2 4 2 2 2 2 2 2 3" xfId="40391" xr:uid="{00000000-0005-0000-0000-0000E9B80000}"/>
    <cellStyle name="Normal 4 2 4 2 2 2 2 2 3" xfId="20975" xr:uid="{00000000-0005-0000-0000-0000EAB80000}"/>
    <cellStyle name="Normal 4 2 4 2 2 2 2 2 3 2" xfId="46849" xr:uid="{00000000-0005-0000-0000-0000EBB80000}"/>
    <cellStyle name="Normal 4 2 4 2 2 2 2 2 4" xfId="33933" xr:uid="{00000000-0005-0000-0000-0000ECB80000}"/>
    <cellStyle name="Normal 4 2 4 2 2 2 2 3" xfId="11288" xr:uid="{00000000-0005-0000-0000-0000EDB80000}"/>
    <cellStyle name="Normal 4 2 4 2 2 2 2 3 2" xfId="24205" xr:uid="{00000000-0005-0000-0000-0000EEB80000}"/>
    <cellStyle name="Normal 4 2 4 2 2 2 2 3 2 2" xfId="50079" xr:uid="{00000000-0005-0000-0000-0000EFB80000}"/>
    <cellStyle name="Normal 4 2 4 2 2 2 2 3 3" xfId="37163" xr:uid="{00000000-0005-0000-0000-0000F0B80000}"/>
    <cellStyle name="Normal 4 2 4 2 2 2 2 4" xfId="17747" xr:uid="{00000000-0005-0000-0000-0000F1B80000}"/>
    <cellStyle name="Normal 4 2 4 2 2 2 2 4 2" xfId="43621" xr:uid="{00000000-0005-0000-0000-0000F2B80000}"/>
    <cellStyle name="Normal 4 2 4 2 2 2 2 5" xfId="30673" xr:uid="{00000000-0005-0000-0000-0000F3B80000}"/>
    <cellStyle name="Normal 4 2 4 2 2 2 3" xfId="6443" xr:uid="{00000000-0005-0000-0000-0000F4B80000}"/>
    <cellStyle name="Normal 4 2 4 2 2 2 3 2" xfId="12902" xr:uid="{00000000-0005-0000-0000-0000F5B80000}"/>
    <cellStyle name="Normal 4 2 4 2 2 2 3 2 2" xfId="25819" xr:uid="{00000000-0005-0000-0000-0000F6B80000}"/>
    <cellStyle name="Normal 4 2 4 2 2 2 3 2 2 2" xfId="51693" xr:uid="{00000000-0005-0000-0000-0000F7B80000}"/>
    <cellStyle name="Normal 4 2 4 2 2 2 3 2 3" xfId="38777" xr:uid="{00000000-0005-0000-0000-0000F8B80000}"/>
    <cellStyle name="Normal 4 2 4 2 2 2 3 3" xfId="19361" xr:uid="{00000000-0005-0000-0000-0000F9B80000}"/>
    <cellStyle name="Normal 4 2 4 2 2 2 3 3 2" xfId="45235" xr:uid="{00000000-0005-0000-0000-0000FAB80000}"/>
    <cellStyle name="Normal 4 2 4 2 2 2 3 4" xfId="32319" xr:uid="{00000000-0005-0000-0000-0000FBB80000}"/>
    <cellStyle name="Normal 4 2 4 2 2 2 4" xfId="9674" xr:uid="{00000000-0005-0000-0000-0000FCB80000}"/>
    <cellStyle name="Normal 4 2 4 2 2 2 4 2" xfId="22591" xr:uid="{00000000-0005-0000-0000-0000FDB80000}"/>
    <cellStyle name="Normal 4 2 4 2 2 2 4 2 2" xfId="48465" xr:uid="{00000000-0005-0000-0000-0000FEB80000}"/>
    <cellStyle name="Normal 4 2 4 2 2 2 4 3" xfId="35549" xr:uid="{00000000-0005-0000-0000-0000FFB80000}"/>
    <cellStyle name="Normal 4 2 4 2 2 2 5" xfId="16133" xr:uid="{00000000-0005-0000-0000-000000B90000}"/>
    <cellStyle name="Normal 4 2 4 2 2 2 5 2" xfId="42007" xr:uid="{00000000-0005-0000-0000-000001B90000}"/>
    <cellStyle name="Normal 4 2 4 2 2 2 6" xfId="29059" xr:uid="{00000000-0005-0000-0000-000002B90000}"/>
    <cellStyle name="Normal 4 2 4 2 2 3" xfId="3996" xr:uid="{00000000-0005-0000-0000-000003B90000}"/>
    <cellStyle name="Normal 4 2 4 2 2 3 2" xfId="7250" xr:uid="{00000000-0005-0000-0000-000004B90000}"/>
    <cellStyle name="Normal 4 2 4 2 2 3 2 2" xfId="13709" xr:uid="{00000000-0005-0000-0000-000005B90000}"/>
    <cellStyle name="Normal 4 2 4 2 2 3 2 2 2" xfId="26626" xr:uid="{00000000-0005-0000-0000-000006B90000}"/>
    <cellStyle name="Normal 4 2 4 2 2 3 2 2 2 2" xfId="52500" xr:uid="{00000000-0005-0000-0000-000007B90000}"/>
    <cellStyle name="Normal 4 2 4 2 2 3 2 2 3" xfId="39584" xr:uid="{00000000-0005-0000-0000-000008B90000}"/>
    <cellStyle name="Normal 4 2 4 2 2 3 2 3" xfId="20168" xr:uid="{00000000-0005-0000-0000-000009B90000}"/>
    <cellStyle name="Normal 4 2 4 2 2 3 2 3 2" xfId="46042" xr:uid="{00000000-0005-0000-0000-00000AB90000}"/>
    <cellStyle name="Normal 4 2 4 2 2 3 2 4" xfId="33126" xr:uid="{00000000-0005-0000-0000-00000BB90000}"/>
    <cellStyle name="Normal 4 2 4 2 2 3 3" xfId="10481" xr:uid="{00000000-0005-0000-0000-00000CB90000}"/>
    <cellStyle name="Normal 4 2 4 2 2 3 3 2" xfId="23398" xr:uid="{00000000-0005-0000-0000-00000DB90000}"/>
    <cellStyle name="Normal 4 2 4 2 2 3 3 2 2" xfId="49272" xr:uid="{00000000-0005-0000-0000-00000EB90000}"/>
    <cellStyle name="Normal 4 2 4 2 2 3 3 3" xfId="36356" xr:uid="{00000000-0005-0000-0000-00000FB90000}"/>
    <cellStyle name="Normal 4 2 4 2 2 3 4" xfId="16940" xr:uid="{00000000-0005-0000-0000-000010B90000}"/>
    <cellStyle name="Normal 4 2 4 2 2 3 4 2" xfId="42814" xr:uid="{00000000-0005-0000-0000-000011B90000}"/>
    <cellStyle name="Normal 4 2 4 2 2 3 5" xfId="29866" xr:uid="{00000000-0005-0000-0000-000012B90000}"/>
    <cellStyle name="Normal 4 2 4 2 2 4" xfId="5636" xr:uid="{00000000-0005-0000-0000-000013B90000}"/>
    <cellStyle name="Normal 4 2 4 2 2 4 2" xfId="12095" xr:uid="{00000000-0005-0000-0000-000014B90000}"/>
    <cellStyle name="Normal 4 2 4 2 2 4 2 2" xfId="25012" xr:uid="{00000000-0005-0000-0000-000015B90000}"/>
    <cellStyle name="Normal 4 2 4 2 2 4 2 2 2" xfId="50886" xr:uid="{00000000-0005-0000-0000-000016B90000}"/>
    <cellStyle name="Normal 4 2 4 2 2 4 2 3" xfId="37970" xr:uid="{00000000-0005-0000-0000-000017B90000}"/>
    <cellStyle name="Normal 4 2 4 2 2 4 3" xfId="18554" xr:uid="{00000000-0005-0000-0000-000018B90000}"/>
    <cellStyle name="Normal 4 2 4 2 2 4 3 2" xfId="44428" xr:uid="{00000000-0005-0000-0000-000019B90000}"/>
    <cellStyle name="Normal 4 2 4 2 2 4 4" xfId="31512" xr:uid="{00000000-0005-0000-0000-00001AB90000}"/>
    <cellStyle name="Normal 4 2 4 2 2 5" xfId="8867" xr:uid="{00000000-0005-0000-0000-00001BB90000}"/>
    <cellStyle name="Normal 4 2 4 2 2 5 2" xfId="21784" xr:uid="{00000000-0005-0000-0000-00001CB90000}"/>
    <cellStyle name="Normal 4 2 4 2 2 5 2 2" xfId="47658" xr:uid="{00000000-0005-0000-0000-00001DB90000}"/>
    <cellStyle name="Normal 4 2 4 2 2 5 3" xfId="34742" xr:uid="{00000000-0005-0000-0000-00001EB90000}"/>
    <cellStyle name="Normal 4 2 4 2 2 6" xfId="15326" xr:uid="{00000000-0005-0000-0000-00001FB90000}"/>
    <cellStyle name="Normal 4 2 4 2 2 6 2" xfId="41200" xr:uid="{00000000-0005-0000-0000-000020B90000}"/>
    <cellStyle name="Normal 4 2 4 2 2 7" xfId="28252" xr:uid="{00000000-0005-0000-0000-000021B90000}"/>
    <cellStyle name="Normal 4 2 4 2 2 8" xfId="54114" xr:uid="{00000000-0005-0000-0000-000022B90000}"/>
    <cellStyle name="Normal 4 2 4 2 2 9" xfId="2356" xr:uid="{00000000-0005-0000-0000-000023B90000}"/>
    <cellStyle name="Normal 4 2 4 2 3" xfId="965" xr:uid="{00000000-0005-0000-0000-000024B90000}"/>
    <cellStyle name="Normal 4 2 4 2 3 2" xfId="4422" xr:uid="{00000000-0005-0000-0000-000025B90000}"/>
    <cellStyle name="Normal 4 2 4 2 3 2 2" xfId="7653" xr:uid="{00000000-0005-0000-0000-000026B90000}"/>
    <cellStyle name="Normal 4 2 4 2 3 2 2 2" xfId="14112" xr:uid="{00000000-0005-0000-0000-000027B90000}"/>
    <cellStyle name="Normal 4 2 4 2 3 2 2 2 2" xfId="27029" xr:uid="{00000000-0005-0000-0000-000028B90000}"/>
    <cellStyle name="Normal 4 2 4 2 3 2 2 2 2 2" xfId="52903" xr:uid="{00000000-0005-0000-0000-000029B90000}"/>
    <cellStyle name="Normal 4 2 4 2 3 2 2 2 3" xfId="39987" xr:uid="{00000000-0005-0000-0000-00002AB90000}"/>
    <cellStyle name="Normal 4 2 4 2 3 2 2 3" xfId="20571" xr:uid="{00000000-0005-0000-0000-00002BB90000}"/>
    <cellStyle name="Normal 4 2 4 2 3 2 2 3 2" xfId="46445" xr:uid="{00000000-0005-0000-0000-00002CB90000}"/>
    <cellStyle name="Normal 4 2 4 2 3 2 2 4" xfId="33529" xr:uid="{00000000-0005-0000-0000-00002DB90000}"/>
    <cellStyle name="Normal 4 2 4 2 3 2 3" xfId="10884" xr:uid="{00000000-0005-0000-0000-00002EB90000}"/>
    <cellStyle name="Normal 4 2 4 2 3 2 3 2" xfId="23801" xr:uid="{00000000-0005-0000-0000-00002FB90000}"/>
    <cellStyle name="Normal 4 2 4 2 3 2 3 2 2" xfId="49675" xr:uid="{00000000-0005-0000-0000-000030B90000}"/>
    <cellStyle name="Normal 4 2 4 2 3 2 3 3" xfId="36759" xr:uid="{00000000-0005-0000-0000-000031B90000}"/>
    <cellStyle name="Normal 4 2 4 2 3 2 4" xfId="17343" xr:uid="{00000000-0005-0000-0000-000032B90000}"/>
    <cellStyle name="Normal 4 2 4 2 3 2 4 2" xfId="43217" xr:uid="{00000000-0005-0000-0000-000033B90000}"/>
    <cellStyle name="Normal 4 2 4 2 3 2 5" xfId="30269" xr:uid="{00000000-0005-0000-0000-000034B90000}"/>
    <cellStyle name="Normal 4 2 4 2 3 3" xfId="6039" xr:uid="{00000000-0005-0000-0000-000035B90000}"/>
    <cellStyle name="Normal 4 2 4 2 3 3 2" xfId="12498" xr:uid="{00000000-0005-0000-0000-000036B90000}"/>
    <cellStyle name="Normal 4 2 4 2 3 3 2 2" xfId="25415" xr:uid="{00000000-0005-0000-0000-000037B90000}"/>
    <cellStyle name="Normal 4 2 4 2 3 3 2 2 2" xfId="51289" xr:uid="{00000000-0005-0000-0000-000038B90000}"/>
    <cellStyle name="Normal 4 2 4 2 3 3 2 3" xfId="38373" xr:uid="{00000000-0005-0000-0000-000039B90000}"/>
    <cellStyle name="Normal 4 2 4 2 3 3 3" xfId="18957" xr:uid="{00000000-0005-0000-0000-00003AB90000}"/>
    <cellStyle name="Normal 4 2 4 2 3 3 3 2" xfId="44831" xr:uid="{00000000-0005-0000-0000-00003BB90000}"/>
    <cellStyle name="Normal 4 2 4 2 3 3 4" xfId="31915" xr:uid="{00000000-0005-0000-0000-00003CB90000}"/>
    <cellStyle name="Normal 4 2 4 2 3 4" xfId="9270" xr:uid="{00000000-0005-0000-0000-00003DB90000}"/>
    <cellStyle name="Normal 4 2 4 2 3 4 2" xfId="22187" xr:uid="{00000000-0005-0000-0000-00003EB90000}"/>
    <cellStyle name="Normal 4 2 4 2 3 4 2 2" xfId="48061" xr:uid="{00000000-0005-0000-0000-00003FB90000}"/>
    <cellStyle name="Normal 4 2 4 2 3 4 3" xfId="35145" xr:uid="{00000000-0005-0000-0000-000040B90000}"/>
    <cellStyle name="Normal 4 2 4 2 3 5" xfId="15729" xr:uid="{00000000-0005-0000-0000-000041B90000}"/>
    <cellStyle name="Normal 4 2 4 2 3 5 2" xfId="41603" xr:uid="{00000000-0005-0000-0000-000042B90000}"/>
    <cellStyle name="Normal 4 2 4 2 3 6" xfId="28655" xr:uid="{00000000-0005-0000-0000-000043B90000}"/>
    <cellStyle name="Normal 4 2 4 2 3 7" xfId="2765" xr:uid="{00000000-0005-0000-0000-000044B90000}"/>
    <cellStyle name="Normal 4 2 4 2 4" xfId="3592" xr:uid="{00000000-0005-0000-0000-000045B90000}"/>
    <cellStyle name="Normal 4 2 4 2 4 2" xfId="6846" xr:uid="{00000000-0005-0000-0000-000046B90000}"/>
    <cellStyle name="Normal 4 2 4 2 4 2 2" xfId="13305" xr:uid="{00000000-0005-0000-0000-000047B90000}"/>
    <cellStyle name="Normal 4 2 4 2 4 2 2 2" xfId="26222" xr:uid="{00000000-0005-0000-0000-000048B90000}"/>
    <cellStyle name="Normal 4 2 4 2 4 2 2 2 2" xfId="52096" xr:uid="{00000000-0005-0000-0000-000049B90000}"/>
    <cellStyle name="Normal 4 2 4 2 4 2 2 3" xfId="39180" xr:uid="{00000000-0005-0000-0000-00004AB90000}"/>
    <cellStyle name="Normal 4 2 4 2 4 2 3" xfId="19764" xr:uid="{00000000-0005-0000-0000-00004BB90000}"/>
    <cellStyle name="Normal 4 2 4 2 4 2 3 2" xfId="45638" xr:uid="{00000000-0005-0000-0000-00004CB90000}"/>
    <cellStyle name="Normal 4 2 4 2 4 2 4" xfId="32722" xr:uid="{00000000-0005-0000-0000-00004DB90000}"/>
    <cellStyle name="Normal 4 2 4 2 4 3" xfId="10077" xr:uid="{00000000-0005-0000-0000-00004EB90000}"/>
    <cellStyle name="Normal 4 2 4 2 4 3 2" xfId="22994" xr:uid="{00000000-0005-0000-0000-00004FB90000}"/>
    <cellStyle name="Normal 4 2 4 2 4 3 2 2" xfId="48868" xr:uid="{00000000-0005-0000-0000-000050B90000}"/>
    <cellStyle name="Normal 4 2 4 2 4 3 3" xfId="35952" xr:uid="{00000000-0005-0000-0000-000051B90000}"/>
    <cellStyle name="Normal 4 2 4 2 4 4" xfId="16536" xr:uid="{00000000-0005-0000-0000-000052B90000}"/>
    <cellStyle name="Normal 4 2 4 2 4 4 2" xfId="42410" xr:uid="{00000000-0005-0000-0000-000053B90000}"/>
    <cellStyle name="Normal 4 2 4 2 4 5" xfId="29462" xr:uid="{00000000-0005-0000-0000-000054B90000}"/>
    <cellStyle name="Normal 4 2 4 2 5" xfId="5232" xr:uid="{00000000-0005-0000-0000-000055B90000}"/>
    <cellStyle name="Normal 4 2 4 2 5 2" xfId="11691" xr:uid="{00000000-0005-0000-0000-000056B90000}"/>
    <cellStyle name="Normal 4 2 4 2 5 2 2" xfId="24608" xr:uid="{00000000-0005-0000-0000-000057B90000}"/>
    <cellStyle name="Normal 4 2 4 2 5 2 2 2" xfId="50482" xr:uid="{00000000-0005-0000-0000-000058B90000}"/>
    <cellStyle name="Normal 4 2 4 2 5 2 3" xfId="37566" xr:uid="{00000000-0005-0000-0000-000059B90000}"/>
    <cellStyle name="Normal 4 2 4 2 5 3" xfId="18150" xr:uid="{00000000-0005-0000-0000-00005AB90000}"/>
    <cellStyle name="Normal 4 2 4 2 5 3 2" xfId="44024" xr:uid="{00000000-0005-0000-0000-00005BB90000}"/>
    <cellStyle name="Normal 4 2 4 2 5 4" xfId="31108" xr:uid="{00000000-0005-0000-0000-00005CB90000}"/>
    <cellStyle name="Normal 4 2 4 2 6" xfId="8463" xr:uid="{00000000-0005-0000-0000-00005DB90000}"/>
    <cellStyle name="Normal 4 2 4 2 6 2" xfId="21380" xr:uid="{00000000-0005-0000-0000-00005EB90000}"/>
    <cellStyle name="Normal 4 2 4 2 6 2 2" xfId="47254" xr:uid="{00000000-0005-0000-0000-00005FB90000}"/>
    <cellStyle name="Normal 4 2 4 2 6 3" xfId="34338" xr:uid="{00000000-0005-0000-0000-000060B90000}"/>
    <cellStyle name="Normal 4 2 4 2 7" xfId="14922" xr:uid="{00000000-0005-0000-0000-000061B90000}"/>
    <cellStyle name="Normal 4 2 4 2 7 2" xfId="40796" xr:uid="{00000000-0005-0000-0000-000062B90000}"/>
    <cellStyle name="Normal 4 2 4 2 8" xfId="27847" xr:uid="{00000000-0005-0000-0000-000063B90000}"/>
    <cellStyle name="Normal 4 2 4 2 9" xfId="53710" xr:uid="{00000000-0005-0000-0000-000064B90000}"/>
    <cellStyle name="Normal 4 2 4 3" xfId="967" xr:uid="{00000000-0005-0000-0000-000065B90000}"/>
    <cellStyle name="Normal 4 2 4 3 2" xfId="2974" xr:uid="{00000000-0005-0000-0000-000066B90000}"/>
    <cellStyle name="Normal 4 2 4 3 2 2" xfId="4631" xr:uid="{00000000-0005-0000-0000-000067B90000}"/>
    <cellStyle name="Normal 4 2 4 3 2 2 2" xfId="7862" xr:uid="{00000000-0005-0000-0000-000068B90000}"/>
    <cellStyle name="Normal 4 2 4 3 2 2 2 2" xfId="14321" xr:uid="{00000000-0005-0000-0000-000069B90000}"/>
    <cellStyle name="Normal 4 2 4 3 2 2 2 2 2" xfId="27238" xr:uid="{00000000-0005-0000-0000-00006AB90000}"/>
    <cellStyle name="Normal 4 2 4 3 2 2 2 2 2 2" xfId="53112" xr:uid="{00000000-0005-0000-0000-00006BB90000}"/>
    <cellStyle name="Normal 4 2 4 3 2 2 2 2 3" xfId="40196" xr:uid="{00000000-0005-0000-0000-00006CB90000}"/>
    <cellStyle name="Normal 4 2 4 3 2 2 2 3" xfId="20780" xr:uid="{00000000-0005-0000-0000-00006DB90000}"/>
    <cellStyle name="Normal 4 2 4 3 2 2 2 3 2" xfId="46654" xr:uid="{00000000-0005-0000-0000-00006EB90000}"/>
    <cellStyle name="Normal 4 2 4 3 2 2 2 4" xfId="33738" xr:uid="{00000000-0005-0000-0000-00006FB90000}"/>
    <cellStyle name="Normal 4 2 4 3 2 2 3" xfId="11093" xr:uid="{00000000-0005-0000-0000-000070B90000}"/>
    <cellStyle name="Normal 4 2 4 3 2 2 3 2" xfId="24010" xr:uid="{00000000-0005-0000-0000-000071B90000}"/>
    <cellStyle name="Normal 4 2 4 3 2 2 3 2 2" xfId="49884" xr:uid="{00000000-0005-0000-0000-000072B90000}"/>
    <cellStyle name="Normal 4 2 4 3 2 2 3 3" xfId="36968" xr:uid="{00000000-0005-0000-0000-000073B90000}"/>
    <cellStyle name="Normal 4 2 4 3 2 2 4" xfId="17552" xr:uid="{00000000-0005-0000-0000-000074B90000}"/>
    <cellStyle name="Normal 4 2 4 3 2 2 4 2" xfId="43426" xr:uid="{00000000-0005-0000-0000-000075B90000}"/>
    <cellStyle name="Normal 4 2 4 3 2 2 5" xfId="30478" xr:uid="{00000000-0005-0000-0000-000076B90000}"/>
    <cellStyle name="Normal 4 2 4 3 2 3" xfId="6248" xr:uid="{00000000-0005-0000-0000-000077B90000}"/>
    <cellStyle name="Normal 4 2 4 3 2 3 2" xfId="12707" xr:uid="{00000000-0005-0000-0000-000078B90000}"/>
    <cellStyle name="Normal 4 2 4 3 2 3 2 2" xfId="25624" xr:uid="{00000000-0005-0000-0000-000079B90000}"/>
    <cellStyle name="Normal 4 2 4 3 2 3 2 2 2" xfId="51498" xr:uid="{00000000-0005-0000-0000-00007AB90000}"/>
    <cellStyle name="Normal 4 2 4 3 2 3 2 3" xfId="38582" xr:uid="{00000000-0005-0000-0000-00007BB90000}"/>
    <cellStyle name="Normal 4 2 4 3 2 3 3" xfId="19166" xr:uid="{00000000-0005-0000-0000-00007CB90000}"/>
    <cellStyle name="Normal 4 2 4 3 2 3 3 2" xfId="45040" xr:uid="{00000000-0005-0000-0000-00007DB90000}"/>
    <cellStyle name="Normal 4 2 4 3 2 3 4" xfId="32124" xr:uid="{00000000-0005-0000-0000-00007EB90000}"/>
    <cellStyle name="Normal 4 2 4 3 2 4" xfId="9479" xr:uid="{00000000-0005-0000-0000-00007FB90000}"/>
    <cellStyle name="Normal 4 2 4 3 2 4 2" xfId="22396" xr:uid="{00000000-0005-0000-0000-000080B90000}"/>
    <cellStyle name="Normal 4 2 4 3 2 4 2 2" xfId="48270" xr:uid="{00000000-0005-0000-0000-000081B90000}"/>
    <cellStyle name="Normal 4 2 4 3 2 4 3" xfId="35354" xr:uid="{00000000-0005-0000-0000-000082B90000}"/>
    <cellStyle name="Normal 4 2 4 3 2 5" xfId="15938" xr:uid="{00000000-0005-0000-0000-000083B90000}"/>
    <cellStyle name="Normal 4 2 4 3 2 5 2" xfId="41812" xr:uid="{00000000-0005-0000-0000-000084B90000}"/>
    <cellStyle name="Normal 4 2 4 3 2 6" xfId="28864" xr:uid="{00000000-0005-0000-0000-000085B90000}"/>
    <cellStyle name="Normal 4 2 4 3 3" xfId="3801" xr:uid="{00000000-0005-0000-0000-000086B90000}"/>
    <cellStyle name="Normal 4 2 4 3 3 2" xfId="7055" xr:uid="{00000000-0005-0000-0000-000087B90000}"/>
    <cellStyle name="Normal 4 2 4 3 3 2 2" xfId="13514" xr:uid="{00000000-0005-0000-0000-000088B90000}"/>
    <cellStyle name="Normal 4 2 4 3 3 2 2 2" xfId="26431" xr:uid="{00000000-0005-0000-0000-000089B90000}"/>
    <cellStyle name="Normal 4 2 4 3 3 2 2 2 2" xfId="52305" xr:uid="{00000000-0005-0000-0000-00008AB90000}"/>
    <cellStyle name="Normal 4 2 4 3 3 2 2 3" xfId="39389" xr:uid="{00000000-0005-0000-0000-00008BB90000}"/>
    <cellStyle name="Normal 4 2 4 3 3 2 3" xfId="19973" xr:uid="{00000000-0005-0000-0000-00008CB90000}"/>
    <cellStyle name="Normal 4 2 4 3 3 2 3 2" xfId="45847" xr:uid="{00000000-0005-0000-0000-00008DB90000}"/>
    <cellStyle name="Normal 4 2 4 3 3 2 4" xfId="32931" xr:uid="{00000000-0005-0000-0000-00008EB90000}"/>
    <cellStyle name="Normal 4 2 4 3 3 3" xfId="10286" xr:uid="{00000000-0005-0000-0000-00008FB90000}"/>
    <cellStyle name="Normal 4 2 4 3 3 3 2" xfId="23203" xr:uid="{00000000-0005-0000-0000-000090B90000}"/>
    <cellStyle name="Normal 4 2 4 3 3 3 2 2" xfId="49077" xr:uid="{00000000-0005-0000-0000-000091B90000}"/>
    <cellStyle name="Normal 4 2 4 3 3 3 3" xfId="36161" xr:uid="{00000000-0005-0000-0000-000092B90000}"/>
    <cellStyle name="Normal 4 2 4 3 3 4" xfId="16745" xr:uid="{00000000-0005-0000-0000-000093B90000}"/>
    <cellStyle name="Normal 4 2 4 3 3 4 2" xfId="42619" xr:uid="{00000000-0005-0000-0000-000094B90000}"/>
    <cellStyle name="Normal 4 2 4 3 3 5" xfId="29671" xr:uid="{00000000-0005-0000-0000-000095B90000}"/>
    <cellStyle name="Normal 4 2 4 3 4" xfId="5441" xr:uid="{00000000-0005-0000-0000-000096B90000}"/>
    <cellStyle name="Normal 4 2 4 3 4 2" xfId="11900" xr:uid="{00000000-0005-0000-0000-000097B90000}"/>
    <cellStyle name="Normal 4 2 4 3 4 2 2" xfId="24817" xr:uid="{00000000-0005-0000-0000-000098B90000}"/>
    <cellStyle name="Normal 4 2 4 3 4 2 2 2" xfId="50691" xr:uid="{00000000-0005-0000-0000-000099B90000}"/>
    <cellStyle name="Normal 4 2 4 3 4 2 3" xfId="37775" xr:uid="{00000000-0005-0000-0000-00009AB90000}"/>
    <cellStyle name="Normal 4 2 4 3 4 3" xfId="18359" xr:uid="{00000000-0005-0000-0000-00009BB90000}"/>
    <cellStyle name="Normal 4 2 4 3 4 3 2" xfId="44233" xr:uid="{00000000-0005-0000-0000-00009CB90000}"/>
    <cellStyle name="Normal 4 2 4 3 4 4" xfId="31317" xr:uid="{00000000-0005-0000-0000-00009DB90000}"/>
    <cellStyle name="Normal 4 2 4 3 5" xfId="8672" xr:uid="{00000000-0005-0000-0000-00009EB90000}"/>
    <cellStyle name="Normal 4 2 4 3 5 2" xfId="21589" xr:uid="{00000000-0005-0000-0000-00009FB90000}"/>
    <cellStyle name="Normal 4 2 4 3 5 2 2" xfId="47463" xr:uid="{00000000-0005-0000-0000-0000A0B90000}"/>
    <cellStyle name="Normal 4 2 4 3 5 3" xfId="34547" xr:uid="{00000000-0005-0000-0000-0000A1B90000}"/>
    <cellStyle name="Normal 4 2 4 3 6" xfId="15131" xr:uid="{00000000-0005-0000-0000-0000A2B90000}"/>
    <cellStyle name="Normal 4 2 4 3 6 2" xfId="41005" xr:uid="{00000000-0005-0000-0000-0000A3B90000}"/>
    <cellStyle name="Normal 4 2 4 3 7" xfId="28057" xr:uid="{00000000-0005-0000-0000-0000A4B90000}"/>
    <cellStyle name="Normal 4 2 4 3 8" xfId="53919" xr:uid="{00000000-0005-0000-0000-0000A5B90000}"/>
    <cellStyle name="Normal 4 2 4 3 9" xfId="2160" xr:uid="{00000000-0005-0000-0000-0000A6B90000}"/>
    <cellStyle name="Normal 4 2 4 4" xfId="964" xr:uid="{00000000-0005-0000-0000-0000A7B90000}"/>
    <cellStyle name="Normal 4 2 4 4 2" xfId="4228" xr:uid="{00000000-0005-0000-0000-0000A8B90000}"/>
    <cellStyle name="Normal 4 2 4 4 2 2" xfId="7459" xr:uid="{00000000-0005-0000-0000-0000A9B90000}"/>
    <cellStyle name="Normal 4 2 4 4 2 2 2" xfId="13918" xr:uid="{00000000-0005-0000-0000-0000AAB90000}"/>
    <cellStyle name="Normal 4 2 4 4 2 2 2 2" xfId="26835" xr:uid="{00000000-0005-0000-0000-0000ABB90000}"/>
    <cellStyle name="Normal 4 2 4 4 2 2 2 2 2" xfId="52709" xr:uid="{00000000-0005-0000-0000-0000ACB90000}"/>
    <cellStyle name="Normal 4 2 4 4 2 2 2 3" xfId="39793" xr:uid="{00000000-0005-0000-0000-0000ADB90000}"/>
    <cellStyle name="Normal 4 2 4 4 2 2 3" xfId="20377" xr:uid="{00000000-0005-0000-0000-0000AEB90000}"/>
    <cellStyle name="Normal 4 2 4 4 2 2 3 2" xfId="46251" xr:uid="{00000000-0005-0000-0000-0000AFB90000}"/>
    <cellStyle name="Normal 4 2 4 4 2 2 4" xfId="33335" xr:uid="{00000000-0005-0000-0000-0000B0B90000}"/>
    <cellStyle name="Normal 4 2 4 4 2 3" xfId="10690" xr:uid="{00000000-0005-0000-0000-0000B1B90000}"/>
    <cellStyle name="Normal 4 2 4 4 2 3 2" xfId="23607" xr:uid="{00000000-0005-0000-0000-0000B2B90000}"/>
    <cellStyle name="Normal 4 2 4 4 2 3 2 2" xfId="49481" xr:uid="{00000000-0005-0000-0000-0000B3B90000}"/>
    <cellStyle name="Normal 4 2 4 4 2 3 3" xfId="36565" xr:uid="{00000000-0005-0000-0000-0000B4B90000}"/>
    <cellStyle name="Normal 4 2 4 4 2 4" xfId="17149" xr:uid="{00000000-0005-0000-0000-0000B5B90000}"/>
    <cellStyle name="Normal 4 2 4 4 2 4 2" xfId="43023" xr:uid="{00000000-0005-0000-0000-0000B6B90000}"/>
    <cellStyle name="Normal 4 2 4 4 2 5" xfId="30075" xr:uid="{00000000-0005-0000-0000-0000B7B90000}"/>
    <cellStyle name="Normal 4 2 4 4 3" xfId="5845" xr:uid="{00000000-0005-0000-0000-0000B8B90000}"/>
    <cellStyle name="Normal 4 2 4 4 3 2" xfId="12304" xr:uid="{00000000-0005-0000-0000-0000B9B90000}"/>
    <cellStyle name="Normal 4 2 4 4 3 2 2" xfId="25221" xr:uid="{00000000-0005-0000-0000-0000BAB90000}"/>
    <cellStyle name="Normal 4 2 4 4 3 2 2 2" xfId="51095" xr:uid="{00000000-0005-0000-0000-0000BBB90000}"/>
    <cellStyle name="Normal 4 2 4 4 3 2 3" xfId="38179" xr:uid="{00000000-0005-0000-0000-0000BCB90000}"/>
    <cellStyle name="Normal 4 2 4 4 3 3" xfId="18763" xr:uid="{00000000-0005-0000-0000-0000BDB90000}"/>
    <cellStyle name="Normal 4 2 4 4 3 3 2" xfId="44637" xr:uid="{00000000-0005-0000-0000-0000BEB90000}"/>
    <cellStyle name="Normal 4 2 4 4 3 4" xfId="31721" xr:uid="{00000000-0005-0000-0000-0000BFB90000}"/>
    <cellStyle name="Normal 4 2 4 4 4" xfId="9076" xr:uid="{00000000-0005-0000-0000-0000C0B90000}"/>
    <cellStyle name="Normal 4 2 4 4 4 2" xfId="21993" xr:uid="{00000000-0005-0000-0000-0000C1B90000}"/>
    <cellStyle name="Normal 4 2 4 4 4 2 2" xfId="47867" xr:uid="{00000000-0005-0000-0000-0000C2B90000}"/>
    <cellStyle name="Normal 4 2 4 4 4 3" xfId="34951" xr:uid="{00000000-0005-0000-0000-0000C3B90000}"/>
    <cellStyle name="Normal 4 2 4 4 5" xfId="15535" xr:uid="{00000000-0005-0000-0000-0000C4B90000}"/>
    <cellStyle name="Normal 4 2 4 4 5 2" xfId="41409" xr:uid="{00000000-0005-0000-0000-0000C5B90000}"/>
    <cellStyle name="Normal 4 2 4 4 6" xfId="28461" xr:uid="{00000000-0005-0000-0000-0000C6B90000}"/>
    <cellStyle name="Normal 4 2 4 4 7" xfId="2571" xr:uid="{00000000-0005-0000-0000-0000C7B90000}"/>
    <cellStyle name="Normal 4 2 4 5" xfId="3396" xr:uid="{00000000-0005-0000-0000-0000C8B90000}"/>
    <cellStyle name="Normal 4 2 4 5 2" xfId="6652" xr:uid="{00000000-0005-0000-0000-0000C9B90000}"/>
    <cellStyle name="Normal 4 2 4 5 2 2" xfId="13111" xr:uid="{00000000-0005-0000-0000-0000CAB90000}"/>
    <cellStyle name="Normal 4 2 4 5 2 2 2" xfId="26028" xr:uid="{00000000-0005-0000-0000-0000CBB90000}"/>
    <cellStyle name="Normal 4 2 4 5 2 2 2 2" xfId="51902" xr:uid="{00000000-0005-0000-0000-0000CCB90000}"/>
    <cellStyle name="Normal 4 2 4 5 2 2 3" xfId="38986" xr:uid="{00000000-0005-0000-0000-0000CDB90000}"/>
    <cellStyle name="Normal 4 2 4 5 2 3" xfId="19570" xr:uid="{00000000-0005-0000-0000-0000CEB90000}"/>
    <cellStyle name="Normal 4 2 4 5 2 3 2" xfId="45444" xr:uid="{00000000-0005-0000-0000-0000CFB90000}"/>
    <cellStyle name="Normal 4 2 4 5 2 4" xfId="32528" xr:uid="{00000000-0005-0000-0000-0000D0B90000}"/>
    <cellStyle name="Normal 4 2 4 5 3" xfId="9883" xr:uid="{00000000-0005-0000-0000-0000D1B90000}"/>
    <cellStyle name="Normal 4 2 4 5 3 2" xfId="22800" xr:uid="{00000000-0005-0000-0000-0000D2B90000}"/>
    <cellStyle name="Normal 4 2 4 5 3 2 2" xfId="48674" xr:uid="{00000000-0005-0000-0000-0000D3B90000}"/>
    <cellStyle name="Normal 4 2 4 5 3 3" xfId="35758" xr:uid="{00000000-0005-0000-0000-0000D4B90000}"/>
    <cellStyle name="Normal 4 2 4 5 4" xfId="16342" xr:uid="{00000000-0005-0000-0000-0000D5B90000}"/>
    <cellStyle name="Normal 4 2 4 5 4 2" xfId="42216" xr:uid="{00000000-0005-0000-0000-0000D6B90000}"/>
    <cellStyle name="Normal 4 2 4 5 5" xfId="29268" xr:uid="{00000000-0005-0000-0000-0000D7B90000}"/>
    <cellStyle name="Normal 4 2 4 6" xfId="5038" xr:uid="{00000000-0005-0000-0000-0000D8B90000}"/>
    <cellStyle name="Normal 4 2 4 6 2" xfId="11497" xr:uid="{00000000-0005-0000-0000-0000D9B90000}"/>
    <cellStyle name="Normal 4 2 4 6 2 2" xfId="24414" xr:uid="{00000000-0005-0000-0000-0000DAB90000}"/>
    <cellStyle name="Normal 4 2 4 6 2 2 2" xfId="50288" xr:uid="{00000000-0005-0000-0000-0000DBB90000}"/>
    <cellStyle name="Normal 4 2 4 6 2 3" xfId="37372" xr:uid="{00000000-0005-0000-0000-0000DCB90000}"/>
    <cellStyle name="Normal 4 2 4 6 3" xfId="17956" xr:uid="{00000000-0005-0000-0000-0000DDB90000}"/>
    <cellStyle name="Normal 4 2 4 6 3 2" xfId="43830" xr:uid="{00000000-0005-0000-0000-0000DEB90000}"/>
    <cellStyle name="Normal 4 2 4 6 4" xfId="30914" xr:uid="{00000000-0005-0000-0000-0000DFB90000}"/>
    <cellStyle name="Normal 4 2 4 7" xfId="8268" xr:uid="{00000000-0005-0000-0000-0000E0B90000}"/>
    <cellStyle name="Normal 4 2 4 7 2" xfId="21185" xr:uid="{00000000-0005-0000-0000-0000E1B90000}"/>
    <cellStyle name="Normal 4 2 4 7 2 2" xfId="47059" xr:uid="{00000000-0005-0000-0000-0000E2B90000}"/>
    <cellStyle name="Normal 4 2 4 7 3" xfId="34143" xr:uid="{00000000-0005-0000-0000-0000E3B90000}"/>
    <cellStyle name="Normal 4 2 4 8" xfId="14727" xr:uid="{00000000-0005-0000-0000-0000E4B90000}"/>
    <cellStyle name="Normal 4 2 4 8 2" xfId="40601" xr:uid="{00000000-0005-0000-0000-0000E5B90000}"/>
    <cellStyle name="Normal 4 2 4 9" xfId="27651" xr:uid="{00000000-0005-0000-0000-0000E6B90000}"/>
    <cellStyle name="Normal 4 2 5" xfId="209" xr:uid="{00000000-0005-0000-0000-0000E7B90000}"/>
    <cellStyle name="Normal 4 2 5 2" xfId="207" xr:uid="{00000000-0005-0000-0000-0000E8B90000}"/>
    <cellStyle name="Normal 4 2 5 3" xfId="404" xr:uid="{00000000-0005-0000-0000-0000E9B90000}"/>
    <cellStyle name="Normal 4 2 5 3 2" xfId="970" xr:uid="{00000000-0005-0000-0000-0000EAB90000}"/>
    <cellStyle name="Normal 4 2 5 3 3" xfId="969" xr:uid="{00000000-0005-0000-0000-0000EBB90000}"/>
    <cellStyle name="Normal 4 2 5 4" xfId="971" xr:uid="{00000000-0005-0000-0000-0000ECB90000}"/>
    <cellStyle name="Normal 4 2 5 5" xfId="968" xr:uid="{00000000-0005-0000-0000-0000EDB90000}"/>
    <cellStyle name="Normal 4 2 6" xfId="389" xr:uid="{00000000-0005-0000-0000-0000EEB90000}"/>
    <cellStyle name="Normal 4 2 6 2" xfId="973" xr:uid="{00000000-0005-0000-0000-0000EFB90000}"/>
    <cellStyle name="Normal 4 2 6 3" xfId="972" xr:uid="{00000000-0005-0000-0000-0000F0B90000}"/>
    <cellStyle name="Normal 4 2 6 4" xfId="1715" xr:uid="{00000000-0005-0000-0000-0000F1B90000}"/>
    <cellStyle name="Normal 4 2 7" xfId="493" xr:uid="{00000000-0005-0000-0000-0000F2B90000}"/>
    <cellStyle name="Normal 4 2 7 10" xfId="53490" xr:uid="{00000000-0005-0000-0000-0000F3B90000}"/>
    <cellStyle name="Normal 4 2 7 11" xfId="1544" xr:uid="{00000000-0005-0000-0000-0000F4B90000}"/>
    <cellStyle name="Normal 4 2 7 2" xfId="975" xr:uid="{00000000-0005-0000-0000-0000F5B90000}"/>
    <cellStyle name="Normal 4 2 7 2 10" xfId="1899" xr:uid="{00000000-0005-0000-0000-0000F6B90000}"/>
    <cellStyle name="Normal 4 2 7 2 2" xfId="2330" xr:uid="{00000000-0005-0000-0000-0000F7B90000}"/>
    <cellStyle name="Normal 4 2 7 2 2 2" xfId="3143" xr:uid="{00000000-0005-0000-0000-0000F8B90000}"/>
    <cellStyle name="Normal 4 2 7 2 2 2 2" xfId="4800" xr:uid="{00000000-0005-0000-0000-0000F9B90000}"/>
    <cellStyle name="Normal 4 2 7 2 2 2 2 2" xfId="8031" xr:uid="{00000000-0005-0000-0000-0000FAB90000}"/>
    <cellStyle name="Normal 4 2 7 2 2 2 2 2 2" xfId="14490" xr:uid="{00000000-0005-0000-0000-0000FBB90000}"/>
    <cellStyle name="Normal 4 2 7 2 2 2 2 2 2 2" xfId="27407" xr:uid="{00000000-0005-0000-0000-0000FCB90000}"/>
    <cellStyle name="Normal 4 2 7 2 2 2 2 2 2 2 2" xfId="53281" xr:uid="{00000000-0005-0000-0000-0000FDB90000}"/>
    <cellStyle name="Normal 4 2 7 2 2 2 2 2 2 3" xfId="40365" xr:uid="{00000000-0005-0000-0000-0000FEB90000}"/>
    <cellStyle name="Normal 4 2 7 2 2 2 2 2 3" xfId="20949" xr:uid="{00000000-0005-0000-0000-0000FFB90000}"/>
    <cellStyle name="Normal 4 2 7 2 2 2 2 2 3 2" xfId="46823" xr:uid="{00000000-0005-0000-0000-000000BA0000}"/>
    <cellStyle name="Normal 4 2 7 2 2 2 2 2 4" xfId="33907" xr:uid="{00000000-0005-0000-0000-000001BA0000}"/>
    <cellStyle name="Normal 4 2 7 2 2 2 2 3" xfId="11262" xr:uid="{00000000-0005-0000-0000-000002BA0000}"/>
    <cellStyle name="Normal 4 2 7 2 2 2 2 3 2" xfId="24179" xr:uid="{00000000-0005-0000-0000-000003BA0000}"/>
    <cellStyle name="Normal 4 2 7 2 2 2 2 3 2 2" xfId="50053" xr:uid="{00000000-0005-0000-0000-000004BA0000}"/>
    <cellStyle name="Normal 4 2 7 2 2 2 2 3 3" xfId="37137" xr:uid="{00000000-0005-0000-0000-000005BA0000}"/>
    <cellStyle name="Normal 4 2 7 2 2 2 2 4" xfId="17721" xr:uid="{00000000-0005-0000-0000-000006BA0000}"/>
    <cellStyle name="Normal 4 2 7 2 2 2 2 4 2" xfId="43595" xr:uid="{00000000-0005-0000-0000-000007BA0000}"/>
    <cellStyle name="Normal 4 2 7 2 2 2 2 5" xfId="30647" xr:uid="{00000000-0005-0000-0000-000008BA0000}"/>
    <cellStyle name="Normal 4 2 7 2 2 2 3" xfId="6417" xr:uid="{00000000-0005-0000-0000-000009BA0000}"/>
    <cellStyle name="Normal 4 2 7 2 2 2 3 2" xfId="12876" xr:uid="{00000000-0005-0000-0000-00000ABA0000}"/>
    <cellStyle name="Normal 4 2 7 2 2 2 3 2 2" xfId="25793" xr:uid="{00000000-0005-0000-0000-00000BBA0000}"/>
    <cellStyle name="Normal 4 2 7 2 2 2 3 2 2 2" xfId="51667" xr:uid="{00000000-0005-0000-0000-00000CBA0000}"/>
    <cellStyle name="Normal 4 2 7 2 2 2 3 2 3" xfId="38751" xr:uid="{00000000-0005-0000-0000-00000DBA0000}"/>
    <cellStyle name="Normal 4 2 7 2 2 2 3 3" xfId="19335" xr:uid="{00000000-0005-0000-0000-00000EBA0000}"/>
    <cellStyle name="Normal 4 2 7 2 2 2 3 3 2" xfId="45209" xr:uid="{00000000-0005-0000-0000-00000FBA0000}"/>
    <cellStyle name="Normal 4 2 7 2 2 2 3 4" xfId="32293" xr:uid="{00000000-0005-0000-0000-000010BA0000}"/>
    <cellStyle name="Normal 4 2 7 2 2 2 4" xfId="9648" xr:uid="{00000000-0005-0000-0000-000011BA0000}"/>
    <cellStyle name="Normal 4 2 7 2 2 2 4 2" xfId="22565" xr:uid="{00000000-0005-0000-0000-000012BA0000}"/>
    <cellStyle name="Normal 4 2 7 2 2 2 4 2 2" xfId="48439" xr:uid="{00000000-0005-0000-0000-000013BA0000}"/>
    <cellStyle name="Normal 4 2 7 2 2 2 4 3" xfId="35523" xr:uid="{00000000-0005-0000-0000-000014BA0000}"/>
    <cellStyle name="Normal 4 2 7 2 2 2 5" xfId="16107" xr:uid="{00000000-0005-0000-0000-000015BA0000}"/>
    <cellStyle name="Normal 4 2 7 2 2 2 5 2" xfId="41981" xr:uid="{00000000-0005-0000-0000-000016BA0000}"/>
    <cellStyle name="Normal 4 2 7 2 2 2 6" xfId="29033" xr:uid="{00000000-0005-0000-0000-000017BA0000}"/>
    <cellStyle name="Normal 4 2 7 2 2 3" xfId="3970" xr:uid="{00000000-0005-0000-0000-000018BA0000}"/>
    <cellStyle name="Normal 4 2 7 2 2 3 2" xfId="7224" xr:uid="{00000000-0005-0000-0000-000019BA0000}"/>
    <cellStyle name="Normal 4 2 7 2 2 3 2 2" xfId="13683" xr:uid="{00000000-0005-0000-0000-00001ABA0000}"/>
    <cellStyle name="Normal 4 2 7 2 2 3 2 2 2" xfId="26600" xr:uid="{00000000-0005-0000-0000-00001BBA0000}"/>
    <cellStyle name="Normal 4 2 7 2 2 3 2 2 2 2" xfId="52474" xr:uid="{00000000-0005-0000-0000-00001CBA0000}"/>
    <cellStyle name="Normal 4 2 7 2 2 3 2 2 3" xfId="39558" xr:uid="{00000000-0005-0000-0000-00001DBA0000}"/>
    <cellStyle name="Normal 4 2 7 2 2 3 2 3" xfId="20142" xr:uid="{00000000-0005-0000-0000-00001EBA0000}"/>
    <cellStyle name="Normal 4 2 7 2 2 3 2 3 2" xfId="46016" xr:uid="{00000000-0005-0000-0000-00001FBA0000}"/>
    <cellStyle name="Normal 4 2 7 2 2 3 2 4" xfId="33100" xr:uid="{00000000-0005-0000-0000-000020BA0000}"/>
    <cellStyle name="Normal 4 2 7 2 2 3 3" xfId="10455" xr:uid="{00000000-0005-0000-0000-000021BA0000}"/>
    <cellStyle name="Normal 4 2 7 2 2 3 3 2" xfId="23372" xr:uid="{00000000-0005-0000-0000-000022BA0000}"/>
    <cellStyle name="Normal 4 2 7 2 2 3 3 2 2" xfId="49246" xr:uid="{00000000-0005-0000-0000-000023BA0000}"/>
    <cellStyle name="Normal 4 2 7 2 2 3 3 3" xfId="36330" xr:uid="{00000000-0005-0000-0000-000024BA0000}"/>
    <cellStyle name="Normal 4 2 7 2 2 3 4" xfId="16914" xr:uid="{00000000-0005-0000-0000-000025BA0000}"/>
    <cellStyle name="Normal 4 2 7 2 2 3 4 2" xfId="42788" xr:uid="{00000000-0005-0000-0000-000026BA0000}"/>
    <cellStyle name="Normal 4 2 7 2 2 3 5" xfId="29840" xr:uid="{00000000-0005-0000-0000-000027BA0000}"/>
    <cellStyle name="Normal 4 2 7 2 2 4" xfId="5610" xr:uid="{00000000-0005-0000-0000-000028BA0000}"/>
    <cellStyle name="Normal 4 2 7 2 2 4 2" xfId="12069" xr:uid="{00000000-0005-0000-0000-000029BA0000}"/>
    <cellStyle name="Normal 4 2 7 2 2 4 2 2" xfId="24986" xr:uid="{00000000-0005-0000-0000-00002ABA0000}"/>
    <cellStyle name="Normal 4 2 7 2 2 4 2 2 2" xfId="50860" xr:uid="{00000000-0005-0000-0000-00002BBA0000}"/>
    <cellStyle name="Normal 4 2 7 2 2 4 2 3" xfId="37944" xr:uid="{00000000-0005-0000-0000-00002CBA0000}"/>
    <cellStyle name="Normal 4 2 7 2 2 4 3" xfId="18528" xr:uid="{00000000-0005-0000-0000-00002DBA0000}"/>
    <cellStyle name="Normal 4 2 7 2 2 4 3 2" xfId="44402" xr:uid="{00000000-0005-0000-0000-00002EBA0000}"/>
    <cellStyle name="Normal 4 2 7 2 2 4 4" xfId="31486" xr:uid="{00000000-0005-0000-0000-00002FBA0000}"/>
    <cellStyle name="Normal 4 2 7 2 2 5" xfId="8841" xr:uid="{00000000-0005-0000-0000-000030BA0000}"/>
    <cellStyle name="Normal 4 2 7 2 2 5 2" xfId="21758" xr:uid="{00000000-0005-0000-0000-000031BA0000}"/>
    <cellStyle name="Normal 4 2 7 2 2 5 2 2" xfId="47632" xr:uid="{00000000-0005-0000-0000-000032BA0000}"/>
    <cellStyle name="Normal 4 2 7 2 2 5 3" xfId="34716" xr:uid="{00000000-0005-0000-0000-000033BA0000}"/>
    <cellStyle name="Normal 4 2 7 2 2 6" xfId="15300" xr:uid="{00000000-0005-0000-0000-000034BA0000}"/>
    <cellStyle name="Normal 4 2 7 2 2 6 2" xfId="41174" xr:uid="{00000000-0005-0000-0000-000035BA0000}"/>
    <cellStyle name="Normal 4 2 7 2 2 7" xfId="28226" xr:uid="{00000000-0005-0000-0000-000036BA0000}"/>
    <cellStyle name="Normal 4 2 7 2 2 8" xfId="54088" xr:uid="{00000000-0005-0000-0000-000037BA0000}"/>
    <cellStyle name="Normal 4 2 7 2 3" xfId="2739" xr:uid="{00000000-0005-0000-0000-000038BA0000}"/>
    <cellStyle name="Normal 4 2 7 2 3 2" xfId="4396" xr:uid="{00000000-0005-0000-0000-000039BA0000}"/>
    <cellStyle name="Normal 4 2 7 2 3 2 2" xfId="7627" xr:uid="{00000000-0005-0000-0000-00003ABA0000}"/>
    <cellStyle name="Normal 4 2 7 2 3 2 2 2" xfId="14086" xr:uid="{00000000-0005-0000-0000-00003BBA0000}"/>
    <cellStyle name="Normal 4 2 7 2 3 2 2 2 2" xfId="27003" xr:uid="{00000000-0005-0000-0000-00003CBA0000}"/>
    <cellStyle name="Normal 4 2 7 2 3 2 2 2 2 2" xfId="52877" xr:uid="{00000000-0005-0000-0000-00003DBA0000}"/>
    <cellStyle name="Normal 4 2 7 2 3 2 2 2 3" xfId="39961" xr:uid="{00000000-0005-0000-0000-00003EBA0000}"/>
    <cellStyle name="Normal 4 2 7 2 3 2 2 3" xfId="20545" xr:uid="{00000000-0005-0000-0000-00003FBA0000}"/>
    <cellStyle name="Normal 4 2 7 2 3 2 2 3 2" xfId="46419" xr:uid="{00000000-0005-0000-0000-000040BA0000}"/>
    <cellStyle name="Normal 4 2 7 2 3 2 2 4" xfId="33503" xr:uid="{00000000-0005-0000-0000-000041BA0000}"/>
    <cellStyle name="Normal 4 2 7 2 3 2 3" xfId="10858" xr:uid="{00000000-0005-0000-0000-000042BA0000}"/>
    <cellStyle name="Normal 4 2 7 2 3 2 3 2" xfId="23775" xr:uid="{00000000-0005-0000-0000-000043BA0000}"/>
    <cellStyle name="Normal 4 2 7 2 3 2 3 2 2" xfId="49649" xr:uid="{00000000-0005-0000-0000-000044BA0000}"/>
    <cellStyle name="Normal 4 2 7 2 3 2 3 3" xfId="36733" xr:uid="{00000000-0005-0000-0000-000045BA0000}"/>
    <cellStyle name="Normal 4 2 7 2 3 2 4" xfId="17317" xr:uid="{00000000-0005-0000-0000-000046BA0000}"/>
    <cellStyle name="Normal 4 2 7 2 3 2 4 2" xfId="43191" xr:uid="{00000000-0005-0000-0000-000047BA0000}"/>
    <cellStyle name="Normal 4 2 7 2 3 2 5" xfId="30243" xr:uid="{00000000-0005-0000-0000-000048BA0000}"/>
    <cellStyle name="Normal 4 2 7 2 3 3" xfId="6013" xr:uid="{00000000-0005-0000-0000-000049BA0000}"/>
    <cellStyle name="Normal 4 2 7 2 3 3 2" xfId="12472" xr:uid="{00000000-0005-0000-0000-00004ABA0000}"/>
    <cellStyle name="Normal 4 2 7 2 3 3 2 2" xfId="25389" xr:uid="{00000000-0005-0000-0000-00004BBA0000}"/>
    <cellStyle name="Normal 4 2 7 2 3 3 2 2 2" xfId="51263" xr:uid="{00000000-0005-0000-0000-00004CBA0000}"/>
    <cellStyle name="Normal 4 2 7 2 3 3 2 3" xfId="38347" xr:uid="{00000000-0005-0000-0000-00004DBA0000}"/>
    <cellStyle name="Normal 4 2 7 2 3 3 3" xfId="18931" xr:uid="{00000000-0005-0000-0000-00004EBA0000}"/>
    <cellStyle name="Normal 4 2 7 2 3 3 3 2" xfId="44805" xr:uid="{00000000-0005-0000-0000-00004FBA0000}"/>
    <cellStyle name="Normal 4 2 7 2 3 3 4" xfId="31889" xr:uid="{00000000-0005-0000-0000-000050BA0000}"/>
    <cellStyle name="Normal 4 2 7 2 3 4" xfId="9244" xr:uid="{00000000-0005-0000-0000-000051BA0000}"/>
    <cellStyle name="Normal 4 2 7 2 3 4 2" xfId="22161" xr:uid="{00000000-0005-0000-0000-000052BA0000}"/>
    <cellStyle name="Normal 4 2 7 2 3 4 2 2" xfId="48035" xr:uid="{00000000-0005-0000-0000-000053BA0000}"/>
    <cellStyle name="Normal 4 2 7 2 3 4 3" xfId="35119" xr:uid="{00000000-0005-0000-0000-000054BA0000}"/>
    <cellStyle name="Normal 4 2 7 2 3 5" xfId="15703" xr:uid="{00000000-0005-0000-0000-000055BA0000}"/>
    <cellStyle name="Normal 4 2 7 2 3 5 2" xfId="41577" xr:uid="{00000000-0005-0000-0000-000056BA0000}"/>
    <cellStyle name="Normal 4 2 7 2 3 6" xfId="28629" xr:uid="{00000000-0005-0000-0000-000057BA0000}"/>
    <cellStyle name="Normal 4 2 7 2 4" xfId="3566" xr:uid="{00000000-0005-0000-0000-000058BA0000}"/>
    <cellStyle name="Normal 4 2 7 2 4 2" xfId="6820" xr:uid="{00000000-0005-0000-0000-000059BA0000}"/>
    <cellStyle name="Normal 4 2 7 2 4 2 2" xfId="13279" xr:uid="{00000000-0005-0000-0000-00005ABA0000}"/>
    <cellStyle name="Normal 4 2 7 2 4 2 2 2" xfId="26196" xr:uid="{00000000-0005-0000-0000-00005BBA0000}"/>
    <cellStyle name="Normal 4 2 7 2 4 2 2 2 2" xfId="52070" xr:uid="{00000000-0005-0000-0000-00005CBA0000}"/>
    <cellStyle name="Normal 4 2 7 2 4 2 2 3" xfId="39154" xr:uid="{00000000-0005-0000-0000-00005DBA0000}"/>
    <cellStyle name="Normal 4 2 7 2 4 2 3" xfId="19738" xr:uid="{00000000-0005-0000-0000-00005EBA0000}"/>
    <cellStyle name="Normal 4 2 7 2 4 2 3 2" xfId="45612" xr:uid="{00000000-0005-0000-0000-00005FBA0000}"/>
    <cellStyle name="Normal 4 2 7 2 4 2 4" xfId="32696" xr:uid="{00000000-0005-0000-0000-000060BA0000}"/>
    <cellStyle name="Normal 4 2 7 2 4 3" xfId="10051" xr:uid="{00000000-0005-0000-0000-000061BA0000}"/>
    <cellStyle name="Normal 4 2 7 2 4 3 2" xfId="22968" xr:uid="{00000000-0005-0000-0000-000062BA0000}"/>
    <cellStyle name="Normal 4 2 7 2 4 3 2 2" xfId="48842" xr:uid="{00000000-0005-0000-0000-000063BA0000}"/>
    <cellStyle name="Normal 4 2 7 2 4 3 3" xfId="35926" xr:uid="{00000000-0005-0000-0000-000064BA0000}"/>
    <cellStyle name="Normal 4 2 7 2 4 4" xfId="16510" xr:uid="{00000000-0005-0000-0000-000065BA0000}"/>
    <cellStyle name="Normal 4 2 7 2 4 4 2" xfId="42384" xr:uid="{00000000-0005-0000-0000-000066BA0000}"/>
    <cellStyle name="Normal 4 2 7 2 4 5" xfId="29436" xr:uid="{00000000-0005-0000-0000-000067BA0000}"/>
    <cellStyle name="Normal 4 2 7 2 5" xfId="5206" xr:uid="{00000000-0005-0000-0000-000068BA0000}"/>
    <cellStyle name="Normal 4 2 7 2 5 2" xfId="11665" xr:uid="{00000000-0005-0000-0000-000069BA0000}"/>
    <cellStyle name="Normal 4 2 7 2 5 2 2" xfId="24582" xr:uid="{00000000-0005-0000-0000-00006ABA0000}"/>
    <cellStyle name="Normal 4 2 7 2 5 2 2 2" xfId="50456" xr:uid="{00000000-0005-0000-0000-00006BBA0000}"/>
    <cellStyle name="Normal 4 2 7 2 5 2 3" xfId="37540" xr:uid="{00000000-0005-0000-0000-00006CBA0000}"/>
    <cellStyle name="Normal 4 2 7 2 5 3" xfId="18124" xr:uid="{00000000-0005-0000-0000-00006DBA0000}"/>
    <cellStyle name="Normal 4 2 7 2 5 3 2" xfId="43998" xr:uid="{00000000-0005-0000-0000-00006EBA0000}"/>
    <cellStyle name="Normal 4 2 7 2 5 4" xfId="31082" xr:uid="{00000000-0005-0000-0000-00006FBA0000}"/>
    <cellStyle name="Normal 4 2 7 2 6" xfId="8437" xr:uid="{00000000-0005-0000-0000-000070BA0000}"/>
    <cellStyle name="Normal 4 2 7 2 6 2" xfId="21354" xr:uid="{00000000-0005-0000-0000-000071BA0000}"/>
    <cellStyle name="Normal 4 2 7 2 6 2 2" xfId="47228" xr:uid="{00000000-0005-0000-0000-000072BA0000}"/>
    <cellStyle name="Normal 4 2 7 2 6 3" xfId="34312" xr:uid="{00000000-0005-0000-0000-000073BA0000}"/>
    <cellStyle name="Normal 4 2 7 2 7" xfId="14896" xr:uid="{00000000-0005-0000-0000-000074BA0000}"/>
    <cellStyle name="Normal 4 2 7 2 7 2" xfId="40770" xr:uid="{00000000-0005-0000-0000-000075BA0000}"/>
    <cellStyle name="Normal 4 2 7 2 8" xfId="27821" xr:uid="{00000000-0005-0000-0000-000076BA0000}"/>
    <cellStyle name="Normal 4 2 7 2 9" xfId="53684" xr:uid="{00000000-0005-0000-0000-000077BA0000}"/>
    <cellStyle name="Normal 4 2 7 3" xfId="974" xr:uid="{00000000-0005-0000-0000-000078BA0000}"/>
    <cellStyle name="Normal 4 2 7 3 2" xfId="2948" xr:uid="{00000000-0005-0000-0000-000079BA0000}"/>
    <cellStyle name="Normal 4 2 7 3 2 2" xfId="4605" xr:uid="{00000000-0005-0000-0000-00007ABA0000}"/>
    <cellStyle name="Normal 4 2 7 3 2 2 2" xfId="7836" xr:uid="{00000000-0005-0000-0000-00007BBA0000}"/>
    <cellStyle name="Normal 4 2 7 3 2 2 2 2" xfId="14295" xr:uid="{00000000-0005-0000-0000-00007CBA0000}"/>
    <cellStyle name="Normal 4 2 7 3 2 2 2 2 2" xfId="27212" xr:uid="{00000000-0005-0000-0000-00007DBA0000}"/>
    <cellStyle name="Normal 4 2 7 3 2 2 2 2 2 2" xfId="53086" xr:uid="{00000000-0005-0000-0000-00007EBA0000}"/>
    <cellStyle name="Normal 4 2 7 3 2 2 2 2 3" xfId="40170" xr:uid="{00000000-0005-0000-0000-00007FBA0000}"/>
    <cellStyle name="Normal 4 2 7 3 2 2 2 3" xfId="20754" xr:uid="{00000000-0005-0000-0000-000080BA0000}"/>
    <cellStyle name="Normal 4 2 7 3 2 2 2 3 2" xfId="46628" xr:uid="{00000000-0005-0000-0000-000081BA0000}"/>
    <cellStyle name="Normal 4 2 7 3 2 2 2 4" xfId="33712" xr:uid="{00000000-0005-0000-0000-000082BA0000}"/>
    <cellStyle name="Normal 4 2 7 3 2 2 3" xfId="11067" xr:uid="{00000000-0005-0000-0000-000083BA0000}"/>
    <cellStyle name="Normal 4 2 7 3 2 2 3 2" xfId="23984" xr:uid="{00000000-0005-0000-0000-000084BA0000}"/>
    <cellStyle name="Normal 4 2 7 3 2 2 3 2 2" xfId="49858" xr:uid="{00000000-0005-0000-0000-000085BA0000}"/>
    <cellStyle name="Normal 4 2 7 3 2 2 3 3" xfId="36942" xr:uid="{00000000-0005-0000-0000-000086BA0000}"/>
    <cellStyle name="Normal 4 2 7 3 2 2 4" xfId="17526" xr:uid="{00000000-0005-0000-0000-000087BA0000}"/>
    <cellStyle name="Normal 4 2 7 3 2 2 4 2" xfId="43400" xr:uid="{00000000-0005-0000-0000-000088BA0000}"/>
    <cellStyle name="Normal 4 2 7 3 2 2 5" xfId="30452" xr:uid="{00000000-0005-0000-0000-000089BA0000}"/>
    <cellStyle name="Normal 4 2 7 3 2 3" xfId="6222" xr:uid="{00000000-0005-0000-0000-00008ABA0000}"/>
    <cellStyle name="Normal 4 2 7 3 2 3 2" xfId="12681" xr:uid="{00000000-0005-0000-0000-00008BBA0000}"/>
    <cellStyle name="Normal 4 2 7 3 2 3 2 2" xfId="25598" xr:uid="{00000000-0005-0000-0000-00008CBA0000}"/>
    <cellStyle name="Normal 4 2 7 3 2 3 2 2 2" xfId="51472" xr:uid="{00000000-0005-0000-0000-00008DBA0000}"/>
    <cellStyle name="Normal 4 2 7 3 2 3 2 3" xfId="38556" xr:uid="{00000000-0005-0000-0000-00008EBA0000}"/>
    <cellStyle name="Normal 4 2 7 3 2 3 3" xfId="19140" xr:uid="{00000000-0005-0000-0000-00008FBA0000}"/>
    <cellStyle name="Normal 4 2 7 3 2 3 3 2" xfId="45014" xr:uid="{00000000-0005-0000-0000-000090BA0000}"/>
    <cellStyle name="Normal 4 2 7 3 2 3 4" xfId="32098" xr:uid="{00000000-0005-0000-0000-000091BA0000}"/>
    <cellStyle name="Normal 4 2 7 3 2 4" xfId="9453" xr:uid="{00000000-0005-0000-0000-000092BA0000}"/>
    <cellStyle name="Normal 4 2 7 3 2 4 2" xfId="22370" xr:uid="{00000000-0005-0000-0000-000093BA0000}"/>
    <cellStyle name="Normal 4 2 7 3 2 4 2 2" xfId="48244" xr:uid="{00000000-0005-0000-0000-000094BA0000}"/>
    <cellStyle name="Normal 4 2 7 3 2 4 3" xfId="35328" xr:uid="{00000000-0005-0000-0000-000095BA0000}"/>
    <cellStyle name="Normal 4 2 7 3 2 5" xfId="15912" xr:uid="{00000000-0005-0000-0000-000096BA0000}"/>
    <cellStyle name="Normal 4 2 7 3 2 5 2" xfId="41786" xr:uid="{00000000-0005-0000-0000-000097BA0000}"/>
    <cellStyle name="Normal 4 2 7 3 2 6" xfId="28838" xr:uid="{00000000-0005-0000-0000-000098BA0000}"/>
    <cellStyle name="Normal 4 2 7 3 3" xfId="3775" xr:uid="{00000000-0005-0000-0000-000099BA0000}"/>
    <cellStyle name="Normal 4 2 7 3 3 2" xfId="7029" xr:uid="{00000000-0005-0000-0000-00009ABA0000}"/>
    <cellStyle name="Normal 4 2 7 3 3 2 2" xfId="13488" xr:uid="{00000000-0005-0000-0000-00009BBA0000}"/>
    <cellStyle name="Normal 4 2 7 3 3 2 2 2" xfId="26405" xr:uid="{00000000-0005-0000-0000-00009CBA0000}"/>
    <cellStyle name="Normal 4 2 7 3 3 2 2 2 2" xfId="52279" xr:uid="{00000000-0005-0000-0000-00009DBA0000}"/>
    <cellStyle name="Normal 4 2 7 3 3 2 2 3" xfId="39363" xr:uid="{00000000-0005-0000-0000-00009EBA0000}"/>
    <cellStyle name="Normal 4 2 7 3 3 2 3" xfId="19947" xr:uid="{00000000-0005-0000-0000-00009FBA0000}"/>
    <cellStyle name="Normal 4 2 7 3 3 2 3 2" xfId="45821" xr:uid="{00000000-0005-0000-0000-0000A0BA0000}"/>
    <cellStyle name="Normal 4 2 7 3 3 2 4" xfId="32905" xr:uid="{00000000-0005-0000-0000-0000A1BA0000}"/>
    <cellStyle name="Normal 4 2 7 3 3 3" xfId="10260" xr:uid="{00000000-0005-0000-0000-0000A2BA0000}"/>
    <cellStyle name="Normal 4 2 7 3 3 3 2" xfId="23177" xr:uid="{00000000-0005-0000-0000-0000A3BA0000}"/>
    <cellStyle name="Normal 4 2 7 3 3 3 2 2" xfId="49051" xr:uid="{00000000-0005-0000-0000-0000A4BA0000}"/>
    <cellStyle name="Normal 4 2 7 3 3 3 3" xfId="36135" xr:uid="{00000000-0005-0000-0000-0000A5BA0000}"/>
    <cellStyle name="Normal 4 2 7 3 3 4" xfId="16719" xr:uid="{00000000-0005-0000-0000-0000A6BA0000}"/>
    <cellStyle name="Normal 4 2 7 3 3 4 2" xfId="42593" xr:uid="{00000000-0005-0000-0000-0000A7BA0000}"/>
    <cellStyle name="Normal 4 2 7 3 3 5" xfId="29645" xr:uid="{00000000-0005-0000-0000-0000A8BA0000}"/>
    <cellStyle name="Normal 4 2 7 3 4" xfId="5415" xr:uid="{00000000-0005-0000-0000-0000A9BA0000}"/>
    <cellStyle name="Normal 4 2 7 3 4 2" xfId="11874" xr:uid="{00000000-0005-0000-0000-0000AABA0000}"/>
    <cellStyle name="Normal 4 2 7 3 4 2 2" xfId="24791" xr:uid="{00000000-0005-0000-0000-0000ABBA0000}"/>
    <cellStyle name="Normal 4 2 7 3 4 2 2 2" xfId="50665" xr:uid="{00000000-0005-0000-0000-0000ACBA0000}"/>
    <cellStyle name="Normal 4 2 7 3 4 2 3" xfId="37749" xr:uid="{00000000-0005-0000-0000-0000ADBA0000}"/>
    <cellStyle name="Normal 4 2 7 3 4 3" xfId="18333" xr:uid="{00000000-0005-0000-0000-0000AEBA0000}"/>
    <cellStyle name="Normal 4 2 7 3 4 3 2" xfId="44207" xr:uid="{00000000-0005-0000-0000-0000AFBA0000}"/>
    <cellStyle name="Normal 4 2 7 3 4 4" xfId="31291" xr:uid="{00000000-0005-0000-0000-0000B0BA0000}"/>
    <cellStyle name="Normal 4 2 7 3 5" xfId="8646" xr:uid="{00000000-0005-0000-0000-0000B1BA0000}"/>
    <cellStyle name="Normal 4 2 7 3 5 2" xfId="21563" xr:uid="{00000000-0005-0000-0000-0000B2BA0000}"/>
    <cellStyle name="Normal 4 2 7 3 5 2 2" xfId="47437" xr:uid="{00000000-0005-0000-0000-0000B3BA0000}"/>
    <cellStyle name="Normal 4 2 7 3 5 3" xfId="34521" xr:uid="{00000000-0005-0000-0000-0000B4BA0000}"/>
    <cellStyle name="Normal 4 2 7 3 6" xfId="15105" xr:uid="{00000000-0005-0000-0000-0000B5BA0000}"/>
    <cellStyle name="Normal 4 2 7 3 6 2" xfId="40979" xr:uid="{00000000-0005-0000-0000-0000B6BA0000}"/>
    <cellStyle name="Normal 4 2 7 3 7" xfId="28031" xr:uid="{00000000-0005-0000-0000-0000B7BA0000}"/>
    <cellStyle name="Normal 4 2 7 3 8" xfId="53893" xr:uid="{00000000-0005-0000-0000-0000B8BA0000}"/>
    <cellStyle name="Normal 4 2 7 3 9" xfId="2134" xr:uid="{00000000-0005-0000-0000-0000B9BA0000}"/>
    <cellStyle name="Normal 4 2 7 4" xfId="2545" xr:uid="{00000000-0005-0000-0000-0000BABA0000}"/>
    <cellStyle name="Normal 4 2 7 4 2" xfId="4202" xr:uid="{00000000-0005-0000-0000-0000BBBA0000}"/>
    <cellStyle name="Normal 4 2 7 4 2 2" xfId="7433" xr:uid="{00000000-0005-0000-0000-0000BCBA0000}"/>
    <cellStyle name="Normal 4 2 7 4 2 2 2" xfId="13892" xr:uid="{00000000-0005-0000-0000-0000BDBA0000}"/>
    <cellStyle name="Normal 4 2 7 4 2 2 2 2" xfId="26809" xr:uid="{00000000-0005-0000-0000-0000BEBA0000}"/>
    <cellStyle name="Normal 4 2 7 4 2 2 2 2 2" xfId="52683" xr:uid="{00000000-0005-0000-0000-0000BFBA0000}"/>
    <cellStyle name="Normal 4 2 7 4 2 2 2 3" xfId="39767" xr:uid="{00000000-0005-0000-0000-0000C0BA0000}"/>
    <cellStyle name="Normal 4 2 7 4 2 2 3" xfId="20351" xr:uid="{00000000-0005-0000-0000-0000C1BA0000}"/>
    <cellStyle name="Normal 4 2 7 4 2 2 3 2" xfId="46225" xr:uid="{00000000-0005-0000-0000-0000C2BA0000}"/>
    <cellStyle name="Normal 4 2 7 4 2 2 4" xfId="33309" xr:uid="{00000000-0005-0000-0000-0000C3BA0000}"/>
    <cellStyle name="Normal 4 2 7 4 2 3" xfId="10664" xr:uid="{00000000-0005-0000-0000-0000C4BA0000}"/>
    <cellStyle name="Normal 4 2 7 4 2 3 2" xfId="23581" xr:uid="{00000000-0005-0000-0000-0000C5BA0000}"/>
    <cellStyle name="Normal 4 2 7 4 2 3 2 2" xfId="49455" xr:uid="{00000000-0005-0000-0000-0000C6BA0000}"/>
    <cellStyle name="Normal 4 2 7 4 2 3 3" xfId="36539" xr:uid="{00000000-0005-0000-0000-0000C7BA0000}"/>
    <cellStyle name="Normal 4 2 7 4 2 4" xfId="17123" xr:uid="{00000000-0005-0000-0000-0000C8BA0000}"/>
    <cellStyle name="Normal 4 2 7 4 2 4 2" xfId="42997" xr:uid="{00000000-0005-0000-0000-0000C9BA0000}"/>
    <cellStyle name="Normal 4 2 7 4 2 5" xfId="30049" xr:uid="{00000000-0005-0000-0000-0000CABA0000}"/>
    <cellStyle name="Normal 4 2 7 4 3" xfId="5819" xr:uid="{00000000-0005-0000-0000-0000CBBA0000}"/>
    <cellStyle name="Normal 4 2 7 4 3 2" xfId="12278" xr:uid="{00000000-0005-0000-0000-0000CCBA0000}"/>
    <cellStyle name="Normal 4 2 7 4 3 2 2" xfId="25195" xr:uid="{00000000-0005-0000-0000-0000CDBA0000}"/>
    <cellStyle name="Normal 4 2 7 4 3 2 2 2" xfId="51069" xr:uid="{00000000-0005-0000-0000-0000CEBA0000}"/>
    <cellStyle name="Normal 4 2 7 4 3 2 3" xfId="38153" xr:uid="{00000000-0005-0000-0000-0000CFBA0000}"/>
    <cellStyle name="Normal 4 2 7 4 3 3" xfId="18737" xr:uid="{00000000-0005-0000-0000-0000D0BA0000}"/>
    <cellStyle name="Normal 4 2 7 4 3 3 2" xfId="44611" xr:uid="{00000000-0005-0000-0000-0000D1BA0000}"/>
    <cellStyle name="Normal 4 2 7 4 3 4" xfId="31695" xr:uid="{00000000-0005-0000-0000-0000D2BA0000}"/>
    <cellStyle name="Normal 4 2 7 4 4" xfId="9050" xr:uid="{00000000-0005-0000-0000-0000D3BA0000}"/>
    <cellStyle name="Normal 4 2 7 4 4 2" xfId="21967" xr:uid="{00000000-0005-0000-0000-0000D4BA0000}"/>
    <cellStyle name="Normal 4 2 7 4 4 2 2" xfId="47841" xr:uid="{00000000-0005-0000-0000-0000D5BA0000}"/>
    <cellStyle name="Normal 4 2 7 4 4 3" xfId="34925" xr:uid="{00000000-0005-0000-0000-0000D6BA0000}"/>
    <cellStyle name="Normal 4 2 7 4 5" xfId="15509" xr:uid="{00000000-0005-0000-0000-0000D7BA0000}"/>
    <cellStyle name="Normal 4 2 7 4 5 2" xfId="41383" xr:uid="{00000000-0005-0000-0000-0000D8BA0000}"/>
    <cellStyle name="Normal 4 2 7 4 6" xfId="28435" xr:uid="{00000000-0005-0000-0000-0000D9BA0000}"/>
    <cellStyle name="Normal 4 2 7 5" xfId="3368" xr:uid="{00000000-0005-0000-0000-0000DABA0000}"/>
    <cellStyle name="Normal 4 2 7 5 2" xfId="6626" xr:uid="{00000000-0005-0000-0000-0000DBBA0000}"/>
    <cellStyle name="Normal 4 2 7 5 2 2" xfId="13085" xr:uid="{00000000-0005-0000-0000-0000DCBA0000}"/>
    <cellStyle name="Normal 4 2 7 5 2 2 2" xfId="26002" xr:uid="{00000000-0005-0000-0000-0000DDBA0000}"/>
    <cellStyle name="Normal 4 2 7 5 2 2 2 2" xfId="51876" xr:uid="{00000000-0005-0000-0000-0000DEBA0000}"/>
    <cellStyle name="Normal 4 2 7 5 2 2 3" xfId="38960" xr:uid="{00000000-0005-0000-0000-0000DFBA0000}"/>
    <cellStyle name="Normal 4 2 7 5 2 3" xfId="19544" xr:uid="{00000000-0005-0000-0000-0000E0BA0000}"/>
    <cellStyle name="Normal 4 2 7 5 2 3 2" xfId="45418" xr:uid="{00000000-0005-0000-0000-0000E1BA0000}"/>
    <cellStyle name="Normal 4 2 7 5 2 4" xfId="32502" xr:uid="{00000000-0005-0000-0000-0000E2BA0000}"/>
    <cellStyle name="Normal 4 2 7 5 3" xfId="9857" xr:uid="{00000000-0005-0000-0000-0000E3BA0000}"/>
    <cellStyle name="Normal 4 2 7 5 3 2" xfId="22774" xr:uid="{00000000-0005-0000-0000-0000E4BA0000}"/>
    <cellStyle name="Normal 4 2 7 5 3 2 2" xfId="48648" xr:uid="{00000000-0005-0000-0000-0000E5BA0000}"/>
    <cellStyle name="Normal 4 2 7 5 3 3" xfId="35732" xr:uid="{00000000-0005-0000-0000-0000E6BA0000}"/>
    <cellStyle name="Normal 4 2 7 5 4" xfId="16316" xr:uid="{00000000-0005-0000-0000-0000E7BA0000}"/>
    <cellStyle name="Normal 4 2 7 5 4 2" xfId="42190" xr:uid="{00000000-0005-0000-0000-0000E8BA0000}"/>
    <cellStyle name="Normal 4 2 7 5 5" xfId="29242" xr:uid="{00000000-0005-0000-0000-0000E9BA0000}"/>
    <cellStyle name="Normal 4 2 7 6" xfId="5012" xr:uid="{00000000-0005-0000-0000-0000EABA0000}"/>
    <cellStyle name="Normal 4 2 7 6 2" xfId="11471" xr:uid="{00000000-0005-0000-0000-0000EBBA0000}"/>
    <cellStyle name="Normal 4 2 7 6 2 2" xfId="24388" xr:uid="{00000000-0005-0000-0000-0000ECBA0000}"/>
    <cellStyle name="Normal 4 2 7 6 2 2 2" xfId="50262" xr:uid="{00000000-0005-0000-0000-0000EDBA0000}"/>
    <cellStyle name="Normal 4 2 7 6 2 3" xfId="37346" xr:uid="{00000000-0005-0000-0000-0000EEBA0000}"/>
    <cellStyle name="Normal 4 2 7 6 3" xfId="17930" xr:uid="{00000000-0005-0000-0000-0000EFBA0000}"/>
    <cellStyle name="Normal 4 2 7 6 3 2" xfId="43804" xr:uid="{00000000-0005-0000-0000-0000F0BA0000}"/>
    <cellStyle name="Normal 4 2 7 6 4" xfId="30888" xr:uid="{00000000-0005-0000-0000-0000F1BA0000}"/>
    <cellStyle name="Normal 4 2 7 7" xfId="8242" xr:uid="{00000000-0005-0000-0000-0000F2BA0000}"/>
    <cellStyle name="Normal 4 2 7 7 2" xfId="21159" xr:uid="{00000000-0005-0000-0000-0000F3BA0000}"/>
    <cellStyle name="Normal 4 2 7 7 2 2" xfId="47033" xr:uid="{00000000-0005-0000-0000-0000F4BA0000}"/>
    <cellStyle name="Normal 4 2 7 7 3" xfId="34117" xr:uid="{00000000-0005-0000-0000-0000F5BA0000}"/>
    <cellStyle name="Normal 4 2 7 8" xfId="14701" xr:uid="{00000000-0005-0000-0000-0000F6BA0000}"/>
    <cellStyle name="Normal 4 2 7 8 2" xfId="40575" xr:uid="{00000000-0005-0000-0000-0000F7BA0000}"/>
    <cellStyle name="Normal 4 2 7 9" xfId="27625" xr:uid="{00000000-0005-0000-0000-0000F8BA0000}"/>
    <cellStyle name="Normal 4 2 8" xfId="976" xr:uid="{00000000-0005-0000-0000-0000F9BA0000}"/>
    <cellStyle name="Normal 4 2 9" xfId="951" xr:uid="{00000000-0005-0000-0000-0000FABA0000}"/>
    <cellStyle name="Normal 4 3" xfId="53" xr:uid="{00000000-0005-0000-0000-0000FBBA0000}"/>
    <cellStyle name="Normal 4 3 2" xfId="1732" xr:uid="{00000000-0005-0000-0000-0000FCBA0000}"/>
    <cellStyle name="Normal 4 3 3" xfId="1545" xr:uid="{00000000-0005-0000-0000-0000FDBA0000}"/>
    <cellStyle name="Normal 4 3 4" xfId="1338" xr:uid="{00000000-0005-0000-0000-0000FEBA0000}"/>
    <cellStyle name="Normal 4 3 5" xfId="154" xr:uid="{00000000-0005-0000-0000-0000FFBA0000}"/>
    <cellStyle name="Normal 4 4" xfId="155" xr:uid="{00000000-0005-0000-0000-000000BB0000}"/>
    <cellStyle name="Normal 4 4 2" xfId="156" xr:uid="{00000000-0005-0000-0000-000001BB0000}"/>
    <cellStyle name="Normal 4 4 3" xfId="157" xr:uid="{00000000-0005-0000-0000-000002BB0000}"/>
    <cellStyle name="Normal 4 4 4" xfId="318" xr:uid="{00000000-0005-0000-0000-000003BB0000}"/>
    <cellStyle name="Normal 4 4 4 2" xfId="977" xr:uid="{00000000-0005-0000-0000-000004BB0000}"/>
    <cellStyle name="Normal 4 4 5" xfId="215" xr:uid="{00000000-0005-0000-0000-000005BB0000}"/>
    <cellStyle name="Normal 4 4 5 2" xfId="978" xr:uid="{00000000-0005-0000-0000-000006BB0000}"/>
    <cellStyle name="Normal 4 4 6" xfId="979" xr:uid="{00000000-0005-0000-0000-000007BB0000}"/>
    <cellStyle name="Normal 4 5" xfId="158" xr:uid="{00000000-0005-0000-0000-000008BB0000}"/>
    <cellStyle name="Normal 4 5 2" xfId="159" xr:uid="{00000000-0005-0000-0000-000009BB0000}"/>
    <cellStyle name="Normal 4 5 2 2" xfId="356" xr:uid="{00000000-0005-0000-0000-00000ABB0000}"/>
    <cellStyle name="Normal 4 5 2 2 2" xfId="980" xr:uid="{00000000-0005-0000-0000-00000BBB0000}"/>
    <cellStyle name="Normal 4 5 2 3" xfId="981" xr:uid="{00000000-0005-0000-0000-00000CBB0000}"/>
    <cellStyle name="Normal 4 5 3" xfId="340" xr:uid="{00000000-0005-0000-0000-00000DBB0000}"/>
    <cellStyle name="Normal 4 5 3 2" xfId="982" xr:uid="{00000000-0005-0000-0000-00000EBB0000}"/>
    <cellStyle name="Normal 4 5 4" xfId="983" xr:uid="{00000000-0005-0000-0000-00000FBB0000}"/>
    <cellStyle name="Normal 4 6" xfId="152" xr:uid="{00000000-0005-0000-0000-000010BB0000}"/>
    <cellStyle name="Normal 5" xfId="18" xr:uid="{00000000-0005-0000-0000-000011BB0000}"/>
    <cellStyle name="Normal 5 2" xfId="63" xr:uid="{00000000-0005-0000-0000-000012BB0000}"/>
    <cellStyle name="Normal 5 2 2" xfId="162" xr:uid="{00000000-0005-0000-0000-000013BB0000}"/>
    <cellStyle name="Normal 5 2 2 2" xfId="319" xr:uid="{00000000-0005-0000-0000-000014BB0000}"/>
    <cellStyle name="Normal 5 2 2 2 2" xfId="984" xr:uid="{00000000-0005-0000-0000-000015BB0000}"/>
    <cellStyle name="Normal 5 2 2 3" xfId="985" xr:uid="{00000000-0005-0000-0000-000016BB0000}"/>
    <cellStyle name="Normal 5 2 3" xfId="163" xr:uid="{00000000-0005-0000-0000-000017BB0000}"/>
    <cellStyle name="Normal 5 2 4" xfId="216" xr:uid="{00000000-0005-0000-0000-000018BB0000}"/>
    <cellStyle name="Normal 5 2 4 2" xfId="986" xr:uid="{00000000-0005-0000-0000-000019BB0000}"/>
    <cellStyle name="Normal 5 2 5" xfId="368" xr:uid="{00000000-0005-0000-0000-00001ABB0000}"/>
    <cellStyle name="Normal 5 2 5 2" xfId="987" xr:uid="{00000000-0005-0000-0000-00001BBB0000}"/>
    <cellStyle name="Normal 5 2 6" xfId="161" xr:uid="{00000000-0005-0000-0000-00001CBB0000}"/>
    <cellStyle name="Normal 5 3" xfId="1546" xr:uid="{00000000-0005-0000-0000-00001DBB0000}"/>
    <cellStyle name="Normal 5 4" xfId="160" xr:uid="{00000000-0005-0000-0000-00001EBB0000}"/>
    <cellStyle name="Normal 6" xfId="65" xr:uid="{00000000-0005-0000-0000-00001FBB0000}"/>
    <cellStyle name="Normal 6 2" xfId="165" xr:uid="{00000000-0005-0000-0000-000020BB0000}"/>
    <cellStyle name="Normal 6 2 2" xfId="334" xr:uid="{00000000-0005-0000-0000-000021BB0000}"/>
    <cellStyle name="Normal 6 2 2 2" xfId="988" xr:uid="{00000000-0005-0000-0000-000022BB0000}"/>
    <cellStyle name="Normal 6 2 3" xfId="989" xr:uid="{00000000-0005-0000-0000-000023BB0000}"/>
    <cellStyle name="Normal 6 2 3 2" xfId="1339" xr:uid="{00000000-0005-0000-0000-000024BB0000}"/>
    <cellStyle name="Normal 6 2 3 3" xfId="1340" xr:uid="{00000000-0005-0000-0000-000025BB0000}"/>
    <cellStyle name="Normal 6 2 3 4" xfId="1341" xr:uid="{00000000-0005-0000-0000-000026BB0000}"/>
    <cellStyle name="Normal 6 2 3 4 2" xfId="1342" xr:uid="{00000000-0005-0000-0000-000027BB0000}"/>
    <cellStyle name="Normal 6 2 3 4 2 2" xfId="1343" xr:uid="{00000000-0005-0000-0000-000028BB0000}"/>
    <cellStyle name="Normal 6 2 3 4 2 2 2" xfId="1796" xr:uid="{00000000-0005-0000-0000-000029BB0000}"/>
    <cellStyle name="Normal 6 2 3 4 2 2 3" xfId="1819" xr:uid="{00000000-0005-0000-0000-00002ABB0000}"/>
    <cellStyle name="Normal 6 2 3 4 2 2 3 2" xfId="2033" xr:uid="{00000000-0005-0000-0000-00002BBB0000}"/>
    <cellStyle name="Normal 6 2 3 4 2 2 3 3" xfId="2462" xr:uid="{00000000-0005-0000-0000-00002CBB0000}"/>
    <cellStyle name="Normal 6 2 3 4 2 2 3 4" xfId="4119" xr:uid="{00000000-0005-0000-0000-00002DBB0000}"/>
    <cellStyle name="Normal 6 2 3 4 2 2 3 4 2" xfId="3302" xr:uid="{00000000-0005-0000-0000-00002EBB0000}"/>
    <cellStyle name="Normal 6 2 3 4 2 2 4" xfId="1830" xr:uid="{00000000-0005-0000-0000-00002FBB0000}"/>
    <cellStyle name="Normal 6 2 3 4 2 3" xfId="1494" xr:uid="{00000000-0005-0000-0000-000030BB0000}"/>
    <cellStyle name="Normal 6 2 3 5" xfId="1493" xr:uid="{00000000-0005-0000-0000-000031BB0000}"/>
    <cellStyle name="Normal 6 2 3 5 2" xfId="1882" xr:uid="{00000000-0005-0000-0000-000032BB0000}"/>
    <cellStyle name="Normal 6 2 3 5 3" xfId="1808" xr:uid="{00000000-0005-0000-0000-000033BB0000}"/>
    <cellStyle name="Normal 6 2 3 5 3 2" xfId="2022" xr:uid="{00000000-0005-0000-0000-000034BB0000}"/>
    <cellStyle name="Normal 6 2 3 5 3 3" xfId="4108" xr:uid="{00000000-0005-0000-0000-000035BB0000}"/>
    <cellStyle name="Normal 6 2 3 5 3 3 2" xfId="3352" xr:uid="{00000000-0005-0000-0000-000036BB0000}"/>
    <cellStyle name="Normal 6 2 4" xfId="1344" xr:uid="{00000000-0005-0000-0000-000037BB0000}"/>
    <cellStyle name="Normal 6 2 4 2" xfId="1345" xr:uid="{00000000-0005-0000-0000-000038BB0000}"/>
    <cellStyle name="Normal 6 2 4 2 2" xfId="1793" xr:uid="{00000000-0005-0000-0000-000039BB0000}"/>
    <cellStyle name="Normal 6 2 4 2 3" xfId="1815" xr:uid="{00000000-0005-0000-0000-00003ABB0000}"/>
    <cellStyle name="Normal 6 2 4 2 3 2" xfId="2029" xr:uid="{00000000-0005-0000-0000-00003BBB0000}"/>
    <cellStyle name="Normal 6 2 4 2 3 3" xfId="2464" xr:uid="{00000000-0005-0000-0000-00003CBB0000}"/>
    <cellStyle name="Normal 6 2 4 2 3 4" xfId="4115" xr:uid="{00000000-0005-0000-0000-00003DBB0000}"/>
    <cellStyle name="Normal 6 2 4 2 3 4 2" xfId="3307" xr:uid="{00000000-0005-0000-0000-00003EBB0000}"/>
    <cellStyle name="Normal 6 2 4 2 4" xfId="1826" xr:uid="{00000000-0005-0000-0000-00003FBB0000}"/>
    <cellStyle name="Normal 6 2 4 3" xfId="1495" xr:uid="{00000000-0005-0000-0000-000040BB0000}"/>
    <cellStyle name="Normal 6 2 5" xfId="1492" xr:uid="{00000000-0005-0000-0000-000041BB0000}"/>
    <cellStyle name="Normal 6 2 5 2" xfId="1881" xr:uid="{00000000-0005-0000-0000-000042BB0000}"/>
    <cellStyle name="Normal 6 2 5 3" xfId="1803" xr:uid="{00000000-0005-0000-0000-000043BB0000}"/>
    <cellStyle name="Normal 6 2 5 3 2" xfId="2017" xr:uid="{00000000-0005-0000-0000-000044BB0000}"/>
    <cellStyle name="Normal 6 2 5 3 3" xfId="4103" xr:uid="{00000000-0005-0000-0000-000045BB0000}"/>
    <cellStyle name="Normal 6 2 5 3 3 2" xfId="4929" xr:uid="{00000000-0005-0000-0000-000046BB0000}"/>
    <cellStyle name="Normal 6 3" xfId="166" xr:uid="{00000000-0005-0000-0000-000047BB0000}"/>
    <cellStyle name="Normal 6 3 2" xfId="1716" xr:uid="{00000000-0005-0000-0000-000048BB0000}"/>
    <cellStyle name="Normal 6 3 3" xfId="1590" xr:uid="{00000000-0005-0000-0000-000049BB0000}"/>
    <cellStyle name="Normal 6 3 4" xfId="1346" xr:uid="{00000000-0005-0000-0000-00004ABB0000}"/>
    <cellStyle name="Normal 6 4" xfId="372" xr:uid="{00000000-0005-0000-0000-00004BBB0000}"/>
    <cellStyle name="Normal 6 4 2" xfId="477" xr:uid="{00000000-0005-0000-0000-00004CBB0000}"/>
    <cellStyle name="Normal 6 4 2 2" xfId="992" xr:uid="{00000000-0005-0000-0000-00004DBB0000}"/>
    <cellStyle name="Normal 6 4 2 3" xfId="991" xr:uid="{00000000-0005-0000-0000-00004EBB0000}"/>
    <cellStyle name="Normal 6 4 2 4" xfId="1744" xr:uid="{00000000-0005-0000-0000-00004FBB0000}"/>
    <cellStyle name="Normal 6 4 3" xfId="993" xr:uid="{00000000-0005-0000-0000-000050BB0000}"/>
    <cellStyle name="Normal 6 4 3 10" xfId="53564" xr:uid="{00000000-0005-0000-0000-000051BB0000}"/>
    <cellStyle name="Normal 6 4 3 11" xfId="1648" xr:uid="{00000000-0005-0000-0000-000052BB0000}"/>
    <cellStyle name="Normal 6 4 3 2" xfId="1973" xr:uid="{00000000-0005-0000-0000-000053BB0000}"/>
    <cellStyle name="Normal 6 4 3 2 2" xfId="2404" xr:uid="{00000000-0005-0000-0000-000054BB0000}"/>
    <cellStyle name="Normal 6 4 3 2 2 2" xfId="3217" xr:uid="{00000000-0005-0000-0000-000055BB0000}"/>
    <cellStyle name="Normal 6 4 3 2 2 2 2" xfId="4874" xr:uid="{00000000-0005-0000-0000-000056BB0000}"/>
    <cellStyle name="Normal 6 4 3 2 2 2 2 2" xfId="8105" xr:uid="{00000000-0005-0000-0000-000057BB0000}"/>
    <cellStyle name="Normal 6 4 3 2 2 2 2 2 2" xfId="14564" xr:uid="{00000000-0005-0000-0000-000058BB0000}"/>
    <cellStyle name="Normal 6 4 3 2 2 2 2 2 2 2" xfId="27481" xr:uid="{00000000-0005-0000-0000-000059BB0000}"/>
    <cellStyle name="Normal 6 4 3 2 2 2 2 2 2 2 2" xfId="53355" xr:uid="{00000000-0005-0000-0000-00005ABB0000}"/>
    <cellStyle name="Normal 6 4 3 2 2 2 2 2 2 3" xfId="40439" xr:uid="{00000000-0005-0000-0000-00005BBB0000}"/>
    <cellStyle name="Normal 6 4 3 2 2 2 2 2 3" xfId="21023" xr:uid="{00000000-0005-0000-0000-00005CBB0000}"/>
    <cellStyle name="Normal 6 4 3 2 2 2 2 2 3 2" xfId="46897" xr:uid="{00000000-0005-0000-0000-00005DBB0000}"/>
    <cellStyle name="Normal 6 4 3 2 2 2 2 2 4" xfId="33981" xr:uid="{00000000-0005-0000-0000-00005EBB0000}"/>
    <cellStyle name="Normal 6 4 3 2 2 2 2 3" xfId="11336" xr:uid="{00000000-0005-0000-0000-00005FBB0000}"/>
    <cellStyle name="Normal 6 4 3 2 2 2 2 3 2" xfId="24253" xr:uid="{00000000-0005-0000-0000-000060BB0000}"/>
    <cellStyle name="Normal 6 4 3 2 2 2 2 3 2 2" xfId="50127" xr:uid="{00000000-0005-0000-0000-000061BB0000}"/>
    <cellStyle name="Normal 6 4 3 2 2 2 2 3 3" xfId="37211" xr:uid="{00000000-0005-0000-0000-000062BB0000}"/>
    <cellStyle name="Normal 6 4 3 2 2 2 2 4" xfId="17795" xr:uid="{00000000-0005-0000-0000-000063BB0000}"/>
    <cellStyle name="Normal 6 4 3 2 2 2 2 4 2" xfId="43669" xr:uid="{00000000-0005-0000-0000-000064BB0000}"/>
    <cellStyle name="Normal 6 4 3 2 2 2 2 5" xfId="30721" xr:uid="{00000000-0005-0000-0000-000065BB0000}"/>
    <cellStyle name="Normal 6 4 3 2 2 2 3" xfId="6491" xr:uid="{00000000-0005-0000-0000-000066BB0000}"/>
    <cellStyle name="Normal 6 4 3 2 2 2 3 2" xfId="12950" xr:uid="{00000000-0005-0000-0000-000067BB0000}"/>
    <cellStyle name="Normal 6 4 3 2 2 2 3 2 2" xfId="25867" xr:uid="{00000000-0005-0000-0000-000068BB0000}"/>
    <cellStyle name="Normal 6 4 3 2 2 2 3 2 2 2" xfId="51741" xr:uid="{00000000-0005-0000-0000-000069BB0000}"/>
    <cellStyle name="Normal 6 4 3 2 2 2 3 2 3" xfId="38825" xr:uid="{00000000-0005-0000-0000-00006ABB0000}"/>
    <cellStyle name="Normal 6 4 3 2 2 2 3 3" xfId="19409" xr:uid="{00000000-0005-0000-0000-00006BBB0000}"/>
    <cellStyle name="Normal 6 4 3 2 2 2 3 3 2" xfId="45283" xr:uid="{00000000-0005-0000-0000-00006CBB0000}"/>
    <cellStyle name="Normal 6 4 3 2 2 2 3 4" xfId="32367" xr:uid="{00000000-0005-0000-0000-00006DBB0000}"/>
    <cellStyle name="Normal 6 4 3 2 2 2 4" xfId="9722" xr:uid="{00000000-0005-0000-0000-00006EBB0000}"/>
    <cellStyle name="Normal 6 4 3 2 2 2 4 2" xfId="22639" xr:uid="{00000000-0005-0000-0000-00006FBB0000}"/>
    <cellStyle name="Normal 6 4 3 2 2 2 4 2 2" xfId="48513" xr:uid="{00000000-0005-0000-0000-000070BB0000}"/>
    <cellStyle name="Normal 6 4 3 2 2 2 4 3" xfId="35597" xr:uid="{00000000-0005-0000-0000-000071BB0000}"/>
    <cellStyle name="Normal 6 4 3 2 2 2 5" xfId="16181" xr:uid="{00000000-0005-0000-0000-000072BB0000}"/>
    <cellStyle name="Normal 6 4 3 2 2 2 5 2" xfId="42055" xr:uid="{00000000-0005-0000-0000-000073BB0000}"/>
    <cellStyle name="Normal 6 4 3 2 2 2 6" xfId="29107" xr:uid="{00000000-0005-0000-0000-000074BB0000}"/>
    <cellStyle name="Normal 6 4 3 2 2 3" xfId="4044" xr:uid="{00000000-0005-0000-0000-000075BB0000}"/>
    <cellStyle name="Normal 6 4 3 2 2 3 2" xfId="7298" xr:uid="{00000000-0005-0000-0000-000076BB0000}"/>
    <cellStyle name="Normal 6 4 3 2 2 3 2 2" xfId="13757" xr:uid="{00000000-0005-0000-0000-000077BB0000}"/>
    <cellStyle name="Normal 6 4 3 2 2 3 2 2 2" xfId="26674" xr:uid="{00000000-0005-0000-0000-000078BB0000}"/>
    <cellStyle name="Normal 6 4 3 2 2 3 2 2 2 2" xfId="52548" xr:uid="{00000000-0005-0000-0000-000079BB0000}"/>
    <cellStyle name="Normal 6 4 3 2 2 3 2 2 3" xfId="39632" xr:uid="{00000000-0005-0000-0000-00007ABB0000}"/>
    <cellStyle name="Normal 6 4 3 2 2 3 2 3" xfId="20216" xr:uid="{00000000-0005-0000-0000-00007BBB0000}"/>
    <cellStyle name="Normal 6 4 3 2 2 3 2 3 2" xfId="46090" xr:uid="{00000000-0005-0000-0000-00007CBB0000}"/>
    <cellStyle name="Normal 6 4 3 2 2 3 2 4" xfId="33174" xr:uid="{00000000-0005-0000-0000-00007DBB0000}"/>
    <cellStyle name="Normal 6 4 3 2 2 3 3" xfId="10529" xr:uid="{00000000-0005-0000-0000-00007EBB0000}"/>
    <cellStyle name="Normal 6 4 3 2 2 3 3 2" xfId="23446" xr:uid="{00000000-0005-0000-0000-00007FBB0000}"/>
    <cellStyle name="Normal 6 4 3 2 2 3 3 2 2" xfId="49320" xr:uid="{00000000-0005-0000-0000-000080BB0000}"/>
    <cellStyle name="Normal 6 4 3 2 2 3 3 3" xfId="36404" xr:uid="{00000000-0005-0000-0000-000081BB0000}"/>
    <cellStyle name="Normal 6 4 3 2 2 3 4" xfId="16988" xr:uid="{00000000-0005-0000-0000-000082BB0000}"/>
    <cellStyle name="Normal 6 4 3 2 2 3 4 2" xfId="42862" xr:uid="{00000000-0005-0000-0000-000083BB0000}"/>
    <cellStyle name="Normal 6 4 3 2 2 3 5" xfId="29914" xr:uid="{00000000-0005-0000-0000-000084BB0000}"/>
    <cellStyle name="Normal 6 4 3 2 2 4" xfId="5684" xr:uid="{00000000-0005-0000-0000-000085BB0000}"/>
    <cellStyle name="Normal 6 4 3 2 2 4 2" xfId="12143" xr:uid="{00000000-0005-0000-0000-000086BB0000}"/>
    <cellStyle name="Normal 6 4 3 2 2 4 2 2" xfId="25060" xr:uid="{00000000-0005-0000-0000-000087BB0000}"/>
    <cellStyle name="Normal 6 4 3 2 2 4 2 2 2" xfId="50934" xr:uid="{00000000-0005-0000-0000-000088BB0000}"/>
    <cellStyle name="Normal 6 4 3 2 2 4 2 3" xfId="38018" xr:uid="{00000000-0005-0000-0000-000089BB0000}"/>
    <cellStyle name="Normal 6 4 3 2 2 4 3" xfId="18602" xr:uid="{00000000-0005-0000-0000-00008ABB0000}"/>
    <cellStyle name="Normal 6 4 3 2 2 4 3 2" xfId="44476" xr:uid="{00000000-0005-0000-0000-00008BBB0000}"/>
    <cellStyle name="Normal 6 4 3 2 2 4 4" xfId="31560" xr:uid="{00000000-0005-0000-0000-00008CBB0000}"/>
    <cellStyle name="Normal 6 4 3 2 2 5" xfId="8915" xr:uid="{00000000-0005-0000-0000-00008DBB0000}"/>
    <cellStyle name="Normal 6 4 3 2 2 5 2" xfId="21832" xr:uid="{00000000-0005-0000-0000-00008EBB0000}"/>
    <cellStyle name="Normal 6 4 3 2 2 5 2 2" xfId="47706" xr:uid="{00000000-0005-0000-0000-00008FBB0000}"/>
    <cellStyle name="Normal 6 4 3 2 2 5 3" xfId="34790" xr:uid="{00000000-0005-0000-0000-000090BB0000}"/>
    <cellStyle name="Normal 6 4 3 2 2 6" xfId="15374" xr:uid="{00000000-0005-0000-0000-000091BB0000}"/>
    <cellStyle name="Normal 6 4 3 2 2 6 2" xfId="41248" xr:uid="{00000000-0005-0000-0000-000092BB0000}"/>
    <cellStyle name="Normal 6 4 3 2 2 7" xfId="28300" xr:uid="{00000000-0005-0000-0000-000093BB0000}"/>
    <cellStyle name="Normal 6 4 3 2 2 8" xfId="54162" xr:uid="{00000000-0005-0000-0000-000094BB0000}"/>
    <cellStyle name="Normal 6 4 3 2 3" xfId="2813" xr:uid="{00000000-0005-0000-0000-000095BB0000}"/>
    <cellStyle name="Normal 6 4 3 2 3 2" xfId="4470" xr:uid="{00000000-0005-0000-0000-000096BB0000}"/>
    <cellStyle name="Normal 6 4 3 2 3 2 2" xfId="7701" xr:uid="{00000000-0005-0000-0000-000097BB0000}"/>
    <cellStyle name="Normal 6 4 3 2 3 2 2 2" xfId="14160" xr:uid="{00000000-0005-0000-0000-000098BB0000}"/>
    <cellStyle name="Normal 6 4 3 2 3 2 2 2 2" xfId="27077" xr:uid="{00000000-0005-0000-0000-000099BB0000}"/>
    <cellStyle name="Normal 6 4 3 2 3 2 2 2 2 2" xfId="52951" xr:uid="{00000000-0005-0000-0000-00009ABB0000}"/>
    <cellStyle name="Normal 6 4 3 2 3 2 2 2 3" xfId="40035" xr:uid="{00000000-0005-0000-0000-00009BBB0000}"/>
    <cellStyle name="Normal 6 4 3 2 3 2 2 3" xfId="20619" xr:uid="{00000000-0005-0000-0000-00009CBB0000}"/>
    <cellStyle name="Normal 6 4 3 2 3 2 2 3 2" xfId="46493" xr:uid="{00000000-0005-0000-0000-00009DBB0000}"/>
    <cellStyle name="Normal 6 4 3 2 3 2 2 4" xfId="33577" xr:uid="{00000000-0005-0000-0000-00009EBB0000}"/>
    <cellStyle name="Normal 6 4 3 2 3 2 3" xfId="10932" xr:uid="{00000000-0005-0000-0000-00009FBB0000}"/>
    <cellStyle name="Normal 6 4 3 2 3 2 3 2" xfId="23849" xr:uid="{00000000-0005-0000-0000-0000A0BB0000}"/>
    <cellStyle name="Normal 6 4 3 2 3 2 3 2 2" xfId="49723" xr:uid="{00000000-0005-0000-0000-0000A1BB0000}"/>
    <cellStyle name="Normal 6 4 3 2 3 2 3 3" xfId="36807" xr:uid="{00000000-0005-0000-0000-0000A2BB0000}"/>
    <cellStyle name="Normal 6 4 3 2 3 2 4" xfId="17391" xr:uid="{00000000-0005-0000-0000-0000A3BB0000}"/>
    <cellStyle name="Normal 6 4 3 2 3 2 4 2" xfId="43265" xr:uid="{00000000-0005-0000-0000-0000A4BB0000}"/>
    <cellStyle name="Normal 6 4 3 2 3 2 5" xfId="30317" xr:uid="{00000000-0005-0000-0000-0000A5BB0000}"/>
    <cellStyle name="Normal 6 4 3 2 3 3" xfId="6087" xr:uid="{00000000-0005-0000-0000-0000A6BB0000}"/>
    <cellStyle name="Normal 6 4 3 2 3 3 2" xfId="12546" xr:uid="{00000000-0005-0000-0000-0000A7BB0000}"/>
    <cellStyle name="Normal 6 4 3 2 3 3 2 2" xfId="25463" xr:uid="{00000000-0005-0000-0000-0000A8BB0000}"/>
    <cellStyle name="Normal 6 4 3 2 3 3 2 2 2" xfId="51337" xr:uid="{00000000-0005-0000-0000-0000A9BB0000}"/>
    <cellStyle name="Normal 6 4 3 2 3 3 2 3" xfId="38421" xr:uid="{00000000-0005-0000-0000-0000AABB0000}"/>
    <cellStyle name="Normal 6 4 3 2 3 3 3" xfId="19005" xr:uid="{00000000-0005-0000-0000-0000ABBB0000}"/>
    <cellStyle name="Normal 6 4 3 2 3 3 3 2" xfId="44879" xr:uid="{00000000-0005-0000-0000-0000ACBB0000}"/>
    <cellStyle name="Normal 6 4 3 2 3 3 4" xfId="31963" xr:uid="{00000000-0005-0000-0000-0000ADBB0000}"/>
    <cellStyle name="Normal 6 4 3 2 3 4" xfId="9318" xr:uid="{00000000-0005-0000-0000-0000AEBB0000}"/>
    <cellStyle name="Normal 6 4 3 2 3 4 2" xfId="22235" xr:uid="{00000000-0005-0000-0000-0000AFBB0000}"/>
    <cellStyle name="Normal 6 4 3 2 3 4 2 2" xfId="48109" xr:uid="{00000000-0005-0000-0000-0000B0BB0000}"/>
    <cellStyle name="Normal 6 4 3 2 3 4 3" xfId="35193" xr:uid="{00000000-0005-0000-0000-0000B1BB0000}"/>
    <cellStyle name="Normal 6 4 3 2 3 5" xfId="15777" xr:uid="{00000000-0005-0000-0000-0000B2BB0000}"/>
    <cellStyle name="Normal 6 4 3 2 3 5 2" xfId="41651" xr:uid="{00000000-0005-0000-0000-0000B3BB0000}"/>
    <cellStyle name="Normal 6 4 3 2 3 6" xfId="28703" xr:uid="{00000000-0005-0000-0000-0000B4BB0000}"/>
    <cellStyle name="Normal 6 4 3 2 4" xfId="3640" xr:uid="{00000000-0005-0000-0000-0000B5BB0000}"/>
    <cellStyle name="Normal 6 4 3 2 4 2" xfId="6894" xr:uid="{00000000-0005-0000-0000-0000B6BB0000}"/>
    <cellStyle name="Normal 6 4 3 2 4 2 2" xfId="13353" xr:uid="{00000000-0005-0000-0000-0000B7BB0000}"/>
    <cellStyle name="Normal 6 4 3 2 4 2 2 2" xfId="26270" xr:uid="{00000000-0005-0000-0000-0000B8BB0000}"/>
    <cellStyle name="Normal 6 4 3 2 4 2 2 2 2" xfId="52144" xr:uid="{00000000-0005-0000-0000-0000B9BB0000}"/>
    <cellStyle name="Normal 6 4 3 2 4 2 2 3" xfId="39228" xr:uid="{00000000-0005-0000-0000-0000BABB0000}"/>
    <cellStyle name="Normal 6 4 3 2 4 2 3" xfId="19812" xr:uid="{00000000-0005-0000-0000-0000BBBB0000}"/>
    <cellStyle name="Normal 6 4 3 2 4 2 3 2" xfId="45686" xr:uid="{00000000-0005-0000-0000-0000BCBB0000}"/>
    <cellStyle name="Normal 6 4 3 2 4 2 4" xfId="32770" xr:uid="{00000000-0005-0000-0000-0000BDBB0000}"/>
    <cellStyle name="Normal 6 4 3 2 4 3" xfId="10125" xr:uid="{00000000-0005-0000-0000-0000BEBB0000}"/>
    <cellStyle name="Normal 6 4 3 2 4 3 2" xfId="23042" xr:uid="{00000000-0005-0000-0000-0000BFBB0000}"/>
    <cellStyle name="Normal 6 4 3 2 4 3 2 2" xfId="48916" xr:uid="{00000000-0005-0000-0000-0000C0BB0000}"/>
    <cellStyle name="Normal 6 4 3 2 4 3 3" xfId="36000" xr:uid="{00000000-0005-0000-0000-0000C1BB0000}"/>
    <cellStyle name="Normal 6 4 3 2 4 4" xfId="16584" xr:uid="{00000000-0005-0000-0000-0000C2BB0000}"/>
    <cellStyle name="Normal 6 4 3 2 4 4 2" xfId="42458" xr:uid="{00000000-0005-0000-0000-0000C3BB0000}"/>
    <cellStyle name="Normal 6 4 3 2 4 5" xfId="29510" xr:uid="{00000000-0005-0000-0000-0000C4BB0000}"/>
    <cellStyle name="Normal 6 4 3 2 5" xfId="5280" xr:uid="{00000000-0005-0000-0000-0000C5BB0000}"/>
    <cellStyle name="Normal 6 4 3 2 5 2" xfId="11739" xr:uid="{00000000-0005-0000-0000-0000C6BB0000}"/>
    <cellStyle name="Normal 6 4 3 2 5 2 2" xfId="24656" xr:uid="{00000000-0005-0000-0000-0000C7BB0000}"/>
    <cellStyle name="Normal 6 4 3 2 5 2 2 2" xfId="50530" xr:uid="{00000000-0005-0000-0000-0000C8BB0000}"/>
    <cellStyle name="Normal 6 4 3 2 5 2 3" xfId="37614" xr:uid="{00000000-0005-0000-0000-0000C9BB0000}"/>
    <cellStyle name="Normal 6 4 3 2 5 3" xfId="18198" xr:uid="{00000000-0005-0000-0000-0000CABB0000}"/>
    <cellStyle name="Normal 6 4 3 2 5 3 2" xfId="44072" xr:uid="{00000000-0005-0000-0000-0000CBBB0000}"/>
    <cellStyle name="Normal 6 4 3 2 5 4" xfId="31156" xr:uid="{00000000-0005-0000-0000-0000CCBB0000}"/>
    <cellStyle name="Normal 6 4 3 2 6" xfId="8511" xr:uid="{00000000-0005-0000-0000-0000CDBB0000}"/>
    <cellStyle name="Normal 6 4 3 2 6 2" xfId="21428" xr:uid="{00000000-0005-0000-0000-0000CEBB0000}"/>
    <cellStyle name="Normal 6 4 3 2 6 2 2" xfId="47302" xr:uid="{00000000-0005-0000-0000-0000CFBB0000}"/>
    <cellStyle name="Normal 6 4 3 2 6 3" xfId="34386" xr:uid="{00000000-0005-0000-0000-0000D0BB0000}"/>
    <cellStyle name="Normal 6 4 3 2 7" xfId="14970" xr:uid="{00000000-0005-0000-0000-0000D1BB0000}"/>
    <cellStyle name="Normal 6 4 3 2 7 2" xfId="40844" xr:uid="{00000000-0005-0000-0000-0000D2BB0000}"/>
    <cellStyle name="Normal 6 4 3 2 8" xfId="27895" xr:uid="{00000000-0005-0000-0000-0000D3BB0000}"/>
    <cellStyle name="Normal 6 4 3 2 9" xfId="53758" xr:uid="{00000000-0005-0000-0000-0000D4BB0000}"/>
    <cellStyle name="Normal 6 4 3 3" xfId="2208" xr:uid="{00000000-0005-0000-0000-0000D5BB0000}"/>
    <cellStyle name="Normal 6 4 3 3 2" xfId="3022" xr:uid="{00000000-0005-0000-0000-0000D6BB0000}"/>
    <cellStyle name="Normal 6 4 3 3 2 2" xfId="4679" xr:uid="{00000000-0005-0000-0000-0000D7BB0000}"/>
    <cellStyle name="Normal 6 4 3 3 2 2 2" xfId="7910" xr:uid="{00000000-0005-0000-0000-0000D8BB0000}"/>
    <cellStyle name="Normal 6 4 3 3 2 2 2 2" xfId="14369" xr:uid="{00000000-0005-0000-0000-0000D9BB0000}"/>
    <cellStyle name="Normal 6 4 3 3 2 2 2 2 2" xfId="27286" xr:uid="{00000000-0005-0000-0000-0000DABB0000}"/>
    <cellStyle name="Normal 6 4 3 3 2 2 2 2 2 2" xfId="53160" xr:uid="{00000000-0005-0000-0000-0000DBBB0000}"/>
    <cellStyle name="Normal 6 4 3 3 2 2 2 2 3" xfId="40244" xr:uid="{00000000-0005-0000-0000-0000DCBB0000}"/>
    <cellStyle name="Normal 6 4 3 3 2 2 2 3" xfId="20828" xr:uid="{00000000-0005-0000-0000-0000DDBB0000}"/>
    <cellStyle name="Normal 6 4 3 3 2 2 2 3 2" xfId="46702" xr:uid="{00000000-0005-0000-0000-0000DEBB0000}"/>
    <cellStyle name="Normal 6 4 3 3 2 2 2 4" xfId="33786" xr:uid="{00000000-0005-0000-0000-0000DFBB0000}"/>
    <cellStyle name="Normal 6 4 3 3 2 2 3" xfId="11141" xr:uid="{00000000-0005-0000-0000-0000E0BB0000}"/>
    <cellStyle name="Normal 6 4 3 3 2 2 3 2" xfId="24058" xr:uid="{00000000-0005-0000-0000-0000E1BB0000}"/>
    <cellStyle name="Normal 6 4 3 3 2 2 3 2 2" xfId="49932" xr:uid="{00000000-0005-0000-0000-0000E2BB0000}"/>
    <cellStyle name="Normal 6 4 3 3 2 2 3 3" xfId="37016" xr:uid="{00000000-0005-0000-0000-0000E3BB0000}"/>
    <cellStyle name="Normal 6 4 3 3 2 2 4" xfId="17600" xr:uid="{00000000-0005-0000-0000-0000E4BB0000}"/>
    <cellStyle name="Normal 6 4 3 3 2 2 4 2" xfId="43474" xr:uid="{00000000-0005-0000-0000-0000E5BB0000}"/>
    <cellStyle name="Normal 6 4 3 3 2 2 5" xfId="30526" xr:uid="{00000000-0005-0000-0000-0000E6BB0000}"/>
    <cellStyle name="Normal 6 4 3 3 2 3" xfId="6296" xr:uid="{00000000-0005-0000-0000-0000E7BB0000}"/>
    <cellStyle name="Normal 6 4 3 3 2 3 2" xfId="12755" xr:uid="{00000000-0005-0000-0000-0000E8BB0000}"/>
    <cellStyle name="Normal 6 4 3 3 2 3 2 2" xfId="25672" xr:uid="{00000000-0005-0000-0000-0000E9BB0000}"/>
    <cellStyle name="Normal 6 4 3 3 2 3 2 2 2" xfId="51546" xr:uid="{00000000-0005-0000-0000-0000EABB0000}"/>
    <cellStyle name="Normal 6 4 3 3 2 3 2 3" xfId="38630" xr:uid="{00000000-0005-0000-0000-0000EBBB0000}"/>
    <cellStyle name="Normal 6 4 3 3 2 3 3" xfId="19214" xr:uid="{00000000-0005-0000-0000-0000ECBB0000}"/>
    <cellStyle name="Normal 6 4 3 3 2 3 3 2" xfId="45088" xr:uid="{00000000-0005-0000-0000-0000EDBB0000}"/>
    <cellStyle name="Normal 6 4 3 3 2 3 4" xfId="32172" xr:uid="{00000000-0005-0000-0000-0000EEBB0000}"/>
    <cellStyle name="Normal 6 4 3 3 2 4" xfId="9527" xr:uid="{00000000-0005-0000-0000-0000EFBB0000}"/>
    <cellStyle name="Normal 6 4 3 3 2 4 2" xfId="22444" xr:uid="{00000000-0005-0000-0000-0000F0BB0000}"/>
    <cellStyle name="Normal 6 4 3 3 2 4 2 2" xfId="48318" xr:uid="{00000000-0005-0000-0000-0000F1BB0000}"/>
    <cellStyle name="Normal 6 4 3 3 2 4 3" xfId="35402" xr:uid="{00000000-0005-0000-0000-0000F2BB0000}"/>
    <cellStyle name="Normal 6 4 3 3 2 5" xfId="15986" xr:uid="{00000000-0005-0000-0000-0000F3BB0000}"/>
    <cellStyle name="Normal 6 4 3 3 2 5 2" xfId="41860" xr:uid="{00000000-0005-0000-0000-0000F4BB0000}"/>
    <cellStyle name="Normal 6 4 3 3 2 6" xfId="28912" xr:uid="{00000000-0005-0000-0000-0000F5BB0000}"/>
    <cellStyle name="Normal 6 4 3 3 3" xfId="3849" xr:uid="{00000000-0005-0000-0000-0000F6BB0000}"/>
    <cellStyle name="Normal 6 4 3 3 3 2" xfId="7103" xr:uid="{00000000-0005-0000-0000-0000F7BB0000}"/>
    <cellStyle name="Normal 6 4 3 3 3 2 2" xfId="13562" xr:uid="{00000000-0005-0000-0000-0000F8BB0000}"/>
    <cellStyle name="Normal 6 4 3 3 3 2 2 2" xfId="26479" xr:uid="{00000000-0005-0000-0000-0000F9BB0000}"/>
    <cellStyle name="Normal 6 4 3 3 3 2 2 2 2" xfId="52353" xr:uid="{00000000-0005-0000-0000-0000FABB0000}"/>
    <cellStyle name="Normal 6 4 3 3 3 2 2 3" xfId="39437" xr:uid="{00000000-0005-0000-0000-0000FBBB0000}"/>
    <cellStyle name="Normal 6 4 3 3 3 2 3" xfId="20021" xr:uid="{00000000-0005-0000-0000-0000FCBB0000}"/>
    <cellStyle name="Normal 6 4 3 3 3 2 3 2" xfId="45895" xr:uid="{00000000-0005-0000-0000-0000FDBB0000}"/>
    <cellStyle name="Normal 6 4 3 3 3 2 4" xfId="32979" xr:uid="{00000000-0005-0000-0000-0000FEBB0000}"/>
    <cellStyle name="Normal 6 4 3 3 3 3" xfId="10334" xr:uid="{00000000-0005-0000-0000-0000FFBB0000}"/>
    <cellStyle name="Normal 6 4 3 3 3 3 2" xfId="23251" xr:uid="{00000000-0005-0000-0000-000000BC0000}"/>
    <cellStyle name="Normal 6 4 3 3 3 3 2 2" xfId="49125" xr:uid="{00000000-0005-0000-0000-000001BC0000}"/>
    <cellStyle name="Normal 6 4 3 3 3 3 3" xfId="36209" xr:uid="{00000000-0005-0000-0000-000002BC0000}"/>
    <cellStyle name="Normal 6 4 3 3 3 4" xfId="16793" xr:uid="{00000000-0005-0000-0000-000003BC0000}"/>
    <cellStyle name="Normal 6 4 3 3 3 4 2" xfId="42667" xr:uid="{00000000-0005-0000-0000-000004BC0000}"/>
    <cellStyle name="Normal 6 4 3 3 3 5" xfId="29719" xr:uid="{00000000-0005-0000-0000-000005BC0000}"/>
    <cellStyle name="Normal 6 4 3 3 4" xfId="5489" xr:uid="{00000000-0005-0000-0000-000006BC0000}"/>
    <cellStyle name="Normal 6 4 3 3 4 2" xfId="11948" xr:uid="{00000000-0005-0000-0000-000007BC0000}"/>
    <cellStyle name="Normal 6 4 3 3 4 2 2" xfId="24865" xr:uid="{00000000-0005-0000-0000-000008BC0000}"/>
    <cellStyle name="Normal 6 4 3 3 4 2 2 2" xfId="50739" xr:uid="{00000000-0005-0000-0000-000009BC0000}"/>
    <cellStyle name="Normal 6 4 3 3 4 2 3" xfId="37823" xr:uid="{00000000-0005-0000-0000-00000ABC0000}"/>
    <cellStyle name="Normal 6 4 3 3 4 3" xfId="18407" xr:uid="{00000000-0005-0000-0000-00000BBC0000}"/>
    <cellStyle name="Normal 6 4 3 3 4 3 2" xfId="44281" xr:uid="{00000000-0005-0000-0000-00000CBC0000}"/>
    <cellStyle name="Normal 6 4 3 3 4 4" xfId="31365" xr:uid="{00000000-0005-0000-0000-00000DBC0000}"/>
    <cellStyle name="Normal 6 4 3 3 5" xfId="8720" xr:uid="{00000000-0005-0000-0000-00000EBC0000}"/>
    <cellStyle name="Normal 6 4 3 3 5 2" xfId="21637" xr:uid="{00000000-0005-0000-0000-00000FBC0000}"/>
    <cellStyle name="Normal 6 4 3 3 5 2 2" xfId="47511" xr:uid="{00000000-0005-0000-0000-000010BC0000}"/>
    <cellStyle name="Normal 6 4 3 3 5 3" xfId="34595" xr:uid="{00000000-0005-0000-0000-000011BC0000}"/>
    <cellStyle name="Normal 6 4 3 3 6" xfId="15179" xr:uid="{00000000-0005-0000-0000-000012BC0000}"/>
    <cellStyle name="Normal 6 4 3 3 6 2" xfId="41053" xr:uid="{00000000-0005-0000-0000-000013BC0000}"/>
    <cellStyle name="Normal 6 4 3 3 7" xfId="28105" xr:uid="{00000000-0005-0000-0000-000014BC0000}"/>
    <cellStyle name="Normal 6 4 3 3 8" xfId="53967" xr:uid="{00000000-0005-0000-0000-000015BC0000}"/>
    <cellStyle name="Normal 6 4 3 4" xfId="2619" xr:uid="{00000000-0005-0000-0000-000016BC0000}"/>
    <cellStyle name="Normal 6 4 3 4 2" xfId="4276" xr:uid="{00000000-0005-0000-0000-000017BC0000}"/>
    <cellStyle name="Normal 6 4 3 4 2 2" xfId="7507" xr:uid="{00000000-0005-0000-0000-000018BC0000}"/>
    <cellStyle name="Normal 6 4 3 4 2 2 2" xfId="13966" xr:uid="{00000000-0005-0000-0000-000019BC0000}"/>
    <cellStyle name="Normal 6 4 3 4 2 2 2 2" xfId="26883" xr:uid="{00000000-0005-0000-0000-00001ABC0000}"/>
    <cellStyle name="Normal 6 4 3 4 2 2 2 2 2" xfId="52757" xr:uid="{00000000-0005-0000-0000-00001BBC0000}"/>
    <cellStyle name="Normal 6 4 3 4 2 2 2 3" xfId="39841" xr:uid="{00000000-0005-0000-0000-00001CBC0000}"/>
    <cellStyle name="Normal 6 4 3 4 2 2 3" xfId="20425" xr:uid="{00000000-0005-0000-0000-00001DBC0000}"/>
    <cellStyle name="Normal 6 4 3 4 2 2 3 2" xfId="46299" xr:uid="{00000000-0005-0000-0000-00001EBC0000}"/>
    <cellStyle name="Normal 6 4 3 4 2 2 4" xfId="33383" xr:uid="{00000000-0005-0000-0000-00001FBC0000}"/>
    <cellStyle name="Normal 6 4 3 4 2 3" xfId="10738" xr:uid="{00000000-0005-0000-0000-000020BC0000}"/>
    <cellStyle name="Normal 6 4 3 4 2 3 2" xfId="23655" xr:uid="{00000000-0005-0000-0000-000021BC0000}"/>
    <cellStyle name="Normal 6 4 3 4 2 3 2 2" xfId="49529" xr:uid="{00000000-0005-0000-0000-000022BC0000}"/>
    <cellStyle name="Normal 6 4 3 4 2 3 3" xfId="36613" xr:uid="{00000000-0005-0000-0000-000023BC0000}"/>
    <cellStyle name="Normal 6 4 3 4 2 4" xfId="17197" xr:uid="{00000000-0005-0000-0000-000024BC0000}"/>
    <cellStyle name="Normal 6 4 3 4 2 4 2" xfId="43071" xr:uid="{00000000-0005-0000-0000-000025BC0000}"/>
    <cellStyle name="Normal 6 4 3 4 2 5" xfId="30123" xr:uid="{00000000-0005-0000-0000-000026BC0000}"/>
    <cellStyle name="Normal 6 4 3 4 3" xfId="5893" xr:uid="{00000000-0005-0000-0000-000027BC0000}"/>
    <cellStyle name="Normal 6 4 3 4 3 2" xfId="12352" xr:uid="{00000000-0005-0000-0000-000028BC0000}"/>
    <cellStyle name="Normal 6 4 3 4 3 2 2" xfId="25269" xr:uid="{00000000-0005-0000-0000-000029BC0000}"/>
    <cellStyle name="Normal 6 4 3 4 3 2 2 2" xfId="51143" xr:uid="{00000000-0005-0000-0000-00002ABC0000}"/>
    <cellStyle name="Normal 6 4 3 4 3 2 3" xfId="38227" xr:uid="{00000000-0005-0000-0000-00002BBC0000}"/>
    <cellStyle name="Normal 6 4 3 4 3 3" xfId="18811" xr:uid="{00000000-0005-0000-0000-00002CBC0000}"/>
    <cellStyle name="Normal 6 4 3 4 3 3 2" xfId="44685" xr:uid="{00000000-0005-0000-0000-00002DBC0000}"/>
    <cellStyle name="Normal 6 4 3 4 3 4" xfId="31769" xr:uid="{00000000-0005-0000-0000-00002EBC0000}"/>
    <cellStyle name="Normal 6 4 3 4 4" xfId="9124" xr:uid="{00000000-0005-0000-0000-00002FBC0000}"/>
    <cellStyle name="Normal 6 4 3 4 4 2" xfId="22041" xr:uid="{00000000-0005-0000-0000-000030BC0000}"/>
    <cellStyle name="Normal 6 4 3 4 4 2 2" xfId="47915" xr:uid="{00000000-0005-0000-0000-000031BC0000}"/>
    <cellStyle name="Normal 6 4 3 4 4 3" xfId="34999" xr:uid="{00000000-0005-0000-0000-000032BC0000}"/>
    <cellStyle name="Normal 6 4 3 4 5" xfId="15583" xr:uid="{00000000-0005-0000-0000-000033BC0000}"/>
    <cellStyle name="Normal 6 4 3 4 5 2" xfId="41457" xr:uid="{00000000-0005-0000-0000-000034BC0000}"/>
    <cellStyle name="Normal 6 4 3 4 6" xfId="28509" xr:uid="{00000000-0005-0000-0000-000035BC0000}"/>
    <cellStyle name="Normal 6 4 3 5" xfId="3446" xr:uid="{00000000-0005-0000-0000-000036BC0000}"/>
    <cellStyle name="Normal 6 4 3 5 2" xfId="6700" xr:uid="{00000000-0005-0000-0000-000037BC0000}"/>
    <cellStyle name="Normal 6 4 3 5 2 2" xfId="13159" xr:uid="{00000000-0005-0000-0000-000038BC0000}"/>
    <cellStyle name="Normal 6 4 3 5 2 2 2" xfId="26076" xr:uid="{00000000-0005-0000-0000-000039BC0000}"/>
    <cellStyle name="Normal 6 4 3 5 2 2 2 2" xfId="51950" xr:uid="{00000000-0005-0000-0000-00003ABC0000}"/>
    <cellStyle name="Normal 6 4 3 5 2 2 3" xfId="39034" xr:uid="{00000000-0005-0000-0000-00003BBC0000}"/>
    <cellStyle name="Normal 6 4 3 5 2 3" xfId="19618" xr:uid="{00000000-0005-0000-0000-00003CBC0000}"/>
    <cellStyle name="Normal 6 4 3 5 2 3 2" xfId="45492" xr:uid="{00000000-0005-0000-0000-00003DBC0000}"/>
    <cellStyle name="Normal 6 4 3 5 2 4" xfId="32576" xr:uid="{00000000-0005-0000-0000-00003EBC0000}"/>
    <cellStyle name="Normal 6 4 3 5 3" xfId="9931" xr:uid="{00000000-0005-0000-0000-00003FBC0000}"/>
    <cellStyle name="Normal 6 4 3 5 3 2" xfId="22848" xr:uid="{00000000-0005-0000-0000-000040BC0000}"/>
    <cellStyle name="Normal 6 4 3 5 3 2 2" xfId="48722" xr:uid="{00000000-0005-0000-0000-000041BC0000}"/>
    <cellStyle name="Normal 6 4 3 5 3 3" xfId="35806" xr:uid="{00000000-0005-0000-0000-000042BC0000}"/>
    <cellStyle name="Normal 6 4 3 5 4" xfId="16390" xr:uid="{00000000-0005-0000-0000-000043BC0000}"/>
    <cellStyle name="Normal 6 4 3 5 4 2" xfId="42264" xr:uid="{00000000-0005-0000-0000-000044BC0000}"/>
    <cellStyle name="Normal 6 4 3 5 5" xfId="29316" xr:uid="{00000000-0005-0000-0000-000045BC0000}"/>
    <cellStyle name="Normal 6 4 3 6" xfId="5086" xr:uid="{00000000-0005-0000-0000-000046BC0000}"/>
    <cellStyle name="Normal 6 4 3 6 2" xfId="11545" xr:uid="{00000000-0005-0000-0000-000047BC0000}"/>
    <cellStyle name="Normal 6 4 3 6 2 2" xfId="24462" xr:uid="{00000000-0005-0000-0000-000048BC0000}"/>
    <cellStyle name="Normal 6 4 3 6 2 2 2" xfId="50336" xr:uid="{00000000-0005-0000-0000-000049BC0000}"/>
    <cellStyle name="Normal 6 4 3 6 2 3" xfId="37420" xr:uid="{00000000-0005-0000-0000-00004ABC0000}"/>
    <cellStyle name="Normal 6 4 3 6 3" xfId="18004" xr:uid="{00000000-0005-0000-0000-00004BBC0000}"/>
    <cellStyle name="Normal 6 4 3 6 3 2" xfId="43878" xr:uid="{00000000-0005-0000-0000-00004CBC0000}"/>
    <cellStyle name="Normal 6 4 3 6 4" xfId="30962" xr:uid="{00000000-0005-0000-0000-00004DBC0000}"/>
    <cellStyle name="Normal 6 4 3 7" xfId="8316" xr:uid="{00000000-0005-0000-0000-00004EBC0000}"/>
    <cellStyle name="Normal 6 4 3 7 2" xfId="21233" xr:uid="{00000000-0005-0000-0000-00004FBC0000}"/>
    <cellStyle name="Normal 6 4 3 7 2 2" xfId="47107" xr:uid="{00000000-0005-0000-0000-000050BC0000}"/>
    <cellStyle name="Normal 6 4 3 7 3" xfId="34191" xr:uid="{00000000-0005-0000-0000-000051BC0000}"/>
    <cellStyle name="Normal 6 4 3 8" xfId="14775" xr:uid="{00000000-0005-0000-0000-000052BC0000}"/>
    <cellStyle name="Normal 6 4 3 8 2" xfId="40649" xr:uid="{00000000-0005-0000-0000-000053BC0000}"/>
    <cellStyle name="Normal 6 4 3 9" xfId="27699" xr:uid="{00000000-0005-0000-0000-000054BC0000}"/>
    <cellStyle name="Normal 6 4 4" xfId="990" xr:uid="{00000000-0005-0000-0000-000055BC0000}"/>
    <cellStyle name="Normal 6 4 5" xfId="1347" xr:uid="{00000000-0005-0000-0000-000056BC0000}"/>
    <cellStyle name="Normal 6 5" xfId="1547" xr:uid="{00000000-0005-0000-0000-000057BC0000}"/>
    <cellStyle name="Normal 6 6" xfId="164" xr:uid="{00000000-0005-0000-0000-000058BC0000}"/>
    <cellStyle name="Normal 7" xfId="67" xr:uid="{00000000-0005-0000-0000-000059BC0000}"/>
    <cellStyle name="Normal 7 2" xfId="168" xr:uid="{00000000-0005-0000-0000-00005ABC0000}"/>
    <cellStyle name="Normal 7 2 2" xfId="1348" xr:uid="{00000000-0005-0000-0000-00005BBC0000}"/>
    <cellStyle name="Normal 7 2 2 2" xfId="1497" xr:uid="{00000000-0005-0000-0000-00005CBC0000}"/>
    <cellStyle name="Normal 7 2 2 3" xfId="1868" xr:uid="{00000000-0005-0000-0000-00005DBC0000}"/>
    <cellStyle name="Normal 7 3" xfId="217" xr:uid="{00000000-0005-0000-0000-00005EBC0000}"/>
    <cellStyle name="Normal 7 3 2" xfId="1350" xr:uid="{00000000-0005-0000-0000-00005FBC0000}"/>
    <cellStyle name="Normal 7 3 2 2" xfId="1499" xr:uid="{00000000-0005-0000-0000-000060BC0000}"/>
    <cellStyle name="Normal 7 3 3" xfId="1351" xr:uid="{00000000-0005-0000-0000-000061BC0000}"/>
    <cellStyle name="Normal 7 3 3 2" xfId="1500" xr:uid="{00000000-0005-0000-0000-000062BC0000}"/>
    <cellStyle name="Normal 7 3 4" xfId="1352" xr:uid="{00000000-0005-0000-0000-000063BC0000}"/>
    <cellStyle name="Normal 7 3 4 2" xfId="1353" xr:uid="{00000000-0005-0000-0000-000064BC0000}"/>
    <cellStyle name="Normal 7 3 4 2 2" xfId="1354" xr:uid="{00000000-0005-0000-0000-000065BC0000}"/>
    <cellStyle name="Normal 7 3 4 2 2 2" xfId="1797" xr:uid="{00000000-0005-0000-0000-000066BC0000}"/>
    <cellStyle name="Normal 7 3 4 2 2 2 2" xfId="1838" xr:uid="{00000000-0005-0000-0000-000067BC0000}"/>
    <cellStyle name="Normal 7 3 4 2 2 3" xfId="1820" xr:uid="{00000000-0005-0000-0000-000068BC0000}"/>
    <cellStyle name="Normal 7 3 4 2 2 3 2" xfId="2034" xr:uid="{00000000-0005-0000-0000-000069BC0000}"/>
    <cellStyle name="Normal 7 3 4 2 2 3 3" xfId="2080" xr:uid="{00000000-0005-0000-0000-00006ABC0000}"/>
    <cellStyle name="Normal 7 3 4 2 2 3 4" xfId="4120" xr:uid="{00000000-0005-0000-0000-00006BBC0000}"/>
    <cellStyle name="Normal 7 3 4 2 2 3 4 2" xfId="3317" xr:uid="{00000000-0005-0000-0000-00006CBC0000}"/>
    <cellStyle name="Normal 7 3 4 2 2 4" xfId="1831" xr:uid="{00000000-0005-0000-0000-00006DBC0000}"/>
    <cellStyle name="Normal 7 3 4 2 3" xfId="1501" xr:uid="{00000000-0005-0000-0000-00006EBC0000}"/>
    <cellStyle name="Normal 7 3 5" xfId="1498" xr:uid="{00000000-0005-0000-0000-00006FBC0000}"/>
    <cellStyle name="Normal 7 3 5 2" xfId="1884" xr:uid="{00000000-0005-0000-0000-000070BC0000}"/>
    <cellStyle name="Normal 7 3 5 3" xfId="1809" xr:uid="{00000000-0005-0000-0000-000071BC0000}"/>
    <cellStyle name="Normal 7 3 5 3 2" xfId="2023" xr:uid="{00000000-0005-0000-0000-000072BC0000}"/>
    <cellStyle name="Normal 7 3 5 3 3" xfId="4109" xr:uid="{00000000-0005-0000-0000-000073BC0000}"/>
    <cellStyle name="Normal 7 3 5 3 3 2" xfId="3315" xr:uid="{00000000-0005-0000-0000-000074BC0000}"/>
    <cellStyle name="Normal 7 3 6" xfId="1349" xr:uid="{00000000-0005-0000-0000-000075BC0000}"/>
    <cellStyle name="Normal 7 4" xfId="1355" xr:uid="{00000000-0005-0000-0000-000076BC0000}"/>
    <cellStyle name="Normal 7 4 2" xfId="1356" xr:uid="{00000000-0005-0000-0000-000077BC0000}"/>
    <cellStyle name="Normal 7 4 2 2" xfId="1798" xr:uid="{00000000-0005-0000-0000-000078BC0000}"/>
    <cellStyle name="Normal 7 4 2 2 2" xfId="1839" xr:uid="{00000000-0005-0000-0000-000079BC0000}"/>
    <cellStyle name="Normal 7 4 2 3" xfId="1821" xr:uid="{00000000-0005-0000-0000-00007ABC0000}"/>
    <cellStyle name="Normal 7 4 2 3 2" xfId="2035" xr:uid="{00000000-0005-0000-0000-00007BBC0000}"/>
    <cellStyle name="Normal 7 4 2 3 3" xfId="2459" xr:uid="{00000000-0005-0000-0000-00007CBC0000}"/>
    <cellStyle name="Normal 7 4 2 3 4" xfId="4121" xr:uid="{00000000-0005-0000-0000-00007DBC0000}"/>
    <cellStyle name="Normal 7 4 2 3 4 2" xfId="3273" xr:uid="{00000000-0005-0000-0000-00007EBC0000}"/>
    <cellStyle name="Normal 7 4 2 4" xfId="1832" xr:uid="{00000000-0005-0000-0000-00007FBC0000}"/>
    <cellStyle name="Normal 7 4 3" xfId="1357" xr:uid="{00000000-0005-0000-0000-000080BC0000}"/>
    <cellStyle name="Normal 7 4 3 2" xfId="1502" xr:uid="{00000000-0005-0000-0000-000081BC0000}"/>
    <cellStyle name="Normal 7 5" xfId="1496" xr:uid="{00000000-0005-0000-0000-000082BC0000}"/>
    <cellStyle name="Normal 7 5 2" xfId="1883" xr:uid="{00000000-0005-0000-0000-000083BC0000}"/>
    <cellStyle name="Normal 7 5 3" xfId="1804" xr:uid="{00000000-0005-0000-0000-000084BC0000}"/>
    <cellStyle name="Normal 7 5 3 2" xfId="2018" xr:uid="{00000000-0005-0000-0000-000085BC0000}"/>
    <cellStyle name="Normal 7 5 3 3" xfId="4104" xr:uid="{00000000-0005-0000-0000-000086BC0000}"/>
    <cellStyle name="Normal 7 5 3 3 2" xfId="3370" xr:uid="{00000000-0005-0000-0000-000087BC0000}"/>
    <cellStyle name="Normal 7 6" xfId="1548" xr:uid="{00000000-0005-0000-0000-000088BC0000}"/>
    <cellStyle name="Normal 7 7" xfId="167" xr:uid="{00000000-0005-0000-0000-000089BC0000}"/>
    <cellStyle name="Normal 8" xfId="11" xr:uid="{00000000-0005-0000-0000-00008ABC0000}"/>
    <cellStyle name="Normal 8 2" xfId="68" xr:uid="{00000000-0005-0000-0000-00008BBC0000}"/>
    <cellStyle name="Normal 8 2 2" xfId="996" xr:uid="{00000000-0005-0000-0000-00008CBC0000}"/>
    <cellStyle name="Normal 8 2 2 2" xfId="1503" xr:uid="{00000000-0005-0000-0000-00008DBC0000}"/>
    <cellStyle name="Normal 8 2 3" xfId="995" xr:uid="{00000000-0005-0000-0000-00008EBC0000}"/>
    <cellStyle name="Normal 8 2 3 10" xfId="53600" xr:uid="{00000000-0005-0000-0000-00008FBC0000}"/>
    <cellStyle name="Normal 8 2 3 11" xfId="1745" xr:uid="{00000000-0005-0000-0000-000090BC0000}"/>
    <cellStyle name="Normal 8 2 3 2" xfId="2009" xr:uid="{00000000-0005-0000-0000-000091BC0000}"/>
    <cellStyle name="Normal 8 2 3 2 2" xfId="2440" xr:uid="{00000000-0005-0000-0000-000092BC0000}"/>
    <cellStyle name="Normal 8 2 3 2 2 2" xfId="3253" xr:uid="{00000000-0005-0000-0000-000093BC0000}"/>
    <cellStyle name="Normal 8 2 3 2 2 2 2" xfId="4910" xr:uid="{00000000-0005-0000-0000-000094BC0000}"/>
    <cellStyle name="Normal 8 2 3 2 2 2 2 2" xfId="8141" xr:uid="{00000000-0005-0000-0000-000095BC0000}"/>
    <cellStyle name="Normal 8 2 3 2 2 2 2 2 2" xfId="14600" xr:uid="{00000000-0005-0000-0000-000096BC0000}"/>
    <cellStyle name="Normal 8 2 3 2 2 2 2 2 2 2" xfId="27517" xr:uid="{00000000-0005-0000-0000-000097BC0000}"/>
    <cellStyle name="Normal 8 2 3 2 2 2 2 2 2 2 2" xfId="53391" xr:uid="{00000000-0005-0000-0000-000098BC0000}"/>
    <cellStyle name="Normal 8 2 3 2 2 2 2 2 2 3" xfId="40475" xr:uid="{00000000-0005-0000-0000-000099BC0000}"/>
    <cellStyle name="Normal 8 2 3 2 2 2 2 2 3" xfId="21059" xr:uid="{00000000-0005-0000-0000-00009ABC0000}"/>
    <cellStyle name="Normal 8 2 3 2 2 2 2 2 3 2" xfId="46933" xr:uid="{00000000-0005-0000-0000-00009BBC0000}"/>
    <cellStyle name="Normal 8 2 3 2 2 2 2 2 4" xfId="34017" xr:uid="{00000000-0005-0000-0000-00009CBC0000}"/>
    <cellStyle name="Normal 8 2 3 2 2 2 2 3" xfId="11372" xr:uid="{00000000-0005-0000-0000-00009DBC0000}"/>
    <cellStyle name="Normal 8 2 3 2 2 2 2 3 2" xfId="24289" xr:uid="{00000000-0005-0000-0000-00009EBC0000}"/>
    <cellStyle name="Normal 8 2 3 2 2 2 2 3 2 2" xfId="50163" xr:uid="{00000000-0005-0000-0000-00009FBC0000}"/>
    <cellStyle name="Normal 8 2 3 2 2 2 2 3 3" xfId="37247" xr:uid="{00000000-0005-0000-0000-0000A0BC0000}"/>
    <cellStyle name="Normal 8 2 3 2 2 2 2 4" xfId="17831" xr:uid="{00000000-0005-0000-0000-0000A1BC0000}"/>
    <cellStyle name="Normal 8 2 3 2 2 2 2 4 2" xfId="43705" xr:uid="{00000000-0005-0000-0000-0000A2BC0000}"/>
    <cellStyle name="Normal 8 2 3 2 2 2 2 5" xfId="30757" xr:uid="{00000000-0005-0000-0000-0000A3BC0000}"/>
    <cellStyle name="Normal 8 2 3 2 2 2 3" xfId="6527" xr:uid="{00000000-0005-0000-0000-0000A4BC0000}"/>
    <cellStyle name="Normal 8 2 3 2 2 2 3 2" xfId="12986" xr:uid="{00000000-0005-0000-0000-0000A5BC0000}"/>
    <cellStyle name="Normal 8 2 3 2 2 2 3 2 2" xfId="25903" xr:uid="{00000000-0005-0000-0000-0000A6BC0000}"/>
    <cellStyle name="Normal 8 2 3 2 2 2 3 2 2 2" xfId="51777" xr:uid="{00000000-0005-0000-0000-0000A7BC0000}"/>
    <cellStyle name="Normal 8 2 3 2 2 2 3 2 3" xfId="38861" xr:uid="{00000000-0005-0000-0000-0000A8BC0000}"/>
    <cellStyle name="Normal 8 2 3 2 2 2 3 3" xfId="19445" xr:uid="{00000000-0005-0000-0000-0000A9BC0000}"/>
    <cellStyle name="Normal 8 2 3 2 2 2 3 3 2" xfId="45319" xr:uid="{00000000-0005-0000-0000-0000AABC0000}"/>
    <cellStyle name="Normal 8 2 3 2 2 2 3 4" xfId="32403" xr:uid="{00000000-0005-0000-0000-0000ABBC0000}"/>
    <cellStyle name="Normal 8 2 3 2 2 2 4" xfId="9758" xr:uid="{00000000-0005-0000-0000-0000ACBC0000}"/>
    <cellStyle name="Normal 8 2 3 2 2 2 4 2" xfId="22675" xr:uid="{00000000-0005-0000-0000-0000ADBC0000}"/>
    <cellStyle name="Normal 8 2 3 2 2 2 4 2 2" xfId="48549" xr:uid="{00000000-0005-0000-0000-0000AEBC0000}"/>
    <cellStyle name="Normal 8 2 3 2 2 2 4 3" xfId="35633" xr:uid="{00000000-0005-0000-0000-0000AFBC0000}"/>
    <cellStyle name="Normal 8 2 3 2 2 2 5" xfId="16217" xr:uid="{00000000-0005-0000-0000-0000B0BC0000}"/>
    <cellStyle name="Normal 8 2 3 2 2 2 5 2" xfId="42091" xr:uid="{00000000-0005-0000-0000-0000B1BC0000}"/>
    <cellStyle name="Normal 8 2 3 2 2 2 6" xfId="29143" xr:uid="{00000000-0005-0000-0000-0000B2BC0000}"/>
    <cellStyle name="Normal 8 2 3 2 2 3" xfId="4080" xr:uid="{00000000-0005-0000-0000-0000B3BC0000}"/>
    <cellStyle name="Normal 8 2 3 2 2 3 2" xfId="7334" xr:uid="{00000000-0005-0000-0000-0000B4BC0000}"/>
    <cellStyle name="Normal 8 2 3 2 2 3 2 2" xfId="13793" xr:uid="{00000000-0005-0000-0000-0000B5BC0000}"/>
    <cellStyle name="Normal 8 2 3 2 2 3 2 2 2" xfId="26710" xr:uid="{00000000-0005-0000-0000-0000B6BC0000}"/>
    <cellStyle name="Normal 8 2 3 2 2 3 2 2 2 2" xfId="52584" xr:uid="{00000000-0005-0000-0000-0000B7BC0000}"/>
    <cellStyle name="Normal 8 2 3 2 2 3 2 2 3" xfId="39668" xr:uid="{00000000-0005-0000-0000-0000B8BC0000}"/>
    <cellStyle name="Normal 8 2 3 2 2 3 2 3" xfId="20252" xr:uid="{00000000-0005-0000-0000-0000B9BC0000}"/>
    <cellStyle name="Normal 8 2 3 2 2 3 2 3 2" xfId="46126" xr:uid="{00000000-0005-0000-0000-0000BABC0000}"/>
    <cellStyle name="Normal 8 2 3 2 2 3 2 4" xfId="33210" xr:uid="{00000000-0005-0000-0000-0000BBBC0000}"/>
    <cellStyle name="Normal 8 2 3 2 2 3 3" xfId="10565" xr:uid="{00000000-0005-0000-0000-0000BCBC0000}"/>
    <cellStyle name="Normal 8 2 3 2 2 3 3 2" xfId="23482" xr:uid="{00000000-0005-0000-0000-0000BDBC0000}"/>
    <cellStyle name="Normal 8 2 3 2 2 3 3 2 2" xfId="49356" xr:uid="{00000000-0005-0000-0000-0000BEBC0000}"/>
    <cellStyle name="Normal 8 2 3 2 2 3 3 3" xfId="36440" xr:uid="{00000000-0005-0000-0000-0000BFBC0000}"/>
    <cellStyle name="Normal 8 2 3 2 2 3 4" xfId="17024" xr:uid="{00000000-0005-0000-0000-0000C0BC0000}"/>
    <cellStyle name="Normal 8 2 3 2 2 3 4 2" xfId="42898" xr:uid="{00000000-0005-0000-0000-0000C1BC0000}"/>
    <cellStyle name="Normal 8 2 3 2 2 3 5" xfId="29950" xr:uid="{00000000-0005-0000-0000-0000C2BC0000}"/>
    <cellStyle name="Normal 8 2 3 2 2 4" xfId="5720" xr:uid="{00000000-0005-0000-0000-0000C3BC0000}"/>
    <cellStyle name="Normal 8 2 3 2 2 4 2" xfId="12179" xr:uid="{00000000-0005-0000-0000-0000C4BC0000}"/>
    <cellStyle name="Normal 8 2 3 2 2 4 2 2" xfId="25096" xr:uid="{00000000-0005-0000-0000-0000C5BC0000}"/>
    <cellStyle name="Normal 8 2 3 2 2 4 2 2 2" xfId="50970" xr:uid="{00000000-0005-0000-0000-0000C6BC0000}"/>
    <cellStyle name="Normal 8 2 3 2 2 4 2 3" xfId="38054" xr:uid="{00000000-0005-0000-0000-0000C7BC0000}"/>
    <cellStyle name="Normal 8 2 3 2 2 4 3" xfId="18638" xr:uid="{00000000-0005-0000-0000-0000C8BC0000}"/>
    <cellStyle name="Normal 8 2 3 2 2 4 3 2" xfId="44512" xr:uid="{00000000-0005-0000-0000-0000C9BC0000}"/>
    <cellStyle name="Normal 8 2 3 2 2 4 4" xfId="31596" xr:uid="{00000000-0005-0000-0000-0000CABC0000}"/>
    <cellStyle name="Normal 8 2 3 2 2 5" xfId="8951" xr:uid="{00000000-0005-0000-0000-0000CBBC0000}"/>
    <cellStyle name="Normal 8 2 3 2 2 5 2" xfId="21868" xr:uid="{00000000-0005-0000-0000-0000CCBC0000}"/>
    <cellStyle name="Normal 8 2 3 2 2 5 2 2" xfId="47742" xr:uid="{00000000-0005-0000-0000-0000CDBC0000}"/>
    <cellStyle name="Normal 8 2 3 2 2 5 3" xfId="34826" xr:uid="{00000000-0005-0000-0000-0000CEBC0000}"/>
    <cellStyle name="Normal 8 2 3 2 2 6" xfId="15410" xr:uid="{00000000-0005-0000-0000-0000CFBC0000}"/>
    <cellStyle name="Normal 8 2 3 2 2 6 2" xfId="41284" xr:uid="{00000000-0005-0000-0000-0000D0BC0000}"/>
    <cellStyle name="Normal 8 2 3 2 2 7" xfId="28336" xr:uid="{00000000-0005-0000-0000-0000D1BC0000}"/>
    <cellStyle name="Normal 8 2 3 2 2 8" xfId="54198" xr:uid="{00000000-0005-0000-0000-0000D2BC0000}"/>
    <cellStyle name="Normal 8 2 3 2 3" xfId="2849" xr:uid="{00000000-0005-0000-0000-0000D3BC0000}"/>
    <cellStyle name="Normal 8 2 3 2 3 2" xfId="4506" xr:uid="{00000000-0005-0000-0000-0000D4BC0000}"/>
    <cellStyle name="Normal 8 2 3 2 3 2 2" xfId="7737" xr:uid="{00000000-0005-0000-0000-0000D5BC0000}"/>
    <cellStyle name="Normal 8 2 3 2 3 2 2 2" xfId="14196" xr:uid="{00000000-0005-0000-0000-0000D6BC0000}"/>
    <cellStyle name="Normal 8 2 3 2 3 2 2 2 2" xfId="27113" xr:uid="{00000000-0005-0000-0000-0000D7BC0000}"/>
    <cellStyle name="Normal 8 2 3 2 3 2 2 2 2 2" xfId="52987" xr:uid="{00000000-0005-0000-0000-0000D8BC0000}"/>
    <cellStyle name="Normal 8 2 3 2 3 2 2 2 3" xfId="40071" xr:uid="{00000000-0005-0000-0000-0000D9BC0000}"/>
    <cellStyle name="Normal 8 2 3 2 3 2 2 3" xfId="20655" xr:uid="{00000000-0005-0000-0000-0000DABC0000}"/>
    <cellStyle name="Normal 8 2 3 2 3 2 2 3 2" xfId="46529" xr:uid="{00000000-0005-0000-0000-0000DBBC0000}"/>
    <cellStyle name="Normal 8 2 3 2 3 2 2 4" xfId="33613" xr:uid="{00000000-0005-0000-0000-0000DCBC0000}"/>
    <cellStyle name="Normal 8 2 3 2 3 2 3" xfId="10968" xr:uid="{00000000-0005-0000-0000-0000DDBC0000}"/>
    <cellStyle name="Normal 8 2 3 2 3 2 3 2" xfId="23885" xr:uid="{00000000-0005-0000-0000-0000DEBC0000}"/>
    <cellStyle name="Normal 8 2 3 2 3 2 3 2 2" xfId="49759" xr:uid="{00000000-0005-0000-0000-0000DFBC0000}"/>
    <cellStyle name="Normal 8 2 3 2 3 2 3 3" xfId="36843" xr:uid="{00000000-0005-0000-0000-0000E0BC0000}"/>
    <cellStyle name="Normal 8 2 3 2 3 2 4" xfId="17427" xr:uid="{00000000-0005-0000-0000-0000E1BC0000}"/>
    <cellStyle name="Normal 8 2 3 2 3 2 4 2" xfId="43301" xr:uid="{00000000-0005-0000-0000-0000E2BC0000}"/>
    <cellStyle name="Normal 8 2 3 2 3 2 5" xfId="30353" xr:uid="{00000000-0005-0000-0000-0000E3BC0000}"/>
    <cellStyle name="Normal 8 2 3 2 3 3" xfId="6123" xr:uid="{00000000-0005-0000-0000-0000E4BC0000}"/>
    <cellStyle name="Normal 8 2 3 2 3 3 2" xfId="12582" xr:uid="{00000000-0005-0000-0000-0000E5BC0000}"/>
    <cellStyle name="Normal 8 2 3 2 3 3 2 2" xfId="25499" xr:uid="{00000000-0005-0000-0000-0000E6BC0000}"/>
    <cellStyle name="Normal 8 2 3 2 3 3 2 2 2" xfId="51373" xr:uid="{00000000-0005-0000-0000-0000E7BC0000}"/>
    <cellStyle name="Normal 8 2 3 2 3 3 2 3" xfId="38457" xr:uid="{00000000-0005-0000-0000-0000E8BC0000}"/>
    <cellStyle name="Normal 8 2 3 2 3 3 3" xfId="19041" xr:uid="{00000000-0005-0000-0000-0000E9BC0000}"/>
    <cellStyle name="Normal 8 2 3 2 3 3 3 2" xfId="44915" xr:uid="{00000000-0005-0000-0000-0000EABC0000}"/>
    <cellStyle name="Normal 8 2 3 2 3 3 4" xfId="31999" xr:uid="{00000000-0005-0000-0000-0000EBBC0000}"/>
    <cellStyle name="Normal 8 2 3 2 3 4" xfId="9354" xr:uid="{00000000-0005-0000-0000-0000ECBC0000}"/>
    <cellStyle name="Normal 8 2 3 2 3 4 2" xfId="22271" xr:uid="{00000000-0005-0000-0000-0000EDBC0000}"/>
    <cellStyle name="Normal 8 2 3 2 3 4 2 2" xfId="48145" xr:uid="{00000000-0005-0000-0000-0000EEBC0000}"/>
    <cellStyle name="Normal 8 2 3 2 3 4 3" xfId="35229" xr:uid="{00000000-0005-0000-0000-0000EFBC0000}"/>
    <cellStyle name="Normal 8 2 3 2 3 5" xfId="15813" xr:uid="{00000000-0005-0000-0000-0000F0BC0000}"/>
    <cellStyle name="Normal 8 2 3 2 3 5 2" xfId="41687" xr:uid="{00000000-0005-0000-0000-0000F1BC0000}"/>
    <cellStyle name="Normal 8 2 3 2 3 6" xfId="28739" xr:uid="{00000000-0005-0000-0000-0000F2BC0000}"/>
    <cellStyle name="Normal 8 2 3 2 4" xfId="3676" xr:uid="{00000000-0005-0000-0000-0000F3BC0000}"/>
    <cellStyle name="Normal 8 2 3 2 4 2" xfId="6930" xr:uid="{00000000-0005-0000-0000-0000F4BC0000}"/>
    <cellStyle name="Normal 8 2 3 2 4 2 2" xfId="13389" xr:uid="{00000000-0005-0000-0000-0000F5BC0000}"/>
    <cellStyle name="Normal 8 2 3 2 4 2 2 2" xfId="26306" xr:uid="{00000000-0005-0000-0000-0000F6BC0000}"/>
    <cellStyle name="Normal 8 2 3 2 4 2 2 2 2" xfId="52180" xr:uid="{00000000-0005-0000-0000-0000F7BC0000}"/>
    <cellStyle name="Normal 8 2 3 2 4 2 2 3" xfId="39264" xr:uid="{00000000-0005-0000-0000-0000F8BC0000}"/>
    <cellStyle name="Normal 8 2 3 2 4 2 3" xfId="19848" xr:uid="{00000000-0005-0000-0000-0000F9BC0000}"/>
    <cellStyle name="Normal 8 2 3 2 4 2 3 2" xfId="45722" xr:uid="{00000000-0005-0000-0000-0000FABC0000}"/>
    <cellStyle name="Normal 8 2 3 2 4 2 4" xfId="32806" xr:uid="{00000000-0005-0000-0000-0000FBBC0000}"/>
    <cellStyle name="Normal 8 2 3 2 4 3" xfId="10161" xr:uid="{00000000-0005-0000-0000-0000FCBC0000}"/>
    <cellStyle name="Normal 8 2 3 2 4 3 2" xfId="23078" xr:uid="{00000000-0005-0000-0000-0000FDBC0000}"/>
    <cellStyle name="Normal 8 2 3 2 4 3 2 2" xfId="48952" xr:uid="{00000000-0005-0000-0000-0000FEBC0000}"/>
    <cellStyle name="Normal 8 2 3 2 4 3 3" xfId="36036" xr:uid="{00000000-0005-0000-0000-0000FFBC0000}"/>
    <cellStyle name="Normal 8 2 3 2 4 4" xfId="16620" xr:uid="{00000000-0005-0000-0000-000000BD0000}"/>
    <cellStyle name="Normal 8 2 3 2 4 4 2" xfId="42494" xr:uid="{00000000-0005-0000-0000-000001BD0000}"/>
    <cellStyle name="Normal 8 2 3 2 4 5" xfId="29546" xr:uid="{00000000-0005-0000-0000-000002BD0000}"/>
    <cellStyle name="Normal 8 2 3 2 5" xfId="5316" xr:uid="{00000000-0005-0000-0000-000003BD0000}"/>
    <cellStyle name="Normal 8 2 3 2 5 2" xfId="11775" xr:uid="{00000000-0005-0000-0000-000004BD0000}"/>
    <cellStyle name="Normal 8 2 3 2 5 2 2" xfId="24692" xr:uid="{00000000-0005-0000-0000-000005BD0000}"/>
    <cellStyle name="Normal 8 2 3 2 5 2 2 2" xfId="50566" xr:uid="{00000000-0005-0000-0000-000006BD0000}"/>
    <cellStyle name="Normal 8 2 3 2 5 2 3" xfId="37650" xr:uid="{00000000-0005-0000-0000-000007BD0000}"/>
    <cellStyle name="Normal 8 2 3 2 5 3" xfId="18234" xr:uid="{00000000-0005-0000-0000-000008BD0000}"/>
    <cellStyle name="Normal 8 2 3 2 5 3 2" xfId="44108" xr:uid="{00000000-0005-0000-0000-000009BD0000}"/>
    <cellStyle name="Normal 8 2 3 2 5 4" xfId="31192" xr:uid="{00000000-0005-0000-0000-00000ABD0000}"/>
    <cellStyle name="Normal 8 2 3 2 6" xfId="8547" xr:uid="{00000000-0005-0000-0000-00000BBD0000}"/>
    <cellStyle name="Normal 8 2 3 2 6 2" xfId="21464" xr:uid="{00000000-0005-0000-0000-00000CBD0000}"/>
    <cellStyle name="Normal 8 2 3 2 6 2 2" xfId="47338" xr:uid="{00000000-0005-0000-0000-00000DBD0000}"/>
    <cellStyle name="Normal 8 2 3 2 6 3" xfId="34422" xr:uid="{00000000-0005-0000-0000-00000EBD0000}"/>
    <cellStyle name="Normal 8 2 3 2 7" xfId="15006" xr:uid="{00000000-0005-0000-0000-00000FBD0000}"/>
    <cellStyle name="Normal 8 2 3 2 7 2" xfId="40880" xr:uid="{00000000-0005-0000-0000-000010BD0000}"/>
    <cellStyle name="Normal 8 2 3 2 8" xfId="27931" xr:uid="{00000000-0005-0000-0000-000011BD0000}"/>
    <cellStyle name="Normal 8 2 3 2 9" xfId="53794" xr:uid="{00000000-0005-0000-0000-000012BD0000}"/>
    <cellStyle name="Normal 8 2 3 3" xfId="2244" xr:uid="{00000000-0005-0000-0000-000013BD0000}"/>
    <cellStyle name="Normal 8 2 3 3 2" xfId="3058" xr:uid="{00000000-0005-0000-0000-000014BD0000}"/>
    <cellStyle name="Normal 8 2 3 3 2 2" xfId="4715" xr:uid="{00000000-0005-0000-0000-000015BD0000}"/>
    <cellStyle name="Normal 8 2 3 3 2 2 2" xfId="7946" xr:uid="{00000000-0005-0000-0000-000016BD0000}"/>
    <cellStyle name="Normal 8 2 3 3 2 2 2 2" xfId="14405" xr:uid="{00000000-0005-0000-0000-000017BD0000}"/>
    <cellStyle name="Normal 8 2 3 3 2 2 2 2 2" xfId="27322" xr:uid="{00000000-0005-0000-0000-000018BD0000}"/>
    <cellStyle name="Normal 8 2 3 3 2 2 2 2 2 2" xfId="53196" xr:uid="{00000000-0005-0000-0000-000019BD0000}"/>
    <cellStyle name="Normal 8 2 3 3 2 2 2 2 3" xfId="40280" xr:uid="{00000000-0005-0000-0000-00001ABD0000}"/>
    <cellStyle name="Normal 8 2 3 3 2 2 2 3" xfId="20864" xr:uid="{00000000-0005-0000-0000-00001BBD0000}"/>
    <cellStyle name="Normal 8 2 3 3 2 2 2 3 2" xfId="46738" xr:uid="{00000000-0005-0000-0000-00001CBD0000}"/>
    <cellStyle name="Normal 8 2 3 3 2 2 2 4" xfId="33822" xr:uid="{00000000-0005-0000-0000-00001DBD0000}"/>
    <cellStyle name="Normal 8 2 3 3 2 2 3" xfId="11177" xr:uid="{00000000-0005-0000-0000-00001EBD0000}"/>
    <cellStyle name="Normal 8 2 3 3 2 2 3 2" xfId="24094" xr:uid="{00000000-0005-0000-0000-00001FBD0000}"/>
    <cellStyle name="Normal 8 2 3 3 2 2 3 2 2" xfId="49968" xr:uid="{00000000-0005-0000-0000-000020BD0000}"/>
    <cellStyle name="Normal 8 2 3 3 2 2 3 3" xfId="37052" xr:uid="{00000000-0005-0000-0000-000021BD0000}"/>
    <cellStyle name="Normal 8 2 3 3 2 2 4" xfId="17636" xr:uid="{00000000-0005-0000-0000-000022BD0000}"/>
    <cellStyle name="Normal 8 2 3 3 2 2 4 2" xfId="43510" xr:uid="{00000000-0005-0000-0000-000023BD0000}"/>
    <cellStyle name="Normal 8 2 3 3 2 2 5" xfId="30562" xr:uid="{00000000-0005-0000-0000-000024BD0000}"/>
    <cellStyle name="Normal 8 2 3 3 2 3" xfId="6332" xr:uid="{00000000-0005-0000-0000-000025BD0000}"/>
    <cellStyle name="Normal 8 2 3 3 2 3 2" xfId="12791" xr:uid="{00000000-0005-0000-0000-000026BD0000}"/>
    <cellStyle name="Normal 8 2 3 3 2 3 2 2" xfId="25708" xr:uid="{00000000-0005-0000-0000-000027BD0000}"/>
    <cellStyle name="Normal 8 2 3 3 2 3 2 2 2" xfId="51582" xr:uid="{00000000-0005-0000-0000-000028BD0000}"/>
    <cellStyle name="Normal 8 2 3 3 2 3 2 3" xfId="38666" xr:uid="{00000000-0005-0000-0000-000029BD0000}"/>
    <cellStyle name="Normal 8 2 3 3 2 3 3" xfId="19250" xr:uid="{00000000-0005-0000-0000-00002ABD0000}"/>
    <cellStyle name="Normal 8 2 3 3 2 3 3 2" xfId="45124" xr:uid="{00000000-0005-0000-0000-00002BBD0000}"/>
    <cellStyle name="Normal 8 2 3 3 2 3 4" xfId="32208" xr:uid="{00000000-0005-0000-0000-00002CBD0000}"/>
    <cellStyle name="Normal 8 2 3 3 2 4" xfId="9563" xr:uid="{00000000-0005-0000-0000-00002DBD0000}"/>
    <cellStyle name="Normal 8 2 3 3 2 4 2" xfId="22480" xr:uid="{00000000-0005-0000-0000-00002EBD0000}"/>
    <cellStyle name="Normal 8 2 3 3 2 4 2 2" xfId="48354" xr:uid="{00000000-0005-0000-0000-00002FBD0000}"/>
    <cellStyle name="Normal 8 2 3 3 2 4 3" xfId="35438" xr:uid="{00000000-0005-0000-0000-000030BD0000}"/>
    <cellStyle name="Normal 8 2 3 3 2 5" xfId="16022" xr:uid="{00000000-0005-0000-0000-000031BD0000}"/>
    <cellStyle name="Normal 8 2 3 3 2 5 2" xfId="41896" xr:uid="{00000000-0005-0000-0000-000032BD0000}"/>
    <cellStyle name="Normal 8 2 3 3 2 6" xfId="28948" xr:uid="{00000000-0005-0000-0000-000033BD0000}"/>
    <cellStyle name="Normal 8 2 3 3 3" xfId="3885" xr:uid="{00000000-0005-0000-0000-000034BD0000}"/>
    <cellStyle name="Normal 8 2 3 3 3 2" xfId="7139" xr:uid="{00000000-0005-0000-0000-000035BD0000}"/>
    <cellStyle name="Normal 8 2 3 3 3 2 2" xfId="13598" xr:uid="{00000000-0005-0000-0000-000036BD0000}"/>
    <cellStyle name="Normal 8 2 3 3 3 2 2 2" xfId="26515" xr:uid="{00000000-0005-0000-0000-000037BD0000}"/>
    <cellStyle name="Normal 8 2 3 3 3 2 2 2 2" xfId="52389" xr:uid="{00000000-0005-0000-0000-000038BD0000}"/>
    <cellStyle name="Normal 8 2 3 3 3 2 2 3" xfId="39473" xr:uid="{00000000-0005-0000-0000-000039BD0000}"/>
    <cellStyle name="Normal 8 2 3 3 3 2 3" xfId="20057" xr:uid="{00000000-0005-0000-0000-00003ABD0000}"/>
    <cellStyle name="Normal 8 2 3 3 3 2 3 2" xfId="45931" xr:uid="{00000000-0005-0000-0000-00003BBD0000}"/>
    <cellStyle name="Normal 8 2 3 3 3 2 4" xfId="33015" xr:uid="{00000000-0005-0000-0000-00003CBD0000}"/>
    <cellStyle name="Normal 8 2 3 3 3 3" xfId="10370" xr:uid="{00000000-0005-0000-0000-00003DBD0000}"/>
    <cellStyle name="Normal 8 2 3 3 3 3 2" xfId="23287" xr:uid="{00000000-0005-0000-0000-00003EBD0000}"/>
    <cellStyle name="Normal 8 2 3 3 3 3 2 2" xfId="49161" xr:uid="{00000000-0005-0000-0000-00003FBD0000}"/>
    <cellStyle name="Normal 8 2 3 3 3 3 3" xfId="36245" xr:uid="{00000000-0005-0000-0000-000040BD0000}"/>
    <cellStyle name="Normal 8 2 3 3 3 4" xfId="16829" xr:uid="{00000000-0005-0000-0000-000041BD0000}"/>
    <cellStyle name="Normal 8 2 3 3 3 4 2" xfId="42703" xr:uid="{00000000-0005-0000-0000-000042BD0000}"/>
    <cellStyle name="Normal 8 2 3 3 3 5" xfId="29755" xr:uid="{00000000-0005-0000-0000-000043BD0000}"/>
    <cellStyle name="Normal 8 2 3 3 4" xfId="5525" xr:uid="{00000000-0005-0000-0000-000044BD0000}"/>
    <cellStyle name="Normal 8 2 3 3 4 2" xfId="11984" xr:uid="{00000000-0005-0000-0000-000045BD0000}"/>
    <cellStyle name="Normal 8 2 3 3 4 2 2" xfId="24901" xr:uid="{00000000-0005-0000-0000-000046BD0000}"/>
    <cellStyle name="Normal 8 2 3 3 4 2 2 2" xfId="50775" xr:uid="{00000000-0005-0000-0000-000047BD0000}"/>
    <cellStyle name="Normal 8 2 3 3 4 2 3" xfId="37859" xr:uid="{00000000-0005-0000-0000-000048BD0000}"/>
    <cellStyle name="Normal 8 2 3 3 4 3" xfId="18443" xr:uid="{00000000-0005-0000-0000-000049BD0000}"/>
    <cellStyle name="Normal 8 2 3 3 4 3 2" xfId="44317" xr:uid="{00000000-0005-0000-0000-00004ABD0000}"/>
    <cellStyle name="Normal 8 2 3 3 4 4" xfId="31401" xr:uid="{00000000-0005-0000-0000-00004BBD0000}"/>
    <cellStyle name="Normal 8 2 3 3 5" xfId="8756" xr:uid="{00000000-0005-0000-0000-00004CBD0000}"/>
    <cellStyle name="Normal 8 2 3 3 5 2" xfId="21673" xr:uid="{00000000-0005-0000-0000-00004DBD0000}"/>
    <cellStyle name="Normal 8 2 3 3 5 2 2" xfId="47547" xr:uid="{00000000-0005-0000-0000-00004EBD0000}"/>
    <cellStyle name="Normal 8 2 3 3 5 3" xfId="34631" xr:uid="{00000000-0005-0000-0000-00004FBD0000}"/>
    <cellStyle name="Normal 8 2 3 3 6" xfId="15215" xr:uid="{00000000-0005-0000-0000-000050BD0000}"/>
    <cellStyle name="Normal 8 2 3 3 6 2" xfId="41089" xr:uid="{00000000-0005-0000-0000-000051BD0000}"/>
    <cellStyle name="Normal 8 2 3 3 7" xfId="28141" xr:uid="{00000000-0005-0000-0000-000052BD0000}"/>
    <cellStyle name="Normal 8 2 3 3 8" xfId="54003" xr:uid="{00000000-0005-0000-0000-000053BD0000}"/>
    <cellStyle name="Normal 8 2 3 4" xfId="2655" xr:uid="{00000000-0005-0000-0000-000054BD0000}"/>
    <cellStyle name="Normal 8 2 3 4 2" xfId="4312" xr:uid="{00000000-0005-0000-0000-000055BD0000}"/>
    <cellStyle name="Normal 8 2 3 4 2 2" xfId="7543" xr:uid="{00000000-0005-0000-0000-000056BD0000}"/>
    <cellStyle name="Normal 8 2 3 4 2 2 2" xfId="14002" xr:uid="{00000000-0005-0000-0000-000057BD0000}"/>
    <cellStyle name="Normal 8 2 3 4 2 2 2 2" xfId="26919" xr:uid="{00000000-0005-0000-0000-000058BD0000}"/>
    <cellStyle name="Normal 8 2 3 4 2 2 2 2 2" xfId="52793" xr:uid="{00000000-0005-0000-0000-000059BD0000}"/>
    <cellStyle name="Normal 8 2 3 4 2 2 2 3" xfId="39877" xr:uid="{00000000-0005-0000-0000-00005ABD0000}"/>
    <cellStyle name="Normal 8 2 3 4 2 2 3" xfId="20461" xr:uid="{00000000-0005-0000-0000-00005BBD0000}"/>
    <cellStyle name="Normal 8 2 3 4 2 2 3 2" xfId="46335" xr:uid="{00000000-0005-0000-0000-00005CBD0000}"/>
    <cellStyle name="Normal 8 2 3 4 2 2 4" xfId="33419" xr:uid="{00000000-0005-0000-0000-00005DBD0000}"/>
    <cellStyle name="Normal 8 2 3 4 2 3" xfId="10774" xr:uid="{00000000-0005-0000-0000-00005EBD0000}"/>
    <cellStyle name="Normal 8 2 3 4 2 3 2" xfId="23691" xr:uid="{00000000-0005-0000-0000-00005FBD0000}"/>
    <cellStyle name="Normal 8 2 3 4 2 3 2 2" xfId="49565" xr:uid="{00000000-0005-0000-0000-000060BD0000}"/>
    <cellStyle name="Normal 8 2 3 4 2 3 3" xfId="36649" xr:uid="{00000000-0005-0000-0000-000061BD0000}"/>
    <cellStyle name="Normal 8 2 3 4 2 4" xfId="17233" xr:uid="{00000000-0005-0000-0000-000062BD0000}"/>
    <cellStyle name="Normal 8 2 3 4 2 4 2" xfId="43107" xr:uid="{00000000-0005-0000-0000-000063BD0000}"/>
    <cellStyle name="Normal 8 2 3 4 2 5" xfId="30159" xr:uid="{00000000-0005-0000-0000-000064BD0000}"/>
    <cellStyle name="Normal 8 2 3 4 3" xfId="5929" xr:uid="{00000000-0005-0000-0000-000065BD0000}"/>
    <cellStyle name="Normal 8 2 3 4 3 2" xfId="12388" xr:uid="{00000000-0005-0000-0000-000066BD0000}"/>
    <cellStyle name="Normal 8 2 3 4 3 2 2" xfId="25305" xr:uid="{00000000-0005-0000-0000-000067BD0000}"/>
    <cellStyle name="Normal 8 2 3 4 3 2 2 2" xfId="51179" xr:uid="{00000000-0005-0000-0000-000068BD0000}"/>
    <cellStyle name="Normal 8 2 3 4 3 2 3" xfId="38263" xr:uid="{00000000-0005-0000-0000-000069BD0000}"/>
    <cellStyle name="Normal 8 2 3 4 3 3" xfId="18847" xr:uid="{00000000-0005-0000-0000-00006ABD0000}"/>
    <cellStyle name="Normal 8 2 3 4 3 3 2" xfId="44721" xr:uid="{00000000-0005-0000-0000-00006BBD0000}"/>
    <cellStyle name="Normal 8 2 3 4 3 4" xfId="31805" xr:uid="{00000000-0005-0000-0000-00006CBD0000}"/>
    <cellStyle name="Normal 8 2 3 4 4" xfId="9160" xr:uid="{00000000-0005-0000-0000-00006DBD0000}"/>
    <cellStyle name="Normal 8 2 3 4 4 2" xfId="22077" xr:uid="{00000000-0005-0000-0000-00006EBD0000}"/>
    <cellStyle name="Normal 8 2 3 4 4 2 2" xfId="47951" xr:uid="{00000000-0005-0000-0000-00006FBD0000}"/>
    <cellStyle name="Normal 8 2 3 4 4 3" xfId="35035" xr:uid="{00000000-0005-0000-0000-000070BD0000}"/>
    <cellStyle name="Normal 8 2 3 4 5" xfId="15619" xr:uid="{00000000-0005-0000-0000-000071BD0000}"/>
    <cellStyle name="Normal 8 2 3 4 5 2" xfId="41493" xr:uid="{00000000-0005-0000-0000-000072BD0000}"/>
    <cellStyle name="Normal 8 2 3 4 6" xfId="28545" xr:uid="{00000000-0005-0000-0000-000073BD0000}"/>
    <cellStyle name="Normal 8 2 3 5" xfId="3482" xr:uid="{00000000-0005-0000-0000-000074BD0000}"/>
    <cellStyle name="Normal 8 2 3 5 2" xfId="6736" xr:uid="{00000000-0005-0000-0000-000075BD0000}"/>
    <cellStyle name="Normal 8 2 3 5 2 2" xfId="13195" xr:uid="{00000000-0005-0000-0000-000076BD0000}"/>
    <cellStyle name="Normal 8 2 3 5 2 2 2" xfId="26112" xr:uid="{00000000-0005-0000-0000-000077BD0000}"/>
    <cellStyle name="Normal 8 2 3 5 2 2 2 2" xfId="51986" xr:uid="{00000000-0005-0000-0000-000078BD0000}"/>
    <cellStyle name="Normal 8 2 3 5 2 2 3" xfId="39070" xr:uid="{00000000-0005-0000-0000-000079BD0000}"/>
    <cellStyle name="Normal 8 2 3 5 2 3" xfId="19654" xr:uid="{00000000-0005-0000-0000-00007ABD0000}"/>
    <cellStyle name="Normal 8 2 3 5 2 3 2" xfId="45528" xr:uid="{00000000-0005-0000-0000-00007BBD0000}"/>
    <cellStyle name="Normal 8 2 3 5 2 4" xfId="32612" xr:uid="{00000000-0005-0000-0000-00007CBD0000}"/>
    <cellStyle name="Normal 8 2 3 5 3" xfId="9967" xr:uid="{00000000-0005-0000-0000-00007DBD0000}"/>
    <cellStyle name="Normal 8 2 3 5 3 2" xfId="22884" xr:uid="{00000000-0005-0000-0000-00007EBD0000}"/>
    <cellStyle name="Normal 8 2 3 5 3 2 2" xfId="48758" xr:uid="{00000000-0005-0000-0000-00007FBD0000}"/>
    <cellStyle name="Normal 8 2 3 5 3 3" xfId="35842" xr:uid="{00000000-0005-0000-0000-000080BD0000}"/>
    <cellStyle name="Normal 8 2 3 5 4" xfId="16426" xr:uid="{00000000-0005-0000-0000-000081BD0000}"/>
    <cellStyle name="Normal 8 2 3 5 4 2" xfId="42300" xr:uid="{00000000-0005-0000-0000-000082BD0000}"/>
    <cellStyle name="Normal 8 2 3 5 5" xfId="29352" xr:uid="{00000000-0005-0000-0000-000083BD0000}"/>
    <cellStyle name="Normal 8 2 3 6" xfId="5122" xr:uid="{00000000-0005-0000-0000-000084BD0000}"/>
    <cellStyle name="Normal 8 2 3 6 2" xfId="11581" xr:uid="{00000000-0005-0000-0000-000085BD0000}"/>
    <cellStyle name="Normal 8 2 3 6 2 2" xfId="24498" xr:uid="{00000000-0005-0000-0000-000086BD0000}"/>
    <cellStyle name="Normal 8 2 3 6 2 2 2" xfId="50372" xr:uid="{00000000-0005-0000-0000-000087BD0000}"/>
    <cellStyle name="Normal 8 2 3 6 2 3" xfId="37456" xr:uid="{00000000-0005-0000-0000-000088BD0000}"/>
    <cellStyle name="Normal 8 2 3 6 3" xfId="18040" xr:uid="{00000000-0005-0000-0000-000089BD0000}"/>
    <cellStyle name="Normal 8 2 3 6 3 2" xfId="43914" xr:uid="{00000000-0005-0000-0000-00008ABD0000}"/>
    <cellStyle name="Normal 8 2 3 6 4" xfId="30998" xr:uid="{00000000-0005-0000-0000-00008BBD0000}"/>
    <cellStyle name="Normal 8 2 3 7" xfId="8352" xr:uid="{00000000-0005-0000-0000-00008CBD0000}"/>
    <cellStyle name="Normal 8 2 3 7 2" xfId="21269" xr:uid="{00000000-0005-0000-0000-00008DBD0000}"/>
    <cellStyle name="Normal 8 2 3 7 2 2" xfId="47143" xr:uid="{00000000-0005-0000-0000-00008EBD0000}"/>
    <cellStyle name="Normal 8 2 3 7 3" xfId="34227" xr:uid="{00000000-0005-0000-0000-00008FBD0000}"/>
    <cellStyle name="Normal 8 2 3 8" xfId="14811" xr:uid="{00000000-0005-0000-0000-000090BD0000}"/>
    <cellStyle name="Normal 8 2 3 8 2" xfId="40685" xr:uid="{00000000-0005-0000-0000-000091BD0000}"/>
    <cellStyle name="Normal 8 2 3 9" xfId="27737" xr:uid="{00000000-0005-0000-0000-000092BD0000}"/>
    <cellStyle name="Normal 8 2 4" xfId="1869" xr:uid="{00000000-0005-0000-0000-000093BD0000}"/>
    <cellStyle name="Normal 8 2 4 2" xfId="2309" xr:uid="{00000000-0005-0000-0000-000094BD0000}"/>
    <cellStyle name="Normal 8 2 4 2 2" xfId="3123" xr:uid="{00000000-0005-0000-0000-000095BD0000}"/>
    <cellStyle name="Normal 8 2 4 2 2 2" xfId="4780" xr:uid="{00000000-0005-0000-0000-000096BD0000}"/>
    <cellStyle name="Normal 8 2 4 2 2 2 2" xfId="8011" xr:uid="{00000000-0005-0000-0000-000097BD0000}"/>
    <cellStyle name="Normal 8 2 4 2 2 2 2 2" xfId="14470" xr:uid="{00000000-0005-0000-0000-000098BD0000}"/>
    <cellStyle name="Normal 8 2 4 2 2 2 2 2 2" xfId="27387" xr:uid="{00000000-0005-0000-0000-000099BD0000}"/>
    <cellStyle name="Normal 8 2 4 2 2 2 2 2 2 2" xfId="53261" xr:uid="{00000000-0005-0000-0000-00009ABD0000}"/>
    <cellStyle name="Normal 8 2 4 2 2 2 2 2 3" xfId="40345" xr:uid="{00000000-0005-0000-0000-00009BBD0000}"/>
    <cellStyle name="Normal 8 2 4 2 2 2 2 3" xfId="20929" xr:uid="{00000000-0005-0000-0000-00009CBD0000}"/>
    <cellStyle name="Normal 8 2 4 2 2 2 2 3 2" xfId="46803" xr:uid="{00000000-0005-0000-0000-00009DBD0000}"/>
    <cellStyle name="Normal 8 2 4 2 2 2 2 4" xfId="33887" xr:uid="{00000000-0005-0000-0000-00009EBD0000}"/>
    <cellStyle name="Normal 8 2 4 2 2 2 3" xfId="11242" xr:uid="{00000000-0005-0000-0000-00009FBD0000}"/>
    <cellStyle name="Normal 8 2 4 2 2 2 3 2" xfId="24159" xr:uid="{00000000-0005-0000-0000-0000A0BD0000}"/>
    <cellStyle name="Normal 8 2 4 2 2 2 3 2 2" xfId="50033" xr:uid="{00000000-0005-0000-0000-0000A1BD0000}"/>
    <cellStyle name="Normal 8 2 4 2 2 2 3 3" xfId="37117" xr:uid="{00000000-0005-0000-0000-0000A2BD0000}"/>
    <cellStyle name="Normal 8 2 4 2 2 2 4" xfId="17701" xr:uid="{00000000-0005-0000-0000-0000A3BD0000}"/>
    <cellStyle name="Normal 8 2 4 2 2 2 4 2" xfId="43575" xr:uid="{00000000-0005-0000-0000-0000A4BD0000}"/>
    <cellStyle name="Normal 8 2 4 2 2 2 5" xfId="30627" xr:uid="{00000000-0005-0000-0000-0000A5BD0000}"/>
    <cellStyle name="Normal 8 2 4 2 2 3" xfId="6397" xr:uid="{00000000-0005-0000-0000-0000A6BD0000}"/>
    <cellStyle name="Normal 8 2 4 2 2 3 2" xfId="12856" xr:uid="{00000000-0005-0000-0000-0000A7BD0000}"/>
    <cellStyle name="Normal 8 2 4 2 2 3 2 2" xfId="25773" xr:uid="{00000000-0005-0000-0000-0000A8BD0000}"/>
    <cellStyle name="Normal 8 2 4 2 2 3 2 2 2" xfId="51647" xr:uid="{00000000-0005-0000-0000-0000A9BD0000}"/>
    <cellStyle name="Normal 8 2 4 2 2 3 2 3" xfId="38731" xr:uid="{00000000-0005-0000-0000-0000AABD0000}"/>
    <cellStyle name="Normal 8 2 4 2 2 3 3" xfId="19315" xr:uid="{00000000-0005-0000-0000-0000ABBD0000}"/>
    <cellStyle name="Normal 8 2 4 2 2 3 3 2" xfId="45189" xr:uid="{00000000-0005-0000-0000-0000ACBD0000}"/>
    <cellStyle name="Normal 8 2 4 2 2 3 4" xfId="32273" xr:uid="{00000000-0005-0000-0000-0000ADBD0000}"/>
    <cellStyle name="Normal 8 2 4 2 2 4" xfId="9628" xr:uid="{00000000-0005-0000-0000-0000AEBD0000}"/>
    <cellStyle name="Normal 8 2 4 2 2 4 2" xfId="22545" xr:uid="{00000000-0005-0000-0000-0000AFBD0000}"/>
    <cellStyle name="Normal 8 2 4 2 2 4 2 2" xfId="48419" xr:uid="{00000000-0005-0000-0000-0000B0BD0000}"/>
    <cellStyle name="Normal 8 2 4 2 2 4 3" xfId="35503" xr:uid="{00000000-0005-0000-0000-0000B1BD0000}"/>
    <cellStyle name="Normal 8 2 4 2 2 5" xfId="16087" xr:uid="{00000000-0005-0000-0000-0000B2BD0000}"/>
    <cellStyle name="Normal 8 2 4 2 2 5 2" xfId="41961" xr:uid="{00000000-0005-0000-0000-0000B3BD0000}"/>
    <cellStyle name="Normal 8 2 4 2 2 6" xfId="29013" xr:uid="{00000000-0005-0000-0000-0000B4BD0000}"/>
    <cellStyle name="Normal 8 2 4 2 3" xfId="3950" xr:uid="{00000000-0005-0000-0000-0000B5BD0000}"/>
    <cellStyle name="Normal 8 2 4 2 3 2" xfId="7204" xr:uid="{00000000-0005-0000-0000-0000B6BD0000}"/>
    <cellStyle name="Normal 8 2 4 2 3 2 2" xfId="13663" xr:uid="{00000000-0005-0000-0000-0000B7BD0000}"/>
    <cellStyle name="Normal 8 2 4 2 3 2 2 2" xfId="26580" xr:uid="{00000000-0005-0000-0000-0000B8BD0000}"/>
    <cellStyle name="Normal 8 2 4 2 3 2 2 2 2" xfId="52454" xr:uid="{00000000-0005-0000-0000-0000B9BD0000}"/>
    <cellStyle name="Normal 8 2 4 2 3 2 2 3" xfId="39538" xr:uid="{00000000-0005-0000-0000-0000BABD0000}"/>
    <cellStyle name="Normal 8 2 4 2 3 2 3" xfId="20122" xr:uid="{00000000-0005-0000-0000-0000BBBD0000}"/>
    <cellStyle name="Normal 8 2 4 2 3 2 3 2" xfId="45996" xr:uid="{00000000-0005-0000-0000-0000BCBD0000}"/>
    <cellStyle name="Normal 8 2 4 2 3 2 4" xfId="33080" xr:uid="{00000000-0005-0000-0000-0000BDBD0000}"/>
    <cellStyle name="Normal 8 2 4 2 3 3" xfId="10435" xr:uid="{00000000-0005-0000-0000-0000BEBD0000}"/>
    <cellStyle name="Normal 8 2 4 2 3 3 2" xfId="23352" xr:uid="{00000000-0005-0000-0000-0000BFBD0000}"/>
    <cellStyle name="Normal 8 2 4 2 3 3 2 2" xfId="49226" xr:uid="{00000000-0005-0000-0000-0000C0BD0000}"/>
    <cellStyle name="Normal 8 2 4 2 3 3 3" xfId="36310" xr:uid="{00000000-0005-0000-0000-0000C1BD0000}"/>
    <cellStyle name="Normal 8 2 4 2 3 4" xfId="16894" xr:uid="{00000000-0005-0000-0000-0000C2BD0000}"/>
    <cellStyle name="Normal 8 2 4 2 3 4 2" xfId="42768" xr:uid="{00000000-0005-0000-0000-0000C3BD0000}"/>
    <cellStyle name="Normal 8 2 4 2 3 5" xfId="29820" xr:uid="{00000000-0005-0000-0000-0000C4BD0000}"/>
    <cellStyle name="Normal 8 2 4 2 4" xfId="5590" xr:uid="{00000000-0005-0000-0000-0000C5BD0000}"/>
    <cellStyle name="Normal 8 2 4 2 4 2" xfId="12049" xr:uid="{00000000-0005-0000-0000-0000C6BD0000}"/>
    <cellStyle name="Normal 8 2 4 2 4 2 2" xfId="24966" xr:uid="{00000000-0005-0000-0000-0000C7BD0000}"/>
    <cellStyle name="Normal 8 2 4 2 4 2 2 2" xfId="50840" xr:uid="{00000000-0005-0000-0000-0000C8BD0000}"/>
    <cellStyle name="Normal 8 2 4 2 4 2 3" xfId="37924" xr:uid="{00000000-0005-0000-0000-0000C9BD0000}"/>
    <cellStyle name="Normal 8 2 4 2 4 3" xfId="18508" xr:uid="{00000000-0005-0000-0000-0000CABD0000}"/>
    <cellStyle name="Normal 8 2 4 2 4 3 2" xfId="44382" xr:uid="{00000000-0005-0000-0000-0000CBBD0000}"/>
    <cellStyle name="Normal 8 2 4 2 4 4" xfId="31466" xr:uid="{00000000-0005-0000-0000-0000CCBD0000}"/>
    <cellStyle name="Normal 8 2 4 2 5" xfId="8821" xr:uid="{00000000-0005-0000-0000-0000CDBD0000}"/>
    <cellStyle name="Normal 8 2 4 2 5 2" xfId="21738" xr:uid="{00000000-0005-0000-0000-0000CEBD0000}"/>
    <cellStyle name="Normal 8 2 4 2 5 2 2" xfId="47612" xr:uid="{00000000-0005-0000-0000-0000CFBD0000}"/>
    <cellStyle name="Normal 8 2 4 2 5 3" xfId="34696" xr:uid="{00000000-0005-0000-0000-0000D0BD0000}"/>
    <cellStyle name="Normal 8 2 4 2 6" xfId="15280" xr:uid="{00000000-0005-0000-0000-0000D1BD0000}"/>
    <cellStyle name="Normal 8 2 4 2 6 2" xfId="41154" xr:uid="{00000000-0005-0000-0000-0000D2BD0000}"/>
    <cellStyle name="Normal 8 2 4 2 7" xfId="28206" xr:uid="{00000000-0005-0000-0000-0000D3BD0000}"/>
    <cellStyle name="Normal 8 2 4 2 8" xfId="54068" xr:uid="{00000000-0005-0000-0000-0000D4BD0000}"/>
    <cellStyle name="Normal 8 2 4 3" xfId="2525" xr:uid="{00000000-0005-0000-0000-0000D5BD0000}"/>
    <cellStyle name="Normal 8 2 4 3 2" xfId="4182" xr:uid="{00000000-0005-0000-0000-0000D6BD0000}"/>
    <cellStyle name="Normal 8 2 4 3 2 2" xfId="7413" xr:uid="{00000000-0005-0000-0000-0000D7BD0000}"/>
    <cellStyle name="Normal 8 2 4 3 2 2 2" xfId="13872" xr:uid="{00000000-0005-0000-0000-0000D8BD0000}"/>
    <cellStyle name="Normal 8 2 4 3 2 2 2 2" xfId="26789" xr:uid="{00000000-0005-0000-0000-0000D9BD0000}"/>
    <cellStyle name="Normal 8 2 4 3 2 2 2 2 2" xfId="52663" xr:uid="{00000000-0005-0000-0000-0000DABD0000}"/>
    <cellStyle name="Normal 8 2 4 3 2 2 2 3" xfId="39747" xr:uid="{00000000-0005-0000-0000-0000DBBD0000}"/>
    <cellStyle name="Normal 8 2 4 3 2 2 3" xfId="20331" xr:uid="{00000000-0005-0000-0000-0000DCBD0000}"/>
    <cellStyle name="Normal 8 2 4 3 2 2 3 2" xfId="46205" xr:uid="{00000000-0005-0000-0000-0000DDBD0000}"/>
    <cellStyle name="Normal 8 2 4 3 2 2 4" xfId="33289" xr:uid="{00000000-0005-0000-0000-0000DEBD0000}"/>
    <cellStyle name="Normal 8 2 4 3 2 3" xfId="10644" xr:uid="{00000000-0005-0000-0000-0000DFBD0000}"/>
    <cellStyle name="Normal 8 2 4 3 2 3 2" xfId="23561" xr:uid="{00000000-0005-0000-0000-0000E0BD0000}"/>
    <cellStyle name="Normal 8 2 4 3 2 3 2 2" xfId="49435" xr:uid="{00000000-0005-0000-0000-0000E1BD0000}"/>
    <cellStyle name="Normal 8 2 4 3 2 3 3" xfId="36519" xr:uid="{00000000-0005-0000-0000-0000E2BD0000}"/>
    <cellStyle name="Normal 8 2 4 3 2 4" xfId="17103" xr:uid="{00000000-0005-0000-0000-0000E3BD0000}"/>
    <cellStyle name="Normal 8 2 4 3 2 4 2" xfId="42977" xr:uid="{00000000-0005-0000-0000-0000E4BD0000}"/>
    <cellStyle name="Normal 8 2 4 3 2 5" xfId="30029" xr:uid="{00000000-0005-0000-0000-0000E5BD0000}"/>
    <cellStyle name="Normal 8 2 4 3 3" xfId="5799" xr:uid="{00000000-0005-0000-0000-0000E6BD0000}"/>
    <cellStyle name="Normal 8 2 4 3 3 2" xfId="12258" xr:uid="{00000000-0005-0000-0000-0000E7BD0000}"/>
    <cellStyle name="Normal 8 2 4 3 3 2 2" xfId="25175" xr:uid="{00000000-0005-0000-0000-0000E8BD0000}"/>
    <cellStyle name="Normal 8 2 4 3 3 2 2 2" xfId="51049" xr:uid="{00000000-0005-0000-0000-0000E9BD0000}"/>
    <cellStyle name="Normal 8 2 4 3 3 2 3" xfId="38133" xr:uid="{00000000-0005-0000-0000-0000EABD0000}"/>
    <cellStyle name="Normal 8 2 4 3 3 3" xfId="18717" xr:uid="{00000000-0005-0000-0000-0000EBBD0000}"/>
    <cellStyle name="Normal 8 2 4 3 3 3 2" xfId="44591" xr:uid="{00000000-0005-0000-0000-0000ECBD0000}"/>
    <cellStyle name="Normal 8 2 4 3 3 4" xfId="31675" xr:uid="{00000000-0005-0000-0000-0000EDBD0000}"/>
    <cellStyle name="Normal 8 2 4 3 4" xfId="9030" xr:uid="{00000000-0005-0000-0000-0000EEBD0000}"/>
    <cellStyle name="Normal 8 2 4 3 4 2" xfId="21947" xr:uid="{00000000-0005-0000-0000-0000EFBD0000}"/>
    <cellStyle name="Normal 8 2 4 3 4 2 2" xfId="47821" xr:uid="{00000000-0005-0000-0000-0000F0BD0000}"/>
    <cellStyle name="Normal 8 2 4 3 4 3" xfId="34905" xr:uid="{00000000-0005-0000-0000-0000F1BD0000}"/>
    <cellStyle name="Normal 8 2 4 3 5" xfId="15489" xr:uid="{00000000-0005-0000-0000-0000F2BD0000}"/>
    <cellStyle name="Normal 8 2 4 3 5 2" xfId="41363" xr:uid="{00000000-0005-0000-0000-0000F3BD0000}"/>
    <cellStyle name="Normal 8 2 4 3 6" xfId="28415" xr:uid="{00000000-0005-0000-0000-0000F4BD0000}"/>
    <cellStyle name="Normal 8 2 4 4" xfId="3345" xr:uid="{00000000-0005-0000-0000-0000F5BD0000}"/>
    <cellStyle name="Normal 8 2 4 4 2" xfId="6606" xr:uid="{00000000-0005-0000-0000-0000F6BD0000}"/>
    <cellStyle name="Normal 8 2 4 4 2 2" xfId="13065" xr:uid="{00000000-0005-0000-0000-0000F7BD0000}"/>
    <cellStyle name="Normal 8 2 4 4 2 2 2" xfId="25982" xr:uid="{00000000-0005-0000-0000-0000F8BD0000}"/>
    <cellStyle name="Normal 8 2 4 4 2 2 2 2" xfId="51856" xr:uid="{00000000-0005-0000-0000-0000F9BD0000}"/>
    <cellStyle name="Normal 8 2 4 4 2 2 3" xfId="38940" xr:uid="{00000000-0005-0000-0000-0000FABD0000}"/>
    <cellStyle name="Normal 8 2 4 4 2 3" xfId="19524" xr:uid="{00000000-0005-0000-0000-0000FBBD0000}"/>
    <cellStyle name="Normal 8 2 4 4 2 3 2" xfId="45398" xr:uid="{00000000-0005-0000-0000-0000FCBD0000}"/>
    <cellStyle name="Normal 8 2 4 4 2 4" xfId="32482" xr:uid="{00000000-0005-0000-0000-0000FDBD0000}"/>
    <cellStyle name="Normal 8 2 4 4 3" xfId="9837" xr:uid="{00000000-0005-0000-0000-0000FEBD0000}"/>
    <cellStyle name="Normal 8 2 4 4 3 2" xfId="22754" xr:uid="{00000000-0005-0000-0000-0000FFBD0000}"/>
    <cellStyle name="Normal 8 2 4 4 3 2 2" xfId="48628" xr:uid="{00000000-0005-0000-0000-000000BE0000}"/>
    <cellStyle name="Normal 8 2 4 4 3 3" xfId="35712" xr:uid="{00000000-0005-0000-0000-000001BE0000}"/>
    <cellStyle name="Normal 8 2 4 4 4" xfId="16296" xr:uid="{00000000-0005-0000-0000-000002BE0000}"/>
    <cellStyle name="Normal 8 2 4 4 4 2" xfId="42170" xr:uid="{00000000-0005-0000-0000-000003BE0000}"/>
    <cellStyle name="Normal 8 2 4 4 5" xfId="29222" xr:uid="{00000000-0005-0000-0000-000004BE0000}"/>
    <cellStyle name="Normal 8 2 4 5" xfId="4992" xr:uid="{00000000-0005-0000-0000-000005BE0000}"/>
    <cellStyle name="Normal 8 2 4 5 2" xfId="11451" xr:uid="{00000000-0005-0000-0000-000006BE0000}"/>
    <cellStyle name="Normal 8 2 4 5 2 2" xfId="24368" xr:uid="{00000000-0005-0000-0000-000007BE0000}"/>
    <cellStyle name="Normal 8 2 4 5 2 2 2" xfId="50242" xr:uid="{00000000-0005-0000-0000-000008BE0000}"/>
    <cellStyle name="Normal 8 2 4 5 2 3" xfId="37326" xr:uid="{00000000-0005-0000-0000-000009BE0000}"/>
    <cellStyle name="Normal 8 2 4 5 3" xfId="17910" xr:uid="{00000000-0005-0000-0000-00000ABE0000}"/>
    <cellStyle name="Normal 8 2 4 5 3 2" xfId="43784" xr:uid="{00000000-0005-0000-0000-00000BBE0000}"/>
    <cellStyle name="Normal 8 2 4 5 4" xfId="30868" xr:uid="{00000000-0005-0000-0000-00000CBE0000}"/>
    <cellStyle name="Normal 8 2 4 6" xfId="8417" xr:uid="{00000000-0005-0000-0000-00000DBE0000}"/>
    <cellStyle name="Normal 8 2 4 6 2" xfId="21334" xr:uid="{00000000-0005-0000-0000-00000EBE0000}"/>
    <cellStyle name="Normal 8 2 4 6 2 2" xfId="47208" xr:uid="{00000000-0005-0000-0000-00000FBE0000}"/>
    <cellStyle name="Normal 8 2 4 6 3" xfId="34292" xr:uid="{00000000-0005-0000-0000-000010BE0000}"/>
    <cellStyle name="Normal 8 2 4 7" xfId="14876" xr:uid="{00000000-0005-0000-0000-000011BE0000}"/>
    <cellStyle name="Normal 8 2 4 7 2" xfId="40750" xr:uid="{00000000-0005-0000-0000-000012BE0000}"/>
    <cellStyle name="Normal 8 2 4 8" xfId="27604" xr:uid="{00000000-0005-0000-0000-000013BE0000}"/>
    <cellStyle name="Normal 8 2 4 9" xfId="53470" xr:uid="{00000000-0005-0000-0000-000014BE0000}"/>
    <cellStyle name="Normal 8 2 5" xfId="2112" xr:uid="{00000000-0005-0000-0000-000015BE0000}"/>
    <cellStyle name="Normal 8 2 5 2" xfId="2928" xr:uid="{00000000-0005-0000-0000-000016BE0000}"/>
    <cellStyle name="Normal 8 2 5 2 2" xfId="4585" xr:uid="{00000000-0005-0000-0000-000017BE0000}"/>
    <cellStyle name="Normal 8 2 5 2 2 2" xfId="7816" xr:uid="{00000000-0005-0000-0000-000018BE0000}"/>
    <cellStyle name="Normal 8 2 5 2 2 2 2" xfId="14275" xr:uid="{00000000-0005-0000-0000-000019BE0000}"/>
    <cellStyle name="Normal 8 2 5 2 2 2 2 2" xfId="27192" xr:uid="{00000000-0005-0000-0000-00001ABE0000}"/>
    <cellStyle name="Normal 8 2 5 2 2 2 2 2 2" xfId="53066" xr:uid="{00000000-0005-0000-0000-00001BBE0000}"/>
    <cellStyle name="Normal 8 2 5 2 2 2 2 3" xfId="40150" xr:uid="{00000000-0005-0000-0000-00001CBE0000}"/>
    <cellStyle name="Normal 8 2 5 2 2 2 3" xfId="20734" xr:uid="{00000000-0005-0000-0000-00001DBE0000}"/>
    <cellStyle name="Normal 8 2 5 2 2 2 3 2" xfId="46608" xr:uid="{00000000-0005-0000-0000-00001EBE0000}"/>
    <cellStyle name="Normal 8 2 5 2 2 2 4" xfId="33692" xr:uid="{00000000-0005-0000-0000-00001FBE0000}"/>
    <cellStyle name="Normal 8 2 5 2 2 3" xfId="11047" xr:uid="{00000000-0005-0000-0000-000020BE0000}"/>
    <cellStyle name="Normal 8 2 5 2 2 3 2" xfId="23964" xr:uid="{00000000-0005-0000-0000-000021BE0000}"/>
    <cellStyle name="Normal 8 2 5 2 2 3 2 2" xfId="49838" xr:uid="{00000000-0005-0000-0000-000022BE0000}"/>
    <cellStyle name="Normal 8 2 5 2 2 3 3" xfId="36922" xr:uid="{00000000-0005-0000-0000-000023BE0000}"/>
    <cellStyle name="Normal 8 2 5 2 2 4" xfId="17506" xr:uid="{00000000-0005-0000-0000-000024BE0000}"/>
    <cellStyle name="Normal 8 2 5 2 2 4 2" xfId="43380" xr:uid="{00000000-0005-0000-0000-000025BE0000}"/>
    <cellStyle name="Normal 8 2 5 2 2 5" xfId="30432" xr:uid="{00000000-0005-0000-0000-000026BE0000}"/>
    <cellStyle name="Normal 8 2 5 2 3" xfId="6202" xr:uid="{00000000-0005-0000-0000-000027BE0000}"/>
    <cellStyle name="Normal 8 2 5 2 3 2" xfId="12661" xr:uid="{00000000-0005-0000-0000-000028BE0000}"/>
    <cellStyle name="Normal 8 2 5 2 3 2 2" xfId="25578" xr:uid="{00000000-0005-0000-0000-000029BE0000}"/>
    <cellStyle name="Normal 8 2 5 2 3 2 2 2" xfId="51452" xr:uid="{00000000-0005-0000-0000-00002ABE0000}"/>
    <cellStyle name="Normal 8 2 5 2 3 2 3" xfId="38536" xr:uid="{00000000-0005-0000-0000-00002BBE0000}"/>
    <cellStyle name="Normal 8 2 5 2 3 3" xfId="19120" xr:uid="{00000000-0005-0000-0000-00002CBE0000}"/>
    <cellStyle name="Normal 8 2 5 2 3 3 2" xfId="44994" xr:uid="{00000000-0005-0000-0000-00002DBE0000}"/>
    <cellStyle name="Normal 8 2 5 2 3 4" xfId="32078" xr:uid="{00000000-0005-0000-0000-00002EBE0000}"/>
    <cellStyle name="Normal 8 2 5 2 4" xfId="9433" xr:uid="{00000000-0005-0000-0000-00002FBE0000}"/>
    <cellStyle name="Normal 8 2 5 2 4 2" xfId="22350" xr:uid="{00000000-0005-0000-0000-000030BE0000}"/>
    <cellStyle name="Normal 8 2 5 2 4 2 2" xfId="48224" xr:uid="{00000000-0005-0000-0000-000031BE0000}"/>
    <cellStyle name="Normal 8 2 5 2 4 3" xfId="35308" xr:uid="{00000000-0005-0000-0000-000032BE0000}"/>
    <cellStyle name="Normal 8 2 5 2 5" xfId="15892" xr:uid="{00000000-0005-0000-0000-000033BE0000}"/>
    <cellStyle name="Normal 8 2 5 2 5 2" xfId="41766" xr:uid="{00000000-0005-0000-0000-000034BE0000}"/>
    <cellStyle name="Normal 8 2 5 2 6" xfId="28818" xr:uid="{00000000-0005-0000-0000-000035BE0000}"/>
    <cellStyle name="Normal 8 2 5 3" xfId="3755" xr:uid="{00000000-0005-0000-0000-000036BE0000}"/>
    <cellStyle name="Normal 8 2 5 3 2" xfId="7009" xr:uid="{00000000-0005-0000-0000-000037BE0000}"/>
    <cellStyle name="Normal 8 2 5 3 2 2" xfId="13468" xr:uid="{00000000-0005-0000-0000-000038BE0000}"/>
    <cellStyle name="Normal 8 2 5 3 2 2 2" xfId="26385" xr:uid="{00000000-0005-0000-0000-000039BE0000}"/>
    <cellStyle name="Normal 8 2 5 3 2 2 2 2" xfId="52259" xr:uid="{00000000-0005-0000-0000-00003ABE0000}"/>
    <cellStyle name="Normal 8 2 5 3 2 2 3" xfId="39343" xr:uid="{00000000-0005-0000-0000-00003BBE0000}"/>
    <cellStyle name="Normal 8 2 5 3 2 3" xfId="19927" xr:uid="{00000000-0005-0000-0000-00003CBE0000}"/>
    <cellStyle name="Normal 8 2 5 3 2 3 2" xfId="45801" xr:uid="{00000000-0005-0000-0000-00003DBE0000}"/>
    <cellStyle name="Normal 8 2 5 3 2 4" xfId="32885" xr:uid="{00000000-0005-0000-0000-00003EBE0000}"/>
    <cellStyle name="Normal 8 2 5 3 3" xfId="10240" xr:uid="{00000000-0005-0000-0000-00003FBE0000}"/>
    <cellStyle name="Normal 8 2 5 3 3 2" xfId="23157" xr:uid="{00000000-0005-0000-0000-000040BE0000}"/>
    <cellStyle name="Normal 8 2 5 3 3 2 2" xfId="49031" xr:uid="{00000000-0005-0000-0000-000041BE0000}"/>
    <cellStyle name="Normal 8 2 5 3 3 3" xfId="36115" xr:uid="{00000000-0005-0000-0000-000042BE0000}"/>
    <cellStyle name="Normal 8 2 5 3 4" xfId="16699" xr:uid="{00000000-0005-0000-0000-000043BE0000}"/>
    <cellStyle name="Normal 8 2 5 3 4 2" xfId="42573" xr:uid="{00000000-0005-0000-0000-000044BE0000}"/>
    <cellStyle name="Normal 8 2 5 3 5" xfId="29625" xr:uid="{00000000-0005-0000-0000-000045BE0000}"/>
    <cellStyle name="Normal 8 2 5 4" xfId="5395" xr:uid="{00000000-0005-0000-0000-000046BE0000}"/>
    <cellStyle name="Normal 8 2 5 4 2" xfId="11854" xr:uid="{00000000-0005-0000-0000-000047BE0000}"/>
    <cellStyle name="Normal 8 2 5 4 2 2" xfId="24771" xr:uid="{00000000-0005-0000-0000-000048BE0000}"/>
    <cellStyle name="Normal 8 2 5 4 2 2 2" xfId="50645" xr:uid="{00000000-0005-0000-0000-000049BE0000}"/>
    <cellStyle name="Normal 8 2 5 4 2 3" xfId="37729" xr:uid="{00000000-0005-0000-0000-00004ABE0000}"/>
    <cellStyle name="Normal 8 2 5 4 3" xfId="18313" xr:uid="{00000000-0005-0000-0000-00004BBE0000}"/>
    <cellStyle name="Normal 8 2 5 4 3 2" xfId="44187" xr:uid="{00000000-0005-0000-0000-00004CBE0000}"/>
    <cellStyle name="Normal 8 2 5 4 4" xfId="31271" xr:uid="{00000000-0005-0000-0000-00004DBE0000}"/>
    <cellStyle name="Normal 8 2 5 5" xfId="8626" xr:uid="{00000000-0005-0000-0000-00004EBE0000}"/>
    <cellStyle name="Normal 8 2 5 5 2" xfId="21543" xr:uid="{00000000-0005-0000-0000-00004FBE0000}"/>
    <cellStyle name="Normal 8 2 5 5 2 2" xfId="47417" xr:uid="{00000000-0005-0000-0000-000050BE0000}"/>
    <cellStyle name="Normal 8 2 5 5 3" xfId="34501" xr:uid="{00000000-0005-0000-0000-000051BE0000}"/>
    <cellStyle name="Normal 8 2 5 6" xfId="15085" xr:uid="{00000000-0005-0000-0000-000052BE0000}"/>
    <cellStyle name="Normal 8 2 5 6 2" xfId="40959" xr:uid="{00000000-0005-0000-0000-000053BE0000}"/>
    <cellStyle name="Normal 8 2 5 7" xfId="28011" xr:uid="{00000000-0005-0000-0000-000054BE0000}"/>
    <cellStyle name="Normal 8 2 5 8" xfId="53873" xr:uid="{00000000-0005-0000-0000-000055BE0000}"/>
    <cellStyle name="Normal 8 2 6" xfId="8223" xr:uid="{00000000-0005-0000-0000-000056BE0000}"/>
    <cellStyle name="Normal 8 2 6 2" xfId="21140" xr:uid="{00000000-0005-0000-0000-000057BE0000}"/>
    <cellStyle name="Normal 8 2 6 2 2" xfId="47014" xr:uid="{00000000-0005-0000-0000-000058BE0000}"/>
    <cellStyle name="Normal 8 2 6 3" xfId="34098" xr:uid="{00000000-0005-0000-0000-000059BE0000}"/>
    <cellStyle name="Normal 8 2 7" xfId="14682" xr:uid="{00000000-0005-0000-0000-00005ABE0000}"/>
    <cellStyle name="Normal 8 2 7 2" xfId="40556" xr:uid="{00000000-0005-0000-0000-00005BBE0000}"/>
    <cellStyle name="Normal 8 2 8" xfId="1359" xr:uid="{00000000-0005-0000-0000-00005CBE0000}"/>
    <cellStyle name="Normal 8 2 9" xfId="399" xr:uid="{00000000-0005-0000-0000-00005DBE0000}"/>
    <cellStyle name="Normal 8 3" xfId="997" xr:uid="{00000000-0005-0000-0000-00005EBE0000}"/>
    <cellStyle name="Normal 8 3 10" xfId="53566" xr:uid="{00000000-0005-0000-0000-00005FBE0000}"/>
    <cellStyle name="Normal 8 3 11" xfId="1650" xr:uid="{00000000-0005-0000-0000-000060BE0000}"/>
    <cellStyle name="Normal 8 3 2" xfId="1975" xr:uid="{00000000-0005-0000-0000-000061BE0000}"/>
    <cellStyle name="Normal 8 3 2 2" xfId="2406" xr:uid="{00000000-0005-0000-0000-000062BE0000}"/>
    <cellStyle name="Normal 8 3 2 2 2" xfId="3219" xr:uid="{00000000-0005-0000-0000-000063BE0000}"/>
    <cellStyle name="Normal 8 3 2 2 2 2" xfId="4876" xr:uid="{00000000-0005-0000-0000-000064BE0000}"/>
    <cellStyle name="Normal 8 3 2 2 2 2 2" xfId="8107" xr:uid="{00000000-0005-0000-0000-000065BE0000}"/>
    <cellStyle name="Normal 8 3 2 2 2 2 2 2" xfId="14566" xr:uid="{00000000-0005-0000-0000-000066BE0000}"/>
    <cellStyle name="Normal 8 3 2 2 2 2 2 2 2" xfId="27483" xr:uid="{00000000-0005-0000-0000-000067BE0000}"/>
    <cellStyle name="Normal 8 3 2 2 2 2 2 2 2 2" xfId="53357" xr:uid="{00000000-0005-0000-0000-000068BE0000}"/>
    <cellStyle name="Normal 8 3 2 2 2 2 2 2 3" xfId="40441" xr:uid="{00000000-0005-0000-0000-000069BE0000}"/>
    <cellStyle name="Normal 8 3 2 2 2 2 2 3" xfId="21025" xr:uid="{00000000-0005-0000-0000-00006ABE0000}"/>
    <cellStyle name="Normal 8 3 2 2 2 2 2 3 2" xfId="46899" xr:uid="{00000000-0005-0000-0000-00006BBE0000}"/>
    <cellStyle name="Normal 8 3 2 2 2 2 2 4" xfId="33983" xr:uid="{00000000-0005-0000-0000-00006CBE0000}"/>
    <cellStyle name="Normal 8 3 2 2 2 2 3" xfId="11338" xr:uid="{00000000-0005-0000-0000-00006DBE0000}"/>
    <cellStyle name="Normal 8 3 2 2 2 2 3 2" xfId="24255" xr:uid="{00000000-0005-0000-0000-00006EBE0000}"/>
    <cellStyle name="Normal 8 3 2 2 2 2 3 2 2" xfId="50129" xr:uid="{00000000-0005-0000-0000-00006FBE0000}"/>
    <cellStyle name="Normal 8 3 2 2 2 2 3 3" xfId="37213" xr:uid="{00000000-0005-0000-0000-000070BE0000}"/>
    <cellStyle name="Normal 8 3 2 2 2 2 4" xfId="17797" xr:uid="{00000000-0005-0000-0000-000071BE0000}"/>
    <cellStyle name="Normal 8 3 2 2 2 2 4 2" xfId="43671" xr:uid="{00000000-0005-0000-0000-000072BE0000}"/>
    <cellStyle name="Normal 8 3 2 2 2 2 5" xfId="30723" xr:uid="{00000000-0005-0000-0000-000073BE0000}"/>
    <cellStyle name="Normal 8 3 2 2 2 3" xfId="6493" xr:uid="{00000000-0005-0000-0000-000074BE0000}"/>
    <cellStyle name="Normal 8 3 2 2 2 3 2" xfId="12952" xr:uid="{00000000-0005-0000-0000-000075BE0000}"/>
    <cellStyle name="Normal 8 3 2 2 2 3 2 2" xfId="25869" xr:uid="{00000000-0005-0000-0000-000076BE0000}"/>
    <cellStyle name="Normal 8 3 2 2 2 3 2 2 2" xfId="51743" xr:uid="{00000000-0005-0000-0000-000077BE0000}"/>
    <cellStyle name="Normal 8 3 2 2 2 3 2 3" xfId="38827" xr:uid="{00000000-0005-0000-0000-000078BE0000}"/>
    <cellStyle name="Normal 8 3 2 2 2 3 3" xfId="19411" xr:uid="{00000000-0005-0000-0000-000079BE0000}"/>
    <cellStyle name="Normal 8 3 2 2 2 3 3 2" xfId="45285" xr:uid="{00000000-0005-0000-0000-00007ABE0000}"/>
    <cellStyle name="Normal 8 3 2 2 2 3 4" xfId="32369" xr:uid="{00000000-0005-0000-0000-00007BBE0000}"/>
    <cellStyle name="Normal 8 3 2 2 2 4" xfId="9724" xr:uid="{00000000-0005-0000-0000-00007CBE0000}"/>
    <cellStyle name="Normal 8 3 2 2 2 4 2" xfId="22641" xr:uid="{00000000-0005-0000-0000-00007DBE0000}"/>
    <cellStyle name="Normal 8 3 2 2 2 4 2 2" xfId="48515" xr:uid="{00000000-0005-0000-0000-00007EBE0000}"/>
    <cellStyle name="Normal 8 3 2 2 2 4 3" xfId="35599" xr:uid="{00000000-0005-0000-0000-00007FBE0000}"/>
    <cellStyle name="Normal 8 3 2 2 2 5" xfId="16183" xr:uid="{00000000-0005-0000-0000-000080BE0000}"/>
    <cellStyle name="Normal 8 3 2 2 2 5 2" xfId="42057" xr:uid="{00000000-0005-0000-0000-000081BE0000}"/>
    <cellStyle name="Normal 8 3 2 2 2 6" xfId="29109" xr:uid="{00000000-0005-0000-0000-000082BE0000}"/>
    <cellStyle name="Normal 8 3 2 2 3" xfId="4046" xr:uid="{00000000-0005-0000-0000-000083BE0000}"/>
    <cellStyle name="Normal 8 3 2 2 3 2" xfId="7300" xr:uid="{00000000-0005-0000-0000-000084BE0000}"/>
    <cellStyle name="Normal 8 3 2 2 3 2 2" xfId="13759" xr:uid="{00000000-0005-0000-0000-000085BE0000}"/>
    <cellStyle name="Normal 8 3 2 2 3 2 2 2" xfId="26676" xr:uid="{00000000-0005-0000-0000-000086BE0000}"/>
    <cellStyle name="Normal 8 3 2 2 3 2 2 2 2" xfId="52550" xr:uid="{00000000-0005-0000-0000-000087BE0000}"/>
    <cellStyle name="Normal 8 3 2 2 3 2 2 3" xfId="39634" xr:uid="{00000000-0005-0000-0000-000088BE0000}"/>
    <cellStyle name="Normal 8 3 2 2 3 2 3" xfId="20218" xr:uid="{00000000-0005-0000-0000-000089BE0000}"/>
    <cellStyle name="Normal 8 3 2 2 3 2 3 2" xfId="46092" xr:uid="{00000000-0005-0000-0000-00008ABE0000}"/>
    <cellStyle name="Normal 8 3 2 2 3 2 4" xfId="33176" xr:uid="{00000000-0005-0000-0000-00008BBE0000}"/>
    <cellStyle name="Normal 8 3 2 2 3 3" xfId="10531" xr:uid="{00000000-0005-0000-0000-00008CBE0000}"/>
    <cellStyle name="Normal 8 3 2 2 3 3 2" xfId="23448" xr:uid="{00000000-0005-0000-0000-00008DBE0000}"/>
    <cellStyle name="Normal 8 3 2 2 3 3 2 2" xfId="49322" xr:uid="{00000000-0005-0000-0000-00008EBE0000}"/>
    <cellStyle name="Normal 8 3 2 2 3 3 3" xfId="36406" xr:uid="{00000000-0005-0000-0000-00008FBE0000}"/>
    <cellStyle name="Normal 8 3 2 2 3 4" xfId="16990" xr:uid="{00000000-0005-0000-0000-000090BE0000}"/>
    <cellStyle name="Normal 8 3 2 2 3 4 2" xfId="42864" xr:uid="{00000000-0005-0000-0000-000091BE0000}"/>
    <cellStyle name="Normal 8 3 2 2 3 5" xfId="29916" xr:uid="{00000000-0005-0000-0000-000092BE0000}"/>
    <cellStyle name="Normal 8 3 2 2 4" xfId="5686" xr:uid="{00000000-0005-0000-0000-000093BE0000}"/>
    <cellStyle name="Normal 8 3 2 2 4 2" xfId="12145" xr:uid="{00000000-0005-0000-0000-000094BE0000}"/>
    <cellStyle name="Normal 8 3 2 2 4 2 2" xfId="25062" xr:uid="{00000000-0005-0000-0000-000095BE0000}"/>
    <cellStyle name="Normal 8 3 2 2 4 2 2 2" xfId="50936" xr:uid="{00000000-0005-0000-0000-000096BE0000}"/>
    <cellStyle name="Normal 8 3 2 2 4 2 3" xfId="38020" xr:uid="{00000000-0005-0000-0000-000097BE0000}"/>
    <cellStyle name="Normal 8 3 2 2 4 3" xfId="18604" xr:uid="{00000000-0005-0000-0000-000098BE0000}"/>
    <cellStyle name="Normal 8 3 2 2 4 3 2" xfId="44478" xr:uid="{00000000-0005-0000-0000-000099BE0000}"/>
    <cellStyle name="Normal 8 3 2 2 4 4" xfId="31562" xr:uid="{00000000-0005-0000-0000-00009ABE0000}"/>
    <cellStyle name="Normal 8 3 2 2 5" xfId="8917" xr:uid="{00000000-0005-0000-0000-00009BBE0000}"/>
    <cellStyle name="Normal 8 3 2 2 5 2" xfId="21834" xr:uid="{00000000-0005-0000-0000-00009CBE0000}"/>
    <cellStyle name="Normal 8 3 2 2 5 2 2" xfId="47708" xr:uid="{00000000-0005-0000-0000-00009DBE0000}"/>
    <cellStyle name="Normal 8 3 2 2 5 3" xfId="34792" xr:uid="{00000000-0005-0000-0000-00009EBE0000}"/>
    <cellStyle name="Normal 8 3 2 2 6" xfId="15376" xr:uid="{00000000-0005-0000-0000-00009FBE0000}"/>
    <cellStyle name="Normal 8 3 2 2 6 2" xfId="41250" xr:uid="{00000000-0005-0000-0000-0000A0BE0000}"/>
    <cellStyle name="Normal 8 3 2 2 7" xfId="28302" xr:uid="{00000000-0005-0000-0000-0000A1BE0000}"/>
    <cellStyle name="Normal 8 3 2 2 8" xfId="54164" xr:uid="{00000000-0005-0000-0000-0000A2BE0000}"/>
    <cellStyle name="Normal 8 3 2 3" xfId="2815" xr:uid="{00000000-0005-0000-0000-0000A3BE0000}"/>
    <cellStyle name="Normal 8 3 2 3 2" xfId="4472" xr:uid="{00000000-0005-0000-0000-0000A4BE0000}"/>
    <cellStyle name="Normal 8 3 2 3 2 2" xfId="7703" xr:uid="{00000000-0005-0000-0000-0000A5BE0000}"/>
    <cellStyle name="Normal 8 3 2 3 2 2 2" xfId="14162" xr:uid="{00000000-0005-0000-0000-0000A6BE0000}"/>
    <cellStyle name="Normal 8 3 2 3 2 2 2 2" xfId="27079" xr:uid="{00000000-0005-0000-0000-0000A7BE0000}"/>
    <cellStyle name="Normal 8 3 2 3 2 2 2 2 2" xfId="52953" xr:uid="{00000000-0005-0000-0000-0000A8BE0000}"/>
    <cellStyle name="Normal 8 3 2 3 2 2 2 3" xfId="40037" xr:uid="{00000000-0005-0000-0000-0000A9BE0000}"/>
    <cellStyle name="Normal 8 3 2 3 2 2 3" xfId="20621" xr:uid="{00000000-0005-0000-0000-0000AABE0000}"/>
    <cellStyle name="Normal 8 3 2 3 2 2 3 2" xfId="46495" xr:uid="{00000000-0005-0000-0000-0000ABBE0000}"/>
    <cellStyle name="Normal 8 3 2 3 2 2 4" xfId="33579" xr:uid="{00000000-0005-0000-0000-0000ACBE0000}"/>
    <cellStyle name="Normal 8 3 2 3 2 3" xfId="10934" xr:uid="{00000000-0005-0000-0000-0000ADBE0000}"/>
    <cellStyle name="Normal 8 3 2 3 2 3 2" xfId="23851" xr:uid="{00000000-0005-0000-0000-0000AEBE0000}"/>
    <cellStyle name="Normal 8 3 2 3 2 3 2 2" xfId="49725" xr:uid="{00000000-0005-0000-0000-0000AFBE0000}"/>
    <cellStyle name="Normal 8 3 2 3 2 3 3" xfId="36809" xr:uid="{00000000-0005-0000-0000-0000B0BE0000}"/>
    <cellStyle name="Normal 8 3 2 3 2 4" xfId="17393" xr:uid="{00000000-0005-0000-0000-0000B1BE0000}"/>
    <cellStyle name="Normal 8 3 2 3 2 4 2" xfId="43267" xr:uid="{00000000-0005-0000-0000-0000B2BE0000}"/>
    <cellStyle name="Normal 8 3 2 3 2 5" xfId="30319" xr:uid="{00000000-0005-0000-0000-0000B3BE0000}"/>
    <cellStyle name="Normal 8 3 2 3 3" xfId="6089" xr:uid="{00000000-0005-0000-0000-0000B4BE0000}"/>
    <cellStyle name="Normal 8 3 2 3 3 2" xfId="12548" xr:uid="{00000000-0005-0000-0000-0000B5BE0000}"/>
    <cellStyle name="Normal 8 3 2 3 3 2 2" xfId="25465" xr:uid="{00000000-0005-0000-0000-0000B6BE0000}"/>
    <cellStyle name="Normal 8 3 2 3 3 2 2 2" xfId="51339" xr:uid="{00000000-0005-0000-0000-0000B7BE0000}"/>
    <cellStyle name="Normal 8 3 2 3 3 2 3" xfId="38423" xr:uid="{00000000-0005-0000-0000-0000B8BE0000}"/>
    <cellStyle name="Normal 8 3 2 3 3 3" xfId="19007" xr:uid="{00000000-0005-0000-0000-0000B9BE0000}"/>
    <cellStyle name="Normal 8 3 2 3 3 3 2" xfId="44881" xr:uid="{00000000-0005-0000-0000-0000BABE0000}"/>
    <cellStyle name="Normal 8 3 2 3 3 4" xfId="31965" xr:uid="{00000000-0005-0000-0000-0000BBBE0000}"/>
    <cellStyle name="Normal 8 3 2 3 4" xfId="9320" xr:uid="{00000000-0005-0000-0000-0000BCBE0000}"/>
    <cellStyle name="Normal 8 3 2 3 4 2" xfId="22237" xr:uid="{00000000-0005-0000-0000-0000BDBE0000}"/>
    <cellStyle name="Normal 8 3 2 3 4 2 2" xfId="48111" xr:uid="{00000000-0005-0000-0000-0000BEBE0000}"/>
    <cellStyle name="Normal 8 3 2 3 4 3" xfId="35195" xr:uid="{00000000-0005-0000-0000-0000BFBE0000}"/>
    <cellStyle name="Normal 8 3 2 3 5" xfId="15779" xr:uid="{00000000-0005-0000-0000-0000C0BE0000}"/>
    <cellStyle name="Normal 8 3 2 3 5 2" xfId="41653" xr:uid="{00000000-0005-0000-0000-0000C1BE0000}"/>
    <cellStyle name="Normal 8 3 2 3 6" xfId="28705" xr:uid="{00000000-0005-0000-0000-0000C2BE0000}"/>
    <cellStyle name="Normal 8 3 2 4" xfId="3642" xr:uid="{00000000-0005-0000-0000-0000C3BE0000}"/>
    <cellStyle name="Normal 8 3 2 4 2" xfId="6896" xr:uid="{00000000-0005-0000-0000-0000C4BE0000}"/>
    <cellStyle name="Normal 8 3 2 4 2 2" xfId="13355" xr:uid="{00000000-0005-0000-0000-0000C5BE0000}"/>
    <cellStyle name="Normal 8 3 2 4 2 2 2" xfId="26272" xr:uid="{00000000-0005-0000-0000-0000C6BE0000}"/>
    <cellStyle name="Normal 8 3 2 4 2 2 2 2" xfId="52146" xr:uid="{00000000-0005-0000-0000-0000C7BE0000}"/>
    <cellStyle name="Normal 8 3 2 4 2 2 3" xfId="39230" xr:uid="{00000000-0005-0000-0000-0000C8BE0000}"/>
    <cellStyle name="Normal 8 3 2 4 2 3" xfId="19814" xr:uid="{00000000-0005-0000-0000-0000C9BE0000}"/>
    <cellStyle name="Normal 8 3 2 4 2 3 2" xfId="45688" xr:uid="{00000000-0005-0000-0000-0000CABE0000}"/>
    <cellStyle name="Normal 8 3 2 4 2 4" xfId="32772" xr:uid="{00000000-0005-0000-0000-0000CBBE0000}"/>
    <cellStyle name="Normal 8 3 2 4 3" xfId="10127" xr:uid="{00000000-0005-0000-0000-0000CCBE0000}"/>
    <cellStyle name="Normal 8 3 2 4 3 2" xfId="23044" xr:uid="{00000000-0005-0000-0000-0000CDBE0000}"/>
    <cellStyle name="Normal 8 3 2 4 3 2 2" xfId="48918" xr:uid="{00000000-0005-0000-0000-0000CEBE0000}"/>
    <cellStyle name="Normal 8 3 2 4 3 3" xfId="36002" xr:uid="{00000000-0005-0000-0000-0000CFBE0000}"/>
    <cellStyle name="Normal 8 3 2 4 4" xfId="16586" xr:uid="{00000000-0005-0000-0000-0000D0BE0000}"/>
    <cellStyle name="Normal 8 3 2 4 4 2" xfId="42460" xr:uid="{00000000-0005-0000-0000-0000D1BE0000}"/>
    <cellStyle name="Normal 8 3 2 4 5" xfId="29512" xr:uid="{00000000-0005-0000-0000-0000D2BE0000}"/>
    <cellStyle name="Normal 8 3 2 5" xfId="5282" xr:uid="{00000000-0005-0000-0000-0000D3BE0000}"/>
    <cellStyle name="Normal 8 3 2 5 2" xfId="11741" xr:uid="{00000000-0005-0000-0000-0000D4BE0000}"/>
    <cellStyle name="Normal 8 3 2 5 2 2" xfId="24658" xr:uid="{00000000-0005-0000-0000-0000D5BE0000}"/>
    <cellStyle name="Normal 8 3 2 5 2 2 2" xfId="50532" xr:uid="{00000000-0005-0000-0000-0000D6BE0000}"/>
    <cellStyle name="Normal 8 3 2 5 2 3" xfId="37616" xr:uid="{00000000-0005-0000-0000-0000D7BE0000}"/>
    <cellStyle name="Normal 8 3 2 5 3" xfId="18200" xr:uid="{00000000-0005-0000-0000-0000D8BE0000}"/>
    <cellStyle name="Normal 8 3 2 5 3 2" xfId="44074" xr:uid="{00000000-0005-0000-0000-0000D9BE0000}"/>
    <cellStyle name="Normal 8 3 2 5 4" xfId="31158" xr:uid="{00000000-0005-0000-0000-0000DABE0000}"/>
    <cellStyle name="Normal 8 3 2 6" xfId="8513" xr:uid="{00000000-0005-0000-0000-0000DBBE0000}"/>
    <cellStyle name="Normal 8 3 2 6 2" xfId="21430" xr:uid="{00000000-0005-0000-0000-0000DCBE0000}"/>
    <cellStyle name="Normal 8 3 2 6 2 2" xfId="47304" xr:uid="{00000000-0005-0000-0000-0000DDBE0000}"/>
    <cellStyle name="Normal 8 3 2 6 3" xfId="34388" xr:uid="{00000000-0005-0000-0000-0000DEBE0000}"/>
    <cellStyle name="Normal 8 3 2 7" xfId="14972" xr:uid="{00000000-0005-0000-0000-0000DFBE0000}"/>
    <cellStyle name="Normal 8 3 2 7 2" xfId="40846" xr:uid="{00000000-0005-0000-0000-0000E0BE0000}"/>
    <cellStyle name="Normal 8 3 2 8" xfId="27897" xr:uid="{00000000-0005-0000-0000-0000E1BE0000}"/>
    <cellStyle name="Normal 8 3 2 9" xfId="53760" xr:uid="{00000000-0005-0000-0000-0000E2BE0000}"/>
    <cellStyle name="Normal 8 3 3" xfId="2210" xr:uid="{00000000-0005-0000-0000-0000E3BE0000}"/>
    <cellStyle name="Normal 8 3 3 2" xfId="3024" xr:uid="{00000000-0005-0000-0000-0000E4BE0000}"/>
    <cellStyle name="Normal 8 3 3 2 2" xfId="4681" xr:uid="{00000000-0005-0000-0000-0000E5BE0000}"/>
    <cellStyle name="Normal 8 3 3 2 2 2" xfId="7912" xr:uid="{00000000-0005-0000-0000-0000E6BE0000}"/>
    <cellStyle name="Normal 8 3 3 2 2 2 2" xfId="14371" xr:uid="{00000000-0005-0000-0000-0000E7BE0000}"/>
    <cellStyle name="Normal 8 3 3 2 2 2 2 2" xfId="27288" xr:uid="{00000000-0005-0000-0000-0000E8BE0000}"/>
    <cellStyle name="Normal 8 3 3 2 2 2 2 2 2" xfId="53162" xr:uid="{00000000-0005-0000-0000-0000E9BE0000}"/>
    <cellStyle name="Normal 8 3 3 2 2 2 2 3" xfId="40246" xr:uid="{00000000-0005-0000-0000-0000EABE0000}"/>
    <cellStyle name="Normal 8 3 3 2 2 2 3" xfId="20830" xr:uid="{00000000-0005-0000-0000-0000EBBE0000}"/>
    <cellStyle name="Normal 8 3 3 2 2 2 3 2" xfId="46704" xr:uid="{00000000-0005-0000-0000-0000ECBE0000}"/>
    <cellStyle name="Normal 8 3 3 2 2 2 4" xfId="33788" xr:uid="{00000000-0005-0000-0000-0000EDBE0000}"/>
    <cellStyle name="Normal 8 3 3 2 2 3" xfId="11143" xr:uid="{00000000-0005-0000-0000-0000EEBE0000}"/>
    <cellStyle name="Normal 8 3 3 2 2 3 2" xfId="24060" xr:uid="{00000000-0005-0000-0000-0000EFBE0000}"/>
    <cellStyle name="Normal 8 3 3 2 2 3 2 2" xfId="49934" xr:uid="{00000000-0005-0000-0000-0000F0BE0000}"/>
    <cellStyle name="Normal 8 3 3 2 2 3 3" xfId="37018" xr:uid="{00000000-0005-0000-0000-0000F1BE0000}"/>
    <cellStyle name="Normal 8 3 3 2 2 4" xfId="17602" xr:uid="{00000000-0005-0000-0000-0000F2BE0000}"/>
    <cellStyle name="Normal 8 3 3 2 2 4 2" xfId="43476" xr:uid="{00000000-0005-0000-0000-0000F3BE0000}"/>
    <cellStyle name="Normal 8 3 3 2 2 5" xfId="30528" xr:uid="{00000000-0005-0000-0000-0000F4BE0000}"/>
    <cellStyle name="Normal 8 3 3 2 3" xfId="6298" xr:uid="{00000000-0005-0000-0000-0000F5BE0000}"/>
    <cellStyle name="Normal 8 3 3 2 3 2" xfId="12757" xr:uid="{00000000-0005-0000-0000-0000F6BE0000}"/>
    <cellStyle name="Normal 8 3 3 2 3 2 2" xfId="25674" xr:uid="{00000000-0005-0000-0000-0000F7BE0000}"/>
    <cellStyle name="Normal 8 3 3 2 3 2 2 2" xfId="51548" xr:uid="{00000000-0005-0000-0000-0000F8BE0000}"/>
    <cellStyle name="Normal 8 3 3 2 3 2 3" xfId="38632" xr:uid="{00000000-0005-0000-0000-0000F9BE0000}"/>
    <cellStyle name="Normal 8 3 3 2 3 3" xfId="19216" xr:uid="{00000000-0005-0000-0000-0000FABE0000}"/>
    <cellStyle name="Normal 8 3 3 2 3 3 2" xfId="45090" xr:uid="{00000000-0005-0000-0000-0000FBBE0000}"/>
    <cellStyle name="Normal 8 3 3 2 3 4" xfId="32174" xr:uid="{00000000-0005-0000-0000-0000FCBE0000}"/>
    <cellStyle name="Normal 8 3 3 2 4" xfId="9529" xr:uid="{00000000-0005-0000-0000-0000FDBE0000}"/>
    <cellStyle name="Normal 8 3 3 2 4 2" xfId="22446" xr:uid="{00000000-0005-0000-0000-0000FEBE0000}"/>
    <cellStyle name="Normal 8 3 3 2 4 2 2" xfId="48320" xr:uid="{00000000-0005-0000-0000-0000FFBE0000}"/>
    <cellStyle name="Normal 8 3 3 2 4 3" xfId="35404" xr:uid="{00000000-0005-0000-0000-000000BF0000}"/>
    <cellStyle name="Normal 8 3 3 2 5" xfId="15988" xr:uid="{00000000-0005-0000-0000-000001BF0000}"/>
    <cellStyle name="Normal 8 3 3 2 5 2" xfId="41862" xr:uid="{00000000-0005-0000-0000-000002BF0000}"/>
    <cellStyle name="Normal 8 3 3 2 6" xfId="28914" xr:uid="{00000000-0005-0000-0000-000003BF0000}"/>
    <cellStyle name="Normal 8 3 3 3" xfId="3851" xr:uid="{00000000-0005-0000-0000-000004BF0000}"/>
    <cellStyle name="Normal 8 3 3 3 2" xfId="7105" xr:uid="{00000000-0005-0000-0000-000005BF0000}"/>
    <cellStyle name="Normal 8 3 3 3 2 2" xfId="13564" xr:uid="{00000000-0005-0000-0000-000006BF0000}"/>
    <cellStyle name="Normal 8 3 3 3 2 2 2" xfId="26481" xr:uid="{00000000-0005-0000-0000-000007BF0000}"/>
    <cellStyle name="Normal 8 3 3 3 2 2 2 2" xfId="52355" xr:uid="{00000000-0005-0000-0000-000008BF0000}"/>
    <cellStyle name="Normal 8 3 3 3 2 2 3" xfId="39439" xr:uid="{00000000-0005-0000-0000-000009BF0000}"/>
    <cellStyle name="Normal 8 3 3 3 2 3" xfId="20023" xr:uid="{00000000-0005-0000-0000-00000ABF0000}"/>
    <cellStyle name="Normal 8 3 3 3 2 3 2" xfId="45897" xr:uid="{00000000-0005-0000-0000-00000BBF0000}"/>
    <cellStyle name="Normal 8 3 3 3 2 4" xfId="32981" xr:uid="{00000000-0005-0000-0000-00000CBF0000}"/>
    <cellStyle name="Normal 8 3 3 3 3" xfId="10336" xr:uid="{00000000-0005-0000-0000-00000DBF0000}"/>
    <cellStyle name="Normal 8 3 3 3 3 2" xfId="23253" xr:uid="{00000000-0005-0000-0000-00000EBF0000}"/>
    <cellStyle name="Normal 8 3 3 3 3 2 2" xfId="49127" xr:uid="{00000000-0005-0000-0000-00000FBF0000}"/>
    <cellStyle name="Normal 8 3 3 3 3 3" xfId="36211" xr:uid="{00000000-0005-0000-0000-000010BF0000}"/>
    <cellStyle name="Normal 8 3 3 3 4" xfId="16795" xr:uid="{00000000-0005-0000-0000-000011BF0000}"/>
    <cellStyle name="Normal 8 3 3 3 4 2" xfId="42669" xr:uid="{00000000-0005-0000-0000-000012BF0000}"/>
    <cellStyle name="Normal 8 3 3 3 5" xfId="29721" xr:uid="{00000000-0005-0000-0000-000013BF0000}"/>
    <cellStyle name="Normal 8 3 3 4" xfId="5491" xr:uid="{00000000-0005-0000-0000-000014BF0000}"/>
    <cellStyle name="Normal 8 3 3 4 2" xfId="11950" xr:uid="{00000000-0005-0000-0000-000015BF0000}"/>
    <cellStyle name="Normal 8 3 3 4 2 2" xfId="24867" xr:uid="{00000000-0005-0000-0000-000016BF0000}"/>
    <cellStyle name="Normal 8 3 3 4 2 2 2" xfId="50741" xr:uid="{00000000-0005-0000-0000-000017BF0000}"/>
    <cellStyle name="Normal 8 3 3 4 2 3" xfId="37825" xr:uid="{00000000-0005-0000-0000-000018BF0000}"/>
    <cellStyle name="Normal 8 3 3 4 3" xfId="18409" xr:uid="{00000000-0005-0000-0000-000019BF0000}"/>
    <cellStyle name="Normal 8 3 3 4 3 2" xfId="44283" xr:uid="{00000000-0005-0000-0000-00001ABF0000}"/>
    <cellStyle name="Normal 8 3 3 4 4" xfId="31367" xr:uid="{00000000-0005-0000-0000-00001BBF0000}"/>
    <cellStyle name="Normal 8 3 3 5" xfId="8722" xr:uid="{00000000-0005-0000-0000-00001CBF0000}"/>
    <cellStyle name="Normal 8 3 3 5 2" xfId="21639" xr:uid="{00000000-0005-0000-0000-00001DBF0000}"/>
    <cellStyle name="Normal 8 3 3 5 2 2" xfId="47513" xr:uid="{00000000-0005-0000-0000-00001EBF0000}"/>
    <cellStyle name="Normal 8 3 3 5 3" xfId="34597" xr:uid="{00000000-0005-0000-0000-00001FBF0000}"/>
    <cellStyle name="Normal 8 3 3 6" xfId="15181" xr:uid="{00000000-0005-0000-0000-000020BF0000}"/>
    <cellStyle name="Normal 8 3 3 6 2" xfId="41055" xr:uid="{00000000-0005-0000-0000-000021BF0000}"/>
    <cellStyle name="Normal 8 3 3 7" xfId="28107" xr:uid="{00000000-0005-0000-0000-000022BF0000}"/>
    <cellStyle name="Normal 8 3 3 8" xfId="53969" xr:uid="{00000000-0005-0000-0000-000023BF0000}"/>
    <cellStyle name="Normal 8 3 4" xfId="2621" xr:uid="{00000000-0005-0000-0000-000024BF0000}"/>
    <cellStyle name="Normal 8 3 4 2" xfId="4278" xr:uid="{00000000-0005-0000-0000-000025BF0000}"/>
    <cellStyle name="Normal 8 3 4 2 2" xfId="7509" xr:uid="{00000000-0005-0000-0000-000026BF0000}"/>
    <cellStyle name="Normal 8 3 4 2 2 2" xfId="13968" xr:uid="{00000000-0005-0000-0000-000027BF0000}"/>
    <cellStyle name="Normal 8 3 4 2 2 2 2" xfId="26885" xr:uid="{00000000-0005-0000-0000-000028BF0000}"/>
    <cellStyle name="Normal 8 3 4 2 2 2 2 2" xfId="52759" xr:uid="{00000000-0005-0000-0000-000029BF0000}"/>
    <cellStyle name="Normal 8 3 4 2 2 2 3" xfId="39843" xr:uid="{00000000-0005-0000-0000-00002ABF0000}"/>
    <cellStyle name="Normal 8 3 4 2 2 3" xfId="20427" xr:uid="{00000000-0005-0000-0000-00002BBF0000}"/>
    <cellStyle name="Normal 8 3 4 2 2 3 2" xfId="46301" xr:uid="{00000000-0005-0000-0000-00002CBF0000}"/>
    <cellStyle name="Normal 8 3 4 2 2 4" xfId="33385" xr:uid="{00000000-0005-0000-0000-00002DBF0000}"/>
    <cellStyle name="Normal 8 3 4 2 3" xfId="10740" xr:uid="{00000000-0005-0000-0000-00002EBF0000}"/>
    <cellStyle name="Normal 8 3 4 2 3 2" xfId="23657" xr:uid="{00000000-0005-0000-0000-00002FBF0000}"/>
    <cellStyle name="Normal 8 3 4 2 3 2 2" xfId="49531" xr:uid="{00000000-0005-0000-0000-000030BF0000}"/>
    <cellStyle name="Normal 8 3 4 2 3 3" xfId="36615" xr:uid="{00000000-0005-0000-0000-000031BF0000}"/>
    <cellStyle name="Normal 8 3 4 2 4" xfId="17199" xr:uid="{00000000-0005-0000-0000-000032BF0000}"/>
    <cellStyle name="Normal 8 3 4 2 4 2" xfId="43073" xr:uid="{00000000-0005-0000-0000-000033BF0000}"/>
    <cellStyle name="Normal 8 3 4 2 5" xfId="30125" xr:uid="{00000000-0005-0000-0000-000034BF0000}"/>
    <cellStyle name="Normal 8 3 4 3" xfId="5895" xr:uid="{00000000-0005-0000-0000-000035BF0000}"/>
    <cellStyle name="Normal 8 3 4 3 2" xfId="12354" xr:uid="{00000000-0005-0000-0000-000036BF0000}"/>
    <cellStyle name="Normal 8 3 4 3 2 2" xfId="25271" xr:uid="{00000000-0005-0000-0000-000037BF0000}"/>
    <cellStyle name="Normal 8 3 4 3 2 2 2" xfId="51145" xr:uid="{00000000-0005-0000-0000-000038BF0000}"/>
    <cellStyle name="Normal 8 3 4 3 2 3" xfId="38229" xr:uid="{00000000-0005-0000-0000-000039BF0000}"/>
    <cellStyle name="Normal 8 3 4 3 3" xfId="18813" xr:uid="{00000000-0005-0000-0000-00003ABF0000}"/>
    <cellStyle name="Normal 8 3 4 3 3 2" xfId="44687" xr:uid="{00000000-0005-0000-0000-00003BBF0000}"/>
    <cellStyle name="Normal 8 3 4 3 4" xfId="31771" xr:uid="{00000000-0005-0000-0000-00003CBF0000}"/>
    <cellStyle name="Normal 8 3 4 4" xfId="9126" xr:uid="{00000000-0005-0000-0000-00003DBF0000}"/>
    <cellStyle name="Normal 8 3 4 4 2" xfId="22043" xr:uid="{00000000-0005-0000-0000-00003EBF0000}"/>
    <cellStyle name="Normal 8 3 4 4 2 2" xfId="47917" xr:uid="{00000000-0005-0000-0000-00003FBF0000}"/>
    <cellStyle name="Normal 8 3 4 4 3" xfId="35001" xr:uid="{00000000-0005-0000-0000-000040BF0000}"/>
    <cellStyle name="Normal 8 3 4 5" xfId="15585" xr:uid="{00000000-0005-0000-0000-000041BF0000}"/>
    <cellStyle name="Normal 8 3 4 5 2" xfId="41459" xr:uid="{00000000-0005-0000-0000-000042BF0000}"/>
    <cellStyle name="Normal 8 3 4 6" xfId="28511" xr:uid="{00000000-0005-0000-0000-000043BF0000}"/>
    <cellStyle name="Normal 8 3 5" xfId="3448" xr:uid="{00000000-0005-0000-0000-000044BF0000}"/>
    <cellStyle name="Normal 8 3 5 2" xfId="6702" xr:uid="{00000000-0005-0000-0000-000045BF0000}"/>
    <cellStyle name="Normal 8 3 5 2 2" xfId="13161" xr:uid="{00000000-0005-0000-0000-000046BF0000}"/>
    <cellStyle name="Normal 8 3 5 2 2 2" xfId="26078" xr:uid="{00000000-0005-0000-0000-000047BF0000}"/>
    <cellStyle name="Normal 8 3 5 2 2 2 2" xfId="51952" xr:uid="{00000000-0005-0000-0000-000048BF0000}"/>
    <cellStyle name="Normal 8 3 5 2 2 3" xfId="39036" xr:uid="{00000000-0005-0000-0000-000049BF0000}"/>
    <cellStyle name="Normal 8 3 5 2 3" xfId="19620" xr:uid="{00000000-0005-0000-0000-00004ABF0000}"/>
    <cellStyle name="Normal 8 3 5 2 3 2" xfId="45494" xr:uid="{00000000-0005-0000-0000-00004BBF0000}"/>
    <cellStyle name="Normal 8 3 5 2 4" xfId="32578" xr:uid="{00000000-0005-0000-0000-00004CBF0000}"/>
    <cellStyle name="Normal 8 3 5 3" xfId="9933" xr:uid="{00000000-0005-0000-0000-00004DBF0000}"/>
    <cellStyle name="Normal 8 3 5 3 2" xfId="22850" xr:uid="{00000000-0005-0000-0000-00004EBF0000}"/>
    <cellStyle name="Normal 8 3 5 3 2 2" xfId="48724" xr:uid="{00000000-0005-0000-0000-00004FBF0000}"/>
    <cellStyle name="Normal 8 3 5 3 3" xfId="35808" xr:uid="{00000000-0005-0000-0000-000050BF0000}"/>
    <cellStyle name="Normal 8 3 5 4" xfId="16392" xr:uid="{00000000-0005-0000-0000-000051BF0000}"/>
    <cellStyle name="Normal 8 3 5 4 2" xfId="42266" xr:uid="{00000000-0005-0000-0000-000052BF0000}"/>
    <cellStyle name="Normal 8 3 5 5" xfId="29318" xr:uid="{00000000-0005-0000-0000-000053BF0000}"/>
    <cellStyle name="Normal 8 3 6" xfId="5088" xr:uid="{00000000-0005-0000-0000-000054BF0000}"/>
    <cellStyle name="Normal 8 3 6 2" xfId="11547" xr:uid="{00000000-0005-0000-0000-000055BF0000}"/>
    <cellStyle name="Normal 8 3 6 2 2" xfId="24464" xr:uid="{00000000-0005-0000-0000-000056BF0000}"/>
    <cellStyle name="Normal 8 3 6 2 2 2" xfId="50338" xr:uid="{00000000-0005-0000-0000-000057BF0000}"/>
    <cellStyle name="Normal 8 3 6 2 3" xfId="37422" xr:uid="{00000000-0005-0000-0000-000058BF0000}"/>
    <cellStyle name="Normal 8 3 6 3" xfId="18006" xr:uid="{00000000-0005-0000-0000-000059BF0000}"/>
    <cellStyle name="Normal 8 3 6 3 2" xfId="43880" xr:uid="{00000000-0005-0000-0000-00005ABF0000}"/>
    <cellStyle name="Normal 8 3 6 4" xfId="30964" xr:uid="{00000000-0005-0000-0000-00005BBF0000}"/>
    <cellStyle name="Normal 8 3 7" xfId="8318" xr:uid="{00000000-0005-0000-0000-00005CBF0000}"/>
    <cellStyle name="Normal 8 3 7 2" xfId="21235" xr:uid="{00000000-0005-0000-0000-00005DBF0000}"/>
    <cellStyle name="Normal 8 3 7 2 2" xfId="47109" xr:uid="{00000000-0005-0000-0000-00005EBF0000}"/>
    <cellStyle name="Normal 8 3 7 3" xfId="34193" xr:uid="{00000000-0005-0000-0000-00005FBF0000}"/>
    <cellStyle name="Normal 8 3 8" xfId="14777" xr:uid="{00000000-0005-0000-0000-000060BF0000}"/>
    <cellStyle name="Normal 8 3 8 2" xfId="40651" xr:uid="{00000000-0005-0000-0000-000061BF0000}"/>
    <cellStyle name="Normal 8 3 9" xfId="27701" xr:uid="{00000000-0005-0000-0000-000062BF0000}"/>
    <cellStyle name="Normal 8 4" xfId="994" xr:uid="{00000000-0005-0000-0000-000063BF0000}"/>
    <cellStyle name="Normal 8 5" xfId="1358" xr:uid="{00000000-0005-0000-0000-000064BF0000}"/>
    <cellStyle name="Normal 8 6" xfId="202" xr:uid="{00000000-0005-0000-0000-000065BF0000}"/>
    <cellStyle name="Normal 9" xfId="12" xr:uid="{00000000-0005-0000-0000-000066BF0000}"/>
    <cellStyle name="Normal 9 2" xfId="69" xr:uid="{00000000-0005-0000-0000-000067BF0000}"/>
    <cellStyle name="Normal 9 2 2" xfId="999" xr:uid="{00000000-0005-0000-0000-000068BF0000}"/>
    <cellStyle name="Normal 9 3" xfId="998" xr:uid="{00000000-0005-0000-0000-000069BF0000}"/>
    <cellStyle name="Normalny_FDB Quest - Parenting support" xfId="13" xr:uid="{00000000-0005-0000-0000-00006ABF0000}"/>
    <cellStyle name="Note 10" xfId="1516" xr:uid="{00000000-0005-0000-0000-00006BBF0000}"/>
    <cellStyle name="Note 11" xfId="1409" xr:uid="{00000000-0005-0000-0000-00006CBF0000}"/>
    <cellStyle name="Note 12" xfId="1651" xr:uid="{00000000-0005-0000-0000-00006DBF0000}"/>
    <cellStyle name="Note 12 10" xfId="53567" xr:uid="{00000000-0005-0000-0000-00006EBF0000}"/>
    <cellStyle name="Note 12 2" xfId="1976" xr:uid="{00000000-0005-0000-0000-00006FBF0000}"/>
    <cellStyle name="Note 12 2 2" xfId="2407" xr:uid="{00000000-0005-0000-0000-000070BF0000}"/>
    <cellStyle name="Note 12 2 2 2" xfId="3220" xr:uid="{00000000-0005-0000-0000-000071BF0000}"/>
    <cellStyle name="Note 12 2 2 2 2" xfId="4877" xr:uid="{00000000-0005-0000-0000-000072BF0000}"/>
    <cellStyle name="Note 12 2 2 2 2 2" xfId="8108" xr:uid="{00000000-0005-0000-0000-000073BF0000}"/>
    <cellStyle name="Note 12 2 2 2 2 2 2" xfId="14567" xr:uid="{00000000-0005-0000-0000-000074BF0000}"/>
    <cellStyle name="Note 12 2 2 2 2 2 2 2" xfId="27484" xr:uid="{00000000-0005-0000-0000-000075BF0000}"/>
    <cellStyle name="Note 12 2 2 2 2 2 2 2 2" xfId="53358" xr:uid="{00000000-0005-0000-0000-000076BF0000}"/>
    <cellStyle name="Note 12 2 2 2 2 2 2 3" xfId="40442" xr:uid="{00000000-0005-0000-0000-000077BF0000}"/>
    <cellStyle name="Note 12 2 2 2 2 2 3" xfId="21026" xr:uid="{00000000-0005-0000-0000-000078BF0000}"/>
    <cellStyle name="Note 12 2 2 2 2 2 3 2" xfId="46900" xr:uid="{00000000-0005-0000-0000-000079BF0000}"/>
    <cellStyle name="Note 12 2 2 2 2 2 4" xfId="33984" xr:uid="{00000000-0005-0000-0000-00007ABF0000}"/>
    <cellStyle name="Note 12 2 2 2 2 3" xfId="11339" xr:uid="{00000000-0005-0000-0000-00007BBF0000}"/>
    <cellStyle name="Note 12 2 2 2 2 3 2" xfId="24256" xr:uid="{00000000-0005-0000-0000-00007CBF0000}"/>
    <cellStyle name="Note 12 2 2 2 2 3 2 2" xfId="50130" xr:uid="{00000000-0005-0000-0000-00007DBF0000}"/>
    <cellStyle name="Note 12 2 2 2 2 3 3" xfId="37214" xr:uid="{00000000-0005-0000-0000-00007EBF0000}"/>
    <cellStyle name="Note 12 2 2 2 2 4" xfId="17798" xr:uid="{00000000-0005-0000-0000-00007FBF0000}"/>
    <cellStyle name="Note 12 2 2 2 2 4 2" xfId="43672" xr:uid="{00000000-0005-0000-0000-000080BF0000}"/>
    <cellStyle name="Note 12 2 2 2 2 5" xfId="30724" xr:uid="{00000000-0005-0000-0000-000081BF0000}"/>
    <cellStyle name="Note 12 2 2 2 3" xfId="6494" xr:uid="{00000000-0005-0000-0000-000082BF0000}"/>
    <cellStyle name="Note 12 2 2 2 3 2" xfId="12953" xr:uid="{00000000-0005-0000-0000-000083BF0000}"/>
    <cellStyle name="Note 12 2 2 2 3 2 2" xfId="25870" xr:uid="{00000000-0005-0000-0000-000084BF0000}"/>
    <cellStyle name="Note 12 2 2 2 3 2 2 2" xfId="51744" xr:uid="{00000000-0005-0000-0000-000085BF0000}"/>
    <cellStyle name="Note 12 2 2 2 3 2 3" xfId="38828" xr:uid="{00000000-0005-0000-0000-000086BF0000}"/>
    <cellStyle name="Note 12 2 2 2 3 3" xfId="19412" xr:uid="{00000000-0005-0000-0000-000087BF0000}"/>
    <cellStyle name="Note 12 2 2 2 3 3 2" xfId="45286" xr:uid="{00000000-0005-0000-0000-000088BF0000}"/>
    <cellStyle name="Note 12 2 2 2 3 4" xfId="32370" xr:uid="{00000000-0005-0000-0000-000089BF0000}"/>
    <cellStyle name="Note 12 2 2 2 4" xfId="9725" xr:uid="{00000000-0005-0000-0000-00008ABF0000}"/>
    <cellStyle name="Note 12 2 2 2 4 2" xfId="22642" xr:uid="{00000000-0005-0000-0000-00008BBF0000}"/>
    <cellStyle name="Note 12 2 2 2 4 2 2" xfId="48516" xr:uid="{00000000-0005-0000-0000-00008CBF0000}"/>
    <cellStyle name="Note 12 2 2 2 4 3" xfId="35600" xr:uid="{00000000-0005-0000-0000-00008DBF0000}"/>
    <cellStyle name="Note 12 2 2 2 5" xfId="16184" xr:uid="{00000000-0005-0000-0000-00008EBF0000}"/>
    <cellStyle name="Note 12 2 2 2 5 2" xfId="42058" xr:uid="{00000000-0005-0000-0000-00008FBF0000}"/>
    <cellStyle name="Note 12 2 2 2 6" xfId="29110" xr:uid="{00000000-0005-0000-0000-000090BF0000}"/>
    <cellStyle name="Note 12 2 2 3" xfId="4047" xr:uid="{00000000-0005-0000-0000-000091BF0000}"/>
    <cellStyle name="Note 12 2 2 3 2" xfId="7301" xr:uid="{00000000-0005-0000-0000-000092BF0000}"/>
    <cellStyle name="Note 12 2 2 3 2 2" xfId="13760" xr:uid="{00000000-0005-0000-0000-000093BF0000}"/>
    <cellStyle name="Note 12 2 2 3 2 2 2" xfId="26677" xr:uid="{00000000-0005-0000-0000-000094BF0000}"/>
    <cellStyle name="Note 12 2 2 3 2 2 2 2" xfId="52551" xr:uid="{00000000-0005-0000-0000-000095BF0000}"/>
    <cellStyle name="Note 12 2 2 3 2 2 3" xfId="39635" xr:uid="{00000000-0005-0000-0000-000096BF0000}"/>
    <cellStyle name="Note 12 2 2 3 2 3" xfId="20219" xr:uid="{00000000-0005-0000-0000-000097BF0000}"/>
    <cellStyle name="Note 12 2 2 3 2 3 2" xfId="46093" xr:uid="{00000000-0005-0000-0000-000098BF0000}"/>
    <cellStyle name="Note 12 2 2 3 2 4" xfId="33177" xr:uid="{00000000-0005-0000-0000-000099BF0000}"/>
    <cellStyle name="Note 12 2 2 3 3" xfId="10532" xr:uid="{00000000-0005-0000-0000-00009ABF0000}"/>
    <cellStyle name="Note 12 2 2 3 3 2" xfId="23449" xr:uid="{00000000-0005-0000-0000-00009BBF0000}"/>
    <cellStyle name="Note 12 2 2 3 3 2 2" xfId="49323" xr:uid="{00000000-0005-0000-0000-00009CBF0000}"/>
    <cellStyle name="Note 12 2 2 3 3 3" xfId="36407" xr:uid="{00000000-0005-0000-0000-00009DBF0000}"/>
    <cellStyle name="Note 12 2 2 3 4" xfId="16991" xr:uid="{00000000-0005-0000-0000-00009EBF0000}"/>
    <cellStyle name="Note 12 2 2 3 4 2" xfId="42865" xr:uid="{00000000-0005-0000-0000-00009FBF0000}"/>
    <cellStyle name="Note 12 2 2 3 5" xfId="29917" xr:uid="{00000000-0005-0000-0000-0000A0BF0000}"/>
    <cellStyle name="Note 12 2 2 4" xfId="5687" xr:uid="{00000000-0005-0000-0000-0000A1BF0000}"/>
    <cellStyle name="Note 12 2 2 4 2" xfId="12146" xr:uid="{00000000-0005-0000-0000-0000A2BF0000}"/>
    <cellStyle name="Note 12 2 2 4 2 2" xfId="25063" xr:uid="{00000000-0005-0000-0000-0000A3BF0000}"/>
    <cellStyle name="Note 12 2 2 4 2 2 2" xfId="50937" xr:uid="{00000000-0005-0000-0000-0000A4BF0000}"/>
    <cellStyle name="Note 12 2 2 4 2 3" xfId="38021" xr:uid="{00000000-0005-0000-0000-0000A5BF0000}"/>
    <cellStyle name="Note 12 2 2 4 3" xfId="18605" xr:uid="{00000000-0005-0000-0000-0000A6BF0000}"/>
    <cellStyle name="Note 12 2 2 4 3 2" xfId="44479" xr:uid="{00000000-0005-0000-0000-0000A7BF0000}"/>
    <cellStyle name="Note 12 2 2 4 4" xfId="31563" xr:uid="{00000000-0005-0000-0000-0000A8BF0000}"/>
    <cellStyle name="Note 12 2 2 5" xfId="8918" xr:uid="{00000000-0005-0000-0000-0000A9BF0000}"/>
    <cellStyle name="Note 12 2 2 5 2" xfId="21835" xr:uid="{00000000-0005-0000-0000-0000AABF0000}"/>
    <cellStyle name="Note 12 2 2 5 2 2" xfId="47709" xr:uid="{00000000-0005-0000-0000-0000ABBF0000}"/>
    <cellStyle name="Note 12 2 2 5 3" xfId="34793" xr:uid="{00000000-0005-0000-0000-0000ACBF0000}"/>
    <cellStyle name="Note 12 2 2 6" xfId="15377" xr:uid="{00000000-0005-0000-0000-0000ADBF0000}"/>
    <cellStyle name="Note 12 2 2 6 2" xfId="41251" xr:uid="{00000000-0005-0000-0000-0000AEBF0000}"/>
    <cellStyle name="Note 12 2 2 7" xfId="28303" xr:uid="{00000000-0005-0000-0000-0000AFBF0000}"/>
    <cellStyle name="Note 12 2 2 8" xfId="54165" xr:uid="{00000000-0005-0000-0000-0000B0BF0000}"/>
    <cellStyle name="Note 12 2 3" xfId="2816" xr:uid="{00000000-0005-0000-0000-0000B1BF0000}"/>
    <cellStyle name="Note 12 2 3 2" xfId="4473" xr:uid="{00000000-0005-0000-0000-0000B2BF0000}"/>
    <cellStyle name="Note 12 2 3 2 2" xfId="7704" xr:uid="{00000000-0005-0000-0000-0000B3BF0000}"/>
    <cellStyle name="Note 12 2 3 2 2 2" xfId="14163" xr:uid="{00000000-0005-0000-0000-0000B4BF0000}"/>
    <cellStyle name="Note 12 2 3 2 2 2 2" xfId="27080" xr:uid="{00000000-0005-0000-0000-0000B5BF0000}"/>
    <cellStyle name="Note 12 2 3 2 2 2 2 2" xfId="52954" xr:uid="{00000000-0005-0000-0000-0000B6BF0000}"/>
    <cellStyle name="Note 12 2 3 2 2 2 3" xfId="40038" xr:uid="{00000000-0005-0000-0000-0000B7BF0000}"/>
    <cellStyle name="Note 12 2 3 2 2 3" xfId="20622" xr:uid="{00000000-0005-0000-0000-0000B8BF0000}"/>
    <cellStyle name="Note 12 2 3 2 2 3 2" xfId="46496" xr:uid="{00000000-0005-0000-0000-0000B9BF0000}"/>
    <cellStyle name="Note 12 2 3 2 2 4" xfId="33580" xr:uid="{00000000-0005-0000-0000-0000BABF0000}"/>
    <cellStyle name="Note 12 2 3 2 3" xfId="10935" xr:uid="{00000000-0005-0000-0000-0000BBBF0000}"/>
    <cellStyle name="Note 12 2 3 2 3 2" xfId="23852" xr:uid="{00000000-0005-0000-0000-0000BCBF0000}"/>
    <cellStyle name="Note 12 2 3 2 3 2 2" xfId="49726" xr:uid="{00000000-0005-0000-0000-0000BDBF0000}"/>
    <cellStyle name="Note 12 2 3 2 3 3" xfId="36810" xr:uid="{00000000-0005-0000-0000-0000BEBF0000}"/>
    <cellStyle name="Note 12 2 3 2 4" xfId="17394" xr:uid="{00000000-0005-0000-0000-0000BFBF0000}"/>
    <cellStyle name="Note 12 2 3 2 4 2" xfId="43268" xr:uid="{00000000-0005-0000-0000-0000C0BF0000}"/>
    <cellStyle name="Note 12 2 3 2 5" xfId="30320" xr:uid="{00000000-0005-0000-0000-0000C1BF0000}"/>
    <cellStyle name="Note 12 2 3 3" xfId="6090" xr:uid="{00000000-0005-0000-0000-0000C2BF0000}"/>
    <cellStyle name="Note 12 2 3 3 2" xfId="12549" xr:uid="{00000000-0005-0000-0000-0000C3BF0000}"/>
    <cellStyle name="Note 12 2 3 3 2 2" xfId="25466" xr:uid="{00000000-0005-0000-0000-0000C4BF0000}"/>
    <cellStyle name="Note 12 2 3 3 2 2 2" xfId="51340" xr:uid="{00000000-0005-0000-0000-0000C5BF0000}"/>
    <cellStyle name="Note 12 2 3 3 2 3" xfId="38424" xr:uid="{00000000-0005-0000-0000-0000C6BF0000}"/>
    <cellStyle name="Note 12 2 3 3 3" xfId="19008" xr:uid="{00000000-0005-0000-0000-0000C7BF0000}"/>
    <cellStyle name="Note 12 2 3 3 3 2" xfId="44882" xr:uid="{00000000-0005-0000-0000-0000C8BF0000}"/>
    <cellStyle name="Note 12 2 3 3 4" xfId="31966" xr:uid="{00000000-0005-0000-0000-0000C9BF0000}"/>
    <cellStyle name="Note 12 2 3 4" xfId="9321" xr:uid="{00000000-0005-0000-0000-0000CABF0000}"/>
    <cellStyle name="Note 12 2 3 4 2" xfId="22238" xr:uid="{00000000-0005-0000-0000-0000CBBF0000}"/>
    <cellStyle name="Note 12 2 3 4 2 2" xfId="48112" xr:uid="{00000000-0005-0000-0000-0000CCBF0000}"/>
    <cellStyle name="Note 12 2 3 4 3" xfId="35196" xr:uid="{00000000-0005-0000-0000-0000CDBF0000}"/>
    <cellStyle name="Note 12 2 3 5" xfId="15780" xr:uid="{00000000-0005-0000-0000-0000CEBF0000}"/>
    <cellStyle name="Note 12 2 3 5 2" xfId="41654" xr:uid="{00000000-0005-0000-0000-0000CFBF0000}"/>
    <cellStyle name="Note 12 2 3 6" xfId="28706" xr:uid="{00000000-0005-0000-0000-0000D0BF0000}"/>
    <cellStyle name="Note 12 2 4" xfId="3643" xr:uid="{00000000-0005-0000-0000-0000D1BF0000}"/>
    <cellStyle name="Note 12 2 4 2" xfId="6897" xr:uid="{00000000-0005-0000-0000-0000D2BF0000}"/>
    <cellStyle name="Note 12 2 4 2 2" xfId="13356" xr:uid="{00000000-0005-0000-0000-0000D3BF0000}"/>
    <cellStyle name="Note 12 2 4 2 2 2" xfId="26273" xr:uid="{00000000-0005-0000-0000-0000D4BF0000}"/>
    <cellStyle name="Note 12 2 4 2 2 2 2" xfId="52147" xr:uid="{00000000-0005-0000-0000-0000D5BF0000}"/>
    <cellStyle name="Note 12 2 4 2 2 3" xfId="39231" xr:uid="{00000000-0005-0000-0000-0000D6BF0000}"/>
    <cellStyle name="Note 12 2 4 2 3" xfId="19815" xr:uid="{00000000-0005-0000-0000-0000D7BF0000}"/>
    <cellStyle name="Note 12 2 4 2 3 2" xfId="45689" xr:uid="{00000000-0005-0000-0000-0000D8BF0000}"/>
    <cellStyle name="Note 12 2 4 2 4" xfId="32773" xr:uid="{00000000-0005-0000-0000-0000D9BF0000}"/>
    <cellStyle name="Note 12 2 4 3" xfId="10128" xr:uid="{00000000-0005-0000-0000-0000DABF0000}"/>
    <cellStyle name="Note 12 2 4 3 2" xfId="23045" xr:uid="{00000000-0005-0000-0000-0000DBBF0000}"/>
    <cellStyle name="Note 12 2 4 3 2 2" xfId="48919" xr:uid="{00000000-0005-0000-0000-0000DCBF0000}"/>
    <cellStyle name="Note 12 2 4 3 3" xfId="36003" xr:uid="{00000000-0005-0000-0000-0000DDBF0000}"/>
    <cellStyle name="Note 12 2 4 4" xfId="16587" xr:uid="{00000000-0005-0000-0000-0000DEBF0000}"/>
    <cellStyle name="Note 12 2 4 4 2" xfId="42461" xr:uid="{00000000-0005-0000-0000-0000DFBF0000}"/>
    <cellStyle name="Note 12 2 4 5" xfId="29513" xr:uid="{00000000-0005-0000-0000-0000E0BF0000}"/>
    <cellStyle name="Note 12 2 5" xfId="5283" xr:uid="{00000000-0005-0000-0000-0000E1BF0000}"/>
    <cellStyle name="Note 12 2 5 2" xfId="11742" xr:uid="{00000000-0005-0000-0000-0000E2BF0000}"/>
    <cellStyle name="Note 12 2 5 2 2" xfId="24659" xr:uid="{00000000-0005-0000-0000-0000E3BF0000}"/>
    <cellStyle name="Note 12 2 5 2 2 2" xfId="50533" xr:uid="{00000000-0005-0000-0000-0000E4BF0000}"/>
    <cellStyle name="Note 12 2 5 2 3" xfId="37617" xr:uid="{00000000-0005-0000-0000-0000E5BF0000}"/>
    <cellStyle name="Note 12 2 5 3" xfId="18201" xr:uid="{00000000-0005-0000-0000-0000E6BF0000}"/>
    <cellStyle name="Note 12 2 5 3 2" xfId="44075" xr:uid="{00000000-0005-0000-0000-0000E7BF0000}"/>
    <cellStyle name="Note 12 2 5 4" xfId="31159" xr:uid="{00000000-0005-0000-0000-0000E8BF0000}"/>
    <cellStyle name="Note 12 2 6" xfId="8514" xr:uid="{00000000-0005-0000-0000-0000E9BF0000}"/>
    <cellStyle name="Note 12 2 6 2" xfId="21431" xr:uid="{00000000-0005-0000-0000-0000EABF0000}"/>
    <cellStyle name="Note 12 2 6 2 2" xfId="47305" xr:uid="{00000000-0005-0000-0000-0000EBBF0000}"/>
    <cellStyle name="Note 12 2 6 3" xfId="34389" xr:uid="{00000000-0005-0000-0000-0000ECBF0000}"/>
    <cellStyle name="Note 12 2 7" xfId="14973" xr:uid="{00000000-0005-0000-0000-0000EDBF0000}"/>
    <cellStyle name="Note 12 2 7 2" xfId="40847" xr:uid="{00000000-0005-0000-0000-0000EEBF0000}"/>
    <cellStyle name="Note 12 2 8" xfId="27898" xr:uid="{00000000-0005-0000-0000-0000EFBF0000}"/>
    <cellStyle name="Note 12 2 9" xfId="53761" xr:uid="{00000000-0005-0000-0000-0000F0BF0000}"/>
    <cellStyle name="Note 12 3" xfId="2211" xr:uid="{00000000-0005-0000-0000-0000F1BF0000}"/>
    <cellStyle name="Note 12 3 2" xfId="3025" xr:uid="{00000000-0005-0000-0000-0000F2BF0000}"/>
    <cellStyle name="Note 12 3 2 2" xfId="4682" xr:uid="{00000000-0005-0000-0000-0000F3BF0000}"/>
    <cellStyle name="Note 12 3 2 2 2" xfId="7913" xr:uid="{00000000-0005-0000-0000-0000F4BF0000}"/>
    <cellStyle name="Note 12 3 2 2 2 2" xfId="14372" xr:uid="{00000000-0005-0000-0000-0000F5BF0000}"/>
    <cellStyle name="Note 12 3 2 2 2 2 2" xfId="27289" xr:uid="{00000000-0005-0000-0000-0000F6BF0000}"/>
    <cellStyle name="Note 12 3 2 2 2 2 2 2" xfId="53163" xr:uid="{00000000-0005-0000-0000-0000F7BF0000}"/>
    <cellStyle name="Note 12 3 2 2 2 2 3" xfId="40247" xr:uid="{00000000-0005-0000-0000-0000F8BF0000}"/>
    <cellStyle name="Note 12 3 2 2 2 3" xfId="20831" xr:uid="{00000000-0005-0000-0000-0000F9BF0000}"/>
    <cellStyle name="Note 12 3 2 2 2 3 2" xfId="46705" xr:uid="{00000000-0005-0000-0000-0000FABF0000}"/>
    <cellStyle name="Note 12 3 2 2 2 4" xfId="33789" xr:uid="{00000000-0005-0000-0000-0000FBBF0000}"/>
    <cellStyle name="Note 12 3 2 2 3" xfId="11144" xr:uid="{00000000-0005-0000-0000-0000FCBF0000}"/>
    <cellStyle name="Note 12 3 2 2 3 2" xfId="24061" xr:uid="{00000000-0005-0000-0000-0000FDBF0000}"/>
    <cellStyle name="Note 12 3 2 2 3 2 2" xfId="49935" xr:uid="{00000000-0005-0000-0000-0000FEBF0000}"/>
    <cellStyle name="Note 12 3 2 2 3 3" xfId="37019" xr:uid="{00000000-0005-0000-0000-0000FFBF0000}"/>
    <cellStyle name="Note 12 3 2 2 4" xfId="17603" xr:uid="{00000000-0005-0000-0000-000000C00000}"/>
    <cellStyle name="Note 12 3 2 2 4 2" xfId="43477" xr:uid="{00000000-0005-0000-0000-000001C00000}"/>
    <cellStyle name="Note 12 3 2 2 5" xfId="30529" xr:uid="{00000000-0005-0000-0000-000002C00000}"/>
    <cellStyle name="Note 12 3 2 3" xfId="6299" xr:uid="{00000000-0005-0000-0000-000003C00000}"/>
    <cellStyle name="Note 12 3 2 3 2" xfId="12758" xr:uid="{00000000-0005-0000-0000-000004C00000}"/>
    <cellStyle name="Note 12 3 2 3 2 2" xfId="25675" xr:uid="{00000000-0005-0000-0000-000005C00000}"/>
    <cellStyle name="Note 12 3 2 3 2 2 2" xfId="51549" xr:uid="{00000000-0005-0000-0000-000006C00000}"/>
    <cellStyle name="Note 12 3 2 3 2 3" xfId="38633" xr:uid="{00000000-0005-0000-0000-000007C00000}"/>
    <cellStyle name="Note 12 3 2 3 3" xfId="19217" xr:uid="{00000000-0005-0000-0000-000008C00000}"/>
    <cellStyle name="Note 12 3 2 3 3 2" xfId="45091" xr:uid="{00000000-0005-0000-0000-000009C00000}"/>
    <cellStyle name="Note 12 3 2 3 4" xfId="32175" xr:uid="{00000000-0005-0000-0000-00000AC00000}"/>
    <cellStyle name="Note 12 3 2 4" xfId="9530" xr:uid="{00000000-0005-0000-0000-00000BC00000}"/>
    <cellStyle name="Note 12 3 2 4 2" xfId="22447" xr:uid="{00000000-0005-0000-0000-00000CC00000}"/>
    <cellStyle name="Note 12 3 2 4 2 2" xfId="48321" xr:uid="{00000000-0005-0000-0000-00000DC00000}"/>
    <cellStyle name="Note 12 3 2 4 3" xfId="35405" xr:uid="{00000000-0005-0000-0000-00000EC00000}"/>
    <cellStyle name="Note 12 3 2 5" xfId="15989" xr:uid="{00000000-0005-0000-0000-00000FC00000}"/>
    <cellStyle name="Note 12 3 2 5 2" xfId="41863" xr:uid="{00000000-0005-0000-0000-000010C00000}"/>
    <cellStyle name="Note 12 3 2 6" xfId="28915" xr:uid="{00000000-0005-0000-0000-000011C00000}"/>
    <cellStyle name="Note 12 3 3" xfId="3852" xr:uid="{00000000-0005-0000-0000-000012C00000}"/>
    <cellStyle name="Note 12 3 3 2" xfId="7106" xr:uid="{00000000-0005-0000-0000-000013C00000}"/>
    <cellStyle name="Note 12 3 3 2 2" xfId="13565" xr:uid="{00000000-0005-0000-0000-000014C00000}"/>
    <cellStyle name="Note 12 3 3 2 2 2" xfId="26482" xr:uid="{00000000-0005-0000-0000-000015C00000}"/>
    <cellStyle name="Note 12 3 3 2 2 2 2" xfId="52356" xr:uid="{00000000-0005-0000-0000-000016C00000}"/>
    <cellStyle name="Note 12 3 3 2 2 3" xfId="39440" xr:uid="{00000000-0005-0000-0000-000017C00000}"/>
    <cellStyle name="Note 12 3 3 2 3" xfId="20024" xr:uid="{00000000-0005-0000-0000-000018C00000}"/>
    <cellStyle name="Note 12 3 3 2 3 2" xfId="45898" xr:uid="{00000000-0005-0000-0000-000019C00000}"/>
    <cellStyle name="Note 12 3 3 2 4" xfId="32982" xr:uid="{00000000-0005-0000-0000-00001AC00000}"/>
    <cellStyle name="Note 12 3 3 3" xfId="10337" xr:uid="{00000000-0005-0000-0000-00001BC00000}"/>
    <cellStyle name="Note 12 3 3 3 2" xfId="23254" xr:uid="{00000000-0005-0000-0000-00001CC00000}"/>
    <cellStyle name="Note 12 3 3 3 2 2" xfId="49128" xr:uid="{00000000-0005-0000-0000-00001DC00000}"/>
    <cellStyle name="Note 12 3 3 3 3" xfId="36212" xr:uid="{00000000-0005-0000-0000-00001EC00000}"/>
    <cellStyle name="Note 12 3 3 4" xfId="16796" xr:uid="{00000000-0005-0000-0000-00001FC00000}"/>
    <cellStyle name="Note 12 3 3 4 2" xfId="42670" xr:uid="{00000000-0005-0000-0000-000020C00000}"/>
    <cellStyle name="Note 12 3 3 5" xfId="29722" xr:uid="{00000000-0005-0000-0000-000021C00000}"/>
    <cellStyle name="Note 12 3 4" xfId="5492" xr:uid="{00000000-0005-0000-0000-000022C00000}"/>
    <cellStyle name="Note 12 3 4 2" xfId="11951" xr:uid="{00000000-0005-0000-0000-000023C00000}"/>
    <cellStyle name="Note 12 3 4 2 2" xfId="24868" xr:uid="{00000000-0005-0000-0000-000024C00000}"/>
    <cellStyle name="Note 12 3 4 2 2 2" xfId="50742" xr:uid="{00000000-0005-0000-0000-000025C00000}"/>
    <cellStyle name="Note 12 3 4 2 3" xfId="37826" xr:uid="{00000000-0005-0000-0000-000026C00000}"/>
    <cellStyle name="Note 12 3 4 3" xfId="18410" xr:uid="{00000000-0005-0000-0000-000027C00000}"/>
    <cellStyle name="Note 12 3 4 3 2" xfId="44284" xr:uid="{00000000-0005-0000-0000-000028C00000}"/>
    <cellStyle name="Note 12 3 4 4" xfId="31368" xr:uid="{00000000-0005-0000-0000-000029C00000}"/>
    <cellStyle name="Note 12 3 5" xfId="8723" xr:uid="{00000000-0005-0000-0000-00002AC00000}"/>
    <cellStyle name="Note 12 3 5 2" xfId="21640" xr:uid="{00000000-0005-0000-0000-00002BC00000}"/>
    <cellStyle name="Note 12 3 5 2 2" xfId="47514" xr:uid="{00000000-0005-0000-0000-00002CC00000}"/>
    <cellStyle name="Note 12 3 5 3" xfId="34598" xr:uid="{00000000-0005-0000-0000-00002DC00000}"/>
    <cellStyle name="Note 12 3 6" xfId="15182" xr:uid="{00000000-0005-0000-0000-00002EC00000}"/>
    <cellStyle name="Note 12 3 6 2" xfId="41056" xr:uid="{00000000-0005-0000-0000-00002FC00000}"/>
    <cellStyle name="Note 12 3 7" xfId="28108" xr:uid="{00000000-0005-0000-0000-000030C00000}"/>
    <cellStyle name="Note 12 3 8" xfId="53970" xr:uid="{00000000-0005-0000-0000-000031C00000}"/>
    <cellStyle name="Note 12 4" xfId="2622" xr:uid="{00000000-0005-0000-0000-000032C00000}"/>
    <cellStyle name="Note 12 4 2" xfId="4279" xr:uid="{00000000-0005-0000-0000-000033C00000}"/>
    <cellStyle name="Note 12 4 2 2" xfId="7510" xr:uid="{00000000-0005-0000-0000-000034C00000}"/>
    <cellStyle name="Note 12 4 2 2 2" xfId="13969" xr:uid="{00000000-0005-0000-0000-000035C00000}"/>
    <cellStyle name="Note 12 4 2 2 2 2" xfId="26886" xr:uid="{00000000-0005-0000-0000-000036C00000}"/>
    <cellStyle name="Note 12 4 2 2 2 2 2" xfId="52760" xr:uid="{00000000-0005-0000-0000-000037C00000}"/>
    <cellStyle name="Note 12 4 2 2 2 3" xfId="39844" xr:uid="{00000000-0005-0000-0000-000038C00000}"/>
    <cellStyle name="Note 12 4 2 2 3" xfId="20428" xr:uid="{00000000-0005-0000-0000-000039C00000}"/>
    <cellStyle name="Note 12 4 2 2 3 2" xfId="46302" xr:uid="{00000000-0005-0000-0000-00003AC00000}"/>
    <cellStyle name="Note 12 4 2 2 4" xfId="33386" xr:uid="{00000000-0005-0000-0000-00003BC00000}"/>
    <cellStyle name="Note 12 4 2 3" xfId="10741" xr:uid="{00000000-0005-0000-0000-00003CC00000}"/>
    <cellStyle name="Note 12 4 2 3 2" xfId="23658" xr:uid="{00000000-0005-0000-0000-00003DC00000}"/>
    <cellStyle name="Note 12 4 2 3 2 2" xfId="49532" xr:uid="{00000000-0005-0000-0000-00003EC00000}"/>
    <cellStyle name="Note 12 4 2 3 3" xfId="36616" xr:uid="{00000000-0005-0000-0000-00003FC00000}"/>
    <cellStyle name="Note 12 4 2 4" xfId="17200" xr:uid="{00000000-0005-0000-0000-000040C00000}"/>
    <cellStyle name="Note 12 4 2 4 2" xfId="43074" xr:uid="{00000000-0005-0000-0000-000041C00000}"/>
    <cellStyle name="Note 12 4 2 5" xfId="30126" xr:uid="{00000000-0005-0000-0000-000042C00000}"/>
    <cellStyle name="Note 12 4 3" xfId="5896" xr:uid="{00000000-0005-0000-0000-000043C00000}"/>
    <cellStyle name="Note 12 4 3 2" xfId="12355" xr:uid="{00000000-0005-0000-0000-000044C00000}"/>
    <cellStyle name="Note 12 4 3 2 2" xfId="25272" xr:uid="{00000000-0005-0000-0000-000045C00000}"/>
    <cellStyle name="Note 12 4 3 2 2 2" xfId="51146" xr:uid="{00000000-0005-0000-0000-000046C00000}"/>
    <cellStyle name="Note 12 4 3 2 3" xfId="38230" xr:uid="{00000000-0005-0000-0000-000047C00000}"/>
    <cellStyle name="Note 12 4 3 3" xfId="18814" xr:uid="{00000000-0005-0000-0000-000048C00000}"/>
    <cellStyle name="Note 12 4 3 3 2" xfId="44688" xr:uid="{00000000-0005-0000-0000-000049C00000}"/>
    <cellStyle name="Note 12 4 3 4" xfId="31772" xr:uid="{00000000-0005-0000-0000-00004AC00000}"/>
    <cellStyle name="Note 12 4 4" xfId="9127" xr:uid="{00000000-0005-0000-0000-00004BC00000}"/>
    <cellStyle name="Note 12 4 4 2" xfId="22044" xr:uid="{00000000-0005-0000-0000-00004CC00000}"/>
    <cellStyle name="Note 12 4 4 2 2" xfId="47918" xr:uid="{00000000-0005-0000-0000-00004DC00000}"/>
    <cellStyle name="Note 12 4 4 3" xfId="35002" xr:uid="{00000000-0005-0000-0000-00004EC00000}"/>
    <cellStyle name="Note 12 4 5" xfId="15586" xr:uid="{00000000-0005-0000-0000-00004FC00000}"/>
    <cellStyle name="Note 12 4 5 2" xfId="41460" xr:uid="{00000000-0005-0000-0000-000050C00000}"/>
    <cellStyle name="Note 12 4 6" xfId="28512" xr:uid="{00000000-0005-0000-0000-000051C00000}"/>
    <cellStyle name="Note 12 5" xfId="3449" xr:uid="{00000000-0005-0000-0000-000052C00000}"/>
    <cellStyle name="Note 12 5 2" xfId="6703" xr:uid="{00000000-0005-0000-0000-000053C00000}"/>
    <cellStyle name="Note 12 5 2 2" xfId="13162" xr:uid="{00000000-0005-0000-0000-000054C00000}"/>
    <cellStyle name="Note 12 5 2 2 2" xfId="26079" xr:uid="{00000000-0005-0000-0000-000055C00000}"/>
    <cellStyle name="Note 12 5 2 2 2 2" xfId="51953" xr:uid="{00000000-0005-0000-0000-000056C00000}"/>
    <cellStyle name="Note 12 5 2 2 3" xfId="39037" xr:uid="{00000000-0005-0000-0000-000057C00000}"/>
    <cellStyle name="Note 12 5 2 3" xfId="19621" xr:uid="{00000000-0005-0000-0000-000058C00000}"/>
    <cellStyle name="Note 12 5 2 3 2" xfId="45495" xr:uid="{00000000-0005-0000-0000-000059C00000}"/>
    <cellStyle name="Note 12 5 2 4" xfId="32579" xr:uid="{00000000-0005-0000-0000-00005AC00000}"/>
    <cellStyle name="Note 12 5 3" xfId="9934" xr:uid="{00000000-0005-0000-0000-00005BC00000}"/>
    <cellStyle name="Note 12 5 3 2" xfId="22851" xr:uid="{00000000-0005-0000-0000-00005CC00000}"/>
    <cellStyle name="Note 12 5 3 2 2" xfId="48725" xr:uid="{00000000-0005-0000-0000-00005DC00000}"/>
    <cellStyle name="Note 12 5 3 3" xfId="35809" xr:uid="{00000000-0005-0000-0000-00005EC00000}"/>
    <cellStyle name="Note 12 5 4" xfId="16393" xr:uid="{00000000-0005-0000-0000-00005FC00000}"/>
    <cellStyle name="Note 12 5 4 2" xfId="42267" xr:uid="{00000000-0005-0000-0000-000060C00000}"/>
    <cellStyle name="Note 12 5 5" xfId="29319" xr:uid="{00000000-0005-0000-0000-000061C00000}"/>
    <cellStyle name="Note 12 6" xfId="5089" xr:uid="{00000000-0005-0000-0000-000062C00000}"/>
    <cellStyle name="Note 12 6 2" xfId="11548" xr:uid="{00000000-0005-0000-0000-000063C00000}"/>
    <cellStyle name="Note 12 6 2 2" xfId="24465" xr:uid="{00000000-0005-0000-0000-000064C00000}"/>
    <cellStyle name="Note 12 6 2 2 2" xfId="50339" xr:uid="{00000000-0005-0000-0000-000065C00000}"/>
    <cellStyle name="Note 12 6 2 3" xfId="37423" xr:uid="{00000000-0005-0000-0000-000066C00000}"/>
    <cellStyle name="Note 12 6 3" xfId="18007" xr:uid="{00000000-0005-0000-0000-000067C00000}"/>
    <cellStyle name="Note 12 6 3 2" xfId="43881" xr:uid="{00000000-0005-0000-0000-000068C00000}"/>
    <cellStyle name="Note 12 6 4" xfId="30965" xr:uid="{00000000-0005-0000-0000-000069C00000}"/>
    <cellStyle name="Note 12 7" xfId="8319" xr:uid="{00000000-0005-0000-0000-00006AC00000}"/>
    <cellStyle name="Note 12 7 2" xfId="21236" xr:uid="{00000000-0005-0000-0000-00006BC00000}"/>
    <cellStyle name="Note 12 7 2 2" xfId="47110" xr:uid="{00000000-0005-0000-0000-00006CC00000}"/>
    <cellStyle name="Note 12 7 3" xfId="34194" xr:uid="{00000000-0005-0000-0000-00006DC00000}"/>
    <cellStyle name="Note 12 8" xfId="14778" xr:uid="{00000000-0005-0000-0000-00006EC00000}"/>
    <cellStyle name="Note 12 8 2" xfId="40652" xr:uid="{00000000-0005-0000-0000-00006FC00000}"/>
    <cellStyle name="Note 12 9" xfId="27702" xr:uid="{00000000-0005-0000-0000-000070C00000}"/>
    <cellStyle name="Note 13" xfId="1756" xr:uid="{00000000-0005-0000-0000-000071C00000}"/>
    <cellStyle name="Note 13 2" xfId="2250" xr:uid="{00000000-0005-0000-0000-000072C00000}"/>
    <cellStyle name="Note 13 2 2" xfId="3064" xr:uid="{00000000-0005-0000-0000-000073C00000}"/>
    <cellStyle name="Note 13 2 2 2" xfId="4721" xr:uid="{00000000-0005-0000-0000-000074C00000}"/>
    <cellStyle name="Note 13 2 2 2 2" xfId="7952" xr:uid="{00000000-0005-0000-0000-000075C00000}"/>
    <cellStyle name="Note 13 2 2 2 2 2" xfId="14411" xr:uid="{00000000-0005-0000-0000-000076C00000}"/>
    <cellStyle name="Note 13 2 2 2 2 2 2" xfId="27328" xr:uid="{00000000-0005-0000-0000-000077C00000}"/>
    <cellStyle name="Note 13 2 2 2 2 2 2 2" xfId="53202" xr:uid="{00000000-0005-0000-0000-000078C00000}"/>
    <cellStyle name="Note 13 2 2 2 2 2 3" xfId="40286" xr:uid="{00000000-0005-0000-0000-000079C00000}"/>
    <cellStyle name="Note 13 2 2 2 2 3" xfId="20870" xr:uid="{00000000-0005-0000-0000-00007AC00000}"/>
    <cellStyle name="Note 13 2 2 2 2 3 2" xfId="46744" xr:uid="{00000000-0005-0000-0000-00007BC00000}"/>
    <cellStyle name="Note 13 2 2 2 2 4" xfId="33828" xr:uid="{00000000-0005-0000-0000-00007CC00000}"/>
    <cellStyle name="Note 13 2 2 2 3" xfId="11183" xr:uid="{00000000-0005-0000-0000-00007DC00000}"/>
    <cellStyle name="Note 13 2 2 2 3 2" xfId="24100" xr:uid="{00000000-0005-0000-0000-00007EC00000}"/>
    <cellStyle name="Note 13 2 2 2 3 2 2" xfId="49974" xr:uid="{00000000-0005-0000-0000-00007FC00000}"/>
    <cellStyle name="Note 13 2 2 2 3 3" xfId="37058" xr:uid="{00000000-0005-0000-0000-000080C00000}"/>
    <cellStyle name="Note 13 2 2 2 4" xfId="17642" xr:uid="{00000000-0005-0000-0000-000081C00000}"/>
    <cellStyle name="Note 13 2 2 2 4 2" xfId="43516" xr:uid="{00000000-0005-0000-0000-000082C00000}"/>
    <cellStyle name="Note 13 2 2 2 5" xfId="30568" xr:uid="{00000000-0005-0000-0000-000083C00000}"/>
    <cellStyle name="Note 13 2 2 3" xfId="6338" xr:uid="{00000000-0005-0000-0000-000084C00000}"/>
    <cellStyle name="Note 13 2 2 3 2" xfId="12797" xr:uid="{00000000-0005-0000-0000-000085C00000}"/>
    <cellStyle name="Note 13 2 2 3 2 2" xfId="25714" xr:uid="{00000000-0005-0000-0000-000086C00000}"/>
    <cellStyle name="Note 13 2 2 3 2 2 2" xfId="51588" xr:uid="{00000000-0005-0000-0000-000087C00000}"/>
    <cellStyle name="Note 13 2 2 3 2 3" xfId="38672" xr:uid="{00000000-0005-0000-0000-000088C00000}"/>
    <cellStyle name="Note 13 2 2 3 3" xfId="19256" xr:uid="{00000000-0005-0000-0000-000089C00000}"/>
    <cellStyle name="Note 13 2 2 3 3 2" xfId="45130" xr:uid="{00000000-0005-0000-0000-00008AC00000}"/>
    <cellStyle name="Note 13 2 2 3 4" xfId="32214" xr:uid="{00000000-0005-0000-0000-00008BC00000}"/>
    <cellStyle name="Note 13 2 2 4" xfId="9569" xr:uid="{00000000-0005-0000-0000-00008CC00000}"/>
    <cellStyle name="Note 13 2 2 4 2" xfId="22486" xr:uid="{00000000-0005-0000-0000-00008DC00000}"/>
    <cellStyle name="Note 13 2 2 4 2 2" xfId="48360" xr:uid="{00000000-0005-0000-0000-00008EC00000}"/>
    <cellStyle name="Note 13 2 2 4 3" xfId="35444" xr:uid="{00000000-0005-0000-0000-00008FC00000}"/>
    <cellStyle name="Note 13 2 2 5" xfId="16028" xr:uid="{00000000-0005-0000-0000-000090C00000}"/>
    <cellStyle name="Note 13 2 2 5 2" xfId="41902" xr:uid="{00000000-0005-0000-0000-000091C00000}"/>
    <cellStyle name="Note 13 2 2 6" xfId="28954" xr:uid="{00000000-0005-0000-0000-000092C00000}"/>
    <cellStyle name="Note 13 2 3" xfId="3891" xr:uid="{00000000-0005-0000-0000-000093C00000}"/>
    <cellStyle name="Note 13 2 3 2" xfId="7145" xr:uid="{00000000-0005-0000-0000-000094C00000}"/>
    <cellStyle name="Note 13 2 3 2 2" xfId="13604" xr:uid="{00000000-0005-0000-0000-000095C00000}"/>
    <cellStyle name="Note 13 2 3 2 2 2" xfId="26521" xr:uid="{00000000-0005-0000-0000-000096C00000}"/>
    <cellStyle name="Note 13 2 3 2 2 2 2" xfId="52395" xr:uid="{00000000-0005-0000-0000-000097C00000}"/>
    <cellStyle name="Note 13 2 3 2 2 3" xfId="39479" xr:uid="{00000000-0005-0000-0000-000098C00000}"/>
    <cellStyle name="Note 13 2 3 2 3" xfId="20063" xr:uid="{00000000-0005-0000-0000-000099C00000}"/>
    <cellStyle name="Note 13 2 3 2 3 2" xfId="45937" xr:uid="{00000000-0005-0000-0000-00009AC00000}"/>
    <cellStyle name="Note 13 2 3 2 4" xfId="33021" xr:uid="{00000000-0005-0000-0000-00009BC00000}"/>
    <cellStyle name="Note 13 2 3 3" xfId="10376" xr:uid="{00000000-0005-0000-0000-00009CC00000}"/>
    <cellStyle name="Note 13 2 3 3 2" xfId="23293" xr:uid="{00000000-0005-0000-0000-00009DC00000}"/>
    <cellStyle name="Note 13 2 3 3 2 2" xfId="49167" xr:uid="{00000000-0005-0000-0000-00009EC00000}"/>
    <cellStyle name="Note 13 2 3 3 3" xfId="36251" xr:uid="{00000000-0005-0000-0000-00009FC00000}"/>
    <cellStyle name="Note 13 2 3 4" xfId="16835" xr:uid="{00000000-0005-0000-0000-0000A0C00000}"/>
    <cellStyle name="Note 13 2 3 4 2" xfId="42709" xr:uid="{00000000-0005-0000-0000-0000A1C00000}"/>
    <cellStyle name="Note 13 2 3 5" xfId="29761" xr:uid="{00000000-0005-0000-0000-0000A2C00000}"/>
    <cellStyle name="Note 13 2 4" xfId="5531" xr:uid="{00000000-0005-0000-0000-0000A3C00000}"/>
    <cellStyle name="Note 13 2 4 2" xfId="11990" xr:uid="{00000000-0005-0000-0000-0000A4C00000}"/>
    <cellStyle name="Note 13 2 4 2 2" xfId="24907" xr:uid="{00000000-0005-0000-0000-0000A5C00000}"/>
    <cellStyle name="Note 13 2 4 2 2 2" xfId="50781" xr:uid="{00000000-0005-0000-0000-0000A6C00000}"/>
    <cellStyle name="Note 13 2 4 2 3" xfId="37865" xr:uid="{00000000-0005-0000-0000-0000A7C00000}"/>
    <cellStyle name="Note 13 2 4 3" xfId="18449" xr:uid="{00000000-0005-0000-0000-0000A8C00000}"/>
    <cellStyle name="Note 13 2 4 3 2" xfId="44323" xr:uid="{00000000-0005-0000-0000-0000A9C00000}"/>
    <cellStyle name="Note 13 2 4 4" xfId="31407" xr:uid="{00000000-0005-0000-0000-0000AAC00000}"/>
    <cellStyle name="Note 13 2 5" xfId="8762" xr:uid="{00000000-0005-0000-0000-0000ABC00000}"/>
    <cellStyle name="Note 13 2 5 2" xfId="21679" xr:uid="{00000000-0005-0000-0000-0000ACC00000}"/>
    <cellStyle name="Note 13 2 5 2 2" xfId="47553" xr:uid="{00000000-0005-0000-0000-0000ADC00000}"/>
    <cellStyle name="Note 13 2 5 3" xfId="34637" xr:uid="{00000000-0005-0000-0000-0000AEC00000}"/>
    <cellStyle name="Note 13 2 6" xfId="15221" xr:uid="{00000000-0005-0000-0000-0000AFC00000}"/>
    <cellStyle name="Note 13 2 6 2" xfId="41095" xr:uid="{00000000-0005-0000-0000-0000B0C00000}"/>
    <cellStyle name="Note 13 2 7" xfId="28147" xr:uid="{00000000-0005-0000-0000-0000B1C00000}"/>
    <cellStyle name="Note 13 2 8" xfId="54009" xr:uid="{00000000-0005-0000-0000-0000B2C00000}"/>
    <cellStyle name="Note 13 3" xfId="2661" xr:uid="{00000000-0005-0000-0000-0000B3C00000}"/>
    <cellStyle name="Note 13 3 2" xfId="4318" xr:uid="{00000000-0005-0000-0000-0000B4C00000}"/>
    <cellStyle name="Note 13 3 2 2" xfId="7549" xr:uid="{00000000-0005-0000-0000-0000B5C00000}"/>
    <cellStyle name="Note 13 3 2 2 2" xfId="14008" xr:uid="{00000000-0005-0000-0000-0000B6C00000}"/>
    <cellStyle name="Note 13 3 2 2 2 2" xfId="26925" xr:uid="{00000000-0005-0000-0000-0000B7C00000}"/>
    <cellStyle name="Note 13 3 2 2 2 2 2" xfId="52799" xr:uid="{00000000-0005-0000-0000-0000B8C00000}"/>
    <cellStyle name="Note 13 3 2 2 2 3" xfId="39883" xr:uid="{00000000-0005-0000-0000-0000B9C00000}"/>
    <cellStyle name="Note 13 3 2 2 3" xfId="20467" xr:uid="{00000000-0005-0000-0000-0000BAC00000}"/>
    <cellStyle name="Note 13 3 2 2 3 2" xfId="46341" xr:uid="{00000000-0005-0000-0000-0000BBC00000}"/>
    <cellStyle name="Note 13 3 2 2 4" xfId="33425" xr:uid="{00000000-0005-0000-0000-0000BCC00000}"/>
    <cellStyle name="Note 13 3 2 3" xfId="10780" xr:uid="{00000000-0005-0000-0000-0000BDC00000}"/>
    <cellStyle name="Note 13 3 2 3 2" xfId="23697" xr:uid="{00000000-0005-0000-0000-0000BEC00000}"/>
    <cellStyle name="Note 13 3 2 3 2 2" xfId="49571" xr:uid="{00000000-0005-0000-0000-0000BFC00000}"/>
    <cellStyle name="Note 13 3 2 3 3" xfId="36655" xr:uid="{00000000-0005-0000-0000-0000C0C00000}"/>
    <cellStyle name="Note 13 3 2 4" xfId="17239" xr:uid="{00000000-0005-0000-0000-0000C1C00000}"/>
    <cellStyle name="Note 13 3 2 4 2" xfId="43113" xr:uid="{00000000-0005-0000-0000-0000C2C00000}"/>
    <cellStyle name="Note 13 3 2 5" xfId="30165" xr:uid="{00000000-0005-0000-0000-0000C3C00000}"/>
    <cellStyle name="Note 13 3 3" xfId="5935" xr:uid="{00000000-0005-0000-0000-0000C4C00000}"/>
    <cellStyle name="Note 13 3 3 2" xfId="12394" xr:uid="{00000000-0005-0000-0000-0000C5C00000}"/>
    <cellStyle name="Note 13 3 3 2 2" xfId="25311" xr:uid="{00000000-0005-0000-0000-0000C6C00000}"/>
    <cellStyle name="Note 13 3 3 2 2 2" xfId="51185" xr:uid="{00000000-0005-0000-0000-0000C7C00000}"/>
    <cellStyle name="Note 13 3 3 2 3" xfId="38269" xr:uid="{00000000-0005-0000-0000-0000C8C00000}"/>
    <cellStyle name="Note 13 3 3 3" xfId="18853" xr:uid="{00000000-0005-0000-0000-0000C9C00000}"/>
    <cellStyle name="Note 13 3 3 3 2" xfId="44727" xr:uid="{00000000-0005-0000-0000-0000CAC00000}"/>
    <cellStyle name="Note 13 3 3 4" xfId="31811" xr:uid="{00000000-0005-0000-0000-0000CBC00000}"/>
    <cellStyle name="Note 13 3 4" xfId="9166" xr:uid="{00000000-0005-0000-0000-0000CCC00000}"/>
    <cellStyle name="Note 13 3 4 2" xfId="22083" xr:uid="{00000000-0005-0000-0000-0000CDC00000}"/>
    <cellStyle name="Note 13 3 4 2 2" xfId="47957" xr:uid="{00000000-0005-0000-0000-0000CEC00000}"/>
    <cellStyle name="Note 13 3 4 3" xfId="35041" xr:uid="{00000000-0005-0000-0000-0000CFC00000}"/>
    <cellStyle name="Note 13 3 5" xfId="15625" xr:uid="{00000000-0005-0000-0000-0000D0C00000}"/>
    <cellStyle name="Note 13 3 5 2" xfId="41499" xr:uid="{00000000-0005-0000-0000-0000D1C00000}"/>
    <cellStyle name="Note 13 3 6" xfId="28551" xr:uid="{00000000-0005-0000-0000-0000D2C00000}"/>
    <cellStyle name="Note 13 4" xfId="3488" xr:uid="{00000000-0005-0000-0000-0000D3C00000}"/>
    <cellStyle name="Note 13 4 2" xfId="6742" xr:uid="{00000000-0005-0000-0000-0000D4C00000}"/>
    <cellStyle name="Note 13 4 2 2" xfId="13201" xr:uid="{00000000-0005-0000-0000-0000D5C00000}"/>
    <cellStyle name="Note 13 4 2 2 2" xfId="26118" xr:uid="{00000000-0005-0000-0000-0000D6C00000}"/>
    <cellStyle name="Note 13 4 2 2 2 2" xfId="51992" xr:uid="{00000000-0005-0000-0000-0000D7C00000}"/>
    <cellStyle name="Note 13 4 2 2 3" xfId="39076" xr:uid="{00000000-0005-0000-0000-0000D8C00000}"/>
    <cellStyle name="Note 13 4 2 3" xfId="19660" xr:uid="{00000000-0005-0000-0000-0000D9C00000}"/>
    <cellStyle name="Note 13 4 2 3 2" xfId="45534" xr:uid="{00000000-0005-0000-0000-0000DAC00000}"/>
    <cellStyle name="Note 13 4 2 4" xfId="32618" xr:uid="{00000000-0005-0000-0000-0000DBC00000}"/>
    <cellStyle name="Note 13 4 3" xfId="9973" xr:uid="{00000000-0005-0000-0000-0000DCC00000}"/>
    <cellStyle name="Note 13 4 3 2" xfId="22890" xr:uid="{00000000-0005-0000-0000-0000DDC00000}"/>
    <cellStyle name="Note 13 4 3 2 2" xfId="48764" xr:uid="{00000000-0005-0000-0000-0000DEC00000}"/>
    <cellStyle name="Note 13 4 3 3" xfId="35848" xr:uid="{00000000-0005-0000-0000-0000DFC00000}"/>
    <cellStyle name="Note 13 4 4" xfId="16432" xr:uid="{00000000-0005-0000-0000-0000E0C00000}"/>
    <cellStyle name="Note 13 4 4 2" xfId="42306" xr:uid="{00000000-0005-0000-0000-0000E1C00000}"/>
    <cellStyle name="Note 13 4 5" xfId="29358" xr:uid="{00000000-0005-0000-0000-0000E2C00000}"/>
    <cellStyle name="Note 13 5" xfId="5128" xr:uid="{00000000-0005-0000-0000-0000E3C00000}"/>
    <cellStyle name="Note 13 5 2" xfId="11587" xr:uid="{00000000-0005-0000-0000-0000E4C00000}"/>
    <cellStyle name="Note 13 5 2 2" xfId="24504" xr:uid="{00000000-0005-0000-0000-0000E5C00000}"/>
    <cellStyle name="Note 13 5 2 2 2" xfId="50378" xr:uid="{00000000-0005-0000-0000-0000E6C00000}"/>
    <cellStyle name="Note 13 5 2 3" xfId="37462" xr:uid="{00000000-0005-0000-0000-0000E7C00000}"/>
    <cellStyle name="Note 13 5 3" xfId="18046" xr:uid="{00000000-0005-0000-0000-0000E8C00000}"/>
    <cellStyle name="Note 13 5 3 2" xfId="43920" xr:uid="{00000000-0005-0000-0000-0000E9C00000}"/>
    <cellStyle name="Note 13 5 4" xfId="31004" xr:uid="{00000000-0005-0000-0000-0000EAC00000}"/>
    <cellStyle name="Note 13 6" xfId="8358" xr:uid="{00000000-0005-0000-0000-0000EBC00000}"/>
    <cellStyle name="Note 13 6 2" xfId="21275" xr:uid="{00000000-0005-0000-0000-0000ECC00000}"/>
    <cellStyle name="Note 13 6 2 2" xfId="47149" xr:uid="{00000000-0005-0000-0000-0000EDC00000}"/>
    <cellStyle name="Note 13 6 3" xfId="34233" xr:uid="{00000000-0005-0000-0000-0000EEC00000}"/>
    <cellStyle name="Note 13 7" xfId="14817" xr:uid="{00000000-0005-0000-0000-0000EFC00000}"/>
    <cellStyle name="Note 13 7 2" xfId="40691" xr:uid="{00000000-0005-0000-0000-0000F0C00000}"/>
    <cellStyle name="Note 13 8" xfId="27743" xr:uid="{00000000-0005-0000-0000-0000F1C00000}"/>
    <cellStyle name="Note 13 9" xfId="53606" xr:uid="{00000000-0005-0000-0000-0000F2C00000}"/>
    <cellStyle name="Note 14" xfId="2037" xr:uid="{00000000-0005-0000-0000-0000F3C00000}"/>
    <cellStyle name="Note 14 2" xfId="2446" xr:uid="{00000000-0005-0000-0000-0000F4C00000}"/>
    <cellStyle name="Note 14 2 2" xfId="3259" xr:uid="{00000000-0005-0000-0000-0000F5C00000}"/>
    <cellStyle name="Note 14 2 2 2" xfId="4916" xr:uid="{00000000-0005-0000-0000-0000F6C00000}"/>
    <cellStyle name="Note 14 2 2 2 2" xfId="8147" xr:uid="{00000000-0005-0000-0000-0000F7C00000}"/>
    <cellStyle name="Note 14 2 2 2 2 2" xfId="14606" xr:uid="{00000000-0005-0000-0000-0000F8C00000}"/>
    <cellStyle name="Note 14 2 2 2 2 2 2" xfId="27523" xr:uid="{00000000-0005-0000-0000-0000F9C00000}"/>
    <cellStyle name="Note 14 2 2 2 2 2 2 2" xfId="53397" xr:uid="{00000000-0005-0000-0000-0000FAC00000}"/>
    <cellStyle name="Note 14 2 2 2 2 2 3" xfId="40481" xr:uid="{00000000-0005-0000-0000-0000FBC00000}"/>
    <cellStyle name="Note 14 2 2 2 2 3" xfId="21065" xr:uid="{00000000-0005-0000-0000-0000FCC00000}"/>
    <cellStyle name="Note 14 2 2 2 2 3 2" xfId="46939" xr:uid="{00000000-0005-0000-0000-0000FDC00000}"/>
    <cellStyle name="Note 14 2 2 2 2 4" xfId="34023" xr:uid="{00000000-0005-0000-0000-0000FEC00000}"/>
    <cellStyle name="Note 14 2 2 2 3" xfId="11378" xr:uid="{00000000-0005-0000-0000-0000FFC00000}"/>
    <cellStyle name="Note 14 2 2 2 3 2" xfId="24295" xr:uid="{00000000-0005-0000-0000-000000C10000}"/>
    <cellStyle name="Note 14 2 2 2 3 2 2" xfId="50169" xr:uid="{00000000-0005-0000-0000-000001C10000}"/>
    <cellStyle name="Note 14 2 2 2 3 3" xfId="37253" xr:uid="{00000000-0005-0000-0000-000002C10000}"/>
    <cellStyle name="Note 14 2 2 2 4" xfId="17837" xr:uid="{00000000-0005-0000-0000-000003C10000}"/>
    <cellStyle name="Note 14 2 2 2 4 2" xfId="43711" xr:uid="{00000000-0005-0000-0000-000004C10000}"/>
    <cellStyle name="Note 14 2 2 2 5" xfId="30763" xr:uid="{00000000-0005-0000-0000-000005C10000}"/>
    <cellStyle name="Note 14 2 2 3" xfId="6533" xr:uid="{00000000-0005-0000-0000-000006C10000}"/>
    <cellStyle name="Note 14 2 2 3 2" xfId="12992" xr:uid="{00000000-0005-0000-0000-000007C10000}"/>
    <cellStyle name="Note 14 2 2 3 2 2" xfId="25909" xr:uid="{00000000-0005-0000-0000-000008C10000}"/>
    <cellStyle name="Note 14 2 2 3 2 2 2" xfId="51783" xr:uid="{00000000-0005-0000-0000-000009C10000}"/>
    <cellStyle name="Note 14 2 2 3 2 3" xfId="38867" xr:uid="{00000000-0005-0000-0000-00000AC10000}"/>
    <cellStyle name="Note 14 2 2 3 3" xfId="19451" xr:uid="{00000000-0005-0000-0000-00000BC10000}"/>
    <cellStyle name="Note 14 2 2 3 3 2" xfId="45325" xr:uid="{00000000-0005-0000-0000-00000CC10000}"/>
    <cellStyle name="Note 14 2 2 3 4" xfId="32409" xr:uid="{00000000-0005-0000-0000-00000DC10000}"/>
    <cellStyle name="Note 14 2 2 4" xfId="9764" xr:uid="{00000000-0005-0000-0000-00000EC10000}"/>
    <cellStyle name="Note 14 2 2 4 2" xfId="22681" xr:uid="{00000000-0005-0000-0000-00000FC10000}"/>
    <cellStyle name="Note 14 2 2 4 2 2" xfId="48555" xr:uid="{00000000-0005-0000-0000-000010C10000}"/>
    <cellStyle name="Note 14 2 2 4 3" xfId="35639" xr:uid="{00000000-0005-0000-0000-000011C10000}"/>
    <cellStyle name="Note 14 2 2 5" xfId="16223" xr:uid="{00000000-0005-0000-0000-000012C10000}"/>
    <cellStyle name="Note 14 2 2 5 2" xfId="42097" xr:uid="{00000000-0005-0000-0000-000013C10000}"/>
    <cellStyle name="Note 14 2 2 6" xfId="29149" xr:uid="{00000000-0005-0000-0000-000014C10000}"/>
    <cellStyle name="Note 14 2 3" xfId="4086" xr:uid="{00000000-0005-0000-0000-000015C10000}"/>
    <cellStyle name="Note 14 2 3 2" xfId="7340" xr:uid="{00000000-0005-0000-0000-000016C10000}"/>
    <cellStyle name="Note 14 2 3 2 2" xfId="13799" xr:uid="{00000000-0005-0000-0000-000017C10000}"/>
    <cellStyle name="Note 14 2 3 2 2 2" xfId="26716" xr:uid="{00000000-0005-0000-0000-000018C10000}"/>
    <cellStyle name="Note 14 2 3 2 2 2 2" xfId="52590" xr:uid="{00000000-0005-0000-0000-000019C10000}"/>
    <cellStyle name="Note 14 2 3 2 2 3" xfId="39674" xr:uid="{00000000-0005-0000-0000-00001AC10000}"/>
    <cellStyle name="Note 14 2 3 2 3" xfId="20258" xr:uid="{00000000-0005-0000-0000-00001BC10000}"/>
    <cellStyle name="Note 14 2 3 2 3 2" xfId="46132" xr:uid="{00000000-0005-0000-0000-00001CC10000}"/>
    <cellStyle name="Note 14 2 3 2 4" xfId="33216" xr:uid="{00000000-0005-0000-0000-00001DC10000}"/>
    <cellStyle name="Note 14 2 3 3" xfId="10571" xr:uid="{00000000-0005-0000-0000-00001EC10000}"/>
    <cellStyle name="Note 14 2 3 3 2" xfId="23488" xr:uid="{00000000-0005-0000-0000-00001FC10000}"/>
    <cellStyle name="Note 14 2 3 3 2 2" xfId="49362" xr:uid="{00000000-0005-0000-0000-000020C10000}"/>
    <cellStyle name="Note 14 2 3 3 3" xfId="36446" xr:uid="{00000000-0005-0000-0000-000021C10000}"/>
    <cellStyle name="Note 14 2 3 4" xfId="17030" xr:uid="{00000000-0005-0000-0000-000022C10000}"/>
    <cellStyle name="Note 14 2 3 4 2" xfId="42904" xr:uid="{00000000-0005-0000-0000-000023C10000}"/>
    <cellStyle name="Note 14 2 3 5" xfId="29956" xr:uid="{00000000-0005-0000-0000-000024C10000}"/>
    <cellStyle name="Note 14 2 4" xfId="5726" xr:uid="{00000000-0005-0000-0000-000025C10000}"/>
    <cellStyle name="Note 14 2 4 2" xfId="12185" xr:uid="{00000000-0005-0000-0000-000026C10000}"/>
    <cellStyle name="Note 14 2 4 2 2" xfId="25102" xr:uid="{00000000-0005-0000-0000-000027C10000}"/>
    <cellStyle name="Note 14 2 4 2 2 2" xfId="50976" xr:uid="{00000000-0005-0000-0000-000028C10000}"/>
    <cellStyle name="Note 14 2 4 2 3" xfId="38060" xr:uid="{00000000-0005-0000-0000-000029C10000}"/>
    <cellStyle name="Note 14 2 4 3" xfId="18644" xr:uid="{00000000-0005-0000-0000-00002AC10000}"/>
    <cellStyle name="Note 14 2 4 3 2" xfId="44518" xr:uid="{00000000-0005-0000-0000-00002BC10000}"/>
    <cellStyle name="Note 14 2 4 4" xfId="31602" xr:uid="{00000000-0005-0000-0000-00002CC10000}"/>
    <cellStyle name="Note 14 2 5" xfId="8957" xr:uid="{00000000-0005-0000-0000-00002DC10000}"/>
    <cellStyle name="Note 14 2 5 2" xfId="21874" xr:uid="{00000000-0005-0000-0000-00002EC10000}"/>
    <cellStyle name="Note 14 2 5 2 2" xfId="47748" xr:uid="{00000000-0005-0000-0000-00002FC10000}"/>
    <cellStyle name="Note 14 2 5 3" xfId="34832" xr:uid="{00000000-0005-0000-0000-000030C10000}"/>
    <cellStyle name="Note 14 2 6" xfId="15416" xr:uid="{00000000-0005-0000-0000-000031C10000}"/>
    <cellStyle name="Note 14 2 6 2" xfId="41290" xr:uid="{00000000-0005-0000-0000-000032C10000}"/>
    <cellStyle name="Note 14 2 7" xfId="28342" xr:uid="{00000000-0005-0000-0000-000033C10000}"/>
    <cellStyle name="Note 14 2 8" xfId="54204" xr:uid="{00000000-0005-0000-0000-000034C10000}"/>
    <cellStyle name="Note 14 3" xfId="2855" xr:uid="{00000000-0005-0000-0000-000035C10000}"/>
    <cellStyle name="Note 14 3 2" xfId="4512" xr:uid="{00000000-0005-0000-0000-000036C10000}"/>
    <cellStyle name="Note 14 3 2 2" xfId="7743" xr:uid="{00000000-0005-0000-0000-000037C10000}"/>
    <cellStyle name="Note 14 3 2 2 2" xfId="14202" xr:uid="{00000000-0005-0000-0000-000038C10000}"/>
    <cellStyle name="Note 14 3 2 2 2 2" xfId="27119" xr:uid="{00000000-0005-0000-0000-000039C10000}"/>
    <cellStyle name="Note 14 3 2 2 2 2 2" xfId="52993" xr:uid="{00000000-0005-0000-0000-00003AC10000}"/>
    <cellStyle name="Note 14 3 2 2 2 3" xfId="40077" xr:uid="{00000000-0005-0000-0000-00003BC10000}"/>
    <cellStyle name="Note 14 3 2 2 3" xfId="20661" xr:uid="{00000000-0005-0000-0000-00003CC10000}"/>
    <cellStyle name="Note 14 3 2 2 3 2" xfId="46535" xr:uid="{00000000-0005-0000-0000-00003DC10000}"/>
    <cellStyle name="Note 14 3 2 2 4" xfId="33619" xr:uid="{00000000-0005-0000-0000-00003EC10000}"/>
    <cellStyle name="Note 14 3 2 3" xfId="10974" xr:uid="{00000000-0005-0000-0000-00003FC10000}"/>
    <cellStyle name="Note 14 3 2 3 2" xfId="23891" xr:uid="{00000000-0005-0000-0000-000040C10000}"/>
    <cellStyle name="Note 14 3 2 3 2 2" xfId="49765" xr:uid="{00000000-0005-0000-0000-000041C10000}"/>
    <cellStyle name="Note 14 3 2 3 3" xfId="36849" xr:uid="{00000000-0005-0000-0000-000042C10000}"/>
    <cellStyle name="Note 14 3 2 4" xfId="17433" xr:uid="{00000000-0005-0000-0000-000043C10000}"/>
    <cellStyle name="Note 14 3 2 4 2" xfId="43307" xr:uid="{00000000-0005-0000-0000-000044C10000}"/>
    <cellStyle name="Note 14 3 2 5" xfId="30359" xr:uid="{00000000-0005-0000-0000-000045C10000}"/>
    <cellStyle name="Note 14 3 3" xfId="6129" xr:uid="{00000000-0005-0000-0000-000046C10000}"/>
    <cellStyle name="Note 14 3 3 2" xfId="12588" xr:uid="{00000000-0005-0000-0000-000047C10000}"/>
    <cellStyle name="Note 14 3 3 2 2" xfId="25505" xr:uid="{00000000-0005-0000-0000-000048C10000}"/>
    <cellStyle name="Note 14 3 3 2 2 2" xfId="51379" xr:uid="{00000000-0005-0000-0000-000049C10000}"/>
    <cellStyle name="Note 14 3 3 2 3" xfId="38463" xr:uid="{00000000-0005-0000-0000-00004AC10000}"/>
    <cellStyle name="Note 14 3 3 3" xfId="19047" xr:uid="{00000000-0005-0000-0000-00004BC10000}"/>
    <cellStyle name="Note 14 3 3 3 2" xfId="44921" xr:uid="{00000000-0005-0000-0000-00004CC10000}"/>
    <cellStyle name="Note 14 3 3 4" xfId="32005" xr:uid="{00000000-0005-0000-0000-00004DC10000}"/>
    <cellStyle name="Note 14 3 4" xfId="9360" xr:uid="{00000000-0005-0000-0000-00004EC10000}"/>
    <cellStyle name="Note 14 3 4 2" xfId="22277" xr:uid="{00000000-0005-0000-0000-00004FC10000}"/>
    <cellStyle name="Note 14 3 4 2 2" xfId="48151" xr:uid="{00000000-0005-0000-0000-000050C10000}"/>
    <cellStyle name="Note 14 3 4 3" xfId="35235" xr:uid="{00000000-0005-0000-0000-000051C10000}"/>
    <cellStyle name="Note 14 3 5" xfId="15819" xr:uid="{00000000-0005-0000-0000-000052C10000}"/>
    <cellStyle name="Note 14 3 5 2" xfId="41693" xr:uid="{00000000-0005-0000-0000-000053C10000}"/>
    <cellStyle name="Note 14 3 6" xfId="28745" xr:uid="{00000000-0005-0000-0000-000054C10000}"/>
    <cellStyle name="Note 14 4" xfId="3682" xr:uid="{00000000-0005-0000-0000-000055C10000}"/>
    <cellStyle name="Note 14 4 2" xfId="6936" xr:uid="{00000000-0005-0000-0000-000056C10000}"/>
    <cellStyle name="Note 14 4 2 2" xfId="13395" xr:uid="{00000000-0005-0000-0000-000057C10000}"/>
    <cellStyle name="Note 14 4 2 2 2" xfId="26312" xr:uid="{00000000-0005-0000-0000-000058C10000}"/>
    <cellStyle name="Note 14 4 2 2 2 2" xfId="52186" xr:uid="{00000000-0005-0000-0000-000059C10000}"/>
    <cellStyle name="Note 14 4 2 2 3" xfId="39270" xr:uid="{00000000-0005-0000-0000-00005AC10000}"/>
    <cellStyle name="Note 14 4 2 3" xfId="19854" xr:uid="{00000000-0005-0000-0000-00005BC10000}"/>
    <cellStyle name="Note 14 4 2 3 2" xfId="45728" xr:uid="{00000000-0005-0000-0000-00005CC10000}"/>
    <cellStyle name="Note 14 4 2 4" xfId="32812" xr:uid="{00000000-0005-0000-0000-00005DC10000}"/>
    <cellStyle name="Note 14 4 3" xfId="10167" xr:uid="{00000000-0005-0000-0000-00005EC10000}"/>
    <cellStyle name="Note 14 4 3 2" xfId="23084" xr:uid="{00000000-0005-0000-0000-00005FC10000}"/>
    <cellStyle name="Note 14 4 3 2 2" xfId="48958" xr:uid="{00000000-0005-0000-0000-000060C10000}"/>
    <cellStyle name="Note 14 4 3 3" xfId="36042" xr:uid="{00000000-0005-0000-0000-000061C10000}"/>
    <cellStyle name="Note 14 4 4" xfId="16626" xr:uid="{00000000-0005-0000-0000-000062C10000}"/>
    <cellStyle name="Note 14 4 4 2" xfId="42500" xr:uid="{00000000-0005-0000-0000-000063C10000}"/>
    <cellStyle name="Note 14 4 5" xfId="29552" xr:uid="{00000000-0005-0000-0000-000064C10000}"/>
    <cellStyle name="Note 14 5" xfId="5322" xr:uid="{00000000-0005-0000-0000-000065C10000}"/>
    <cellStyle name="Note 14 5 2" xfId="11781" xr:uid="{00000000-0005-0000-0000-000066C10000}"/>
    <cellStyle name="Note 14 5 2 2" xfId="24698" xr:uid="{00000000-0005-0000-0000-000067C10000}"/>
    <cellStyle name="Note 14 5 2 2 2" xfId="50572" xr:uid="{00000000-0005-0000-0000-000068C10000}"/>
    <cellStyle name="Note 14 5 2 3" xfId="37656" xr:uid="{00000000-0005-0000-0000-000069C10000}"/>
    <cellStyle name="Note 14 5 3" xfId="18240" xr:uid="{00000000-0005-0000-0000-00006AC10000}"/>
    <cellStyle name="Note 14 5 3 2" xfId="44114" xr:uid="{00000000-0005-0000-0000-00006BC10000}"/>
    <cellStyle name="Note 14 5 4" xfId="31198" xr:uid="{00000000-0005-0000-0000-00006CC10000}"/>
    <cellStyle name="Note 14 6" xfId="8553" xr:uid="{00000000-0005-0000-0000-00006DC10000}"/>
    <cellStyle name="Note 14 6 2" xfId="21470" xr:uid="{00000000-0005-0000-0000-00006EC10000}"/>
    <cellStyle name="Note 14 6 2 2" xfId="47344" xr:uid="{00000000-0005-0000-0000-00006FC10000}"/>
    <cellStyle name="Note 14 6 3" xfId="34428" xr:uid="{00000000-0005-0000-0000-000070C10000}"/>
    <cellStyle name="Note 14 7" xfId="15012" xr:uid="{00000000-0005-0000-0000-000071C10000}"/>
    <cellStyle name="Note 14 7 2" xfId="40886" xr:uid="{00000000-0005-0000-0000-000072C10000}"/>
    <cellStyle name="Note 14 8" xfId="27938" xr:uid="{00000000-0005-0000-0000-000073C10000}"/>
    <cellStyle name="Note 14 9" xfId="53800" xr:uid="{00000000-0005-0000-0000-000074C10000}"/>
    <cellStyle name="Note 15" xfId="2051" xr:uid="{00000000-0005-0000-0000-000075C10000}"/>
    <cellStyle name="Note 15 2" xfId="2869" xr:uid="{00000000-0005-0000-0000-000076C10000}"/>
    <cellStyle name="Note 15 2 2" xfId="4526" xr:uid="{00000000-0005-0000-0000-000077C10000}"/>
    <cellStyle name="Note 15 2 2 2" xfId="7757" xr:uid="{00000000-0005-0000-0000-000078C10000}"/>
    <cellStyle name="Note 15 2 2 2 2" xfId="14216" xr:uid="{00000000-0005-0000-0000-000079C10000}"/>
    <cellStyle name="Note 15 2 2 2 2 2" xfId="27133" xr:uid="{00000000-0005-0000-0000-00007AC10000}"/>
    <cellStyle name="Note 15 2 2 2 2 2 2" xfId="53007" xr:uid="{00000000-0005-0000-0000-00007BC10000}"/>
    <cellStyle name="Note 15 2 2 2 2 3" xfId="40091" xr:uid="{00000000-0005-0000-0000-00007CC10000}"/>
    <cellStyle name="Note 15 2 2 2 3" xfId="20675" xr:uid="{00000000-0005-0000-0000-00007DC10000}"/>
    <cellStyle name="Note 15 2 2 2 3 2" xfId="46549" xr:uid="{00000000-0005-0000-0000-00007EC10000}"/>
    <cellStyle name="Note 15 2 2 2 4" xfId="33633" xr:uid="{00000000-0005-0000-0000-00007FC10000}"/>
    <cellStyle name="Note 15 2 2 3" xfId="10988" xr:uid="{00000000-0005-0000-0000-000080C10000}"/>
    <cellStyle name="Note 15 2 2 3 2" xfId="23905" xr:uid="{00000000-0005-0000-0000-000081C10000}"/>
    <cellStyle name="Note 15 2 2 3 2 2" xfId="49779" xr:uid="{00000000-0005-0000-0000-000082C10000}"/>
    <cellStyle name="Note 15 2 2 3 3" xfId="36863" xr:uid="{00000000-0005-0000-0000-000083C10000}"/>
    <cellStyle name="Note 15 2 2 4" xfId="17447" xr:uid="{00000000-0005-0000-0000-000084C10000}"/>
    <cellStyle name="Note 15 2 2 4 2" xfId="43321" xr:uid="{00000000-0005-0000-0000-000085C10000}"/>
    <cellStyle name="Note 15 2 2 5" xfId="30373" xr:uid="{00000000-0005-0000-0000-000086C10000}"/>
    <cellStyle name="Note 15 2 3" xfId="6143" xr:uid="{00000000-0005-0000-0000-000087C10000}"/>
    <cellStyle name="Note 15 2 3 2" xfId="12602" xr:uid="{00000000-0005-0000-0000-000088C10000}"/>
    <cellStyle name="Note 15 2 3 2 2" xfId="25519" xr:uid="{00000000-0005-0000-0000-000089C10000}"/>
    <cellStyle name="Note 15 2 3 2 2 2" xfId="51393" xr:uid="{00000000-0005-0000-0000-00008AC10000}"/>
    <cellStyle name="Note 15 2 3 2 3" xfId="38477" xr:uid="{00000000-0005-0000-0000-00008BC10000}"/>
    <cellStyle name="Note 15 2 3 3" xfId="19061" xr:uid="{00000000-0005-0000-0000-00008CC10000}"/>
    <cellStyle name="Note 15 2 3 3 2" xfId="44935" xr:uid="{00000000-0005-0000-0000-00008DC10000}"/>
    <cellStyle name="Note 15 2 3 4" xfId="32019" xr:uid="{00000000-0005-0000-0000-00008EC10000}"/>
    <cellStyle name="Note 15 2 4" xfId="9374" xr:uid="{00000000-0005-0000-0000-00008FC10000}"/>
    <cellStyle name="Note 15 2 4 2" xfId="22291" xr:uid="{00000000-0005-0000-0000-000090C10000}"/>
    <cellStyle name="Note 15 2 4 2 2" xfId="48165" xr:uid="{00000000-0005-0000-0000-000091C10000}"/>
    <cellStyle name="Note 15 2 4 3" xfId="35249" xr:uid="{00000000-0005-0000-0000-000092C10000}"/>
    <cellStyle name="Note 15 2 5" xfId="15833" xr:uid="{00000000-0005-0000-0000-000093C10000}"/>
    <cellStyle name="Note 15 2 5 2" xfId="41707" xr:uid="{00000000-0005-0000-0000-000094C10000}"/>
    <cellStyle name="Note 15 2 6" xfId="28759" xr:uid="{00000000-0005-0000-0000-000095C10000}"/>
    <cellStyle name="Note 15 3" xfId="3696" xr:uid="{00000000-0005-0000-0000-000096C10000}"/>
    <cellStyle name="Note 15 3 2" xfId="6950" xr:uid="{00000000-0005-0000-0000-000097C10000}"/>
    <cellStyle name="Note 15 3 2 2" xfId="13409" xr:uid="{00000000-0005-0000-0000-000098C10000}"/>
    <cellStyle name="Note 15 3 2 2 2" xfId="26326" xr:uid="{00000000-0005-0000-0000-000099C10000}"/>
    <cellStyle name="Note 15 3 2 2 2 2" xfId="52200" xr:uid="{00000000-0005-0000-0000-00009AC10000}"/>
    <cellStyle name="Note 15 3 2 2 3" xfId="39284" xr:uid="{00000000-0005-0000-0000-00009BC10000}"/>
    <cellStyle name="Note 15 3 2 3" xfId="19868" xr:uid="{00000000-0005-0000-0000-00009CC10000}"/>
    <cellStyle name="Note 15 3 2 3 2" xfId="45742" xr:uid="{00000000-0005-0000-0000-00009DC10000}"/>
    <cellStyle name="Note 15 3 2 4" xfId="32826" xr:uid="{00000000-0005-0000-0000-00009EC10000}"/>
    <cellStyle name="Note 15 3 3" xfId="10181" xr:uid="{00000000-0005-0000-0000-00009FC10000}"/>
    <cellStyle name="Note 15 3 3 2" xfId="23098" xr:uid="{00000000-0005-0000-0000-0000A0C10000}"/>
    <cellStyle name="Note 15 3 3 2 2" xfId="48972" xr:uid="{00000000-0005-0000-0000-0000A1C10000}"/>
    <cellStyle name="Note 15 3 3 3" xfId="36056" xr:uid="{00000000-0005-0000-0000-0000A2C10000}"/>
    <cellStyle name="Note 15 3 4" xfId="16640" xr:uid="{00000000-0005-0000-0000-0000A3C10000}"/>
    <cellStyle name="Note 15 3 4 2" xfId="42514" xr:uid="{00000000-0005-0000-0000-0000A4C10000}"/>
    <cellStyle name="Note 15 3 5" xfId="29566" xr:uid="{00000000-0005-0000-0000-0000A5C10000}"/>
    <cellStyle name="Note 15 4" xfId="5336" xr:uid="{00000000-0005-0000-0000-0000A6C10000}"/>
    <cellStyle name="Note 15 4 2" xfId="11795" xr:uid="{00000000-0005-0000-0000-0000A7C10000}"/>
    <cellStyle name="Note 15 4 2 2" xfId="24712" xr:uid="{00000000-0005-0000-0000-0000A8C10000}"/>
    <cellStyle name="Note 15 4 2 2 2" xfId="50586" xr:uid="{00000000-0005-0000-0000-0000A9C10000}"/>
    <cellStyle name="Note 15 4 2 3" xfId="37670" xr:uid="{00000000-0005-0000-0000-0000AAC10000}"/>
    <cellStyle name="Note 15 4 3" xfId="18254" xr:uid="{00000000-0005-0000-0000-0000ABC10000}"/>
    <cellStyle name="Note 15 4 3 2" xfId="44128" xr:uid="{00000000-0005-0000-0000-0000ACC10000}"/>
    <cellStyle name="Note 15 4 4" xfId="31212" xr:uid="{00000000-0005-0000-0000-0000ADC10000}"/>
    <cellStyle name="Note 15 5" xfId="8567" xr:uid="{00000000-0005-0000-0000-0000AEC10000}"/>
    <cellStyle name="Note 15 5 2" xfId="21484" xr:uid="{00000000-0005-0000-0000-0000AFC10000}"/>
    <cellStyle name="Note 15 5 2 2" xfId="47358" xr:uid="{00000000-0005-0000-0000-0000B0C10000}"/>
    <cellStyle name="Note 15 5 3" xfId="34442" xr:uid="{00000000-0005-0000-0000-0000B1C10000}"/>
    <cellStyle name="Note 15 6" xfId="15026" xr:uid="{00000000-0005-0000-0000-0000B2C10000}"/>
    <cellStyle name="Note 15 6 2" xfId="40900" xr:uid="{00000000-0005-0000-0000-0000B3C10000}"/>
    <cellStyle name="Note 15 7" xfId="27952" xr:uid="{00000000-0005-0000-0000-0000B4C10000}"/>
    <cellStyle name="Note 15 8" xfId="53814" xr:uid="{00000000-0005-0000-0000-0000B5C10000}"/>
    <cellStyle name="Note 16" xfId="2466" xr:uid="{00000000-0005-0000-0000-0000B6C10000}"/>
    <cellStyle name="Note 16 2" xfId="4123" xr:uid="{00000000-0005-0000-0000-0000B7C10000}"/>
    <cellStyle name="Note 16 2 2" xfId="7354" xr:uid="{00000000-0005-0000-0000-0000B8C10000}"/>
    <cellStyle name="Note 16 2 2 2" xfId="13813" xr:uid="{00000000-0005-0000-0000-0000B9C10000}"/>
    <cellStyle name="Note 16 2 2 2 2" xfId="26730" xr:uid="{00000000-0005-0000-0000-0000BAC10000}"/>
    <cellStyle name="Note 16 2 2 2 2 2" xfId="52604" xr:uid="{00000000-0005-0000-0000-0000BBC10000}"/>
    <cellStyle name="Note 16 2 2 2 3" xfId="39688" xr:uid="{00000000-0005-0000-0000-0000BCC10000}"/>
    <cellStyle name="Note 16 2 2 3" xfId="20272" xr:uid="{00000000-0005-0000-0000-0000BDC10000}"/>
    <cellStyle name="Note 16 2 2 3 2" xfId="46146" xr:uid="{00000000-0005-0000-0000-0000BEC10000}"/>
    <cellStyle name="Note 16 2 2 4" xfId="33230" xr:uid="{00000000-0005-0000-0000-0000BFC10000}"/>
    <cellStyle name="Note 16 2 3" xfId="10585" xr:uid="{00000000-0005-0000-0000-0000C0C10000}"/>
    <cellStyle name="Note 16 2 3 2" xfId="23502" xr:uid="{00000000-0005-0000-0000-0000C1C10000}"/>
    <cellStyle name="Note 16 2 3 2 2" xfId="49376" xr:uid="{00000000-0005-0000-0000-0000C2C10000}"/>
    <cellStyle name="Note 16 2 3 3" xfId="36460" xr:uid="{00000000-0005-0000-0000-0000C3C10000}"/>
    <cellStyle name="Note 16 2 4" xfId="17044" xr:uid="{00000000-0005-0000-0000-0000C4C10000}"/>
    <cellStyle name="Note 16 2 4 2" xfId="42918" xr:uid="{00000000-0005-0000-0000-0000C5C10000}"/>
    <cellStyle name="Note 16 2 5" xfId="29970" xr:uid="{00000000-0005-0000-0000-0000C6C10000}"/>
    <cellStyle name="Note 16 3" xfId="5740" xr:uid="{00000000-0005-0000-0000-0000C7C10000}"/>
    <cellStyle name="Note 16 3 2" xfId="12199" xr:uid="{00000000-0005-0000-0000-0000C8C10000}"/>
    <cellStyle name="Note 16 3 2 2" xfId="25116" xr:uid="{00000000-0005-0000-0000-0000C9C10000}"/>
    <cellStyle name="Note 16 3 2 2 2" xfId="50990" xr:uid="{00000000-0005-0000-0000-0000CAC10000}"/>
    <cellStyle name="Note 16 3 2 3" xfId="38074" xr:uid="{00000000-0005-0000-0000-0000CBC10000}"/>
    <cellStyle name="Note 16 3 3" xfId="18658" xr:uid="{00000000-0005-0000-0000-0000CCC10000}"/>
    <cellStyle name="Note 16 3 3 2" xfId="44532" xr:uid="{00000000-0005-0000-0000-0000CDC10000}"/>
    <cellStyle name="Note 16 3 4" xfId="31616" xr:uid="{00000000-0005-0000-0000-0000CEC10000}"/>
    <cellStyle name="Note 16 4" xfId="8971" xr:uid="{00000000-0005-0000-0000-0000CFC10000}"/>
    <cellStyle name="Note 16 4 2" xfId="21888" xr:uid="{00000000-0005-0000-0000-0000D0C10000}"/>
    <cellStyle name="Note 16 4 2 2" xfId="47762" xr:uid="{00000000-0005-0000-0000-0000D1C10000}"/>
    <cellStyle name="Note 16 4 3" xfId="34846" xr:uid="{00000000-0005-0000-0000-0000D2C10000}"/>
    <cellStyle name="Note 16 5" xfId="15430" xr:uid="{00000000-0005-0000-0000-0000D3C10000}"/>
    <cellStyle name="Note 16 5 2" xfId="41304" xr:uid="{00000000-0005-0000-0000-0000D4C10000}"/>
    <cellStyle name="Note 16 6" xfId="28356" xr:uid="{00000000-0005-0000-0000-0000D5C10000}"/>
    <cellStyle name="Note 17" xfId="3274" xr:uid="{00000000-0005-0000-0000-0000D6C10000}"/>
    <cellStyle name="Note 17 2" xfId="6547" xr:uid="{00000000-0005-0000-0000-0000D7C10000}"/>
    <cellStyle name="Note 17 2 2" xfId="13006" xr:uid="{00000000-0005-0000-0000-0000D8C10000}"/>
    <cellStyle name="Note 17 2 2 2" xfId="25923" xr:uid="{00000000-0005-0000-0000-0000D9C10000}"/>
    <cellStyle name="Note 17 2 2 2 2" xfId="51797" xr:uid="{00000000-0005-0000-0000-0000DAC10000}"/>
    <cellStyle name="Note 17 2 2 3" xfId="38881" xr:uid="{00000000-0005-0000-0000-0000DBC10000}"/>
    <cellStyle name="Note 17 2 3" xfId="19465" xr:uid="{00000000-0005-0000-0000-0000DCC10000}"/>
    <cellStyle name="Note 17 2 3 2" xfId="45339" xr:uid="{00000000-0005-0000-0000-0000DDC10000}"/>
    <cellStyle name="Note 17 2 4" xfId="32423" xr:uid="{00000000-0005-0000-0000-0000DEC10000}"/>
    <cellStyle name="Note 17 3" xfId="9778" xr:uid="{00000000-0005-0000-0000-0000DFC10000}"/>
    <cellStyle name="Note 17 3 2" xfId="22695" xr:uid="{00000000-0005-0000-0000-0000E0C10000}"/>
    <cellStyle name="Note 17 3 2 2" xfId="48569" xr:uid="{00000000-0005-0000-0000-0000E1C10000}"/>
    <cellStyle name="Note 17 3 3" xfId="35653" xr:uid="{00000000-0005-0000-0000-0000E2C10000}"/>
    <cellStyle name="Note 17 4" xfId="16237" xr:uid="{00000000-0005-0000-0000-0000E3C10000}"/>
    <cellStyle name="Note 17 4 2" xfId="42111" xr:uid="{00000000-0005-0000-0000-0000E4C10000}"/>
    <cellStyle name="Note 17 5" xfId="29163" xr:uid="{00000000-0005-0000-0000-0000E5C10000}"/>
    <cellStyle name="Note 18" xfId="4933" xr:uid="{00000000-0005-0000-0000-0000E6C10000}"/>
    <cellStyle name="Note 18 2" xfId="11392" xr:uid="{00000000-0005-0000-0000-0000E7C10000}"/>
    <cellStyle name="Note 18 2 2" xfId="24309" xr:uid="{00000000-0005-0000-0000-0000E8C10000}"/>
    <cellStyle name="Note 18 2 2 2" xfId="50183" xr:uid="{00000000-0005-0000-0000-0000E9C10000}"/>
    <cellStyle name="Note 18 2 3" xfId="37267" xr:uid="{00000000-0005-0000-0000-0000EAC10000}"/>
    <cellStyle name="Note 18 3" xfId="17851" xr:uid="{00000000-0005-0000-0000-0000EBC10000}"/>
    <cellStyle name="Note 18 3 2" xfId="43725" xr:uid="{00000000-0005-0000-0000-0000ECC10000}"/>
    <cellStyle name="Note 18 4" xfId="30809" xr:uid="{00000000-0005-0000-0000-0000EDC10000}"/>
    <cellStyle name="Note 19" xfId="8161" xr:uid="{00000000-0005-0000-0000-0000EEC10000}"/>
    <cellStyle name="Note 19 2" xfId="21079" xr:uid="{00000000-0005-0000-0000-0000EFC10000}"/>
    <cellStyle name="Note 19 2 2" xfId="46953" xr:uid="{00000000-0005-0000-0000-0000F0C10000}"/>
    <cellStyle name="Note 19 3" xfId="34037" xr:uid="{00000000-0005-0000-0000-0000F1C10000}"/>
    <cellStyle name="Note 2" xfId="54" xr:uid="{00000000-0005-0000-0000-0000F2C10000}"/>
    <cellStyle name="Note 2 10" xfId="3308" xr:uid="{00000000-0005-0000-0000-0000F3C10000}"/>
    <cellStyle name="Note 2 10 2" xfId="6573" xr:uid="{00000000-0005-0000-0000-0000F4C10000}"/>
    <cellStyle name="Note 2 10 2 2" xfId="13032" xr:uid="{00000000-0005-0000-0000-0000F5C10000}"/>
    <cellStyle name="Note 2 10 2 2 2" xfId="25949" xr:uid="{00000000-0005-0000-0000-0000F6C10000}"/>
    <cellStyle name="Note 2 10 2 2 2 2" xfId="51823" xr:uid="{00000000-0005-0000-0000-0000F7C10000}"/>
    <cellStyle name="Note 2 10 2 2 3" xfId="38907" xr:uid="{00000000-0005-0000-0000-0000F8C10000}"/>
    <cellStyle name="Note 2 10 2 3" xfId="19491" xr:uid="{00000000-0005-0000-0000-0000F9C10000}"/>
    <cellStyle name="Note 2 10 2 3 2" xfId="45365" xr:uid="{00000000-0005-0000-0000-0000FAC10000}"/>
    <cellStyle name="Note 2 10 2 4" xfId="32449" xr:uid="{00000000-0005-0000-0000-0000FBC10000}"/>
    <cellStyle name="Note 2 10 3" xfId="9804" xr:uid="{00000000-0005-0000-0000-0000FCC10000}"/>
    <cellStyle name="Note 2 10 3 2" xfId="22721" xr:uid="{00000000-0005-0000-0000-0000FDC10000}"/>
    <cellStyle name="Note 2 10 3 2 2" xfId="48595" xr:uid="{00000000-0005-0000-0000-0000FEC10000}"/>
    <cellStyle name="Note 2 10 3 3" xfId="35679" xr:uid="{00000000-0005-0000-0000-0000FFC10000}"/>
    <cellStyle name="Note 2 10 4" xfId="16263" xr:uid="{00000000-0005-0000-0000-000000C20000}"/>
    <cellStyle name="Note 2 10 4 2" xfId="42137" xr:uid="{00000000-0005-0000-0000-000001C20000}"/>
    <cellStyle name="Note 2 10 5" xfId="29189" xr:uid="{00000000-0005-0000-0000-000002C20000}"/>
    <cellStyle name="Note 2 11" xfId="4959" xr:uid="{00000000-0005-0000-0000-000003C20000}"/>
    <cellStyle name="Note 2 11 2" xfId="11418" xr:uid="{00000000-0005-0000-0000-000004C20000}"/>
    <cellStyle name="Note 2 11 2 2" xfId="24335" xr:uid="{00000000-0005-0000-0000-000005C20000}"/>
    <cellStyle name="Note 2 11 2 2 2" xfId="50209" xr:uid="{00000000-0005-0000-0000-000006C20000}"/>
    <cellStyle name="Note 2 11 2 3" xfId="37293" xr:uid="{00000000-0005-0000-0000-000007C20000}"/>
    <cellStyle name="Note 2 11 3" xfId="17877" xr:uid="{00000000-0005-0000-0000-000008C20000}"/>
    <cellStyle name="Note 2 11 3 2" xfId="43751" xr:uid="{00000000-0005-0000-0000-000009C20000}"/>
    <cellStyle name="Note 2 11 4" xfId="30835" xr:uid="{00000000-0005-0000-0000-00000AC20000}"/>
    <cellStyle name="Note 2 12" xfId="8187" xr:uid="{00000000-0005-0000-0000-00000BC20000}"/>
    <cellStyle name="Note 2 12 2" xfId="21105" xr:uid="{00000000-0005-0000-0000-00000CC20000}"/>
    <cellStyle name="Note 2 12 2 2" xfId="46979" xr:uid="{00000000-0005-0000-0000-00000DC20000}"/>
    <cellStyle name="Note 2 12 3" xfId="34063" xr:uid="{00000000-0005-0000-0000-00000EC20000}"/>
    <cellStyle name="Note 2 13" xfId="14647" xr:uid="{00000000-0005-0000-0000-00000FC20000}"/>
    <cellStyle name="Note 2 13 2" xfId="40521" xr:uid="{00000000-0005-0000-0000-000010C20000}"/>
    <cellStyle name="Note 2 14" xfId="27567" xr:uid="{00000000-0005-0000-0000-000011C20000}"/>
    <cellStyle name="Note 2 15" xfId="53437" xr:uid="{00000000-0005-0000-0000-000012C20000}"/>
    <cellStyle name="Note 2 16" xfId="1360" xr:uid="{00000000-0005-0000-0000-000013C20000}"/>
    <cellStyle name="Note 2 2" xfId="169" xr:uid="{00000000-0005-0000-0000-000014C20000}"/>
    <cellStyle name="Note 2 2 2" xfId="170" xr:uid="{00000000-0005-0000-0000-000015C20000}"/>
    <cellStyle name="Note 2 2 2 2" xfId="357" xr:uid="{00000000-0005-0000-0000-000016C20000}"/>
    <cellStyle name="Note 2 2 2 2 2" xfId="1001" xr:uid="{00000000-0005-0000-0000-000017C20000}"/>
    <cellStyle name="Note 2 2 2 3" xfId="1002" xr:uid="{00000000-0005-0000-0000-000018C20000}"/>
    <cellStyle name="Note 2 2 3" xfId="302" xr:uid="{00000000-0005-0000-0000-000019C20000}"/>
    <cellStyle name="Note 2 2 3 10" xfId="53561" xr:uid="{00000000-0005-0000-0000-00001AC20000}"/>
    <cellStyle name="Note 2 2 3 11" xfId="1645" xr:uid="{00000000-0005-0000-0000-00001BC20000}"/>
    <cellStyle name="Note 2 2 3 2" xfId="450" xr:uid="{00000000-0005-0000-0000-00001CC20000}"/>
    <cellStyle name="Note 2 2 3 2 10" xfId="1970" xr:uid="{00000000-0005-0000-0000-00001DC20000}"/>
    <cellStyle name="Note 2 2 3 2 2" xfId="1005" xr:uid="{00000000-0005-0000-0000-00001EC20000}"/>
    <cellStyle name="Note 2 2 3 2 2 2" xfId="3214" xr:uid="{00000000-0005-0000-0000-00001FC20000}"/>
    <cellStyle name="Note 2 2 3 2 2 2 2" xfId="4871" xr:uid="{00000000-0005-0000-0000-000020C20000}"/>
    <cellStyle name="Note 2 2 3 2 2 2 2 2" xfId="8102" xr:uid="{00000000-0005-0000-0000-000021C20000}"/>
    <cellStyle name="Note 2 2 3 2 2 2 2 2 2" xfId="14561" xr:uid="{00000000-0005-0000-0000-000022C20000}"/>
    <cellStyle name="Note 2 2 3 2 2 2 2 2 2 2" xfId="27478" xr:uid="{00000000-0005-0000-0000-000023C20000}"/>
    <cellStyle name="Note 2 2 3 2 2 2 2 2 2 2 2" xfId="53352" xr:uid="{00000000-0005-0000-0000-000024C20000}"/>
    <cellStyle name="Note 2 2 3 2 2 2 2 2 2 3" xfId="40436" xr:uid="{00000000-0005-0000-0000-000025C20000}"/>
    <cellStyle name="Note 2 2 3 2 2 2 2 2 3" xfId="21020" xr:uid="{00000000-0005-0000-0000-000026C20000}"/>
    <cellStyle name="Note 2 2 3 2 2 2 2 2 3 2" xfId="46894" xr:uid="{00000000-0005-0000-0000-000027C20000}"/>
    <cellStyle name="Note 2 2 3 2 2 2 2 2 4" xfId="33978" xr:uid="{00000000-0005-0000-0000-000028C20000}"/>
    <cellStyle name="Note 2 2 3 2 2 2 2 3" xfId="11333" xr:uid="{00000000-0005-0000-0000-000029C20000}"/>
    <cellStyle name="Note 2 2 3 2 2 2 2 3 2" xfId="24250" xr:uid="{00000000-0005-0000-0000-00002AC20000}"/>
    <cellStyle name="Note 2 2 3 2 2 2 2 3 2 2" xfId="50124" xr:uid="{00000000-0005-0000-0000-00002BC20000}"/>
    <cellStyle name="Note 2 2 3 2 2 2 2 3 3" xfId="37208" xr:uid="{00000000-0005-0000-0000-00002CC20000}"/>
    <cellStyle name="Note 2 2 3 2 2 2 2 4" xfId="17792" xr:uid="{00000000-0005-0000-0000-00002DC20000}"/>
    <cellStyle name="Note 2 2 3 2 2 2 2 4 2" xfId="43666" xr:uid="{00000000-0005-0000-0000-00002EC20000}"/>
    <cellStyle name="Note 2 2 3 2 2 2 2 5" xfId="30718" xr:uid="{00000000-0005-0000-0000-00002FC20000}"/>
    <cellStyle name="Note 2 2 3 2 2 2 3" xfId="6488" xr:uid="{00000000-0005-0000-0000-000030C20000}"/>
    <cellStyle name="Note 2 2 3 2 2 2 3 2" xfId="12947" xr:uid="{00000000-0005-0000-0000-000031C20000}"/>
    <cellStyle name="Note 2 2 3 2 2 2 3 2 2" xfId="25864" xr:uid="{00000000-0005-0000-0000-000032C20000}"/>
    <cellStyle name="Note 2 2 3 2 2 2 3 2 2 2" xfId="51738" xr:uid="{00000000-0005-0000-0000-000033C20000}"/>
    <cellStyle name="Note 2 2 3 2 2 2 3 2 3" xfId="38822" xr:uid="{00000000-0005-0000-0000-000034C20000}"/>
    <cellStyle name="Note 2 2 3 2 2 2 3 3" xfId="19406" xr:uid="{00000000-0005-0000-0000-000035C20000}"/>
    <cellStyle name="Note 2 2 3 2 2 2 3 3 2" xfId="45280" xr:uid="{00000000-0005-0000-0000-000036C20000}"/>
    <cellStyle name="Note 2 2 3 2 2 2 3 4" xfId="32364" xr:uid="{00000000-0005-0000-0000-000037C20000}"/>
    <cellStyle name="Note 2 2 3 2 2 2 4" xfId="9719" xr:uid="{00000000-0005-0000-0000-000038C20000}"/>
    <cellStyle name="Note 2 2 3 2 2 2 4 2" xfId="22636" xr:uid="{00000000-0005-0000-0000-000039C20000}"/>
    <cellStyle name="Note 2 2 3 2 2 2 4 2 2" xfId="48510" xr:uid="{00000000-0005-0000-0000-00003AC20000}"/>
    <cellStyle name="Note 2 2 3 2 2 2 4 3" xfId="35594" xr:uid="{00000000-0005-0000-0000-00003BC20000}"/>
    <cellStyle name="Note 2 2 3 2 2 2 5" xfId="16178" xr:uid="{00000000-0005-0000-0000-00003CC20000}"/>
    <cellStyle name="Note 2 2 3 2 2 2 5 2" xfId="42052" xr:uid="{00000000-0005-0000-0000-00003DC20000}"/>
    <cellStyle name="Note 2 2 3 2 2 2 6" xfId="29104" xr:uid="{00000000-0005-0000-0000-00003EC20000}"/>
    <cellStyle name="Note 2 2 3 2 2 3" xfId="4041" xr:uid="{00000000-0005-0000-0000-00003FC20000}"/>
    <cellStyle name="Note 2 2 3 2 2 3 2" xfId="7295" xr:uid="{00000000-0005-0000-0000-000040C20000}"/>
    <cellStyle name="Note 2 2 3 2 2 3 2 2" xfId="13754" xr:uid="{00000000-0005-0000-0000-000041C20000}"/>
    <cellStyle name="Note 2 2 3 2 2 3 2 2 2" xfId="26671" xr:uid="{00000000-0005-0000-0000-000042C20000}"/>
    <cellStyle name="Note 2 2 3 2 2 3 2 2 2 2" xfId="52545" xr:uid="{00000000-0005-0000-0000-000043C20000}"/>
    <cellStyle name="Note 2 2 3 2 2 3 2 2 3" xfId="39629" xr:uid="{00000000-0005-0000-0000-000044C20000}"/>
    <cellStyle name="Note 2 2 3 2 2 3 2 3" xfId="20213" xr:uid="{00000000-0005-0000-0000-000045C20000}"/>
    <cellStyle name="Note 2 2 3 2 2 3 2 3 2" xfId="46087" xr:uid="{00000000-0005-0000-0000-000046C20000}"/>
    <cellStyle name="Note 2 2 3 2 2 3 2 4" xfId="33171" xr:uid="{00000000-0005-0000-0000-000047C20000}"/>
    <cellStyle name="Note 2 2 3 2 2 3 3" xfId="10526" xr:uid="{00000000-0005-0000-0000-000048C20000}"/>
    <cellStyle name="Note 2 2 3 2 2 3 3 2" xfId="23443" xr:uid="{00000000-0005-0000-0000-000049C20000}"/>
    <cellStyle name="Note 2 2 3 2 2 3 3 2 2" xfId="49317" xr:uid="{00000000-0005-0000-0000-00004AC20000}"/>
    <cellStyle name="Note 2 2 3 2 2 3 3 3" xfId="36401" xr:uid="{00000000-0005-0000-0000-00004BC20000}"/>
    <cellStyle name="Note 2 2 3 2 2 3 4" xfId="16985" xr:uid="{00000000-0005-0000-0000-00004CC20000}"/>
    <cellStyle name="Note 2 2 3 2 2 3 4 2" xfId="42859" xr:uid="{00000000-0005-0000-0000-00004DC20000}"/>
    <cellStyle name="Note 2 2 3 2 2 3 5" xfId="29911" xr:uid="{00000000-0005-0000-0000-00004EC20000}"/>
    <cellStyle name="Note 2 2 3 2 2 4" xfId="5681" xr:uid="{00000000-0005-0000-0000-00004FC20000}"/>
    <cellStyle name="Note 2 2 3 2 2 4 2" xfId="12140" xr:uid="{00000000-0005-0000-0000-000050C20000}"/>
    <cellStyle name="Note 2 2 3 2 2 4 2 2" xfId="25057" xr:uid="{00000000-0005-0000-0000-000051C20000}"/>
    <cellStyle name="Note 2 2 3 2 2 4 2 2 2" xfId="50931" xr:uid="{00000000-0005-0000-0000-000052C20000}"/>
    <cellStyle name="Note 2 2 3 2 2 4 2 3" xfId="38015" xr:uid="{00000000-0005-0000-0000-000053C20000}"/>
    <cellStyle name="Note 2 2 3 2 2 4 3" xfId="18599" xr:uid="{00000000-0005-0000-0000-000054C20000}"/>
    <cellStyle name="Note 2 2 3 2 2 4 3 2" xfId="44473" xr:uid="{00000000-0005-0000-0000-000055C20000}"/>
    <cellStyle name="Note 2 2 3 2 2 4 4" xfId="31557" xr:uid="{00000000-0005-0000-0000-000056C20000}"/>
    <cellStyle name="Note 2 2 3 2 2 5" xfId="8912" xr:uid="{00000000-0005-0000-0000-000057C20000}"/>
    <cellStyle name="Note 2 2 3 2 2 5 2" xfId="21829" xr:uid="{00000000-0005-0000-0000-000058C20000}"/>
    <cellStyle name="Note 2 2 3 2 2 5 2 2" xfId="47703" xr:uid="{00000000-0005-0000-0000-000059C20000}"/>
    <cellStyle name="Note 2 2 3 2 2 5 3" xfId="34787" xr:uid="{00000000-0005-0000-0000-00005AC20000}"/>
    <cellStyle name="Note 2 2 3 2 2 6" xfId="15371" xr:uid="{00000000-0005-0000-0000-00005BC20000}"/>
    <cellStyle name="Note 2 2 3 2 2 6 2" xfId="41245" xr:uid="{00000000-0005-0000-0000-00005CC20000}"/>
    <cellStyle name="Note 2 2 3 2 2 7" xfId="28297" xr:uid="{00000000-0005-0000-0000-00005DC20000}"/>
    <cellStyle name="Note 2 2 3 2 2 8" xfId="54159" xr:uid="{00000000-0005-0000-0000-00005EC20000}"/>
    <cellStyle name="Note 2 2 3 2 2 9" xfId="2401" xr:uid="{00000000-0005-0000-0000-00005FC20000}"/>
    <cellStyle name="Note 2 2 3 2 3" xfId="1004" xr:uid="{00000000-0005-0000-0000-000060C20000}"/>
    <cellStyle name="Note 2 2 3 2 3 2" xfId="4467" xr:uid="{00000000-0005-0000-0000-000061C20000}"/>
    <cellStyle name="Note 2 2 3 2 3 2 2" xfId="7698" xr:uid="{00000000-0005-0000-0000-000062C20000}"/>
    <cellStyle name="Note 2 2 3 2 3 2 2 2" xfId="14157" xr:uid="{00000000-0005-0000-0000-000063C20000}"/>
    <cellStyle name="Note 2 2 3 2 3 2 2 2 2" xfId="27074" xr:uid="{00000000-0005-0000-0000-000064C20000}"/>
    <cellStyle name="Note 2 2 3 2 3 2 2 2 2 2" xfId="52948" xr:uid="{00000000-0005-0000-0000-000065C20000}"/>
    <cellStyle name="Note 2 2 3 2 3 2 2 2 3" xfId="40032" xr:uid="{00000000-0005-0000-0000-000066C20000}"/>
    <cellStyle name="Note 2 2 3 2 3 2 2 3" xfId="20616" xr:uid="{00000000-0005-0000-0000-000067C20000}"/>
    <cellStyle name="Note 2 2 3 2 3 2 2 3 2" xfId="46490" xr:uid="{00000000-0005-0000-0000-000068C20000}"/>
    <cellStyle name="Note 2 2 3 2 3 2 2 4" xfId="33574" xr:uid="{00000000-0005-0000-0000-000069C20000}"/>
    <cellStyle name="Note 2 2 3 2 3 2 3" xfId="10929" xr:uid="{00000000-0005-0000-0000-00006AC20000}"/>
    <cellStyle name="Note 2 2 3 2 3 2 3 2" xfId="23846" xr:uid="{00000000-0005-0000-0000-00006BC20000}"/>
    <cellStyle name="Note 2 2 3 2 3 2 3 2 2" xfId="49720" xr:uid="{00000000-0005-0000-0000-00006CC20000}"/>
    <cellStyle name="Note 2 2 3 2 3 2 3 3" xfId="36804" xr:uid="{00000000-0005-0000-0000-00006DC20000}"/>
    <cellStyle name="Note 2 2 3 2 3 2 4" xfId="17388" xr:uid="{00000000-0005-0000-0000-00006EC20000}"/>
    <cellStyle name="Note 2 2 3 2 3 2 4 2" xfId="43262" xr:uid="{00000000-0005-0000-0000-00006FC20000}"/>
    <cellStyle name="Note 2 2 3 2 3 2 5" xfId="30314" xr:uid="{00000000-0005-0000-0000-000070C20000}"/>
    <cellStyle name="Note 2 2 3 2 3 3" xfId="6084" xr:uid="{00000000-0005-0000-0000-000071C20000}"/>
    <cellStyle name="Note 2 2 3 2 3 3 2" xfId="12543" xr:uid="{00000000-0005-0000-0000-000072C20000}"/>
    <cellStyle name="Note 2 2 3 2 3 3 2 2" xfId="25460" xr:uid="{00000000-0005-0000-0000-000073C20000}"/>
    <cellStyle name="Note 2 2 3 2 3 3 2 2 2" xfId="51334" xr:uid="{00000000-0005-0000-0000-000074C20000}"/>
    <cellStyle name="Note 2 2 3 2 3 3 2 3" xfId="38418" xr:uid="{00000000-0005-0000-0000-000075C20000}"/>
    <cellStyle name="Note 2 2 3 2 3 3 3" xfId="19002" xr:uid="{00000000-0005-0000-0000-000076C20000}"/>
    <cellStyle name="Note 2 2 3 2 3 3 3 2" xfId="44876" xr:uid="{00000000-0005-0000-0000-000077C20000}"/>
    <cellStyle name="Note 2 2 3 2 3 3 4" xfId="31960" xr:uid="{00000000-0005-0000-0000-000078C20000}"/>
    <cellStyle name="Note 2 2 3 2 3 4" xfId="9315" xr:uid="{00000000-0005-0000-0000-000079C20000}"/>
    <cellStyle name="Note 2 2 3 2 3 4 2" xfId="22232" xr:uid="{00000000-0005-0000-0000-00007AC20000}"/>
    <cellStyle name="Note 2 2 3 2 3 4 2 2" xfId="48106" xr:uid="{00000000-0005-0000-0000-00007BC20000}"/>
    <cellStyle name="Note 2 2 3 2 3 4 3" xfId="35190" xr:uid="{00000000-0005-0000-0000-00007CC20000}"/>
    <cellStyle name="Note 2 2 3 2 3 5" xfId="15774" xr:uid="{00000000-0005-0000-0000-00007DC20000}"/>
    <cellStyle name="Note 2 2 3 2 3 5 2" xfId="41648" xr:uid="{00000000-0005-0000-0000-00007EC20000}"/>
    <cellStyle name="Note 2 2 3 2 3 6" xfId="28700" xr:uid="{00000000-0005-0000-0000-00007FC20000}"/>
    <cellStyle name="Note 2 2 3 2 3 7" xfId="2810" xr:uid="{00000000-0005-0000-0000-000080C20000}"/>
    <cellStyle name="Note 2 2 3 2 4" xfId="3637" xr:uid="{00000000-0005-0000-0000-000081C20000}"/>
    <cellStyle name="Note 2 2 3 2 4 2" xfId="6891" xr:uid="{00000000-0005-0000-0000-000082C20000}"/>
    <cellStyle name="Note 2 2 3 2 4 2 2" xfId="13350" xr:uid="{00000000-0005-0000-0000-000083C20000}"/>
    <cellStyle name="Note 2 2 3 2 4 2 2 2" xfId="26267" xr:uid="{00000000-0005-0000-0000-000084C20000}"/>
    <cellStyle name="Note 2 2 3 2 4 2 2 2 2" xfId="52141" xr:uid="{00000000-0005-0000-0000-000085C20000}"/>
    <cellStyle name="Note 2 2 3 2 4 2 2 3" xfId="39225" xr:uid="{00000000-0005-0000-0000-000086C20000}"/>
    <cellStyle name="Note 2 2 3 2 4 2 3" xfId="19809" xr:uid="{00000000-0005-0000-0000-000087C20000}"/>
    <cellStyle name="Note 2 2 3 2 4 2 3 2" xfId="45683" xr:uid="{00000000-0005-0000-0000-000088C20000}"/>
    <cellStyle name="Note 2 2 3 2 4 2 4" xfId="32767" xr:uid="{00000000-0005-0000-0000-000089C20000}"/>
    <cellStyle name="Note 2 2 3 2 4 3" xfId="10122" xr:uid="{00000000-0005-0000-0000-00008AC20000}"/>
    <cellStyle name="Note 2 2 3 2 4 3 2" xfId="23039" xr:uid="{00000000-0005-0000-0000-00008BC20000}"/>
    <cellStyle name="Note 2 2 3 2 4 3 2 2" xfId="48913" xr:uid="{00000000-0005-0000-0000-00008CC20000}"/>
    <cellStyle name="Note 2 2 3 2 4 3 3" xfId="35997" xr:uid="{00000000-0005-0000-0000-00008DC20000}"/>
    <cellStyle name="Note 2 2 3 2 4 4" xfId="16581" xr:uid="{00000000-0005-0000-0000-00008EC20000}"/>
    <cellStyle name="Note 2 2 3 2 4 4 2" xfId="42455" xr:uid="{00000000-0005-0000-0000-00008FC20000}"/>
    <cellStyle name="Note 2 2 3 2 4 5" xfId="29507" xr:uid="{00000000-0005-0000-0000-000090C20000}"/>
    <cellStyle name="Note 2 2 3 2 5" xfId="5277" xr:uid="{00000000-0005-0000-0000-000091C20000}"/>
    <cellStyle name="Note 2 2 3 2 5 2" xfId="11736" xr:uid="{00000000-0005-0000-0000-000092C20000}"/>
    <cellStyle name="Note 2 2 3 2 5 2 2" xfId="24653" xr:uid="{00000000-0005-0000-0000-000093C20000}"/>
    <cellStyle name="Note 2 2 3 2 5 2 2 2" xfId="50527" xr:uid="{00000000-0005-0000-0000-000094C20000}"/>
    <cellStyle name="Note 2 2 3 2 5 2 3" xfId="37611" xr:uid="{00000000-0005-0000-0000-000095C20000}"/>
    <cellStyle name="Note 2 2 3 2 5 3" xfId="18195" xr:uid="{00000000-0005-0000-0000-000096C20000}"/>
    <cellStyle name="Note 2 2 3 2 5 3 2" xfId="44069" xr:uid="{00000000-0005-0000-0000-000097C20000}"/>
    <cellStyle name="Note 2 2 3 2 5 4" xfId="31153" xr:uid="{00000000-0005-0000-0000-000098C20000}"/>
    <cellStyle name="Note 2 2 3 2 6" xfId="8508" xr:uid="{00000000-0005-0000-0000-000099C20000}"/>
    <cellStyle name="Note 2 2 3 2 6 2" xfId="21425" xr:uid="{00000000-0005-0000-0000-00009AC20000}"/>
    <cellStyle name="Note 2 2 3 2 6 2 2" xfId="47299" xr:uid="{00000000-0005-0000-0000-00009BC20000}"/>
    <cellStyle name="Note 2 2 3 2 6 3" xfId="34383" xr:uid="{00000000-0005-0000-0000-00009CC20000}"/>
    <cellStyle name="Note 2 2 3 2 7" xfId="14967" xr:uid="{00000000-0005-0000-0000-00009DC20000}"/>
    <cellStyle name="Note 2 2 3 2 7 2" xfId="40841" xr:uid="{00000000-0005-0000-0000-00009EC20000}"/>
    <cellStyle name="Note 2 2 3 2 8" xfId="27892" xr:uid="{00000000-0005-0000-0000-00009FC20000}"/>
    <cellStyle name="Note 2 2 3 2 9" xfId="53755" xr:uid="{00000000-0005-0000-0000-0000A0C20000}"/>
    <cellStyle name="Note 2 2 3 3" xfId="1006" xr:uid="{00000000-0005-0000-0000-0000A1C20000}"/>
    <cellStyle name="Note 2 2 3 3 2" xfId="3019" xr:uid="{00000000-0005-0000-0000-0000A2C20000}"/>
    <cellStyle name="Note 2 2 3 3 2 2" xfId="4676" xr:uid="{00000000-0005-0000-0000-0000A3C20000}"/>
    <cellStyle name="Note 2 2 3 3 2 2 2" xfId="7907" xr:uid="{00000000-0005-0000-0000-0000A4C20000}"/>
    <cellStyle name="Note 2 2 3 3 2 2 2 2" xfId="14366" xr:uid="{00000000-0005-0000-0000-0000A5C20000}"/>
    <cellStyle name="Note 2 2 3 3 2 2 2 2 2" xfId="27283" xr:uid="{00000000-0005-0000-0000-0000A6C20000}"/>
    <cellStyle name="Note 2 2 3 3 2 2 2 2 2 2" xfId="53157" xr:uid="{00000000-0005-0000-0000-0000A7C20000}"/>
    <cellStyle name="Note 2 2 3 3 2 2 2 2 3" xfId="40241" xr:uid="{00000000-0005-0000-0000-0000A8C20000}"/>
    <cellStyle name="Note 2 2 3 3 2 2 2 3" xfId="20825" xr:uid="{00000000-0005-0000-0000-0000A9C20000}"/>
    <cellStyle name="Note 2 2 3 3 2 2 2 3 2" xfId="46699" xr:uid="{00000000-0005-0000-0000-0000AAC20000}"/>
    <cellStyle name="Note 2 2 3 3 2 2 2 4" xfId="33783" xr:uid="{00000000-0005-0000-0000-0000ABC20000}"/>
    <cellStyle name="Note 2 2 3 3 2 2 3" xfId="11138" xr:uid="{00000000-0005-0000-0000-0000ACC20000}"/>
    <cellStyle name="Note 2 2 3 3 2 2 3 2" xfId="24055" xr:uid="{00000000-0005-0000-0000-0000ADC20000}"/>
    <cellStyle name="Note 2 2 3 3 2 2 3 2 2" xfId="49929" xr:uid="{00000000-0005-0000-0000-0000AEC20000}"/>
    <cellStyle name="Note 2 2 3 3 2 2 3 3" xfId="37013" xr:uid="{00000000-0005-0000-0000-0000AFC20000}"/>
    <cellStyle name="Note 2 2 3 3 2 2 4" xfId="17597" xr:uid="{00000000-0005-0000-0000-0000B0C20000}"/>
    <cellStyle name="Note 2 2 3 3 2 2 4 2" xfId="43471" xr:uid="{00000000-0005-0000-0000-0000B1C20000}"/>
    <cellStyle name="Note 2 2 3 3 2 2 5" xfId="30523" xr:uid="{00000000-0005-0000-0000-0000B2C20000}"/>
    <cellStyle name="Note 2 2 3 3 2 3" xfId="6293" xr:uid="{00000000-0005-0000-0000-0000B3C20000}"/>
    <cellStyle name="Note 2 2 3 3 2 3 2" xfId="12752" xr:uid="{00000000-0005-0000-0000-0000B4C20000}"/>
    <cellStyle name="Note 2 2 3 3 2 3 2 2" xfId="25669" xr:uid="{00000000-0005-0000-0000-0000B5C20000}"/>
    <cellStyle name="Note 2 2 3 3 2 3 2 2 2" xfId="51543" xr:uid="{00000000-0005-0000-0000-0000B6C20000}"/>
    <cellStyle name="Note 2 2 3 3 2 3 2 3" xfId="38627" xr:uid="{00000000-0005-0000-0000-0000B7C20000}"/>
    <cellStyle name="Note 2 2 3 3 2 3 3" xfId="19211" xr:uid="{00000000-0005-0000-0000-0000B8C20000}"/>
    <cellStyle name="Note 2 2 3 3 2 3 3 2" xfId="45085" xr:uid="{00000000-0005-0000-0000-0000B9C20000}"/>
    <cellStyle name="Note 2 2 3 3 2 3 4" xfId="32169" xr:uid="{00000000-0005-0000-0000-0000BAC20000}"/>
    <cellStyle name="Note 2 2 3 3 2 4" xfId="9524" xr:uid="{00000000-0005-0000-0000-0000BBC20000}"/>
    <cellStyle name="Note 2 2 3 3 2 4 2" xfId="22441" xr:uid="{00000000-0005-0000-0000-0000BCC20000}"/>
    <cellStyle name="Note 2 2 3 3 2 4 2 2" xfId="48315" xr:uid="{00000000-0005-0000-0000-0000BDC20000}"/>
    <cellStyle name="Note 2 2 3 3 2 4 3" xfId="35399" xr:uid="{00000000-0005-0000-0000-0000BEC20000}"/>
    <cellStyle name="Note 2 2 3 3 2 5" xfId="15983" xr:uid="{00000000-0005-0000-0000-0000BFC20000}"/>
    <cellStyle name="Note 2 2 3 3 2 5 2" xfId="41857" xr:uid="{00000000-0005-0000-0000-0000C0C20000}"/>
    <cellStyle name="Note 2 2 3 3 2 6" xfId="28909" xr:uid="{00000000-0005-0000-0000-0000C1C20000}"/>
    <cellStyle name="Note 2 2 3 3 3" xfId="3846" xr:uid="{00000000-0005-0000-0000-0000C2C20000}"/>
    <cellStyle name="Note 2 2 3 3 3 2" xfId="7100" xr:uid="{00000000-0005-0000-0000-0000C3C20000}"/>
    <cellStyle name="Note 2 2 3 3 3 2 2" xfId="13559" xr:uid="{00000000-0005-0000-0000-0000C4C20000}"/>
    <cellStyle name="Note 2 2 3 3 3 2 2 2" xfId="26476" xr:uid="{00000000-0005-0000-0000-0000C5C20000}"/>
    <cellStyle name="Note 2 2 3 3 3 2 2 2 2" xfId="52350" xr:uid="{00000000-0005-0000-0000-0000C6C20000}"/>
    <cellStyle name="Note 2 2 3 3 3 2 2 3" xfId="39434" xr:uid="{00000000-0005-0000-0000-0000C7C20000}"/>
    <cellStyle name="Note 2 2 3 3 3 2 3" xfId="20018" xr:uid="{00000000-0005-0000-0000-0000C8C20000}"/>
    <cellStyle name="Note 2 2 3 3 3 2 3 2" xfId="45892" xr:uid="{00000000-0005-0000-0000-0000C9C20000}"/>
    <cellStyle name="Note 2 2 3 3 3 2 4" xfId="32976" xr:uid="{00000000-0005-0000-0000-0000CAC20000}"/>
    <cellStyle name="Note 2 2 3 3 3 3" xfId="10331" xr:uid="{00000000-0005-0000-0000-0000CBC20000}"/>
    <cellStyle name="Note 2 2 3 3 3 3 2" xfId="23248" xr:uid="{00000000-0005-0000-0000-0000CCC20000}"/>
    <cellStyle name="Note 2 2 3 3 3 3 2 2" xfId="49122" xr:uid="{00000000-0005-0000-0000-0000CDC20000}"/>
    <cellStyle name="Note 2 2 3 3 3 3 3" xfId="36206" xr:uid="{00000000-0005-0000-0000-0000CEC20000}"/>
    <cellStyle name="Note 2 2 3 3 3 4" xfId="16790" xr:uid="{00000000-0005-0000-0000-0000CFC20000}"/>
    <cellStyle name="Note 2 2 3 3 3 4 2" xfId="42664" xr:uid="{00000000-0005-0000-0000-0000D0C20000}"/>
    <cellStyle name="Note 2 2 3 3 3 5" xfId="29716" xr:uid="{00000000-0005-0000-0000-0000D1C20000}"/>
    <cellStyle name="Note 2 2 3 3 4" xfId="5486" xr:uid="{00000000-0005-0000-0000-0000D2C20000}"/>
    <cellStyle name="Note 2 2 3 3 4 2" xfId="11945" xr:uid="{00000000-0005-0000-0000-0000D3C20000}"/>
    <cellStyle name="Note 2 2 3 3 4 2 2" xfId="24862" xr:uid="{00000000-0005-0000-0000-0000D4C20000}"/>
    <cellStyle name="Note 2 2 3 3 4 2 2 2" xfId="50736" xr:uid="{00000000-0005-0000-0000-0000D5C20000}"/>
    <cellStyle name="Note 2 2 3 3 4 2 3" xfId="37820" xr:uid="{00000000-0005-0000-0000-0000D6C20000}"/>
    <cellStyle name="Note 2 2 3 3 4 3" xfId="18404" xr:uid="{00000000-0005-0000-0000-0000D7C20000}"/>
    <cellStyle name="Note 2 2 3 3 4 3 2" xfId="44278" xr:uid="{00000000-0005-0000-0000-0000D8C20000}"/>
    <cellStyle name="Note 2 2 3 3 4 4" xfId="31362" xr:uid="{00000000-0005-0000-0000-0000D9C20000}"/>
    <cellStyle name="Note 2 2 3 3 5" xfId="8717" xr:uid="{00000000-0005-0000-0000-0000DAC20000}"/>
    <cellStyle name="Note 2 2 3 3 5 2" xfId="21634" xr:uid="{00000000-0005-0000-0000-0000DBC20000}"/>
    <cellStyle name="Note 2 2 3 3 5 2 2" xfId="47508" xr:uid="{00000000-0005-0000-0000-0000DCC20000}"/>
    <cellStyle name="Note 2 2 3 3 5 3" xfId="34592" xr:uid="{00000000-0005-0000-0000-0000DDC20000}"/>
    <cellStyle name="Note 2 2 3 3 6" xfId="15176" xr:uid="{00000000-0005-0000-0000-0000DEC20000}"/>
    <cellStyle name="Note 2 2 3 3 6 2" xfId="41050" xr:uid="{00000000-0005-0000-0000-0000DFC20000}"/>
    <cellStyle name="Note 2 2 3 3 7" xfId="28102" xr:uid="{00000000-0005-0000-0000-0000E0C20000}"/>
    <cellStyle name="Note 2 2 3 3 8" xfId="53964" xr:uid="{00000000-0005-0000-0000-0000E1C20000}"/>
    <cellStyle name="Note 2 2 3 3 9" xfId="2205" xr:uid="{00000000-0005-0000-0000-0000E2C20000}"/>
    <cellStyle name="Note 2 2 3 4" xfId="1003" xr:uid="{00000000-0005-0000-0000-0000E3C20000}"/>
    <cellStyle name="Note 2 2 3 4 2" xfId="4273" xr:uid="{00000000-0005-0000-0000-0000E4C20000}"/>
    <cellStyle name="Note 2 2 3 4 2 2" xfId="7504" xr:uid="{00000000-0005-0000-0000-0000E5C20000}"/>
    <cellStyle name="Note 2 2 3 4 2 2 2" xfId="13963" xr:uid="{00000000-0005-0000-0000-0000E6C20000}"/>
    <cellStyle name="Note 2 2 3 4 2 2 2 2" xfId="26880" xr:uid="{00000000-0005-0000-0000-0000E7C20000}"/>
    <cellStyle name="Note 2 2 3 4 2 2 2 2 2" xfId="52754" xr:uid="{00000000-0005-0000-0000-0000E8C20000}"/>
    <cellStyle name="Note 2 2 3 4 2 2 2 3" xfId="39838" xr:uid="{00000000-0005-0000-0000-0000E9C20000}"/>
    <cellStyle name="Note 2 2 3 4 2 2 3" xfId="20422" xr:uid="{00000000-0005-0000-0000-0000EAC20000}"/>
    <cellStyle name="Note 2 2 3 4 2 2 3 2" xfId="46296" xr:uid="{00000000-0005-0000-0000-0000EBC20000}"/>
    <cellStyle name="Note 2 2 3 4 2 2 4" xfId="33380" xr:uid="{00000000-0005-0000-0000-0000ECC20000}"/>
    <cellStyle name="Note 2 2 3 4 2 3" xfId="10735" xr:uid="{00000000-0005-0000-0000-0000EDC20000}"/>
    <cellStyle name="Note 2 2 3 4 2 3 2" xfId="23652" xr:uid="{00000000-0005-0000-0000-0000EEC20000}"/>
    <cellStyle name="Note 2 2 3 4 2 3 2 2" xfId="49526" xr:uid="{00000000-0005-0000-0000-0000EFC20000}"/>
    <cellStyle name="Note 2 2 3 4 2 3 3" xfId="36610" xr:uid="{00000000-0005-0000-0000-0000F0C20000}"/>
    <cellStyle name="Note 2 2 3 4 2 4" xfId="17194" xr:uid="{00000000-0005-0000-0000-0000F1C20000}"/>
    <cellStyle name="Note 2 2 3 4 2 4 2" xfId="43068" xr:uid="{00000000-0005-0000-0000-0000F2C20000}"/>
    <cellStyle name="Note 2 2 3 4 2 5" xfId="30120" xr:uid="{00000000-0005-0000-0000-0000F3C20000}"/>
    <cellStyle name="Note 2 2 3 4 3" xfId="5890" xr:uid="{00000000-0005-0000-0000-0000F4C20000}"/>
    <cellStyle name="Note 2 2 3 4 3 2" xfId="12349" xr:uid="{00000000-0005-0000-0000-0000F5C20000}"/>
    <cellStyle name="Note 2 2 3 4 3 2 2" xfId="25266" xr:uid="{00000000-0005-0000-0000-0000F6C20000}"/>
    <cellStyle name="Note 2 2 3 4 3 2 2 2" xfId="51140" xr:uid="{00000000-0005-0000-0000-0000F7C20000}"/>
    <cellStyle name="Note 2 2 3 4 3 2 3" xfId="38224" xr:uid="{00000000-0005-0000-0000-0000F8C20000}"/>
    <cellStyle name="Note 2 2 3 4 3 3" xfId="18808" xr:uid="{00000000-0005-0000-0000-0000F9C20000}"/>
    <cellStyle name="Note 2 2 3 4 3 3 2" xfId="44682" xr:uid="{00000000-0005-0000-0000-0000FAC20000}"/>
    <cellStyle name="Note 2 2 3 4 3 4" xfId="31766" xr:uid="{00000000-0005-0000-0000-0000FBC20000}"/>
    <cellStyle name="Note 2 2 3 4 4" xfId="9121" xr:uid="{00000000-0005-0000-0000-0000FCC20000}"/>
    <cellStyle name="Note 2 2 3 4 4 2" xfId="22038" xr:uid="{00000000-0005-0000-0000-0000FDC20000}"/>
    <cellStyle name="Note 2 2 3 4 4 2 2" xfId="47912" xr:uid="{00000000-0005-0000-0000-0000FEC20000}"/>
    <cellStyle name="Note 2 2 3 4 4 3" xfId="34996" xr:uid="{00000000-0005-0000-0000-0000FFC20000}"/>
    <cellStyle name="Note 2 2 3 4 5" xfId="15580" xr:uid="{00000000-0005-0000-0000-000000C30000}"/>
    <cellStyle name="Note 2 2 3 4 5 2" xfId="41454" xr:uid="{00000000-0005-0000-0000-000001C30000}"/>
    <cellStyle name="Note 2 2 3 4 6" xfId="28506" xr:uid="{00000000-0005-0000-0000-000002C30000}"/>
    <cellStyle name="Note 2 2 3 4 7" xfId="2616" xr:uid="{00000000-0005-0000-0000-000003C30000}"/>
    <cellStyle name="Note 2 2 3 5" xfId="3443" xr:uid="{00000000-0005-0000-0000-000004C30000}"/>
    <cellStyle name="Note 2 2 3 5 2" xfId="6697" xr:uid="{00000000-0005-0000-0000-000005C30000}"/>
    <cellStyle name="Note 2 2 3 5 2 2" xfId="13156" xr:uid="{00000000-0005-0000-0000-000006C30000}"/>
    <cellStyle name="Note 2 2 3 5 2 2 2" xfId="26073" xr:uid="{00000000-0005-0000-0000-000007C30000}"/>
    <cellStyle name="Note 2 2 3 5 2 2 2 2" xfId="51947" xr:uid="{00000000-0005-0000-0000-000008C30000}"/>
    <cellStyle name="Note 2 2 3 5 2 2 3" xfId="39031" xr:uid="{00000000-0005-0000-0000-000009C30000}"/>
    <cellStyle name="Note 2 2 3 5 2 3" xfId="19615" xr:uid="{00000000-0005-0000-0000-00000AC30000}"/>
    <cellStyle name="Note 2 2 3 5 2 3 2" xfId="45489" xr:uid="{00000000-0005-0000-0000-00000BC30000}"/>
    <cellStyle name="Note 2 2 3 5 2 4" xfId="32573" xr:uid="{00000000-0005-0000-0000-00000CC30000}"/>
    <cellStyle name="Note 2 2 3 5 3" xfId="9928" xr:uid="{00000000-0005-0000-0000-00000DC30000}"/>
    <cellStyle name="Note 2 2 3 5 3 2" xfId="22845" xr:uid="{00000000-0005-0000-0000-00000EC30000}"/>
    <cellStyle name="Note 2 2 3 5 3 2 2" xfId="48719" xr:uid="{00000000-0005-0000-0000-00000FC30000}"/>
    <cellStyle name="Note 2 2 3 5 3 3" xfId="35803" xr:uid="{00000000-0005-0000-0000-000010C30000}"/>
    <cellStyle name="Note 2 2 3 5 4" xfId="16387" xr:uid="{00000000-0005-0000-0000-000011C30000}"/>
    <cellStyle name="Note 2 2 3 5 4 2" xfId="42261" xr:uid="{00000000-0005-0000-0000-000012C30000}"/>
    <cellStyle name="Note 2 2 3 5 5" xfId="29313" xr:uid="{00000000-0005-0000-0000-000013C30000}"/>
    <cellStyle name="Note 2 2 3 6" xfId="5083" xr:uid="{00000000-0005-0000-0000-000014C30000}"/>
    <cellStyle name="Note 2 2 3 6 2" xfId="11542" xr:uid="{00000000-0005-0000-0000-000015C30000}"/>
    <cellStyle name="Note 2 2 3 6 2 2" xfId="24459" xr:uid="{00000000-0005-0000-0000-000016C30000}"/>
    <cellStyle name="Note 2 2 3 6 2 2 2" xfId="50333" xr:uid="{00000000-0005-0000-0000-000017C30000}"/>
    <cellStyle name="Note 2 2 3 6 2 3" xfId="37417" xr:uid="{00000000-0005-0000-0000-000018C30000}"/>
    <cellStyle name="Note 2 2 3 6 3" xfId="18001" xr:uid="{00000000-0005-0000-0000-000019C30000}"/>
    <cellStyle name="Note 2 2 3 6 3 2" xfId="43875" xr:uid="{00000000-0005-0000-0000-00001AC30000}"/>
    <cellStyle name="Note 2 2 3 6 4" xfId="30959" xr:uid="{00000000-0005-0000-0000-00001BC30000}"/>
    <cellStyle name="Note 2 2 3 7" xfId="8313" xr:uid="{00000000-0005-0000-0000-00001CC30000}"/>
    <cellStyle name="Note 2 2 3 7 2" xfId="21230" xr:uid="{00000000-0005-0000-0000-00001DC30000}"/>
    <cellStyle name="Note 2 2 3 7 2 2" xfId="47104" xr:uid="{00000000-0005-0000-0000-00001EC30000}"/>
    <cellStyle name="Note 2 2 3 7 3" xfId="34188" xr:uid="{00000000-0005-0000-0000-00001FC30000}"/>
    <cellStyle name="Note 2 2 3 8" xfId="14772" xr:uid="{00000000-0005-0000-0000-000020C30000}"/>
    <cellStyle name="Note 2 2 3 8 2" xfId="40646" xr:uid="{00000000-0005-0000-0000-000021C30000}"/>
    <cellStyle name="Note 2 2 3 9" xfId="27696" xr:uid="{00000000-0005-0000-0000-000022C30000}"/>
    <cellStyle name="Note 2 2 4" xfId="336" xr:uid="{00000000-0005-0000-0000-000023C30000}"/>
    <cellStyle name="Note 2 2 4 10" xfId="53527" xr:uid="{00000000-0005-0000-0000-000024C30000}"/>
    <cellStyle name="Note 2 2 4 11" xfId="1610" xr:uid="{00000000-0005-0000-0000-000025C30000}"/>
    <cellStyle name="Note 2 2 4 2" xfId="468" xr:uid="{00000000-0005-0000-0000-000026C30000}"/>
    <cellStyle name="Note 2 2 4 2 10" xfId="1936" xr:uid="{00000000-0005-0000-0000-000027C30000}"/>
    <cellStyle name="Note 2 2 4 2 2" xfId="1009" xr:uid="{00000000-0005-0000-0000-000028C30000}"/>
    <cellStyle name="Note 2 2 4 2 2 2" xfId="3180" xr:uid="{00000000-0005-0000-0000-000029C30000}"/>
    <cellStyle name="Note 2 2 4 2 2 2 2" xfId="4837" xr:uid="{00000000-0005-0000-0000-00002AC30000}"/>
    <cellStyle name="Note 2 2 4 2 2 2 2 2" xfId="8068" xr:uid="{00000000-0005-0000-0000-00002BC30000}"/>
    <cellStyle name="Note 2 2 4 2 2 2 2 2 2" xfId="14527" xr:uid="{00000000-0005-0000-0000-00002CC30000}"/>
    <cellStyle name="Note 2 2 4 2 2 2 2 2 2 2" xfId="27444" xr:uid="{00000000-0005-0000-0000-00002DC30000}"/>
    <cellStyle name="Note 2 2 4 2 2 2 2 2 2 2 2" xfId="53318" xr:uid="{00000000-0005-0000-0000-00002EC30000}"/>
    <cellStyle name="Note 2 2 4 2 2 2 2 2 2 3" xfId="40402" xr:uid="{00000000-0005-0000-0000-00002FC30000}"/>
    <cellStyle name="Note 2 2 4 2 2 2 2 2 3" xfId="20986" xr:uid="{00000000-0005-0000-0000-000030C30000}"/>
    <cellStyle name="Note 2 2 4 2 2 2 2 2 3 2" xfId="46860" xr:uid="{00000000-0005-0000-0000-000031C30000}"/>
    <cellStyle name="Note 2 2 4 2 2 2 2 2 4" xfId="33944" xr:uid="{00000000-0005-0000-0000-000032C30000}"/>
    <cellStyle name="Note 2 2 4 2 2 2 2 3" xfId="11299" xr:uid="{00000000-0005-0000-0000-000033C30000}"/>
    <cellStyle name="Note 2 2 4 2 2 2 2 3 2" xfId="24216" xr:uid="{00000000-0005-0000-0000-000034C30000}"/>
    <cellStyle name="Note 2 2 4 2 2 2 2 3 2 2" xfId="50090" xr:uid="{00000000-0005-0000-0000-000035C30000}"/>
    <cellStyle name="Note 2 2 4 2 2 2 2 3 3" xfId="37174" xr:uid="{00000000-0005-0000-0000-000036C30000}"/>
    <cellStyle name="Note 2 2 4 2 2 2 2 4" xfId="17758" xr:uid="{00000000-0005-0000-0000-000037C30000}"/>
    <cellStyle name="Note 2 2 4 2 2 2 2 4 2" xfId="43632" xr:uid="{00000000-0005-0000-0000-000038C30000}"/>
    <cellStyle name="Note 2 2 4 2 2 2 2 5" xfId="30684" xr:uid="{00000000-0005-0000-0000-000039C30000}"/>
    <cellStyle name="Note 2 2 4 2 2 2 3" xfId="6454" xr:uid="{00000000-0005-0000-0000-00003AC30000}"/>
    <cellStyle name="Note 2 2 4 2 2 2 3 2" xfId="12913" xr:uid="{00000000-0005-0000-0000-00003BC30000}"/>
    <cellStyle name="Note 2 2 4 2 2 2 3 2 2" xfId="25830" xr:uid="{00000000-0005-0000-0000-00003CC30000}"/>
    <cellStyle name="Note 2 2 4 2 2 2 3 2 2 2" xfId="51704" xr:uid="{00000000-0005-0000-0000-00003DC30000}"/>
    <cellStyle name="Note 2 2 4 2 2 2 3 2 3" xfId="38788" xr:uid="{00000000-0005-0000-0000-00003EC30000}"/>
    <cellStyle name="Note 2 2 4 2 2 2 3 3" xfId="19372" xr:uid="{00000000-0005-0000-0000-00003FC30000}"/>
    <cellStyle name="Note 2 2 4 2 2 2 3 3 2" xfId="45246" xr:uid="{00000000-0005-0000-0000-000040C30000}"/>
    <cellStyle name="Note 2 2 4 2 2 2 3 4" xfId="32330" xr:uid="{00000000-0005-0000-0000-000041C30000}"/>
    <cellStyle name="Note 2 2 4 2 2 2 4" xfId="9685" xr:uid="{00000000-0005-0000-0000-000042C30000}"/>
    <cellStyle name="Note 2 2 4 2 2 2 4 2" xfId="22602" xr:uid="{00000000-0005-0000-0000-000043C30000}"/>
    <cellStyle name="Note 2 2 4 2 2 2 4 2 2" xfId="48476" xr:uid="{00000000-0005-0000-0000-000044C30000}"/>
    <cellStyle name="Note 2 2 4 2 2 2 4 3" xfId="35560" xr:uid="{00000000-0005-0000-0000-000045C30000}"/>
    <cellStyle name="Note 2 2 4 2 2 2 5" xfId="16144" xr:uid="{00000000-0005-0000-0000-000046C30000}"/>
    <cellStyle name="Note 2 2 4 2 2 2 5 2" xfId="42018" xr:uid="{00000000-0005-0000-0000-000047C30000}"/>
    <cellStyle name="Note 2 2 4 2 2 2 6" xfId="29070" xr:uid="{00000000-0005-0000-0000-000048C30000}"/>
    <cellStyle name="Note 2 2 4 2 2 3" xfId="4007" xr:uid="{00000000-0005-0000-0000-000049C30000}"/>
    <cellStyle name="Note 2 2 4 2 2 3 2" xfId="7261" xr:uid="{00000000-0005-0000-0000-00004AC30000}"/>
    <cellStyle name="Note 2 2 4 2 2 3 2 2" xfId="13720" xr:uid="{00000000-0005-0000-0000-00004BC30000}"/>
    <cellStyle name="Note 2 2 4 2 2 3 2 2 2" xfId="26637" xr:uid="{00000000-0005-0000-0000-00004CC30000}"/>
    <cellStyle name="Note 2 2 4 2 2 3 2 2 2 2" xfId="52511" xr:uid="{00000000-0005-0000-0000-00004DC30000}"/>
    <cellStyle name="Note 2 2 4 2 2 3 2 2 3" xfId="39595" xr:uid="{00000000-0005-0000-0000-00004EC30000}"/>
    <cellStyle name="Note 2 2 4 2 2 3 2 3" xfId="20179" xr:uid="{00000000-0005-0000-0000-00004FC30000}"/>
    <cellStyle name="Note 2 2 4 2 2 3 2 3 2" xfId="46053" xr:uid="{00000000-0005-0000-0000-000050C30000}"/>
    <cellStyle name="Note 2 2 4 2 2 3 2 4" xfId="33137" xr:uid="{00000000-0005-0000-0000-000051C30000}"/>
    <cellStyle name="Note 2 2 4 2 2 3 3" xfId="10492" xr:uid="{00000000-0005-0000-0000-000052C30000}"/>
    <cellStyle name="Note 2 2 4 2 2 3 3 2" xfId="23409" xr:uid="{00000000-0005-0000-0000-000053C30000}"/>
    <cellStyle name="Note 2 2 4 2 2 3 3 2 2" xfId="49283" xr:uid="{00000000-0005-0000-0000-000054C30000}"/>
    <cellStyle name="Note 2 2 4 2 2 3 3 3" xfId="36367" xr:uid="{00000000-0005-0000-0000-000055C30000}"/>
    <cellStyle name="Note 2 2 4 2 2 3 4" xfId="16951" xr:uid="{00000000-0005-0000-0000-000056C30000}"/>
    <cellStyle name="Note 2 2 4 2 2 3 4 2" xfId="42825" xr:uid="{00000000-0005-0000-0000-000057C30000}"/>
    <cellStyle name="Note 2 2 4 2 2 3 5" xfId="29877" xr:uid="{00000000-0005-0000-0000-000058C30000}"/>
    <cellStyle name="Note 2 2 4 2 2 4" xfId="5647" xr:uid="{00000000-0005-0000-0000-000059C30000}"/>
    <cellStyle name="Note 2 2 4 2 2 4 2" xfId="12106" xr:uid="{00000000-0005-0000-0000-00005AC30000}"/>
    <cellStyle name="Note 2 2 4 2 2 4 2 2" xfId="25023" xr:uid="{00000000-0005-0000-0000-00005BC30000}"/>
    <cellStyle name="Note 2 2 4 2 2 4 2 2 2" xfId="50897" xr:uid="{00000000-0005-0000-0000-00005CC30000}"/>
    <cellStyle name="Note 2 2 4 2 2 4 2 3" xfId="37981" xr:uid="{00000000-0005-0000-0000-00005DC30000}"/>
    <cellStyle name="Note 2 2 4 2 2 4 3" xfId="18565" xr:uid="{00000000-0005-0000-0000-00005EC30000}"/>
    <cellStyle name="Note 2 2 4 2 2 4 3 2" xfId="44439" xr:uid="{00000000-0005-0000-0000-00005FC30000}"/>
    <cellStyle name="Note 2 2 4 2 2 4 4" xfId="31523" xr:uid="{00000000-0005-0000-0000-000060C30000}"/>
    <cellStyle name="Note 2 2 4 2 2 5" xfId="8878" xr:uid="{00000000-0005-0000-0000-000061C30000}"/>
    <cellStyle name="Note 2 2 4 2 2 5 2" xfId="21795" xr:uid="{00000000-0005-0000-0000-000062C30000}"/>
    <cellStyle name="Note 2 2 4 2 2 5 2 2" xfId="47669" xr:uid="{00000000-0005-0000-0000-000063C30000}"/>
    <cellStyle name="Note 2 2 4 2 2 5 3" xfId="34753" xr:uid="{00000000-0005-0000-0000-000064C30000}"/>
    <cellStyle name="Note 2 2 4 2 2 6" xfId="15337" xr:uid="{00000000-0005-0000-0000-000065C30000}"/>
    <cellStyle name="Note 2 2 4 2 2 6 2" xfId="41211" xr:uid="{00000000-0005-0000-0000-000066C30000}"/>
    <cellStyle name="Note 2 2 4 2 2 7" xfId="28263" xr:uid="{00000000-0005-0000-0000-000067C30000}"/>
    <cellStyle name="Note 2 2 4 2 2 8" xfId="54125" xr:uid="{00000000-0005-0000-0000-000068C30000}"/>
    <cellStyle name="Note 2 2 4 2 2 9" xfId="2367" xr:uid="{00000000-0005-0000-0000-000069C30000}"/>
    <cellStyle name="Note 2 2 4 2 3" xfId="1008" xr:uid="{00000000-0005-0000-0000-00006AC30000}"/>
    <cellStyle name="Note 2 2 4 2 3 2" xfId="4433" xr:uid="{00000000-0005-0000-0000-00006BC30000}"/>
    <cellStyle name="Note 2 2 4 2 3 2 2" xfId="7664" xr:uid="{00000000-0005-0000-0000-00006CC30000}"/>
    <cellStyle name="Note 2 2 4 2 3 2 2 2" xfId="14123" xr:uid="{00000000-0005-0000-0000-00006DC30000}"/>
    <cellStyle name="Note 2 2 4 2 3 2 2 2 2" xfId="27040" xr:uid="{00000000-0005-0000-0000-00006EC30000}"/>
    <cellStyle name="Note 2 2 4 2 3 2 2 2 2 2" xfId="52914" xr:uid="{00000000-0005-0000-0000-00006FC30000}"/>
    <cellStyle name="Note 2 2 4 2 3 2 2 2 3" xfId="39998" xr:uid="{00000000-0005-0000-0000-000070C30000}"/>
    <cellStyle name="Note 2 2 4 2 3 2 2 3" xfId="20582" xr:uid="{00000000-0005-0000-0000-000071C30000}"/>
    <cellStyle name="Note 2 2 4 2 3 2 2 3 2" xfId="46456" xr:uid="{00000000-0005-0000-0000-000072C30000}"/>
    <cellStyle name="Note 2 2 4 2 3 2 2 4" xfId="33540" xr:uid="{00000000-0005-0000-0000-000073C30000}"/>
    <cellStyle name="Note 2 2 4 2 3 2 3" xfId="10895" xr:uid="{00000000-0005-0000-0000-000074C30000}"/>
    <cellStyle name="Note 2 2 4 2 3 2 3 2" xfId="23812" xr:uid="{00000000-0005-0000-0000-000075C30000}"/>
    <cellStyle name="Note 2 2 4 2 3 2 3 2 2" xfId="49686" xr:uid="{00000000-0005-0000-0000-000076C30000}"/>
    <cellStyle name="Note 2 2 4 2 3 2 3 3" xfId="36770" xr:uid="{00000000-0005-0000-0000-000077C30000}"/>
    <cellStyle name="Note 2 2 4 2 3 2 4" xfId="17354" xr:uid="{00000000-0005-0000-0000-000078C30000}"/>
    <cellStyle name="Note 2 2 4 2 3 2 4 2" xfId="43228" xr:uid="{00000000-0005-0000-0000-000079C30000}"/>
    <cellStyle name="Note 2 2 4 2 3 2 5" xfId="30280" xr:uid="{00000000-0005-0000-0000-00007AC30000}"/>
    <cellStyle name="Note 2 2 4 2 3 3" xfId="6050" xr:uid="{00000000-0005-0000-0000-00007BC30000}"/>
    <cellStyle name="Note 2 2 4 2 3 3 2" xfId="12509" xr:uid="{00000000-0005-0000-0000-00007CC30000}"/>
    <cellStyle name="Note 2 2 4 2 3 3 2 2" xfId="25426" xr:uid="{00000000-0005-0000-0000-00007DC30000}"/>
    <cellStyle name="Note 2 2 4 2 3 3 2 2 2" xfId="51300" xr:uid="{00000000-0005-0000-0000-00007EC30000}"/>
    <cellStyle name="Note 2 2 4 2 3 3 2 3" xfId="38384" xr:uid="{00000000-0005-0000-0000-00007FC30000}"/>
    <cellStyle name="Note 2 2 4 2 3 3 3" xfId="18968" xr:uid="{00000000-0005-0000-0000-000080C30000}"/>
    <cellStyle name="Note 2 2 4 2 3 3 3 2" xfId="44842" xr:uid="{00000000-0005-0000-0000-000081C30000}"/>
    <cellStyle name="Note 2 2 4 2 3 3 4" xfId="31926" xr:uid="{00000000-0005-0000-0000-000082C30000}"/>
    <cellStyle name="Note 2 2 4 2 3 4" xfId="9281" xr:uid="{00000000-0005-0000-0000-000083C30000}"/>
    <cellStyle name="Note 2 2 4 2 3 4 2" xfId="22198" xr:uid="{00000000-0005-0000-0000-000084C30000}"/>
    <cellStyle name="Note 2 2 4 2 3 4 2 2" xfId="48072" xr:uid="{00000000-0005-0000-0000-000085C30000}"/>
    <cellStyle name="Note 2 2 4 2 3 4 3" xfId="35156" xr:uid="{00000000-0005-0000-0000-000086C30000}"/>
    <cellStyle name="Note 2 2 4 2 3 5" xfId="15740" xr:uid="{00000000-0005-0000-0000-000087C30000}"/>
    <cellStyle name="Note 2 2 4 2 3 5 2" xfId="41614" xr:uid="{00000000-0005-0000-0000-000088C30000}"/>
    <cellStyle name="Note 2 2 4 2 3 6" xfId="28666" xr:uid="{00000000-0005-0000-0000-000089C30000}"/>
    <cellStyle name="Note 2 2 4 2 3 7" xfId="2776" xr:uid="{00000000-0005-0000-0000-00008AC30000}"/>
    <cellStyle name="Note 2 2 4 2 4" xfId="3603" xr:uid="{00000000-0005-0000-0000-00008BC30000}"/>
    <cellStyle name="Note 2 2 4 2 4 2" xfId="6857" xr:uid="{00000000-0005-0000-0000-00008CC30000}"/>
    <cellStyle name="Note 2 2 4 2 4 2 2" xfId="13316" xr:uid="{00000000-0005-0000-0000-00008DC30000}"/>
    <cellStyle name="Note 2 2 4 2 4 2 2 2" xfId="26233" xr:uid="{00000000-0005-0000-0000-00008EC30000}"/>
    <cellStyle name="Note 2 2 4 2 4 2 2 2 2" xfId="52107" xr:uid="{00000000-0005-0000-0000-00008FC30000}"/>
    <cellStyle name="Note 2 2 4 2 4 2 2 3" xfId="39191" xr:uid="{00000000-0005-0000-0000-000090C30000}"/>
    <cellStyle name="Note 2 2 4 2 4 2 3" xfId="19775" xr:uid="{00000000-0005-0000-0000-000091C30000}"/>
    <cellStyle name="Note 2 2 4 2 4 2 3 2" xfId="45649" xr:uid="{00000000-0005-0000-0000-000092C30000}"/>
    <cellStyle name="Note 2 2 4 2 4 2 4" xfId="32733" xr:uid="{00000000-0005-0000-0000-000093C30000}"/>
    <cellStyle name="Note 2 2 4 2 4 3" xfId="10088" xr:uid="{00000000-0005-0000-0000-000094C30000}"/>
    <cellStyle name="Note 2 2 4 2 4 3 2" xfId="23005" xr:uid="{00000000-0005-0000-0000-000095C30000}"/>
    <cellStyle name="Note 2 2 4 2 4 3 2 2" xfId="48879" xr:uid="{00000000-0005-0000-0000-000096C30000}"/>
    <cellStyle name="Note 2 2 4 2 4 3 3" xfId="35963" xr:uid="{00000000-0005-0000-0000-000097C30000}"/>
    <cellStyle name="Note 2 2 4 2 4 4" xfId="16547" xr:uid="{00000000-0005-0000-0000-000098C30000}"/>
    <cellStyle name="Note 2 2 4 2 4 4 2" xfId="42421" xr:uid="{00000000-0005-0000-0000-000099C30000}"/>
    <cellStyle name="Note 2 2 4 2 4 5" xfId="29473" xr:uid="{00000000-0005-0000-0000-00009AC30000}"/>
    <cellStyle name="Note 2 2 4 2 5" xfId="5243" xr:uid="{00000000-0005-0000-0000-00009BC30000}"/>
    <cellStyle name="Note 2 2 4 2 5 2" xfId="11702" xr:uid="{00000000-0005-0000-0000-00009CC30000}"/>
    <cellStyle name="Note 2 2 4 2 5 2 2" xfId="24619" xr:uid="{00000000-0005-0000-0000-00009DC30000}"/>
    <cellStyle name="Note 2 2 4 2 5 2 2 2" xfId="50493" xr:uid="{00000000-0005-0000-0000-00009EC30000}"/>
    <cellStyle name="Note 2 2 4 2 5 2 3" xfId="37577" xr:uid="{00000000-0005-0000-0000-00009FC30000}"/>
    <cellStyle name="Note 2 2 4 2 5 3" xfId="18161" xr:uid="{00000000-0005-0000-0000-0000A0C30000}"/>
    <cellStyle name="Note 2 2 4 2 5 3 2" xfId="44035" xr:uid="{00000000-0005-0000-0000-0000A1C30000}"/>
    <cellStyle name="Note 2 2 4 2 5 4" xfId="31119" xr:uid="{00000000-0005-0000-0000-0000A2C30000}"/>
    <cellStyle name="Note 2 2 4 2 6" xfId="8474" xr:uid="{00000000-0005-0000-0000-0000A3C30000}"/>
    <cellStyle name="Note 2 2 4 2 6 2" xfId="21391" xr:uid="{00000000-0005-0000-0000-0000A4C30000}"/>
    <cellStyle name="Note 2 2 4 2 6 2 2" xfId="47265" xr:uid="{00000000-0005-0000-0000-0000A5C30000}"/>
    <cellStyle name="Note 2 2 4 2 6 3" xfId="34349" xr:uid="{00000000-0005-0000-0000-0000A6C30000}"/>
    <cellStyle name="Note 2 2 4 2 7" xfId="14933" xr:uid="{00000000-0005-0000-0000-0000A7C30000}"/>
    <cellStyle name="Note 2 2 4 2 7 2" xfId="40807" xr:uid="{00000000-0005-0000-0000-0000A8C30000}"/>
    <cellStyle name="Note 2 2 4 2 8" xfId="27858" xr:uid="{00000000-0005-0000-0000-0000A9C30000}"/>
    <cellStyle name="Note 2 2 4 2 9" xfId="53721" xr:uid="{00000000-0005-0000-0000-0000AAC30000}"/>
    <cellStyle name="Note 2 2 4 3" xfId="1010" xr:uid="{00000000-0005-0000-0000-0000ABC30000}"/>
    <cellStyle name="Note 2 2 4 3 2" xfId="2985" xr:uid="{00000000-0005-0000-0000-0000ACC30000}"/>
    <cellStyle name="Note 2 2 4 3 2 2" xfId="4642" xr:uid="{00000000-0005-0000-0000-0000ADC30000}"/>
    <cellStyle name="Note 2 2 4 3 2 2 2" xfId="7873" xr:uid="{00000000-0005-0000-0000-0000AEC30000}"/>
    <cellStyle name="Note 2 2 4 3 2 2 2 2" xfId="14332" xr:uid="{00000000-0005-0000-0000-0000AFC30000}"/>
    <cellStyle name="Note 2 2 4 3 2 2 2 2 2" xfId="27249" xr:uid="{00000000-0005-0000-0000-0000B0C30000}"/>
    <cellStyle name="Note 2 2 4 3 2 2 2 2 2 2" xfId="53123" xr:uid="{00000000-0005-0000-0000-0000B1C30000}"/>
    <cellStyle name="Note 2 2 4 3 2 2 2 2 3" xfId="40207" xr:uid="{00000000-0005-0000-0000-0000B2C30000}"/>
    <cellStyle name="Note 2 2 4 3 2 2 2 3" xfId="20791" xr:uid="{00000000-0005-0000-0000-0000B3C30000}"/>
    <cellStyle name="Note 2 2 4 3 2 2 2 3 2" xfId="46665" xr:uid="{00000000-0005-0000-0000-0000B4C30000}"/>
    <cellStyle name="Note 2 2 4 3 2 2 2 4" xfId="33749" xr:uid="{00000000-0005-0000-0000-0000B5C30000}"/>
    <cellStyle name="Note 2 2 4 3 2 2 3" xfId="11104" xr:uid="{00000000-0005-0000-0000-0000B6C30000}"/>
    <cellStyle name="Note 2 2 4 3 2 2 3 2" xfId="24021" xr:uid="{00000000-0005-0000-0000-0000B7C30000}"/>
    <cellStyle name="Note 2 2 4 3 2 2 3 2 2" xfId="49895" xr:uid="{00000000-0005-0000-0000-0000B8C30000}"/>
    <cellStyle name="Note 2 2 4 3 2 2 3 3" xfId="36979" xr:uid="{00000000-0005-0000-0000-0000B9C30000}"/>
    <cellStyle name="Note 2 2 4 3 2 2 4" xfId="17563" xr:uid="{00000000-0005-0000-0000-0000BAC30000}"/>
    <cellStyle name="Note 2 2 4 3 2 2 4 2" xfId="43437" xr:uid="{00000000-0005-0000-0000-0000BBC30000}"/>
    <cellStyle name="Note 2 2 4 3 2 2 5" xfId="30489" xr:uid="{00000000-0005-0000-0000-0000BCC30000}"/>
    <cellStyle name="Note 2 2 4 3 2 3" xfId="6259" xr:uid="{00000000-0005-0000-0000-0000BDC30000}"/>
    <cellStyle name="Note 2 2 4 3 2 3 2" xfId="12718" xr:uid="{00000000-0005-0000-0000-0000BEC30000}"/>
    <cellStyle name="Note 2 2 4 3 2 3 2 2" xfId="25635" xr:uid="{00000000-0005-0000-0000-0000BFC30000}"/>
    <cellStyle name="Note 2 2 4 3 2 3 2 2 2" xfId="51509" xr:uid="{00000000-0005-0000-0000-0000C0C30000}"/>
    <cellStyle name="Note 2 2 4 3 2 3 2 3" xfId="38593" xr:uid="{00000000-0005-0000-0000-0000C1C30000}"/>
    <cellStyle name="Note 2 2 4 3 2 3 3" xfId="19177" xr:uid="{00000000-0005-0000-0000-0000C2C30000}"/>
    <cellStyle name="Note 2 2 4 3 2 3 3 2" xfId="45051" xr:uid="{00000000-0005-0000-0000-0000C3C30000}"/>
    <cellStyle name="Note 2 2 4 3 2 3 4" xfId="32135" xr:uid="{00000000-0005-0000-0000-0000C4C30000}"/>
    <cellStyle name="Note 2 2 4 3 2 4" xfId="9490" xr:uid="{00000000-0005-0000-0000-0000C5C30000}"/>
    <cellStyle name="Note 2 2 4 3 2 4 2" xfId="22407" xr:uid="{00000000-0005-0000-0000-0000C6C30000}"/>
    <cellStyle name="Note 2 2 4 3 2 4 2 2" xfId="48281" xr:uid="{00000000-0005-0000-0000-0000C7C30000}"/>
    <cellStyle name="Note 2 2 4 3 2 4 3" xfId="35365" xr:uid="{00000000-0005-0000-0000-0000C8C30000}"/>
    <cellStyle name="Note 2 2 4 3 2 5" xfId="15949" xr:uid="{00000000-0005-0000-0000-0000C9C30000}"/>
    <cellStyle name="Note 2 2 4 3 2 5 2" xfId="41823" xr:uid="{00000000-0005-0000-0000-0000CAC30000}"/>
    <cellStyle name="Note 2 2 4 3 2 6" xfId="28875" xr:uid="{00000000-0005-0000-0000-0000CBC30000}"/>
    <cellStyle name="Note 2 2 4 3 3" xfId="3812" xr:uid="{00000000-0005-0000-0000-0000CCC30000}"/>
    <cellStyle name="Note 2 2 4 3 3 2" xfId="7066" xr:uid="{00000000-0005-0000-0000-0000CDC30000}"/>
    <cellStyle name="Note 2 2 4 3 3 2 2" xfId="13525" xr:uid="{00000000-0005-0000-0000-0000CEC30000}"/>
    <cellStyle name="Note 2 2 4 3 3 2 2 2" xfId="26442" xr:uid="{00000000-0005-0000-0000-0000CFC30000}"/>
    <cellStyle name="Note 2 2 4 3 3 2 2 2 2" xfId="52316" xr:uid="{00000000-0005-0000-0000-0000D0C30000}"/>
    <cellStyle name="Note 2 2 4 3 3 2 2 3" xfId="39400" xr:uid="{00000000-0005-0000-0000-0000D1C30000}"/>
    <cellStyle name="Note 2 2 4 3 3 2 3" xfId="19984" xr:uid="{00000000-0005-0000-0000-0000D2C30000}"/>
    <cellStyle name="Note 2 2 4 3 3 2 3 2" xfId="45858" xr:uid="{00000000-0005-0000-0000-0000D3C30000}"/>
    <cellStyle name="Note 2 2 4 3 3 2 4" xfId="32942" xr:uid="{00000000-0005-0000-0000-0000D4C30000}"/>
    <cellStyle name="Note 2 2 4 3 3 3" xfId="10297" xr:uid="{00000000-0005-0000-0000-0000D5C30000}"/>
    <cellStyle name="Note 2 2 4 3 3 3 2" xfId="23214" xr:uid="{00000000-0005-0000-0000-0000D6C30000}"/>
    <cellStyle name="Note 2 2 4 3 3 3 2 2" xfId="49088" xr:uid="{00000000-0005-0000-0000-0000D7C30000}"/>
    <cellStyle name="Note 2 2 4 3 3 3 3" xfId="36172" xr:uid="{00000000-0005-0000-0000-0000D8C30000}"/>
    <cellStyle name="Note 2 2 4 3 3 4" xfId="16756" xr:uid="{00000000-0005-0000-0000-0000D9C30000}"/>
    <cellStyle name="Note 2 2 4 3 3 4 2" xfId="42630" xr:uid="{00000000-0005-0000-0000-0000DAC30000}"/>
    <cellStyle name="Note 2 2 4 3 3 5" xfId="29682" xr:uid="{00000000-0005-0000-0000-0000DBC30000}"/>
    <cellStyle name="Note 2 2 4 3 4" xfId="5452" xr:uid="{00000000-0005-0000-0000-0000DCC30000}"/>
    <cellStyle name="Note 2 2 4 3 4 2" xfId="11911" xr:uid="{00000000-0005-0000-0000-0000DDC30000}"/>
    <cellStyle name="Note 2 2 4 3 4 2 2" xfId="24828" xr:uid="{00000000-0005-0000-0000-0000DEC30000}"/>
    <cellStyle name="Note 2 2 4 3 4 2 2 2" xfId="50702" xr:uid="{00000000-0005-0000-0000-0000DFC30000}"/>
    <cellStyle name="Note 2 2 4 3 4 2 3" xfId="37786" xr:uid="{00000000-0005-0000-0000-0000E0C30000}"/>
    <cellStyle name="Note 2 2 4 3 4 3" xfId="18370" xr:uid="{00000000-0005-0000-0000-0000E1C30000}"/>
    <cellStyle name="Note 2 2 4 3 4 3 2" xfId="44244" xr:uid="{00000000-0005-0000-0000-0000E2C30000}"/>
    <cellStyle name="Note 2 2 4 3 4 4" xfId="31328" xr:uid="{00000000-0005-0000-0000-0000E3C30000}"/>
    <cellStyle name="Note 2 2 4 3 5" xfId="8683" xr:uid="{00000000-0005-0000-0000-0000E4C30000}"/>
    <cellStyle name="Note 2 2 4 3 5 2" xfId="21600" xr:uid="{00000000-0005-0000-0000-0000E5C30000}"/>
    <cellStyle name="Note 2 2 4 3 5 2 2" xfId="47474" xr:uid="{00000000-0005-0000-0000-0000E6C30000}"/>
    <cellStyle name="Note 2 2 4 3 5 3" xfId="34558" xr:uid="{00000000-0005-0000-0000-0000E7C30000}"/>
    <cellStyle name="Note 2 2 4 3 6" xfId="15142" xr:uid="{00000000-0005-0000-0000-0000E8C30000}"/>
    <cellStyle name="Note 2 2 4 3 6 2" xfId="41016" xr:uid="{00000000-0005-0000-0000-0000E9C30000}"/>
    <cellStyle name="Note 2 2 4 3 7" xfId="28068" xr:uid="{00000000-0005-0000-0000-0000EAC30000}"/>
    <cellStyle name="Note 2 2 4 3 8" xfId="53930" xr:uid="{00000000-0005-0000-0000-0000EBC30000}"/>
    <cellStyle name="Note 2 2 4 3 9" xfId="2171" xr:uid="{00000000-0005-0000-0000-0000ECC30000}"/>
    <cellStyle name="Note 2 2 4 4" xfId="1007" xr:uid="{00000000-0005-0000-0000-0000EDC30000}"/>
    <cellStyle name="Note 2 2 4 4 2" xfId="4239" xr:uid="{00000000-0005-0000-0000-0000EEC30000}"/>
    <cellStyle name="Note 2 2 4 4 2 2" xfId="7470" xr:uid="{00000000-0005-0000-0000-0000EFC30000}"/>
    <cellStyle name="Note 2 2 4 4 2 2 2" xfId="13929" xr:uid="{00000000-0005-0000-0000-0000F0C30000}"/>
    <cellStyle name="Note 2 2 4 4 2 2 2 2" xfId="26846" xr:uid="{00000000-0005-0000-0000-0000F1C30000}"/>
    <cellStyle name="Note 2 2 4 4 2 2 2 2 2" xfId="52720" xr:uid="{00000000-0005-0000-0000-0000F2C30000}"/>
    <cellStyle name="Note 2 2 4 4 2 2 2 3" xfId="39804" xr:uid="{00000000-0005-0000-0000-0000F3C30000}"/>
    <cellStyle name="Note 2 2 4 4 2 2 3" xfId="20388" xr:uid="{00000000-0005-0000-0000-0000F4C30000}"/>
    <cellStyle name="Note 2 2 4 4 2 2 3 2" xfId="46262" xr:uid="{00000000-0005-0000-0000-0000F5C30000}"/>
    <cellStyle name="Note 2 2 4 4 2 2 4" xfId="33346" xr:uid="{00000000-0005-0000-0000-0000F6C30000}"/>
    <cellStyle name="Note 2 2 4 4 2 3" xfId="10701" xr:uid="{00000000-0005-0000-0000-0000F7C30000}"/>
    <cellStyle name="Note 2 2 4 4 2 3 2" xfId="23618" xr:uid="{00000000-0005-0000-0000-0000F8C30000}"/>
    <cellStyle name="Note 2 2 4 4 2 3 2 2" xfId="49492" xr:uid="{00000000-0005-0000-0000-0000F9C30000}"/>
    <cellStyle name="Note 2 2 4 4 2 3 3" xfId="36576" xr:uid="{00000000-0005-0000-0000-0000FAC30000}"/>
    <cellStyle name="Note 2 2 4 4 2 4" xfId="17160" xr:uid="{00000000-0005-0000-0000-0000FBC30000}"/>
    <cellStyle name="Note 2 2 4 4 2 4 2" xfId="43034" xr:uid="{00000000-0005-0000-0000-0000FCC30000}"/>
    <cellStyle name="Note 2 2 4 4 2 5" xfId="30086" xr:uid="{00000000-0005-0000-0000-0000FDC30000}"/>
    <cellStyle name="Note 2 2 4 4 3" xfId="5856" xr:uid="{00000000-0005-0000-0000-0000FEC30000}"/>
    <cellStyle name="Note 2 2 4 4 3 2" xfId="12315" xr:uid="{00000000-0005-0000-0000-0000FFC30000}"/>
    <cellStyle name="Note 2 2 4 4 3 2 2" xfId="25232" xr:uid="{00000000-0005-0000-0000-000000C40000}"/>
    <cellStyle name="Note 2 2 4 4 3 2 2 2" xfId="51106" xr:uid="{00000000-0005-0000-0000-000001C40000}"/>
    <cellStyle name="Note 2 2 4 4 3 2 3" xfId="38190" xr:uid="{00000000-0005-0000-0000-000002C40000}"/>
    <cellStyle name="Note 2 2 4 4 3 3" xfId="18774" xr:uid="{00000000-0005-0000-0000-000003C40000}"/>
    <cellStyle name="Note 2 2 4 4 3 3 2" xfId="44648" xr:uid="{00000000-0005-0000-0000-000004C40000}"/>
    <cellStyle name="Note 2 2 4 4 3 4" xfId="31732" xr:uid="{00000000-0005-0000-0000-000005C40000}"/>
    <cellStyle name="Note 2 2 4 4 4" xfId="9087" xr:uid="{00000000-0005-0000-0000-000006C40000}"/>
    <cellStyle name="Note 2 2 4 4 4 2" xfId="22004" xr:uid="{00000000-0005-0000-0000-000007C40000}"/>
    <cellStyle name="Note 2 2 4 4 4 2 2" xfId="47878" xr:uid="{00000000-0005-0000-0000-000008C40000}"/>
    <cellStyle name="Note 2 2 4 4 4 3" xfId="34962" xr:uid="{00000000-0005-0000-0000-000009C40000}"/>
    <cellStyle name="Note 2 2 4 4 5" xfId="15546" xr:uid="{00000000-0005-0000-0000-00000AC40000}"/>
    <cellStyle name="Note 2 2 4 4 5 2" xfId="41420" xr:uid="{00000000-0005-0000-0000-00000BC40000}"/>
    <cellStyle name="Note 2 2 4 4 6" xfId="28472" xr:uid="{00000000-0005-0000-0000-00000CC40000}"/>
    <cellStyle name="Note 2 2 4 4 7" xfId="2582" xr:uid="{00000000-0005-0000-0000-00000DC40000}"/>
    <cellStyle name="Note 2 2 4 5" xfId="3408" xr:uid="{00000000-0005-0000-0000-00000EC40000}"/>
    <cellStyle name="Note 2 2 4 5 2" xfId="6663" xr:uid="{00000000-0005-0000-0000-00000FC40000}"/>
    <cellStyle name="Note 2 2 4 5 2 2" xfId="13122" xr:uid="{00000000-0005-0000-0000-000010C40000}"/>
    <cellStyle name="Note 2 2 4 5 2 2 2" xfId="26039" xr:uid="{00000000-0005-0000-0000-000011C40000}"/>
    <cellStyle name="Note 2 2 4 5 2 2 2 2" xfId="51913" xr:uid="{00000000-0005-0000-0000-000012C40000}"/>
    <cellStyle name="Note 2 2 4 5 2 2 3" xfId="38997" xr:uid="{00000000-0005-0000-0000-000013C40000}"/>
    <cellStyle name="Note 2 2 4 5 2 3" xfId="19581" xr:uid="{00000000-0005-0000-0000-000014C40000}"/>
    <cellStyle name="Note 2 2 4 5 2 3 2" xfId="45455" xr:uid="{00000000-0005-0000-0000-000015C40000}"/>
    <cellStyle name="Note 2 2 4 5 2 4" xfId="32539" xr:uid="{00000000-0005-0000-0000-000016C40000}"/>
    <cellStyle name="Note 2 2 4 5 3" xfId="9894" xr:uid="{00000000-0005-0000-0000-000017C40000}"/>
    <cellStyle name="Note 2 2 4 5 3 2" xfId="22811" xr:uid="{00000000-0005-0000-0000-000018C40000}"/>
    <cellStyle name="Note 2 2 4 5 3 2 2" xfId="48685" xr:uid="{00000000-0005-0000-0000-000019C40000}"/>
    <cellStyle name="Note 2 2 4 5 3 3" xfId="35769" xr:uid="{00000000-0005-0000-0000-00001AC40000}"/>
    <cellStyle name="Note 2 2 4 5 4" xfId="16353" xr:uid="{00000000-0005-0000-0000-00001BC40000}"/>
    <cellStyle name="Note 2 2 4 5 4 2" xfId="42227" xr:uid="{00000000-0005-0000-0000-00001CC40000}"/>
    <cellStyle name="Note 2 2 4 5 5" xfId="29279" xr:uid="{00000000-0005-0000-0000-00001DC40000}"/>
    <cellStyle name="Note 2 2 4 6" xfId="5049" xr:uid="{00000000-0005-0000-0000-00001EC40000}"/>
    <cellStyle name="Note 2 2 4 6 2" xfId="11508" xr:uid="{00000000-0005-0000-0000-00001FC40000}"/>
    <cellStyle name="Note 2 2 4 6 2 2" xfId="24425" xr:uid="{00000000-0005-0000-0000-000020C40000}"/>
    <cellStyle name="Note 2 2 4 6 2 2 2" xfId="50299" xr:uid="{00000000-0005-0000-0000-000021C40000}"/>
    <cellStyle name="Note 2 2 4 6 2 3" xfId="37383" xr:uid="{00000000-0005-0000-0000-000022C40000}"/>
    <cellStyle name="Note 2 2 4 6 3" xfId="17967" xr:uid="{00000000-0005-0000-0000-000023C40000}"/>
    <cellStyle name="Note 2 2 4 6 3 2" xfId="43841" xr:uid="{00000000-0005-0000-0000-000024C40000}"/>
    <cellStyle name="Note 2 2 4 6 4" xfId="30925" xr:uid="{00000000-0005-0000-0000-000025C40000}"/>
    <cellStyle name="Note 2 2 4 7" xfId="8279" xr:uid="{00000000-0005-0000-0000-000026C40000}"/>
    <cellStyle name="Note 2 2 4 7 2" xfId="21196" xr:uid="{00000000-0005-0000-0000-000027C40000}"/>
    <cellStyle name="Note 2 2 4 7 2 2" xfId="47070" xr:uid="{00000000-0005-0000-0000-000028C40000}"/>
    <cellStyle name="Note 2 2 4 7 3" xfId="34154" xr:uid="{00000000-0005-0000-0000-000029C40000}"/>
    <cellStyle name="Note 2 2 4 8" xfId="14738" xr:uid="{00000000-0005-0000-0000-00002AC40000}"/>
    <cellStyle name="Note 2 2 4 8 2" xfId="40612" xr:uid="{00000000-0005-0000-0000-00002BC40000}"/>
    <cellStyle name="Note 2 2 4 9" xfId="27662" xr:uid="{00000000-0005-0000-0000-00002CC40000}"/>
    <cellStyle name="Note 2 2 5" xfId="213" xr:uid="{00000000-0005-0000-0000-00002DC40000}"/>
    <cellStyle name="Note 2 2 5 10" xfId="53509" xr:uid="{00000000-0005-0000-0000-00002EC40000}"/>
    <cellStyle name="Note 2 2 5 11" xfId="1588" xr:uid="{00000000-0005-0000-0000-00002FC40000}"/>
    <cellStyle name="Note 2 2 5 2" xfId="407" xr:uid="{00000000-0005-0000-0000-000030C40000}"/>
    <cellStyle name="Note 2 2 5 2 10" xfId="1918" xr:uid="{00000000-0005-0000-0000-000031C40000}"/>
    <cellStyle name="Note 2 2 5 2 2" xfId="1013" xr:uid="{00000000-0005-0000-0000-000032C40000}"/>
    <cellStyle name="Note 2 2 5 2 2 2" xfId="3162" xr:uid="{00000000-0005-0000-0000-000033C40000}"/>
    <cellStyle name="Note 2 2 5 2 2 2 2" xfId="4819" xr:uid="{00000000-0005-0000-0000-000034C40000}"/>
    <cellStyle name="Note 2 2 5 2 2 2 2 2" xfId="8050" xr:uid="{00000000-0005-0000-0000-000035C40000}"/>
    <cellStyle name="Note 2 2 5 2 2 2 2 2 2" xfId="14509" xr:uid="{00000000-0005-0000-0000-000036C40000}"/>
    <cellStyle name="Note 2 2 5 2 2 2 2 2 2 2" xfId="27426" xr:uid="{00000000-0005-0000-0000-000037C40000}"/>
    <cellStyle name="Note 2 2 5 2 2 2 2 2 2 2 2" xfId="53300" xr:uid="{00000000-0005-0000-0000-000038C40000}"/>
    <cellStyle name="Note 2 2 5 2 2 2 2 2 2 3" xfId="40384" xr:uid="{00000000-0005-0000-0000-000039C40000}"/>
    <cellStyle name="Note 2 2 5 2 2 2 2 2 3" xfId="20968" xr:uid="{00000000-0005-0000-0000-00003AC40000}"/>
    <cellStyle name="Note 2 2 5 2 2 2 2 2 3 2" xfId="46842" xr:uid="{00000000-0005-0000-0000-00003BC40000}"/>
    <cellStyle name="Note 2 2 5 2 2 2 2 2 4" xfId="33926" xr:uid="{00000000-0005-0000-0000-00003CC40000}"/>
    <cellStyle name="Note 2 2 5 2 2 2 2 3" xfId="11281" xr:uid="{00000000-0005-0000-0000-00003DC40000}"/>
    <cellStyle name="Note 2 2 5 2 2 2 2 3 2" xfId="24198" xr:uid="{00000000-0005-0000-0000-00003EC40000}"/>
    <cellStyle name="Note 2 2 5 2 2 2 2 3 2 2" xfId="50072" xr:uid="{00000000-0005-0000-0000-00003FC40000}"/>
    <cellStyle name="Note 2 2 5 2 2 2 2 3 3" xfId="37156" xr:uid="{00000000-0005-0000-0000-000040C40000}"/>
    <cellStyle name="Note 2 2 5 2 2 2 2 4" xfId="17740" xr:uid="{00000000-0005-0000-0000-000041C40000}"/>
    <cellStyle name="Note 2 2 5 2 2 2 2 4 2" xfId="43614" xr:uid="{00000000-0005-0000-0000-000042C40000}"/>
    <cellStyle name="Note 2 2 5 2 2 2 2 5" xfId="30666" xr:uid="{00000000-0005-0000-0000-000043C40000}"/>
    <cellStyle name="Note 2 2 5 2 2 2 3" xfId="6436" xr:uid="{00000000-0005-0000-0000-000044C40000}"/>
    <cellStyle name="Note 2 2 5 2 2 2 3 2" xfId="12895" xr:uid="{00000000-0005-0000-0000-000045C40000}"/>
    <cellStyle name="Note 2 2 5 2 2 2 3 2 2" xfId="25812" xr:uid="{00000000-0005-0000-0000-000046C40000}"/>
    <cellStyle name="Note 2 2 5 2 2 2 3 2 2 2" xfId="51686" xr:uid="{00000000-0005-0000-0000-000047C40000}"/>
    <cellStyle name="Note 2 2 5 2 2 2 3 2 3" xfId="38770" xr:uid="{00000000-0005-0000-0000-000048C40000}"/>
    <cellStyle name="Note 2 2 5 2 2 2 3 3" xfId="19354" xr:uid="{00000000-0005-0000-0000-000049C40000}"/>
    <cellStyle name="Note 2 2 5 2 2 2 3 3 2" xfId="45228" xr:uid="{00000000-0005-0000-0000-00004AC40000}"/>
    <cellStyle name="Note 2 2 5 2 2 2 3 4" xfId="32312" xr:uid="{00000000-0005-0000-0000-00004BC40000}"/>
    <cellStyle name="Note 2 2 5 2 2 2 4" xfId="9667" xr:uid="{00000000-0005-0000-0000-00004CC40000}"/>
    <cellStyle name="Note 2 2 5 2 2 2 4 2" xfId="22584" xr:uid="{00000000-0005-0000-0000-00004DC40000}"/>
    <cellStyle name="Note 2 2 5 2 2 2 4 2 2" xfId="48458" xr:uid="{00000000-0005-0000-0000-00004EC40000}"/>
    <cellStyle name="Note 2 2 5 2 2 2 4 3" xfId="35542" xr:uid="{00000000-0005-0000-0000-00004FC40000}"/>
    <cellStyle name="Note 2 2 5 2 2 2 5" xfId="16126" xr:uid="{00000000-0005-0000-0000-000050C40000}"/>
    <cellStyle name="Note 2 2 5 2 2 2 5 2" xfId="42000" xr:uid="{00000000-0005-0000-0000-000051C40000}"/>
    <cellStyle name="Note 2 2 5 2 2 2 6" xfId="29052" xr:uid="{00000000-0005-0000-0000-000052C40000}"/>
    <cellStyle name="Note 2 2 5 2 2 3" xfId="3989" xr:uid="{00000000-0005-0000-0000-000053C40000}"/>
    <cellStyle name="Note 2 2 5 2 2 3 2" xfId="7243" xr:uid="{00000000-0005-0000-0000-000054C40000}"/>
    <cellStyle name="Note 2 2 5 2 2 3 2 2" xfId="13702" xr:uid="{00000000-0005-0000-0000-000055C40000}"/>
    <cellStyle name="Note 2 2 5 2 2 3 2 2 2" xfId="26619" xr:uid="{00000000-0005-0000-0000-000056C40000}"/>
    <cellStyle name="Note 2 2 5 2 2 3 2 2 2 2" xfId="52493" xr:uid="{00000000-0005-0000-0000-000057C40000}"/>
    <cellStyle name="Note 2 2 5 2 2 3 2 2 3" xfId="39577" xr:uid="{00000000-0005-0000-0000-000058C40000}"/>
    <cellStyle name="Note 2 2 5 2 2 3 2 3" xfId="20161" xr:uid="{00000000-0005-0000-0000-000059C40000}"/>
    <cellStyle name="Note 2 2 5 2 2 3 2 3 2" xfId="46035" xr:uid="{00000000-0005-0000-0000-00005AC40000}"/>
    <cellStyle name="Note 2 2 5 2 2 3 2 4" xfId="33119" xr:uid="{00000000-0005-0000-0000-00005BC40000}"/>
    <cellStyle name="Note 2 2 5 2 2 3 3" xfId="10474" xr:uid="{00000000-0005-0000-0000-00005CC40000}"/>
    <cellStyle name="Note 2 2 5 2 2 3 3 2" xfId="23391" xr:uid="{00000000-0005-0000-0000-00005DC40000}"/>
    <cellStyle name="Note 2 2 5 2 2 3 3 2 2" xfId="49265" xr:uid="{00000000-0005-0000-0000-00005EC40000}"/>
    <cellStyle name="Note 2 2 5 2 2 3 3 3" xfId="36349" xr:uid="{00000000-0005-0000-0000-00005FC40000}"/>
    <cellStyle name="Note 2 2 5 2 2 3 4" xfId="16933" xr:uid="{00000000-0005-0000-0000-000060C40000}"/>
    <cellStyle name="Note 2 2 5 2 2 3 4 2" xfId="42807" xr:uid="{00000000-0005-0000-0000-000061C40000}"/>
    <cellStyle name="Note 2 2 5 2 2 3 5" xfId="29859" xr:uid="{00000000-0005-0000-0000-000062C40000}"/>
    <cellStyle name="Note 2 2 5 2 2 4" xfId="5629" xr:uid="{00000000-0005-0000-0000-000063C40000}"/>
    <cellStyle name="Note 2 2 5 2 2 4 2" xfId="12088" xr:uid="{00000000-0005-0000-0000-000064C40000}"/>
    <cellStyle name="Note 2 2 5 2 2 4 2 2" xfId="25005" xr:uid="{00000000-0005-0000-0000-000065C40000}"/>
    <cellStyle name="Note 2 2 5 2 2 4 2 2 2" xfId="50879" xr:uid="{00000000-0005-0000-0000-000066C40000}"/>
    <cellStyle name="Note 2 2 5 2 2 4 2 3" xfId="37963" xr:uid="{00000000-0005-0000-0000-000067C40000}"/>
    <cellStyle name="Note 2 2 5 2 2 4 3" xfId="18547" xr:uid="{00000000-0005-0000-0000-000068C40000}"/>
    <cellStyle name="Note 2 2 5 2 2 4 3 2" xfId="44421" xr:uid="{00000000-0005-0000-0000-000069C40000}"/>
    <cellStyle name="Note 2 2 5 2 2 4 4" xfId="31505" xr:uid="{00000000-0005-0000-0000-00006AC40000}"/>
    <cellStyle name="Note 2 2 5 2 2 5" xfId="8860" xr:uid="{00000000-0005-0000-0000-00006BC40000}"/>
    <cellStyle name="Note 2 2 5 2 2 5 2" xfId="21777" xr:uid="{00000000-0005-0000-0000-00006CC40000}"/>
    <cellStyle name="Note 2 2 5 2 2 5 2 2" xfId="47651" xr:uid="{00000000-0005-0000-0000-00006DC40000}"/>
    <cellStyle name="Note 2 2 5 2 2 5 3" xfId="34735" xr:uid="{00000000-0005-0000-0000-00006EC40000}"/>
    <cellStyle name="Note 2 2 5 2 2 6" xfId="15319" xr:uid="{00000000-0005-0000-0000-00006FC40000}"/>
    <cellStyle name="Note 2 2 5 2 2 6 2" xfId="41193" xr:uid="{00000000-0005-0000-0000-000070C40000}"/>
    <cellStyle name="Note 2 2 5 2 2 7" xfId="28245" xr:uid="{00000000-0005-0000-0000-000071C40000}"/>
    <cellStyle name="Note 2 2 5 2 2 8" xfId="54107" xr:uid="{00000000-0005-0000-0000-000072C40000}"/>
    <cellStyle name="Note 2 2 5 2 2 9" xfId="2349" xr:uid="{00000000-0005-0000-0000-000073C40000}"/>
    <cellStyle name="Note 2 2 5 2 3" xfId="1012" xr:uid="{00000000-0005-0000-0000-000074C40000}"/>
    <cellStyle name="Note 2 2 5 2 3 2" xfId="4415" xr:uid="{00000000-0005-0000-0000-000075C40000}"/>
    <cellStyle name="Note 2 2 5 2 3 2 2" xfId="7646" xr:uid="{00000000-0005-0000-0000-000076C40000}"/>
    <cellStyle name="Note 2 2 5 2 3 2 2 2" xfId="14105" xr:uid="{00000000-0005-0000-0000-000077C40000}"/>
    <cellStyle name="Note 2 2 5 2 3 2 2 2 2" xfId="27022" xr:uid="{00000000-0005-0000-0000-000078C40000}"/>
    <cellStyle name="Note 2 2 5 2 3 2 2 2 2 2" xfId="52896" xr:uid="{00000000-0005-0000-0000-000079C40000}"/>
    <cellStyle name="Note 2 2 5 2 3 2 2 2 3" xfId="39980" xr:uid="{00000000-0005-0000-0000-00007AC40000}"/>
    <cellStyle name="Note 2 2 5 2 3 2 2 3" xfId="20564" xr:uid="{00000000-0005-0000-0000-00007BC40000}"/>
    <cellStyle name="Note 2 2 5 2 3 2 2 3 2" xfId="46438" xr:uid="{00000000-0005-0000-0000-00007CC40000}"/>
    <cellStyle name="Note 2 2 5 2 3 2 2 4" xfId="33522" xr:uid="{00000000-0005-0000-0000-00007DC40000}"/>
    <cellStyle name="Note 2 2 5 2 3 2 3" xfId="10877" xr:uid="{00000000-0005-0000-0000-00007EC40000}"/>
    <cellStyle name="Note 2 2 5 2 3 2 3 2" xfId="23794" xr:uid="{00000000-0005-0000-0000-00007FC40000}"/>
    <cellStyle name="Note 2 2 5 2 3 2 3 2 2" xfId="49668" xr:uid="{00000000-0005-0000-0000-000080C40000}"/>
    <cellStyle name="Note 2 2 5 2 3 2 3 3" xfId="36752" xr:uid="{00000000-0005-0000-0000-000081C40000}"/>
    <cellStyle name="Note 2 2 5 2 3 2 4" xfId="17336" xr:uid="{00000000-0005-0000-0000-000082C40000}"/>
    <cellStyle name="Note 2 2 5 2 3 2 4 2" xfId="43210" xr:uid="{00000000-0005-0000-0000-000083C40000}"/>
    <cellStyle name="Note 2 2 5 2 3 2 5" xfId="30262" xr:uid="{00000000-0005-0000-0000-000084C40000}"/>
    <cellStyle name="Note 2 2 5 2 3 3" xfId="6032" xr:uid="{00000000-0005-0000-0000-000085C40000}"/>
    <cellStyle name="Note 2 2 5 2 3 3 2" xfId="12491" xr:uid="{00000000-0005-0000-0000-000086C40000}"/>
    <cellStyle name="Note 2 2 5 2 3 3 2 2" xfId="25408" xr:uid="{00000000-0005-0000-0000-000087C40000}"/>
    <cellStyle name="Note 2 2 5 2 3 3 2 2 2" xfId="51282" xr:uid="{00000000-0005-0000-0000-000088C40000}"/>
    <cellStyle name="Note 2 2 5 2 3 3 2 3" xfId="38366" xr:uid="{00000000-0005-0000-0000-000089C40000}"/>
    <cellStyle name="Note 2 2 5 2 3 3 3" xfId="18950" xr:uid="{00000000-0005-0000-0000-00008AC40000}"/>
    <cellStyle name="Note 2 2 5 2 3 3 3 2" xfId="44824" xr:uid="{00000000-0005-0000-0000-00008BC40000}"/>
    <cellStyle name="Note 2 2 5 2 3 3 4" xfId="31908" xr:uid="{00000000-0005-0000-0000-00008CC40000}"/>
    <cellStyle name="Note 2 2 5 2 3 4" xfId="9263" xr:uid="{00000000-0005-0000-0000-00008DC40000}"/>
    <cellStyle name="Note 2 2 5 2 3 4 2" xfId="22180" xr:uid="{00000000-0005-0000-0000-00008EC40000}"/>
    <cellStyle name="Note 2 2 5 2 3 4 2 2" xfId="48054" xr:uid="{00000000-0005-0000-0000-00008FC40000}"/>
    <cellStyle name="Note 2 2 5 2 3 4 3" xfId="35138" xr:uid="{00000000-0005-0000-0000-000090C40000}"/>
    <cellStyle name="Note 2 2 5 2 3 5" xfId="15722" xr:uid="{00000000-0005-0000-0000-000091C40000}"/>
    <cellStyle name="Note 2 2 5 2 3 5 2" xfId="41596" xr:uid="{00000000-0005-0000-0000-000092C40000}"/>
    <cellStyle name="Note 2 2 5 2 3 6" xfId="28648" xr:uid="{00000000-0005-0000-0000-000093C40000}"/>
    <cellStyle name="Note 2 2 5 2 3 7" xfId="2758" xr:uid="{00000000-0005-0000-0000-000094C40000}"/>
    <cellStyle name="Note 2 2 5 2 4" xfId="3585" xr:uid="{00000000-0005-0000-0000-000095C40000}"/>
    <cellStyle name="Note 2 2 5 2 4 2" xfId="6839" xr:uid="{00000000-0005-0000-0000-000096C40000}"/>
    <cellStyle name="Note 2 2 5 2 4 2 2" xfId="13298" xr:uid="{00000000-0005-0000-0000-000097C40000}"/>
    <cellStyle name="Note 2 2 5 2 4 2 2 2" xfId="26215" xr:uid="{00000000-0005-0000-0000-000098C40000}"/>
    <cellStyle name="Note 2 2 5 2 4 2 2 2 2" xfId="52089" xr:uid="{00000000-0005-0000-0000-000099C40000}"/>
    <cellStyle name="Note 2 2 5 2 4 2 2 3" xfId="39173" xr:uid="{00000000-0005-0000-0000-00009AC40000}"/>
    <cellStyle name="Note 2 2 5 2 4 2 3" xfId="19757" xr:uid="{00000000-0005-0000-0000-00009BC40000}"/>
    <cellStyle name="Note 2 2 5 2 4 2 3 2" xfId="45631" xr:uid="{00000000-0005-0000-0000-00009CC40000}"/>
    <cellStyle name="Note 2 2 5 2 4 2 4" xfId="32715" xr:uid="{00000000-0005-0000-0000-00009DC40000}"/>
    <cellStyle name="Note 2 2 5 2 4 3" xfId="10070" xr:uid="{00000000-0005-0000-0000-00009EC40000}"/>
    <cellStyle name="Note 2 2 5 2 4 3 2" xfId="22987" xr:uid="{00000000-0005-0000-0000-00009FC40000}"/>
    <cellStyle name="Note 2 2 5 2 4 3 2 2" xfId="48861" xr:uid="{00000000-0005-0000-0000-0000A0C40000}"/>
    <cellStyle name="Note 2 2 5 2 4 3 3" xfId="35945" xr:uid="{00000000-0005-0000-0000-0000A1C40000}"/>
    <cellStyle name="Note 2 2 5 2 4 4" xfId="16529" xr:uid="{00000000-0005-0000-0000-0000A2C40000}"/>
    <cellStyle name="Note 2 2 5 2 4 4 2" xfId="42403" xr:uid="{00000000-0005-0000-0000-0000A3C40000}"/>
    <cellStyle name="Note 2 2 5 2 4 5" xfId="29455" xr:uid="{00000000-0005-0000-0000-0000A4C40000}"/>
    <cellStyle name="Note 2 2 5 2 5" xfId="5225" xr:uid="{00000000-0005-0000-0000-0000A5C40000}"/>
    <cellStyle name="Note 2 2 5 2 5 2" xfId="11684" xr:uid="{00000000-0005-0000-0000-0000A6C40000}"/>
    <cellStyle name="Note 2 2 5 2 5 2 2" xfId="24601" xr:uid="{00000000-0005-0000-0000-0000A7C40000}"/>
    <cellStyle name="Note 2 2 5 2 5 2 2 2" xfId="50475" xr:uid="{00000000-0005-0000-0000-0000A8C40000}"/>
    <cellStyle name="Note 2 2 5 2 5 2 3" xfId="37559" xr:uid="{00000000-0005-0000-0000-0000A9C40000}"/>
    <cellStyle name="Note 2 2 5 2 5 3" xfId="18143" xr:uid="{00000000-0005-0000-0000-0000AAC40000}"/>
    <cellStyle name="Note 2 2 5 2 5 3 2" xfId="44017" xr:uid="{00000000-0005-0000-0000-0000ABC40000}"/>
    <cellStyle name="Note 2 2 5 2 5 4" xfId="31101" xr:uid="{00000000-0005-0000-0000-0000ACC40000}"/>
    <cellStyle name="Note 2 2 5 2 6" xfId="8456" xr:uid="{00000000-0005-0000-0000-0000ADC40000}"/>
    <cellStyle name="Note 2 2 5 2 6 2" xfId="21373" xr:uid="{00000000-0005-0000-0000-0000AEC40000}"/>
    <cellStyle name="Note 2 2 5 2 6 2 2" xfId="47247" xr:uid="{00000000-0005-0000-0000-0000AFC40000}"/>
    <cellStyle name="Note 2 2 5 2 6 3" xfId="34331" xr:uid="{00000000-0005-0000-0000-0000B0C40000}"/>
    <cellStyle name="Note 2 2 5 2 7" xfId="14915" xr:uid="{00000000-0005-0000-0000-0000B1C40000}"/>
    <cellStyle name="Note 2 2 5 2 7 2" xfId="40789" xr:uid="{00000000-0005-0000-0000-0000B2C40000}"/>
    <cellStyle name="Note 2 2 5 2 8" xfId="27840" xr:uid="{00000000-0005-0000-0000-0000B3C40000}"/>
    <cellStyle name="Note 2 2 5 2 9" xfId="53703" xr:uid="{00000000-0005-0000-0000-0000B4C40000}"/>
    <cellStyle name="Note 2 2 5 3" xfId="1014" xr:uid="{00000000-0005-0000-0000-0000B5C40000}"/>
    <cellStyle name="Note 2 2 5 3 2" xfId="2967" xr:uid="{00000000-0005-0000-0000-0000B6C40000}"/>
    <cellStyle name="Note 2 2 5 3 2 2" xfId="4624" xr:uid="{00000000-0005-0000-0000-0000B7C40000}"/>
    <cellStyle name="Note 2 2 5 3 2 2 2" xfId="7855" xr:uid="{00000000-0005-0000-0000-0000B8C40000}"/>
    <cellStyle name="Note 2 2 5 3 2 2 2 2" xfId="14314" xr:uid="{00000000-0005-0000-0000-0000B9C40000}"/>
    <cellStyle name="Note 2 2 5 3 2 2 2 2 2" xfId="27231" xr:uid="{00000000-0005-0000-0000-0000BAC40000}"/>
    <cellStyle name="Note 2 2 5 3 2 2 2 2 2 2" xfId="53105" xr:uid="{00000000-0005-0000-0000-0000BBC40000}"/>
    <cellStyle name="Note 2 2 5 3 2 2 2 2 3" xfId="40189" xr:uid="{00000000-0005-0000-0000-0000BCC40000}"/>
    <cellStyle name="Note 2 2 5 3 2 2 2 3" xfId="20773" xr:uid="{00000000-0005-0000-0000-0000BDC40000}"/>
    <cellStyle name="Note 2 2 5 3 2 2 2 3 2" xfId="46647" xr:uid="{00000000-0005-0000-0000-0000BEC40000}"/>
    <cellStyle name="Note 2 2 5 3 2 2 2 4" xfId="33731" xr:uid="{00000000-0005-0000-0000-0000BFC40000}"/>
    <cellStyle name="Note 2 2 5 3 2 2 3" xfId="11086" xr:uid="{00000000-0005-0000-0000-0000C0C40000}"/>
    <cellStyle name="Note 2 2 5 3 2 2 3 2" xfId="24003" xr:uid="{00000000-0005-0000-0000-0000C1C40000}"/>
    <cellStyle name="Note 2 2 5 3 2 2 3 2 2" xfId="49877" xr:uid="{00000000-0005-0000-0000-0000C2C40000}"/>
    <cellStyle name="Note 2 2 5 3 2 2 3 3" xfId="36961" xr:uid="{00000000-0005-0000-0000-0000C3C40000}"/>
    <cellStyle name="Note 2 2 5 3 2 2 4" xfId="17545" xr:uid="{00000000-0005-0000-0000-0000C4C40000}"/>
    <cellStyle name="Note 2 2 5 3 2 2 4 2" xfId="43419" xr:uid="{00000000-0005-0000-0000-0000C5C40000}"/>
    <cellStyle name="Note 2 2 5 3 2 2 5" xfId="30471" xr:uid="{00000000-0005-0000-0000-0000C6C40000}"/>
    <cellStyle name="Note 2 2 5 3 2 3" xfId="6241" xr:uid="{00000000-0005-0000-0000-0000C7C40000}"/>
    <cellStyle name="Note 2 2 5 3 2 3 2" xfId="12700" xr:uid="{00000000-0005-0000-0000-0000C8C40000}"/>
    <cellStyle name="Note 2 2 5 3 2 3 2 2" xfId="25617" xr:uid="{00000000-0005-0000-0000-0000C9C40000}"/>
    <cellStyle name="Note 2 2 5 3 2 3 2 2 2" xfId="51491" xr:uid="{00000000-0005-0000-0000-0000CAC40000}"/>
    <cellStyle name="Note 2 2 5 3 2 3 2 3" xfId="38575" xr:uid="{00000000-0005-0000-0000-0000CBC40000}"/>
    <cellStyle name="Note 2 2 5 3 2 3 3" xfId="19159" xr:uid="{00000000-0005-0000-0000-0000CCC40000}"/>
    <cellStyle name="Note 2 2 5 3 2 3 3 2" xfId="45033" xr:uid="{00000000-0005-0000-0000-0000CDC40000}"/>
    <cellStyle name="Note 2 2 5 3 2 3 4" xfId="32117" xr:uid="{00000000-0005-0000-0000-0000CEC40000}"/>
    <cellStyle name="Note 2 2 5 3 2 4" xfId="9472" xr:uid="{00000000-0005-0000-0000-0000CFC40000}"/>
    <cellStyle name="Note 2 2 5 3 2 4 2" xfId="22389" xr:uid="{00000000-0005-0000-0000-0000D0C40000}"/>
    <cellStyle name="Note 2 2 5 3 2 4 2 2" xfId="48263" xr:uid="{00000000-0005-0000-0000-0000D1C40000}"/>
    <cellStyle name="Note 2 2 5 3 2 4 3" xfId="35347" xr:uid="{00000000-0005-0000-0000-0000D2C40000}"/>
    <cellStyle name="Note 2 2 5 3 2 5" xfId="15931" xr:uid="{00000000-0005-0000-0000-0000D3C40000}"/>
    <cellStyle name="Note 2 2 5 3 2 5 2" xfId="41805" xr:uid="{00000000-0005-0000-0000-0000D4C40000}"/>
    <cellStyle name="Note 2 2 5 3 2 6" xfId="28857" xr:uid="{00000000-0005-0000-0000-0000D5C40000}"/>
    <cellStyle name="Note 2 2 5 3 3" xfId="3794" xr:uid="{00000000-0005-0000-0000-0000D6C40000}"/>
    <cellStyle name="Note 2 2 5 3 3 2" xfId="7048" xr:uid="{00000000-0005-0000-0000-0000D7C40000}"/>
    <cellStyle name="Note 2 2 5 3 3 2 2" xfId="13507" xr:uid="{00000000-0005-0000-0000-0000D8C40000}"/>
    <cellStyle name="Note 2 2 5 3 3 2 2 2" xfId="26424" xr:uid="{00000000-0005-0000-0000-0000D9C40000}"/>
    <cellStyle name="Note 2 2 5 3 3 2 2 2 2" xfId="52298" xr:uid="{00000000-0005-0000-0000-0000DAC40000}"/>
    <cellStyle name="Note 2 2 5 3 3 2 2 3" xfId="39382" xr:uid="{00000000-0005-0000-0000-0000DBC40000}"/>
    <cellStyle name="Note 2 2 5 3 3 2 3" xfId="19966" xr:uid="{00000000-0005-0000-0000-0000DCC40000}"/>
    <cellStyle name="Note 2 2 5 3 3 2 3 2" xfId="45840" xr:uid="{00000000-0005-0000-0000-0000DDC40000}"/>
    <cellStyle name="Note 2 2 5 3 3 2 4" xfId="32924" xr:uid="{00000000-0005-0000-0000-0000DEC40000}"/>
    <cellStyle name="Note 2 2 5 3 3 3" xfId="10279" xr:uid="{00000000-0005-0000-0000-0000DFC40000}"/>
    <cellStyle name="Note 2 2 5 3 3 3 2" xfId="23196" xr:uid="{00000000-0005-0000-0000-0000E0C40000}"/>
    <cellStyle name="Note 2 2 5 3 3 3 2 2" xfId="49070" xr:uid="{00000000-0005-0000-0000-0000E1C40000}"/>
    <cellStyle name="Note 2 2 5 3 3 3 3" xfId="36154" xr:uid="{00000000-0005-0000-0000-0000E2C40000}"/>
    <cellStyle name="Note 2 2 5 3 3 4" xfId="16738" xr:uid="{00000000-0005-0000-0000-0000E3C40000}"/>
    <cellStyle name="Note 2 2 5 3 3 4 2" xfId="42612" xr:uid="{00000000-0005-0000-0000-0000E4C40000}"/>
    <cellStyle name="Note 2 2 5 3 3 5" xfId="29664" xr:uid="{00000000-0005-0000-0000-0000E5C40000}"/>
    <cellStyle name="Note 2 2 5 3 4" xfId="5434" xr:uid="{00000000-0005-0000-0000-0000E6C40000}"/>
    <cellStyle name="Note 2 2 5 3 4 2" xfId="11893" xr:uid="{00000000-0005-0000-0000-0000E7C40000}"/>
    <cellStyle name="Note 2 2 5 3 4 2 2" xfId="24810" xr:uid="{00000000-0005-0000-0000-0000E8C40000}"/>
    <cellStyle name="Note 2 2 5 3 4 2 2 2" xfId="50684" xr:uid="{00000000-0005-0000-0000-0000E9C40000}"/>
    <cellStyle name="Note 2 2 5 3 4 2 3" xfId="37768" xr:uid="{00000000-0005-0000-0000-0000EAC40000}"/>
    <cellStyle name="Note 2 2 5 3 4 3" xfId="18352" xr:uid="{00000000-0005-0000-0000-0000EBC40000}"/>
    <cellStyle name="Note 2 2 5 3 4 3 2" xfId="44226" xr:uid="{00000000-0005-0000-0000-0000ECC40000}"/>
    <cellStyle name="Note 2 2 5 3 4 4" xfId="31310" xr:uid="{00000000-0005-0000-0000-0000EDC40000}"/>
    <cellStyle name="Note 2 2 5 3 5" xfId="8665" xr:uid="{00000000-0005-0000-0000-0000EEC40000}"/>
    <cellStyle name="Note 2 2 5 3 5 2" xfId="21582" xr:uid="{00000000-0005-0000-0000-0000EFC40000}"/>
    <cellStyle name="Note 2 2 5 3 5 2 2" xfId="47456" xr:uid="{00000000-0005-0000-0000-0000F0C40000}"/>
    <cellStyle name="Note 2 2 5 3 5 3" xfId="34540" xr:uid="{00000000-0005-0000-0000-0000F1C40000}"/>
    <cellStyle name="Note 2 2 5 3 6" xfId="15124" xr:uid="{00000000-0005-0000-0000-0000F2C40000}"/>
    <cellStyle name="Note 2 2 5 3 6 2" xfId="40998" xr:uid="{00000000-0005-0000-0000-0000F3C40000}"/>
    <cellStyle name="Note 2 2 5 3 7" xfId="28050" xr:uid="{00000000-0005-0000-0000-0000F4C40000}"/>
    <cellStyle name="Note 2 2 5 3 8" xfId="53912" xr:uid="{00000000-0005-0000-0000-0000F5C40000}"/>
    <cellStyle name="Note 2 2 5 3 9" xfId="2153" xr:uid="{00000000-0005-0000-0000-0000F6C40000}"/>
    <cellStyle name="Note 2 2 5 4" xfId="1011" xr:uid="{00000000-0005-0000-0000-0000F7C40000}"/>
    <cellStyle name="Note 2 2 5 4 2" xfId="4221" xr:uid="{00000000-0005-0000-0000-0000F8C40000}"/>
    <cellStyle name="Note 2 2 5 4 2 2" xfId="7452" xr:uid="{00000000-0005-0000-0000-0000F9C40000}"/>
    <cellStyle name="Note 2 2 5 4 2 2 2" xfId="13911" xr:uid="{00000000-0005-0000-0000-0000FAC40000}"/>
    <cellStyle name="Note 2 2 5 4 2 2 2 2" xfId="26828" xr:uid="{00000000-0005-0000-0000-0000FBC40000}"/>
    <cellStyle name="Note 2 2 5 4 2 2 2 2 2" xfId="52702" xr:uid="{00000000-0005-0000-0000-0000FCC40000}"/>
    <cellStyle name="Note 2 2 5 4 2 2 2 3" xfId="39786" xr:uid="{00000000-0005-0000-0000-0000FDC40000}"/>
    <cellStyle name="Note 2 2 5 4 2 2 3" xfId="20370" xr:uid="{00000000-0005-0000-0000-0000FEC40000}"/>
    <cellStyle name="Note 2 2 5 4 2 2 3 2" xfId="46244" xr:uid="{00000000-0005-0000-0000-0000FFC40000}"/>
    <cellStyle name="Note 2 2 5 4 2 2 4" xfId="33328" xr:uid="{00000000-0005-0000-0000-000000C50000}"/>
    <cellStyle name="Note 2 2 5 4 2 3" xfId="10683" xr:uid="{00000000-0005-0000-0000-000001C50000}"/>
    <cellStyle name="Note 2 2 5 4 2 3 2" xfId="23600" xr:uid="{00000000-0005-0000-0000-000002C50000}"/>
    <cellStyle name="Note 2 2 5 4 2 3 2 2" xfId="49474" xr:uid="{00000000-0005-0000-0000-000003C50000}"/>
    <cellStyle name="Note 2 2 5 4 2 3 3" xfId="36558" xr:uid="{00000000-0005-0000-0000-000004C50000}"/>
    <cellStyle name="Note 2 2 5 4 2 4" xfId="17142" xr:uid="{00000000-0005-0000-0000-000005C50000}"/>
    <cellStyle name="Note 2 2 5 4 2 4 2" xfId="43016" xr:uid="{00000000-0005-0000-0000-000006C50000}"/>
    <cellStyle name="Note 2 2 5 4 2 5" xfId="30068" xr:uid="{00000000-0005-0000-0000-000007C50000}"/>
    <cellStyle name="Note 2 2 5 4 3" xfId="5838" xr:uid="{00000000-0005-0000-0000-000008C50000}"/>
    <cellStyle name="Note 2 2 5 4 3 2" xfId="12297" xr:uid="{00000000-0005-0000-0000-000009C50000}"/>
    <cellStyle name="Note 2 2 5 4 3 2 2" xfId="25214" xr:uid="{00000000-0005-0000-0000-00000AC50000}"/>
    <cellStyle name="Note 2 2 5 4 3 2 2 2" xfId="51088" xr:uid="{00000000-0005-0000-0000-00000BC50000}"/>
    <cellStyle name="Note 2 2 5 4 3 2 3" xfId="38172" xr:uid="{00000000-0005-0000-0000-00000CC50000}"/>
    <cellStyle name="Note 2 2 5 4 3 3" xfId="18756" xr:uid="{00000000-0005-0000-0000-00000DC50000}"/>
    <cellStyle name="Note 2 2 5 4 3 3 2" xfId="44630" xr:uid="{00000000-0005-0000-0000-00000EC50000}"/>
    <cellStyle name="Note 2 2 5 4 3 4" xfId="31714" xr:uid="{00000000-0005-0000-0000-00000FC50000}"/>
    <cellStyle name="Note 2 2 5 4 4" xfId="9069" xr:uid="{00000000-0005-0000-0000-000010C50000}"/>
    <cellStyle name="Note 2 2 5 4 4 2" xfId="21986" xr:uid="{00000000-0005-0000-0000-000011C50000}"/>
    <cellStyle name="Note 2 2 5 4 4 2 2" xfId="47860" xr:uid="{00000000-0005-0000-0000-000012C50000}"/>
    <cellStyle name="Note 2 2 5 4 4 3" xfId="34944" xr:uid="{00000000-0005-0000-0000-000013C50000}"/>
    <cellStyle name="Note 2 2 5 4 5" xfId="15528" xr:uid="{00000000-0005-0000-0000-000014C50000}"/>
    <cellStyle name="Note 2 2 5 4 5 2" xfId="41402" xr:uid="{00000000-0005-0000-0000-000015C50000}"/>
    <cellStyle name="Note 2 2 5 4 6" xfId="28454" xr:uid="{00000000-0005-0000-0000-000016C50000}"/>
    <cellStyle name="Note 2 2 5 4 7" xfId="2564" xr:uid="{00000000-0005-0000-0000-000017C50000}"/>
    <cellStyle name="Note 2 2 5 5" xfId="3389" xr:uid="{00000000-0005-0000-0000-000018C50000}"/>
    <cellStyle name="Note 2 2 5 5 2" xfId="6645" xr:uid="{00000000-0005-0000-0000-000019C50000}"/>
    <cellStyle name="Note 2 2 5 5 2 2" xfId="13104" xr:uid="{00000000-0005-0000-0000-00001AC50000}"/>
    <cellStyle name="Note 2 2 5 5 2 2 2" xfId="26021" xr:uid="{00000000-0005-0000-0000-00001BC50000}"/>
    <cellStyle name="Note 2 2 5 5 2 2 2 2" xfId="51895" xr:uid="{00000000-0005-0000-0000-00001CC50000}"/>
    <cellStyle name="Note 2 2 5 5 2 2 3" xfId="38979" xr:uid="{00000000-0005-0000-0000-00001DC50000}"/>
    <cellStyle name="Note 2 2 5 5 2 3" xfId="19563" xr:uid="{00000000-0005-0000-0000-00001EC50000}"/>
    <cellStyle name="Note 2 2 5 5 2 3 2" xfId="45437" xr:uid="{00000000-0005-0000-0000-00001FC50000}"/>
    <cellStyle name="Note 2 2 5 5 2 4" xfId="32521" xr:uid="{00000000-0005-0000-0000-000020C50000}"/>
    <cellStyle name="Note 2 2 5 5 3" xfId="9876" xr:uid="{00000000-0005-0000-0000-000021C50000}"/>
    <cellStyle name="Note 2 2 5 5 3 2" xfId="22793" xr:uid="{00000000-0005-0000-0000-000022C50000}"/>
    <cellStyle name="Note 2 2 5 5 3 2 2" xfId="48667" xr:uid="{00000000-0005-0000-0000-000023C50000}"/>
    <cellStyle name="Note 2 2 5 5 3 3" xfId="35751" xr:uid="{00000000-0005-0000-0000-000024C50000}"/>
    <cellStyle name="Note 2 2 5 5 4" xfId="16335" xr:uid="{00000000-0005-0000-0000-000025C50000}"/>
    <cellStyle name="Note 2 2 5 5 4 2" xfId="42209" xr:uid="{00000000-0005-0000-0000-000026C50000}"/>
    <cellStyle name="Note 2 2 5 5 5" xfId="29261" xr:uid="{00000000-0005-0000-0000-000027C50000}"/>
    <cellStyle name="Note 2 2 5 6" xfId="5031" xr:uid="{00000000-0005-0000-0000-000028C50000}"/>
    <cellStyle name="Note 2 2 5 6 2" xfId="11490" xr:uid="{00000000-0005-0000-0000-000029C50000}"/>
    <cellStyle name="Note 2 2 5 6 2 2" xfId="24407" xr:uid="{00000000-0005-0000-0000-00002AC50000}"/>
    <cellStyle name="Note 2 2 5 6 2 2 2" xfId="50281" xr:uid="{00000000-0005-0000-0000-00002BC50000}"/>
    <cellStyle name="Note 2 2 5 6 2 3" xfId="37365" xr:uid="{00000000-0005-0000-0000-00002CC50000}"/>
    <cellStyle name="Note 2 2 5 6 3" xfId="17949" xr:uid="{00000000-0005-0000-0000-00002DC50000}"/>
    <cellStyle name="Note 2 2 5 6 3 2" xfId="43823" xr:uid="{00000000-0005-0000-0000-00002EC50000}"/>
    <cellStyle name="Note 2 2 5 6 4" xfId="30907" xr:uid="{00000000-0005-0000-0000-00002FC50000}"/>
    <cellStyle name="Note 2 2 5 7" xfId="8261" xr:uid="{00000000-0005-0000-0000-000030C50000}"/>
    <cellStyle name="Note 2 2 5 7 2" xfId="21178" xr:uid="{00000000-0005-0000-0000-000031C50000}"/>
    <cellStyle name="Note 2 2 5 7 2 2" xfId="47052" xr:uid="{00000000-0005-0000-0000-000032C50000}"/>
    <cellStyle name="Note 2 2 5 7 3" xfId="34136" xr:uid="{00000000-0005-0000-0000-000033C50000}"/>
    <cellStyle name="Note 2 2 5 8" xfId="14720" xr:uid="{00000000-0005-0000-0000-000034C50000}"/>
    <cellStyle name="Note 2 2 5 8 2" xfId="40594" xr:uid="{00000000-0005-0000-0000-000035C50000}"/>
    <cellStyle name="Note 2 2 5 9" xfId="27644" xr:uid="{00000000-0005-0000-0000-000036C50000}"/>
    <cellStyle name="Note 2 2 6" xfId="390" xr:uid="{00000000-0005-0000-0000-000037C50000}"/>
    <cellStyle name="Note 2 2 6 2" xfId="1016" xr:uid="{00000000-0005-0000-0000-000038C50000}"/>
    <cellStyle name="Note 2 2 6 3" xfId="1015" xr:uid="{00000000-0005-0000-0000-000039C50000}"/>
    <cellStyle name="Note 2 2 7" xfId="1017" xr:uid="{00000000-0005-0000-0000-00003AC50000}"/>
    <cellStyle name="Note 2 2 8" xfId="1000" xr:uid="{00000000-0005-0000-0000-00003BC50000}"/>
    <cellStyle name="Note 2 3" xfId="295" xr:uid="{00000000-0005-0000-0000-00003CC50000}"/>
    <cellStyle name="Note 2 3 2" xfId="365" xr:uid="{00000000-0005-0000-0000-00003DC50000}"/>
    <cellStyle name="Note 2 3 2 2" xfId="1018" xr:uid="{00000000-0005-0000-0000-00003EC50000}"/>
    <cellStyle name="Note 2 3 3" xfId="1019" xr:uid="{00000000-0005-0000-0000-00003FC50000}"/>
    <cellStyle name="Note 2 3 3 2" xfId="1746" xr:uid="{00000000-0005-0000-0000-000040C50000}"/>
    <cellStyle name="Note 2 3 4" xfId="1585" xr:uid="{00000000-0005-0000-0000-000041C50000}"/>
    <cellStyle name="Note 2 3 5" xfId="1361" xr:uid="{00000000-0005-0000-0000-000042C50000}"/>
    <cellStyle name="Note 2 4" xfId="255" xr:uid="{00000000-0005-0000-0000-000043C50000}"/>
    <cellStyle name="Note 2 4 10" xfId="27605" xr:uid="{00000000-0005-0000-0000-000044C50000}"/>
    <cellStyle name="Note 2 4 11" xfId="53471" xr:uid="{00000000-0005-0000-0000-000045C50000}"/>
    <cellStyle name="Note 2 4 12" xfId="1362" xr:uid="{00000000-0005-0000-0000-000046C50000}"/>
    <cellStyle name="Note 2 4 2" xfId="432" xr:uid="{00000000-0005-0000-0000-000047C50000}"/>
    <cellStyle name="Note 2 4 2 10" xfId="53543" xr:uid="{00000000-0005-0000-0000-000048C50000}"/>
    <cellStyle name="Note 2 4 2 11" xfId="1627" xr:uid="{00000000-0005-0000-0000-000049C50000}"/>
    <cellStyle name="Note 2 4 2 2" xfId="1022" xr:uid="{00000000-0005-0000-0000-00004AC50000}"/>
    <cellStyle name="Note 2 4 2 2 10" xfId="1952" xr:uid="{00000000-0005-0000-0000-00004BC50000}"/>
    <cellStyle name="Note 2 4 2 2 2" xfId="2383" xr:uid="{00000000-0005-0000-0000-00004CC50000}"/>
    <cellStyle name="Note 2 4 2 2 2 2" xfId="3196" xr:uid="{00000000-0005-0000-0000-00004DC50000}"/>
    <cellStyle name="Note 2 4 2 2 2 2 2" xfId="4853" xr:uid="{00000000-0005-0000-0000-00004EC50000}"/>
    <cellStyle name="Note 2 4 2 2 2 2 2 2" xfId="8084" xr:uid="{00000000-0005-0000-0000-00004FC50000}"/>
    <cellStyle name="Note 2 4 2 2 2 2 2 2 2" xfId="14543" xr:uid="{00000000-0005-0000-0000-000050C50000}"/>
    <cellStyle name="Note 2 4 2 2 2 2 2 2 2 2" xfId="27460" xr:uid="{00000000-0005-0000-0000-000051C50000}"/>
    <cellStyle name="Note 2 4 2 2 2 2 2 2 2 2 2" xfId="53334" xr:uid="{00000000-0005-0000-0000-000052C50000}"/>
    <cellStyle name="Note 2 4 2 2 2 2 2 2 2 3" xfId="40418" xr:uid="{00000000-0005-0000-0000-000053C50000}"/>
    <cellStyle name="Note 2 4 2 2 2 2 2 2 3" xfId="21002" xr:uid="{00000000-0005-0000-0000-000054C50000}"/>
    <cellStyle name="Note 2 4 2 2 2 2 2 2 3 2" xfId="46876" xr:uid="{00000000-0005-0000-0000-000055C50000}"/>
    <cellStyle name="Note 2 4 2 2 2 2 2 2 4" xfId="33960" xr:uid="{00000000-0005-0000-0000-000056C50000}"/>
    <cellStyle name="Note 2 4 2 2 2 2 2 3" xfId="11315" xr:uid="{00000000-0005-0000-0000-000057C50000}"/>
    <cellStyle name="Note 2 4 2 2 2 2 2 3 2" xfId="24232" xr:uid="{00000000-0005-0000-0000-000058C50000}"/>
    <cellStyle name="Note 2 4 2 2 2 2 2 3 2 2" xfId="50106" xr:uid="{00000000-0005-0000-0000-000059C50000}"/>
    <cellStyle name="Note 2 4 2 2 2 2 2 3 3" xfId="37190" xr:uid="{00000000-0005-0000-0000-00005AC50000}"/>
    <cellStyle name="Note 2 4 2 2 2 2 2 4" xfId="17774" xr:uid="{00000000-0005-0000-0000-00005BC50000}"/>
    <cellStyle name="Note 2 4 2 2 2 2 2 4 2" xfId="43648" xr:uid="{00000000-0005-0000-0000-00005CC50000}"/>
    <cellStyle name="Note 2 4 2 2 2 2 2 5" xfId="30700" xr:uid="{00000000-0005-0000-0000-00005DC50000}"/>
    <cellStyle name="Note 2 4 2 2 2 2 3" xfId="6470" xr:uid="{00000000-0005-0000-0000-00005EC50000}"/>
    <cellStyle name="Note 2 4 2 2 2 2 3 2" xfId="12929" xr:uid="{00000000-0005-0000-0000-00005FC50000}"/>
    <cellStyle name="Note 2 4 2 2 2 2 3 2 2" xfId="25846" xr:uid="{00000000-0005-0000-0000-000060C50000}"/>
    <cellStyle name="Note 2 4 2 2 2 2 3 2 2 2" xfId="51720" xr:uid="{00000000-0005-0000-0000-000061C50000}"/>
    <cellStyle name="Note 2 4 2 2 2 2 3 2 3" xfId="38804" xr:uid="{00000000-0005-0000-0000-000062C50000}"/>
    <cellStyle name="Note 2 4 2 2 2 2 3 3" xfId="19388" xr:uid="{00000000-0005-0000-0000-000063C50000}"/>
    <cellStyle name="Note 2 4 2 2 2 2 3 3 2" xfId="45262" xr:uid="{00000000-0005-0000-0000-000064C50000}"/>
    <cellStyle name="Note 2 4 2 2 2 2 3 4" xfId="32346" xr:uid="{00000000-0005-0000-0000-000065C50000}"/>
    <cellStyle name="Note 2 4 2 2 2 2 4" xfId="9701" xr:uid="{00000000-0005-0000-0000-000066C50000}"/>
    <cellStyle name="Note 2 4 2 2 2 2 4 2" xfId="22618" xr:uid="{00000000-0005-0000-0000-000067C50000}"/>
    <cellStyle name="Note 2 4 2 2 2 2 4 2 2" xfId="48492" xr:uid="{00000000-0005-0000-0000-000068C50000}"/>
    <cellStyle name="Note 2 4 2 2 2 2 4 3" xfId="35576" xr:uid="{00000000-0005-0000-0000-000069C50000}"/>
    <cellStyle name="Note 2 4 2 2 2 2 5" xfId="16160" xr:uid="{00000000-0005-0000-0000-00006AC50000}"/>
    <cellStyle name="Note 2 4 2 2 2 2 5 2" xfId="42034" xr:uid="{00000000-0005-0000-0000-00006BC50000}"/>
    <cellStyle name="Note 2 4 2 2 2 2 6" xfId="29086" xr:uid="{00000000-0005-0000-0000-00006CC50000}"/>
    <cellStyle name="Note 2 4 2 2 2 3" xfId="4023" xr:uid="{00000000-0005-0000-0000-00006DC50000}"/>
    <cellStyle name="Note 2 4 2 2 2 3 2" xfId="7277" xr:uid="{00000000-0005-0000-0000-00006EC50000}"/>
    <cellStyle name="Note 2 4 2 2 2 3 2 2" xfId="13736" xr:uid="{00000000-0005-0000-0000-00006FC50000}"/>
    <cellStyle name="Note 2 4 2 2 2 3 2 2 2" xfId="26653" xr:uid="{00000000-0005-0000-0000-000070C50000}"/>
    <cellStyle name="Note 2 4 2 2 2 3 2 2 2 2" xfId="52527" xr:uid="{00000000-0005-0000-0000-000071C50000}"/>
    <cellStyle name="Note 2 4 2 2 2 3 2 2 3" xfId="39611" xr:uid="{00000000-0005-0000-0000-000072C50000}"/>
    <cellStyle name="Note 2 4 2 2 2 3 2 3" xfId="20195" xr:uid="{00000000-0005-0000-0000-000073C50000}"/>
    <cellStyle name="Note 2 4 2 2 2 3 2 3 2" xfId="46069" xr:uid="{00000000-0005-0000-0000-000074C50000}"/>
    <cellStyle name="Note 2 4 2 2 2 3 2 4" xfId="33153" xr:uid="{00000000-0005-0000-0000-000075C50000}"/>
    <cellStyle name="Note 2 4 2 2 2 3 3" xfId="10508" xr:uid="{00000000-0005-0000-0000-000076C50000}"/>
    <cellStyle name="Note 2 4 2 2 2 3 3 2" xfId="23425" xr:uid="{00000000-0005-0000-0000-000077C50000}"/>
    <cellStyle name="Note 2 4 2 2 2 3 3 2 2" xfId="49299" xr:uid="{00000000-0005-0000-0000-000078C50000}"/>
    <cellStyle name="Note 2 4 2 2 2 3 3 3" xfId="36383" xr:uid="{00000000-0005-0000-0000-000079C50000}"/>
    <cellStyle name="Note 2 4 2 2 2 3 4" xfId="16967" xr:uid="{00000000-0005-0000-0000-00007AC50000}"/>
    <cellStyle name="Note 2 4 2 2 2 3 4 2" xfId="42841" xr:uid="{00000000-0005-0000-0000-00007BC50000}"/>
    <cellStyle name="Note 2 4 2 2 2 3 5" xfId="29893" xr:uid="{00000000-0005-0000-0000-00007CC50000}"/>
    <cellStyle name="Note 2 4 2 2 2 4" xfId="5663" xr:uid="{00000000-0005-0000-0000-00007DC50000}"/>
    <cellStyle name="Note 2 4 2 2 2 4 2" xfId="12122" xr:uid="{00000000-0005-0000-0000-00007EC50000}"/>
    <cellStyle name="Note 2 4 2 2 2 4 2 2" xfId="25039" xr:uid="{00000000-0005-0000-0000-00007FC50000}"/>
    <cellStyle name="Note 2 4 2 2 2 4 2 2 2" xfId="50913" xr:uid="{00000000-0005-0000-0000-000080C50000}"/>
    <cellStyle name="Note 2 4 2 2 2 4 2 3" xfId="37997" xr:uid="{00000000-0005-0000-0000-000081C50000}"/>
    <cellStyle name="Note 2 4 2 2 2 4 3" xfId="18581" xr:uid="{00000000-0005-0000-0000-000082C50000}"/>
    <cellStyle name="Note 2 4 2 2 2 4 3 2" xfId="44455" xr:uid="{00000000-0005-0000-0000-000083C50000}"/>
    <cellStyle name="Note 2 4 2 2 2 4 4" xfId="31539" xr:uid="{00000000-0005-0000-0000-000084C50000}"/>
    <cellStyle name="Note 2 4 2 2 2 5" xfId="8894" xr:uid="{00000000-0005-0000-0000-000085C50000}"/>
    <cellStyle name="Note 2 4 2 2 2 5 2" xfId="21811" xr:uid="{00000000-0005-0000-0000-000086C50000}"/>
    <cellStyle name="Note 2 4 2 2 2 5 2 2" xfId="47685" xr:uid="{00000000-0005-0000-0000-000087C50000}"/>
    <cellStyle name="Note 2 4 2 2 2 5 3" xfId="34769" xr:uid="{00000000-0005-0000-0000-000088C50000}"/>
    <cellStyle name="Note 2 4 2 2 2 6" xfId="15353" xr:uid="{00000000-0005-0000-0000-000089C50000}"/>
    <cellStyle name="Note 2 4 2 2 2 6 2" xfId="41227" xr:uid="{00000000-0005-0000-0000-00008AC50000}"/>
    <cellStyle name="Note 2 4 2 2 2 7" xfId="28279" xr:uid="{00000000-0005-0000-0000-00008BC50000}"/>
    <cellStyle name="Note 2 4 2 2 2 8" xfId="54141" xr:uid="{00000000-0005-0000-0000-00008CC50000}"/>
    <cellStyle name="Note 2 4 2 2 3" xfId="2792" xr:uid="{00000000-0005-0000-0000-00008DC50000}"/>
    <cellStyle name="Note 2 4 2 2 3 2" xfId="4449" xr:uid="{00000000-0005-0000-0000-00008EC50000}"/>
    <cellStyle name="Note 2 4 2 2 3 2 2" xfId="7680" xr:uid="{00000000-0005-0000-0000-00008FC50000}"/>
    <cellStyle name="Note 2 4 2 2 3 2 2 2" xfId="14139" xr:uid="{00000000-0005-0000-0000-000090C50000}"/>
    <cellStyle name="Note 2 4 2 2 3 2 2 2 2" xfId="27056" xr:uid="{00000000-0005-0000-0000-000091C50000}"/>
    <cellStyle name="Note 2 4 2 2 3 2 2 2 2 2" xfId="52930" xr:uid="{00000000-0005-0000-0000-000092C50000}"/>
    <cellStyle name="Note 2 4 2 2 3 2 2 2 3" xfId="40014" xr:uid="{00000000-0005-0000-0000-000093C50000}"/>
    <cellStyle name="Note 2 4 2 2 3 2 2 3" xfId="20598" xr:uid="{00000000-0005-0000-0000-000094C50000}"/>
    <cellStyle name="Note 2 4 2 2 3 2 2 3 2" xfId="46472" xr:uid="{00000000-0005-0000-0000-000095C50000}"/>
    <cellStyle name="Note 2 4 2 2 3 2 2 4" xfId="33556" xr:uid="{00000000-0005-0000-0000-000096C50000}"/>
    <cellStyle name="Note 2 4 2 2 3 2 3" xfId="10911" xr:uid="{00000000-0005-0000-0000-000097C50000}"/>
    <cellStyle name="Note 2 4 2 2 3 2 3 2" xfId="23828" xr:uid="{00000000-0005-0000-0000-000098C50000}"/>
    <cellStyle name="Note 2 4 2 2 3 2 3 2 2" xfId="49702" xr:uid="{00000000-0005-0000-0000-000099C50000}"/>
    <cellStyle name="Note 2 4 2 2 3 2 3 3" xfId="36786" xr:uid="{00000000-0005-0000-0000-00009AC50000}"/>
    <cellStyle name="Note 2 4 2 2 3 2 4" xfId="17370" xr:uid="{00000000-0005-0000-0000-00009BC50000}"/>
    <cellStyle name="Note 2 4 2 2 3 2 4 2" xfId="43244" xr:uid="{00000000-0005-0000-0000-00009CC50000}"/>
    <cellStyle name="Note 2 4 2 2 3 2 5" xfId="30296" xr:uid="{00000000-0005-0000-0000-00009DC50000}"/>
    <cellStyle name="Note 2 4 2 2 3 3" xfId="6066" xr:uid="{00000000-0005-0000-0000-00009EC50000}"/>
    <cellStyle name="Note 2 4 2 2 3 3 2" xfId="12525" xr:uid="{00000000-0005-0000-0000-00009FC50000}"/>
    <cellStyle name="Note 2 4 2 2 3 3 2 2" xfId="25442" xr:uid="{00000000-0005-0000-0000-0000A0C50000}"/>
    <cellStyle name="Note 2 4 2 2 3 3 2 2 2" xfId="51316" xr:uid="{00000000-0005-0000-0000-0000A1C50000}"/>
    <cellStyle name="Note 2 4 2 2 3 3 2 3" xfId="38400" xr:uid="{00000000-0005-0000-0000-0000A2C50000}"/>
    <cellStyle name="Note 2 4 2 2 3 3 3" xfId="18984" xr:uid="{00000000-0005-0000-0000-0000A3C50000}"/>
    <cellStyle name="Note 2 4 2 2 3 3 3 2" xfId="44858" xr:uid="{00000000-0005-0000-0000-0000A4C50000}"/>
    <cellStyle name="Note 2 4 2 2 3 3 4" xfId="31942" xr:uid="{00000000-0005-0000-0000-0000A5C50000}"/>
    <cellStyle name="Note 2 4 2 2 3 4" xfId="9297" xr:uid="{00000000-0005-0000-0000-0000A6C50000}"/>
    <cellStyle name="Note 2 4 2 2 3 4 2" xfId="22214" xr:uid="{00000000-0005-0000-0000-0000A7C50000}"/>
    <cellStyle name="Note 2 4 2 2 3 4 2 2" xfId="48088" xr:uid="{00000000-0005-0000-0000-0000A8C50000}"/>
    <cellStyle name="Note 2 4 2 2 3 4 3" xfId="35172" xr:uid="{00000000-0005-0000-0000-0000A9C50000}"/>
    <cellStyle name="Note 2 4 2 2 3 5" xfId="15756" xr:uid="{00000000-0005-0000-0000-0000AAC50000}"/>
    <cellStyle name="Note 2 4 2 2 3 5 2" xfId="41630" xr:uid="{00000000-0005-0000-0000-0000ABC50000}"/>
    <cellStyle name="Note 2 4 2 2 3 6" xfId="28682" xr:uid="{00000000-0005-0000-0000-0000ACC50000}"/>
    <cellStyle name="Note 2 4 2 2 4" xfId="3619" xr:uid="{00000000-0005-0000-0000-0000ADC50000}"/>
    <cellStyle name="Note 2 4 2 2 4 2" xfId="6873" xr:uid="{00000000-0005-0000-0000-0000AEC50000}"/>
    <cellStyle name="Note 2 4 2 2 4 2 2" xfId="13332" xr:uid="{00000000-0005-0000-0000-0000AFC50000}"/>
    <cellStyle name="Note 2 4 2 2 4 2 2 2" xfId="26249" xr:uid="{00000000-0005-0000-0000-0000B0C50000}"/>
    <cellStyle name="Note 2 4 2 2 4 2 2 2 2" xfId="52123" xr:uid="{00000000-0005-0000-0000-0000B1C50000}"/>
    <cellStyle name="Note 2 4 2 2 4 2 2 3" xfId="39207" xr:uid="{00000000-0005-0000-0000-0000B2C50000}"/>
    <cellStyle name="Note 2 4 2 2 4 2 3" xfId="19791" xr:uid="{00000000-0005-0000-0000-0000B3C50000}"/>
    <cellStyle name="Note 2 4 2 2 4 2 3 2" xfId="45665" xr:uid="{00000000-0005-0000-0000-0000B4C50000}"/>
    <cellStyle name="Note 2 4 2 2 4 2 4" xfId="32749" xr:uid="{00000000-0005-0000-0000-0000B5C50000}"/>
    <cellStyle name="Note 2 4 2 2 4 3" xfId="10104" xr:uid="{00000000-0005-0000-0000-0000B6C50000}"/>
    <cellStyle name="Note 2 4 2 2 4 3 2" xfId="23021" xr:uid="{00000000-0005-0000-0000-0000B7C50000}"/>
    <cellStyle name="Note 2 4 2 2 4 3 2 2" xfId="48895" xr:uid="{00000000-0005-0000-0000-0000B8C50000}"/>
    <cellStyle name="Note 2 4 2 2 4 3 3" xfId="35979" xr:uid="{00000000-0005-0000-0000-0000B9C50000}"/>
    <cellStyle name="Note 2 4 2 2 4 4" xfId="16563" xr:uid="{00000000-0005-0000-0000-0000BAC50000}"/>
    <cellStyle name="Note 2 4 2 2 4 4 2" xfId="42437" xr:uid="{00000000-0005-0000-0000-0000BBC50000}"/>
    <cellStyle name="Note 2 4 2 2 4 5" xfId="29489" xr:uid="{00000000-0005-0000-0000-0000BCC50000}"/>
    <cellStyle name="Note 2 4 2 2 5" xfId="5259" xr:uid="{00000000-0005-0000-0000-0000BDC50000}"/>
    <cellStyle name="Note 2 4 2 2 5 2" xfId="11718" xr:uid="{00000000-0005-0000-0000-0000BEC50000}"/>
    <cellStyle name="Note 2 4 2 2 5 2 2" xfId="24635" xr:uid="{00000000-0005-0000-0000-0000BFC50000}"/>
    <cellStyle name="Note 2 4 2 2 5 2 2 2" xfId="50509" xr:uid="{00000000-0005-0000-0000-0000C0C50000}"/>
    <cellStyle name="Note 2 4 2 2 5 2 3" xfId="37593" xr:uid="{00000000-0005-0000-0000-0000C1C50000}"/>
    <cellStyle name="Note 2 4 2 2 5 3" xfId="18177" xr:uid="{00000000-0005-0000-0000-0000C2C50000}"/>
    <cellStyle name="Note 2 4 2 2 5 3 2" xfId="44051" xr:uid="{00000000-0005-0000-0000-0000C3C50000}"/>
    <cellStyle name="Note 2 4 2 2 5 4" xfId="31135" xr:uid="{00000000-0005-0000-0000-0000C4C50000}"/>
    <cellStyle name="Note 2 4 2 2 6" xfId="8490" xr:uid="{00000000-0005-0000-0000-0000C5C50000}"/>
    <cellStyle name="Note 2 4 2 2 6 2" xfId="21407" xr:uid="{00000000-0005-0000-0000-0000C6C50000}"/>
    <cellStyle name="Note 2 4 2 2 6 2 2" xfId="47281" xr:uid="{00000000-0005-0000-0000-0000C7C50000}"/>
    <cellStyle name="Note 2 4 2 2 6 3" xfId="34365" xr:uid="{00000000-0005-0000-0000-0000C8C50000}"/>
    <cellStyle name="Note 2 4 2 2 7" xfId="14949" xr:uid="{00000000-0005-0000-0000-0000C9C50000}"/>
    <cellStyle name="Note 2 4 2 2 7 2" xfId="40823" xr:uid="{00000000-0005-0000-0000-0000CAC50000}"/>
    <cellStyle name="Note 2 4 2 2 8" xfId="27874" xr:uid="{00000000-0005-0000-0000-0000CBC50000}"/>
    <cellStyle name="Note 2 4 2 2 9" xfId="53737" xr:uid="{00000000-0005-0000-0000-0000CCC50000}"/>
    <cellStyle name="Note 2 4 2 3" xfId="1021" xr:uid="{00000000-0005-0000-0000-0000CDC50000}"/>
    <cellStyle name="Note 2 4 2 3 2" xfId="3001" xr:uid="{00000000-0005-0000-0000-0000CEC50000}"/>
    <cellStyle name="Note 2 4 2 3 2 2" xfId="4658" xr:uid="{00000000-0005-0000-0000-0000CFC50000}"/>
    <cellStyle name="Note 2 4 2 3 2 2 2" xfId="7889" xr:uid="{00000000-0005-0000-0000-0000D0C50000}"/>
    <cellStyle name="Note 2 4 2 3 2 2 2 2" xfId="14348" xr:uid="{00000000-0005-0000-0000-0000D1C50000}"/>
    <cellStyle name="Note 2 4 2 3 2 2 2 2 2" xfId="27265" xr:uid="{00000000-0005-0000-0000-0000D2C50000}"/>
    <cellStyle name="Note 2 4 2 3 2 2 2 2 2 2" xfId="53139" xr:uid="{00000000-0005-0000-0000-0000D3C50000}"/>
    <cellStyle name="Note 2 4 2 3 2 2 2 2 3" xfId="40223" xr:uid="{00000000-0005-0000-0000-0000D4C50000}"/>
    <cellStyle name="Note 2 4 2 3 2 2 2 3" xfId="20807" xr:uid="{00000000-0005-0000-0000-0000D5C50000}"/>
    <cellStyle name="Note 2 4 2 3 2 2 2 3 2" xfId="46681" xr:uid="{00000000-0005-0000-0000-0000D6C50000}"/>
    <cellStyle name="Note 2 4 2 3 2 2 2 4" xfId="33765" xr:uid="{00000000-0005-0000-0000-0000D7C50000}"/>
    <cellStyle name="Note 2 4 2 3 2 2 3" xfId="11120" xr:uid="{00000000-0005-0000-0000-0000D8C50000}"/>
    <cellStyle name="Note 2 4 2 3 2 2 3 2" xfId="24037" xr:uid="{00000000-0005-0000-0000-0000D9C50000}"/>
    <cellStyle name="Note 2 4 2 3 2 2 3 2 2" xfId="49911" xr:uid="{00000000-0005-0000-0000-0000DAC50000}"/>
    <cellStyle name="Note 2 4 2 3 2 2 3 3" xfId="36995" xr:uid="{00000000-0005-0000-0000-0000DBC50000}"/>
    <cellStyle name="Note 2 4 2 3 2 2 4" xfId="17579" xr:uid="{00000000-0005-0000-0000-0000DCC50000}"/>
    <cellStyle name="Note 2 4 2 3 2 2 4 2" xfId="43453" xr:uid="{00000000-0005-0000-0000-0000DDC50000}"/>
    <cellStyle name="Note 2 4 2 3 2 2 5" xfId="30505" xr:uid="{00000000-0005-0000-0000-0000DEC50000}"/>
    <cellStyle name="Note 2 4 2 3 2 3" xfId="6275" xr:uid="{00000000-0005-0000-0000-0000DFC50000}"/>
    <cellStyle name="Note 2 4 2 3 2 3 2" xfId="12734" xr:uid="{00000000-0005-0000-0000-0000E0C50000}"/>
    <cellStyle name="Note 2 4 2 3 2 3 2 2" xfId="25651" xr:uid="{00000000-0005-0000-0000-0000E1C50000}"/>
    <cellStyle name="Note 2 4 2 3 2 3 2 2 2" xfId="51525" xr:uid="{00000000-0005-0000-0000-0000E2C50000}"/>
    <cellStyle name="Note 2 4 2 3 2 3 2 3" xfId="38609" xr:uid="{00000000-0005-0000-0000-0000E3C50000}"/>
    <cellStyle name="Note 2 4 2 3 2 3 3" xfId="19193" xr:uid="{00000000-0005-0000-0000-0000E4C50000}"/>
    <cellStyle name="Note 2 4 2 3 2 3 3 2" xfId="45067" xr:uid="{00000000-0005-0000-0000-0000E5C50000}"/>
    <cellStyle name="Note 2 4 2 3 2 3 4" xfId="32151" xr:uid="{00000000-0005-0000-0000-0000E6C50000}"/>
    <cellStyle name="Note 2 4 2 3 2 4" xfId="9506" xr:uid="{00000000-0005-0000-0000-0000E7C50000}"/>
    <cellStyle name="Note 2 4 2 3 2 4 2" xfId="22423" xr:uid="{00000000-0005-0000-0000-0000E8C50000}"/>
    <cellStyle name="Note 2 4 2 3 2 4 2 2" xfId="48297" xr:uid="{00000000-0005-0000-0000-0000E9C50000}"/>
    <cellStyle name="Note 2 4 2 3 2 4 3" xfId="35381" xr:uid="{00000000-0005-0000-0000-0000EAC50000}"/>
    <cellStyle name="Note 2 4 2 3 2 5" xfId="15965" xr:uid="{00000000-0005-0000-0000-0000EBC50000}"/>
    <cellStyle name="Note 2 4 2 3 2 5 2" xfId="41839" xr:uid="{00000000-0005-0000-0000-0000ECC50000}"/>
    <cellStyle name="Note 2 4 2 3 2 6" xfId="28891" xr:uid="{00000000-0005-0000-0000-0000EDC50000}"/>
    <cellStyle name="Note 2 4 2 3 3" xfId="3828" xr:uid="{00000000-0005-0000-0000-0000EEC50000}"/>
    <cellStyle name="Note 2 4 2 3 3 2" xfId="7082" xr:uid="{00000000-0005-0000-0000-0000EFC50000}"/>
    <cellStyle name="Note 2 4 2 3 3 2 2" xfId="13541" xr:uid="{00000000-0005-0000-0000-0000F0C50000}"/>
    <cellStyle name="Note 2 4 2 3 3 2 2 2" xfId="26458" xr:uid="{00000000-0005-0000-0000-0000F1C50000}"/>
    <cellStyle name="Note 2 4 2 3 3 2 2 2 2" xfId="52332" xr:uid="{00000000-0005-0000-0000-0000F2C50000}"/>
    <cellStyle name="Note 2 4 2 3 3 2 2 3" xfId="39416" xr:uid="{00000000-0005-0000-0000-0000F3C50000}"/>
    <cellStyle name="Note 2 4 2 3 3 2 3" xfId="20000" xr:uid="{00000000-0005-0000-0000-0000F4C50000}"/>
    <cellStyle name="Note 2 4 2 3 3 2 3 2" xfId="45874" xr:uid="{00000000-0005-0000-0000-0000F5C50000}"/>
    <cellStyle name="Note 2 4 2 3 3 2 4" xfId="32958" xr:uid="{00000000-0005-0000-0000-0000F6C50000}"/>
    <cellStyle name="Note 2 4 2 3 3 3" xfId="10313" xr:uid="{00000000-0005-0000-0000-0000F7C50000}"/>
    <cellStyle name="Note 2 4 2 3 3 3 2" xfId="23230" xr:uid="{00000000-0005-0000-0000-0000F8C50000}"/>
    <cellStyle name="Note 2 4 2 3 3 3 2 2" xfId="49104" xr:uid="{00000000-0005-0000-0000-0000F9C50000}"/>
    <cellStyle name="Note 2 4 2 3 3 3 3" xfId="36188" xr:uid="{00000000-0005-0000-0000-0000FAC50000}"/>
    <cellStyle name="Note 2 4 2 3 3 4" xfId="16772" xr:uid="{00000000-0005-0000-0000-0000FBC50000}"/>
    <cellStyle name="Note 2 4 2 3 3 4 2" xfId="42646" xr:uid="{00000000-0005-0000-0000-0000FCC50000}"/>
    <cellStyle name="Note 2 4 2 3 3 5" xfId="29698" xr:uid="{00000000-0005-0000-0000-0000FDC50000}"/>
    <cellStyle name="Note 2 4 2 3 4" xfId="5468" xr:uid="{00000000-0005-0000-0000-0000FEC50000}"/>
    <cellStyle name="Note 2 4 2 3 4 2" xfId="11927" xr:uid="{00000000-0005-0000-0000-0000FFC50000}"/>
    <cellStyle name="Note 2 4 2 3 4 2 2" xfId="24844" xr:uid="{00000000-0005-0000-0000-000000C60000}"/>
    <cellStyle name="Note 2 4 2 3 4 2 2 2" xfId="50718" xr:uid="{00000000-0005-0000-0000-000001C60000}"/>
    <cellStyle name="Note 2 4 2 3 4 2 3" xfId="37802" xr:uid="{00000000-0005-0000-0000-000002C60000}"/>
    <cellStyle name="Note 2 4 2 3 4 3" xfId="18386" xr:uid="{00000000-0005-0000-0000-000003C60000}"/>
    <cellStyle name="Note 2 4 2 3 4 3 2" xfId="44260" xr:uid="{00000000-0005-0000-0000-000004C60000}"/>
    <cellStyle name="Note 2 4 2 3 4 4" xfId="31344" xr:uid="{00000000-0005-0000-0000-000005C60000}"/>
    <cellStyle name="Note 2 4 2 3 5" xfId="8699" xr:uid="{00000000-0005-0000-0000-000006C60000}"/>
    <cellStyle name="Note 2 4 2 3 5 2" xfId="21616" xr:uid="{00000000-0005-0000-0000-000007C60000}"/>
    <cellStyle name="Note 2 4 2 3 5 2 2" xfId="47490" xr:uid="{00000000-0005-0000-0000-000008C60000}"/>
    <cellStyle name="Note 2 4 2 3 5 3" xfId="34574" xr:uid="{00000000-0005-0000-0000-000009C60000}"/>
    <cellStyle name="Note 2 4 2 3 6" xfId="15158" xr:uid="{00000000-0005-0000-0000-00000AC60000}"/>
    <cellStyle name="Note 2 4 2 3 6 2" xfId="41032" xr:uid="{00000000-0005-0000-0000-00000BC60000}"/>
    <cellStyle name="Note 2 4 2 3 7" xfId="28084" xr:uid="{00000000-0005-0000-0000-00000CC60000}"/>
    <cellStyle name="Note 2 4 2 3 8" xfId="53946" xr:uid="{00000000-0005-0000-0000-00000DC60000}"/>
    <cellStyle name="Note 2 4 2 3 9" xfId="2187" xr:uid="{00000000-0005-0000-0000-00000EC60000}"/>
    <cellStyle name="Note 2 4 2 4" xfId="2598" xr:uid="{00000000-0005-0000-0000-00000FC60000}"/>
    <cellStyle name="Note 2 4 2 4 2" xfId="4255" xr:uid="{00000000-0005-0000-0000-000010C60000}"/>
    <cellStyle name="Note 2 4 2 4 2 2" xfId="7486" xr:uid="{00000000-0005-0000-0000-000011C60000}"/>
    <cellStyle name="Note 2 4 2 4 2 2 2" xfId="13945" xr:uid="{00000000-0005-0000-0000-000012C60000}"/>
    <cellStyle name="Note 2 4 2 4 2 2 2 2" xfId="26862" xr:uid="{00000000-0005-0000-0000-000013C60000}"/>
    <cellStyle name="Note 2 4 2 4 2 2 2 2 2" xfId="52736" xr:uid="{00000000-0005-0000-0000-000014C60000}"/>
    <cellStyle name="Note 2 4 2 4 2 2 2 3" xfId="39820" xr:uid="{00000000-0005-0000-0000-000015C60000}"/>
    <cellStyle name="Note 2 4 2 4 2 2 3" xfId="20404" xr:uid="{00000000-0005-0000-0000-000016C60000}"/>
    <cellStyle name="Note 2 4 2 4 2 2 3 2" xfId="46278" xr:uid="{00000000-0005-0000-0000-000017C60000}"/>
    <cellStyle name="Note 2 4 2 4 2 2 4" xfId="33362" xr:uid="{00000000-0005-0000-0000-000018C60000}"/>
    <cellStyle name="Note 2 4 2 4 2 3" xfId="10717" xr:uid="{00000000-0005-0000-0000-000019C60000}"/>
    <cellStyle name="Note 2 4 2 4 2 3 2" xfId="23634" xr:uid="{00000000-0005-0000-0000-00001AC60000}"/>
    <cellStyle name="Note 2 4 2 4 2 3 2 2" xfId="49508" xr:uid="{00000000-0005-0000-0000-00001BC60000}"/>
    <cellStyle name="Note 2 4 2 4 2 3 3" xfId="36592" xr:uid="{00000000-0005-0000-0000-00001CC60000}"/>
    <cellStyle name="Note 2 4 2 4 2 4" xfId="17176" xr:uid="{00000000-0005-0000-0000-00001DC60000}"/>
    <cellStyle name="Note 2 4 2 4 2 4 2" xfId="43050" xr:uid="{00000000-0005-0000-0000-00001EC60000}"/>
    <cellStyle name="Note 2 4 2 4 2 5" xfId="30102" xr:uid="{00000000-0005-0000-0000-00001FC60000}"/>
    <cellStyle name="Note 2 4 2 4 3" xfId="5872" xr:uid="{00000000-0005-0000-0000-000020C60000}"/>
    <cellStyle name="Note 2 4 2 4 3 2" xfId="12331" xr:uid="{00000000-0005-0000-0000-000021C60000}"/>
    <cellStyle name="Note 2 4 2 4 3 2 2" xfId="25248" xr:uid="{00000000-0005-0000-0000-000022C60000}"/>
    <cellStyle name="Note 2 4 2 4 3 2 2 2" xfId="51122" xr:uid="{00000000-0005-0000-0000-000023C60000}"/>
    <cellStyle name="Note 2 4 2 4 3 2 3" xfId="38206" xr:uid="{00000000-0005-0000-0000-000024C60000}"/>
    <cellStyle name="Note 2 4 2 4 3 3" xfId="18790" xr:uid="{00000000-0005-0000-0000-000025C60000}"/>
    <cellStyle name="Note 2 4 2 4 3 3 2" xfId="44664" xr:uid="{00000000-0005-0000-0000-000026C60000}"/>
    <cellStyle name="Note 2 4 2 4 3 4" xfId="31748" xr:uid="{00000000-0005-0000-0000-000027C60000}"/>
    <cellStyle name="Note 2 4 2 4 4" xfId="9103" xr:uid="{00000000-0005-0000-0000-000028C60000}"/>
    <cellStyle name="Note 2 4 2 4 4 2" xfId="22020" xr:uid="{00000000-0005-0000-0000-000029C60000}"/>
    <cellStyle name="Note 2 4 2 4 4 2 2" xfId="47894" xr:uid="{00000000-0005-0000-0000-00002AC60000}"/>
    <cellStyle name="Note 2 4 2 4 4 3" xfId="34978" xr:uid="{00000000-0005-0000-0000-00002BC60000}"/>
    <cellStyle name="Note 2 4 2 4 5" xfId="15562" xr:uid="{00000000-0005-0000-0000-00002CC60000}"/>
    <cellStyle name="Note 2 4 2 4 5 2" xfId="41436" xr:uid="{00000000-0005-0000-0000-00002DC60000}"/>
    <cellStyle name="Note 2 4 2 4 6" xfId="28488" xr:uid="{00000000-0005-0000-0000-00002EC60000}"/>
    <cellStyle name="Note 2 4 2 5" xfId="3425" xr:uid="{00000000-0005-0000-0000-00002FC60000}"/>
    <cellStyle name="Note 2 4 2 5 2" xfId="6679" xr:uid="{00000000-0005-0000-0000-000030C60000}"/>
    <cellStyle name="Note 2 4 2 5 2 2" xfId="13138" xr:uid="{00000000-0005-0000-0000-000031C60000}"/>
    <cellStyle name="Note 2 4 2 5 2 2 2" xfId="26055" xr:uid="{00000000-0005-0000-0000-000032C60000}"/>
    <cellStyle name="Note 2 4 2 5 2 2 2 2" xfId="51929" xr:uid="{00000000-0005-0000-0000-000033C60000}"/>
    <cellStyle name="Note 2 4 2 5 2 2 3" xfId="39013" xr:uid="{00000000-0005-0000-0000-000034C60000}"/>
    <cellStyle name="Note 2 4 2 5 2 3" xfId="19597" xr:uid="{00000000-0005-0000-0000-000035C60000}"/>
    <cellStyle name="Note 2 4 2 5 2 3 2" xfId="45471" xr:uid="{00000000-0005-0000-0000-000036C60000}"/>
    <cellStyle name="Note 2 4 2 5 2 4" xfId="32555" xr:uid="{00000000-0005-0000-0000-000037C60000}"/>
    <cellStyle name="Note 2 4 2 5 3" xfId="9910" xr:uid="{00000000-0005-0000-0000-000038C60000}"/>
    <cellStyle name="Note 2 4 2 5 3 2" xfId="22827" xr:uid="{00000000-0005-0000-0000-000039C60000}"/>
    <cellStyle name="Note 2 4 2 5 3 2 2" xfId="48701" xr:uid="{00000000-0005-0000-0000-00003AC60000}"/>
    <cellStyle name="Note 2 4 2 5 3 3" xfId="35785" xr:uid="{00000000-0005-0000-0000-00003BC60000}"/>
    <cellStyle name="Note 2 4 2 5 4" xfId="16369" xr:uid="{00000000-0005-0000-0000-00003CC60000}"/>
    <cellStyle name="Note 2 4 2 5 4 2" xfId="42243" xr:uid="{00000000-0005-0000-0000-00003DC60000}"/>
    <cellStyle name="Note 2 4 2 5 5" xfId="29295" xr:uid="{00000000-0005-0000-0000-00003EC60000}"/>
    <cellStyle name="Note 2 4 2 6" xfId="5065" xr:uid="{00000000-0005-0000-0000-00003FC60000}"/>
    <cellStyle name="Note 2 4 2 6 2" xfId="11524" xr:uid="{00000000-0005-0000-0000-000040C60000}"/>
    <cellStyle name="Note 2 4 2 6 2 2" xfId="24441" xr:uid="{00000000-0005-0000-0000-000041C60000}"/>
    <cellStyle name="Note 2 4 2 6 2 2 2" xfId="50315" xr:uid="{00000000-0005-0000-0000-000042C60000}"/>
    <cellStyle name="Note 2 4 2 6 2 3" xfId="37399" xr:uid="{00000000-0005-0000-0000-000043C60000}"/>
    <cellStyle name="Note 2 4 2 6 3" xfId="17983" xr:uid="{00000000-0005-0000-0000-000044C60000}"/>
    <cellStyle name="Note 2 4 2 6 3 2" xfId="43857" xr:uid="{00000000-0005-0000-0000-000045C60000}"/>
    <cellStyle name="Note 2 4 2 6 4" xfId="30941" xr:uid="{00000000-0005-0000-0000-000046C60000}"/>
    <cellStyle name="Note 2 4 2 7" xfId="8295" xr:uid="{00000000-0005-0000-0000-000047C60000}"/>
    <cellStyle name="Note 2 4 2 7 2" xfId="21212" xr:uid="{00000000-0005-0000-0000-000048C60000}"/>
    <cellStyle name="Note 2 4 2 7 2 2" xfId="47086" xr:uid="{00000000-0005-0000-0000-000049C60000}"/>
    <cellStyle name="Note 2 4 2 7 3" xfId="34170" xr:uid="{00000000-0005-0000-0000-00004AC60000}"/>
    <cellStyle name="Note 2 4 2 8" xfId="14754" xr:uid="{00000000-0005-0000-0000-00004BC60000}"/>
    <cellStyle name="Note 2 4 2 8 2" xfId="40628" xr:uid="{00000000-0005-0000-0000-00004CC60000}"/>
    <cellStyle name="Note 2 4 2 9" xfId="27678" xr:uid="{00000000-0005-0000-0000-00004DC60000}"/>
    <cellStyle name="Note 2 4 3" xfId="1023" xr:uid="{00000000-0005-0000-0000-00004EC60000}"/>
    <cellStyle name="Note 2 4 3 10" xfId="1870" xr:uid="{00000000-0005-0000-0000-00004FC60000}"/>
    <cellStyle name="Note 2 4 3 2" xfId="2310" xr:uid="{00000000-0005-0000-0000-000050C60000}"/>
    <cellStyle name="Note 2 4 3 2 2" xfId="3124" xr:uid="{00000000-0005-0000-0000-000051C60000}"/>
    <cellStyle name="Note 2 4 3 2 2 2" xfId="4781" xr:uid="{00000000-0005-0000-0000-000052C60000}"/>
    <cellStyle name="Note 2 4 3 2 2 2 2" xfId="8012" xr:uid="{00000000-0005-0000-0000-000053C60000}"/>
    <cellStyle name="Note 2 4 3 2 2 2 2 2" xfId="14471" xr:uid="{00000000-0005-0000-0000-000054C60000}"/>
    <cellStyle name="Note 2 4 3 2 2 2 2 2 2" xfId="27388" xr:uid="{00000000-0005-0000-0000-000055C60000}"/>
    <cellStyle name="Note 2 4 3 2 2 2 2 2 2 2" xfId="53262" xr:uid="{00000000-0005-0000-0000-000056C60000}"/>
    <cellStyle name="Note 2 4 3 2 2 2 2 2 3" xfId="40346" xr:uid="{00000000-0005-0000-0000-000057C60000}"/>
    <cellStyle name="Note 2 4 3 2 2 2 2 3" xfId="20930" xr:uid="{00000000-0005-0000-0000-000058C60000}"/>
    <cellStyle name="Note 2 4 3 2 2 2 2 3 2" xfId="46804" xr:uid="{00000000-0005-0000-0000-000059C60000}"/>
    <cellStyle name="Note 2 4 3 2 2 2 2 4" xfId="33888" xr:uid="{00000000-0005-0000-0000-00005AC60000}"/>
    <cellStyle name="Note 2 4 3 2 2 2 3" xfId="11243" xr:uid="{00000000-0005-0000-0000-00005BC60000}"/>
    <cellStyle name="Note 2 4 3 2 2 2 3 2" xfId="24160" xr:uid="{00000000-0005-0000-0000-00005CC60000}"/>
    <cellStyle name="Note 2 4 3 2 2 2 3 2 2" xfId="50034" xr:uid="{00000000-0005-0000-0000-00005DC60000}"/>
    <cellStyle name="Note 2 4 3 2 2 2 3 3" xfId="37118" xr:uid="{00000000-0005-0000-0000-00005EC60000}"/>
    <cellStyle name="Note 2 4 3 2 2 2 4" xfId="17702" xr:uid="{00000000-0005-0000-0000-00005FC60000}"/>
    <cellStyle name="Note 2 4 3 2 2 2 4 2" xfId="43576" xr:uid="{00000000-0005-0000-0000-000060C60000}"/>
    <cellStyle name="Note 2 4 3 2 2 2 5" xfId="30628" xr:uid="{00000000-0005-0000-0000-000061C60000}"/>
    <cellStyle name="Note 2 4 3 2 2 3" xfId="6398" xr:uid="{00000000-0005-0000-0000-000062C60000}"/>
    <cellStyle name="Note 2 4 3 2 2 3 2" xfId="12857" xr:uid="{00000000-0005-0000-0000-000063C60000}"/>
    <cellStyle name="Note 2 4 3 2 2 3 2 2" xfId="25774" xr:uid="{00000000-0005-0000-0000-000064C60000}"/>
    <cellStyle name="Note 2 4 3 2 2 3 2 2 2" xfId="51648" xr:uid="{00000000-0005-0000-0000-000065C60000}"/>
    <cellStyle name="Note 2 4 3 2 2 3 2 3" xfId="38732" xr:uid="{00000000-0005-0000-0000-000066C60000}"/>
    <cellStyle name="Note 2 4 3 2 2 3 3" xfId="19316" xr:uid="{00000000-0005-0000-0000-000067C60000}"/>
    <cellStyle name="Note 2 4 3 2 2 3 3 2" xfId="45190" xr:uid="{00000000-0005-0000-0000-000068C60000}"/>
    <cellStyle name="Note 2 4 3 2 2 3 4" xfId="32274" xr:uid="{00000000-0005-0000-0000-000069C60000}"/>
    <cellStyle name="Note 2 4 3 2 2 4" xfId="9629" xr:uid="{00000000-0005-0000-0000-00006AC60000}"/>
    <cellStyle name="Note 2 4 3 2 2 4 2" xfId="22546" xr:uid="{00000000-0005-0000-0000-00006BC60000}"/>
    <cellStyle name="Note 2 4 3 2 2 4 2 2" xfId="48420" xr:uid="{00000000-0005-0000-0000-00006CC60000}"/>
    <cellStyle name="Note 2 4 3 2 2 4 3" xfId="35504" xr:uid="{00000000-0005-0000-0000-00006DC60000}"/>
    <cellStyle name="Note 2 4 3 2 2 5" xfId="16088" xr:uid="{00000000-0005-0000-0000-00006EC60000}"/>
    <cellStyle name="Note 2 4 3 2 2 5 2" xfId="41962" xr:uid="{00000000-0005-0000-0000-00006FC60000}"/>
    <cellStyle name="Note 2 4 3 2 2 6" xfId="29014" xr:uid="{00000000-0005-0000-0000-000070C60000}"/>
    <cellStyle name="Note 2 4 3 2 3" xfId="3951" xr:uid="{00000000-0005-0000-0000-000071C60000}"/>
    <cellStyle name="Note 2 4 3 2 3 2" xfId="7205" xr:uid="{00000000-0005-0000-0000-000072C60000}"/>
    <cellStyle name="Note 2 4 3 2 3 2 2" xfId="13664" xr:uid="{00000000-0005-0000-0000-000073C60000}"/>
    <cellStyle name="Note 2 4 3 2 3 2 2 2" xfId="26581" xr:uid="{00000000-0005-0000-0000-000074C60000}"/>
    <cellStyle name="Note 2 4 3 2 3 2 2 2 2" xfId="52455" xr:uid="{00000000-0005-0000-0000-000075C60000}"/>
    <cellStyle name="Note 2 4 3 2 3 2 2 3" xfId="39539" xr:uid="{00000000-0005-0000-0000-000076C60000}"/>
    <cellStyle name="Note 2 4 3 2 3 2 3" xfId="20123" xr:uid="{00000000-0005-0000-0000-000077C60000}"/>
    <cellStyle name="Note 2 4 3 2 3 2 3 2" xfId="45997" xr:uid="{00000000-0005-0000-0000-000078C60000}"/>
    <cellStyle name="Note 2 4 3 2 3 2 4" xfId="33081" xr:uid="{00000000-0005-0000-0000-000079C60000}"/>
    <cellStyle name="Note 2 4 3 2 3 3" xfId="10436" xr:uid="{00000000-0005-0000-0000-00007AC60000}"/>
    <cellStyle name="Note 2 4 3 2 3 3 2" xfId="23353" xr:uid="{00000000-0005-0000-0000-00007BC60000}"/>
    <cellStyle name="Note 2 4 3 2 3 3 2 2" xfId="49227" xr:uid="{00000000-0005-0000-0000-00007CC60000}"/>
    <cellStyle name="Note 2 4 3 2 3 3 3" xfId="36311" xr:uid="{00000000-0005-0000-0000-00007DC60000}"/>
    <cellStyle name="Note 2 4 3 2 3 4" xfId="16895" xr:uid="{00000000-0005-0000-0000-00007EC60000}"/>
    <cellStyle name="Note 2 4 3 2 3 4 2" xfId="42769" xr:uid="{00000000-0005-0000-0000-00007FC60000}"/>
    <cellStyle name="Note 2 4 3 2 3 5" xfId="29821" xr:uid="{00000000-0005-0000-0000-000080C60000}"/>
    <cellStyle name="Note 2 4 3 2 4" xfId="5591" xr:uid="{00000000-0005-0000-0000-000081C60000}"/>
    <cellStyle name="Note 2 4 3 2 4 2" xfId="12050" xr:uid="{00000000-0005-0000-0000-000082C60000}"/>
    <cellStyle name="Note 2 4 3 2 4 2 2" xfId="24967" xr:uid="{00000000-0005-0000-0000-000083C60000}"/>
    <cellStyle name="Note 2 4 3 2 4 2 2 2" xfId="50841" xr:uid="{00000000-0005-0000-0000-000084C60000}"/>
    <cellStyle name="Note 2 4 3 2 4 2 3" xfId="37925" xr:uid="{00000000-0005-0000-0000-000085C60000}"/>
    <cellStyle name="Note 2 4 3 2 4 3" xfId="18509" xr:uid="{00000000-0005-0000-0000-000086C60000}"/>
    <cellStyle name="Note 2 4 3 2 4 3 2" xfId="44383" xr:uid="{00000000-0005-0000-0000-000087C60000}"/>
    <cellStyle name="Note 2 4 3 2 4 4" xfId="31467" xr:uid="{00000000-0005-0000-0000-000088C60000}"/>
    <cellStyle name="Note 2 4 3 2 5" xfId="8822" xr:uid="{00000000-0005-0000-0000-000089C60000}"/>
    <cellStyle name="Note 2 4 3 2 5 2" xfId="21739" xr:uid="{00000000-0005-0000-0000-00008AC60000}"/>
    <cellStyle name="Note 2 4 3 2 5 2 2" xfId="47613" xr:uid="{00000000-0005-0000-0000-00008BC60000}"/>
    <cellStyle name="Note 2 4 3 2 5 3" xfId="34697" xr:uid="{00000000-0005-0000-0000-00008CC60000}"/>
    <cellStyle name="Note 2 4 3 2 6" xfId="15281" xr:uid="{00000000-0005-0000-0000-00008DC60000}"/>
    <cellStyle name="Note 2 4 3 2 6 2" xfId="41155" xr:uid="{00000000-0005-0000-0000-00008EC60000}"/>
    <cellStyle name="Note 2 4 3 2 7" xfId="28207" xr:uid="{00000000-0005-0000-0000-00008FC60000}"/>
    <cellStyle name="Note 2 4 3 2 8" xfId="54069" xr:uid="{00000000-0005-0000-0000-000090C60000}"/>
    <cellStyle name="Note 2 4 3 3" xfId="2720" xr:uid="{00000000-0005-0000-0000-000091C60000}"/>
    <cellStyle name="Note 2 4 3 3 2" xfId="4377" xr:uid="{00000000-0005-0000-0000-000092C60000}"/>
    <cellStyle name="Note 2 4 3 3 2 2" xfId="7608" xr:uid="{00000000-0005-0000-0000-000093C60000}"/>
    <cellStyle name="Note 2 4 3 3 2 2 2" xfId="14067" xr:uid="{00000000-0005-0000-0000-000094C60000}"/>
    <cellStyle name="Note 2 4 3 3 2 2 2 2" xfId="26984" xr:uid="{00000000-0005-0000-0000-000095C60000}"/>
    <cellStyle name="Note 2 4 3 3 2 2 2 2 2" xfId="52858" xr:uid="{00000000-0005-0000-0000-000096C60000}"/>
    <cellStyle name="Note 2 4 3 3 2 2 2 3" xfId="39942" xr:uid="{00000000-0005-0000-0000-000097C60000}"/>
    <cellStyle name="Note 2 4 3 3 2 2 3" xfId="20526" xr:uid="{00000000-0005-0000-0000-000098C60000}"/>
    <cellStyle name="Note 2 4 3 3 2 2 3 2" xfId="46400" xr:uid="{00000000-0005-0000-0000-000099C60000}"/>
    <cellStyle name="Note 2 4 3 3 2 2 4" xfId="33484" xr:uid="{00000000-0005-0000-0000-00009AC60000}"/>
    <cellStyle name="Note 2 4 3 3 2 3" xfId="10839" xr:uid="{00000000-0005-0000-0000-00009BC60000}"/>
    <cellStyle name="Note 2 4 3 3 2 3 2" xfId="23756" xr:uid="{00000000-0005-0000-0000-00009CC60000}"/>
    <cellStyle name="Note 2 4 3 3 2 3 2 2" xfId="49630" xr:uid="{00000000-0005-0000-0000-00009DC60000}"/>
    <cellStyle name="Note 2 4 3 3 2 3 3" xfId="36714" xr:uid="{00000000-0005-0000-0000-00009EC60000}"/>
    <cellStyle name="Note 2 4 3 3 2 4" xfId="17298" xr:uid="{00000000-0005-0000-0000-00009FC60000}"/>
    <cellStyle name="Note 2 4 3 3 2 4 2" xfId="43172" xr:uid="{00000000-0005-0000-0000-0000A0C60000}"/>
    <cellStyle name="Note 2 4 3 3 2 5" xfId="30224" xr:uid="{00000000-0005-0000-0000-0000A1C60000}"/>
    <cellStyle name="Note 2 4 3 3 3" xfId="5994" xr:uid="{00000000-0005-0000-0000-0000A2C60000}"/>
    <cellStyle name="Note 2 4 3 3 3 2" xfId="12453" xr:uid="{00000000-0005-0000-0000-0000A3C60000}"/>
    <cellStyle name="Note 2 4 3 3 3 2 2" xfId="25370" xr:uid="{00000000-0005-0000-0000-0000A4C60000}"/>
    <cellStyle name="Note 2 4 3 3 3 2 2 2" xfId="51244" xr:uid="{00000000-0005-0000-0000-0000A5C60000}"/>
    <cellStyle name="Note 2 4 3 3 3 2 3" xfId="38328" xr:uid="{00000000-0005-0000-0000-0000A6C60000}"/>
    <cellStyle name="Note 2 4 3 3 3 3" xfId="18912" xr:uid="{00000000-0005-0000-0000-0000A7C60000}"/>
    <cellStyle name="Note 2 4 3 3 3 3 2" xfId="44786" xr:uid="{00000000-0005-0000-0000-0000A8C60000}"/>
    <cellStyle name="Note 2 4 3 3 3 4" xfId="31870" xr:uid="{00000000-0005-0000-0000-0000A9C60000}"/>
    <cellStyle name="Note 2 4 3 3 4" xfId="9225" xr:uid="{00000000-0005-0000-0000-0000AAC60000}"/>
    <cellStyle name="Note 2 4 3 3 4 2" xfId="22142" xr:uid="{00000000-0005-0000-0000-0000ABC60000}"/>
    <cellStyle name="Note 2 4 3 3 4 2 2" xfId="48016" xr:uid="{00000000-0005-0000-0000-0000ACC60000}"/>
    <cellStyle name="Note 2 4 3 3 4 3" xfId="35100" xr:uid="{00000000-0005-0000-0000-0000ADC60000}"/>
    <cellStyle name="Note 2 4 3 3 5" xfId="15684" xr:uid="{00000000-0005-0000-0000-0000AEC60000}"/>
    <cellStyle name="Note 2 4 3 3 5 2" xfId="41558" xr:uid="{00000000-0005-0000-0000-0000AFC60000}"/>
    <cellStyle name="Note 2 4 3 3 6" xfId="28610" xr:uid="{00000000-0005-0000-0000-0000B0C60000}"/>
    <cellStyle name="Note 2 4 3 4" xfId="3547" xr:uid="{00000000-0005-0000-0000-0000B1C60000}"/>
    <cellStyle name="Note 2 4 3 4 2" xfId="6801" xr:uid="{00000000-0005-0000-0000-0000B2C60000}"/>
    <cellStyle name="Note 2 4 3 4 2 2" xfId="13260" xr:uid="{00000000-0005-0000-0000-0000B3C60000}"/>
    <cellStyle name="Note 2 4 3 4 2 2 2" xfId="26177" xr:uid="{00000000-0005-0000-0000-0000B4C60000}"/>
    <cellStyle name="Note 2 4 3 4 2 2 2 2" xfId="52051" xr:uid="{00000000-0005-0000-0000-0000B5C60000}"/>
    <cellStyle name="Note 2 4 3 4 2 2 3" xfId="39135" xr:uid="{00000000-0005-0000-0000-0000B6C60000}"/>
    <cellStyle name="Note 2 4 3 4 2 3" xfId="19719" xr:uid="{00000000-0005-0000-0000-0000B7C60000}"/>
    <cellStyle name="Note 2 4 3 4 2 3 2" xfId="45593" xr:uid="{00000000-0005-0000-0000-0000B8C60000}"/>
    <cellStyle name="Note 2 4 3 4 2 4" xfId="32677" xr:uid="{00000000-0005-0000-0000-0000B9C60000}"/>
    <cellStyle name="Note 2 4 3 4 3" xfId="10032" xr:uid="{00000000-0005-0000-0000-0000BAC60000}"/>
    <cellStyle name="Note 2 4 3 4 3 2" xfId="22949" xr:uid="{00000000-0005-0000-0000-0000BBC60000}"/>
    <cellStyle name="Note 2 4 3 4 3 2 2" xfId="48823" xr:uid="{00000000-0005-0000-0000-0000BCC60000}"/>
    <cellStyle name="Note 2 4 3 4 3 3" xfId="35907" xr:uid="{00000000-0005-0000-0000-0000BDC60000}"/>
    <cellStyle name="Note 2 4 3 4 4" xfId="16491" xr:uid="{00000000-0005-0000-0000-0000BEC60000}"/>
    <cellStyle name="Note 2 4 3 4 4 2" xfId="42365" xr:uid="{00000000-0005-0000-0000-0000BFC60000}"/>
    <cellStyle name="Note 2 4 3 4 5" xfId="29417" xr:uid="{00000000-0005-0000-0000-0000C0C60000}"/>
    <cellStyle name="Note 2 4 3 5" xfId="5187" xr:uid="{00000000-0005-0000-0000-0000C1C60000}"/>
    <cellStyle name="Note 2 4 3 5 2" xfId="11646" xr:uid="{00000000-0005-0000-0000-0000C2C60000}"/>
    <cellStyle name="Note 2 4 3 5 2 2" xfId="24563" xr:uid="{00000000-0005-0000-0000-0000C3C60000}"/>
    <cellStyle name="Note 2 4 3 5 2 2 2" xfId="50437" xr:uid="{00000000-0005-0000-0000-0000C4C60000}"/>
    <cellStyle name="Note 2 4 3 5 2 3" xfId="37521" xr:uid="{00000000-0005-0000-0000-0000C5C60000}"/>
    <cellStyle name="Note 2 4 3 5 3" xfId="18105" xr:uid="{00000000-0005-0000-0000-0000C6C60000}"/>
    <cellStyle name="Note 2 4 3 5 3 2" xfId="43979" xr:uid="{00000000-0005-0000-0000-0000C7C60000}"/>
    <cellStyle name="Note 2 4 3 5 4" xfId="31063" xr:uid="{00000000-0005-0000-0000-0000C8C60000}"/>
    <cellStyle name="Note 2 4 3 6" xfId="8418" xr:uid="{00000000-0005-0000-0000-0000C9C60000}"/>
    <cellStyle name="Note 2 4 3 6 2" xfId="21335" xr:uid="{00000000-0005-0000-0000-0000CAC60000}"/>
    <cellStyle name="Note 2 4 3 6 2 2" xfId="47209" xr:uid="{00000000-0005-0000-0000-0000CBC60000}"/>
    <cellStyle name="Note 2 4 3 6 3" xfId="34293" xr:uid="{00000000-0005-0000-0000-0000CCC60000}"/>
    <cellStyle name="Note 2 4 3 7" xfId="14877" xr:uid="{00000000-0005-0000-0000-0000CDC60000}"/>
    <cellStyle name="Note 2 4 3 7 2" xfId="40751" xr:uid="{00000000-0005-0000-0000-0000CEC60000}"/>
    <cellStyle name="Note 2 4 3 8" xfId="27802" xr:uid="{00000000-0005-0000-0000-0000CFC60000}"/>
    <cellStyle name="Note 2 4 3 9" xfId="53665" xr:uid="{00000000-0005-0000-0000-0000D0C60000}"/>
    <cellStyle name="Note 2 4 4" xfId="1020" xr:uid="{00000000-0005-0000-0000-0000D1C60000}"/>
    <cellStyle name="Note 2 4 4 2" xfId="2929" xr:uid="{00000000-0005-0000-0000-0000D2C60000}"/>
    <cellStyle name="Note 2 4 4 2 2" xfId="4586" xr:uid="{00000000-0005-0000-0000-0000D3C60000}"/>
    <cellStyle name="Note 2 4 4 2 2 2" xfId="7817" xr:uid="{00000000-0005-0000-0000-0000D4C60000}"/>
    <cellStyle name="Note 2 4 4 2 2 2 2" xfId="14276" xr:uid="{00000000-0005-0000-0000-0000D5C60000}"/>
    <cellStyle name="Note 2 4 4 2 2 2 2 2" xfId="27193" xr:uid="{00000000-0005-0000-0000-0000D6C60000}"/>
    <cellStyle name="Note 2 4 4 2 2 2 2 2 2" xfId="53067" xr:uid="{00000000-0005-0000-0000-0000D7C60000}"/>
    <cellStyle name="Note 2 4 4 2 2 2 2 3" xfId="40151" xr:uid="{00000000-0005-0000-0000-0000D8C60000}"/>
    <cellStyle name="Note 2 4 4 2 2 2 3" xfId="20735" xr:uid="{00000000-0005-0000-0000-0000D9C60000}"/>
    <cellStyle name="Note 2 4 4 2 2 2 3 2" xfId="46609" xr:uid="{00000000-0005-0000-0000-0000DAC60000}"/>
    <cellStyle name="Note 2 4 4 2 2 2 4" xfId="33693" xr:uid="{00000000-0005-0000-0000-0000DBC60000}"/>
    <cellStyle name="Note 2 4 4 2 2 3" xfId="11048" xr:uid="{00000000-0005-0000-0000-0000DCC60000}"/>
    <cellStyle name="Note 2 4 4 2 2 3 2" xfId="23965" xr:uid="{00000000-0005-0000-0000-0000DDC60000}"/>
    <cellStyle name="Note 2 4 4 2 2 3 2 2" xfId="49839" xr:uid="{00000000-0005-0000-0000-0000DEC60000}"/>
    <cellStyle name="Note 2 4 4 2 2 3 3" xfId="36923" xr:uid="{00000000-0005-0000-0000-0000DFC60000}"/>
    <cellStyle name="Note 2 4 4 2 2 4" xfId="17507" xr:uid="{00000000-0005-0000-0000-0000E0C60000}"/>
    <cellStyle name="Note 2 4 4 2 2 4 2" xfId="43381" xr:uid="{00000000-0005-0000-0000-0000E1C60000}"/>
    <cellStyle name="Note 2 4 4 2 2 5" xfId="30433" xr:uid="{00000000-0005-0000-0000-0000E2C60000}"/>
    <cellStyle name="Note 2 4 4 2 3" xfId="6203" xr:uid="{00000000-0005-0000-0000-0000E3C60000}"/>
    <cellStyle name="Note 2 4 4 2 3 2" xfId="12662" xr:uid="{00000000-0005-0000-0000-0000E4C60000}"/>
    <cellStyle name="Note 2 4 4 2 3 2 2" xfId="25579" xr:uid="{00000000-0005-0000-0000-0000E5C60000}"/>
    <cellStyle name="Note 2 4 4 2 3 2 2 2" xfId="51453" xr:uid="{00000000-0005-0000-0000-0000E6C60000}"/>
    <cellStyle name="Note 2 4 4 2 3 2 3" xfId="38537" xr:uid="{00000000-0005-0000-0000-0000E7C60000}"/>
    <cellStyle name="Note 2 4 4 2 3 3" xfId="19121" xr:uid="{00000000-0005-0000-0000-0000E8C60000}"/>
    <cellStyle name="Note 2 4 4 2 3 3 2" xfId="44995" xr:uid="{00000000-0005-0000-0000-0000E9C60000}"/>
    <cellStyle name="Note 2 4 4 2 3 4" xfId="32079" xr:uid="{00000000-0005-0000-0000-0000EAC60000}"/>
    <cellStyle name="Note 2 4 4 2 4" xfId="9434" xr:uid="{00000000-0005-0000-0000-0000EBC60000}"/>
    <cellStyle name="Note 2 4 4 2 4 2" xfId="22351" xr:uid="{00000000-0005-0000-0000-0000ECC60000}"/>
    <cellStyle name="Note 2 4 4 2 4 2 2" xfId="48225" xr:uid="{00000000-0005-0000-0000-0000EDC60000}"/>
    <cellStyle name="Note 2 4 4 2 4 3" xfId="35309" xr:uid="{00000000-0005-0000-0000-0000EEC60000}"/>
    <cellStyle name="Note 2 4 4 2 5" xfId="15893" xr:uid="{00000000-0005-0000-0000-0000EFC60000}"/>
    <cellStyle name="Note 2 4 4 2 5 2" xfId="41767" xr:uid="{00000000-0005-0000-0000-0000F0C60000}"/>
    <cellStyle name="Note 2 4 4 2 6" xfId="28819" xr:uid="{00000000-0005-0000-0000-0000F1C60000}"/>
    <cellStyle name="Note 2 4 4 3" xfId="3756" xr:uid="{00000000-0005-0000-0000-0000F2C60000}"/>
    <cellStyle name="Note 2 4 4 3 2" xfId="7010" xr:uid="{00000000-0005-0000-0000-0000F3C60000}"/>
    <cellStyle name="Note 2 4 4 3 2 2" xfId="13469" xr:uid="{00000000-0005-0000-0000-0000F4C60000}"/>
    <cellStyle name="Note 2 4 4 3 2 2 2" xfId="26386" xr:uid="{00000000-0005-0000-0000-0000F5C60000}"/>
    <cellStyle name="Note 2 4 4 3 2 2 2 2" xfId="52260" xr:uid="{00000000-0005-0000-0000-0000F6C60000}"/>
    <cellStyle name="Note 2 4 4 3 2 2 3" xfId="39344" xr:uid="{00000000-0005-0000-0000-0000F7C60000}"/>
    <cellStyle name="Note 2 4 4 3 2 3" xfId="19928" xr:uid="{00000000-0005-0000-0000-0000F8C60000}"/>
    <cellStyle name="Note 2 4 4 3 2 3 2" xfId="45802" xr:uid="{00000000-0005-0000-0000-0000F9C60000}"/>
    <cellStyle name="Note 2 4 4 3 2 4" xfId="32886" xr:uid="{00000000-0005-0000-0000-0000FAC60000}"/>
    <cellStyle name="Note 2 4 4 3 3" xfId="10241" xr:uid="{00000000-0005-0000-0000-0000FBC60000}"/>
    <cellStyle name="Note 2 4 4 3 3 2" xfId="23158" xr:uid="{00000000-0005-0000-0000-0000FCC60000}"/>
    <cellStyle name="Note 2 4 4 3 3 2 2" xfId="49032" xr:uid="{00000000-0005-0000-0000-0000FDC60000}"/>
    <cellStyle name="Note 2 4 4 3 3 3" xfId="36116" xr:uid="{00000000-0005-0000-0000-0000FEC60000}"/>
    <cellStyle name="Note 2 4 4 3 4" xfId="16700" xr:uid="{00000000-0005-0000-0000-0000FFC60000}"/>
    <cellStyle name="Note 2 4 4 3 4 2" xfId="42574" xr:uid="{00000000-0005-0000-0000-000000C70000}"/>
    <cellStyle name="Note 2 4 4 3 5" xfId="29626" xr:uid="{00000000-0005-0000-0000-000001C70000}"/>
    <cellStyle name="Note 2 4 4 4" xfId="5396" xr:uid="{00000000-0005-0000-0000-000002C70000}"/>
    <cellStyle name="Note 2 4 4 4 2" xfId="11855" xr:uid="{00000000-0005-0000-0000-000003C70000}"/>
    <cellStyle name="Note 2 4 4 4 2 2" xfId="24772" xr:uid="{00000000-0005-0000-0000-000004C70000}"/>
    <cellStyle name="Note 2 4 4 4 2 2 2" xfId="50646" xr:uid="{00000000-0005-0000-0000-000005C70000}"/>
    <cellStyle name="Note 2 4 4 4 2 3" xfId="37730" xr:uid="{00000000-0005-0000-0000-000006C70000}"/>
    <cellStyle name="Note 2 4 4 4 3" xfId="18314" xr:uid="{00000000-0005-0000-0000-000007C70000}"/>
    <cellStyle name="Note 2 4 4 4 3 2" xfId="44188" xr:uid="{00000000-0005-0000-0000-000008C70000}"/>
    <cellStyle name="Note 2 4 4 4 4" xfId="31272" xr:uid="{00000000-0005-0000-0000-000009C70000}"/>
    <cellStyle name="Note 2 4 4 5" xfId="8627" xr:uid="{00000000-0005-0000-0000-00000AC70000}"/>
    <cellStyle name="Note 2 4 4 5 2" xfId="21544" xr:uid="{00000000-0005-0000-0000-00000BC70000}"/>
    <cellStyle name="Note 2 4 4 5 2 2" xfId="47418" xr:uid="{00000000-0005-0000-0000-00000CC70000}"/>
    <cellStyle name="Note 2 4 4 5 3" xfId="34502" xr:uid="{00000000-0005-0000-0000-00000DC70000}"/>
    <cellStyle name="Note 2 4 4 6" xfId="15086" xr:uid="{00000000-0005-0000-0000-00000EC70000}"/>
    <cellStyle name="Note 2 4 4 6 2" xfId="40960" xr:uid="{00000000-0005-0000-0000-00000FC70000}"/>
    <cellStyle name="Note 2 4 4 7" xfId="28012" xr:uid="{00000000-0005-0000-0000-000010C70000}"/>
    <cellStyle name="Note 2 4 4 8" xfId="53874" xr:uid="{00000000-0005-0000-0000-000011C70000}"/>
    <cellStyle name="Note 2 4 4 9" xfId="2113" xr:uid="{00000000-0005-0000-0000-000012C70000}"/>
    <cellStyle name="Note 2 4 5" xfId="2526" xr:uid="{00000000-0005-0000-0000-000013C70000}"/>
    <cellStyle name="Note 2 4 5 2" xfId="4183" xr:uid="{00000000-0005-0000-0000-000014C70000}"/>
    <cellStyle name="Note 2 4 5 2 2" xfId="7414" xr:uid="{00000000-0005-0000-0000-000015C70000}"/>
    <cellStyle name="Note 2 4 5 2 2 2" xfId="13873" xr:uid="{00000000-0005-0000-0000-000016C70000}"/>
    <cellStyle name="Note 2 4 5 2 2 2 2" xfId="26790" xr:uid="{00000000-0005-0000-0000-000017C70000}"/>
    <cellStyle name="Note 2 4 5 2 2 2 2 2" xfId="52664" xr:uid="{00000000-0005-0000-0000-000018C70000}"/>
    <cellStyle name="Note 2 4 5 2 2 2 3" xfId="39748" xr:uid="{00000000-0005-0000-0000-000019C70000}"/>
    <cellStyle name="Note 2 4 5 2 2 3" xfId="20332" xr:uid="{00000000-0005-0000-0000-00001AC70000}"/>
    <cellStyle name="Note 2 4 5 2 2 3 2" xfId="46206" xr:uid="{00000000-0005-0000-0000-00001BC70000}"/>
    <cellStyle name="Note 2 4 5 2 2 4" xfId="33290" xr:uid="{00000000-0005-0000-0000-00001CC70000}"/>
    <cellStyle name="Note 2 4 5 2 3" xfId="10645" xr:uid="{00000000-0005-0000-0000-00001DC70000}"/>
    <cellStyle name="Note 2 4 5 2 3 2" xfId="23562" xr:uid="{00000000-0005-0000-0000-00001EC70000}"/>
    <cellStyle name="Note 2 4 5 2 3 2 2" xfId="49436" xr:uid="{00000000-0005-0000-0000-00001FC70000}"/>
    <cellStyle name="Note 2 4 5 2 3 3" xfId="36520" xr:uid="{00000000-0005-0000-0000-000020C70000}"/>
    <cellStyle name="Note 2 4 5 2 4" xfId="17104" xr:uid="{00000000-0005-0000-0000-000021C70000}"/>
    <cellStyle name="Note 2 4 5 2 4 2" xfId="42978" xr:uid="{00000000-0005-0000-0000-000022C70000}"/>
    <cellStyle name="Note 2 4 5 2 5" xfId="30030" xr:uid="{00000000-0005-0000-0000-000023C70000}"/>
    <cellStyle name="Note 2 4 5 3" xfId="5800" xr:uid="{00000000-0005-0000-0000-000024C70000}"/>
    <cellStyle name="Note 2 4 5 3 2" xfId="12259" xr:uid="{00000000-0005-0000-0000-000025C70000}"/>
    <cellStyle name="Note 2 4 5 3 2 2" xfId="25176" xr:uid="{00000000-0005-0000-0000-000026C70000}"/>
    <cellStyle name="Note 2 4 5 3 2 2 2" xfId="51050" xr:uid="{00000000-0005-0000-0000-000027C70000}"/>
    <cellStyle name="Note 2 4 5 3 2 3" xfId="38134" xr:uid="{00000000-0005-0000-0000-000028C70000}"/>
    <cellStyle name="Note 2 4 5 3 3" xfId="18718" xr:uid="{00000000-0005-0000-0000-000029C70000}"/>
    <cellStyle name="Note 2 4 5 3 3 2" xfId="44592" xr:uid="{00000000-0005-0000-0000-00002AC70000}"/>
    <cellStyle name="Note 2 4 5 3 4" xfId="31676" xr:uid="{00000000-0005-0000-0000-00002BC70000}"/>
    <cellStyle name="Note 2 4 5 4" xfId="9031" xr:uid="{00000000-0005-0000-0000-00002CC70000}"/>
    <cellStyle name="Note 2 4 5 4 2" xfId="21948" xr:uid="{00000000-0005-0000-0000-00002DC70000}"/>
    <cellStyle name="Note 2 4 5 4 2 2" xfId="47822" xr:uid="{00000000-0005-0000-0000-00002EC70000}"/>
    <cellStyle name="Note 2 4 5 4 3" xfId="34906" xr:uid="{00000000-0005-0000-0000-00002FC70000}"/>
    <cellStyle name="Note 2 4 5 5" xfId="15490" xr:uid="{00000000-0005-0000-0000-000030C70000}"/>
    <cellStyle name="Note 2 4 5 5 2" xfId="41364" xr:uid="{00000000-0005-0000-0000-000031C70000}"/>
    <cellStyle name="Note 2 4 5 6" xfId="28416" xr:uid="{00000000-0005-0000-0000-000032C70000}"/>
    <cellStyle name="Note 2 4 6" xfId="3346" xr:uid="{00000000-0005-0000-0000-000033C70000}"/>
    <cellStyle name="Note 2 4 6 2" xfId="6607" xr:uid="{00000000-0005-0000-0000-000034C70000}"/>
    <cellStyle name="Note 2 4 6 2 2" xfId="13066" xr:uid="{00000000-0005-0000-0000-000035C70000}"/>
    <cellStyle name="Note 2 4 6 2 2 2" xfId="25983" xr:uid="{00000000-0005-0000-0000-000036C70000}"/>
    <cellStyle name="Note 2 4 6 2 2 2 2" xfId="51857" xr:uid="{00000000-0005-0000-0000-000037C70000}"/>
    <cellStyle name="Note 2 4 6 2 2 3" xfId="38941" xr:uid="{00000000-0005-0000-0000-000038C70000}"/>
    <cellStyle name="Note 2 4 6 2 3" xfId="19525" xr:uid="{00000000-0005-0000-0000-000039C70000}"/>
    <cellStyle name="Note 2 4 6 2 3 2" xfId="45399" xr:uid="{00000000-0005-0000-0000-00003AC70000}"/>
    <cellStyle name="Note 2 4 6 2 4" xfId="32483" xr:uid="{00000000-0005-0000-0000-00003BC70000}"/>
    <cellStyle name="Note 2 4 6 3" xfId="9838" xr:uid="{00000000-0005-0000-0000-00003CC70000}"/>
    <cellStyle name="Note 2 4 6 3 2" xfId="22755" xr:uid="{00000000-0005-0000-0000-00003DC70000}"/>
    <cellStyle name="Note 2 4 6 3 2 2" xfId="48629" xr:uid="{00000000-0005-0000-0000-00003EC70000}"/>
    <cellStyle name="Note 2 4 6 3 3" xfId="35713" xr:uid="{00000000-0005-0000-0000-00003FC70000}"/>
    <cellStyle name="Note 2 4 6 4" xfId="16297" xr:uid="{00000000-0005-0000-0000-000040C70000}"/>
    <cellStyle name="Note 2 4 6 4 2" xfId="42171" xr:uid="{00000000-0005-0000-0000-000041C70000}"/>
    <cellStyle name="Note 2 4 6 5" xfId="29223" xr:uid="{00000000-0005-0000-0000-000042C70000}"/>
    <cellStyle name="Note 2 4 7" xfId="4993" xr:uid="{00000000-0005-0000-0000-000043C70000}"/>
    <cellStyle name="Note 2 4 7 2" xfId="11452" xr:uid="{00000000-0005-0000-0000-000044C70000}"/>
    <cellStyle name="Note 2 4 7 2 2" xfId="24369" xr:uid="{00000000-0005-0000-0000-000045C70000}"/>
    <cellStyle name="Note 2 4 7 2 2 2" xfId="50243" xr:uid="{00000000-0005-0000-0000-000046C70000}"/>
    <cellStyle name="Note 2 4 7 2 3" xfId="37327" xr:uid="{00000000-0005-0000-0000-000047C70000}"/>
    <cellStyle name="Note 2 4 7 3" xfId="17911" xr:uid="{00000000-0005-0000-0000-000048C70000}"/>
    <cellStyle name="Note 2 4 7 3 2" xfId="43785" xr:uid="{00000000-0005-0000-0000-000049C70000}"/>
    <cellStyle name="Note 2 4 7 4" xfId="30869" xr:uid="{00000000-0005-0000-0000-00004AC70000}"/>
    <cellStyle name="Note 2 4 8" xfId="8224" xr:uid="{00000000-0005-0000-0000-00004BC70000}"/>
    <cellStyle name="Note 2 4 8 2" xfId="21141" xr:uid="{00000000-0005-0000-0000-00004CC70000}"/>
    <cellStyle name="Note 2 4 8 2 2" xfId="47015" xr:uid="{00000000-0005-0000-0000-00004DC70000}"/>
    <cellStyle name="Note 2 4 8 3" xfId="34099" xr:uid="{00000000-0005-0000-0000-00004EC70000}"/>
    <cellStyle name="Note 2 4 9" xfId="14683" xr:uid="{00000000-0005-0000-0000-00004FC70000}"/>
    <cellStyle name="Note 2 4 9 2" xfId="40557" xr:uid="{00000000-0005-0000-0000-000050C70000}"/>
    <cellStyle name="Note 2 5" xfId="329" xr:uid="{00000000-0005-0000-0000-000051C70000}"/>
    <cellStyle name="Note 2 5 2" xfId="1024" xr:uid="{00000000-0005-0000-0000-000052C70000}"/>
    <cellStyle name="Note 2 6" xfId="1025" xr:uid="{00000000-0005-0000-0000-000053C70000}"/>
    <cellStyle name="Note 2 6 10" xfId="53491" xr:uid="{00000000-0005-0000-0000-000054C70000}"/>
    <cellStyle name="Note 2 6 11" xfId="1549" xr:uid="{00000000-0005-0000-0000-000055C70000}"/>
    <cellStyle name="Note 2 6 2" xfId="1900" xr:uid="{00000000-0005-0000-0000-000056C70000}"/>
    <cellStyle name="Note 2 6 2 2" xfId="2331" xr:uid="{00000000-0005-0000-0000-000057C70000}"/>
    <cellStyle name="Note 2 6 2 2 2" xfId="3144" xr:uid="{00000000-0005-0000-0000-000058C70000}"/>
    <cellStyle name="Note 2 6 2 2 2 2" xfId="4801" xr:uid="{00000000-0005-0000-0000-000059C70000}"/>
    <cellStyle name="Note 2 6 2 2 2 2 2" xfId="8032" xr:uid="{00000000-0005-0000-0000-00005AC70000}"/>
    <cellStyle name="Note 2 6 2 2 2 2 2 2" xfId="14491" xr:uid="{00000000-0005-0000-0000-00005BC70000}"/>
    <cellStyle name="Note 2 6 2 2 2 2 2 2 2" xfId="27408" xr:uid="{00000000-0005-0000-0000-00005CC70000}"/>
    <cellStyle name="Note 2 6 2 2 2 2 2 2 2 2" xfId="53282" xr:uid="{00000000-0005-0000-0000-00005DC70000}"/>
    <cellStyle name="Note 2 6 2 2 2 2 2 2 3" xfId="40366" xr:uid="{00000000-0005-0000-0000-00005EC70000}"/>
    <cellStyle name="Note 2 6 2 2 2 2 2 3" xfId="20950" xr:uid="{00000000-0005-0000-0000-00005FC70000}"/>
    <cellStyle name="Note 2 6 2 2 2 2 2 3 2" xfId="46824" xr:uid="{00000000-0005-0000-0000-000060C70000}"/>
    <cellStyle name="Note 2 6 2 2 2 2 2 4" xfId="33908" xr:uid="{00000000-0005-0000-0000-000061C70000}"/>
    <cellStyle name="Note 2 6 2 2 2 2 3" xfId="11263" xr:uid="{00000000-0005-0000-0000-000062C70000}"/>
    <cellStyle name="Note 2 6 2 2 2 2 3 2" xfId="24180" xr:uid="{00000000-0005-0000-0000-000063C70000}"/>
    <cellStyle name="Note 2 6 2 2 2 2 3 2 2" xfId="50054" xr:uid="{00000000-0005-0000-0000-000064C70000}"/>
    <cellStyle name="Note 2 6 2 2 2 2 3 3" xfId="37138" xr:uid="{00000000-0005-0000-0000-000065C70000}"/>
    <cellStyle name="Note 2 6 2 2 2 2 4" xfId="17722" xr:uid="{00000000-0005-0000-0000-000066C70000}"/>
    <cellStyle name="Note 2 6 2 2 2 2 4 2" xfId="43596" xr:uid="{00000000-0005-0000-0000-000067C70000}"/>
    <cellStyle name="Note 2 6 2 2 2 2 5" xfId="30648" xr:uid="{00000000-0005-0000-0000-000068C70000}"/>
    <cellStyle name="Note 2 6 2 2 2 3" xfId="6418" xr:uid="{00000000-0005-0000-0000-000069C70000}"/>
    <cellStyle name="Note 2 6 2 2 2 3 2" xfId="12877" xr:uid="{00000000-0005-0000-0000-00006AC70000}"/>
    <cellStyle name="Note 2 6 2 2 2 3 2 2" xfId="25794" xr:uid="{00000000-0005-0000-0000-00006BC70000}"/>
    <cellStyle name="Note 2 6 2 2 2 3 2 2 2" xfId="51668" xr:uid="{00000000-0005-0000-0000-00006CC70000}"/>
    <cellStyle name="Note 2 6 2 2 2 3 2 3" xfId="38752" xr:uid="{00000000-0005-0000-0000-00006DC70000}"/>
    <cellStyle name="Note 2 6 2 2 2 3 3" xfId="19336" xr:uid="{00000000-0005-0000-0000-00006EC70000}"/>
    <cellStyle name="Note 2 6 2 2 2 3 3 2" xfId="45210" xr:uid="{00000000-0005-0000-0000-00006FC70000}"/>
    <cellStyle name="Note 2 6 2 2 2 3 4" xfId="32294" xr:uid="{00000000-0005-0000-0000-000070C70000}"/>
    <cellStyle name="Note 2 6 2 2 2 4" xfId="9649" xr:uid="{00000000-0005-0000-0000-000071C70000}"/>
    <cellStyle name="Note 2 6 2 2 2 4 2" xfId="22566" xr:uid="{00000000-0005-0000-0000-000072C70000}"/>
    <cellStyle name="Note 2 6 2 2 2 4 2 2" xfId="48440" xr:uid="{00000000-0005-0000-0000-000073C70000}"/>
    <cellStyle name="Note 2 6 2 2 2 4 3" xfId="35524" xr:uid="{00000000-0005-0000-0000-000074C70000}"/>
    <cellStyle name="Note 2 6 2 2 2 5" xfId="16108" xr:uid="{00000000-0005-0000-0000-000075C70000}"/>
    <cellStyle name="Note 2 6 2 2 2 5 2" xfId="41982" xr:uid="{00000000-0005-0000-0000-000076C70000}"/>
    <cellStyle name="Note 2 6 2 2 2 6" xfId="29034" xr:uid="{00000000-0005-0000-0000-000077C70000}"/>
    <cellStyle name="Note 2 6 2 2 3" xfId="3971" xr:uid="{00000000-0005-0000-0000-000078C70000}"/>
    <cellStyle name="Note 2 6 2 2 3 2" xfId="7225" xr:uid="{00000000-0005-0000-0000-000079C70000}"/>
    <cellStyle name="Note 2 6 2 2 3 2 2" xfId="13684" xr:uid="{00000000-0005-0000-0000-00007AC70000}"/>
    <cellStyle name="Note 2 6 2 2 3 2 2 2" xfId="26601" xr:uid="{00000000-0005-0000-0000-00007BC70000}"/>
    <cellStyle name="Note 2 6 2 2 3 2 2 2 2" xfId="52475" xr:uid="{00000000-0005-0000-0000-00007CC70000}"/>
    <cellStyle name="Note 2 6 2 2 3 2 2 3" xfId="39559" xr:uid="{00000000-0005-0000-0000-00007DC70000}"/>
    <cellStyle name="Note 2 6 2 2 3 2 3" xfId="20143" xr:uid="{00000000-0005-0000-0000-00007EC70000}"/>
    <cellStyle name="Note 2 6 2 2 3 2 3 2" xfId="46017" xr:uid="{00000000-0005-0000-0000-00007FC70000}"/>
    <cellStyle name="Note 2 6 2 2 3 2 4" xfId="33101" xr:uid="{00000000-0005-0000-0000-000080C70000}"/>
    <cellStyle name="Note 2 6 2 2 3 3" xfId="10456" xr:uid="{00000000-0005-0000-0000-000081C70000}"/>
    <cellStyle name="Note 2 6 2 2 3 3 2" xfId="23373" xr:uid="{00000000-0005-0000-0000-000082C70000}"/>
    <cellStyle name="Note 2 6 2 2 3 3 2 2" xfId="49247" xr:uid="{00000000-0005-0000-0000-000083C70000}"/>
    <cellStyle name="Note 2 6 2 2 3 3 3" xfId="36331" xr:uid="{00000000-0005-0000-0000-000084C70000}"/>
    <cellStyle name="Note 2 6 2 2 3 4" xfId="16915" xr:uid="{00000000-0005-0000-0000-000085C70000}"/>
    <cellStyle name="Note 2 6 2 2 3 4 2" xfId="42789" xr:uid="{00000000-0005-0000-0000-000086C70000}"/>
    <cellStyle name="Note 2 6 2 2 3 5" xfId="29841" xr:uid="{00000000-0005-0000-0000-000087C70000}"/>
    <cellStyle name="Note 2 6 2 2 4" xfId="5611" xr:uid="{00000000-0005-0000-0000-000088C70000}"/>
    <cellStyle name="Note 2 6 2 2 4 2" xfId="12070" xr:uid="{00000000-0005-0000-0000-000089C70000}"/>
    <cellStyle name="Note 2 6 2 2 4 2 2" xfId="24987" xr:uid="{00000000-0005-0000-0000-00008AC70000}"/>
    <cellStyle name="Note 2 6 2 2 4 2 2 2" xfId="50861" xr:uid="{00000000-0005-0000-0000-00008BC70000}"/>
    <cellStyle name="Note 2 6 2 2 4 2 3" xfId="37945" xr:uid="{00000000-0005-0000-0000-00008CC70000}"/>
    <cellStyle name="Note 2 6 2 2 4 3" xfId="18529" xr:uid="{00000000-0005-0000-0000-00008DC70000}"/>
    <cellStyle name="Note 2 6 2 2 4 3 2" xfId="44403" xr:uid="{00000000-0005-0000-0000-00008EC70000}"/>
    <cellStyle name="Note 2 6 2 2 4 4" xfId="31487" xr:uid="{00000000-0005-0000-0000-00008FC70000}"/>
    <cellStyle name="Note 2 6 2 2 5" xfId="8842" xr:uid="{00000000-0005-0000-0000-000090C70000}"/>
    <cellStyle name="Note 2 6 2 2 5 2" xfId="21759" xr:uid="{00000000-0005-0000-0000-000091C70000}"/>
    <cellStyle name="Note 2 6 2 2 5 2 2" xfId="47633" xr:uid="{00000000-0005-0000-0000-000092C70000}"/>
    <cellStyle name="Note 2 6 2 2 5 3" xfId="34717" xr:uid="{00000000-0005-0000-0000-000093C70000}"/>
    <cellStyle name="Note 2 6 2 2 6" xfId="15301" xr:uid="{00000000-0005-0000-0000-000094C70000}"/>
    <cellStyle name="Note 2 6 2 2 6 2" xfId="41175" xr:uid="{00000000-0005-0000-0000-000095C70000}"/>
    <cellStyle name="Note 2 6 2 2 7" xfId="28227" xr:uid="{00000000-0005-0000-0000-000096C70000}"/>
    <cellStyle name="Note 2 6 2 2 8" xfId="54089" xr:uid="{00000000-0005-0000-0000-000097C70000}"/>
    <cellStyle name="Note 2 6 2 3" xfId="2740" xr:uid="{00000000-0005-0000-0000-000098C70000}"/>
    <cellStyle name="Note 2 6 2 3 2" xfId="4397" xr:uid="{00000000-0005-0000-0000-000099C70000}"/>
    <cellStyle name="Note 2 6 2 3 2 2" xfId="7628" xr:uid="{00000000-0005-0000-0000-00009AC70000}"/>
    <cellStyle name="Note 2 6 2 3 2 2 2" xfId="14087" xr:uid="{00000000-0005-0000-0000-00009BC70000}"/>
    <cellStyle name="Note 2 6 2 3 2 2 2 2" xfId="27004" xr:uid="{00000000-0005-0000-0000-00009CC70000}"/>
    <cellStyle name="Note 2 6 2 3 2 2 2 2 2" xfId="52878" xr:uid="{00000000-0005-0000-0000-00009DC70000}"/>
    <cellStyle name="Note 2 6 2 3 2 2 2 3" xfId="39962" xr:uid="{00000000-0005-0000-0000-00009EC70000}"/>
    <cellStyle name="Note 2 6 2 3 2 2 3" xfId="20546" xr:uid="{00000000-0005-0000-0000-00009FC70000}"/>
    <cellStyle name="Note 2 6 2 3 2 2 3 2" xfId="46420" xr:uid="{00000000-0005-0000-0000-0000A0C70000}"/>
    <cellStyle name="Note 2 6 2 3 2 2 4" xfId="33504" xr:uid="{00000000-0005-0000-0000-0000A1C70000}"/>
    <cellStyle name="Note 2 6 2 3 2 3" xfId="10859" xr:uid="{00000000-0005-0000-0000-0000A2C70000}"/>
    <cellStyle name="Note 2 6 2 3 2 3 2" xfId="23776" xr:uid="{00000000-0005-0000-0000-0000A3C70000}"/>
    <cellStyle name="Note 2 6 2 3 2 3 2 2" xfId="49650" xr:uid="{00000000-0005-0000-0000-0000A4C70000}"/>
    <cellStyle name="Note 2 6 2 3 2 3 3" xfId="36734" xr:uid="{00000000-0005-0000-0000-0000A5C70000}"/>
    <cellStyle name="Note 2 6 2 3 2 4" xfId="17318" xr:uid="{00000000-0005-0000-0000-0000A6C70000}"/>
    <cellStyle name="Note 2 6 2 3 2 4 2" xfId="43192" xr:uid="{00000000-0005-0000-0000-0000A7C70000}"/>
    <cellStyle name="Note 2 6 2 3 2 5" xfId="30244" xr:uid="{00000000-0005-0000-0000-0000A8C70000}"/>
    <cellStyle name="Note 2 6 2 3 3" xfId="6014" xr:uid="{00000000-0005-0000-0000-0000A9C70000}"/>
    <cellStyle name="Note 2 6 2 3 3 2" xfId="12473" xr:uid="{00000000-0005-0000-0000-0000AAC70000}"/>
    <cellStyle name="Note 2 6 2 3 3 2 2" xfId="25390" xr:uid="{00000000-0005-0000-0000-0000ABC70000}"/>
    <cellStyle name="Note 2 6 2 3 3 2 2 2" xfId="51264" xr:uid="{00000000-0005-0000-0000-0000ACC70000}"/>
    <cellStyle name="Note 2 6 2 3 3 2 3" xfId="38348" xr:uid="{00000000-0005-0000-0000-0000ADC70000}"/>
    <cellStyle name="Note 2 6 2 3 3 3" xfId="18932" xr:uid="{00000000-0005-0000-0000-0000AEC70000}"/>
    <cellStyle name="Note 2 6 2 3 3 3 2" xfId="44806" xr:uid="{00000000-0005-0000-0000-0000AFC70000}"/>
    <cellStyle name="Note 2 6 2 3 3 4" xfId="31890" xr:uid="{00000000-0005-0000-0000-0000B0C70000}"/>
    <cellStyle name="Note 2 6 2 3 4" xfId="9245" xr:uid="{00000000-0005-0000-0000-0000B1C70000}"/>
    <cellStyle name="Note 2 6 2 3 4 2" xfId="22162" xr:uid="{00000000-0005-0000-0000-0000B2C70000}"/>
    <cellStyle name="Note 2 6 2 3 4 2 2" xfId="48036" xr:uid="{00000000-0005-0000-0000-0000B3C70000}"/>
    <cellStyle name="Note 2 6 2 3 4 3" xfId="35120" xr:uid="{00000000-0005-0000-0000-0000B4C70000}"/>
    <cellStyle name="Note 2 6 2 3 5" xfId="15704" xr:uid="{00000000-0005-0000-0000-0000B5C70000}"/>
    <cellStyle name="Note 2 6 2 3 5 2" xfId="41578" xr:uid="{00000000-0005-0000-0000-0000B6C70000}"/>
    <cellStyle name="Note 2 6 2 3 6" xfId="28630" xr:uid="{00000000-0005-0000-0000-0000B7C70000}"/>
    <cellStyle name="Note 2 6 2 4" xfId="3567" xr:uid="{00000000-0005-0000-0000-0000B8C70000}"/>
    <cellStyle name="Note 2 6 2 4 2" xfId="6821" xr:uid="{00000000-0005-0000-0000-0000B9C70000}"/>
    <cellStyle name="Note 2 6 2 4 2 2" xfId="13280" xr:uid="{00000000-0005-0000-0000-0000BAC70000}"/>
    <cellStyle name="Note 2 6 2 4 2 2 2" xfId="26197" xr:uid="{00000000-0005-0000-0000-0000BBC70000}"/>
    <cellStyle name="Note 2 6 2 4 2 2 2 2" xfId="52071" xr:uid="{00000000-0005-0000-0000-0000BCC70000}"/>
    <cellStyle name="Note 2 6 2 4 2 2 3" xfId="39155" xr:uid="{00000000-0005-0000-0000-0000BDC70000}"/>
    <cellStyle name="Note 2 6 2 4 2 3" xfId="19739" xr:uid="{00000000-0005-0000-0000-0000BEC70000}"/>
    <cellStyle name="Note 2 6 2 4 2 3 2" xfId="45613" xr:uid="{00000000-0005-0000-0000-0000BFC70000}"/>
    <cellStyle name="Note 2 6 2 4 2 4" xfId="32697" xr:uid="{00000000-0005-0000-0000-0000C0C70000}"/>
    <cellStyle name="Note 2 6 2 4 3" xfId="10052" xr:uid="{00000000-0005-0000-0000-0000C1C70000}"/>
    <cellStyle name="Note 2 6 2 4 3 2" xfId="22969" xr:uid="{00000000-0005-0000-0000-0000C2C70000}"/>
    <cellStyle name="Note 2 6 2 4 3 2 2" xfId="48843" xr:uid="{00000000-0005-0000-0000-0000C3C70000}"/>
    <cellStyle name="Note 2 6 2 4 3 3" xfId="35927" xr:uid="{00000000-0005-0000-0000-0000C4C70000}"/>
    <cellStyle name="Note 2 6 2 4 4" xfId="16511" xr:uid="{00000000-0005-0000-0000-0000C5C70000}"/>
    <cellStyle name="Note 2 6 2 4 4 2" xfId="42385" xr:uid="{00000000-0005-0000-0000-0000C6C70000}"/>
    <cellStyle name="Note 2 6 2 4 5" xfId="29437" xr:uid="{00000000-0005-0000-0000-0000C7C70000}"/>
    <cellStyle name="Note 2 6 2 5" xfId="5207" xr:uid="{00000000-0005-0000-0000-0000C8C70000}"/>
    <cellStyle name="Note 2 6 2 5 2" xfId="11666" xr:uid="{00000000-0005-0000-0000-0000C9C70000}"/>
    <cellStyle name="Note 2 6 2 5 2 2" xfId="24583" xr:uid="{00000000-0005-0000-0000-0000CAC70000}"/>
    <cellStyle name="Note 2 6 2 5 2 2 2" xfId="50457" xr:uid="{00000000-0005-0000-0000-0000CBC70000}"/>
    <cellStyle name="Note 2 6 2 5 2 3" xfId="37541" xr:uid="{00000000-0005-0000-0000-0000CCC70000}"/>
    <cellStyle name="Note 2 6 2 5 3" xfId="18125" xr:uid="{00000000-0005-0000-0000-0000CDC70000}"/>
    <cellStyle name="Note 2 6 2 5 3 2" xfId="43999" xr:uid="{00000000-0005-0000-0000-0000CEC70000}"/>
    <cellStyle name="Note 2 6 2 5 4" xfId="31083" xr:uid="{00000000-0005-0000-0000-0000CFC70000}"/>
    <cellStyle name="Note 2 6 2 6" xfId="8438" xr:uid="{00000000-0005-0000-0000-0000D0C70000}"/>
    <cellStyle name="Note 2 6 2 6 2" xfId="21355" xr:uid="{00000000-0005-0000-0000-0000D1C70000}"/>
    <cellStyle name="Note 2 6 2 6 2 2" xfId="47229" xr:uid="{00000000-0005-0000-0000-0000D2C70000}"/>
    <cellStyle name="Note 2 6 2 6 3" xfId="34313" xr:uid="{00000000-0005-0000-0000-0000D3C70000}"/>
    <cellStyle name="Note 2 6 2 7" xfId="14897" xr:uid="{00000000-0005-0000-0000-0000D4C70000}"/>
    <cellStyle name="Note 2 6 2 7 2" xfId="40771" xr:uid="{00000000-0005-0000-0000-0000D5C70000}"/>
    <cellStyle name="Note 2 6 2 8" xfId="27822" xr:uid="{00000000-0005-0000-0000-0000D6C70000}"/>
    <cellStyle name="Note 2 6 2 9" xfId="53685" xr:uid="{00000000-0005-0000-0000-0000D7C70000}"/>
    <cellStyle name="Note 2 6 3" xfId="2135" xr:uid="{00000000-0005-0000-0000-0000D8C70000}"/>
    <cellStyle name="Note 2 6 3 2" xfId="2949" xr:uid="{00000000-0005-0000-0000-0000D9C70000}"/>
    <cellStyle name="Note 2 6 3 2 2" xfId="4606" xr:uid="{00000000-0005-0000-0000-0000DAC70000}"/>
    <cellStyle name="Note 2 6 3 2 2 2" xfId="7837" xr:uid="{00000000-0005-0000-0000-0000DBC70000}"/>
    <cellStyle name="Note 2 6 3 2 2 2 2" xfId="14296" xr:uid="{00000000-0005-0000-0000-0000DCC70000}"/>
    <cellStyle name="Note 2 6 3 2 2 2 2 2" xfId="27213" xr:uid="{00000000-0005-0000-0000-0000DDC70000}"/>
    <cellStyle name="Note 2 6 3 2 2 2 2 2 2" xfId="53087" xr:uid="{00000000-0005-0000-0000-0000DEC70000}"/>
    <cellStyle name="Note 2 6 3 2 2 2 2 3" xfId="40171" xr:uid="{00000000-0005-0000-0000-0000DFC70000}"/>
    <cellStyle name="Note 2 6 3 2 2 2 3" xfId="20755" xr:uid="{00000000-0005-0000-0000-0000E0C70000}"/>
    <cellStyle name="Note 2 6 3 2 2 2 3 2" xfId="46629" xr:uid="{00000000-0005-0000-0000-0000E1C70000}"/>
    <cellStyle name="Note 2 6 3 2 2 2 4" xfId="33713" xr:uid="{00000000-0005-0000-0000-0000E2C70000}"/>
    <cellStyle name="Note 2 6 3 2 2 3" xfId="11068" xr:uid="{00000000-0005-0000-0000-0000E3C70000}"/>
    <cellStyle name="Note 2 6 3 2 2 3 2" xfId="23985" xr:uid="{00000000-0005-0000-0000-0000E4C70000}"/>
    <cellStyle name="Note 2 6 3 2 2 3 2 2" xfId="49859" xr:uid="{00000000-0005-0000-0000-0000E5C70000}"/>
    <cellStyle name="Note 2 6 3 2 2 3 3" xfId="36943" xr:uid="{00000000-0005-0000-0000-0000E6C70000}"/>
    <cellStyle name="Note 2 6 3 2 2 4" xfId="17527" xr:uid="{00000000-0005-0000-0000-0000E7C70000}"/>
    <cellStyle name="Note 2 6 3 2 2 4 2" xfId="43401" xr:uid="{00000000-0005-0000-0000-0000E8C70000}"/>
    <cellStyle name="Note 2 6 3 2 2 5" xfId="30453" xr:uid="{00000000-0005-0000-0000-0000E9C70000}"/>
    <cellStyle name="Note 2 6 3 2 3" xfId="6223" xr:uid="{00000000-0005-0000-0000-0000EAC70000}"/>
    <cellStyle name="Note 2 6 3 2 3 2" xfId="12682" xr:uid="{00000000-0005-0000-0000-0000EBC70000}"/>
    <cellStyle name="Note 2 6 3 2 3 2 2" xfId="25599" xr:uid="{00000000-0005-0000-0000-0000ECC70000}"/>
    <cellStyle name="Note 2 6 3 2 3 2 2 2" xfId="51473" xr:uid="{00000000-0005-0000-0000-0000EDC70000}"/>
    <cellStyle name="Note 2 6 3 2 3 2 3" xfId="38557" xr:uid="{00000000-0005-0000-0000-0000EEC70000}"/>
    <cellStyle name="Note 2 6 3 2 3 3" xfId="19141" xr:uid="{00000000-0005-0000-0000-0000EFC70000}"/>
    <cellStyle name="Note 2 6 3 2 3 3 2" xfId="45015" xr:uid="{00000000-0005-0000-0000-0000F0C70000}"/>
    <cellStyle name="Note 2 6 3 2 3 4" xfId="32099" xr:uid="{00000000-0005-0000-0000-0000F1C70000}"/>
    <cellStyle name="Note 2 6 3 2 4" xfId="9454" xr:uid="{00000000-0005-0000-0000-0000F2C70000}"/>
    <cellStyle name="Note 2 6 3 2 4 2" xfId="22371" xr:uid="{00000000-0005-0000-0000-0000F3C70000}"/>
    <cellStyle name="Note 2 6 3 2 4 2 2" xfId="48245" xr:uid="{00000000-0005-0000-0000-0000F4C70000}"/>
    <cellStyle name="Note 2 6 3 2 4 3" xfId="35329" xr:uid="{00000000-0005-0000-0000-0000F5C70000}"/>
    <cellStyle name="Note 2 6 3 2 5" xfId="15913" xr:uid="{00000000-0005-0000-0000-0000F6C70000}"/>
    <cellStyle name="Note 2 6 3 2 5 2" xfId="41787" xr:uid="{00000000-0005-0000-0000-0000F7C70000}"/>
    <cellStyle name="Note 2 6 3 2 6" xfId="28839" xr:uid="{00000000-0005-0000-0000-0000F8C70000}"/>
    <cellStyle name="Note 2 6 3 3" xfId="3776" xr:uid="{00000000-0005-0000-0000-0000F9C70000}"/>
    <cellStyle name="Note 2 6 3 3 2" xfId="7030" xr:uid="{00000000-0005-0000-0000-0000FAC70000}"/>
    <cellStyle name="Note 2 6 3 3 2 2" xfId="13489" xr:uid="{00000000-0005-0000-0000-0000FBC70000}"/>
    <cellStyle name="Note 2 6 3 3 2 2 2" xfId="26406" xr:uid="{00000000-0005-0000-0000-0000FCC70000}"/>
    <cellStyle name="Note 2 6 3 3 2 2 2 2" xfId="52280" xr:uid="{00000000-0005-0000-0000-0000FDC70000}"/>
    <cellStyle name="Note 2 6 3 3 2 2 3" xfId="39364" xr:uid="{00000000-0005-0000-0000-0000FEC70000}"/>
    <cellStyle name="Note 2 6 3 3 2 3" xfId="19948" xr:uid="{00000000-0005-0000-0000-0000FFC70000}"/>
    <cellStyle name="Note 2 6 3 3 2 3 2" xfId="45822" xr:uid="{00000000-0005-0000-0000-000000C80000}"/>
    <cellStyle name="Note 2 6 3 3 2 4" xfId="32906" xr:uid="{00000000-0005-0000-0000-000001C80000}"/>
    <cellStyle name="Note 2 6 3 3 3" xfId="10261" xr:uid="{00000000-0005-0000-0000-000002C80000}"/>
    <cellStyle name="Note 2 6 3 3 3 2" xfId="23178" xr:uid="{00000000-0005-0000-0000-000003C80000}"/>
    <cellStyle name="Note 2 6 3 3 3 2 2" xfId="49052" xr:uid="{00000000-0005-0000-0000-000004C80000}"/>
    <cellStyle name="Note 2 6 3 3 3 3" xfId="36136" xr:uid="{00000000-0005-0000-0000-000005C80000}"/>
    <cellStyle name="Note 2 6 3 3 4" xfId="16720" xr:uid="{00000000-0005-0000-0000-000006C80000}"/>
    <cellStyle name="Note 2 6 3 3 4 2" xfId="42594" xr:uid="{00000000-0005-0000-0000-000007C80000}"/>
    <cellStyle name="Note 2 6 3 3 5" xfId="29646" xr:uid="{00000000-0005-0000-0000-000008C80000}"/>
    <cellStyle name="Note 2 6 3 4" xfId="5416" xr:uid="{00000000-0005-0000-0000-000009C80000}"/>
    <cellStyle name="Note 2 6 3 4 2" xfId="11875" xr:uid="{00000000-0005-0000-0000-00000AC80000}"/>
    <cellStyle name="Note 2 6 3 4 2 2" xfId="24792" xr:uid="{00000000-0005-0000-0000-00000BC80000}"/>
    <cellStyle name="Note 2 6 3 4 2 2 2" xfId="50666" xr:uid="{00000000-0005-0000-0000-00000CC80000}"/>
    <cellStyle name="Note 2 6 3 4 2 3" xfId="37750" xr:uid="{00000000-0005-0000-0000-00000DC80000}"/>
    <cellStyle name="Note 2 6 3 4 3" xfId="18334" xr:uid="{00000000-0005-0000-0000-00000EC80000}"/>
    <cellStyle name="Note 2 6 3 4 3 2" xfId="44208" xr:uid="{00000000-0005-0000-0000-00000FC80000}"/>
    <cellStyle name="Note 2 6 3 4 4" xfId="31292" xr:uid="{00000000-0005-0000-0000-000010C80000}"/>
    <cellStyle name="Note 2 6 3 5" xfId="8647" xr:uid="{00000000-0005-0000-0000-000011C80000}"/>
    <cellStyle name="Note 2 6 3 5 2" xfId="21564" xr:uid="{00000000-0005-0000-0000-000012C80000}"/>
    <cellStyle name="Note 2 6 3 5 2 2" xfId="47438" xr:uid="{00000000-0005-0000-0000-000013C80000}"/>
    <cellStyle name="Note 2 6 3 5 3" xfId="34522" xr:uid="{00000000-0005-0000-0000-000014C80000}"/>
    <cellStyle name="Note 2 6 3 6" xfId="15106" xr:uid="{00000000-0005-0000-0000-000015C80000}"/>
    <cellStyle name="Note 2 6 3 6 2" xfId="40980" xr:uid="{00000000-0005-0000-0000-000016C80000}"/>
    <cellStyle name="Note 2 6 3 7" xfId="28032" xr:uid="{00000000-0005-0000-0000-000017C80000}"/>
    <cellStyle name="Note 2 6 3 8" xfId="53894" xr:uid="{00000000-0005-0000-0000-000018C80000}"/>
    <cellStyle name="Note 2 6 4" xfId="2546" xr:uid="{00000000-0005-0000-0000-000019C80000}"/>
    <cellStyle name="Note 2 6 4 2" xfId="4203" xr:uid="{00000000-0005-0000-0000-00001AC80000}"/>
    <cellStyle name="Note 2 6 4 2 2" xfId="7434" xr:uid="{00000000-0005-0000-0000-00001BC80000}"/>
    <cellStyle name="Note 2 6 4 2 2 2" xfId="13893" xr:uid="{00000000-0005-0000-0000-00001CC80000}"/>
    <cellStyle name="Note 2 6 4 2 2 2 2" xfId="26810" xr:uid="{00000000-0005-0000-0000-00001DC80000}"/>
    <cellStyle name="Note 2 6 4 2 2 2 2 2" xfId="52684" xr:uid="{00000000-0005-0000-0000-00001EC80000}"/>
    <cellStyle name="Note 2 6 4 2 2 2 3" xfId="39768" xr:uid="{00000000-0005-0000-0000-00001FC80000}"/>
    <cellStyle name="Note 2 6 4 2 2 3" xfId="20352" xr:uid="{00000000-0005-0000-0000-000020C80000}"/>
    <cellStyle name="Note 2 6 4 2 2 3 2" xfId="46226" xr:uid="{00000000-0005-0000-0000-000021C80000}"/>
    <cellStyle name="Note 2 6 4 2 2 4" xfId="33310" xr:uid="{00000000-0005-0000-0000-000022C80000}"/>
    <cellStyle name="Note 2 6 4 2 3" xfId="10665" xr:uid="{00000000-0005-0000-0000-000023C80000}"/>
    <cellStyle name="Note 2 6 4 2 3 2" xfId="23582" xr:uid="{00000000-0005-0000-0000-000024C80000}"/>
    <cellStyle name="Note 2 6 4 2 3 2 2" xfId="49456" xr:uid="{00000000-0005-0000-0000-000025C80000}"/>
    <cellStyle name="Note 2 6 4 2 3 3" xfId="36540" xr:uid="{00000000-0005-0000-0000-000026C80000}"/>
    <cellStyle name="Note 2 6 4 2 4" xfId="17124" xr:uid="{00000000-0005-0000-0000-000027C80000}"/>
    <cellStyle name="Note 2 6 4 2 4 2" xfId="42998" xr:uid="{00000000-0005-0000-0000-000028C80000}"/>
    <cellStyle name="Note 2 6 4 2 5" xfId="30050" xr:uid="{00000000-0005-0000-0000-000029C80000}"/>
    <cellStyle name="Note 2 6 4 3" xfId="5820" xr:uid="{00000000-0005-0000-0000-00002AC80000}"/>
    <cellStyle name="Note 2 6 4 3 2" xfId="12279" xr:uid="{00000000-0005-0000-0000-00002BC80000}"/>
    <cellStyle name="Note 2 6 4 3 2 2" xfId="25196" xr:uid="{00000000-0005-0000-0000-00002CC80000}"/>
    <cellStyle name="Note 2 6 4 3 2 2 2" xfId="51070" xr:uid="{00000000-0005-0000-0000-00002DC80000}"/>
    <cellStyle name="Note 2 6 4 3 2 3" xfId="38154" xr:uid="{00000000-0005-0000-0000-00002EC80000}"/>
    <cellStyle name="Note 2 6 4 3 3" xfId="18738" xr:uid="{00000000-0005-0000-0000-00002FC80000}"/>
    <cellStyle name="Note 2 6 4 3 3 2" xfId="44612" xr:uid="{00000000-0005-0000-0000-000030C80000}"/>
    <cellStyle name="Note 2 6 4 3 4" xfId="31696" xr:uid="{00000000-0005-0000-0000-000031C80000}"/>
    <cellStyle name="Note 2 6 4 4" xfId="9051" xr:uid="{00000000-0005-0000-0000-000032C80000}"/>
    <cellStyle name="Note 2 6 4 4 2" xfId="21968" xr:uid="{00000000-0005-0000-0000-000033C80000}"/>
    <cellStyle name="Note 2 6 4 4 2 2" xfId="47842" xr:uid="{00000000-0005-0000-0000-000034C80000}"/>
    <cellStyle name="Note 2 6 4 4 3" xfId="34926" xr:uid="{00000000-0005-0000-0000-000035C80000}"/>
    <cellStyle name="Note 2 6 4 5" xfId="15510" xr:uid="{00000000-0005-0000-0000-000036C80000}"/>
    <cellStyle name="Note 2 6 4 5 2" xfId="41384" xr:uid="{00000000-0005-0000-0000-000037C80000}"/>
    <cellStyle name="Note 2 6 4 6" xfId="28436" xr:uid="{00000000-0005-0000-0000-000038C80000}"/>
    <cellStyle name="Note 2 6 5" xfId="3371" xr:uid="{00000000-0005-0000-0000-000039C80000}"/>
    <cellStyle name="Note 2 6 5 2" xfId="6627" xr:uid="{00000000-0005-0000-0000-00003AC80000}"/>
    <cellStyle name="Note 2 6 5 2 2" xfId="13086" xr:uid="{00000000-0005-0000-0000-00003BC80000}"/>
    <cellStyle name="Note 2 6 5 2 2 2" xfId="26003" xr:uid="{00000000-0005-0000-0000-00003CC80000}"/>
    <cellStyle name="Note 2 6 5 2 2 2 2" xfId="51877" xr:uid="{00000000-0005-0000-0000-00003DC80000}"/>
    <cellStyle name="Note 2 6 5 2 2 3" xfId="38961" xr:uid="{00000000-0005-0000-0000-00003EC80000}"/>
    <cellStyle name="Note 2 6 5 2 3" xfId="19545" xr:uid="{00000000-0005-0000-0000-00003FC80000}"/>
    <cellStyle name="Note 2 6 5 2 3 2" xfId="45419" xr:uid="{00000000-0005-0000-0000-000040C80000}"/>
    <cellStyle name="Note 2 6 5 2 4" xfId="32503" xr:uid="{00000000-0005-0000-0000-000041C80000}"/>
    <cellStyle name="Note 2 6 5 3" xfId="9858" xr:uid="{00000000-0005-0000-0000-000042C80000}"/>
    <cellStyle name="Note 2 6 5 3 2" xfId="22775" xr:uid="{00000000-0005-0000-0000-000043C80000}"/>
    <cellStyle name="Note 2 6 5 3 2 2" xfId="48649" xr:uid="{00000000-0005-0000-0000-000044C80000}"/>
    <cellStyle name="Note 2 6 5 3 3" xfId="35733" xr:uid="{00000000-0005-0000-0000-000045C80000}"/>
    <cellStyle name="Note 2 6 5 4" xfId="16317" xr:uid="{00000000-0005-0000-0000-000046C80000}"/>
    <cellStyle name="Note 2 6 5 4 2" xfId="42191" xr:uid="{00000000-0005-0000-0000-000047C80000}"/>
    <cellStyle name="Note 2 6 5 5" xfId="29243" xr:uid="{00000000-0005-0000-0000-000048C80000}"/>
    <cellStyle name="Note 2 6 6" xfId="5013" xr:uid="{00000000-0005-0000-0000-000049C80000}"/>
    <cellStyle name="Note 2 6 6 2" xfId="11472" xr:uid="{00000000-0005-0000-0000-00004AC80000}"/>
    <cellStyle name="Note 2 6 6 2 2" xfId="24389" xr:uid="{00000000-0005-0000-0000-00004BC80000}"/>
    <cellStyle name="Note 2 6 6 2 2 2" xfId="50263" xr:uid="{00000000-0005-0000-0000-00004CC80000}"/>
    <cellStyle name="Note 2 6 6 2 3" xfId="37347" xr:uid="{00000000-0005-0000-0000-00004DC80000}"/>
    <cellStyle name="Note 2 6 6 3" xfId="17931" xr:uid="{00000000-0005-0000-0000-00004EC80000}"/>
    <cellStyle name="Note 2 6 6 3 2" xfId="43805" xr:uid="{00000000-0005-0000-0000-00004FC80000}"/>
    <cellStyle name="Note 2 6 6 4" xfId="30889" xr:uid="{00000000-0005-0000-0000-000050C80000}"/>
    <cellStyle name="Note 2 6 7" xfId="8243" xr:uid="{00000000-0005-0000-0000-000051C80000}"/>
    <cellStyle name="Note 2 6 7 2" xfId="21160" xr:uid="{00000000-0005-0000-0000-000052C80000}"/>
    <cellStyle name="Note 2 6 7 2 2" xfId="47034" xr:uid="{00000000-0005-0000-0000-000053C80000}"/>
    <cellStyle name="Note 2 6 7 3" xfId="34118" xr:uid="{00000000-0005-0000-0000-000054C80000}"/>
    <cellStyle name="Note 2 6 8" xfId="14702" xr:uid="{00000000-0005-0000-0000-000055C80000}"/>
    <cellStyle name="Note 2 6 8 2" xfId="40576" xr:uid="{00000000-0005-0000-0000-000056C80000}"/>
    <cellStyle name="Note 2 6 9" xfId="27626" xr:uid="{00000000-0005-0000-0000-000057C80000}"/>
    <cellStyle name="Note 2 7" xfId="1783" xr:uid="{00000000-0005-0000-0000-000058C80000}"/>
    <cellStyle name="Note 2 7 2" xfId="2276" xr:uid="{00000000-0005-0000-0000-000059C80000}"/>
    <cellStyle name="Note 2 7 2 2" xfId="3090" xr:uid="{00000000-0005-0000-0000-00005AC80000}"/>
    <cellStyle name="Note 2 7 2 2 2" xfId="4747" xr:uid="{00000000-0005-0000-0000-00005BC80000}"/>
    <cellStyle name="Note 2 7 2 2 2 2" xfId="7978" xr:uid="{00000000-0005-0000-0000-00005CC80000}"/>
    <cellStyle name="Note 2 7 2 2 2 2 2" xfId="14437" xr:uid="{00000000-0005-0000-0000-00005DC80000}"/>
    <cellStyle name="Note 2 7 2 2 2 2 2 2" xfId="27354" xr:uid="{00000000-0005-0000-0000-00005EC80000}"/>
    <cellStyle name="Note 2 7 2 2 2 2 2 2 2" xfId="53228" xr:uid="{00000000-0005-0000-0000-00005FC80000}"/>
    <cellStyle name="Note 2 7 2 2 2 2 2 3" xfId="40312" xr:uid="{00000000-0005-0000-0000-000060C80000}"/>
    <cellStyle name="Note 2 7 2 2 2 2 3" xfId="20896" xr:uid="{00000000-0005-0000-0000-000061C80000}"/>
    <cellStyle name="Note 2 7 2 2 2 2 3 2" xfId="46770" xr:uid="{00000000-0005-0000-0000-000062C80000}"/>
    <cellStyle name="Note 2 7 2 2 2 2 4" xfId="33854" xr:uid="{00000000-0005-0000-0000-000063C80000}"/>
    <cellStyle name="Note 2 7 2 2 2 3" xfId="11209" xr:uid="{00000000-0005-0000-0000-000064C80000}"/>
    <cellStyle name="Note 2 7 2 2 2 3 2" xfId="24126" xr:uid="{00000000-0005-0000-0000-000065C80000}"/>
    <cellStyle name="Note 2 7 2 2 2 3 2 2" xfId="50000" xr:uid="{00000000-0005-0000-0000-000066C80000}"/>
    <cellStyle name="Note 2 7 2 2 2 3 3" xfId="37084" xr:uid="{00000000-0005-0000-0000-000067C80000}"/>
    <cellStyle name="Note 2 7 2 2 2 4" xfId="17668" xr:uid="{00000000-0005-0000-0000-000068C80000}"/>
    <cellStyle name="Note 2 7 2 2 2 4 2" xfId="43542" xr:uid="{00000000-0005-0000-0000-000069C80000}"/>
    <cellStyle name="Note 2 7 2 2 2 5" xfId="30594" xr:uid="{00000000-0005-0000-0000-00006AC80000}"/>
    <cellStyle name="Note 2 7 2 2 3" xfId="6364" xr:uid="{00000000-0005-0000-0000-00006BC80000}"/>
    <cellStyle name="Note 2 7 2 2 3 2" xfId="12823" xr:uid="{00000000-0005-0000-0000-00006CC80000}"/>
    <cellStyle name="Note 2 7 2 2 3 2 2" xfId="25740" xr:uid="{00000000-0005-0000-0000-00006DC80000}"/>
    <cellStyle name="Note 2 7 2 2 3 2 2 2" xfId="51614" xr:uid="{00000000-0005-0000-0000-00006EC80000}"/>
    <cellStyle name="Note 2 7 2 2 3 2 3" xfId="38698" xr:uid="{00000000-0005-0000-0000-00006FC80000}"/>
    <cellStyle name="Note 2 7 2 2 3 3" xfId="19282" xr:uid="{00000000-0005-0000-0000-000070C80000}"/>
    <cellStyle name="Note 2 7 2 2 3 3 2" xfId="45156" xr:uid="{00000000-0005-0000-0000-000071C80000}"/>
    <cellStyle name="Note 2 7 2 2 3 4" xfId="32240" xr:uid="{00000000-0005-0000-0000-000072C80000}"/>
    <cellStyle name="Note 2 7 2 2 4" xfId="9595" xr:uid="{00000000-0005-0000-0000-000073C80000}"/>
    <cellStyle name="Note 2 7 2 2 4 2" xfId="22512" xr:uid="{00000000-0005-0000-0000-000074C80000}"/>
    <cellStyle name="Note 2 7 2 2 4 2 2" xfId="48386" xr:uid="{00000000-0005-0000-0000-000075C80000}"/>
    <cellStyle name="Note 2 7 2 2 4 3" xfId="35470" xr:uid="{00000000-0005-0000-0000-000076C80000}"/>
    <cellStyle name="Note 2 7 2 2 5" xfId="16054" xr:uid="{00000000-0005-0000-0000-000077C80000}"/>
    <cellStyle name="Note 2 7 2 2 5 2" xfId="41928" xr:uid="{00000000-0005-0000-0000-000078C80000}"/>
    <cellStyle name="Note 2 7 2 2 6" xfId="28980" xr:uid="{00000000-0005-0000-0000-000079C80000}"/>
    <cellStyle name="Note 2 7 2 3" xfId="3917" xr:uid="{00000000-0005-0000-0000-00007AC80000}"/>
    <cellStyle name="Note 2 7 2 3 2" xfId="7171" xr:uid="{00000000-0005-0000-0000-00007BC80000}"/>
    <cellStyle name="Note 2 7 2 3 2 2" xfId="13630" xr:uid="{00000000-0005-0000-0000-00007CC80000}"/>
    <cellStyle name="Note 2 7 2 3 2 2 2" xfId="26547" xr:uid="{00000000-0005-0000-0000-00007DC80000}"/>
    <cellStyle name="Note 2 7 2 3 2 2 2 2" xfId="52421" xr:uid="{00000000-0005-0000-0000-00007EC80000}"/>
    <cellStyle name="Note 2 7 2 3 2 2 3" xfId="39505" xr:uid="{00000000-0005-0000-0000-00007FC80000}"/>
    <cellStyle name="Note 2 7 2 3 2 3" xfId="20089" xr:uid="{00000000-0005-0000-0000-000080C80000}"/>
    <cellStyle name="Note 2 7 2 3 2 3 2" xfId="45963" xr:uid="{00000000-0005-0000-0000-000081C80000}"/>
    <cellStyle name="Note 2 7 2 3 2 4" xfId="33047" xr:uid="{00000000-0005-0000-0000-000082C80000}"/>
    <cellStyle name="Note 2 7 2 3 3" xfId="10402" xr:uid="{00000000-0005-0000-0000-000083C80000}"/>
    <cellStyle name="Note 2 7 2 3 3 2" xfId="23319" xr:uid="{00000000-0005-0000-0000-000084C80000}"/>
    <cellStyle name="Note 2 7 2 3 3 2 2" xfId="49193" xr:uid="{00000000-0005-0000-0000-000085C80000}"/>
    <cellStyle name="Note 2 7 2 3 3 3" xfId="36277" xr:uid="{00000000-0005-0000-0000-000086C80000}"/>
    <cellStyle name="Note 2 7 2 3 4" xfId="16861" xr:uid="{00000000-0005-0000-0000-000087C80000}"/>
    <cellStyle name="Note 2 7 2 3 4 2" xfId="42735" xr:uid="{00000000-0005-0000-0000-000088C80000}"/>
    <cellStyle name="Note 2 7 2 3 5" xfId="29787" xr:uid="{00000000-0005-0000-0000-000089C80000}"/>
    <cellStyle name="Note 2 7 2 4" xfId="5557" xr:uid="{00000000-0005-0000-0000-00008AC80000}"/>
    <cellStyle name="Note 2 7 2 4 2" xfId="12016" xr:uid="{00000000-0005-0000-0000-00008BC80000}"/>
    <cellStyle name="Note 2 7 2 4 2 2" xfId="24933" xr:uid="{00000000-0005-0000-0000-00008CC80000}"/>
    <cellStyle name="Note 2 7 2 4 2 2 2" xfId="50807" xr:uid="{00000000-0005-0000-0000-00008DC80000}"/>
    <cellStyle name="Note 2 7 2 4 2 3" xfId="37891" xr:uid="{00000000-0005-0000-0000-00008EC80000}"/>
    <cellStyle name="Note 2 7 2 4 3" xfId="18475" xr:uid="{00000000-0005-0000-0000-00008FC80000}"/>
    <cellStyle name="Note 2 7 2 4 3 2" xfId="44349" xr:uid="{00000000-0005-0000-0000-000090C80000}"/>
    <cellStyle name="Note 2 7 2 4 4" xfId="31433" xr:uid="{00000000-0005-0000-0000-000091C80000}"/>
    <cellStyle name="Note 2 7 2 5" xfId="8788" xr:uid="{00000000-0005-0000-0000-000092C80000}"/>
    <cellStyle name="Note 2 7 2 5 2" xfId="21705" xr:uid="{00000000-0005-0000-0000-000093C80000}"/>
    <cellStyle name="Note 2 7 2 5 2 2" xfId="47579" xr:uid="{00000000-0005-0000-0000-000094C80000}"/>
    <cellStyle name="Note 2 7 2 5 3" xfId="34663" xr:uid="{00000000-0005-0000-0000-000095C80000}"/>
    <cellStyle name="Note 2 7 2 6" xfId="15247" xr:uid="{00000000-0005-0000-0000-000096C80000}"/>
    <cellStyle name="Note 2 7 2 6 2" xfId="41121" xr:uid="{00000000-0005-0000-0000-000097C80000}"/>
    <cellStyle name="Note 2 7 2 7" xfId="28173" xr:uid="{00000000-0005-0000-0000-000098C80000}"/>
    <cellStyle name="Note 2 7 2 8" xfId="54035" xr:uid="{00000000-0005-0000-0000-000099C80000}"/>
    <cellStyle name="Note 2 7 3" xfId="2687" xr:uid="{00000000-0005-0000-0000-00009AC80000}"/>
    <cellStyle name="Note 2 7 3 2" xfId="4344" xr:uid="{00000000-0005-0000-0000-00009BC80000}"/>
    <cellStyle name="Note 2 7 3 2 2" xfId="7575" xr:uid="{00000000-0005-0000-0000-00009CC80000}"/>
    <cellStyle name="Note 2 7 3 2 2 2" xfId="14034" xr:uid="{00000000-0005-0000-0000-00009DC80000}"/>
    <cellStyle name="Note 2 7 3 2 2 2 2" xfId="26951" xr:uid="{00000000-0005-0000-0000-00009EC80000}"/>
    <cellStyle name="Note 2 7 3 2 2 2 2 2" xfId="52825" xr:uid="{00000000-0005-0000-0000-00009FC80000}"/>
    <cellStyle name="Note 2 7 3 2 2 2 3" xfId="39909" xr:uid="{00000000-0005-0000-0000-0000A0C80000}"/>
    <cellStyle name="Note 2 7 3 2 2 3" xfId="20493" xr:uid="{00000000-0005-0000-0000-0000A1C80000}"/>
    <cellStyle name="Note 2 7 3 2 2 3 2" xfId="46367" xr:uid="{00000000-0005-0000-0000-0000A2C80000}"/>
    <cellStyle name="Note 2 7 3 2 2 4" xfId="33451" xr:uid="{00000000-0005-0000-0000-0000A3C80000}"/>
    <cellStyle name="Note 2 7 3 2 3" xfId="10806" xr:uid="{00000000-0005-0000-0000-0000A4C80000}"/>
    <cellStyle name="Note 2 7 3 2 3 2" xfId="23723" xr:uid="{00000000-0005-0000-0000-0000A5C80000}"/>
    <cellStyle name="Note 2 7 3 2 3 2 2" xfId="49597" xr:uid="{00000000-0005-0000-0000-0000A6C80000}"/>
    <cellStyle name="Note 2 7 3 2 3 3" xfId="36681" xr:uid="{00000000-0005-0000-0000-0000A7C80000}"/>
    <cellStyle name="Note 2 7 3 2 4" xfId="17265" xr:uid="{00000000-0005-0000-0000-0000A8C80000}"/>
    <cellStyle name="Note 2 7 3 2 4 2" xfId="43139" xr:uid="{00000000-0005-0000-0000-0000A9C80000}"/>
    <cellStyle name="Note 2 7 3 2 5" xfId="30191" xr:uid="{00000000-0005-0000-0000-0000AAC80000}"/>
    <cellStyle name="Note 2 7 3 3" xfId="5961" xr:uid="{00000000-0005-0000-0000-0000ABC80000}"/>
    <cellStyle name="Note 2 7 3 3 2" xfId="12420" xr:uid="{00000000-0005-0000-0000-0000ACC80000}"/>
    <cellStyle name="Note 2 7 3 3 2 2" xfId="25337" xr:uid="{00000000-0005-0000-0000-0000ADC80000}"/>
    <cellStyle name="Note 2 7 3 3 2 2 2" xfId="51211" xr:uid="{00000000-0005-0000-0000-0000AEC80000}"/>
    <cellStyle name="Note 2 7 3 3 2 3" xfId="38295" xr:uid="{00000000-0005-0000-0000-0000AFC80000}"/>
    <cellStyle name="Note 2 7 3 3 3" xfId="18879" xr:uid="{00000000-0005-0000-0000-0000B0C80000}"/>
    <cellStyle name="Note 2 7 3 3 3 2" xfId="44753" xr:uid="{00000000-0005-0000-0000-0000B1C80000}"/>
    <cellStyle name="Note 2 7 3 3 4" xfId="31837" xr:uid="{00000000-0005-0000-0000-0000B2C80000}"/>
    <cellStyle name="Note 2 7 3 4" xfId="9192" xr:uid="{00000000-0005-0000-0000-0000B3C80000}"/>
    <cellStyle name="Note 2 7 3 4 2" xfId="22109" xr:uid="{00000000-0005-0000-0000-0000B4C80000}"/>
    <cellStyle name="Note 2 7 3 4 2 2" xfId="47983" xr:uid="{00000000-0005-0000-0000-0000B5C80000}"/>
    <cellStyle name="Note 2 7 3 4 3" xfId="35067" xr:uid="{00000000-0005-0000-0000-0000B6C80000}"/>
    <cellStyle name="Note 2 7 3 5" xfId="15651" xr:uid="{00000000-0005-0000-0000-0000B7C80000}"/>
    <cellStyle name="Note 2 7 3 5 2" xfId="41525" xr:uid="{00000000-0005-0000-0000-0000B8C80000}"/>
    <cellStyle name="Note 2 7 3 6" xfId="28577" xr:uid="{00000000-0005-0000-0000-0000B9C80000}"/>
    <cellStyle name="Note 2 7 4" xfId="3514" xr:uid="{00000000-0005-0000-0000-0000BAC80000}"/>
    <cellStyle name="Note 2 7 4 2" xfId="6768" xr:uid="{00000000-0005-0000-0000-0000BBC80000}"/>
    <cellStyle name="Note 2 7 4 2 2" xfId="13227" xr:uid="{00000000-0005-0000-0000-0000BCC80000}"/>
    <cellStyle name="Note 2 7 4 2 2 2" xfId="26144" xr:uid="{00000000-0005-0000-0000-0000BDC80000}"/>
    <cellStyle name="Note 2 7 4 2 2 2 2" xfId="52018" xr:uid="{00000000-0005-0000-0000-0000BEC80000}"/>
    <cellStyle name="Note 2 7 4 2 2 3" xfId="39102" xr:uid="{00000000-0005-0000-0000-0000BFC80000}"/>
    <cellStyle name="Note 2 7 4 2 3" xfId="19686" xr:uid="{00000000-0005-0000-0000-0000C0C80000}"/>
    <cellStyle name="Note 2 7 4 2 3 2" xfId="45560" xr:uid="{00000000-0005-0000-0000-0000C1C80000}"/>
    <cellStyle name="Note 2 7 4 2 4" xfId="32644" xr:uid="{00000000-0005-0000-0000-0000C2C80000}"/>
    <cellStyle name="Note 2 7 4 3" xfId="9999" xr:uid="{00000000-0005-0000-0000-0000C3C80000}"/>
    <cellStyle name="Note 2 7 4 3 2" xfId="22916" xr:uid="{00000000-0005-0000-0000-0000C4C80000}"/>
    <cellStyle name="Note 2 7 4 3 2 2" xfId="48790" xr:uid="{00000000-0005-0000-0000-0000C5C80000}"/>
    <cellStyle name="Note 2 7 4 3 3" xfId="35874" xr:uid="{00000000-0005-0000-0000-0000C6C80000}"/>
    <cellStyle name="Note 2 7 4 4" xfId="16458" xr:uid="{00000000-0005-0000-0000-0000C7C80000}"/>
    <cellStyle name="Note 2 7 4 4 2" xfId="42332" xr:uid="{00000000-0005-0000-0000-0000C8C80000}"/>
    <cellStyle name="Note 2 7 4 5" xfId="29384" xr:uid="{00000000-0005-0000-0000-0000C9C80000}"/>
    <cellStyle name="Note 2 7 5" xfId="5154" xr:uid="{00000000-0005-0000-0000-0000CAC80000}"/>
    <cellStyle name="Note 2 7 5 2" xfId="11613" xr:uid="{00000000-0005-0000-0000-0000CBC80000}"/>
    <cellStyle name="Note 2 7 5 2 2" xfId="24530" xr:uid="{00000000-0005-0000-0000-0000CCC80000}"/>
    <cellStyle name="Note 2 7 5 2 2 2" xfId="50404" xr:uid="{00000000-0005-0000-0000-0000CDC80000}"/>
    <cellStyle name="Note 2 7 5 2 3" xfId="37488" xr:uid="{00000000-0005-0000-0000-0000CEC80000}"/>
    <cellStyle name="Note 2 7 5 3" xfId="18072" xr:uid="{00000000-0005-0000-0000-0000CFC80000}"/>
    <cellStyle name="Note 2 7 5 3 2" xfId="43946" xr:uid="{00000000-0005-0000-0000-0000D0C80000}"/>
    <cellStyle name="Note 2 7 5 4" xfId="31030" xr:uid="{00000000-0005-0000-0000-0000D1C80000}"/>
    <cellStyle name="Note 2 7 6" xfId="8384" xr:uid="{00000000-0005-0000-0000-0000D2C80000}"/>
    <cellStyle name="Note 2 7 6 2" xfId="21301" xr:uid="{00000000-0005-0000-0000-0000D3C80000}"/>
    <cellStyle name="Note 2 7 6 2 2" xfId="47175" xr:uid="{00000000-0005-0000-0000-0000D4C80000}"/>
    <cellStyle name="Note 2 7 6 3" xfId="34259" xr:uid="{00000000-0005-0000-0000-0000D5C80000}"/>
    <cellStyle name="Note 2 7 7" xfId="14843" xr:uid="{00000000-0005-0000-0000-0000D6C80000}"/>
    <cellStyle name="Note 2 7 7 2" xfId="40717" xr:uid="{00000000-0005-0000-0000-0000D7C80000}"/>
    <cellStyle name="Note 2 7 8" xfId="27769" xr:uid="{00000000-0005-0000-0000-0000D8C80000}"/>
    <cellStyle name="Note 2 7 9" xfId="53632" xr:uid="{00000000-0005-0000-0000-0000D9C80000}"/>
    <cellStyle name="Note 2 8" xfId="2082" xr:uid="{00000000-0005-0000-0000-0000DAC80000}"/>
    <cellStyle name="Note 2 8 2" xfId="2899" xr:uid="{00000000-0005-0000-0000-0000DBC80000}"/>
    <cellStyle name="Note 2 8 2 2" xfId="4556" xr:uid="{00000000-0005-0000-0000-0000DCC80000}"/>
    <cellStyle name="Note 2 8 2 2 2" xfId="7787" xr:uid="{00000000-0005-0000-0000-0000DDC80000}"/>
    <cellStyle name="Note 2 8 2 2 2 2" xfId="14246" xr:uid="{00000000-0005-0000-0000-0000DEC80000}"/>
    <cellStyle name="Note 2 8 2 2 2 2 2" xfId="27163" xr:uid="{00000000-0005-0000-0000-0000DFC80000}"/>
    <cellStyle name="Note 2 8 2 2 2 2 2 2" xfId="53037" xr:uid="{00000000-0005-0000-0000-0000E0C80000}"/>
    <cellStyle name="Note 2 8 2 2 2 2 3" xfId="40121" xr:uid="{00000000-0005-0000-0000-0000E1C80000}"/>
    <cellStyle name="Note 2 8 2 2 2 3" xfId="20705" xr:uid="{00000000-0005-0000-0000-0000E2C80000}"/>
    <cellStyle name="Note 2 8 2 2 2 3 2" xfId="46579" xr:uid="{00000000-0005-0000-0000-0000E3C80000}"/>
    <cellStyle name="Note 2 8 2 2 2 4" xfId="33663" xr:uid="{00000000-0005-0000-0000-0000E4C80000}"/>
    <cellStyle name="Note 2 8 2 2 3" xfId="11018" xr:uid="{00000000-0005-0000-0000-0000E5C80000}"/>
    <cellStyle name="Note 2 8 2 2 3 2" xfId="23935" xr:uid="{00000000-0005-0000-0000-0000E6C80000}"/>
    <cellStyle name="Note 2 8 2 2 3 2 2" xfId="49809" xr:uid="{00000000-0005-0000-0000-0000E7C80000}"/>
    <cellStyle name="Note 2 8 2 2 3 3" xfId="36893" xr:uid="{00000000-0005-0000-0000-0000E8C80000}"/>
    <cellStyle name="Note 2 8 2 2 4" xfId="17477" xr:uid="{00000000-0005-0000-0000-0000E9C80000}"/>
    <cellStyle name="Note 2 8 2 2 4 2" xfId="43351" xr:uid="{00000000-0005-0000-0000-0000EAC80000}"/>
    <cellStyle name="Note 2 8 2 2 5" xfId="30403" xr:uid="{00000000-0005-0000-0000-0000EBC80000}"/>
    <cellStyle name="Note 2 8 2 3" xfId="6173" xr:uid="{00000000-0005-0000-0000-0000ECC80000}"/>
    <cellStyle name="Note 2 8 2 3 2" xfId="12632" xr:uid="{00000000-0005-0000-0000-0000EDC80000}"/>
    <cellStyle name="Note 2 8 2 3 2 2" xfId="25549" xr:uid="{00000000-0005-0000-0000-0000EEC80000}"/>
    <cellStyle name="Note 2 8 2 3 2 2 2" xfId="51423" xr:uid="{00000000-0005-0000-0000-0000EFC80000}"/>
    <cellStyle name="Note 2 8 2 3 2 3" xfId="38507" xr:uid="{00000000-0005-0000-0000-0000F0C80000}"/>
    <cellStyle name="Note 2 8 2 3 3" xfId="19091" xr:uid="{00000000-0005-0000-0000-0000F1C80000}"/>
    <cellStyle name="Note 2 8 2 3 3 2" xfId="44965" xr:uid="{00000000-0005-0000-0000-0000F2C80000}"/>
    <cellStyle name="Note 2 8 2 3 4" xfId="32049" xr:uid="{00000000-0005-0000-0000-0000F3C80000}"/>
    <cellStyle name="Note 2 8 2 4" xfId="9404" xr:uid="{00000000-0005-0000-0000-0000F4C80000}"/>
    <cellStyle name="Note 2 8 2 4 2" xfId="22321" xr:uid="{00000000-0005-0000-0000-0000F5C80000}"/>
    <cellStyle name="Note 2 8 2 4 2 2" xfId="48195" xr:uid="{00000000-0005-0000-0000-0000F6C80000}"/>
    <cellStyle name="Note 2 8 2 4 3" xfId="35279" xr:uid="{00000000-0005-0000-0000-0000F7C80000}"/>
    <cellStyle name="Note 2 8 2 5" xfId="15863" xr:uid="{00000000-0005-0000-0000-0000F8C80000}"/>
    <cellStyle name="Note 2 8 2 5 2" xfId="41737" xr:uid="{00000000-0005-0000-0000-0000F9C80000}"/>
    <cellStyle name="Note 2 8 2 6" xfId="28789" xr:uid="{00000000-0005-0000-0000-0000FAC80000}"/>
    <cellStyle name="Note 2 8 3" xfId="3726" xr:uid="{00000000-0005-0000-0000-0000FBC80000}"/>
    <cellStyle name="Note 2 8 3 2" xfId="6980" xr:uid="{00000000-0005-0000-0000-0000FCC80000}"/>
    <cellStyle name="Note 2 8 3 2 2" xfId="13439" xr:uid="{00000000-0005-0000-0000-0000FDC80000}"/>
    <cellStyle name="Note 2 8 3 2 2 2" xfId="26356" xr:uid="{00000000-0005-0000-0000-0000FEC80000}"/>
    <cellStyle name="Note 2 8 3 2 2 2 2" xfId="52230" xr:uid="{00000000-0005-0000-0000-0000FFC80000}"/>
    <cellStyle name="Note 2 8 3 2 2 3" xfId="39314" xr:uid="{00000000-0005-0000-0000-000000C90000}"/>
    <cellStyle name="Note 2 8 3 2 3" xfId="19898" xr:uid="{00000000-0005-0000-0000-000001C90000}"/>
    <cellStyle name="Note 2 8 3 2 3 2" xfId="45772" xr:uid="{00000000-0005-0000-0000-000002C90000}"/>
    <cellStyle name="Note 2 8 3 2 4" xfId="32856" xr:uid="{00000000-0005-0000-0000-000003C90000}"/>
    <cellStyle name="Note 2 8 3 3" xfId="10211" xr:uid="{00000000-0005-0000-0000-000004C90000}"/>
    <cellStyle name="Note 2 8 3 3 2" xfId="23128" xr:uid="{00000000-0005-0000-0000-000005C90000}"/>
    <cellStyle name="Note 2 8 3 3 2 2" xfId="49002" xr:uid="{00000000-0005-0000-0000-000006C90000}"/>
    <cellStyle name="Note 2 8 3 3 3" xfId="36086" xr:uid="{00000000-0005-0000-0000-000007C90000}"/>
    <cellStyle name="Note 2 8 3 4" xfId="16670" xr:uid="{00000000-0005-0000-0000-000008C90000}"/>
    <cellStyle name="Note 2 8 3 4 2" xfId="42544" xr:uid="{00000000-0005-0000-0000-000009C90000}"/>
    <cellStyle name="Note 2 8 3 5" xfId="29596" xr:uid="{00000000-0005-0000-0000-00000AC90000}"/>
    <cellStyle name="Note 2 8 4" xfId="5366" xr:uid="{00000000-0005-0000-0000-00000BC90000}"/>
    <cellStyle name="Note 2 8 4 2" xfId="11825" xr:uid="{00000000-0005-0000-0000-00000CC90000}"/>
    <cellStyle name="Note 2 8 4 2 2" xfId="24742" xr:uid="{00000000-0005-0000-0000-00000DC90000}"/>
    <cellStyle name="Note 2 8 4 2 2 2" xfId="50616" xr:uid="{00000000-0005-0000-0000-00000EC90000}"/>
    <cellStyle name="Note 2 8 4 2 3" xfId="37700" xr:uid="{00000000-0005-0000-0000-00000FC90000}"/>
    <cellStyle name="Note 2 8 4 3" xfId="18284" xr:uid="{00000000-0005-0000-0000-000010C90000}"/>
    <cellStyle name="Note 2 8 4 3 2" xfId="44158" xr:uid="{00000000-0005-0000-0000-000011C90000}"/>
    <cellStyle name="Note 2 8 4 4" xfId="31242" xr:uid="{00000000-0005-0000-0000-000012C90000}"/>
    <cellStyle name="Note 2 8 5" xfId="8597" xr:uid="{00000000-0005-0000-0000-000013C90000}"/>
    <cellStyle name="Note 2 8 5 2" xfId="21514" xr:uid="{00000000-0005-0000-0000-000014C90000}"/>
    <cellStyle name="Note 2 8 5 2 2" xfId="47388" xr:uid="{00000000-0005-0000-0000-000015C90000}"/>
    <cellStyle name="Note 2 8 5 3" xfId="34472" xr:uid="{00000000-0005-0000-0000-000016C90000}"/>
    <cellStyle name="Note 2 8 6" xfId="15056" xr:uid="{00000000-0005-0000-0000-000017C90000}"/>
    <cellStyle name="Note 2 8 6 2" xfId="40930" xr:uid="{00000000-0005-0000-0000-000018C90000}"/>
    <cellStyle name="Note 2 8 7" xfId="27982" xr:uid="{00000000-0005-0000-0000-000019C90000}"/>
    <cellStyle name="Note 2 8 8" xfId="53844" xr:uid="{00000000-0005-0000-0000-00001AC90000}"/>
    <cellStyle name="Note 2 9" xfId="2492" xr:uid="{00000000-0005-0000-0000-00001BC90000}"/>
    <cellStyle name="Note 2 9 2" xfId="4149" xr:uid="{00000000-0005-0000-0000-00001CC90000}"/>
    <cellStyle name="Note 2 9 2 2" xfId="7380" xr:uid="{00000000-0005-0000-0000-00001DC90000}"/>
    <cellStyle name="Note 2 9 2 2 2" xfId="13839" xr:uid="{00000000-0005-0000-0000-00001EC90000}"/>
    <cellStyle name="Note 2 9 2 2 2 2" xfId="26756" xr:uid="{00000000-0005-0000-0000-00001FC90000}"/>
    <cellStyle name="Note 2 9 2 2 2 2 2" xfId="52630" xr:uid="{00000000-0005-0000-0000-000020C90000}"/>
    <cellStyle name="Note 2 9 2 2 2 3" xfId="39714" xr:uid="{00000000-0005-0000-0000-000021C90000}"/>
    <cellStyle name="Note 2 9 2 2 3" xfId="20298" xr:uid="{00000000-0005-0000-0000-000022C90000}"/>
    <cellStyle name="Note 2 9 2 2 3 2" xfId="46172" xr:uid="{00000000-0005-0000-0000-000023C90000}"/>
    <cellStyle name="Note 2 9 2 2 4" xfId="33256" xr:uid="{00000000-0005-0000-0000-000024C90000}"/>
    <cellStyle name="Note 2 9 2 3" xfId="10611" xr:uid="{00000000-0005-0000-0000-000025C90000}"/>
    <cellStyle name="Note 2 9 2 3 2" xfId="23528" xr:uid="{00000000-0005-0000-0000-000026C90000}"/>
    <cellStyle name="Note 2 9 2 3 2 2" xfId="49402" xr:uid="{00000000-0005-0000-0000-000027C90000}"/>
    <cellStyle name="Note 2 9 2 3 3" xfId="36486" xr:uid="{00000000-0005-0000-0000-000028C90000}"/>
    <cellStyle name="Note 2 9 2 4" xfId="17070" xr:uid="{00000000-0005-0000-0000-000029C90000}"/>
    <cellStyle name="Note 2 9 2 4 2" xfId="42944" xr:uid="{00000000-0005-0000-0000-00002AC90000}"/>
    <cellStyle name="Note 2 9 2 5" xfId="29996" xr:uid="{00000000-0005-0000-0000-00002BC90000}"/>
    <cellStyle name="Note 2 9 3" xfId="5766" xr:uid="{00000000-0005-0000-0000-00002CC90000}"/>
    <cellStyle name="Note 2 9 3 2" xfId="12225" xr:uid="{00000000-0005-0000-0000-00002DC90000}"/>
    <cellStyle name="Note 2 9 3 2 2" xfId="25142" xr:uid="{00000000-0005-0000-0000-00002EC90000}"/>
    <cellStyle name="Note 2 9 3 2 2 2" xfId="51016" xr:uid="{00000000-0005-0000-0000-00002FC90000}"/>
    <cellStyle name="Note 2 9 3 2 3" xfId="38100" xr:uid="{00000000-0005-0000-0000-000030C90000}"/>
    <cellStyle name="Note 2 9 3 3" xfId="18684" xr:uid="{00000000-0005-0000-0000-000031C90000}"/>
    <cellStyle name="Note 2 9 3 3 2" xfId="44558" xr:uid="{00000000-0005-0000-0000-000032C90000}"/>
    <cellStyle name="Note 2 9 3 4" xfId="31642" xr:uid="{00000000-0005-0000-0000-000033C90000}"/>
    <cellStyle name="Note 2 9 4" xfId="8997" xr:uid="{00000000-0005-0000-0000-000034C90000}"/>
    <cellStyle name="Note 2 9 4 2" xfId="21914" xr:uid="{00000000-0005-0000-0000-000035C90000}"/>
    <cellStyle name="Note 2 9 4 2 2" xfId="47788" xr:uid="{00000000-0005-0000-0000-000036C90000}"/>
    <cellStyle name="Note 2 9 4 3" xfId="34872" xr:uid="{00000000-0005-0000-0000-000037C90000}"/>
    <cellStyle name="Note 2 9 5" xfId="15456" xr:uid="{00000000-0005-0000-0000-000038C90000}"/>
    <cellStyle name="Note 2 9 5 2" xfId="41330" xr:uid="{00000000-0005-0000-0000-000039C90000}"/>
    <cellStyle name="Note 2 9 6" xfId="28382" xr:uid="{00000000-0005-0000-0000-00003AC90000}"/>
    <cellStyle name="Note 20" xfId="14621" xr:uid="{00000000-0005-0000-0000-00003BC90000}"/>
    <cellStyle name="Note 20 2" xfId="40495" xr:uid="{00000000-0005-0000-0000-00003CC90000}"/>
    <cellStyle name="Note 21" xfId="27539" xr:uid="{00000000-0005-0000-0000-00003DC90000}"/>
    <cellStyle name="Note 22" xfId="30796" xr:uid="{00000000-0005-0000-0000-00003EC90000}"/>
    <cellStyle name="Note 23" xfId="53411" xr:uid="{00000000-0005-0000-0000-00003FC90000}"/>
    <cellStyle name="Note 3" xfId="479" xr:uid="{00000000-0005-0000-0000-000040C90000}"/>
    <cellStyle name="Note 3 2" xfId="1027" xr:uid="{00000000-0005-0000-0000-000041C90000}"/>
    <cellStyle name="Note 3 3" xfId="1026" xr:uid="{00000000-0005-0000-0000-000042C90000}"/>
    <cellStyle name="Note 3 4" xfId="1363" xr:uid="{00000000-0005-0000-0000-000043C90000}"/>
    <cellStyle name="Note 4" xfId="1364" xr:uid="{00000000-0005-0000-0000-000044C90000}"/>
    <cellStyle name="Note 5" xfId="1365" xr:uid="{00000000-0005-0000-0000-000045C90000}"/>
    <cellStyle name="Note 6" xfId="1366" xr:uid="{00000000-0005-0000-0000-000046C90000}"/>
    <cellStyle name="Note 7" xfId="1367" xr:uid="{00000000-0005-0000-0000-000047C90000}"/>
    <cellStyle name="Note 7 10" xfId="14650" xr:uid="{00000000-0005-0000-0000-000048C90000}"/>
    <cellStyle name="Note 7 10 2" xfId="40524" xr:uid="{00000000-0005-0000-0000-000049C90000}"/>
    <cellStyle name="Note 7 11" xfId="27571" xr:uid="{00000000-0005-0000-0000-00004AC90000}"/>
    <cellStyle name="Note 7 12" xfId="53440" xr:uid="{00000000-0005-0000-0000-00004BC90000}"/>
    <cellStyle name="Note 7 2" xfId="1368" xr:uid="{00000000-0005-0000-0000-00004CC90000}"/>
    <cellStyle name="Note 7 2 10" xfId="27606" xr:uid="{00000000-0005-0000-0000-00004DC90000}"/>
    <cellStyle name="Note 7 2 11" xfId="53472" xr:uid="{00000000-0005-0000-0000-00004EC90000}"/>
    <cellStyle name="Note 7 2 2" xfId="1747" xr:uid="{00000000-0005-0000-0000-00004FC90000}"/>
    <cellStyle name="Note 7 2 2 10" xfId="53601" xr:uid="{00000000-0005-0000-0000-000050C90000}"/>
    <cellStyle name="Note 7 2 2 2" xfId="2010" xr:uid="{00000000-0005-0000-0000-000051C90000}"/>
    <cellStyle name="Note 7 2 2 2 2" xfId="2441" xr:uid="{00000000-0005-0000-0000-000052C90000}"/>
    <cellStyle name="Note 7 2 2 2 2 2" xfId="3254" xr:uid="{00000000-0005-0000-0000-000053C90000}"/>
    <cellStyle name="Note 7 2 2 2 2 2 2" xfId="4911" xr:uid="{00000000-0005-0000-0000-000054C90000}"/>
    <cellStyle name="Note 7 2 2 2 2 2 2 2" xfId="8142" xr:uid="{00000000-0005-0000-0000-000055C90000}"/>
    <cellStyle name="Note 7 2 2 2 2 2 2 2 2" xfId="14601" xr:uid="{00000000-0005-0000-0000-000056C90000}"/>
    <cellStyle name="Note 7 2 2 2 2 2 2 2 2 2" xfId="27518" xr:uid="{00000000-0005-0000-0000-000057C90000}"/>
    <cellStyle name="Note 7 2 2 2 2 2 2 2 2 2 2" xfId="53392" xr:uid="{00000000-0005-0000-0000-000058C90000}"/>
    <cellStyle name="Note 7 2 2 2 2 2 2 2 2 3" xfId="40476" xr:uid="{00000000-0005-0000-0000-000059C90000}"/>
    <cellStyle name="Note 7 2 2 2 2 2 2 2 3" xfId="21060" xr:uid="{00000000-0005-0000-0000-00005AC90000}"/>
    <cellStyle name="Note 7 2 2 2 2 2 2 2 3 2" xfId="46934" xr:uid="{00000000-0005-0000-0000-00005BC90000}"/>
    <cellStyle name="Note 7 2 2 2 2 2 2 2 4" xfId="34018" xr:uid="{00000000-0005-0000-0000-00005CC90000}"/>
    <cellStyle name="Note 7 2 2 2 2 2 2 3" xfId="11373" xr:uid="{00000000-0005-0000-0000-00005DC90000}"/>
    <cellStyle name="Note 7 2 2 2 2 2 2 3 2" xfId="24290" xr:uid="{00000000-0005-0000-0000-00005EC90000}"/>
    <cellStyle name="Note 7 2 2 2 2 2 2 3 2 2" xfId="50164" xr:uid="{00000000-0005-0000-0000-00005FC90000}"/>
    <cellStyle name="Note 7 2 2 2 2 2 2 3 3" xfId="37248" xr:uid="{00000000-0005-0000-0000-000060C90000}"/>
    <cellStyle name="Note 7 2 2 2 2 2 2 4" xfId="17832" xr:uid="{00000000-0005-0000-0000-000061C90000}"/>
    <cellStyle name="Note 7 2 2 2 2 2 2 4 2" xfId="43706" xr:uid="{00000000-0005-0000-0000-000062C90000}"/>
    <cellStyle name="Note 7 2 2 2 2 2 2 5" xfId="30758" xr:uid="{00000000-0005-0000-0000-000063C90000}"/>
    <cellStyle name="Note 7 2 2 2 2 2 3" xfId="6528" xr:uid="{00000000-0005-0000-0000-000064C90000}"/>
    <cellStyle name="Note 7 2 2 2 2 2 3 2" xfId="12987" xr:uid="{00000000-0005-0000-0000-000065C90000}"/>
    <cellStyle name="Note 7 2 2 2 2 2 3 2 2" xfId="25904" xr:uid="{00000000-0005-0000-0000-000066C90000}"/>
    <cellStyle name="Note 7 2 2 2 2 2 3 2 2 2" xfId="51778" xr:uid="{00000000-0005-0000-0000-000067C90000}"/>
    <cellStyle name="Note 7 2 2 2 2 2 3 2 3" xfId="38862" xr:uid="{00000000-0005-0000-0000-000068C90000}"/>
    <cellStyle name="Note 7 2 2 2 2 2 3 3" xfId="19446" xr:uid="{00000000-0005-0000-0000-000069C90000}"/>
    <cellStyle name="Note 7 2 2 2 2 2 3 3 2" xfId="45320" xr:uid="{00000000-0005-0000-0000-00006AC90000}"/>
    <cellStyle name="Note 7 2 2 2 2 2 3 4" xfId="32404" xr:uid="{00000000-0005-0000-0000-00006BC90000}"/>
    <cellStyle name="Note 7 2 2 2 2 2 4" xfId="9759" xr:uid="{00000000-0005-0000-0000-00006CC90000}"/>
    <cellStyle name="Note 7 2 2 2 2 2 4 2" xfId="22676" xr:uid="{00000000-0005-0000-0000-00006DC90000}"/>
    <cellStyle name="Note 7 2 2 2 2 2 4 2 2" xfId="48550" xr:uid="{00000000-0005-0000-0000-00006EC90000}"/>
    <cellStyle name="Note 7 2 2 2 2 2 4 3" xfId="35634" xr:uid="{00000000-0005-0000-0000-00006FC90000}"/>
    <cellStyle name="Note 7 2 2 2 2 2 5" xfId="16218" xr:uid="{00000000-0005-0000-0000-000070C90000}"/>
    <cellStyle name="Note 7 2 2 2 2 2 5 2" xfId="42092" xr:uid="{00000000-0005-0000-0000-000071C90000}"/>
    <cellStyle name="Note 7 2 2 2 2 2 6" xfId="29144" xr:uid="{00000000-0005-0000-0000-000072C90000}"/>
    <cellStyle name="Note 7 2 2 2 2 3" xfId="4081" xr:uid="{00000000-0005-0000-0000-000073C90000}"/>
    <cellStyle name="Note 7 2 2 2 2 3 2" xfId="7335" xr:uid="{00000000-0005-0000-0000-000074C90000}"/>
    <cellStyle name="Note 7 2 2 2 2 3 2 2" xfId="13794" xr:uid="{00000000-0005-0000-0000-000075C90000}"/>
    <cellStyle name="Note 7 2 2 2 2 3 2 2 2" xfId="26711" xr:uid="{00000000-0005-0000-0000-000076C90000}"/>
    <cellStyle name="Note 7 2 2 2 2 3 2 2 2 2" xfId="52585" xr:uid="{00000000-0005-0000-0000-000077C90000}"/>
    <cellStyle name="Note 7 2 2 2 2 3 2 2 3" xfId="39669" xr:uid="{00000000-0005-0000-0000-000078C90000}"/>
    <cellStyle name="Note 7 2 2 2 2 3 2 3" xfId="20253" xr:uid="{00000000-0005-0000-0000-000079C90000}"/>
    <cellStyle name="Note 7 2 2 2 2 3 2 3 2" xfId="46127" xr:uid="{00000000-0005-0000-0000-00007AC90000}"/>
    <cellStyle name="Note 7 2 2 2 2 3 2 4" xfId="33211" xr:uid="{00000000-0005-0000-0000-00007BC90000}"/>
    <cellStyle name="Note 7 2 2 2 2 3 3" xfId="10566" xr:uid="{00000000-0005-0000-0000-00007CC90000}"/>
    <cellStyle name="Note 7 2 2 2 2 3 3 2" xfId="23483" xr:uid="{00000000-0005-0000-0000-00007DC90000}"/>
    <cellStyle name="Note 7 2 2 2 2 3 3 2 2" xfId="49357" xr:uid="{00000000-0005-0000-0000-00007EC90000}"/>
    <cellStyle name="Note 7 2 2 2 2 3 3 3" xfId="36441" xr:uid="{00000000-0005-0000-0000-00007FC90000}"/>
    <cellStyle name="Note 7 2 2 2 2 3 4" xfId="17025" xr:uid="{00000000-0005-0000-0000-000080C90000}"/>
    <cellStyle name="Note 7 2 2 2 2 3 4 2" xfId="42899" xr:uid="{00000000-0005-0000-0000-000081C90000}"/>
    <cellStyle name="Note 7 2 2 2 2 3 5" xfId="29951" xr:uid="{00000000-0005-0000-0000-000082C90000}"/>
    <cellStyle name="Note 7 2 2 2 2 4" xfId="5721" xr:uid="{00000000-0005-0000-0000-000083C90000}"/>
    <cellStyle name="Note 7 2 2 2 2 4 2" xfId="12180" xr:uid="{00000000-0005-0000-0000-000084C90000}"/>
    <cellStyle name="Note 7 2 2 2 2 4 2 2" xfId="25097" xr:uid="{00000000-0005-0000-0000-000085C90000}"/>
    <cellStyle name="Note 7 2 2 2 2 4 2 2 2" xfId="50971" xr:uid="{00000000-0005-0000-0000-000086C90000}"/>
    <cellStyle name="Note 7 2 2 2 2 4 2 3" xfId="38055" xr:uid="{00000000-0005-0000-0000-000087C90000}"/>
    <cellStyle name="Note 7 2 2 2 2 4 3" xfId="18639" xr:uid="{00000000-0005-0000-0000-000088C90000}"/>
    <cellStyle name="Note 7 2 2 2 2 4 3 2" xfId="44513" xr:uid="{00000000-0005-0000-0000-000089C90000}"/>
    <cellStyle name="Note 7 2 2 2 2 4 4" xfId="31597" xr:uid="{00000000-0005-0000-0000-00008AC90000}"/>
    <cellStyle name="Note 7 2 2 2 2 5" xfId="8952" xr:uid="{00000000-0005-0000-0000-00008BC90000}"/>
    <cellStyle name="Note 7 2 2 2 2 5 2" xfId="21869" xr:uid="{00000000-0005-0000-0000-00008CC90000}"/>
    <cellStyle name="Note 7 2 2 2 2 5 2 2" xfId="47743" xr:uid="{00000000-0005-0000-0000-00008DC90000}"/>
    <cellStyle name="Note 7 2 2 2 2 5 3" xfId="34827" xr:uid="{00000000-0005-0000-0000-00008EC90000}"/>
    <cellStyle name="Note 7 2 2 2 2 6" xfId="15411" xr:uid="{00000000-0005-0000-0000-00008FC90000}"/>
    <cellStyle name="Note 7 2 2 2 2 6 2" xfId="41285" xr:uid="{00000000-0005-0000-0000-000090C90000}"/>
    <cellStyle name="Note 7 2 2 2 2 7" xfId="28337" xr:uid="{00000000-0005-0000-0000-000091C90000}"/>
    <cellStyle name="Note 7 2 2 2 2 8" xfId="54199" xr:uid="{00000000-0005-0000-0000-000092C90000}"/>
    <cellStyle name="Note 7 2 2 2 3" xfId="2850" xr:uid="{00000000-0005-0000-0000-000093C90000}"/>
    <cellStyle name="Note 7 2 2 2 3 2" xfId="4507" xr:uid="{00000000-0005-0000-0000-000094C90000}"/>
    <cellStyle name="Note 7 2 2 2 3 2 2" xfId="7738" xr:uid="{00000000-0005-0000-0000-000095C90000}"/>
    <cellStyle name="Note 7 2 2 2 3 2 2 2" xfId="14197" xr:uid="{00000000-0005-0000-0000-000096C90000}"/>
    <cellStyle name="Note 7 2 2 2 3 2 2 2 2" xfId="27114" xr:uid="{00000000-0005-0000-0000-000097C90000}"/>
    <cellStyle name="Note 7 2 2 2 3 2 2 2 2 2" xfId="52988" xr:uid="{00000000-0005-0000-0000-000098C90000}"/>
    <cellStyle name="Note 7 2 2 2 3 2 2 2 3" xfId="40072" xr:uid="{00000000-0005-0000-0000-000099C90000}"/>
    <cellStyle name="Note 7 2 2 2 3 2 2 3" xfId="20656" xr:uid="{00000000-0005-0000-0000-00009AC90000}"/>
    <cellStyle name="Note 7 2 2 2 3 2 2 3 2" xfId="46530" xr:uid="{00000000-0005-0000-0000-00009BC90000}"/>
    <cellStyle name="Note 7 2 2 2 3 2 2 4" xfId="33614" xr:uid="{00000000-0005-0000-0000-00009CC90000}"/>
    <cellStyle name="Note 7 2 2 2 3 2 3" xfId="10969" xr:uid="{00000000-0005-0000-0000-00009DC90000}"/>
    <cellStyle name="Note 7 2 2 2 3 2 3 2" xfId="23886" xr:uid="{00000000-0005-0000-0000-00009EC90000}"/>
    <cellStyle name="Note 7 2 2 2 3 2 3 2 2" xfId="49760" xr:uid="{00000000-0005-0000-0000-00009FC90000}"/>
    <cellStyle name="Note 7 2 2 2 3 2 3 3" xfId="36844" xr:uid="{00000000-0005-0000-0000-0000A0C90000}"/>
    <cellStyle name="Note 7 2 2 2 3 2 4" xfId="17428" xr:uid="{00000000-0005-0000-0000-0000A1C90000}"/>
    <cellStyle name="Note 7 2 2 2 3 2 4 2" xfId="43302" xr:uid="{00000000-0005-0000-0000-0000A2C90000}"/>
    <cellStyle name="Note 7 2 2 2 3 2 5" xfId="30354" xr:uid="{00000000-0005-0000-0000-0000A3C90000}"/>
    <cellStyle name="Note 7 2 2 2 3 3" xfId="6124" xr:uid="{00000000-0005-0000-0000-0000A4C90000}"/>
    <cellStyle name="Note 7 2 2 2 3 3 2" xfId="12583" xr:uid="{00000000-0005-0000-0000-0000A5C90000}"/>
    <cellStyle name="Note 7 2 2 2 3 3 2 2" xfId="25500" xr:uid="{00000000-0005-0000-0000-0000A6C90000}"/>
    <cellStyle name="Note 7 2 2 2 3 3 2 2 2" xfId="51374" xr:uid="{00000000-0005-0000-0000-0000A7C90000}"/>
    <cellStyle name="Note 7 2 2 2 3 3 2 3" xfId="38458" xr:uid="{00000000-0005-0000-0000-0000A8C90000}"/>
    <cellStyle name="Note 7 2 2 2 3 3 3" xfId="19042" xr:uid="{00000000-0005-0000-0000-0000A9C90000}"/>
    <cellStyle name="Note 7 2 2 2 3 3 3 2" xfId="44916" xr:uid="{00000000-0005-0000-0000-0000AAC90000}"/>
    <cellStyle name="Note 7 2 2 2 3 3 4" xfId="32000" xr:uid="{00000000-0005-0000-0000-0000ABC90000}"/>
    <cellStyle name="Note 7 2 2 2 3 4" xfId="9355" xr:uid="{00000000-0005-0000-0000-0000ACC90000}"/>
    <cellStyle name="Note 7 2 2 2 3 4 2" xfId="22272" xr:uid="{00000000-0005-0000-0000-0000ADC90000}"/>
    <cellStyle name="Note 7 2 2 2 3 4 2 2" xfId="48146" xr:uid="{00000000-0005-0000-0000-0000AEC90000}"/>
    <cellStyle name="Note 7 2 2 2 3 4 3" xfId="35230" xr:uid="{00000000-0005-0000-0000-0000AFC90000}"/>
    <cellStyle name="Note 7 2 2 2 3 5" xfId="15814" xr:uid="{00000000-0005-0000-0000-0000B0C90000}"/>
    <cellStyle name="Note 7 2 2 2 3 5 2" xfId="41688" xr:uid="{00000000-0005-0000-0000-0000B1C90000}"/>
    <cellStyle name="Note 7 2 2 2 3 6" xfId="28740" xr:uid="{00000000-0005-0000-0000-0000B2C90000}"/>
    <cellStyle name="Note 7 2 2 2 4" xfId="3677" xr:uid="{00000000-0005-0000-0000-0000B3C90000}"/>
    <cellStyle name="Note 7 2 2 2 4 2" xfId="6931" xr:uid="{00000000-0005-0000-0000-0000B4C90000}"/>
    <cellStyle name="Note 7 2 2 2 4 2 2" xfId="13390" xr:uid="{00000000-0005-0000-0000-0000B5C90000}"/>
    <cellStyle name="Note 7 2 2 2 4 2 2 2" xfId="26307" xr:uid="{00000000-0005-0000-0000-0000B6C90000}"/>
    <cellStyle name="Note 7 2 2 2 4 2 2 2 2" xfId="52181" xr:uid="{00000000-0005-0000-0000-0000B7C90000}"/>
    <cellStyle name="Note 7 2 2 2 4 2 2 3" xfId="39265" xr:uid="{00000000-0005-0000-0000-0000B8C90000}"/>
    <cellStyle name="Note 7 2 2 2 4 2 3" xfId="19849" xr:uid="{00000000-0005-0000-0000-0000B9C90000}"/>
    <cellStyle name="Note 7 2 2 2 4 2 3 2" xfId="45723" xr:uid="{00000000-0005-0000-0000-0000BAC90000}"/>
    <cellStyle name="Note 7 2 2 2 4 2 4" xfId="32807" xr:uid="{00000000-0005-0000-0000-0000BBC90000}"/>
    <cellStyle name="Note 7 2 2 2 4 3" xfId="10162" xr:uid="{00000000-0005-0000-0000-0000BCC90000}"/>
    <cellStyle name="Note 7 2 2 2 4 3 2" xfId="23079" xr:uid="{00000000-0005-0000-0000-0000BDC90000}"/>
    <cellStyle name="Note 7 2 2 2 4 3 2 2" xfId="48953" xr:uid="{00000000-0005-0000-0000-0000BEC90000}"/>
    <cellStyle name="Note 7 2 2 2 4 3 3" xfId="36037" xr:uid="{00000000-0005-0000-0000-0000BFC90000}"/>
    <cellStyle name="Note 7 2 2 2 4 4" xfId="16621" xr:uid="{00000000-0005-0000-0000-0000C0C90000}"/>
    <cellStyle name="Note 7 2 2 2 4 4 2" xfId="42495" xr:uid="{00000000-0005-0000-0000-0000C1C90000}"/>
    <cellStyle name="Note 7 2 2 2 4 5" xfId="29547" xr:uid="{00000000-0005-0000-0000-0000C2C90000}"/>
    <cellStyle name="Note 7 2 2 2 5" xfId="5317" xr:uid="{00000000-0005-0000-0000-0000C3C90000}"/>
    <cellStyle name="Note 7 2 2 2 5 2" xfId="11776" xr:uid="{00000000-0005-0000-0000-0000C4C90000}"/>
    <cellStyle name="Note 7 2 2 2 5 2 2" xfId="24693" xr:uid="{00000000-0005-0000-0000-0000C5C90000}"/>
    <cellStyle name="Note 7 2 2 2 5 2 2 2" xfId="50567" xr:uid="{00000000-0005-0000-0000-0000C6C90000}"/>
    <cellStyle name="Note 7 2 2 2 5 2 3" xfId="37651" xr:uid="{00000000-0005-0000-0000-0000C7C90000}"/>
    <cellStyle name="Note 7 2 2 2 5 3" xfId="18235" xr:uid="{00000000-0005-0000-0000-0000C8C90000}"/>
    <cellStyle name="Note 7 2 2 2 5 3 2" xfId="44109" xr:uid="{00000000-0005-0000-0000-0000C9C90000}"/>
    <cellStyle name="Note 7 2 2 2 5 4" xfId="31193" xr:uid="{00000000-0005-0000-0000-0000CAC90000}"/>
    <cellStyle name="Note 7 2 2 2 6" xfId="8548" xr:uid="{00000000-0005-0000-0000-0000CBC90000}"/>
    <cellStyle name="Note 7 2 2 2 6 2" xfId="21465" xr:uid="{00000000-0005-0000-0000-0000CCC90000}"/>
    <cellStyle name="Note 7 2 2 2 6 2 2" xfId="47339" xr:uid="{00000000-0005-0000-0000-0000CDC90000}"/>
    <cellStyle name="Note 7 2 2 2 6 3" xfId="34423" xr:uid="{00000000-0005-0000-0000-0000CEC90000}"/>
    <cellStyle name="Note 7 2 2 2 7" xfId="15007" xr:uid="{00000000-0005-0000-0000-0000CFC90000}"/>
    <cellStyle name="Note 7 2 2 2 7 2" xfId="40881" xr:uid="{00000000-0005-0000-0000-0000D0C90000}"/>
    <cellStyle name="Note 7 2 2 2 8" xfId="27932" xr:uid="{00000000-0005-0000-0000-0000D1C90000}"/>
    <cellStyle name="Note 7 2 2 2 9" xfId="53795" xr:uid="{00000000-0005-0000-0000-0000D2C90000}"/>
    <cellStyle name="Note 7 2 2 3" xfId="2245" xr:uid="{00000000-0005-0000-0000-0000D3C90000}"/>
    <cellStyle name="Note 7 2 2 3 2" xfId="3059" xr:uid="{00000000-0005-0000-0000-0000D4C90000}"/>
    <cellStyle name="Note 7 2 2 3 2 2" xfId="4716" xr:uid="{00000000-0005-0000-0000-0000D5C90000}"/>
    <cellStyle name="Note 7 2 2 3 2 2 2" xfId="7947" xr:uid="{00000000-0005-0000-0000-0000D6C90000}"/>
    <cellStyle name="Note 7 2 2 3 2 2 2 2" xfId="14406" xr:uid="{00000000-0005-0000-0000-0000D7C90000}"/>
    <cellStyle name="Note 7 2 2 3 2 2 2 2 2" xfId="27323" xr:uid="{00000000-0005-0000-0000-0000D8C90000}"/>
    <cellStyle name="Note 7 2 2 3 2 2 2 2 2 2" xfId="53197" xr:uid="{00000000-0005-0000-0000-0000D9C90000}"/>
    <cellStyle name="Note 7 2 2 3 2 2 2 2 3" xfId="40281" xr:uid="{00000000-0005-0000-0000-0000DAC90000}"/>
    <cellStyle name="Note 7 2 2 3 2 2 2 3" xfId="20865" xr:uid="{00000000-0005-0000-0000-0000DBC90000}"/>
    <cellStyle name="Note 7 2 2 3 2 2 2 3 2" xfId="46739" xr:uid="{00000000-0005-0000-0000-0000DCC90000}"/>
    <cellStyle name="Note 7 2 2 3 2 2 2 4" xfId="33823" xr:uid="{00000000-0005-0000-0000-0000DDC90000}"/>
    <cellStyle name="Note 7 2 2 3 2 2 3" xfId="11178" xr:uid="{00000000-0005-0000-0000-0000DEC90000}"/>
    <cellStyle name="Note 7 2 2 3 2 2 3 2" xfId="24095" xr:uid="{00000000-0005-0000-0000-0000DFC90000}"/>
    <cellStyle name="Note 7 2 2 3 2 2 3 2 2" xfId="49969" xr:uid="{00000000-0005-0000-0000-0000E0C90000}"/>
    <cellStyle name="Note 7 2 2 3 2 2 3 3" xfId="37053" xr:uid="{00000000-0005-0000-0000-0000E1C90000}"/>
    <cellStyle name="Note 7 2 2 3 2 2 4" xfId="17637" xr:uid="{00000000-0005-0000-0000-0000E2C90000}"/>
    <cellStyle name="Note 7 2 2 3 2 2 4 2" xfId="43511" xr:uid="{00000000-0005-0000-0000-0000E3C90000}"/>
    <cellStyle name="Note 7 2 2 3 2 2 5" xfId="30563" xr:uid="{00000000-0005-0000-0000-0000E4C90000}"/>
    <cellStyle name="Note 7 2 2 3 2 3" xfId="6333" xr:uid="{00000000-0005-0000-0000-0000E5C90000}"/>
    <cellStyle name="Note 7 2 2 3 2 3 2" xfId="12792" xr:uid="{00000000-0005-0000-0000-0000E6C90000}"/>
    <cellStyle name="Note 7 2 2 3 2 3 2 2" xfId="25709" xr:uid="{00000000-0005-0000-0000-0000E7C90000}"/>
    <cellStyle name="Note 7 2 2 3 2 3 2 2 2" xfId="51583" xr:uid="{00000000-0005-0000-0000-0000E8C90000}"/>
    <cellStyle name="Note 7 2 2 3 2 3 2 3" xfId="38667" xr:uid="{00000000-0005-0000-0000-0000E9C90000}"/>
    <cellStyle name="Note 7 2 2 3 2 3 3" xfId="19251" xr:uid="{00000000-0005-0000-0000-0000EAC90000}"/>
    <cellStyle name="Note 7 2 2 3 2 3 3 2" xfId="45125" xr:uid="{00000000-0005-0000-0000-0000EBC90000}"/>
    <cellStyle name="Note 7 2 2 3 2 3 4" xfId="32209" xr:uid="{00000000-0005-0000-0000-0000ECC90000}"/>
    <cellStyle name="Note 7 2 2 3 2 4" xfId="9564" xr:uid="{00000000-0005-0000-0000-0000EDC90000}"/>
    <cellStyle name="Note 7 2 2 3 2 4 2" xfId="22481" xr:uid="{00000000-0005-0000-0000-0000EEC90000}"/>
    <cellStyle name="Note 7 2 2 3 2 4 2 2" xfId="48355" xr:uid="{00000000-0005-0000-0000-0000EFC90000}"/>
    <cellStyle name="Note 7 2 2 3 2 4 3" xfId="35439" xr:uid="{00000000-0005-0000-0000-0000F0C90000}"/>
    <cellStyle name="Note 7 2 2 3 2 5" xfId="16023" xr:uid="{00000000-0005-0000-0000-0000F1C90000}"/>
    <cellStyle name="Note 7 2 2 3 2 5 2" xfId="41897" xr:uid="{00000000-0005-0000-0000-0000F2C90000}"/>
    <cellStyle name="Note 7 2 2 3 2 6" xfId="28949" xr:uid="{00000000-0005-0000-0000-0000F3C90000}"/>
    <cellStyle name="Note 7 2 2 3 3" xfId="3886" xr:uid="{00000000-0005-0000-0000-0000F4C90000}"/>
    <cellStyle name="Note 7 2 2 3 3 2" xfId="7140" xr:uid="{00000000-0005-0000-0000-0000F5C90000}"/>
    <cellStyle name="Note 7 2 2 3 3 2 2" xfId="13599" xr:uid="{00000000-0005-0000-0000-0000F6C90000}"/>
    <cellStyle name="Note 7 2 2 3 3 2 2 2" xfId="26516" xr:uid="{00000000-0005-0000-0000-0000F7C90000}"/>
    <cellStyle name="Note 7 2 2 3 3 2 2 2 2" xfId="52390" xr:uid="{00000000-0005-0000-0000-0000F8C90000}"/>
    <cellStyle name="Note 7 2 2 3 3 2 2 3" xfId="39474" xr:uid="{00000000-0005-0000-0000-0000F9C90000}"/>
    <cellStyle name="Note 7 2 2 3 3 2 3" xfId="20058" xr:uid="{00000000-0005-0000-0000-0000FAC90000}"/>
    <cellStyle name="Note 7 2 2 3 3 2 3 2" xfId="45932" xr:uid="{00000000-0005-0000-0000-0000FBC90000}"/>
    <cellStyle name="Note 7 2 2 3 3 2 4" xfId="33016" xr:uid="{00000000-0005-0000-0000-0000FCC90000}"/>
    <cellStyle name="Note 7 2 2 3 3 3" xfId="10371" xr:uid="{00000000-0005-0000-0000-0000FDC90000}"/>
    <cellStyle name="Note 7 2 2 3 3 3 2" xfId="23288" xr:uid="{00000000-0005-0000-0000-0000FEC90000}"/>
    <cellStyle name="Note 7 2 2 3 3 3 2 2" xfId="49162" xr:uid="{00000000-0005-0000-0000-0000FFC90000}"/>
    <cellStyle name="Note 7 2 2 3 3 3 3" xfId="36246" xr:uid="{00000000-0005-0000-0000-000000CA0000}"/>
    <cellStyle name="Note 7 2 2 3 3 4" xfId="16830" xr:uid="{00000000-0005-0000-0000-000001CA0000}"/>
    <cellStyle name="Note 7 2 2 3 3 4 2" xfId="42704" xr:uid="{00000000-0005-0000-0000-000002CA0000}"/>
    <cellStyle name="Note 7 2 2 3 3 5" xfId="29756" xr:uid="{00000000-0005-0000-0000-000003CA0000}"/>
    <cellStyle name="Note 7 2 2 3 4" xfId="5526" xr:uid="{00000000-0005-0000-0000-000004CA0000}"/>
    <cellStyle name="Note 7 2 2 3 4 2" xfId="11985" xr:uid="{00000000-0005-0000-0000-000005CA0000}"/>
    <cellStyle name="Note 7 2 2 3 4 2 2" xfId="24902" xr:uid="{00000000-0005-0000-0000-000006CA0000}"/>
    <cellStyle name="Note 7 2 2 3 4 2 2 2" xfId="50776" xr:uid="{00000000-0005-0000-0000-000007CA0000}"/>
    <cellStyle name="Note 7 2 2 3 4 2 3" xfId="37860" xr:uid="{00000000-0005-0000-0000-000008CA0000}"/>
    <cellStyle name="Note 7 2 2 3 4 3" xfId="18444" xr:uid="{00000000-0005-0000-0000-000009CA0000}"/>
    <cellStyle name="Note 7 2 2 3 4 3 2" xfId="44318" xr:uid="{00000000-0005-0000-0000-00000ACA0000}"/>
    <cellStyle name="Note 7 2 2 3 4 4" xfId="31402" xr:uid="{00000000-0005-0000-0000-00000BCA0000}"/>
    <cellStyle name="Note 7 2 2 3 5" xfId="8757" xr:uid="{00000000-0005-0000-0000-00000CCA0000}"/>
    <cellStyle name="Note 7 2 2 3 5 2" xfId="21674" xr:uid="{00000000-0005-0000-0000-00000DCA0000}"/>
    <cellStyle name="Note 7 2 2 3 5 2 2" xfId="47548" xr:uid="{00000000-0005-0000-0000-00000ECA0000}"/>
    <cellStyle name="Note 7 2 2 3 5 3" xfId="34632" xr:uid="{00000000-0005-0000-0000-00000FCA0000}"/>
    <cellStyle name="Note 7 2 2 3 6" xfId="15216" xr:uid="{00000000-0005-0000-0000-000010CA0000}"/>
    <cellStyle name="Note 7 2 2 3 6 2" xfId="41090" xr:uid="{00000000-0005-0000-0000-000011CA0000}"/>
    <cellStyle name="Note 7 2 2 3 7" xfId="28142" xr:uid="{00000000-0005-0000-0000-000012CA0000}"/>
    <cellStyle name="Note 7 2 2 3 8" xfId="54004" xr:uid="{00000000-0005-0000-0000-000013CA0000}"/>
    <cellStyle name="Note 7 2 2 4" xfId="2656" xr:uid="{00000000-0005-0000-0000-000014CA0000}"/>
    <cellStyle name="Note 7 2 2 4 2" xfId="4313" xr:uid="{00000000-0005-0000-0000-000015CA0000}"/>
    <cellStyle name="Note 7 2 2 4 2 2" xfId="7544" xr:uid="{00000000-0005-0000-0000-000016CA0000}"/>
    <cellStyle name="Note 7 2 2 4 2 2 2" xfId="14003" xr:uid="{00000000-0005-0000-0000-000017CA0000}"/>
    <cellStyle name="Note 7 2 2 4 2 2 2 2" xfId="26920" xr:uid="{00000000-0005-0000-0000-000018CA0000}"/>
    <cellStyle name="Note 7 2 2 4 2 2 2 2 2" xfId="52794" xr:uid="{00000000-0005-0000-0000-000019CA0000}"/>
    <cellStyle name="Note 7 2 2 4 2 2 2 3" xfId="39878" xr:uid="{00000000-0005-0000-0000-00001ACA0000}"/>
    <cellStyle name="Note 7 2 2 4 2 2 3" xfId="20462" xr:uid="{00000000-0005-0000-0000-00001BCA0000}"/>
    <cellStyle name="Note 7 2 2 4 2 2 3 2" xfId="46336" xr:uid="{00000000-0005-0000-0000-00001CCA0000}"/>
    <cellStyle name="Note 7 2 2 4 2 2 4" xfId="33420" xr:uid="{00000000-0005-0000-0000-00001DCA0000}"/>
    <cellStyle name="Note 7 2 2 4 2 3" xfId="10775" xr:uid="{00000000-0005-0000-0000-00001ECA0000}"/>
    <cellStyle name="Note 7 2 2 4 2 3 2" xfId="23692" xr:uid="{00000000-0005-0000-0000-00001FCA0000}"/>
    <cellStyle name="Note 7 2 2 4 2 3 2 2" xfId="49566" xr:uid="{00000000-0005-0000-0000-000020CA0000}"/>
    <cellStyle name="Note 7 2 2 4 2 3 3" xfId="36650" xr:uid="{00000000-0005-0000-0000-000021CA0000}"/>
    <cellStyle name="Note 7 2 2 4 2 4" xfId="17234" xr:uid="{00000000-0005-0000-0000-000022CA0000}"/>
    <cellStyle name="Note 7 2 2 4 2 4 2" xfId="43108" xr:uid="{00000000-0005-0000-0000-000023CA0000}"/>
    <cellStyle name="Note 7 2 2 4 2 5" xfId="30160" xr:uid="{00000000-0005-0000-0000-000024CA0000}"/>
    <cellStyle name="Note 7 2 2 4 3" xfId="5930" xr:uid="{00000000-0005-0000-0000-000025CA0000}"/>
    <cellStyle name="Note 7 2 2 4 3 2" xfId="12389" xr:uid="{00000000-0005-0000-0000-000026CA0000}"/>
    <cellStyle name="Note 7 2 2 4 3 2 2" xfId="25306" xr:uid="{00000000-0005-0000-0000-000027CA0000}"/>
    <cellStyle name="Note 7 2 2 4 3 2 2 2" xfId="51180" xr:uid="{00000000-0005-0000-0000-000028CA0000}"/>
    <cellStyle name="Note 7 2 2 4 3 2 3" xfId="38264" xr:uid="{00000000-0005-0000-0000-000029CA0000}"/>
    <cellStyle name="Note 7 2 2 4 3 3" xfId="18848" xr:uid="{00000000-0005-0000-0000-00002ACA0000}"/>
    <cellStyle name="Note 7 2 2 4 3 3 2" xfId="44722" xr:uid="{00000000-0005-0000-0000-00002BCA0000}"/>
    <cellStyle name="Note 7 2 2 4 3 4" xfId="31806" xr:uid="{00000000-0005-0000-0000-00002CCA0000}"/>
    <cellStyle name="Note 7 2 2 4 4" xfId="9161" xr:uid="{00000000-0005-0000-0000-00002DCA0000}"/>
    <cellStyle name="Note 7 2 2 4 4 2" xfId="22078" xr:uid="{00000000-0005-0000-0000-00002ECA0000}"/>
    <cellStyle name="Note 7 2 2 4 4 2 2" xfId="47952" xr:uid="{00000000-0005-0000-0000-00002FCA0000}"/>
    <cellStyle name="Note 7 2 2 4 4 3" xfId="35036" xr:uid="{00000000-0005-0000-0000-000030CA0000}"/>
    <cellStyle name="Note 7 2 2 4 5" xfId="15620" xr:uid="{00000000-0005-0000-0000-000031CA0000}"/>
    <cellStyle name="Note 7 2 2 4 5 2" xfId="41494" xr:uid="{00000000-0005-0000-0000-000032CA0000}"/>
    <cellStyle name="Note 7 2 2 4 6" xfId="28546" xr:uid="{00000000-0005-0000-0000-000033CA0000}"/>
    <cellStyle name="Note 7 2 2 5" xfId="3483" xr:uid="{00000000-0005-0000-0000-000034CA0000}"/>
    <cellStyle name="Note 7 2 2 5 2" xfId="6737" xr:uid="{00000000-0005-0000-0000-000035CA0000}"/>
    <cellStyle name="Note 7 2 2 5 2 2" xfId="13196" xr:uid="{00000000-0005-0000-0000-000036CA0000}"/>
    <cellStyle name="Note 7 2 2 5 2 2 2" xfId="26113" xr:uid="{00000000-0005-0000-0000-000037CA0000}"/>
    <cellStyle name="Note 7 2 2 5 2 2 2 2" xfId="51987" xr:uid="{00000000-0005-0000-0000-000038CA0000}"/>
    <cellStyle name="Note 7 2 2 5 2 2 3" xfId="39071" xr:uid="{00000000-0005-0000-0000-000039CA0000}"/>
    <cellStyle name="Note 7 2 2 5 2 3" xfId="19655" xr:uid="{00000000-0005-0000-0000-00003ACA0000}"/>
    <cellStyle name="Note 7 2 2 5 2 3 2" xfId="45529" xr:uid="{00000000-0005-0000-0000-00003BCA0000}"/>
    <cellStyle name="Note 7 2 2 5 2 4" xfId="32613" xr:uid="{00000000-0005-0000-0000-00003CCA0000}"/>
    <cellStyle name="Note 7 2 2 5 3" xfId="9968" xr:uid="{00000000-0005-0000-0000-00003DCA0000}"/>
    <cellStyle name="Note 7 2 2 5 3 2" xfId="22885" xr:uid="{00000000-0005-0000-0000-00003ECA0000}"/>
    <cellStyle name="Note 7 2 2 5 3 2 2" xfId="48759" xr:uid="{00000000-0005-0000-0000-00003FCA0000}"/>
    <cellStyle name="Note 7 2 2 5 3 3" xfId="35843" xr:uid="{00000000-0005-0000-0000-000040CA0000}"/>
    <cellStyle name="Note 7 2 2 5 4" xfId="16427" xr:uid="{00000000-0005-0000-0000-000041CA0000}"/>
    <cellStyle name="Note 7 2 2 5 4 2" xfId="42301" xr:uid="{00000000-0005-0000-0000-000042CA0000}"/>
    <cellStyle name="Note 7 2 2 5 5" xfId="29353" xr:uid="{00000000-0005-0000-0000-000043CA0000}"/>
    <cellStyle name="Note 7 2 2 6" xfId="5123" xr:uid="{00000000-0005-0000-0000-000044CA0000}"/>
    <cellStyle name="Note 7 2 2 6 2" xfId="11582" xr:uid="{00000000-0005-0000-0000-000045CA0000}"/>
    <cellStyle name="Note 7 2 2 6 2 2" xfId="24499" xr:uid="{00000000-0005-0000-0000-000046CA0000}"/>
    <cellStyle name="Note 7 2 2 6 2 2 2" xfId="50373" xr:uid="{00000000-0005-0000-0000-000047CA0000}"/>
    <cellStyle name="Note 7 2 2 6 2 3" xfId="37457" xr:uid="{00000000-0005-0000-0000-000048CA0000}"/>
    <cellStyle name="Note 7 2 2 6 3" xfId="18041" xr:uid="{00000000-0005-0000-0000-000049CA0000}"/>
    <cellStyle name="Note 7 2 2 6 3 2" xfId="43915" xr:uid="{00000000-0005-0000-0000-00004ACA0000}"/>
    <cellStyle name="Note 7 2 2 6 4" xfId="30999" xr:uid="{00000000-0005-0000-0000-00004BCA0000}"/>
    <cellStyle name="Note 7 2 2 7" xfId="8353" xr:uid="{00000000-0005-0000-0000-00004CCA0000}"/>
    <cellStyle name="Note 7 2 2 7 2" xfId="21270" xr:uid="{00000000-0005-0000-0000-00004DCA0000}"/>
    <cellStyle name="Note 7 2 2 7 2 2" xfId="47144" xr:uid="{00000000-0005-0000-0000-00004ECA0000}"/>
    <cellStyle name="Note 7 2 2 7 3" xfId="34228" xr:uid="{00000000-0005-0000-0000-00004FCA0000}"/>
    <cellStyle name="Note 7 2 2 8" xfId="14812" xr:uid="{00000000-0005-0000-0000-000050CA0000}"/>
    <cellStyle name="Note 7 2 2 8 2" xfId="40686" xr:uid="{00000000-0005-0000-0000-000051CA0000}"/>
    <cellStyle name="Note 7 2 2 9" xfId="27738" xr:uid="{00000000-0005-0000-0000-000052CA0000}"/>
    <cellStyle name="Note 7 2 3" xfId="1871" xr:uid="{00000000-0005-0000-0000-000053CA0000}"/>
    <cellStyle name="Note 7 2 3 2" xfId="2311" xr:uid="{00000000-0005-0000-0000-000054CA0000}"/>
    <cellStyle name="Note 7 2 3 2 2" xfId="3125" xr:uid="{00000000-0005-0000-0000-000055CA0000}"/>
    <cellStyle name="Note 7 2 3 2 2 2" xfId="4782" xr:uid="{00000000-0005-0000-0000-000056CA0000}"/>
    <cellStyle name="Note 7 2 3 2 2 2 2" xfId="8013" xr:uid="{00000000-0005-0000-0000-000057CA0000}"/>
    <cellStyle name="Note 7 2 3 2 2 2 2 2" xfId="14472" xr:uid="{00000000-0005-0000-0000-000058CA0000}"/>
    <cellStyle name="Note 7 2 3 2 2 2 2 2 2" xfId="27389" xr:uid="{00000000-0005-0000-0000-000059CA0000}"/>
    <cellStyle name="Note 7 2 3 2 2 2 2 2 2 2" xfId="53263" xr:uid="{00000000-0005-0000-0000-00005ACA0000}"/>
    <cellStyle name="Note 7 2 3 2 2 2 2 2 3" xfId="40347" xr:uid="{00000000-0005-0000-0000-00005BCA0000}"/>
    <cellStyle name="Note 7 2 3 2 2 2 2 3" xfId="20931" xr:uid="{00000000-0005-0000-0000-00005CCA0000}"/>
    <cellStyle name="Note 7 2 3 2 2 2 2 3 2" xfId="46805" xr:uid="{00000000-0005-0000-0000-00005DCA0000}"/>
    <cellStyle name="Note 7 2 3 2 2 2 2 4" xfId="33889" xr:uid="{00000000-0005-0000-0000-00005ECA0000}"/>
    <cellStyle name="Note 7 2 3 2 2 2 3" xfId="11244" xr:uid="{00000000-0005-0000-0000-00005FCA0000}"/>
    <cellStyle name="Note 7 2 3 2 2 2 3 2" xfId="24161" xr:uid="{00000000-0005-0000-0000-000060CA0000}"/>
    <cellStyle name="Note 7 2 3 2 2 2 3 2 2" xfId="50035" xr:uid="{00000000-0005-0000-0000-000061CA0000}"/>
    <cellStyle name="Note 7 2 3 2 2 2 3 3" xfId="37119" xr:uid="{00000000-0005-0000-0000-000062CA0000}"/>
    <cellStyle name="Note 7 2 3 2 2 2 4" xfId="17703" xr:uid="{00000000-0005-0000-0000-000063CA0000}"/>
    <cellStyle name="Note 7 2 3 2 2 2 4 2" xfId="43577" xr:uid="{00000000-0005-0000-0000-000064CA0000}"/>
    <cellStyle name="Note 7 2 3 2 2 2 5" xfId="30629" xr:uid="{00000000-0005-0000-0000-000065CA0000}"/>
    <cellStyle name="Note 7 2 3 2 2 3" xfId="6399" xr:uid="{00000000-0005-0000-0000-000066CA0000}"/>
    <cellStyle name="Note 7 2 3 2 2 3 2" xfId="12858" xr:uid="{00000000-0005-0000-0000-000067CA0000}"/>
    <cellStyle name="Note 7 2 3 2 2 3 2 2" xfId="25775" xr:uid="{00000000-0005-0000-0000-000068CA0000}"/>
    <cellStyle name="Note 7 2 3 2 2 3 2 2 2" xfId="51649" xr:uid="{00000000-0005-0000-0000-000069CA0000}"/>
    <cellStyle name="Note 7 2 3 2 2 3 2 3" xfId="38733" xr:uid="{00000000-0005-0000-0000-00006ACA0000}"/>
    <cellStyle name="Note 7 2 3 2 2 3 3" xfId="19317" xr:uid="{00000000-0005-0000-0000-00006BCA0000}"/>
    <cellStyle name="Note 7 2 3 2 2 3 3 2" xfId="45191" xr:uid="{00000000-0005-0000-0000-00006CCA0000}"/>
    <cellStyle name="Note 7 2 3 2 2 3 4" xfId="32275" xr:uid="{00000000-0005-0000-0000-00006DCA0000}"/>
    <cellStyle name="Note 7 2 3 2 2 4" xfId="9630" xr:uid="{00000000-0005-0000-0000-00006ECA0000}"/>
    <cellStyle name="Note 7 2 3 2 2 4 2" xfId="22547" xr:uid="{00000000-0005-0000-0000-00006FCA0000}"/>
    <cellStyle name="Note 7 2 3 2 2 4 2 2" xfId="48421" xr:uid="{00000000-0005-0000-0000-000070CA0000}"/>
    <cellStyle name="Note 7 2 3 2 2 4 3" xfId="35505" xr:uid="{00000000-0005-0000-0000-000071CA0000}"/>
    <cellStyle name="Note 7 2 3 2 2 5" xfId="16089" xr:uid="{00000000-0005-0000-0000-000072CA0000}"/>
    <cellStyle name="Note 7 2 3 2 2 5 2" xfId="41963" xr:uid="{00000000-0005-0000-0000-000073CA0000}"/>
    <cellStyle name="Note 7 2 3 2 2 6" xfId="29015" xr:uid="{00000000-0005-0000-0000-000074CA0000}"/>
    <cellStyle name="Note 7 2 3 2 3" xfId="3952" xr:uid="{00000000-0005-0000-0000-000075CA0000}"/>
    <cellStyle name="Note 7 2 3 2 3 2" xfId="7206" xr:uid="{00000000-0005-0000-0000-000076CA0000}"/>
    <cellStyle name="Note 7 2 3 2 3 2 2" xfId="13665" xr:uid="{00000000-0005-0000-0000-000077CA0000}"/>
    <cellStyle name="Note 7 2 3 2 3 2 2 2" xfId="26582" xr:uid="{00000000-0005-0000-0000-000078CA0000}"/>
    <cellStyle name="Note 7 2 3 2 3 2 2 2 2" xfId="52456" xr:uid="{00000000-0005-0000-0000-000079CA0000}"/>
    <cellStyle name="Note 7 2 3 2 3 2 2 3" xfId="39540" xr:uid="{00000000-0005-0000-0000-00007ACA0000}"/>
    <cellStyle name="Note 7 2 3 2 3 2 3" xfId="20124" xr:uid="{00000000-0005-0000-0000-00007BCA0000}"/>
    <cellStyle name="Note 7 2 3 2 3 2 3 2" xfId="45998" xr:uid="{00000000-0005-0000-0000-00007CCA0000}"/>
    <cellStyle name="Note 7 2 3 2 3 2 4" xfId="33082" xr:uid="{00000000-0005-0000-0000-00007DCA0000}"/>
    <cellStyle name="Note 7 2 3 2 3 3" xfId="10437" xr:uid="{00000000-0005-0000-0000-00007ECA0000}"/>
    <cellStyle name="Note 7 2 3 2 3 3 2" xfId="23354" xr:uid="{00000000-0005-0000-0000-00007FCA0000}"/>
    <cellStyle name="Note 7 2 3 2 3 3 2 2" xfId="49228" xr:uid="{00000000-0005-0000-0000-000080CA0000}"/>
    <cellStyle name="Note 7 2 3 2 3 3 3" xfId="36312" xr:uid="{00000000-0005-0000-0000-000081CA0000}"/>
    <cellStyle name="Note 7 2 3 2 3 4" xfId="16896" xr:uid="{00000000-0005-0000-0000-000082CA0000}"/>
    <cellStyle name="Note 7 2 3 2 3 4 2" xfId="42770" xr:uid="{00000000-0005-0000-0000-000083CA0000}"/>
    <cellStyle name="Note 7 2 3 2 3 5" xfId="29822" xr:uid="{00000000-0005-0000-0000-000084CA0000}"/>
    <cellStyle name="Note 7 2 3 2 4" xfId="5592" xr:uid="{00000000-0005-0000-0000-000085CA0000}"/>
    <cellStyle name="Note 7 2 3 2 4 2" xfId="12051" xr:uid="{00000000-0005-0000-0000-000086CA0000}"/>
    <cellStyle name="Note 7 2 3 2 4 2 2" xfId="24968" xr:uid="{00000000-0005-0000-0000-000087CA0000}"/>
    <cellStyle name="Note 7 2 3 2 4 2 2 2" xfId="50842" xr:uid="{00000000-0005-0000-0000-000088CA0000}"/>
    <cellStyle name="Note 7 2 3 2 4 2 3" xfId="37926" xr:uid="{00000000-0005-0000-0000-000089CA0000}"/>
    <cellStyle name="Note 7 2 3 2 4 3" xfId="18510" xr:uid="{00000000-0005-0000-0000-00008ACA0000}"/>
    <cellStyle name="Note 7 2 3 2 4 3 2" xfId="44384" xr:uid="{00000000-0005-0000-0000-00008BCA0000}"/>
    <cellStyle name="Note 7 2 3 2 4 4" xfId="31468" xr:uid="{00000000-0005-0000-0000-00008CCA0000}"/>
    <cellStyle name="Note 7 2 3 2 5" xfId="8823" xr:uid="{00000000-0005-0000-0000-00008DCA0000}"/>
    <cellStyle name="Note 7 2 3 2 5 2" xfId="21740" xr:uid="{00000000-0005-0000-0000-00008ECA0000}"/>
    <cellStyle name="Note 7 2 3 2 5 2 2" xfId="47614" xr:uid="{00000000-0005-0000-0000-00008FCA0000}"/>
    <cellStyle name="Note 7 2 3 2 5 3" xfId="34698" xr:uid="{00000000-0005-0000-0000-000090CA0000}"/>
    <cellStyle name="Note 7 2 3 2 6" xfId="15282" xr:uid="{00000000-0005-0000-0000-000091CA0000}"/>
    <cellStyle name="Note 7 2 3 2 6 2" xfId="41156" xr:uid="{00000000-0005-0000-0000-000092CA0000}"/>
    <cellStyle name="Note 7 2 3 2 7" xfId="28208" xr:uid="{00000000-0005-0000-0000-000093CA0000}"/>
    <cellStyle name="Note 7 2 3 2 8" xfId="54070" xr:uid="{00000000-0005-0000-0000-000094CA0000}"/>
    <cellStyle name="Note 7 2 3 3" xfId="2721" xr:uid="{00000000-0005-0000-0000-000095CA0000}"/>
    <cellStyle name="Note 7 2 3 3 2" xfId="4378" xr:uid="{00000000-0005-0000-0000-000096CA0000}"/>
    <cellStyle name="Note 7 2 3 3 2 2" xfId="7609" xr:uid="{00000000-0005-0000-0000-000097CA0000}"/>
    <cellStyle name="Note 7 2 3 3 2 2 2" xfId="14068" xr:uid="{00000000-0005-0000-0000-000098CA0000}"/>
    <cellStyle name="Note 7 2 3 3 2 2 2 2" xfId="26985" xr:uid="{00000000-0005-0000-0000-000099CA0000}"/>
    <cellStyle name="Note 7 2 3 3 2 2 2 2 2" xfId="52859" xr:uid="{00000000-0005-0000-0000-00009ACA0000}"/>
    <cellStyle name="Note 7 2 3 3 2 2 2 3" xfId="39943" xr:uid="{00000000-0005-0000-0000-00009BCA0000}"/>
    <cellStyle name="Note 7 2 3 3 2 2 3" xfId="20527" xr:uid="{00000000-0005-0000-0000-00009CCA0000}"/>
    <cellStyle name="Note 7 2 3 3 2 2 3 2" xfId="46401" xr:uid="{00000000-0005-0000-0000-00009DCA0000}"/>
    <cellStyle name="Note 7 2 3 3 2 2 4" xfId="33485" xr:uid="{00000000-0005-0000-0000-00009ECA0000}"/>
    <cellStyle name="Note 7 2 3 3 2 3" xfId="10840" xr:uid="{00000000-0005-0000-0000-00009FCA0000}"/>
    <cellStyle name="Note 7 2 3 3 2 3 2" xfId="23757" xr:uid="{00000000-0005-0000-0000-0000A0CA0000}"/>
    <cellStyle name="Note 7 2 3 3 2 3 2 2" xfId="49631" xr:uid="{00000000-0005-0000-0000-0000A1CA0000}"/>
    <cellStyle name="Note 7 2 3 3 2 3 3" xfId="36715" xr:uid="{00000000-0005-0000-0000-0000A2CA0000}"/>
    <cellStyle name="Note 7 2 3 3 2 4" xfId="17299" xr:uid="{00000000-0005-0000-0000-0000A3CA0000}"/>
    <cellStyle name="Note 7 2 3 3 2 4 2" xfId="43173" xr:uid="{00000000-0005-0000-0000-0000A4CA0000}"/>
    <cellStyle name="Note 7 2 3 3 2 5" xfId="30225" xr:uid="{00000000-0005-0000-0000-0000A5CA0000}"/>
    <cellStyle name="Note 7 2 3 3 3" xfId="5995" xr:uid="{00000000-0005-0000-0000-0000A6CA0000}"/>
    <cellStyle name="Note 7 2 3 3 3 2" xfId="12454" xr:uid="{00000000-0005-0000-0000-0000A7CA0000}"/>
    <cellStyle name="Note 7 2 3 3 3 2 2" xfId="25371" xr:uid="{00000000-0005-0000-0000-0000A8CA0000}"/>
    <cellStyle name="Note 7 2 3 3 3 2 2 2" xfId="51245" xr:uid="{00000000-0005-0000-0000-0000A9CA0000}"/>
    <cellStyle name="Note 7 2 3 3 3 2 3" xfId="38329" xr:uid="{00000000-0005-0000-0000-0000AACA0000}"/>
    <cellStyle name="Note 7 2 3 3 3 3" xfId="18913" xr:uid="{00000000-0005-0000-0000-0000ABCA0000}"/>
    <cellStyle name="Note 7 2 3 3 3 3 2" xfId="44787" xr:uid="{00000000-0005-0000-0000-0000ACCA0000}"/>
    <cellStyle name="Note 7 2 3 3 3 4" xfId="31871" xr:uid="{00000000-0005-0000-0000-0000ADCA0000}"/>
    <cellStyle name="Note 7 2 3 3 4" xfId="9226" xr:uid="{00000000-0005-0000-0000-0000AECA0000}"/>
    <cellStyle name="Note 7 2 3 3 4 2" xfId="22143" xr:uid="{00000000-0005-0000-0000-0000AFCA0000}"/>
    <cellStyle name="Note 7 2 3 3 4 2 2" xfId="48017" xr:uid="{00000000-0005-0000-0000-0000B0CA0000}"/>
    <cellStyle name="Note 7 2 3 3 4 3" xfId="35101" xr:uid="{00000000-0005-0000-0000-0000B1CA0000}"/>
    <cellStyle name="Note 7 2 3 3 5" xfId="15685" xr:uid="{00000000-0005-0000-0000-0000B2CA0000}"/>
    <cellStyle name="Note 7 2 3 3 5 2" xfId="41559" xr:uid="{00000000-0005-0000-0000-0000B3CA0000}"/>
    <cellStyle name="Note 7 2 3 3 6" xfId="28611" xr:uid="{00000000-0005-0000-0000-0000B4CA0000}"/>
    <cellStyle name="Note 7 2 3 4" xfId="3548" xr:uid="{00000000-0005-0000-0000-0000B5CA0000}"/>
    <cellStyle name="Note 7 2 3 4 2" xfId="6802" xr:uid="{00000000-0005-0000-0000-0000B6CA0000}"/>
    <cellStyle name="Note 7 2 3 4 2 2" xfId="13261" xr:uid="{00000000-0005-0000-0000-0000B7CA0000}"/>
    <cellStyle name="Note 7 2 3 4 2 2 2" xfId="26178" xr:uid="{00000000-0005-0000-0000-0000B8CA0000}"/>
    <cellStyle name="Note 7 2 3 4 2 2 2 2" xfId="52052" xr:uid="{00000000-0005-0000-0000-0000B9CA0000}"/>
    <cellStyle name="Note 7 2 3 4 2 2 3" xfId="39136" xr:uid="{00000000-0005-0000-0000-0000BACA0000}"/>
    <cellStyle name="Note 7 2 3 4 2 3" xfId="19720" xr:uid="{00000000-0005-0000-0000-0000BBCA0000}"/>
    <cellStyle name="Note 7 2 3 4 2 3 2" xfId="45594" xr:uid="{00000000-0005-0000-0000-0000BCCA0000}"/>
    <cellStyle name="Note 7 2 3 4 2 4" xfId="32678" xr:uid="{00000000-0005-0000-0000-0000BDCA0000}"/>
    <cellStyle name="Note 7 2 3 4 3" xfId="10033" xr:uid="{00000000-0005-0000-0000-0000BECA0000}"/>
    <cellStyle name="Note 7 2 3 4 3 2" xfId="22950" xr:uid="{00000000-0005-0000-0000-0000BFCA0000}"/>
    <cellStyle name="Note 7 2 3 4 3 2 2" xfId="48824" xr:uid="{00000000-0005-0000-0000-0000C0CA0000}"/>
    <cellStyle name="Note 7 2 3 4 3 3" xfId="35908" xr:uid="{00000000-0005-0000-0000-0000C1CA0000}"/>
    <cellStyle name="Note 7 2 3 4 4" xfId="16492" xr:uid="{00000000-0005-0000-0000-0000C2CA0000}"/>
    <cellStyle name="Note 7 2 3 4 4 2" xfId="42366" xr:uid="{00000000-0005-0000-0000-0000C3CA0000}"/>
    <cellStyle name="Note 7 2 3 4 5" xfId="29418" xr:uid="{00000000-0005-0000-0000-0000C4CA0000}"/>
    <cellStyle name="Note 7 2 3 5" xfId="5188" xr:uid="{00000000-0005-0000-0000-0000C5CA0000}"/>
    <cellStyle name="Note 7 2 3 5 2" xfId="11647" xr:uid="{00000000-0005-0000-0000-0000C6CA0000}"/>
    <cellStyle name="Note 7 2 3 5 2 2" xfId="24564" xr:uid="{00000000-0005-0000-0000-0000C7CA0000}"/>
    <cellStyle name="Note 7 2 3 5 2 2 2" xfId="50438" xr:uid="{00000000-0005-0000-0000-0000C8CA0000}"/>
    <cellStyle name="Note 7 2 3 5 2 3" xfId="37522" xr:uid="{00000000-0005-0000-0000-0000C9CA0000}"/>
    <cellStyle name="Note 7 2 3 5 3" xfId="18106" xr:uid="{00000000-0005-0000-0000-0000CACA0000}"/>
    <cellStyle name="Note 7 2 3 5 3 2" xfId="43980" xr:uid="{00000000-0005-0000-0000-0000CBCA0000}"/>
    <cellStyle name="Note 7 2 3 5 4" xfId="31064" xr:uid="{00000000-0005-0000-0000-0000CCCA0000}"/>
    <cellStyle name="Note 7 2 3 6" xfId="8419" xr:uid="{00000000-0005-0000-0000-0000CDCA0000}"/>
    <cellStyle name="Note 7 2 3 6 2" xfId="21336" xr:uid="{00000000-0005-0000-0000-0000CECA0000}"/>
    <cellStyle name="Note 7 2 3 6 2 2" xfId="47210" xr:uid="{00000000-0005-0000-0000-0000CFCA0000}"/>
    <cellStyle name="Note 7 2 3 6 3" xfId="34294" xr:uid="{00000000-0005-0000-0000-0000D0CA0000}"/>
    <cellStyle name="Note 7 2 3 7" xfId="14878" xr:uid="{00000000-0005-0000-0000-0000D1CA0000}"/>
    <cellStyle name="Note 7 2 3 7 2" xfId="40752" xr:uid="{00000000-0005-0000-0000-0000D2CA0000}"/>
    <cellStyle name="Note 7 2 3 8" xfId="27803" xr:uid="{00000000-0005-0000-0000-0000D3CA0000}"/>
    <cellStyle name="Note 7 2 3 9" xfId="53666" xr:uid="{00000000-0005-0000-0000-0000D4CA0000}"/>
    <cellStyle name="Note 7 2 4" xfId="2114" xr:uid="{00000000-0005-0000-0000-0000D5CA0000}"/>
    <cellStyle name="Note 7 2 4 2" xfId="2930" xr:uid="{00000000-0005-0000-0000-0000D6CA0000}"/>
    <cellStyle name="Note 7 2 4 2 2" xfId="4587" xr:uid="{00000000-0005-0000-0000-0000D7CA0000}"/>
    <cellStyle name="Note 7 2 4 2 2 2" xfId="7818" xr:uid="{00000000-0005-0000-0000-0000D8CA0000}"/>
    <cellStyle name="Note 7 2 4 2 2 2 2" xfId="14277" xr:uid="{00000000-0005-0000-0000-0000D9CA0000}"/>
    <cellStyle name="Note 7 2 4 2 2 2 2 2" xfId="27194" xr:uid="{00000000-0005-0000-0000-0000DACA0000}"/>
    <cellStyle name="Note 7 2 4 2 2 2 2 2 2" xfId="53068" xr:uid="{00000000-0005-0000-0000-0000DBCA0000}"/>
    <cellStyle name="Note 7 2 4 2 2 2 2 3" xfId="40152" xr:uid="{00000000-0005-0000-0000-0000DCCA0000}"/>
    <cellStyle name="Note 7 2 4 2 2 2 3" xfId="20736" xr:uid="{00000000-0005-0000-0000-0000DDCA0000}"/>
    <cellStyle name="Note 7 2 4 2 2 2 3 2" xfId="46610" xr:uid="{00000000-0005-0000-0000-0000DECA0000}"/>
    <cellStyle name="Note 7 2 4 2 2 2 4" xfId="33694" xr:uid="{00000000-0005-0000-0000-0000DFCA0000}"/>
    <cellStyle name="Note 7 2 4 2 2 3" xfId="11049" xr:uid="{00000000-0005-0000-0000-0000E0CA0000}"/>
    <cellStyle name="Note 7 2 4 2 2 3 2" xfId="23966" xr:uid="{00000000-0005-0000-0000-0000E1CA0000}"/>
    <cellStyle name="Note 7 2 4 2 2 3 2 2" xfId="49840" xr:uid="{00000000-0005-0000-0000-0000E2CA0000}"/>
    <cellStyle name="Note 7 2 4 2 2 3 3" xfId="36924" xr:uid="{00000000-0005-0000-0000-0000E3CA0000}"/>
    <cellStyle name="Note 7 2 4 2 2 4" xfId="17508" xr:uid="{00000000-0005-0000-0000-0000E4CA0000}"/>
    <cellStyle name="Note 7 2 4 2 2 4 2" xfId="43382" xr:uid="{00000000-0005-0000-0000-0000E5CA0000}"/>
    <cellStyle name="Note 7 2 4 2 2 5" xfId="30434" xr:uid="{00000000-0005-0000-0000-0000E6CA0000}"/>
    <cellStyle name="Note 7 2 4 2 3" xfId="6204" xr:uid="{00000000-0005-0000-0000-0000E7CA0000}"/>
    <cellStyle name="Note 7 2 4 2 3 2" xfId="12663" xr:uid="{00000000-0005-0000-0000-0000E8CA0000}"/>
    <cellStyle name="Note 7 2 4 2 3 2 2" xfId="25580" xr:uid="{00000000-0005-0000-0000-0000E9CA0000}"/>
    <cellStyle name="Note 7 2 4 2 3 2 2 2" xfId="51454" xr:uid="{00000000-0005-0000-0000-0000EACA0000}"/>
    <cellStyle name="Note 7 2 4 2 3 2 3" xfId="38538" xr:uid="{00000000-0005-0000-0000-0000EBCA0000}"/>
    <cellStyle name="Note 7 2 4 2 3 3" xfId="19122" xr:uid="{00000000-0005-0000-0000-0000ECCA0000}"/>
    <cellStyle name="Note 7 2 4 2 3 3 2" xfId="44996" xr:uid="{00000000-0005-0000-0000-0000EDCA0000}"/>
    <cellStyle name="Note 7 2 4 2 3 4" xfId="32080" xr:uid="{00000000-0005-0000-0000-0000EECA0000}"/>
    <cellStyle name="Note 7 2 4 2 4" xfId="9435" xr:uid="{00000000-0005-0000-0000-0000EFCA0000}"/>
    <cellStyle name="Note 7 2 4 2 4 2" xfId="22352" xr:uid="{00000000-0005-0000-0000-0000F0CA0000}"/>
    <cellStyle name="Note 7 2 4 2 4 2 2" xfId="48226" xr:uid="{00000000-0005-0000-0000-0000F1CA0000}"/>
    <cellStyle name="Note 7 2 4 2 4 3" xfId="35310" xr:uid="{00000000-0005-0000-0000-0000F2CA0000}"/>
    <cellStyle name="Note 7 2 4 2 5" xfId="15894" xr:uid="{00000000-0005-0000-0000-0000F3CA0000}"/>
    <cellStyle name="Note 7 2 4 2 5 2" xfId="41768" xr:uid="{00000000-0005-0000-0000-0000F4CA0000}"/>
    <cellStyle name="Note 7 2 4 2 6" xfId="28820" xr:uid="{00000000-0005-0000-0000-0000F5CA0000}"/>
    <cellStyle name="Note 7 2 4 3" xfId="3757" xr:uid="{00000000-0005-0000-0000-0000F6CA0000}"/>
    <cellStyle name="Note 7 2 4 3 2" xfId="7011" xr:uid="{00000000-0005-0000-0000-0000F7CA0000}"/>
    <cellStyle name="Note 7 2 4 3 2 2" xfId="13470" xr:uid="{00000000-0005-0000-0000-0000F8CA0000}"/>
    <cellStyle name="Note 7 2 4 3 2 2 2" xfId="26387" xr:uid="{00000000-0005-0000-0000-0000F9CA0000}"/>
    <cellStyle name="Note 7 2 4 3 2 2 2 2" xfId="52261" xr:uid="{00000000-0005-0000-0000-0000FACA0000}"/>
    <cellStyle name="Note 7 2 4 3 2 2 3" xfId="39345" xr:uid="{00000000-0005-0000-0000-0000FBCA0000}"/>
    <cellStyle name="Note 7 2 4 3 2 3" xfId="19929" xr:uid="{00000000-0005-0000-0000-0000FCCA0000}"/>
    <cellStyle name="Note 7 2 4 3 2 3 2" xfId="45803" xr:uid="{00000000-0005-0000-0000-0000FDCA0000}"/>
    <cellStyle name="Note 7 2 4 3 2 4" xfId="32887" xr:uid="{00000000-0005-0000-0000-0000FECA0000}"/>
    <cellStyle name="Note 7 2 4 3 3" xfId="10242" xr:uid="{00000000-0005-0000-0000-0000FFCA0000}"/>
    <cellStyle name="Note 7 2 4 3 3 2" xfId="23159" xr:uid="{00000000-0005-0000-0000-000000CB0000}"/>
    <cellStyle name="Note 7 2 4 3 3 2 2" xfId="49033" xr:uid="{00000000-0005-0000-0000-000001CB0000}"/>
    <cellStyle name="Note 7 2 4 3 3 3" xfId="36117" xr:uid="{00000000-0005-0000-0000-000002CB0000}"/>
    <cellStyle name="Note 7 2 4 3 4" xfId="16701" xr:uid="{00000000-0005-0000-0000-000003CB0000}"/>
    <cellStyle name="Note 7 2 4 3 4 2" xfId="42575" xr:uid="{00000000-0005-0000-0000-000004CB0000}"/>
    <cellStyle name="Note 7 2 4 3 5" xfId="29627" xr:uid="{00000000-0005-0000-0000-000005CB0000}"/>
    <cellStyle name="Note 7 2 4 4" xfId="5397" xr:uid="{00000000-0005-0000-0000-000006CB0000}"/>
    <cellStyle name="Note 7 2 4 4 2" xfId="11856" xr:uid="{00000000-0005-0000-0000-000007CB0000}"/>
    <cellStyle name="Note 7 2 4 4 2 2" xfId="24773" xr:uid="{00000000-0005-0000-0000-000008CB0000}"/>
    <cellStyle name="Note 7 2 4 4 2 2 2" xfId="50647" xr:uid="{00000000-0005-0000-0000-000009CB0000}"/>
    <cellStyle name="Note 7 2 4 4 2 3" xfId="37731" xr:uid="{00000000-0005-0000-0000-00000ACB0000}"/>
    <cellStyle name="Note 7 2 4 4 3" xfId="18315" xr:uid="{00000000-0005-0000-0000-00000BCB0000}"/>
    <cellStyle name="Note 7 2 4 4 3 2" xfId="44189" xr:uid="{00000000-0005-0000-0000-00000CCB0000}"/>
    <cellStyle name="Note 7 2 4 4 4" xfId="31273" xr:uid="{00000000-0005-0000-0000-00000DCB0000}"/>
    <cellStyle name="Note 7 2 4 5" xfId="8628" xr:uid="{00000000-0005-0000-0000-00000ECB0000}"/>
    <cellStyle name="Note 7 2 4 5 2" xfId="21545" xr:uid="{00000000-0005-0000-0000-00000FCB0000}"/>
    <cellStyle name="Note 7 2 4 5 2 2" xfId="47419" xr:uid="{00000000-0005-0000-0000-000010CB0000}"/>
    <cellStyle name="Note 7 2 4 5 3" xfId="34503" xr:uid="{00000000-0005-0000-0000-000011CB0000}"/>
    <cellStyle name="Note 7 2 4 6" xfId="15087" xr:uid="{00000000-0005-0000-0000-000012CB0000}"/>
    <cellStyle name="Note 7 2 4 6 2" xfId="40961" xr:uid="{00000000-0005-0000-0000-000013CB0000}"/>
    <cellStyle name="Note 7 2 4 7" xfId="28013" xr:uid="{00000000-0005-0000-0000-000014CB0000}"/>
    <cellStyle name="Note 7 2 4 8" xfId="53875" xr:uid="{00000000-0005-0000-0000-000015CB0000}"/>
    <cellStyle name="Note 7 2 5" xfId="2527" xr:uid="{00000000-0005-0000-0000-000016CB0000}"/>
    <cellStyle name="Note 7 2 5 2" xfId="4184" xr:uid="{00000000-0005-0000-0000-000017CB0000}"/>
    <cellStyle name="Note 7 2 5 2 2" xfId="7415" xr:uid="{00000000-0005-0000-0000-000018CB0000}"/>
    <cellStyle name="Note 7 2 5 2 2 2" xfId="13874" xr:uid="{00000000-0005-0000-0000-000019CB0000}"/>
    <cellStyle name="Note 7 2 5 2 2 2 2" xfId="26791" xr:uid="{00000000-0005-0000-0000-00001ACB0000}"/>
    <cellStyle name="Note 7 2 5 2 2 2 2 2" xfId="52665" xr:uid="{00000000-0005-0000-0000-00001BCB0000}"/>
    <cellStyle name="Note 7 2 5 2 2 2 3" xfId="39749" xr:uid="{00000000-0005-0000-0000-00001CCB0000}"/>
    <cellStyle name="Note 7 2 5 2 2 3" xfId="20333" xr:uid="{00000000-0005-0000-0000-00001DCB0000}"/>
    <cellStyle name="Note 7 2 5 2 2 3 2" xfId="46207" xr:uid="{00000000-0005-0000-0000-00001ECB0000}"/>
    <cellStyle name="Note 7 2 5 2 2 4" xfId="33291" xr:uid="{00000000-0005-0000-0000-00001FCB0000}"/>
    <cellStyle name="Note 7 2 5 2 3" xfId="10646" xr:uid="{00000000-0005-0000-0000-000020CB0000}"/>
    <cellStyle name="Note 7 2 5 2 3 2" xfId="23563" xr:uid="{00000000-0005-0000-0000-000021CB0000}"/>
    <cellStyle name="Note 7 2 5 2 3 2 2" xfId="49437" xr:uid="{00000000-0005-0000-0000-000022CB0000}"/>
    <cellStyle name="Note 7 2 5 2 3 3" xfId="36521" xr:uid="{00000000-0005-0000-0000-000023CB0000}"/>
    <cellStyle name="Note 7 2 5 2 4" xfId="17105" xr:uid="{00000000-0005-0000-0000-000024CB0000}"/>
    <cellStyle name="Note 7 2 5 2 4 2" xfId="42979" xr:uid="{00000000-0005-0000-0000-000025CB0000}"/>
    <cellStyle name="Note 7 2 5 2 5" xfId="30031" xr:uid="{00000000-0005-0000-0000-000026CB0000}"/>
    <cellStyle name="Note 7 2 5 3" xfId="5801" xr:uid="{00000000-0005-0000-0000-000027CB0000}"/>
    <cellStyle name="Note 7 2 5 3 2" xfId="12260" xr:uid="{00000000-0005-0000-0000-000028CB0000}"/>
    <cellStyle name="Note 7 2 5 3 2 2" xfId="25177" xr:uid="{00000000-0005-0000-0000-000029CB0000}"/>
    <cellStyle name="Note 7 2 5 3 2 2 2" xfId="51051" xr:uid="{00000000-0005-0000-0000-00002ACB0000}"/>
    <cellStyle name="Note 7 2 5 3 2 3" xfId="38135" xr:uid="{00000000-0005-0000-0000-00002BCB0000}"/>
    <cellStyle name="Note 7 2 5 3 3" xfId="18719" xr:uid="{00000000-0005-0000-0000-00002CCB0000}"/>
    <cellStyle name="Note 7 2 5 3 3 2" xfId="44593" xr:uid="{00000000-0005-0000-0000-00002DCB0000}"/>
    <cellStyle name="Note 7 2 5 3 4" xfId="31677" xr:uid="{00000000-0005-0000-0000-00002ECB0000}"/>
    <cellStyle name="Note 7 2 5 4" xfId="9032" xr:uid="{00000000-0005-0000-0000-00002FCB0000}"/>
    <cellStyle name="Note 7 2 5 4 2" xfId="21949" xr:uid="{00000000-0005-0000-0000-000030CB0000}"/>
    <cellStyle name="Note 7 2 5 4 2 2" xfId="47823" xr:uid="{00000000-0005-0000-0000-000031CB0000}"/>
    <cellStyle name="Note 7 2 5 4 3" xfId="34907" xr:uid="{00000000-0005-0000-0000-000032CB0000}"/>
    <cellStyle name="Note 7 2 5 5" xfId="15491" xr:uid="{00000000-0005-0000-0000-000033CB0000}"/>
    <cellStyle name="Note 7 2 5 5 2" xfId="41365" xr:uid="{00000000-0005-0000-0000-000034CB0000}"/>
    <cellStyle name="Note 7 2 5 6" xfId="28417" xr:uid="{00000000-0005-0000-0000-000035CB0000}"/>
    <cellStyle name="Note 7 2 6" xfId="3347" xr:uid="{00000000-0005-0000-0000-000036CB0000}"/>
    <cellStyle name="Note 7 2 6 2" xfId="6608" xr:uid="{00000000-0005-0000-0000-000037CB0000}"/>
    <cellStyle name="Note 7 2 6 2 2" xfId="13067" xr:uid="{00000000-0005-0000-0000-000038CB0000}"/>
    <cellStyle name="Note 7 2 6 2 2 2" xfId="25984" xr:uid="{00000000-0005-0000-0000-000039CB0000}"/>
    <cellStyle name="Note 7 2 6 2 2 2 2" xfId="51858" xr:uid="{00000000-0005-0000-0000-00003ACB0000}"/>
    <cellStyle name="Note 7 2 6 2 2 3" xfId="38942" xr:uid="{00000000-0005-0000-0000-00003BCB0000}"/>
    <cellStyle name="Note 7 2 6 2 3" xfId="19526" xr:uid="{00000000-0005-0000-0000-00003CCB0000}"/>
    <cellStyle name="Note 7 2 6 2 3 2" xfId="45400" xr:uid="{00000000-0005-0000-0000-00003DCB0000}"/>
    <cellStyle name="Note 7 2 6 2 4" xfId="32484" xr:uid="{00000000-0005-0000-0000-00003ECB0000}"/>
    <cellStyle name="Note 7 2 6 3" xfId="9839" xr:uid="{00000000-0005-0000-0000-00003FCB0000}"/>
    <cellStyle name="Note 7 2 6 3 2" xfId="22756" xr:uid="{00000000-0005-0000-0000-000040CB0000}"/>
    <cellStyle name="Note 7 2 6 3 2 2" xfId="48630" xr:uid="{00000000-0005-0000-0000-000041CB0000}"/>
    <cellStyle name="Note 7 2 6 3 3" xfId="35714" xr:uid="{00000000-0005-0000-0000-000042CB0000}"/>
    <cellStyle name="Note 7 2 6 4" xfId="16298" xr:uid="{00000000-0005-0000-0000-000043CB0000}"/>
    <cellStyle name="Note 7 2 6 4 2" xfId="42172" xr:uid="{00000000-0005-0000-0000-000044CB0000}"/>
    <cellStyle name="Note 7 2 6 5" xfId="29224" xr:uid="{00000000-0005-0000-0000-000045CB0000}"/>
    <cellStyle name="Note 7 2 7" xfId="4994" xr:uid="{00000000-0005-0000-0000-000046CB0000}"/>
    <cellStyle name="Note 7 2 7 2" xfId="11453" xr:uid="{00000000-0005-0000-0000-000047CB0000}"/>
    <cellStyle name="Note 7 2 7 2 2" xfId="24370" xr:uid="{00000000-0005-0000-0000-000048CB0000}"/>
    <cellStyle name="Note 7 2 7 2 2 2" xfId="50244" xr:uid="{00000000-0005-0000-0000-000049CB0000}"/>
    <cellStyle name="Note 7 2 7 2 3" xfId="37328" xr:uid="{00000000-0005-0000-0000-00004ACB0000}"/>
    <cellStyle name="Note 7 2 7 3" xfId="17912" xr:uid="{00000000-0005-0000-0000-00004BCB0000}"/>
    <cellStyle name="Note 7 2 7 3 2" xfId="43786" xr:uid="{00000000-0005-0000-0000-00004CCB0000}"/>
    <cellStyle name="Note 7 2 7 4" xfId="30870" xr:uid="{00000000-0005-0000-0000-00004DCB0000}"/>
    <cellStyle name="Note 7 2 8" xfId="8225" xr:uid="{00000000-0005-0000-0000-00004ECB0000}"/>
    <cellStyle name="Note 7 2 8 2" xfId="21142" xr:uid="{00000000-0005-0000-0000-00004FCB0000}"/>
    <cellStyle name="Note 7 2 8 2 2" xfId="47016" xr:uid="{00000000-0005-0000-0000-000050CB0000}"/>
    <cellStyle name="Note 7 2 8 3" xfId="34100" xr:uid="{00000000-0005-0000-0000-000051CB0000}"/>
    <cellStyle name="Note 7 2 9" xfId="14684" xr:uid="{00000000-0005-0000-0000-000052CB0000}"/>
    <cellStyle name="Note 7 2 9 2" xfId="40558" xr:uid="{00000000-0005-0000-0000-000053CB0000}"/>
    <cellStyle name="Note 7 3" xfId="1725" xr:uid="{00000000-0005-0000-0000-000054CB0000}"/>
    <cellStyle name="Note 7 3 10" xfId="53586" xr:uid="{00000000-0005-0000-0000-000055CB0000}"/>
    <cellStyle name="Note 7 3 2" xfId="1995" xr:uid="{00000000-0005-0000-0000-000056CB0000}"/>
    <cellStyle name="Note 7 3 2 2" xfId="2426" xr:uid="{00000000-0005-0000-0000-000057CB0000}"/>
    <cellStyle name="Note 7 3 2 2 2" xfId="3239" xr:uid="{00000000-0005-0000-0000-000058CB0000}"/>
    <cellStyle name="Note 7 3 2 2 2 2" xfId="4896" xr:uid="{00000000-0005-0000-0000-000059CB0000}"/>
    <cellStyle name="Note 7 3 2 2 2 2 2" xfId="8127" xr:uid="{00000000-0005-0000-0000-00005ACB0000}"/>
    <cellStyle name="Note 7 3 2 2 2 2 2 2" xfId="14586" xr:uid="{00000000-0005-0000-0000-00005BCB0000}"/>
    <cellStyle name="Note 7 3 2 2 2 2 2 2 2" xfId="27503" xr:uid="{00000000-0005-0000-0000-00005CCB0000}"/>
    <cellStyle name="Note 7 3 2 2 2 2 2 2 2 2" xfId="53377" xr:uid="{00000000-0005-0000-0000-00005DCB0000}"/>
    <cellStyle name="Note 7 3 2 2 2 2 2 2 3" xfId="40461" xr:uid="{00000000-0005-0000-0000-00005ECB0000}"/>
    <cellStyle name="Note 7 3 2 2 2 2 2 3" xfId="21045" xr:uid="{00000000-0005-0000-0000-00005FCB0000}"/>
    <cellStyle name="Note 7 3 2 2 2 2 2 3 2" xfId="46919" xr:uid="{00000000-0005-0000-0000-000060CB0000}"/>
    <cellStyle name="Note 7 3 2 2 2 2 2 4" xfId="34003" xr:uid="{00000000-0005-0000-0000-000061CB0000}"/>
    <cellStyle name="Note 7 3 2 2 2 2 3" xfId="11358" xr:uid="{00000000-0005-0000-0000-000062CB0000}"/>
    <cellStyle name="Note 7 3 2 2 2 2 3 2" xfId="24275" xr:uid="{00000000-0005-0000-0000-000063CB0000}"/>
    <cellStyle name="Note 7 3 2 2 2 2 3 2 2" xfId="50149" xr:uid="{00000000-0005-0000-0000-000064CB0000}"/>
    <cellStyle name="Note 7 3 2 2 2 2 3 3" xfId="37233" xr:uid="{00000000-0005-0000-0000-000065CB0000}"/>
    <cellStyle name="Note 7 3 2 2 2 2 4" xfId="17817" xr:uid="{00000000-0005-0000-0000-000066CB0000}"/>
    <cellStyle name="Note 7 3 2 2 2 2 4 2" xfId="43691" xr:uid="{00000000-0005-0000-0000-000067CB0000}"/>
    <cellStyle name="Note 7 3 2 2 2 2 5" xfId="30743" xr:uid="{00000000-0005-0000-0000-000068CB0000}"/>
    <cellStyle name="Note 7 3 2 2 2 3" xfId="6513" xr:uid="{00000000-0005-0000-0000-000069CB0000}"/>
    <cellStyle name="Note 7 3 2 2 2 3 2" xfId="12972" xr:uid="{00000000-0005-0000-0000-00006ACB0000}"/>
    <cellStyle name="Note 7 3 2 2 2 3 2 2" xfId="25889" xr:uid="{00000000-0005-0000-0000-00006BCB0000}"/>
    <cellStyle name="Note 7 3 2 2 2 3 2 2 2" xfId="51763" xr:uid="{00000000-0005-0000-0000-00006CCB0000}"/>
    <cellStyle name="Note 7 3 2 2 2 3 2 3" xfId="38847" xr:uid="{00000000-0005-0000-0000-00006DCB0000}"/>
    <cellStyle name="Note 7 3 2 2 2 3 3" xfId="19431" xr:uid="{00000000-0005-0000-0000-00006ECB0000}"/>
    <cellStyle name="Note 7 3 2 2 2 3 3 2" xfId="45305" xr:uid="{00000000-0005-0000-0000-00006FCB0000}"/>
    <cellStyle name="Note 7 3 2 2 2 3 4" xfId="32389" xr:uid="{00000000-0005-0000-0000-000070CB0000}"/>
    <cellStyle name="Note 7 3 2 2 2 4" xfId="9744" xr:uid="{00000000-0005-0000-0000-000071CB0000}"/>
    <cellStyle name="Note 7 3 2 2 2 4 2" xfId="22661" xr:uid="{00000000-0005-0000-0000-000072CB0000}"/>
    <cellStyle name="Note 7 3 2 2 2 4 2 2" xfId="48535" xr:uid="{00000000-0005-0000-0000-000073CB0000}"/>
    <cellStyle name="Note 7 3 2 2 2 4 3" xfId="35619" xr:uid="{00000000-0005-0000-0000-000074CB0000}"/>
    <cellStyle name="Note 7 3 2 2 2 5" xfId="16203" xr:uid="{00000000-0005-0000-0000-000075CB0000}"/>
    <cellStyle name="Note 7 3 2 2 2 5 2" xfId="42077" xr:uid="{00000000-0005-0000-0000-000076CB0000}"/>
    <cellStyle name="Note 7 3 2 2 2 6" xfId="29129" xr:uid="{00000000-0005-0000-0000-000077CB0000}"/>
    <cellStyle name="Note 7 3 2 2 3" xfId="4066" xr:uid="{00000000-0005-0000-0000-000078CB0000}"/>
    <cellStyle name="Note 7 3 2 2 3 2" xfId="7320" xr:uid="{00000000-0005-0000-0000-000079CB0000}"/>
    <cellStyle name="Note 7 3 2 2 3 2 2" xfId="13779" xr:uid="{00000000-0005-0000-0000-00007ACB0000}"/>
    <cellStyle name="Note 7 3 2 2 3 2 2 2" xfId="26696" xr:uid="{00000000-0005-0000-0000-00007BCB0000}"/>
    <cellStyle name="Note 7 3 2 2 3 2 2 2 2" xfId="52570" xr:uid="{00000000-0005-0000-0000-00007CCB0000}"/>
    <cellStyle name="Note 7 3 2 2 3 2 2 3" xfId="39654" xr:uid="{00000000-0005-0000-0000-00007DCB0000}"/>
    <cellStyle name="Note 7 3 2 2 3 2 3" xfId="20238" xr:uid="{00000000-0005-0000-0000-00007ECB0000}"/>
    <cellStyle name="Note 7 3 2 2 3 2 3 2" xfId="46112" xr:uid="{00000000-0005-0000-0000-00007FCB0000}"/>
    <cellStyle name="Note 7 3 2 2 3 2 4" xfId="33196" xr:uid="{00000000-0005-0000-0000-000080CB0000}"/>
    <cellStyle name="Note 7 3 2 2 3 3" xfId="10551" xr:uid="{00000000-0005-0000-0000-000081CB0000}"/>
    <cellStyle name="Note 7 3 2 2 3 3 2" xfId="23468" xr:uid="{00000000-0005-0000-0000-000082CB0000}"/>
    <cellStyle name="Note 7 3 2 2 3 3 2 2" xfId="49342" xr:uid="{00000000-0005-0000-0000-000083CB0000}"/>
    <cellStyle name="Note 7 3 2 2 3 3 3" xfId="36426" xr:uid="{00000000-0005-0000-0000-000084CB0000}"/>
    <cellStyle name="Note 7 3 2 2 3 4" xfId="17010" xr:uid="{00000000-0005-0000-0000-000085CB0000}"/>
    <cellStyle name="Note 7 3 2 2 3 4 2" xfId="42884" xr:uid="{00000000-0005-0000-0000-000086CB0000}"/>
    <cellStyle name="Note 7 3 2 2 3 5" xfId="29936" xr:uid="{00000000-0005-0000-0000-000087CB0000}"/>
    <cellStyle name="Note 7 3 2 2 4" xfId="5706" xr:uid="{00000000-0005-0000-0000-000088CB0000}"/>
    <cellStyle name="Note 7 3 2 2 4 2" xfId="12165" xr:uid="{00000000-0005-0000-0000-000089CB0000}"/>
    <cellStyle name="Note 7 3 2 2 4 2 2" xfId="25082" xr:uid="{00000000-0005-0000-0000-00008ACB0000}"/>
    <cellStyle name="Note 7 3 2 2 4 2 2 2" xfId="50956" xr:uid="{00000000-0005-0000-0000-00008BCB0000}"/>
    <cellStyle name="Note 7 3 2 2 4 2 3" xfId="38040" xr:uid="{00000000-0005-0000-0000-00008CCB0000}"/>
    <cellStyle name="Note 7 3 2 2 4 3" xfId="18624" xr:uid="{00000000-0005-0000-0000-00008DCB0000}"/>
    <cellStyle name="Note 7 3 2 2 4 3 2" xfId="44498" xr:uid="{00000000-0005-0000-0000-00008ECB0000}"/>
    <cellStyle name="Note 7 3 2 2 4 4" xfId="31582" xr:uid="{00000000-0005-0000-0000-00008FCB0000}"/>
    <cellStyle name="Note 7 3 2 2 5" xfId="8937" xr:uid="{00000000-0005-0000-0000-000090CB0000}"/>
    <cellStyle name="Note 7 3 2 2 5 2" xfId="21854" xr:uid="{00000000-0005-0000-0000-000091CB0000}"/>
    <cellStyle name="Note 7 3 2 2 5 2 2" xfId="47728" xr:uid="{00000000-0005-0000-0000-000092CB0000}"/>
    <cellStyle name="Note 7 3 2 2 5 3" xfId="34812" xr:uid="{00000000-0005-0000-0000-000093CB0000}"/>
    <cellStyle name="Note 7 3 2 2 6" xfId="15396" xr:uid="{00000000-0005-0000-0000-000094CB0000}"/>
    <cellStyle name="Note 7 3 2 2 6 2" xfId="41270" xr:uid="{00000000-0005-0000-0000-000095CB0000}"/>
    <cellStyle name="Note 7 3 2 2 7" xfId="28322" xr:uid="{00000000-0005-0000-0000-000096CB0000}"/>
    <cellStyle name="Note 7 3 2 2 8" xfId="54184" xr:uid="{00000000-0005-0000-0000-000097CB0000}"/>
    <cellStyle name="Note 7 3 2 3" xfId="2835" xr:uid="{00000000-0005-0000-0000-000098CB0000}"/>
    <cellStyle name="Note 7 3 2 3 2" xfId="4492" xr:uid="{00000000-0005-0000-0000-000099CB0000}"/>
    <cellStyle name="Note 7 3 2 3 2 2" xfId="7723" xr:uid="{00000000-0005-0000-0000-00009ACB0000}"/>
    <cellStyle name="Note 7 3 2 3 2 2 2" xfId="14182" xr:uid="{00000000-0005-0000-0000-00009BCB0000}"/>
    <cellStyle name="Note 7 3 2 3 2 2 2 2" xfId="27099" xr:uid="{00000000-0005-0000-0000-00009CCB0000}"/>
    <cellStyle name="Note 7 3 2 3 2 2 2 2 2" xfId="52973" xr:uid="{00000000-0005-0000-0000-00009DCB0000}"/>
    <cellStyle name="Note 7 3 2 3 2 2 2 3" xfId="40057" xr:uid="{00000000-0005-0000-0000-00009ECB0000}"/>
    <cellStyle name="Note 7 3 2 3 2 2 3" xfId="20641" xr:uid="{00000000-0005-0000-0000-00009FCB0000}"/>
    <cellStyle name="Note 7 3 2 3 2 2 3 2" xfId="46515" xr:uid="{00000000-0005-0000-0000-0000A0CB0000}"/>
    <cellStyle name="Note 7 3 2 3 2 2 4" xfId="33599" xr:uid="{00000000-0005-0000-0000-0000A1CB0000}"/>
    <cellStyle name="Note 7 3 2 3 2 3" xfId="10954" xr:uid="{00000000-0005-0000-0000-0000A2CB0000}"/>
    <cellStyle name="Note 7 3 2 3 2 3 2" xfId="23871" xr:uid="{00000000-0005-0000-0000-0000A3CB0000}"/>
    <cellStyle name="Note 7 3 2 3 2 3 2 2" xfId="49745" xr:uid="{00000000-0005-0000-0000-0000A4CB0000}"/>
    <cellStyle name="Note 7 3 2 3 2 3 3" xfId="36829" xr:uid="{00000000-0005-0000-0000-0000A5CB0000}"/>
    <cellStyle name="Note 7 3 2 3 2 4" xfId="17413" xr:uid="{00000000-0005-0000-0000-0000A6CB0000}"/>
    <cellStyle name="Note 7 3 2 3 2 4 2" xfId="43287" xr:uid="{00000000-0005-0000-0000-0000A7CB0000}"/>
    <cellStyle name="Note 7 3 2 3 2 5" xfId="30339" xr:uid="{00000000-0005-0000-0000-0000A8CB0000}"/>
    <cellStyle name="Note 7 3 2 3 3" xfId="6109" xr:uid="{00000000-0005-0000-0000-0000A9CB0000}"/>
    <cellStyle name="Note 7 3 2 3 3 2" xfId="12568" xr:uid="{00000000-0005-0000-0000-0000AACB0000}"/>
    <cellStyle name="Note 7 3 2 3 3 2 2" xfId="25485" xr:uid="{00000000-0005-0000-0000-0000ABCB0000}"/>
    <cellStyle name="Note 7 3 2 3 3 2 2 2" xfId="51359" xr:uid="{00000000-0005-0000-0000-0000ACCB0000}"/>
    <cellStyle name="Note 7 3 2 3 3 2 3" xfId="38443" xr:uid="{00000000-0005-0000-0000-0000ADCB0000}"/>
    <cellStyle name="Note 7 3 2 3 3 3" xfId="19027" xr:uid="{00000000-0005-0000-0000-0000AECB0000}"/>
    <cellStyle name="Note 7 3 2 3 3 3 2" xfId="44901" xr:uid="{00000000-0005-0000-0000-0000AFCB0000}"/>
    <cellStyle name="Note 7 3 2 3 3 4" xfId="31985" xr:uid="{00000000-0005-0000-0000-0000B0CB0000}"/>
    <cellStyle name="Note 7 3 2 3 4" xfId="9340" xr:uid="{00000000-0005-0000-0000-0000B1CB0000}"/>
    <cellStyle name="Note 7 3 2 3 4 2" xfId="22257" xr:uid="{00000000-0005-0000-0000-0000B2CB0000}"/>
    <cellStyle name="Note 7 3 2 3 4 2 2" xfId="48131" xr:uid="{00000000-0005-0000-0000-0000B3CB0000}"/>
    <cellStyle name="Note 7 3 2 3 4 3" xfId="35215" xr:uid="{00000000-0005-0000-0000-0000B4CB0000}"/>
    <cellStyle name="Note 7 3 2 3 5" xfId="15799" xr:uid="{00000000-0005-0000-0000-0000B5CB0000}"/>
    <cellStyle name="Note 7 3 2 3 5 2" xfId="41673" xr:uid="{00000000-0005-0000-0000-0000B6CB0000}"/>
    <cellStyle name="Note 7 3 2 3 6" xfId="28725" xr:uid="{00000000-0005-0000-0000-0000B7CB0000}"/>
    <cellStyle name="Note 7 3 2 4" xfId="3662" xr:uid="{00000000-0005-0000-0000-0000B8CB0000}"/>
    <cellStyle name="Note 7 3 2 4 2" xfId="6916" xr:uid="{00000000-0005-0000-0000-0000B9CB0000}"/>
    <cellStyle name="Note 7 3 2 4 2 2" xfId="13375" xr:uid="{00000000-0005-0000-0000-0000BACB0000}"/>
    <cellStyle name="Note 7 3 2 4 2 2 2" xfId="26292" xr:uid="{00000000-0005-0000-0000-0000BBCB0000}"/>
    <cellStyle name="Note 7 3 2 4 2 2 2 2" xfId="52166" xr:uid="{00000000-0005-0000-0000-0000BCCB0000}"/>
    <cellStyle name="Note 7 3 2 4 2 2 3" xfId="39250" xr:uid="{00000000-0005-0000-0000-0000BDCB0000}"/>
    <cellStyle name="Note 7 3 2 4 2 3" xfId="19834" xr:uid="{00000000-0005-0000-0000-0000BECB0000}"/>
    <cellStyle name="Note 7 3 2 4 2 3 2" xfId="45708" xr:uid="{00000000-0005-0000-0000-0000BFCB0000}"/>
    <cellStyle name="Note 7 3 2 4 2 4" xfId="32792" xr:uid="{00000000-0005-0000-0000-0000C0CB0000}"/>
    <cellStyle name="Note 7 3 2 4 3" xfId="10147" xr:uid="{00000000-0005-0000-0000-0000C1CB0000}"/>
    <cellStyle name="Note 7 3 2 4 3 2" xfId="23064" xr:uid="{00000000-0005-0000-0000-0000C2CB0000}"/>
    <cellStyle name="Note 7 3 2 4 3 2 2" xfId="48938" xr:uid="{00000000-0005-0000-0000-0000C3CB0000}"/>
    <cellStyle name="Note 7 3 2 4 3 3" xfId="36022" xr:uid="{00000000-0005-0000-0000-0000C4CB0000}"/>
    <cellStyle name="Note 7 3 2 4 4" xfId="16606" xr:uid="{00000000-0005-0000-0000-0000C5CB0000}"/>
    <cellStyle name="Note 7 3 2 4 4 2" xfId="42480" xr:uid="{00000000-0005-0000-0000-0000C6CB0000}"/>
    <cellStyle name="Note 7 3 2 4 5" xfId="29532" xr:uid="{00000000-0005-0000-0000-0000C7CB0000}"/>
    <cellStyle name="Note 7 3 2 5" xfId="5302" xr:uid="{00000000-0005-0000-0000-0000C8CB0000}"/>
    <cellStyle name="Note 7 3 2 5 2" xfId="11761" xr:uid="{00000000-0005-0000-0000-0000C9CB0000}"/>
    <cellStyle name="Note 7 3 2 5 2 2" xfId="24678" xr:uid="{00000000-0005-0000-0000-0000CACB0000}"/>
    <cellStyle name="Note 7 3 2 5 2 2 2" xfId="50552" xr:uid="{00000000-0005-0000-0000-0000CBCB0000}"/>
    <cellStyle name="Note 7 3 2 5 2 3" xfId="37636" xr:uid="{00000000-0005-0000-0000-0000CCCB0000}"/>
    <cellStyle name="Note 7 3 2 5 3" xfId="18220" xr:uid="{00000000-0005-0000-0000-0000CDCB0000}"/>
    <cellStyle name="Note 7 3 2 5 3 2" xfId="44094" xr:uid="{00000000-0005-0000-0000-0000CECB0000}"/>
    <cellStyle name="Note 7 3 2 5 4" xfId="31178" xr:uid="{00000000-0005-0000-0000-0000CFCB0000}"/>
    <cellStyle name="Note 7 3 2 6" xfId="8533" xr:uid="{00000000-0005-0000-0000-0000D0CB0000}"/>
    <cellStyle name="Note 7 3 2 6 2" xfId="21450" xr:uid="{00000000-0005-0000-0000-0000D1CB0000}"/>
    <cellStyle name="Note 7 3 2 6 2 2" xfId="47324" xr:uid="{00000000-0005-0000-0000-0000D2CB0000}"/>
    <cellStyle name="Note 7 3 2 6 3" xfId="34408" xr:uid="{00000000-0005-0000-0000-0000D3CB0000}"/>
    <cellStyle name="Note 7 3 2 7" xfId="14992" xr:uid="{00000000-0005-0000-0000-0000D4CB0000}"/>
    <cellStyle name="Note 7 3 2 7 2" xfId="40866" xr:uid="{00000000-0005-0000-0000-0000D5CB0000}"/>
    <cellStyle name="Note 7 3 2 8" xfId="27917" xr:uid="{00000000-0005-0000-0000-0000D6CB0000}"/>
    <cellStyle name="Note 7 3 2 9" xfId="53780" xr:uid="{00000000-0005-0000-0000-0000D7CB0000}"/>
    <cellStyle name="Note 7 3 3" xfId="2230" xr:uid="{00000000-0005-0000-0000-0000D8CB0000}"/>
    <cellStyle name="Note 7 3 3 2" xfId="3044" xr:uid="{00000000-0005-0000-0000-0000D9CB0000}"/>
    <cellStyle name="Note 7 3 3 2 2" xfId="4701" xr:uid="{00000000-0005-0000-0000-0000DACB0000}"/>
    <cellStyle name="Note 7 3 3 2 2 2" xfId="7932" xr:uid="{00000000-0005-0000-0000-0000DBCB0000}"/>
    <cellStyle name="Note 7 3 3 2 2 2 2" xfId="14391" xr:uid="{00000000-0005-0000-0000-0000DCCB0000}"/>
    <cellStyle name="Note 7 3 3 2 2 2 2 2" xfId="27308" xr:uid="{00000000-0005-0000-0000-0000DDCB0000}"/>
    <cellStyle name="Note 7 3 3 2 2 2 2 2 2" xfId="53182" xr:uid="{00000000-0005-0000-0000-0000DECB0000}"/>
    <cellStyle name="Note 7 3 3 2 2 2 2 3" xfId="40266" xr:uid="{00000000-0005-0000-0000-0000DFCB0000}"/>
    <cellStyle name="Note 7 3 3 2 2 2 3" xfId="20850" xr:uid="{00000000-0005-0000-0000-0000E0CB0000}"/>
    <cellStyle name="Note 7 3 3 2 2 2 3 2" xfId="46724" xr:uid="{00000000-0005-0000-0000-0000E1CB0000}"/>
    <cellStyle name="Note 7 3 3 2 2 2 4" xfId="33808" xr:uid="{00000000-0005-0000-0000-0000E2CB0000}"/>
    <cellStyle name="Note 7 3 3 2 2 3" xfId="11163" xr:uid="{00000000-0005-0000-0000-0000E3CB0000}"/>
    <cellStyle name="Note 7 3 3 2 2 3 2" xfId="24080" xr:uid="{00000000-0005-0000-0000-0000E4CB0000}"/>
    <cellStyle name="Note 7 3 3 2 2 3 2 2" xfId="49954" xr:uid="{00000000-0005-0000-0000-0000E5CB0000}"/>
    <cellStyle name="Note 7 3 3 2 2 3 3" xfId="37038" xr:uid="{00000000-0005-0000-0000-0000E6CB0000}"/>
    <cellStyle name="Note 7 3 3 2 2 4" xfId="17622" xr:uid="{00000000-0005-0000-0000-0000E7CB0000}"/>
    <cellStyle name="Note 7 3 3 2 2 4 2" xfId="43496" xr:uid="{00000000-0005-0000-0000-0000E8CB0000}"/>
    <cellStyle name="Note 7 3 3 2 2 5" xfId="30548" xr:uid="{00000000-0005-0000-0000-0000E9CB0000}"/>
    <cellStyle name="Note 7 3 3 2 3" xfId="6318" xr:uid="{00000000-0005-0000-0000-0000EACB0000}"/>
    <cellStyle name="Note 7 3 3 2 3 2" xfId="12777" xr:uid="{00000000-0005-0000-0000-0000EBCB0000}"/>
    <cellStyle name="Note 7 3 3 2 3 2 2" xfId="25694" xr:uid="{00000000-0005-0000-0000-0000ECCB0000}"/>
    <cellStyle name="Note 7 3 3 2 3 2 2 2" xfId="51568" xr:uid="{00000000-0005-0000-0000-0000EDCB0000}"/>
    <cellStyle name="Note 7 3 3 2 3 2 3" xfId="38652" xr:uid="{00000000-0005-0000-0000-0000EECB0000}"/>
    <cellStyle name="Note 7 3 3 2 3 3" xfId="19236" xr:uid="{00000000-0005-0000-0000-0000EFCB0000}"/>
    <cellStyle name="Note 7 3 3 2 3 3 2" xfId="45110" xr:uid="{00000000-0005-0000-0000-0000F0CB0000}"/>
    <cellStyle name="Note 7 3 3 2 3 4" xfId="32194" xr:uid="{00000000-0005-0000-0000-0000F1CB0000}"/>
    <cellStyle name="Note 7 3 3 2 4" xfId="9549" xr:uid="{00000000-0005-0000-0000-0000F2CB0000}"/>
    <cellStyle name="Note 7 3 3 2 4 2" xfId="22466" xr:uid="{00000000-0005-0000-0000-0000F3CB0000}"/>
    <cellStyle name="Note 7 3 3 2 4 2 2" xfId="48340" xr:uid="{00000000-0005-0000-0000-0000F4CB0000}"/>
    <cellStyle name="Note 7 3 3 2 4 3" xfId="35424" xr:uid="{00000000-0005-0000-0000-0000F5CB0000}"/>
    <cellStyle name="Note 7 3 3 2 5" xfId="16008" xr:uid="{00000000-0005-0000-0000-0000F6CB0000}"/>
    <cellStyle name="Note 7 3 3 2 5 2" xfId="41882" xr:uid="{00000000-0005-0000-0000-0000F7CB0000}"/>
    <cellStyle name="Note 7 3 3 2 6" xfId="28934" xr:uid="{00000000-0005-0000-0000-0000F8CB0000}"/>
    <cellStyle name="Note 7 3 3 3" xfId="3871" xr:uid="{00000000-0005-0000-0000-0000F9CB0000}"/>
    <cellStyle name="Note 7 3 3 3 2" xfId="7125" xr:uid="{00000000-0005-0000-0000-0000FACB0000}"/>
    <cellStyle name="Note 7 3 3 3 2 2" xfId="13584" xr:uid="{00000000-0005-0000-0000-0000FBCB0000}"/>
    <cellStyle name="Note 7 3 3 3 2 2 2" xfId="26501" xr:uid="{00000000-0005-0000-0000-0000FCCB0000}"/>
    <cellStyle name="Note 7 3 3 3 2 2 2 2" xfId="52375" xr:uid="{00000000-0005-0000-0000-0000FDCB0000}"/>
    <cellStyle name="Note 7 3 3 3 2 2 3" xfId="39459" xr:uid="{00000000-0005-0000-0000-0000FECB0000}"/>
    <cellStyle name="Note 7 3 3 3 2 3" xfId="20043" xr:uid="{00000000-0005-0000-0000-0000FFCB0000}"/>
    <cellStyle name="Note 7 3 3 3 2 3 2" xfId="45917" xr:uid="{00000000-0005-0000-0000-000000CC0000}"/>
    <cellStyle name="Note 7 3 3 3 2 4" xfId="33001" xr:uid="{00000000-0005-0000-0000-000001CC0000}"/>
    <cellStyle name="Note 7 3 3 3 3" xfId="10356" xr:uid="{00000000-0005-0000-0000-000002CC0000}"/>
    <cellStyle name="Note 7 3 3 3 3 2" xfId="23273" xr:uid="{00000000-0005-0000-0000-000003CC0000}"/>
    <cellStyle name="Note 7 3 3 3 3 2 2" xfId="49147" xr:uid="{00000000-0005-0000-0000-000004CC0000}"/>
    <cellStyle name="Note 7 3 3 3 3 3" xfId="36231" xr:uid="{00000000-0005-0000-0000-000005CC0000}"/>
    <cellStyle name="Note 7 3 3 3 4" xfId="16815" xr:uid="{00000000-0005-0000-0000-000006CC0000}"/>
    <cellStyle name="Note 7 3 3 3 4 2" xfId="42689" xr:uid="{00000000-0005-0000-0000-000007CC0000}"/>
    <cellStyle name="Note 7 3 3 3 5" xfId="29741" xr:uid="{00000000-0005-0000-0000-000008CC0000}"/>
    <cellStyle name="Note 7 3 3 4" xfId="5511" xr:uid="{00000000-0005-0000-0000-000009CC0000}"/>
    <cellStyle name="Note 7 3 3 4 2" xfId="11970" xr:uid="{00000000-0005-0000-0000-00000ACC0000}"/>
    <cellStyle name="Note 7 3 3 4 2 2" xfId="24887" xr:uid="{00000000-0005-0000-0000-00000BCC0000}"/>
    <cellStyle name="Note 7 3 3 4 2 2 2" xfId="50761" xr:uid="{00000000-0005-0000-0000-00000CCC0000}"/>
    <cellStyle name="Note 7 3 3 4 2 3" xfId="37845" xr:uid="{00000000-0005-0000-0000-00000DCC0000}"/>
    <cellStyle name="Note 7 3 3 4 3" xfId="18429" xr:uid="{00000000-0005-0000-0000-00000ECC0000}"/>
    <cellStyle name="Note 7 3 3 4 3 2" xfId="44303" xr:uid="{00000000-0005-0000-0000-00000FCC0000}"/>
    <cellStyle name="Note 7 3 3 4 4" xfId="31387" xr:uid="{00000000-0005-0000-0000-000010CC0000}"/>
    <cellStyle name="Note 7 3 3 5" xfId="8742" xr:uid="{00000000-0005-0000-0000-000011CC0000}"/>
    <cellStyle name="Note 7 3 3 5 2" xfId="21659" xr:uid="{00000000-0005-0000-0000-000012CC0000}"/>
    <cellStyle name="Note 7 3 3 5 2 2" xfId="47533" xr:uid="{00000000-0005-0000-0000-000013CC0000}"/>
    <cellStyle name="Note 7 3 3 5 3" xfId="34617" xr:uid="{00000000-0005-0000-0000-000014CC0000}"/>
    <cellStyle name="Note 7 3 3 6" xfId="15201" xr:uid="{00000000-0005-0000-0000-000015CC0000}"/>
    <cellStyle name="Note 7 3 3 6 2" xfId="41075" xr:uid="{00000000-0005-0000-0000-000016CC0000}"/>
    <cellStyle name="Note 7 3 3 7" xfId="28127" xr:uid="{00000000-0005-0000-0000-000017CC0000}"/>
    <cellStyle name="Note 7 3 3 8" xfId="53989" xr:uid="{00000000-0005-0000-0000-000018CC0000}"/>
    <cellStyle name="Note 7 3 4" xfId="2641" xr:uid="{00000000-0005-0000-0000-000019CC0000}"/>
    <cellStyle name="Note 7 3 4 2" xfId="4298" xr:uid="{00000000-0005-0000-0000-00001ACC0000}"/>
    <cellStyle name="Note 7 3 4 2 2" xfId="7529" xr:uid="{00000000-0005-0000-0000-00001BCC0000}"/>
    <cellStyle name="Note 7 3 4 2 2 2" xfId="13988" xr:uid="{00000000-0005-0000-0000-00001CCC0000}"/>
    <cellStyle name="Note 7 3 4 2 2 2 2" xfId="26905" xr:uid="{00000000-0005-0000-0000-00001DCC0000}"/>
    <cellStyle name="Note 7 3 4 2 2 2 2 2" xfId="52779" xr:uid="{00000000-0005-0000-0000-00001ECC0000}"/>
    <cellStyle name="Note 7 3 4 2 2 2 3" xfId="39863" xr:uid="{00000000-0005-0000-0000-00001FCC0000}"/>
    <cellStyle name="Note 7 3 4 2 2 3" xfId="20447" xr:uid="{00000000-0005-0000-0000-000020CC0000}"/>
    <cellStyle name="Note 7 3 4 2 2 3 2" xfId="46321" xr:uid="{00000000-0005-0000-0000-000021CC0000}"/>
    <cellStyle name="Note 7 3 4 2 2 4" xfId="33405" xr:uid="{00000000-0005-0000-0000-000022CC0000}"/>
    <cellStyle name="Note 7 3 4 2 3" xfId="10760" xr:uid="{00000000-0005-0000-0000-000023CC0000}"/>
    <cellStyle name="Note 7 3 4 2 3 2" xfId="23677" xr:uid="{00000000-0005-0000-0000-000024CC0000}"/>
    <cellStyle name="Note 7 3 4 2 3 2 2" xfId="49551" xr:uid="{00000000-0005-0000-0000-000025CC0000}"/>
    <cellStyle name="Note 7 3 4 2 3 3" xfId="36635" xr:uid="{00000000-0005-0000-0000-000026CC0000}"/>
    <cellStyle name="Note 7 3 4 2 4" xfId="17219" xr:uid="{00000000-0005-0000-0000-000027CC0000}"/>
    <cellStyle name="Note 7 3 4 2 4 2" xfId="43093" xr:uid="{00000000-0005-0000-0000-000028CC0000}"/>
    <cellStyle name="Note 7 3 4 2 5" xfId="30145" xr:uid="{00000000-0005-0000-0000-000029CC0000}"/>
    <cellStyle name="Note 7 3 4 3" xfId="5915" xr:uid="{00000000-0005-0000-0000-00002ACC0000}"/>
    <cellStyle name="Note 7 3 4 3 2" xfId="12374" xr:uid="{00000000-0005-0000-0000-00002BCC0000}"/>
    <cellStyle name="Note 7 3 4 3 2 2" xfId="25291" xr:uid="{00000000-0005-0000-0000-00002CCC0000}"/>
    <cellStyle name="Note 7 3 4 3 2 2 2" xfId="51165" xr:uid="{00000000-0005-0000-0000-00002DCC0000}"/>
    <cellStyle name="Note 7 3 4 3 2 3" xfId="38249" xr:uid="{00000000-0005-0000-0000-00002ECC0000}"/>
    <cellStyle name="Note 7 3 4 3 3" xfId="18833" xr:uid="{00000000-0005-0000-0000-00002FCC0000}"/>
    <cellStyle name="Note 7 3 4 3 3 2" xfId="44707" xr:uid="{00000000-0005-0000-0000-000030CC0000}"/>
    <cellStyle name="Note 7 3 4 3 4" xfId="31791" xr:uid="{00000000-0005-0000-0000-000031CC0000}"/>
    <cellStyle name="Note 7 3 4 4" xfId="9146" xr:uid="{00000000-0005-0000-0000-000032CC0000}"/>
    <cellStyle name="Note 7 3 4 4 2" xfId="22063" xr:uid="{00000000-0005-0000-0000-000033CC0000}"/>
    <cellStyle name="Note 7 3 4 4 2 2" xfId="47937" xr:uid="{00000000-0005-0000-0000-000034CC0000}"/>
    <cellStyle name="Note 7 3 4 4 3" xfId="35021" xr:uid="{00000000-0005-0000-0000-000035CC0000}"/>
    <cellStyle name="Note 7 3 4 5" xfId="15605" xr:uid="{00000000-0005-0000-0000-000036CC0000}"/>
    <cellStyle name="Note 7 3 4 5 2" xfId="41479" xr:uid="{00000000-0005-0000-0000-000037CC0000}"/>
    <cellStyle name="Note 7 3 4 6" xfId="28531" xr:uid="{00000000-0005-0000-0000-000038CC0000}"/>
    <cellStyle name="Note 7 3 5" xfId="3468" xr:uid="{00000000-0005-0000-0000-000039CC0000}"/>
    <cellStyle name="Note 7 3 5 2" xfId="6722" xr:uid="{00000000-0005-0000-0000-00003ACC0000}"/>
    <cellStyle name="Note 7 3 5 2 2" xfId="13181" xr:uid="{00000000-0005-0000-0000-00003BCC0000}"/>
    <cellStyle name="Note 7 3 5 2 2 2" xfId="26098" xr:uid="{00000000-0005-0000-0000-00003CCC0000}"/>
    <cellStyle name="Note 7 3 5 2 2 2 2" xfId="51972" xr:uid="{00000000-0005-0000-0000-00003DCC0000}"/>
    <cellStyle name="Note 7 3 5 2 2 3" xfId="39056" xr:uid="{00000000-0005-0000-0000-00003ECC0000}"/>
    <cellStyle name="Note 7 3 5 2 3" xfId="19640" xr:uid="{00000000-0005-0000-0000-00003FCC0000}"/>
    <cellStyle name="Note 7 3 5 2 3 2" xfId="45514" xr:uid="{00000000-0005-0000-0000-000040CC0000}"/>
    <cellStyle name="Note 7 3 5 2 4" xfId="32598" xr:uid="{00000000-0005-0000-0000-000041CC0000}"/>
    <cellStyle name="Note 7 3 5 3" xfId="9953" xr:uid="{00000000-0005-0000-0000-000042CC0000}"/>
    <cellStyle name="Note 7 3 5 3 2" xfId="22870" xr:uid="{00000000-0005-0000-0000-000043CC0000}"/>
    <cellStyle name="Note 7 3 5 3 2 2" xfId="48744" xr:uid="{00000000-0005-0000-0000-000044CC0000}"/>
    <cellStyle name="Note 7 3 5 3 3" xfId="35828" xr:uid="{00000000-0005-0000-0000-000045CC0000}"/>
    <cellStyle name="Note 7 3 5 4" xfId="16412" xr:uid="{00000000-0005-0000-0000-000046CC0000}"/>
    <cellStyle name="Note 7 3 5 4 2" xfId="42286" xr:uid="{00000000-0005-0000-0000-000047CC0000}"/>
    <cellStyle name="Note 7 3 5 5" xfId="29338" xr:uid="{00000000-0005-0000-0000-000048CC0000}"/>
    <cellStyle name="Note 7 3 6" xfId="5108" xr:uid="{00000000-0005-0000-0000-000049CC0000}"/>
    <cellStyle name="Note 7 3 6 2" xfId="11567" xr:uid="{00000000-0005-0000-0000-00004ACC0000}"/>
    <cellStyle name="Note 7 3 6 2 2" xfId="24484" xr:uid="{00000000-0005-0000-0000-00004BCC0000}"/>
    <cellStyle name="Note 7 3 6 2 2 2" xfId="50358" xr:uid="{00000000-0005-0000-0000-00004CCC0000}"/>
    <cellStyle name="Note 7 3 6 2 3" xfId="37442" xr:uid="{00000000-0005-0000-0000-00004DCC0000}"/>
    <cellStyle name="Note 7 3 6 3" xfId="18026" xr:uid="{00000000-0005-0000-0000-00004ECC0000}"/>
    <cellStyle name="Note 7 3 6 3 2" xfId="43900" xr:uid="{00000000-0005-0000-0000-00004FCC0000}"/>
    <cellStyle name="Note 7 3 6 4" xfId="30984" xr:uid="{00000000-0005-0000-0000-000050CC0000}"/>
    <cellStyle name="Note 7 3 7" xfId="8338" xr:uid="{00000000-0005-0000-0000-000051CC0000}"/>
    <cellStyle name="Note 7 3 7 2" xfId="21255" xr:uid="{00000000-0005-0000-0000-000052CC0000}"/>
    <cellStyle name="Note 7 3 7 2 2" xfId="47129" xr:uid="{00000000-0005-0000-0000-000053CC0000}"/>
    <cellStyle name="Note 7 3 7 3" xfId="34213" xr:uid="{00000000-0005-0000-0000-000054CC0000}"/>
    <cellStyle name="Note 7 3 8" xfId="14797" xr:uid="{00000000-0005-0000-0000-000055CC0000}"/>
    <cellStyle name="Note 7 3 8 2" xfId="40671" xr:uid="{00000000-0005-0000-0000-000056CC0000}"/>
    <cellStyle name="Note 7 3 9" xfId="27723" xr:uid="{00000000-0005-0000-0000-000057CC0000}"/>
    <cellStyle name="Note 7 4" xfId="1786" xr:uid="{00000000-0005-0000-0000-000058CC0000}"/>
    <cellStyle name="Note 7 4 2" xfId="2279" xr:uid="{00000000-0005-0000-0000-000059CC0000}"/>
    <cellStyle name="Note 7 4 2 2" xfId="3093" xr:uid="{00000000-0005-0000-0000-00005ACC0000}"/>
    <cellStyle name="Note 7 4 2 2 2" xfId="4750" xr:uid="{00000000-0005-0000-0000-00005BCC0000}"/>
    <cellStyle name="Note 7 4 2 2 2 2" xfId="7981" xr:uid="{00000000-0005-0000-0000-00005CCC0000}"/>
    <cellStyle name="Note 7 4 2 2 2 2 2" xfId="14440" xr:uid="{00000000-0005-0000-0000-00005DCC0000}"/>
    <cellStyle name="Note 7 4 2 2 2 2 2 2" xfId="27357" xr:uid="{00000000-0005-0000-0000-00005ECC0000}"/>
    <cellStyle name="Note 7 4 2 2 2 2 2 2 2" xfId="53231" xr:uid="{00000000-0005-0000-0000-00005FCC0000}"/>
    <cellStyle name="Note 7 4 2 2 2 2 2 3" xfId="40315" xr:uid="{00000000-0005-0000-0000-000060CC0000}"/>
    <cellStyle name="Note 7 4 2 2 2 2 3" xfId="20899" xr:uid="{00000000-0005-0000-0000-000061CC0000}"/>
    <cellStyle name="Note 7 4 2 2 2 2 3 2" xfId="46773" xr:uid="{00000000-0005-0000-0000-000062CC0000}"/>
    <cellStyle name="Note 7 4 2 2 2 2 4" xfId="33857" xr:uid="{00000000-0005-0000-0000-000063CC0000}"/>
    <cellStyle name="Note 7 4 2 2 2 3" xfId="11212" xr:uid="{00000000-0005-0000-0000-000064CC0000}"/>
    <cellStyle name="Note 7 4 2 2 2 3 2" xfId="24129" xr:uid="{00000000-0005-0000-0000-000065CC0000}"/>
    <cellStyle name="Note 7 4 2 2 2 3 2 2" xfId="50003" xr:uid="{00000000-0005-0000-0000-000066CC0000}"/>
    <cellStyle name="Note 7 4 2 2 2 3 3" xfId="37087" xr:uid="{00000000-0005-0000-0000-000067CC0000}"/>
    <cellStyle name="Note 7 4 2 2 2 4" xfId="17671" xr:uid="{00000000-0005-0000-0000-000068CC0000}"/>
    <cellStyle name="Note 7 4 2 2 2 4 2" xfId="43545" xr:uid="{00000000-0005-0000-0000-000069CC0000}"/>
    <cellStyle name="Note 7 4 2 2 2 5" xfId="30597" xr:uid="{00000000-0005-0000-0000-00006ACC0000}"/>
    <cellStyle name="Note 7 4 2 2 3" xfId="6367" xr:uid="{00000000-0005-0000-0000-00006BCC0000}"/>
    <cellStyle name="Note 7 4 2 2 3 2" xfId="12826" xr:uid="{00000000-0005-0000-0000-00006CCC0000}"/>
    <cellStyle name="Note 7 4 2 2 3 2 2" xfId="25743" xr:uid="{00000000-0005-0000-0000-00006DCC0000}"/>
    <cellStyle name="Note 7 4 2 2 3 2 2 2" xfId="51617" xr:uid="{00000000-0005-0000-0000-00006ECC0000}"/>
    <cellStyle name="Note 7 4 2 2 3 2 3" xfId="38701" xr:uid="{00000000-0005-0000-0000-00006FCC0000}"/>
    <cellStyle name="Note 7 4 2 2 3 3" xfId="19285" xr:uid="{00000000-0005-0000-0000-000070CC0000}"/>
    <cellStyle name="Note 7 4 2 2 3 3 2" xfId="45159" xr:uid="{00000000-0005-0000-0000-000071CC0000}"/>
    <cellStyle name="Note 7 4 2 2 3 4" xfId="32243" xr:uid="{00000000-0005-0000-0000-000072CC0000}"/>
    <cellStyle name="Note 7 4 2 2 4" xfId="9598" xr:uid="{00000000-0005-0000-0000-000073CC0000}"/>
    <cellStyle name="Note 7 4 2 2 4 2" xfId="22515" xr:uid="{00000000-0005-0000-0000-000074CC0000}"/>
    <cellStyle name="Note 7 4 2 2 4 2 2" xfId="48389" xr:uid="{00000000-0005-0000-0000-000075CC0000}"/>
    <cellStyle name="Note 7 4 2 2 4 3" xfId="35473" xr:uid="{00000000-0005-0000-0000-000076CC0000}"/>
    <cellStyle name="Note 7 4 2 2 5" xfId="16057" xr:uid="{00000000-0005-0000-0000-000077CC0000}"/>
    <cellStyle name="Note 7 4 2 2 5 2" xfId="41931" xr:uid="{00000000-0005-0000-0000-000078CC0000}"/>
    <cellStyle name="Note 7 4 2 2 6" xfId="28983" xr:uid="{00000000-0005-0000-0000-000079CC0000}"/>
    <cellStyle name="Note 7 4 2 3" xfId="3920" xr:uid="{00000000-0005-0000-0000-00007ACC0000}"/>
    <cellStyle name="Note 7 4 2 3 2" xfId="7174" xr:uid="{00000000-0005-0000-0000-00007BCC0000}"/>
    <cellStyle name="Note 7 4 2 3 2 2" xfId="13633" xr:uid="{00000000-0005-0000-0000-00007CCC0000}"/>
    <cellStyle name="Note 7 4 2 3 2 2 2" xfId="26550" xr:uid="{00000000-0005-0000-0000-00007DCC0000}"/>
    <cellStyle name="Note 7 4 2 3 2 2 2 2" xfId="52424" xr:uid="{00000000-0005-0000-0000-00007ECC0000}"/>
    <cellStyle name="Note 7 4 2 3 2 2 3" xfId="39508" xr:uid="{00000000-0005-0000-0000-00007FCC0000}"/>
    <cellStyle name="Note 7 4 2 3 2 3" xfId="20092" xr:uid="{00000000-0005-0000-0000-000080CC0000}"/>
    <cellStyle name="Note 7 4 2 3 2 3 2" xfId="45966" xr:uid="{00000000-0005-0000-0000-000081CC0000}"/>
    <cellStyle name="Note 7 4 2 3 2 4" xfId="33050" xr:uid="{00000000-0005-0000-0000-000082CC0000}"/>
    <cellStyle name="Note 7 4 2 3 3" xfId="10405" xr:uid="{00000000-0005-0000-0000-000083CC0000}"/>
    <cellStyle name="Note 7 4 2 3 3 2" xfId="23322" xr:uid="{00000000-0005-0000-0000-000084CC0000}"/>
    <cellStyle name="Note 7 4 2 3 3 2 2" xfId="49196" xr:uid="{00000000-0005-0000-0000-000085CC0000}"/>
    <cellStyle name="Note 7 4 2 3 3 3" xfId="36280" xr:uid="{00000000-0005-0000-0000-000086CC0000}"/>
    <cellStyle name="Note 7 4 2 3 4" xfId="16864" xr:uid="{00000000-0005-0000-0000-000087CC0000}"/>
    <cellStyle name="Note 7 4 2 3 4 2" xfId="42738" xr:uid="{00000000-0005-0000-0000-000088CC0000}"/>
    <cellStyle name="Note 7 4 2 3 5" xfId="29790" xr:uid="{00000000-0005-0000-0000-000089CC0000}"/>
    <cellStyle name="Note 7 4 2 4" xfId="5560" xr:uid="{00000000-0005-0000-0000-00008ACC0000}"/>
    <cellStyle name="Note 7 4 2 4 2" xfId="12019" xr:uid="{00000000-0005-0000-0000-00008BCC0000}"/>
    <cellStyle name="Note 7 4 2 4 2 2" xfId="24936" xr:uid="{00000000-0005-0000-0000-00008CCC0000}"/>
    <cellStyle name="Note 7 4 2 4 2 2 2" xfId="50810" xr:uid="{00000000-0005-0000-0000-00008DCC0000}"/>
    <cellStyle name="Note 7 4 2 4 2 3" xfId="37894" xr:uid="{00000000-0005-0000-0000-00008ECC0000}"/>
    <cellStyle name="Note 7 4 2 4 3" xfId="18478" xr:uid="{00000000-0005-0000-0000-00008FCC0000}"/>
    <cellStyle name="Note 7 4 2 4 3 2" xfId="44352" xr:uid="{00000000-0005-0000-0000-000090CC0000}"/>
    <cellStyle name="Note 7 4 2 4 4" xfId="31436" xr:uid="{00000000-0005-0000-0000-000091CC0000}"/>
    <cellStyle name="Note 7 4 2 5" xfId="8791" xr:uid="{00000000-0005-0000-0000-000092CC0000}"/>
    <cellStyle name="Note 7 4 2 5 2" xfId="21708" xr:uid="{00000000-0005-0000-0000-000093CC0000}"/>
    <cellStyle name="Note 7 4 2 5 2 2" xfId="47582" xr:uid="{00000000-0005-0000-0000-000094CC0000}"/>
    <cellStyle name="Note 7 4 2 5 3" xfId="34666" xr:uid="{00000000-0005-0000-0000-000095CC0000}"/>
    <cellStyle name="Note 7 4 2 6" xfId="15250" xr:uid="{00000000-0005-0000-0000-000096CC0000}"/>
    <cellStyle name="Note 7 4 2 6 2" xfId="41124" xr:uid="{00000000-0005-0000-0000-000097CC0000}"/>
    <cellStyle name="Note 7 4 2 7" xfId="28176" xr:uid="{00000000-0005-0000-0000-000098CC0000}"/>
    <cellStyle name="Note 7 4 2 8" xfId="54038" xr:uid="{00000000-0005-0000-0000-000099CC0000}"/>
    <cellStyle name="Note 7 4 3" xfId="2690" xr:uid="{00000000-0005-0000-0000-00009ACC0000}"/>
    <cellStyle name="Note 7 4 3 2" xfId="4347" xr:uid="{00000000-0005-0000-0000-00009BCC0000}"/>
    <cellStyle name="Note 7 4 3 2 2" xfId="7578" xr:uid="{00000000-0005-0000-0000-00009CCC0000}"/>
    <cellStyle name="Note 7 4 3 2 2 2" xfId="14037" xr:uid="{00000000-0005-0000-0000-00009DCC0000}"/>
    <cellStyle name="Note 7 4 3 2 2 2 2" xfId="26954" xr:uid="{00000000-0005-0000-0000-00009ECC0000}"/>
    <cellStyle name="Note 7 4 3 2 2 2 2 2" xfId="52828" xr:uid="{00000000-0005-0000-0000-00009FCC0000}"/>
    <cellStyle name="Note 7 4 3 2 2 2 3" xfId="39912" xr:uid="{00000000-0005-0000-0000-0000A0CC0000}"/>
    <cellStyle name="Note 7 4 3 2 2 3" xfId="20496" xr:uid="{00000000-0005-0000-0000-0000A1CC0000}"/>
    <cellStyle name="Note 7 4 3 2 2 3 2" xfId="46370" xr:uid="{00000000-0005-0000-0000-0000A2CC0000}"/>
    <cellStyle name="Note 7 4 3 2 2 4" xfId="33454" xr:uid="{00000000-0005-0000-0000-0000A3CC0000}"/>
    <cellStyle name="Note 7 4 3 2 3" xfId="10809" xr:uid="{00000000-0005-0000-0000-0000A4CC0000}"/>
    <cellStyle name="Note 7 4 3 2 3 2" xfId="23726" xr:uid="{00000000-0005-0000-0000-0000A5CC0000}"/>
    <cellStyle name="Note 7 4 3 2 3 2 2" xfId="49600" xr:uid="{00000000-0005-0000-0000-0000A6CC0000}"/>
    <cellStyle name="Note 7 4 3 2 3 3" xfId="36684" xr:uid="{00000000-0005-0000-0000-0000A7CC0000}"/>
    <cellStyle name="Note 7 4 3 2 4" xfId="17268" xr:uid="{00000000-0005-0000-0000-0000A8CC0000}"/>
    <cellStyle name="Note 7 4 3 2 4 2" xfId="43142" xr:uid="{00000000-0005-0000-0000-0000A9CC0000}"/>
    <cellStyle name="Note 7 4 3 2 5" xfId="30194" xr:uid="{00000000-0005-0000-0000-0000AACC0000}"/>
    <cellStyle name="Note 7 4 3 3" xfId="5964" xr:uid="{00000000-0005-0000-0000-0000ABCC0000}"/>
    <cellStyle name="Note 7 4 3 3 2" xfId="12423" xr:uid="{00000000-0005-0000-0000-0000ACCC0000}"/>
    <cellStyle name="Note 7 4 3 3 2 2" xfId="25340" xr:uid="{00000000-0005-0000-0000-0000ADCC0000}"/>
    <cellStyle name="Note 7 4 3 3 2 2 2" xfId="51214" xr:uid="{00000000-0005-0000-0000-0000AECC0000}"/>
    <cellStyle name="Note 7 4 3 3 2 3" xfId="38298" xr:uid="{00000000-0005-0000-0000-0000AFCC0000}"/>
    <cellStyle name="Note 7 4 3 3 3" xfId="18882" xr:uid="{00000000-0005-0000-0000-0000B0CC0000}"/>
    <cellStyle name="Note 7 4 3 3 3 2" xfId="44756" xr:uid="{00000000-0005-0000-0000-0000B1CC0000}"/>
    <cellStyle name="Note 7 4 3 3 4" xfId="31840" xr:uid="{00000000-0005-0000-0000-0000B2CC0000}"/>
    <cellStyle name="Note 7 4 3 4" xfId="9195" xr:uid="{00000000-0005-0000-0000-0000B3CC0000}"/>
    <cellStyle name="Note 7 4 3 4 2" xfId="22112" xr:uid="{00000000-0005-0000-0000-0000B4CC0000}"/>
    <cellStyle name="Note 7 4 3 4 2 2" xfId="47986" xr:uid="{00000000-0005-0000-0000-0000B5CC0000}"/>
    <cellStyle name="Note 7 4 3 4 3" xfId="35070" xr:uid="{00000000-0005-0000-0000-0000B6CC0000}"/>
    <cellStyle name="Note 7 4 3 5" xfId="15654" xr:uid="{00000000-0005-0000-0000-0000B7CC0000}"/>
    <cellStyle name="Note 7 4 3 5 2" xfId="41528" xr:uid="{00000000-0005-0000-0000-0000B8CC0000}"/>
    <cellStyle name="Note 7 4 3 6" xfId="28580" xr:uid="{00000000-0005-0000-0000-0000B9CC0000}"/>
    <cellStyle name="Note 7 4 4" xfId="3517" xr:uid="{00000000-0005-0000-0000-0000BACC0000}"/>
    <cellStyle name="Note 7 4 4 2" xfId="6771" xr:uid="{00000000-0005-0000-0000-0000BBCC0000}"/>
    <cellStyle name="Note 7 4 4 2 2" xfId="13230" xr:uid="{00000000-0005-0000-0000-0000BCCC0000}"/>
    <cellStyle name="Note 7 4 4 2 2 2" xfId="26147" xr:uid="{00000000-0005-0000-0000-0000BDCC0000}"/>
    <cellStyle name="Note 7 4 4 2 2 2 2" xfId="52021" xr:uid="{00000000-0005-0000-0000-0000BECC0000}"/>
    <cellStyle name="Note 7 4 4 2 2 3" xfId="39105" xr:uid="{00000000-0005-0000-0000-0000BFCC0000}"/>
    <cellStyle name="Note 7 4 4 2 3" xfId="19689" xr:uid="{00000000-0005-0000-0000-0000C0CC0000}"/>
    <cellStyle name="Note 7 4 4 2 3 2" xfId="45563" xr:uid="{00000000-0005-0000-0000-0000C1CC0000}"/>
    <cellStyle name="Note 7 4 4 2 4" xfId="32647" xr:uid="{00000000-0005-0000-0000-0000C2CC0000}"/>
    <cellStyle name="Note 7 4 4 3" xfId="10002" xr:uid="{00000000-0005-0000-0000-0000C3CC0000}"/>
    <cellStyle name="Note 7 4 4 3 2" xfId="22919" xr:uid="{00000000-0005-0000-0000-0000C4CC0000}"/>
    <cellStyle name="Note 7 4 4 3 2 2" xfId="48793" xr:uid="{00000000-0005-0000-0000-0000C5CC0000}"/>
    <cellStyle name="Note 7 4 4 3 3" xfId="35877" xr:uid="{00000000-0005-0000-0000-0000C6CC0000}"/>
    <cellStyle name="Note 7 4 4 4" xfId="16461" xr:uid="{00000000-0005-0000-0000-0000C7CC0000}"/>
    <cellStyle name="Note 7 4 4 4 2" xfId="42335" xr:uid="{00000000-0005-0000-0000-0000C8CC0000}"/>
    <cellStyle name="Note 7 4 4 5" xfId="29387" xr:uid="{00000000-0005-0000-0000-0000C9CC0000}"/>
    <cellStyle name="Note 7 4 5" xfId="5157" xr:uid="{00000000-0005-0000-0000-0000CACC0000}"/>
    <cellStyle name="Note 7 4 5 2" xfId="11616" xr:uid="{00000000-0005-0000-0000-0000CBCC0000}"/>
    <cellStyle name="Note 7 4 5 2 2" xfId="24533" xr:uid="{00000000-0005-0000-0000-0000CCCC0000}"/>
    <cellStyle name="Note 7 4 5 2 2 2" xfId="50407" xr:uid="{00000000-0005-0000-0000-0000CDCC0000}"/>
    <cellStyle name="Note 7 4 5 2 3" xfId="37491" xr:uid="{00000000-0005-0000-0000-0000CECC0000}"/>
    <cellStyle name="Note 7 4 5 3" xfId="18075" xr:uid="{00000000-0005-0000-0000-0000CFCC0000}"/>
    <cellStyle name="Note 7 4 5 3 2" xfId="43949" xr:uid="{00000000-0005-0000-0000-0000D0CC0000}"/>
    <cellStyle name="Note 7 4 5 4" xfId="31033" xr:uid="{00000000-0005-0000-0000-0000D1CC0000}"/>
    <cellStyle name="Note 7 4 6" xfId="8387" xr:uid="{00000000-0005-0000-0000-0000D2CC0000}"/>
    <cellStyle name="Note 7 4 6 2" xfId="21304" xr:uid="{00000000-0005-0000-0000-0000D3CC0000}"/>
    <cellStyle name="Note 7 4 6 2 2" xfId="47178" xr:uid="{00000000-0005-0000-0000-0000D4CC0000}"/>
    <cellStyle name="Note 7 4 6 3" xfId="34262" xr:uid="{00000000-0005-0000-0000-0000D5CC0000}"/>
    <cellStyle name="Note 7 4 7" xfId="14846" xr:uid="{00000000-0005-0000-0000-0000D6CC0000}"/>
    <cellStyle name="Note 7 4 7 2" xfId="40720" xr:uid="{00000000-0005-0000-0000-0000D7CC0000}"/>
    <cellStyle name="Note 7 4 8" xfId="27772" xr:uid="{00000000-0005-0000-0000-0000D8CC0000}"/>
    <cellStyle name="Note 7 4 9" xfId="53635" xr:uid="{00000000-0005-0000-0000-0000D9CC0000}"/>
    <cellStyle name="Note 7 5" xfId="2085" xr:uid="{00000000-0005-0000-0000-0000DACC0000}"/>
    <cellStyle name="Note 7 5 2" xfId="2902" xr:uid="{00000000-0005-0000-0000-0000DBCC0000}"/>
    <cellStyle name="Note 7 5 2 2" xfId="4559" xr:uid="{00000000-0005-0000-0000-0000DCCC0000}"/>
    <cellStyle name="Note 7 5 2 2 2" xfId="7790" xr:uid="{00000000-0005-0000-0000-0000DDCC0000}"/>
    <cellStyle name="Note 7 5 2 2 2 2" xfId="14249" xr:uid="{00000000-0005-0000-0000-0000DECC0000}"/>
    <cellStyle name="Note 7 5 2 2 2 2 2" xfId="27166" xr:uid="{00000000-0005-0000-0000-0000DFCC0000}"/>
    <cellStyle name="Note 7 5 2 2 2 2 2 2" xfId="53040" xr:uid="{00000000-0005-0000-0000-0000E0CC0000}"/>
    <cellStyle name="Note 7 5 2 2 2 2 3" xfId="40124" xr:uid="{00000000-0005-0000-0000-0000E1CC0000}"/>
    <cellStyle name="Note 7 5 2 2 2 3" xfId="20708" xr:uid="{00000000-0005-0000-0000-0000E2CC0000}"/>
    <cellStyle name="Note 7 5 2 2 2 3 2" xfId="46582" xr:uid="{00000000-0005-0000-0000-0000E3CC0000}"/>
    <cellStyle name="Note 7 5 2 2 2 4" xfId="33666" xr:uid="{00000000-0005-0000-0000-0000E4CC0000}"/>
    <cellStyle name="Note 7 5 2 2 3" xfId="11021" xr:uid="{00000000-0005-0000-0000-0000E5CC0000}"/>
    <cellStyle name="Note 7 5 2 2 3 2" xfId="23938" xr:uid="{00000000-0005-0000-0000-0000E6CC0000}"/>
    <cellStyle name="Note 7 5 2 2 3 2 2" xfId="49812" xr:uid="{00000000-0005-0000-0000-0000E7CC0000}"/>
    <cellStyle name="Note 7 5 2 2 3 3" xfId="36896" xr:uid="{00000000-0005-0000-0000-0000E8CC0000}"/>
    <cellStyle name="Note 7 5 2 2 4" xfId="17480" xr:uid="{00000000-0005-0000-0000-0000E9CC0000}"/>
    <cellStyle name="Note 7 5 2 2 4 2" xfId="43354" xr:uid="{00000000-0005-0000-0000-0000EACC0000}"/>
    <cellStyle name="Note 7 5 2 2 5" xfId="30406" xr:uid="{00000000-0005-0000-0000-0000EBCC0000}"/>
    <cellStyle name="Note 7 5 2 3" xfId="6176" xr:uid="{00000000-0005-0000-0000-0000ECCC0000}"/>
    <cellStyle name="Note 7 5 2 3 2" xfId="12635" xr:uid="{00000000-0005-0000-0000-0000EDCC0000}"/>
    <cellStyle name="Note 7 5 2 3 2 2" xfId="25552" xr:uid="{00000000-0005-0000-0000-0000EECC0000}"/>
    <cellStyle name="Note 7 5 2 3 2 2 2" xfId="51426" xr:uid="{00000000-0005-0000-0000-0000EFCC0000}"/>
    <cellStyle name="Note 7 5 2 3 2 3" xfId="38510" xr:uid="{00000000-0005-0000-0000-0000F0CC0000}"/>
    <cellStyle name="Note 7 5 2 3 3" xfId="19094" xr:uid="{00000000-0005-0000-0000-0000F1CC0000}"/>
    <cellStyle name="Note 7 5 2 3 3 2" xfId="44968" xr:uid="{00000000-0005-0000-0000-0000F2CC0000}"/>
    <cellStyle name="Note 7 5 2 3 4" xfId="32052" xr:uid="{00000000-0005-0000-0000-0000F3CC0000}"/>
    <cellStyle name="Note 7 5 2 4" xfId="9407" xr:uid="{00000000-0005-0000-0000-0000F4CC0000}"/>
    <cellStyle name="Note 7 5 2 4 2" xfId="22324" xr:uid="{00000000-0005-0000-0000-0000F5CC0000}"/>
    <cellStyle name="Note 7 5 2 4 2 2" xfId="48198" xr:uid="{00000000-0005-0000-0000-0000F6CC0000}"/>
    <cellStyle name="Note 7 5 2 4 3" xfId="35282" xr:uid="{00000000-0005-0000-0000-0000F7CC0000}"/>
    <cellStyle name="Note 7 5 2 5" xfId="15866" xr:uid="{00000000-0005-0000-0000-0000F8CC0000}"/>
    <cellStyle name="Note 7 5 2 5 2" xfId="41740" xr:uid="{00000000-0005-0000-0000-0000F9CC0000}"/>
    <cellStyle name="Note 7 5 2 6" xfId="28792" xr:uid="{00000000-0005-0000-0000-0000FACC0000}"/>
    <cellStyle name="Note 7 5 3" xfId="3729" xr:uid="{00000000-0005-0000-0000-0000FBCC0000}"/>
    <cellStyle name="Note 7 5 3 2" xfId="6983" xr:uid="{00000000-0005-0000-0000-0000FCCC0000}"/>
    <cellStyle name="Note 7 5 3 2 2" xfId="13442" xr:uid="{00000000-0005-0000-0000-0000FDCC0000}"/>
    <cellStyle name="Note 7 5 3 2 2 2" xfId="26359" xr:uid="{00000000-0005-0000-0000-0000FECC0000}"/>
    <cellStyle name="Note 7 5 3 2 2 2 2" xfId="52233" xr:uid="{00000000-0005-0000-0000-0000FFCC0000}"/>
    <cellStyle name="Note 7 5 3 2 2 3" xfId="39317" xr:uid="{00000000-0005-0000-0000-000000CD0000}"/>
    <cellStyle name="Note 7 5 3 2 3" xfId="19901" xr:uid="{00000000-0005-0000-0000-000001CD0000}"/>
    <cellStyle name="Note 7 5 3 2 3 2" xfId="45775" xr:uid="{00000000-0005-0000-0000-000002CD0000}"/>
    <cellStyle name="Note 7 5 3 2 4" xfId="32859" xr:uid="{00000000-0005-0000-0000-000003CD0000}"/>
    <cellStyle name="Note 7 5 3 3" xfId="10214" xr:uid="{00000000-0005-0000-0000-000004CD0000}"/>
    <cellStyle name="Note 7 5 3 3 2" xfId="23131" xr:uid="{00000000-0005-0000-0000-000005CD0000}"/>
    <cellStyle name="Note 7 5 3 3 2 2" xfId="49005" xr:uid="{00000000-0005-0000-0000-000006CD0000}"/>
    <cellStyle name="Note 7 5 3 3 3" xfId="36089" xr:uid="{00000000-0005-0000-0000-000007CD0000}"/>
    <cellStyle name="Note 7 5 3 4" xfId="16673" xr:uid="{00000000-0005-0000-0000-000008CD0000}"/>
    <cellStyle name="Note 7 5 3 4 2" xfId="42547" xr:uid="{00000000-0005-0000-0000-000009CD0000}"/>
    <cellStyle name="Note 7 5 3 5" xfId="29599" xr:uid="{00000000-0005-0000-0000-00000ACD0000}"/>
    <cellStyle name="Note 7 5 4" xfId="5369" xr:uid="{00000000-0005-0000-0000-00000BCD0000}"/>
    <cellStyle name="Note 7 5 4 2" xfId="11828" xr:uid="{00000000-0005-0000-0000-00000CCD0000}"/>
    <cellStyle name="Note 7 5 4 2 2" xfId="24745" xr:uid="{00000000-0005-0000-0000-00000DCD0000}"/>
    <cellStyle name="Note 7 5 4 2 2 2" xfId="50619" xr:uid="{00000000-0005-0000-0000-00000ECD0000}"/>
    <cellStyle name="Note 7 5 4 2 3" xfId="37703" xr:uid="{00000000-0005-0000-0000-00000FCD0000}"/>
    <cellStyle name="Note 7 5 4 3" xfId="18287" xr:uid="{00000000-0005-0000-0000-000010CD0000}"/>
    <cellStyle name="Note 7 5 4 3 2" xfId="44161" xr:uid="{00000000-0005-0000-0000-000011CD0000}"/>
    <cellStyle name="Note 7 5 4 4" xfId="31245" xr:uid="{00000000-0005-0000-0000-000012CD0000}"/>
    <cellStyle name="Note 7 5 5" xfId="8600" xr:uid="{00000000-0005-0000-0000-000013CD0000}"/>
    <cellStyle name="Note 7 5 5 2" xfId="21517" xr:uid="{00000000-0005-0000-0000-000014CD0000}"/>
    <cellStyle name="Note 7 5 5 2 2" xfId="47391" xr:uid="{00000000-0005-0000-0000-000015CD0000}"/>
    <cellStyle name="Note 7 5 5 3" xfId="34475" xr:uid="{00000000-0005-0000-0000-000016CD0000}"/>
    <cellStyle name="Note 7 5 6" xfId="15059" xr:uid="{00000000-0005-0000-0000-000017CD0000}"/>
    <cellStyle name="Note 7 5 6 2" xfId="40933" xr:uid="{00000000-0005-0000-0000-000018CD0000}"/>
    <cellStyle name="Note 7 5 7" xfId="27985" xr:uid="{00000000-0005-0000-0000-000019CD0000}"/>
    <cellStyle name="Note 7 5 8" xfId="53847" xr:uid="{00000000-0005-0000-0000-00001ACD0000}"/>
    <cellStyle name="Note 7 6" xfId="2495" xr:uid="{00000000-0005-0000-0000-00001BCD0000}"/>
    <cellStyle name="Note 7 6 2" xfId="4152" xr:uid="{00000000-0005-0000-0000-00001CCD0000}"/>
    <cellStyle name="Note 7 6 2 2" xfId="7383" xr:uid="{00000000-0005-0000-0000-00001DCD0000}"/>
    <cellStyle name="Note 7 6 2 2 2" xfId="13842" xr:uid="{00000000-0005-0000-0000-00001ECD0000}"/>
    <cellStyle name="Note 7 6 2 2 2 2" xfId="26759" xr:uid="{00000000-0005-0000-0000-00001FCD0000}"/>
    <cellStyle name="Note 7 6 2 2 2 2 2" xfId="52633" xr:uid="{00000000-0005-0000-0000-000020CD0000}"/>
    <cellStyle name="Note 7 6 2 2 2 3" xfId="39717" xr:uid="{00000000-0005-0000-0000-000021CD0000}"/>
    <cellStyle name="Note 7 6 2 2 3" xfId="20301" xr:uid="{00000000-0005-0000-0000-000022CD0000}"/>
    <cellStyle name="Note 7 6 2 2 3 2" xfId="46175" xr:uid="{00000000-0005-0000-0000-000023CD0000}"/>
    <cellStyle name="Note 7 6 2 2 4" xfId="33259" xr:uid="{00000000-0005-0000-0000-000024CD0000}"/>
    <cellStyle name="Note 7 6 2 3" xfId="10614" xr:uid="{00000000-0005-0000-0000-000025CD0000}"/>
    <cellStyle name="Note 7 6 2 3 2" xfId="23531" xr:uid="{00000000-0005-0000-0000-000026CD0000}"/>
    <cellStyle name="Note 7 6 2 3 2 2" xfId="49405" xr:uid="{00000000-0005-0000-0000-000027CD0000}"/>
    <cellStyle name="Note 7 6 2 3 3" xfId="36489" xr:uid="{00000000-0005-0000-0000-000028CD0000}"/>
    <cellStyle name="Note 7 6 2 4" xfId="17073" xr:uid="{00000000-0005-0000-0000-000029CD0000}"/>
    <cellStyle name="Note 7 6 2 4 2" xfId="42947" xr:uid="{00000000-0005-0000-0000-00002ACD0000}"/>
    <cellStyle name="Note 7 6 2 5" xfId="29999" xr:uid="{00000000-0005-0000-0000-00002BCD0000}"/>
    <cellStyle name="Note 7 6 3" xfId="5769" xr:uid="{00000000-0005-0000-0000-00002CCD0000}"/>
    <cellStyle name="Note 7 6 3 2" xfId="12228" xr:uid="{00000000-0005-0000-0000-00002DCD0000}"/>
    <cellStyle name="Note 7 6 3 2 2" xfId="25145" xr:uid="{00000000-0005-0000-0000-00002ECD0000}"/>
    <cellStyle name="Note 7 6 3 2 2 2" xfId="51019" xr:uid="{00000000-0005-0000-0000-00002FCD0000}"/>
    <cellStyle name="Note 7 6 3 2 3" xfId="38103" xr:uid="{00000000-0005-0000-0000-000030CD0000}"/>
    <cellStyle name="Note 7 6 3 3" xfId="18687" xr:uid="{00000000-0005-0000-0000-000031CD0000}"/>
    <cellStyle name="Note 7 6 3 3 2" xfId="44561" xr:uid="{00000000-0005-0000-0000-000032CD0000}"/>
    <cellStyle name="Note 7 6 3 4" xfId="31645" xr:uid="{00000000-0005-0000-0000-000033CD0000}"/>
    <cellStyle name="Note 7 6 4" xfId="9000" xr:uid="{00000000-0005-0000-0000-000034CD0000}"/>
    <cellStyle name="Note 7 6 4 2" xfId="21917" xr:uid="{00000000-0005-0000-0000-000035CD0000}"/>
    <cellStyle name="Note 7 6 4 2 2" xfId="47791" xr:uid="{00000000-0005-0000-0000-000036CD0000}"/>
    <cellStyle name="Note 7 6 4 3" xfId="34875" xr:uid="{00000000-0005-0000-0000-000037CD0000}"/>
    <cellStyle name="Note 7 6 5" xfId="15459" xr:uid="{00000000-0005-0000-0000-000038CD0000}"/>
    <cellStyle name="Note 7 6 5 2" xfId="41333" xr:uid="{00000000-0005-0000-0000-000039CD0000}"/>
    <cellStyle name="Note 7 6 6" xfId="28385" xr:uid="{00000000-0005-0000-0000-00003ACD0000}"/>
    <cellStyle name="Note 7 7" xfId="3313" xr:uid="{00000000-0005-0000-0000-00003BCD0000}"/>
    <cellStyle name="Note 7 7 2" xfId="6576" xr:uid="{00000000-0005-0000-0000-00003CCD0000}"/>
    <cellStyle name="Note 7 7 2 2" xfId="13035" xr:uid="{00000000-0005-0000-0000-00003DCD0000}"/>
    <cellStyle name="Note 7 7 2 2 2" xfId="25952" xr:uid="{00000000-0005-0000-0000-00003ECD0000}"/>
    <cellStyle name="Note 7 7 2 2 2 2" xfId="51826" xr:uid="{00000000-0005-0000-0000-00003FCD0000}"/>
    <cellStyle name="Note 7 7 2 2 3" xfId="38910" xr:uid="{00000000-0005-0000-0000-000040CD0000}"/>
    <cellStyle name="Note 7 7 2 3" xfId="19494" xr:uid="{00000000-0005-0000-0000-000041CD0000}"/>
    <cellStyle name="Note 7 7 2 3 2" xfId="45368" xr:uid="{00000000-0005-0000-0000-000042CD0000}"/>
    <cellStyle name="Note 7 7 2 4" xfId="32452" xr:uid="{00000000-0005-0000-0000-000043CD0000}"/>
    <cellStyle name="Note 7 7 3" xfId="9807" xr:uid="{00000000-0005-0000-0000-000044CD0000}"/>
    <cellStyle name="Note 7 7 3 2" xfId="22724" xr:uid="{00000000-0005-0000-0000-000045CD0000}"/>
    <cellStyle name="Note 7 7 3 2 2" xfId="48598" xr:uid="{00000000-0005-0000-0000-000046CD0000}"/>
    <cellStyle name="Note 7 7 3 3" xfId="35682" xr:uid="{00000000-0005-0000-0000-000047CD0000}"/>
    <cellStyle name="Note 7 7 4" xfId="16266" xr:uid="{00000000-0005-0000-0000-000048CD0000}"/>
    <cellStyle name="Note 7 7 4 2" xfId="42140" xr:uid="{00000000-0005-0000-0000-000049CD0000}"/>
    <cellStyle name="Note 7 7 5" xfId="29192" xr:uid="{00000000-0005-0000-0000-00004ACD0000}"/>
    <cellStyle name="Note 7 8" xfId="4962" xr:uid="{00000000-0005-0000-0000-00004BCD0000}"/>
    <cellStyle name="Note 7 8 2" xfId="11421" xr:uid="{00000000-0005-0000-0000-00004CCD0000}"/>
    <cellStyle name="Note 7 8 2 2" xfId="24338" xr:uid="{00000000-0005-0000-0000-00004DCD0000}"/>
    <cellStyle name="Note 7 8 2 2 2" xfId="50212" xr:uid="{00000000-0005-0000-0000-00004ECD0000}"/>
    <cellStyle name="Note 7 8 2 3" xfId="37296" xr:uid="{00000000-0005-0000-0000-00004FCD0000}"/>
    <cellStyle name="Note 7 8 3" xfId="17880" xr:uid="{00000000-0005-0000-0000-000050CD0000}"/>
    <cellStyle name="Note 7 8 3 2" xfId="43754" xr:uid="{00000000-0005-0000-0000-000051CD0000}"/>
    <cellStyle name="Note 7 8 4" xfId="30838" xr:uid="{00000000-0005-0000-0000-000052CD0000}"/>
    <cellStyle name="Note 7 9" xfId="8190" xr:uid="{00000000-0005-0000-0000-000053CD0000}"/>
    <cellStyle name="Note 7 9 2" xfId="21108" xr:uid="{00000000-0005-0000-0000-000054CD0000}"/>
    <cellStyle name="Note 7 9 2 2" xfId="46982" xr:uid="{00000000-0005-0000-0000-000055CD0000}"/>
    <cellStyle name="Note 7 9 3" xfId="34066" xr:uid="{00000000-0005-0000-0000-000056CD0000}"/>
    <cellStyle name="Note 8" xfId="1369" xr:uid="{00000000-0005-0000-0000-000057CD0000}"/>
    <cellStyle name="Note 8 10" xfId="14649" xr:uid="{00000000-0005-0000-0000-000058CD0000}"/>
    <cellStyle name="Note 8 10 2" xfId="40523" xr:uid="{00000000-0005-0000-0000-000059CD0000}"/>
    <cellStyle name="Note 8 11" xfId="27569" xr:uid="{00000000-0005-0000-0000-00005ACD0000}"/>
    <cellStyle name="Note 8 12" xfId="53439" xr:uid="{00000000-0005-0000-0000-00005BCD0000}"/>
    <cellStyle name="Note 8 2" xfId="1370" xr:uid="{00000000-0005-0000-0000-00005CCD0000}"/>
    <cellStyle name="Note 8 2 10" xfId="27607" xr:uid="{00000000-0005-0000-0000-00005DCD0000}"/>
    <cellStyle name="Note 8 2 11" xfId="53473" xr:uid="{00000000-0005-0000-0000-00005ECD0000}"/>
    <cellStyle name="Note 8 2 2" xfId="1748" xr:uid="{00000000-0005-0000-0000-00005FCD0000}"/>
    <cellStyle name="Note 8 2 2 10" xfId="53602" xr:uid="{00000000-0005-0000-0000-000060CD0000}"/>
    <cellStyle name="Note 8 2 2 2" xfId="2011" xr:uid="{00000000-0005-0000-0000-000061CD0000}"/>
    <cellStyle name="Note 8 2 2 2 2" xfId="2442" xr:uid="{00000000-0005-0000-0000-000062CD0000}"/>
    <cellStyle name="Note 8 2 2 2 2 2" xfId="3255" xr:uid="{00000000-0005-0000-0000-000063CD0000}"/>
    <cellStyle name="Note 8 2 2 2 2 2 2" xfId="4912" xr:uid="{00000000-0005-0000-0000-000064CD0000}"/>
    <cellStyle name="Note 8 2 2 2 2 2 2 2" xfId="8143" xr:uid="{00000000-0005-0000-0000-000065CD0000}"/>
    <cellStyle name="Note 8 2 2 2 2 2 2 2 2" xfId="14602" xr:uid="{00000000-0005-0000-0000-000066CD0000}"/>
    <cellStyle name="Note 8 2 2 2 2 2 2 2 2 2" xfId="27519" xr:uid="{00000000-0005-0000-0000-000067CD0000}"/>
    <cellStyle name="Note 8 2 2 2 2 2 2 2 2 2 2" xfId="53393" xr:uid="{00000000-0005-0000-0000-000068CD0000}"/>
    <cellStyle name="Note 8 2 2 2 2 2 2 2 2 3" xfId="40477" xr:uid="{00000000-0005-0000-0000-000069CD0000}"/>
    <cellStyle name="Note 8 2 2 2 2 2 2 2 3" xfId="21061" xr:uid="{00000000-0005-0000-0000-00006ACD0000}"/>
    <cellStyle name="Note 8 2 2 2 2 2 2 2 3 2" xfId="46935" xr:uid="{00000000-0005-0000-0000-00006BCD0000}"/>
    <cellStyle name="Note 8 2 2 2 2 2 2 2 4" xfId="34019" xr:uid="{00000000-0005-0000-0000-00006CCD0000}"/>
    <cellStyle name="Note 8 2 2 2 2 2 2 3" xfId="11374" xr:uid="{00000000-0005-0000-0000-00006DCD0000}"/>
    <cellStyle name="Note 8 2 2 2 2 2 2 3 2" xfId="24291" xr:uid="{00000000-0005-0000-0000-00006ECD0000}"/>
    <cellStyle name="Note 8 2 2 2 2 2 2 3 2 2" xfId="50165" xr:uid="{00000000-0005-0000-0000-00006FCD0000}"/>
    <cellStyle name="Note 8 2 2 2 2 2 2 3 3" xfId="37249" xr:uid="{00000000-0005-0000-0000-000070CD0000}"/>
    <cellStyle name="Note 8 2 2 2 2 2 2 4" xfId="17833" xr:uid="{00000000-0005-0000-0000-000071CD0000}"/>
    <cellStyle name="Note 8 2 2 2 2 2 2 4 2" xfId="43707" xr:uid="{00000000-0005-0000-0000-000072CD0000}"/>
    <cellStyle name="Note 8 2 2 2 2 2 2 5" xfId="30759" xr:uid="{00000000-0005-0000-0000-000073CD0000}"/>
    <cellStyle name="Note 8 2 2 2 2 2 3" xfId="6529" xr:uid="{00000000-0005-0000-0000-000074CD0000}"/>
    <cellStyle name="Note 8 2 2 2 2 2 3 2" xfId="12988" xr:uid="{00000000-0005-0000-0000-000075CD0000}"/>
    <cellStyle name="Note 8 2 2 2 2 2 3 2 2" xfId="25905" xr:uid="{00000000-0005-0000-0000-000076CD0000}"/>
    <cellStyle name="Note 8 2 2 2 2 2 3 2 2 2" xfId="51779" xr:uid="{00000000-0005-0000-0000-000077CD0000}"/>
    <cellStyle name="Note 8 2 2 2 2 2 3 2 3" xfId="38863" xr:uid="{00000000-0005-0000-0000-000078CD0000}"/>
    <cellStyle name="Note 8 2 2 2 2 2 3 3" xfId="19447" xr:uid="{00000000-0005-0000-0000-000079CD0000}"/>
    <cellStyle name="Note 8 2 2 2 2 2 3 3 2" xfId="45321" xr:uid="{00000000-0005-0000-0000-00007ACD0000}"/>
    <cellStyle name="Note 8 2 2 2 2 2 3 4" xfId="32405" xr:uid="{00000000-0005-0000-0000-00007BCD0000}"/>
    <cellStyle name="Note 8 2 2 2 2 2 4" xfId="9760" xr:uid="{00000000-0005-0000-0000-00007CCD0000}"/>
    <cellStyle name="Note 8 2 2 2 2 2 4 2" xfId="22677" xr:uid="{00000000-0005-0000-0000-00007DCD0000}"/>
    <cellStyle name="Note 8 2 2 2 2 2 4 2 2" xfId="48551" xr:uid="{00000000-0005-0000-0000-00007ECD0000}"/>
    <cellStyle name="Note 8 2 2 2 2 2 4 3" xfId="35635" xr:uid="{00000000-0005-0000-0000-00007FCD0000}"/>
    <cellStyle name="Note 8 2 2 2 2 2 5" xfId="16219" xr:uid="{00000000-0005-0000-0000-000080CD0000}"/>
    <cellStyle name="Note 8 2 2 2 2 2 5 2" xfId="42093" xr:uid="{00000000-0005-0000-0000-000081CD0000}"/>
    <cellStyle name="Note 8 2 2 2 2 2 6" xfId="29145" xr:uid="{00000000-0005-0000-0000-000082CD0000}"/>
    <cellStyle name="Note 8 2 2 2 2 3" xfId="4082" xr:uid="{00000000-0005-0000-0000-000083CD0000}"/>
    <cellStyle name="Note 8 2 2 2 2 3 2" xfId="7336" xr:uid="{00000000-0005-0000-0000-000084CD0000}"/>
    <cellStyle name="Note 8 2 2 2 2 3 2 2" xfId="13795" xr:uid="{00000000-0005-0000-0000-000085CD0000}"/>
    <cellStyle name="Note 8 2 2 2 2 3 2 2 2" xfId="26712" xr:uid="{00000000-0005-0000-0000-000086CD0000}"/>
    <cellStyle name="Note 8 2 2 2 2 3 2 2 2 2" xfId="52586" xr:uid="{00000000-0005-0000-0000-000087CD0000}"/>
    <cellStyle name="Note 8 2 2 2 2 3 2 2 3" xfId="39670" xr:uid="{00000000-0005-0000-0000-000088CD0000}"/>
    <cellStyle name="Note 8 2 2 2 2 3 2 3" xfId="20254" xr:uid="{00000000-0005-0000-0000-000089CD0000}"/>
    <cellStyle name="Note 8 2 2 2 2 3 2 3 2" xfId="46128" xr:uid="{00000000-0005-0000-0000-00008ACD0000}"/>
    <cellStyle name="Note 8 2 2 2 2 3 2 4" xfId="33212" xr:uid="{00000000-0005-0000-0000-00008BCD0000}"/>
    <cellStyle name="Note 8 2 2 2 2 3 3" xfId="10567" xr:uid="{00000000-0005-0000-0000-00008CCD0000}"/>
    <cellStyle name="Note 8 2 2 2 2 3 3 2" xfId="23484" xr:uid="{00000000-0005-0000-0000-00008DCD0000}"/>
    <cellStyle name="Note 8 2 2 2 2 3 3 2 2" xfId="49358" xr:uid="{00000000-0005-0000-0000-00008ECD0000}"/>
    <cellStyle name="Note 8 2 2 2 2 3 3 3" xfId="36442" xr:uid="{00000000-0005-0000-0000-00008FCD0000}"/>
    <cellStyle name="Note 8 2 2 2 2 3 4" xfId="17026" xr:uid="{00000000-0005-0000-0000-000090CD0000}"/>
    <cellStyle name="Note 8 2 2 2 2 3 4 2" xfId="42900" xr:uid="{00000000-0005-0000-0000-000091CD0000}"/>
    <cellStyle name="Note 8 2 2 2 2 3 5" xfId="29952" xr:uid="{00000000-0005-0000-0000-000092CD0000}"/>
    <cellStyle name="Note 8 2 2 2 2 4" xfId="5722" xr:uid="{00000000-0005-0000-0000-000093CD0000}"/>
    <cellStyle name="Note 8 2 2 2 2 4 2" xfId="12181" xr:uid="{00000000-0005-0000-0000-000094CD0000}"/>
    <cellStyle name="Note 8 2 2 2 2 4 2 2" xfId="25098" xr:uid="{00000000-0005-0000-0000-000095CD0000}"/>
    <cellStyle name="Note 8 2 2 2 2 4 2 2 2" xfId="50972" xr:uid="{00000000-0005-0000-0000-000096CD0000}"/>
    <cellStyle name="Note 8 2 2 2 2 4 2 3" xfId="38056" xr:uid="{00000000-0005-0000-0000-000097CD0000}"/>
    <cellStyle name="Note 8 2 2 2 2 4 3" xfId="18640" xr:uid="{00000000-0005-0000-0000-000098CD0000}"/>
    <cellStyle name="Note 8 2 2 2 2 4 3 2" xfId="44514" xr:uid="{00000000-0005-0000-0000-000099CD0000}"/>
    <cellStyle name="Note 8 2 2 2 2 4 4" xfId="31598" xr:uid="{00000000-0005-0000-0000-00009ACD0000}"/>
    <cellStyle name="Note 8 2 2 2 2 5" xfId="8953" xr:uid="{00000000-0005-0000-0000-00009BCD0000}"/>
    <cellStyle name="Note 8 2 2 2 2 5 2" xfId="21870" xr:uid="{00000000-0005-0000-0000-00009CCD0000}"/>
    <cellStyle name="Note 8 2 2 2 2 5 2 2" xfId="47744" xr:uid="{00000000-0005-0000-0000-00009DCD0000}"/>
    <cellStyle name="Note 8 2 2 2 2 5 3" xfId="34828" xr:uid="{00000000-0005-0000-0000-00009ECD0000}"/>
    <cellStyle name="Note 8 2 2 2 2 6" xfId="15412" xr:uid="{00000000-0005-0000-0000-00009FCD0000}"/>
    <cellStyle name="Note 8 2 2 2 2 6 2" xfId="41286" xr:uid="{00000000-0005-0000-0000-0000A0CD0000}"/>
    <cellStyle name="Note 8 2 2 2 2 7" xfId="28338" xr:uid="{00000000-0005-0000-0000-0000A1CD0000}"/>
    <cellStyle name="Note 8 2 2 2 2 8" xfId="54200" xr:uid="{00000000-0005-0000-0000-0000A2CD0000}"/>
    <cellStyle name="Note 8 2 2 2 3" xfId="2851" xr:uid="{00000000-0005-0000-0000-0000A3CD0000}"/>
    <cellStyle name="Note 8 2 2 2 3 2" xfId="4508" xr:uid="{00000000-0005-0000-0000-0000A4CD0000}"/>
    <cellStyle name="Note 8 2 2 2 3 2 2" xfId="7739" xr:uid="{00000000-0005-0000-0000-0000A5CD0000}"/>
    <cellStyle name="Note 8 2 2 2 3 2 2 2" xfId="14198" xr:uid="{00000000-0005-0000-0000-0000A6CD0000}"/>
    <cellStyle name="Note 8 2 2 2 3 2 2 2 2" xfId="27115" xr:uid="{00000000-0005-0000-0000-0000A7CD0000}"/>
    <cellStyle name="Note 8 2 2 2 3 2 2 2 2 2" xfId="52989" xr:uid="{00000000-0005-0000-0000-0000A8CD0000}"/>
    <cellStyle name="Note 8 2 2 2 3 2 2 2 3" xfId="40073" xr:uid="{00000000-0005-0000-0000-0000A9CD0000}"/>
    <cellStyle name="Note 8 2 2 2 3 2 2 3" xfId="20657" xr:uid="{00000000-0005-0000-0000-0000AACD0000}"/>
    <cellStyle name="Note 8 2 2 2 3 2 2 3 2" xfId="46531" xr:uid="{00000000-0005-0000-0000-0000ABCD0000}"/>
    <cellStyle name="Note 8 2 2 2 3 2 2 4" xfId="33615" xr:uid="{00000000-0005-0000-0000-0000ACCD0000}"/>
    <cellStyle name="Note 8 2 2 2 3 2 3" xfId="10970" xr:uid="{00000000-0005-0000-0000-0000ADCD0000}"/>
    <cellStyle name="Note 8 2 2 2 3 2 3 2" xfId="23887" xr:uid="{00000000-0005-0000-0000-0000AECD0000}"/>
    <cellStyle name="Note 8 2 2 2 3 2 3 2 2" xfId="49761" xr:uid="{00000000-0005-0000-0000-0000AFCD0000}"/>
    <cellStyle name="Note 8 2 2 2 3 2 3 3" xfId="36845" xr:uid="{00000000-0005-0000-0000-0000B0CD0000}"/>
    <cellStyle name="Note 8 2 2 2 3 2 4" xfId="17429" xr:uid="{00000000-0005-0000-0000-0000B1CD0000}"/>
    <cellStyle name="Note 8 2 2 2 3 2 4 2" xfId="43303" xr:uid="{00000000-0005-0000-0000-0000B2CD0000}"/>
    <cellStyle name="Note 8 2 2 2 3 2 5" xfId="30355" xr:uid="{00000000-0005-0000-0000-0000B3CD0000}"/>
    <cellStyle name="Note 8 2 2 2 3 3" xfId="6125" xr:uid="{00000000-0005-0000-0000-0000B4CD0000}"/>
    <cellStyle name="Note 8 2 2 2 3 3 2" xfId="12584" xr:uid="{00000000-0005-0000-0000-0000B5CD0000}"/>
    <cellStyle name="Note 8 2 2 2 3 3 2 2" xfId="25501" xr:uid="{00000000-0005-0000-0000-0000B6CD0000}"/>
    <cellStyle name="Note 8 2 2 2 3 3 2 2 2" xfId="51375" xr:uid="{00000000-0005-0000-0000-0000B7CD0000}"/>
    <cellStyle name="Note 8 2 2 2 3 3 2 3" xfId="38459" xr:uid="{00000000-0005-0000-0000-0000B8CD0000}"/>
    <cellStyle name="Note 8 2 2 2 3 3 3" xfId="19043" xr:uid="{00000000-0005-0000-0000-0000B9CD0000}"/>
    <cellStyle name="Note 8 2 2 2 3 3 3 2" xfId="44917" xr:uid="{00000000-0005-0000-0000-0000BACD0000}"/>
    <cellStyle name="Note 8 2 2 2 3 3 4" xfId="32001" xr:uid="{00000000-0005-0000-0000-0000BBCD0000}"/>
    <cellStyle name="Note 8 2 2 2 3 4" xfId="9356" xr:uid="{00000000-0005-0000-0000-0000BCCD0000}"/>
    <cellStyle name="Note 8 2 2 2 3 4 2" xfId="22273" xr:uid="{00000000-0005-0000-0000-0000BDCD0000}"/>
    <cellStyle name="Note 8 2 2 2 3 4 2 2" xfId="48147" xr:uid="{00000000-0005-0000-0000-0000BECD0000}"/>
    <cellStyle name="Note 8 2 2 2 3 4 3" xfId="35231" xr:uid="{00000000-0005-0000-0000-0000BFCD0000}"/>
    <cellStyle name="Note 8 2 2 2 3 5" xfId="15815" xr:uid="{00000000-0005-0000-0000-0000C0CD0000}"/>
    <cellStyle name="Note 8 2 2 2 3 5 2" xfId="41689" xr:uid="{00000000-0005-0000-0000-0000C1CD0000}"/>
    <cellStyle name="Note 8 2 2 2 3 6" xfId="28741" xr:uid="{00000000-0005-0000-0000-0000C2CD0000}"/>
    <cellStyle name="Note 8 2 2 2 4" xfId="3678" xr:uid="{00000000-0005-0000-0000-0000C3CD0000}"/>
    <cellStyle name="Note 8 2 2 2 4 2" xfId="6932" xr:uid="{00000000-0005-0000-0000-0000C4CD0000}"/>
    <cellStyle name="Note 8 2 2 2 4 2 2" xfId="13391" xr:uid="{00000000-0005-0000-0000-0000C5CD0000}"/>
    <cellStyle name="Note 8 2 2 2 4 2 2 2" xfId="26308" xr:uid="{00000000-0005-0000-0000-0000C6CD0000}"/>
    <cellStyle name="Note 8 2 2 2 4 2 2 2 2" xfId="52182" xr:uid="{00000000-0005-0000-0000-0000C7CD0000}"/>
    <cellStyle name="Note 8 2 2 2 4 2 2 3" xfId="39266" xr:uid="{00000000-0005-0000-0000-0000C8CD0000}"/>
    <cellStyle name="Note 8 2 2 2 4 2 3" xfId="19850" xr:uid="{00000000-0005-0000-0000-0000C9CD0000}"/>
    <cellStyle name="Note 8 2 2 2 4 2 3 2" xfId="45724" xr:uid="{00000000-0005-0000-0000-0000CACD0000}"/>
    <cellStyle name="Note 8 2 2 2 4 2 4" xfId="32808" xr:uid="{00000000-0005-0000-0000-0000CBCD0000}"/>
    <cellStyle name="Note 8 2 2 2 4 3" xfId="10163" xr:uid="{00000000-0005-0000-0000-0000CCCD0000}"/>
    <cellStyle name="Note 8 2 2 2 4 3 2" xfId="23080" xr:uid="{00000000-0005-0000-0000-0000CDCD0000}"/>
    <cellStyle name="Note 8 2 2 2 4 3 2 2" xfId="48954" xr:uid="{00000000-0005-0000-0000-0000CECD0000}"/>
    <cellStyle name="Note 8 2 2 2 4 3 3" xfId="36038" xr:uid="{00000000-0005-0000-0000-0000CFCD0000}"/>
    <cellStyle name="Note 8 2 2 2 4 4" xfId="16622" xr:uid="{00000000-0005-0000-0000-0000D0CD0000}"/>
    <cellStyle name="Note 8 2 2 2 4 4 2" xfId="42496" xr:uid="{00000000-0005-0000-0000-0000D1CD0000}"/>
    <cellStyle name="Note 8 2 2 2 4 5" xfId="29548" xr:uid="{00000000-0005-0000-0000-0000D2CD0000}"/>
    <cellStyle name="Note 8 2 2 2 5" xfId="5318" xr:uid="{00000000-0005-0000-0000-0000D3CD0000}"/>
    <cellStyle name="Note 8 2 2 2 5 2" xfId="11777" xr:uid="{00000000-0005-0000-0000-0000D4CD0000}"/>
    <cellStyle name="Note 8 2 2 2 5 2 2" xfId="24694" xr:uid="{00000000-0005-0000-0000-0000D5CD0000}"/>
    <cellStyle name="Note 8 2 2 2 5 2 2 2" xfId="50568" xr:uid="{00000000-0005-0000-0000-0000D6CD0000}"/>
    <cellStyle name="Note 8 2 2 2 5 2 3" xfId="37652" xr:uid="{00000000-0005-0000-0000-0000D7CD0000}"/>
    <cellStyle name="Note 8 2 2 2 5 3" xfId="18236" xr:uid="{00000000-0005-0000-0000-0000D8CD0000}"/>
    <cellStyle name="Note 8 2 2 2 5 3 2" xfId="44110" xr:uid="{00000000-0005-0000-0000-0000D9CD0000}"/>
    <cellStyle name="Note 8 2 2 2 5 4" xfId="31194" xr:uid="{00000000-0005-0000-0000-0000DACD0000}"/>
    <cellStyle name="Note 8 2 2 2 6" xfId="8549" xr:uid="{00000000-0005-0000-0000-0000DBCD0000}"/>
    <cellStyle name="Note 8 2 2 2 6 2" xfId="21466" xr:uid="{00000000-0005-0000-0000-0000DCCD0000}"/>
    <cellStyle name="Note 8 2 2 2 6 2 2" xfId="47340" xr:uid="{00000000-0005-0000-0000-0000DDCD0000}"/>
    <cellStyle name="Note 8 2 2 2 6 3" xfId="34424" xr:uid="{00000000-0005-0000-0000-0000DECD0000}"/>
    <cellStyle name="Note 8 2 2 2 7" xfId="15008" xr:uid="{00000000-0005-0000-0000-0000DFCD0000}"/>
    <cellStyle name="Note 8 2 2 2 7 2" xfId="40882" xr:uid="{00000000-0005-0000-0000-0000E0CD0000}"/>
    <cellStyle name="Note 8 2 2 2 8" xfId="27933" xr:uid="{00000000-0005-0000-0000-0000E1CD0000}"/>
    <cellStyle name="Note 8 2 2 2 9" xfId="53796" xr:uid="{00000000-0005-0000-0000-0000E2CD0000}"/>
    <cellStyle name="Note 8 2 2 3" xfId="2246" xr:uid="{00000000-0005-0000-0000-0000E3CD0000}"/>
    <cellStyle name="Note 8 2 2 3 2" xfId="3060" xr:uid="{00000000-0005-0000-0000-0000E4CD0000}"/>
    <cellStyle name="Note 8 2 2 3 2 2" xfId="4717" xr:uid="{00000000-0005-0000-0000-0000E5CD0000}"/>
    <cellStyle name="Note 8 2 2 3 2 2 2" xfId="7948" xr:uid="{00000000-0005-0000-0000-0000E6CD0000}"/>
    <cellStyle name="Note 8 2 2 3 2 2 2 2" xfId="14407" xr:uid="{00000000-0005-0000-0000-0000E7CD0000}"/>
    <cellStyle name="Note 8 2 2 3 2 2 2 2 2" xfId="27324" xr:uid="{00000000-0005-0000-0000-0000E8CD0000}"/>
    <cellStyle name="Note 8 2 2 3 2 2 2 2 2 2" xfId="53198" xr:uid="{00000000-0005-0000-0000-0000E9CD0000}"/>
    <cellStyle name="Note 8 2 2 3 2 2 2 2 3" xfId="40282" xr:uid="{00000000-0005-0000-0000-0000EACD0000}"/>
    <cellStyle name="Note 8 2 2 3 2 2 2 3" xfId="20866" xr:uid="{00000000-0005-0000-0000-0000EBCD0000}"/>
    <cellStyle name="Note 8 2 2 3 2 2 2 3 2" xfId="46740" xr:uid="{00000000-0005-0000-0000-0000ECCD0000}"/>
    <cellStyle name="Note 8 2 2 3 2 2 2 4" xfId="33824" xr:uid="{00000000-0005-0000-0000-0000EDCD0000}"/>
    <cellStyle name="Note 8 2 2 3 2 2 3" xfId="11179" xr:uid="{00000000-0005-0000-0000-0000EECD0000}"/>
    <cellStyle name="Note 8 2 2 3 2 2 3 2" xfId="24096" xr:uid="{00000000-0005-0000-0000-0000EFCD0000}"/>
    <cellStyle name="Note 8 2 2 3 2 2 3 2 2" xfId="49970" xr:uid="{00000000-0005-0000-0000-0000F0CD0000}"/>
    <cellStyle name="Note 8 2 2 3 2 2 3 3" xfId="37054" xr:uid="{00000000-0005-0000-0000-0000F1CD0000}"/>
    <cellStyle name="Note 8 2 2 3 2 2 4" xfId="17638" xr:uid="{00000000-0005-0000-0000-0000F2CD0000}"/>
    <cellStyle name="Note 8 2 2 3 2 2 4 2" xfId="43512" xr:uid="{00000000-0005-0000-0000-0000F3CD0000}"/>
    <cellStyle name="Note 8 2 2 3 2 2 5" xfId="30564" xr:uid="{00000000-0005-0000-0000-0000F4CD0000}"/>
    <cellStyle name="Note 8 2 2 3 2 3" xfId="6334" xr:uid="{00000000-0005-0000-0000-0000F5CD0000}"/>
    <cellStyle name="Note 8 2 2 3 2 3 2" xfId="12793" xr:uid="{00000000-0005-0000-0000-0000F6CD0000}"/>
    <cellStyle name="Note 8 2 2 3 2 3 2 2" xfId="25710" xr:uid="{00000000-0005-0000-0000-0000F7CD0000}"/>
    <cellStyle name="Note 8 2 2 3 2 3 2 2 2" xfId="51584" xr:uid="{00000000-0005-0000-0000-0000F8CD0000}"/>
    <cellStyle name="Note 8 2 2 3 2 3 2 3" xfId="38668" xr:uid="{00000000-0005-0000-0000-0000F9CD0000}"/>
    <cellStyle name="Note 8 2 2 3 2 3 3" xfId="19252" xr:uid="{00000000-0005-0000-0000-0000FACD0000}"/>
    <cellStyle name="Note 8 2 2 3 2 3 3 2" xfId="45126" xr:uid="{00000000-0005-0000-0000-0000FBCD0000}"/>
    <cellStyle name="Note 8 2 2 3 2 3 4" xfId="32210" xr:uid="{00000000-0005-0000-0000-0000FCCD0000}"/>
    <cellStyle name="Note 8 2 2 3 2 4" xfId="9565" xr:uid="{00000000-0005-0000-0000-0000FDCD0000}"/>
    <cellStyle name="Note 8 2 2 3 2 4 2" xfId="22482" xr:uid="{00000000-0005-0000-0000-0000FECD0000}"/>
    <cellStyle name="Note 8 2 2 3 2 4 2 2" xfId="48356" xr:uid="{00000000-0005-0000-0000-0000FFCD0000}"/>
    <cellStyle name="Note 8 2 2 3 2 4 3" xfId="35440" xr:uid="{00000000-0005-0000-0000-000000CE0000}"/>
    <cellStyle name="Note 8 2 2 3 2 5" xfId="16024" xr:uid="{00000000-0005-0000-0000-000001CE0000}"/>
    <cellStyle name="Note 8 2 2 3 2 5 2" xfId="41898" xr:uid="{00000000-0005-0000-0000-000002CE0000}"/>
    <cellStyle name="Note 8 2 2 3 2 6" xfId="28950" xr:uid="{00000000-0005-0000-0000-000003CE0000}"/>
    <cellStyle name="Note 8 2 2 3 3" xfId="3887" xr:uid="{00000000-0005-0000-0000-000004CE0000}"/>
    <cellStyle name="Note 8 2 2 3 3 2" xfId="7141" xr:uid="{00000000-0005-0000-0000-000005CE0000}"/>
    <cellStyle name="Note 8 2 2 3 3 2 2" xfId="13600" xr:uid="{00000000-0005-0000-0000-000006CE0000}"/>
    <cellStyle name="Note 8 2 2 3 3 2 2 2" xfId="26517" xr:uid="{00000000-0005-0000-0000-000007CE0000}"/>
    <cellStyle name="Note 8 2 2 3 3 2 2 2 2" xfId="52391" xr:uid="{00000000-0005-0000-0000-000008CE0000}"/>
    <cellStyle name="Note 8 2 2 3 3 2 2 3" xfId="39475" xr:uid="{00000000-0005-0000-0000-000009CE0000}"/>
    <cellStyle name="Note 8 2 2 3 3 2 3" xfId="20059" xr:uid="{00000000-0005-0000-0000-00000ACE0000}"/>
    <cellStyle name="Note 8 2 2 3 3 2 3 2" xfId="45933" xr:uid="{00000000-0005-0000-0000-00000BCE0000}"/>
    <cellStyle name="Note 8 2 2 3 3 2 4" xfId="33017" xr:uid="{00000000-0005-0000-0000-00000CCE0000}"/>
    <cellStyle name="Note 8 2 2 3 3 3" xfId="10372" xr:uid="{00000000-0005-0000-0000-00000DCE0000}"/>
    <cellStyle name="Note 8 2 2 3 3 3 2" xfId="23289" xr:uid="{00000000-0005-0000-0000-00000ECE0000}"/>
    <cellStyle name="Note 8 2 2 3 3 3 2 2" xfId="49163" xr:uid="{00000000-0005-0000-0000-00000FCE0000}"/>
    <cellStyle name="Note 8 2 2 3 3 3 3" xfId="36247" xr:uid="{00000000-0005-0000-0000-000010CE0000}"/>
    <cellStyle name="Note 8 2 2 3 3 4" xfId="16831" xr:uid="{00000000-0005-0000-0000-000011CE0000}"/>
    <cellStyle name="Note 8 2 2 3 3 4 2" xfId="42705" xr:uid="{00000000-0005-0000-0000-000012CE0000}"/>
    <cellStyle name="Note 8 2 2 3 3 5" xfId="29757" xr:uid="{00000000-0005-0000-0000-000013CE0000}"/>
    <cellStyle name="Note 8 2 2 3 4" xfId="5527" xr:uid="{00000000-0005-0000-0000-000014CE0000}"/>
    <cellStyle name="Note 8 2 2 3 4 2" xfId="11986" xr:uid="{00000000-0005-0000-0000-000015CE0000}"/>
    <cellStyle name="Note 8 2 2 3 4 2 2" xfId="24903" xr:uid="{00000000-0005-0000-0000-000016CE0000}"/>
    <cellStyle name="Note 8 2 2 3 4 2 2 2" xfId="50777" xr:uid="{00000000-0005-0000-0000-000017CE0000}"/>
    <cellStyle name="Note 8 2 2 3 4 2 3" xfId="37861" xr:uid="{00000000-0005-0000-0000-000018CE0000}"/>
    <cellStyle name="Note 8 2 2 3 4 3" xfId="18445" xr:uid="{00000000-0005-0000-0000-000019CE0000}"/>
    <cellStyle name="Note 8 2 2 3 4 3 2" xfId="44319" xr:uid="{00000000-0005-0000-0000-00001ACE0000}"/>
    <cellStyle name="Note 8 2 2 3 4 4" xfId="31403" xr:uid="{00000000-0005-0000-0000-00001BCE0000}"/>
    <cellStyle name="Note 8 2 2 3 5" xfId="8758" xr:uid="{00000000-0005-0000-0000-00001CCE0000}"/>
    <cellStyle name="Note 8 2 2 3 5 2" xfId="21675" xr:uid="{00000000-0005-0000-0000-00001DCE0000}"/>
    <cellStyle name="Note 8 2 2 3 5 2 2" xfId="47549" xr:uid="{00000000-0005-0000-0000-00001ECE0000}"/>
    <cellStyle name="Note 8 2 2 3 5 3" xfId="34633" xr:uid="{00000000-0005-0000-0000-00001FCE0000}"/>
    <cellStyle name="Note 8 2 2 3 6" xfId="15217" xr:uid="{00000000-0005-0000-0000-000020CE0000}"/>
    <cellStyle name="Note 8 2 2 3 6 2" xfId="41091" xr:uid="{00000000-0005-0000-0000-000021CE0000}"/>
    <cellStyle name="Note 8 2 2 3 7" xfId="28143" xr:uid="{00000000-0005-0000-0000-000022CE0000}"/>
    <cellStyle name="Note 8 2 2 3 8" xfId="54005" xr:uid="{00000000-0005-0000-0000-000023CE0000}"/>
    <cellStyle name="Note 8 2 2 4" xfId="2657" xr:uid="{00000000-0005-0000-0000-000024CE0000}"/>
    <cellStyle name="Note 8 2 2 4 2" xfId="4314" xr:uid="{00000000-0005-0000-0000-000025CE0000}"/>
    <cellStyle name="Note 8 2 2 4 2 2" xfId="7545" xr:uid="{00000000-0005-0000-0000-000026CE0000}"/>
    <cellStyle name="Note 8 2 2 4 2 2 2" xfId="14004" xr:uid="{00000000-0005-0000-0000-000027CE0000}"/>
    <cellStyle name="Note 8 2 2 4 2 2 2 2" xfId="26921" xr:uid="{00000000-0005-0000-0000-000028CE0000}"/>
    <cellStyle name="Note 8 2 2 4 2 2 2 2 2" xfId="52795" xr:uid="{00000000-0005-0000-0000-000029CE0000}"/>
    <cellStyle name="Note 8 2 2 4 2 2 2 3" xfId="39879" xr:uid="{00000000-0005-0000-0000-00002ACE0000}"/>
    <cellStyle name="Note 8 2 2 4 2 2 3" xfId="20463" xr:uid="{00000000-0005-0000-0000-00002BCE0000}"/>
    <cellStyle name="Note 8 2 2 4 2 2 3 2" xfId="46337" xr:uid="{00000000-0005-0000-0000-00002CCE0000}"/>
    <cellStyle name="Note 8 2 2 4 2 2 4" xfId="33421" xr:uid="{00000000-0005-0000-0000-00002DCE0000}"/>
    <cellStyle name="Note 8 2 2 4 2 3" xfId="10776" xr:uid="{00000000-0005-0000-0000-00002ECE0000}"/>
    <cellStyle name="Note 8 2 2 4 2 3 2" xfId="23693" xr:uid="{00000000-0005-0000-0000-00002FCE0000}"/>
    <cellStyle name="Note 8 2 2 4 2 3 2 2" xfId="49567" xr:uid="{00000000-0005-0000-0000-000030CE0000}"/>
    <cellStyle name="Note 8 2 2 4 2 3 3" xfId="36651" xr:uid="{00000000-0005-0000-0000-000031CE0000}"/>
    <cellStyle name="Note 8 2 2 4 2 4" xfId="17235" xr:uid="{00000000-0005-0000-0000-000032CE0000}"/>
    <cellStyle name="Note 8 2 2 4 2 4 2" xfId="43109" xr:uid="{00000000-0005-0000-0000-000033CE0000}"/>
    <cellStyle name="Note 8 2 2 4 2 5" xfId="30161" xr:uid="{00000000-0005-0000-0000-000034CE0000}"/>
    <cellStyle name="Note 8 2 2 4 3" xfId="5931" xr:uid="{00000000-0005-0000-0000-000035CE0000}"/>
    <cellStyle name="Note 8 2 2 4 3 2" xfId="12390" xr:uid="{00000000-0005-0000-0000-000036CE0000}"/>
    <cellStyle name="Note 8 2 2 4 3 2 2" xfId="25307" xr:uid="{00000000-0005-0000-0000-000037CE0000}"/>
    <cellStyle name="Note 8 2 2 4 3 2 2 2" xfId="51181" xr:uid="{00000000-0005-0000-0000-000038CE0000}"/>
    <cellStyle name="Note 8 2 2 4 3 2 3" xfId="38265" xr:uid="{00000000-0005-0000-0000-000039CE0000}"/>
    <cellStyle name="Note 8 2 2 4 3 3" xfId="18849" xr:uid="{00000000-0005-0000-0000-00003ACE0000}"/>
    <cellStyle name="Note 8 2 2 4 3 3 2" xfId="44723" xr:uid="{00000000-0005-0000-0000-00003BCE0000}"/>
    <cellStyle name="Note 8 2 2 4 3 4" xfId="31807" xr:uid="{00000000-0005-0000-0000-00003CCE0000}"/>
    <cellStyle name="Note 8 2 2 4 4" xfId="9162" xr:uid="{00000000-0005-0000-0000-00003DCE0000}"/>
    <cellStyle name="Note 8 2 2 4 4 2" xfId="22079" xr:uid="{00000000-0005-0000-0000-00003ECE0000}"/>
    <cellStyle name="Note 8 2 2 4 4 2 2" xfId="47953" xr:uid="{00000000-0005-0000-0000-00003FCE0000}"/>
    <cellStyle name="Note 8 2 2 4 4 3" xfId="35037" xr:uid="{00000000-0005-0000-0000-000040CE0000}"/>
    <cellStyle name="Note 8 2 2 4 5" xfId="15621" xr:uid="{00000000-0005-0000-0000-000041CE0000}"/>
    <cellStyle name="Note 8 2 2 4 5 2" xfId="41495" xr:uid="{00000000-0005-0000-0000-000042CE0000}"/>
    <cellStyle name="Note 8 2 2 4 6" xfId="28547" xr:uid="{00000000-0005-0000-0000-000043CE0000}"/>
    <cellStyle name="Note 8 2 2 5" xfId="3484" xr:uid="{00000000-0005-0000-0000-000044CE0000}"/>
    <cellStyle name="Note 8 2 2 5 2" xfId="6738" xr:uid="{00000000-0005-0000-0000-000045CE0000}"/>
    <cellStyle name="Note 8 2 2 5 2 2" xfId="13197" xr:uid="{00000000-0005-0000-0000-000046CE0000}"/>
    <cellStyle name="Note 8 2 2 5 2 2 2" xfId="26114" xr:uid="{00000000-0005-0000-0000-000047CE0000}"/>
    <cellStyle name="Note 8 2 2 5 2 2 2 2" xfId="51988" xr:uid="{00000000-0005-0000-0000-000048CE0000}"/>
    <cellStyle name="Note 8 2 2 5 2 2 3" xfId="39072" xr:uid="{00000000-0005-0000-0000-000049CE0000}"/>
    <cellStyle name="Note 8 2 2 5 2 3" xfId="19656" xr:uid="{00000000-0005-0000-0000-00004ACE0000}"/>
    <cellStyle name="Note 8 2 2 5 2 3 2" xfId="45530" xr:uid="{00000000-0005-0000-0000-00004BCE0000}"/>
    <cellStyle name="Note 8 2 2 5 2 4" xfId="32614" xr:uid="{00000000-0005-0000-0000-00004CCE0000}"/>
    <cellStyle name="Note 8 2 2 5 3" xfId="9969" xr:uid="{00000000-0005-0000-0000-00004DCE0000}"/>
    <cellStyle name="Note 8 2 2 5 3 2" xfId="22886" xr:uid="{00000000-0005-0000-0000-00004ECE0000}"/>
    <cellStyle name="Note 8 2 2 5 3 2 2" xfId="48760" xr:uid="{00000000-0005-0000-0000-00004FCE0000}"/>
    <cellStyle name="Note 8 2 2 5 3 3" xfId="35844" xr:uid="{00000000-0005-0000-0000-000050CE0000}"/>
    <cellStyle name="Note 8 2 2 5 4" xfId="16428" xr:uid="{00000000-0005-0000-0000-000051CE0000}"/>
    <cellStyle name="Note 8 2 2 5 4 2" xfId="42302" xr:uid="{00000000-0005-0000-0000-000052CE0000}"/>
    <cellStyle name="Note 8 2 2 5 5" xfId="29354" xr:uid="{00000000-0005-0000-0000-000053CE0000}"/>
    <cellStyle name="Note 8 2 2 6" xfId="5124" xr:uid="{00000000-0005-0000-0000-000054CE0000}"/>
    <cellStyle name="Note 8 2 2 6 2" xfId="11583" xr:uid="{00000000-0005-0000-0000-000055CE0000}"/>
    <cellStyle name="Note 8 2 2 6 2 2" xfId="24500" xr:uid="{00000000-0005-0000-0000-000056CE0000}"/>
    <cellStyle name="Note 8 2 2 6 2 2 2" xfId="50374" xr:uid="{00000000-0005-0000-0000-000057CE0000}"/>
    <cellStyle name="Note 8 2 2 6 2 3" xfId="37458" xr:uid="{00000000-0005-0000-0000-000058CE0000}"/>
    <cellStyle name="Note 8 2 2 6 3" xfId="18042" xr:uid="{00000000-0005-0000-0000-000059CE0000}"/>
    <cellStyle name="Note 8 2 2 6 3 2" xfId="43916" xr:uid="{00000000-0005-0000-0000-00005ACE0000}"/>
    <cellStyle name="Note 8 2 2 6 4" xfId="31000" xr:uid="{00000000-0005-0000-0000-00005BCE0000}"/>
    <cellStyle name="Note 8 2 2 7" xfId="8354" xr:uid="{00000000-0005-0000-0000-00005CCE0000}"/>
    <cellStyle name="Note 8 2 2 7 2" xfId="21271" xr:uid="{00000000-0005-0000-0000-00005DCE0000}"/>
    <cellStyle name="Note 8 2 2 7 2 2" xfId="47145" xr:uid="{00000000-0005-0000-0000-00005ECE0000}"/>
    <cellStyle name="Note 8 2 2 7 3" xfId="34229" xr:uid="{00000000-0005-0000-0000-00005FCE0000}"/>
    <cellStyle name="Note 8 2 2 8" xfId="14813" xr:uid="{00000000-0005-0000-0000-000060CE0000}"/>
    <cellStyle name="Note 8 2 2 8 2" xfId="40687" xr:uid="{00000000-0005-0000-0000-000061CE0000}"/>
    <cellStyle name="Note 8 2 2 9" xfId="27739" xr:uid="{00000000-0005-0000-0000-000062CE0000}"/>
    <cellStyle name="Note 8 2 3" xfId="1872" xr:uid="{00000000-0005-0000-0000-000063CE0000}"/>
    <cellStyle name="Note 8 2 3 2" xfId="2312" xr:uid="{00000000-0005-0000-0000-000064CE0000}"/>
    <cellStyle name="Note 8 2 3 2 2" xfId="3126" xr:uid="{00000000-0005-0000-0000-000065CE0000}"/>
    <cellStyle name="Note 8 2 3 2 2 2" xfId="4783" xr:uid="{00000000-0005-0000-0000-000066CE0000}"/>
    <cellStyle name="Note 8 2 3 2 2 2 2" xfId="8014" xr:uid="{00000000-0005-0000-0000-000067CE0000}"/>
    <cellStyle name="Note 8 2 3 2 2 2 2 2" xfId="14473" xr:uid="{00000000-0005-0000-0000-000068CE0000}"/>
    <cellStyle name="Note 8 2 3 2 2 2 2 2 2" xfId="27390" xr:uid="{00000000-0005-0000-0000-000069CE0000}"/>
    <cellStyle name="Note 8 2 3 2 2 2 2 2 2 2" xfId="53264" xr:uid="{00000000-0005-0000-0000-00006ACE0000}"/>
    <cellStyle name="Note 8 2 3 2 2 2 2 2 3" xfId="40348" xr:uid="{00000000-0005-0000-0000-00006BCE0000}"/>
    <cellStyle name="Note 8 2 3 2 2 2 2 3" xfId="20932" xr:uid="{00000000-0005-0000-0000-00006CCE0000}"/>
    <cellStyle name="Note 8 2 3 2 2 2 2 3 2" xfId="46806" xr:uid="{00000000-0005-0000-0000-00006DCE0000}"/>
    <cellStyle name="Note 8 2 3 2 2 2 2 4" xfId="33890" xr:uid="{00000000-0005-0000-0000-00006ECE0000}"/>
    <cellStyle name="Note 8 2 3 2 2 2 3" xfId="11245" xr:uid="{00000000-0005-0000-0000-00006FCE0000}"/>
    <cellStyle name="Note 8 2 3 2 2 2 3 2" xfId="24162" xr:uid="{00000000-0005-0000-0000-000070CE0000}"/>
    <cellStyle name="Note 8 2 3 2 2 2 3 2 2" xfId="50036" xr:uid="{00000000-0005-0000-0000-000071CE0000}"/>
    <cellStyle name="Note 8 2 3 2 2 2 3 3" xfId="37120" xr:uid="{00000000-0005-0000-0000-000072CE0000}"/>
    <cellStyle name="Note 8 2 3 2 2 2 4" xfId="17704" xr:uid="{00000000-0005-0000-0000-000073CE0000}"/>
    <cellStyle name="Note 8 2 3 2 2 2 4 2" xfId="43578" xr:uid="{00000000-0005-0000-0000-000074CE0000}"/>
    <cellStyle name="Note 8 2 3 2 2 2 5" xfId="30630" xr:uid="{00000000-0005-0000-0000-000075CE0000}"/>
    <cellStyle name="Note 8 2 3 2 2 3" xfId="6400" xr:uid="{00000000-0005-0000-0000-000076CE0000}"/>
    <cellStyle name="Note 8 2 3 2 2 3 2" xfId="12859" xr:uid="{00000000-0005-0000-0000-000077CE0000}"/>
    <cellStyle name="Note 8 2 3 2 2 3 2 2" xfId="25776" xr:uid="{00000000-0005-0000-0000-000078CE0000}"/>
    <cellStyle name="Note 8 2 3 2 2 3 2 2 2" xfId="51650" xr:uid="{00000000-0005-0000-0000-000079CE0000}"/>
    <cellStyle name="Note 8 2 3 2 2 3 2 3" xfId="38734" xr:uid="{00000000-0005-0000-0000-00007ACE0000}"/>
    <cellStyle name="Note 8 2 3 2 2 3 3" xfId="19318" xr:uid="{00000000-0005-0000-0000-00007BCE0000}"/>
    <cellStyle name="Note 8 2 3 2 2 3 3 2" xfId="45192" xr:uid="{00000000-0005-0000-0000-00007CCE0000}"/>
    <cellStyle name="Note 8 2 3 2 2 3 4" xfId="32276" xr:uid="{00000000-0005-0000-0000-00007DCE0000}"/>
    <cellStyle name="Note 8 2 3 2 2 4" xfId="9631" xr:uid="{00000000-0005-0000-0000-00007ECE0000}"/>
    <cellStyle name="Note 8 2 3 2 2 4 2" xfId="22548" xr:uid="{00000000-0005-0000-0000-00007FCE0000}"/>
    <cellStyle name="Note 8 2 3 2 2 4 2 2" xfId="48422" xr:uid="{00000000-0005-0000-0000-000080CE0000}"/>
    <cellStyle name="Note 8 2 3 2 2 4 3" xfId="35506" xr:uid="{00000000-0005-0000-0000-000081CE0000}"/>
    <cellStyle name="Note 8 2 3 2 2 5" xfId="16090" xr:uid="{00000000-0005-0000-0000-000082CE0000}"/>
    <cellStyle name="Note 8 2 3 2 2 5 2" xfId="41964" xr:uid="{00000000-0005-0000-0000-000083CE0000}"/>
    <cellStyle name="Note 8 2 3 2 2 6" xfId="29016" xr:uid="{00000000-0005-0000-0000-000084CE0000}"/>
    <cellStyle name="Note 8 2 3 2 3" xfId="3953" xr:uid="{00000000-0005-0000-0000-000085CE0000}"/>
    <cellStyle name="Note 8 2 3 2 3 2" xfId="7207" xr:uid="{00000000-0005-0000-0000-000086CE0000}"/>
    <cellStyle name="Note 8 2 3 2 3 2 2" xfId="13666" xr:uid="{00000000-0005-0000-0000-000087CE0000}"/>
    <cellStyle name="Note 8 2 3 2 3 2 2 2" xfId="26583" xr:uid="{00000000-0005-0000-0000-000088CE0000}"/>
    <cellStyle name="Note 8 2 3 2 3 2 2 2 2" xfId="52457" xr:uid="{00000000-0005-0000-0000-000089CE0000}"/>
    <cellStyle name="Note 8 2 3 2 3 2 2 3" xfId="39541" xr:uid="{00000000-0005-0000-0000-00008ACE0000}"/>
    <cellStyle name="Note 8 2 3 2 3 2 3" xfId="20125" xr:uid="{00000000-0005-0000-0000-00008BCE0000}"/>
    <cellStyle name="Note 8 2 3 2 3 2 3 2" xfId="45999" xr:uid="{00000000-0005-0000-0000-00008CCE0000}"/>
    <cellStyle name="Note 8 2 3 2 3 2 4" xfId="33083" xr:uid="{00000000-0005-0000-0000-00008DCE0000}"/>
    <cellStyle name="Note 8 2 3 2 3 3" xfId="10438" xr:uid="{00000000-0005-0000-0000-00008ECE0000}"/>
    <cellStyle name="Note 8 2 3 2 3 3 2" xfId="23355" xr:uid="{00000000-0005-0000-0000-00008FCE0000}"/>
    <cellStyle name="Note 8 2 3 2 3 3 2 2" xfId="49229" xr:uid="{00000000-0005-0000-0000-000090CE0000}"/>
    <cellStyle name="Note 8 2 3 2 3 3 3" xfId="36313" xr:uid="{00000000-0005-0000-0000-000091CE0000}"/>
    <cellStyle name="Note 8 2 3 2 3 4" xfId="16897" xr:uid="{00000000-0005-0000-0000-000092CE0000}"/>
    <cellStyle name="Note 8 2 3 2 3 4 2" xfId="42771" xr:uid="{00000000-0005-0000-0000-000093CE0000}"/>
    <cellStyle name="Note 8 2 3 2 3 5" xfId="29823" xr:uid="{00000000-0005-0000-0000-000094CE0000}"/>
    <cellStyle name="Note 8 2 3 2 4" xfId="5593" xr:uid="{00000000-0005-0000-0000-000095CE0000}"/>
    <cellStyle name="Note 8 2 3 2 4 2" xfId="12052" xr:uid="{00000000-0005-0000-0000-000096CE0000}"/>
    <cellStyle name="Note 8 2 3 2 4 2 2" xfId="24969" xr:uid="{00000000-0005-0000-0000-000097CE0000}"/>
    <cellStyle name="Note 8 2 3 2 4 2 2 2" xfId="50843" xr:uid="{00000000-0005-0000-0000-000098CE0000}"/>
    <cellStyle name="Note 8 2 3 2 4 2 3" xfId="37927" xr:uid="{00000000-0005-0000-0000-000099CE0000}"/>
    <cellStyle name="Note 8 2 3 2 4 3" xfId="18511" xr:uid="{00000000-0005-0000-0000-00009ACE0000}"/>
    <cellStyle name="Note 8 2 3 2 4 3 2" xfId="44385" xr:uid="{00000000-0005-0000-0000-00009BCE0000}"/>
    <cellStyle name="Note 8 2 3 2 4 4" xfId="31469" xr:uid="{00000000-0005-0000-0000-00009CCE0000}"/>
    <cellStyle name="Note 8 2 3 2 5" xfId="8824" xr:uid="{00000000-0005-0000-0000-00009DCE0000}"/>
    <cellStyle name="Note 8 2 3 2 5 2" xfId="21741" xr:uid="{00000000-0005-0000-0000-00009ECE0000}"/>
    <cellStyle name="Note 8 2 3 2 5 2 2" xfId="47615" xr:uid="{00000000-0005-0000-0000-00009FCE0000}"/>
    <cellStyle name="Note 8 2 3 2 5 3" xfId="34699" xr:uid="{00000000-0005-0000-0000-0000A0CE0000}"/>
    <cellStyle name="Note 8 2 3 2 6" xfId="15283" xr:uid="{00000000-0005-0000-0000-0000A1CE0000}"/>
    <cellStyle name="Note 8 2 3 2 6 2" xfId="41157" xr:uid="{00000000-0005-0000-0000-0000A2CE0000}"/>
    <cellStyle name="Note 8 2 3 2 7" xfId="28209" xr:uid="{00000000-0005-0000-0000-0000A3CE0000}"/>
    <cellStyle name="Note 8 2 3 2 8" xfId="54071" xr:uid="{00000000-0005-0000-0000-0000A4CE0000}"/>
    <cellStyle name="Note 8 2 3 3" xfId="2722" xr:uid="{00000000-0005-0000-0000-0000A5CE0000}"/>
    <cellStyle name="Note 8 2 3 3 2" xfId="4379" xr:uid="{00000000-0005-0000-0000-0000A6CE0000}"/>
    <cellStyle name="Note 8 2 3 3 2 2" xfId="7610" xr:uid="{00000000-0005-0000-0000-0000A7CE0000}"/>
    <cellStyle name="Note 8 2 3 3 2 2 2" xfId="14069" xr:uid="{00000000-0005-0000-0000-0000A8CE0000}"/>
    <cellStyle name="Note 8 2 3 3 2 2 2 2" xfId="26986" xr:uid="{00000000-0005-0000-0000-0000A9CE0000}"/>
    <cellStyle name="Note 8 2 3 3 2 2 2 2 2" xfId="52860" xr:uid="{00000000-0005-0000-0000-0000AACE0000}"/>
    <cellStyle name="Note 8 2 3 3 2 2 2 3" xfId="39944" xr:uid="{00000000-0005-0000-0000-0000ABCE0000}"/>
    <cellStyle name="Note 8 2 3 3 2 2 3" xfId="20528" xr:uid="{00000000-0005-0000-0000-0000ACCE0000}"/>
    <cellStyle name="Note 8 2 3 3 2 2 3 2" xfId="46402" xr:uid="{00000000-0005-0000-0000-0000ADCE0000}"/>
    <cellStyle name="Note 8 2 3 3 2 2 4" xfId="33486" xr:uid="{00000000-0005-0000-0000-0000AECE0000}"/>
    <cellStyle name="Note 8 2 3 3 2 3" xfId="10841" xr:uid="{00000000-0005-0000-0000-0000AFCE0000}"/>
    <cellStyle name="Note 8 2 3 3 2 3 2" xfId="23758" xr:uid="{00000000-0005-0000-0000-0000B0CE0000}"/>
    <cellStyle name="Note 8 2 3 3 2 3 2 2" xfId="49632" xr:uid="{00000000-0005-0000-0000-0000B1CE0000}"/>
    <cellStyle name="Note 8 2 3 3 2 3 3" xfId="36716" xr:uid="{00000000-0005-0000-0000-0000B2CE0000}"/>
    <cellStyle name="Note 8 2 3 3 2 4" xfId="17300" xr:uid="{00000000-0005-0000-0000-0000B3CE0000}"/>
    <cellStyle name="Note 8 2 3 3 2 4 2" xfId="43174" xr:uid="{00000000-0005-0000-0000-0000B4CE0000}"/>
    <cellStyle name="Note 8 2 3 3 2 5" xfId="30226" xr:uid="{00000000-0005-0000-0000-0000B5CE0000}"/>
    <cellStyle name="Note 8 2 3 3 3" xfId="5996" xr:uid="{00000000-0005-0000-0000-0000B6CE0000}"/>
    <cellStyle name="Note 8 2 3 3 3 2" xfId="12455" xr:uid="{00000000-0005-0000-0000-0000B7CE0000}"/>
    <cellStyle name="Note 8 2 3 3 3 2 2" xfId="25372" xr:uid="{00000000-0005-0000-0000-0000B8CE0000}"/>
    <cellStyle name="Note 8 2 3 3 3 2 2 2" xfId="51246" xr:uid="{00000000-0005-0000-0000-0000B9CE0000}"/>
    <cellStyle name="Note 8 2 3 3 3 2 3" xfId="38330" xr:uid="{00000000-0005-0000-0000-0000BACE0000}"/>
    <cellStyle name="Note 8 2 3 3 3 3" xfId="18914" xr:uid="{00000000-0005-0000-0000-0000BBCE0000}"/>
    <cellStyle name="Note 8 2 3 3 3 3 2" xfId="44788" xr:uid="{00000000-0005-0000-0000-0000BCCE0000}"/>
    <cellStyle name="Note 8 2 3 3 3 4" xfId="31872" xr:uid="{00000000-0005-0000-0000-0000BDCE0000}"/>
    <cellStyle name="Note 8 2 3 3 4" xfId="9227" xr:uid="{00000000-0005-0000-0000-0000BECE0000}"/>
    <cellStyle name="Note 8 2 3 3 4 2" xfId="22144" xr:uid="{00000000-0005-0000-0000-0000BFCE0000}"/>
    <cellStyle name="Note 8 2 3 3 4 2 2" xfId="48018" xr:uid="{00000000-0005-0000-0000-0000C0CE0000}"/>
    <cellStyle name="Note 8 2 3 3 4 3" xfId="35102" xr:uid="{00000000-0005-0000-0000-0000C1CE0000}"/>
    <cellStyle name="Note 8 2 3 3 5" xfId="15686" xr:uid="{00000000-0005-0000-0000-0000C2CE0000}"/>
    <cellStyle name="Note 8 2 3 3 5 2" xfId="41560" xr:uid="{00000000-0005-0000-0000-0000C3CE0000}"/>
    <cellStyle name="Note 8 2 3 3 6" xfId="28612" xr:uid="{00000000-0005-0000-0000-0000C4CE0000}"/>
    <cellStyle name="Note 8 2 3 4" xfId="3549" xr:uid="{00000000-0005-0000-0000-0000C5CE0000}"/>
    <cellStyle name="Note 8 2 3 4 2" xfId="6803" xr:uid="{00000000-0005-0000-0000-0000C6CE0000}"/>
    <cellStyle name="Note 8 2 3 4 2 2" xfId="13262" xr:uid="{00000000-0005-0000-0000-0000C7CE0000}"/>
    <cellStyle name="Note 8 2 3 4 2 2 2" xfId="26179" xr:uid="{00000000-0005-0000-0000-0000C8CE0000}"/>
    <cellStyle name="Note 8 2 3 4 2 2 2 2" xfId="52053" xr:uid="{00000000-0005-0000-0000-0000C9CE0000}"/>
    <cellStyle name="Note 8 2 3 4 2 2 3" xfId="39137" xr:uid="{00000000-0005-0000-0000-0000CACE0000}"/>
    <cellStyle name="Note 8 2 3 4 2 3" xfId="19721" xr:uid="{00000000-0005-0000-0000-0000CBCE0000}"/>
    <cellStyle name="Note 8 2 3 4 2 3 2" xfId="45595" xr:uid="{00000000-0005-0000-0000-0000CCCE0000}"/>
    <cellStyle name="Note 8 2 3 4 2 4" xfId="32679" xr:uid="{00000000-0005-0000-0000-0000CDCE0000}"/>
    <cellStyle name="Note 8 2 3 4 3" xfId="10034" xr:uid="{00000000-0005-0000-0000-0000CECE0000}"/>
    <cellStyle name="Note 8 2 3 4 3 2" xfId="22951" xr:uid="{00000000-0005-0000-0000-0000CFCE0000}"/>
    <cellStyle name="Note 8 2 3 4 3 2 2" xfId="48825" xr:uid="{00000000-0005-0000-0000-0000D0CE0000}"/>
    <cellStyle name="Note 8 2 3 4 3 3" xfId="35909" xr:uid="{00000000-0005-0000-0000-0000D1CE0000}"/>
    <cellStyle name="Note 8 2 3 4 4" xfId="16493" xr:uid="{00000000-0005-0000-0000-0000D2CE0000}"/>
    <cellStyle name="Note 8 2 3 4 4 2" xfId="42367" xr:uid="{00000000-0005-0000-0000-0000D3CE0000}"/>
    <cellStyle name="Note 8 2 3 4 5" xfId="29419" xr:uid="{00000000-0005-0000-0000-0000D4CE0000}"/>
    <cellStyle name="Note 8 2 3 5" xfId="5189" xr:uid="{00000000-0005-0000-0000-0000D5CE0000}"/>
    <cellStyle name="Note 8 2 3 5 2" xfId="11648" xr:uid="{00000000-0005-0000-0000-0000D6CE0000}"/>
    <cellStyle name="Note 8 2 3 5 2 2" xfId="24565" xr:uid="{00000000-0005-0000-0000-0000D7CE0000}"/>
    <cellStyle name="Note 8 2 3 5 2 2 2" xfId="50439" xr:uid="{00000000-0005-0000-0000-0000D8CE0000}"/>
    <cellStyle name="Note 8 2 3 5 2 3" xfId="37523" xr:uid="{00000000-0005-0000-0000-0000D9CE0000}"/>
    <cellStyle name="Note 8 2 3 5 3" xfId="18107" xr:uid="{00000000-0005-0000-0000-0000DACE0000}"/>
    <cellStyle name="Note 8 2 3 5 3 2" xfId="43981" xr:uid="{00000000-0005-0000-0000-0000DBCE0000}"/>
    <cellStyle name="Note 8 2 3 5 4" xfId="31065" xr:uid="{00000000-0005-0000-0000-0000DCCE0000}"/>
    <cellStyle name="Note 8 2 3 6" xfId="8420" xr:uid="{00000000-0005-0000-0000-0000DDCE0000}"/>
    <cellStyle name="Note 8 2 3 6 2" xfId="21337" xr:uid="{00000000-0005-0000-0000-0000DECE0000}"/>
    <cellStyle name="Note 8 2 3 6 2 2" xfId="47211" xr:uid="{00000000-0005-0000-0000-0000DFCE0000}"/>
    <cellStyle name="Note 8 2 3 6 3" xfId="34295" xr:uid="{00000000-0005-0000-0000-0000E0CE0000}"/>
    <cellStyle name="Note 8 2 3 7" xfId="14879" xr:uid="{00000000-0005-0000-0000-0000E1CE0000}"/>
    <cellStyle name="Note 8 2 3 7 2" xfId="40753" xr:uid="{00000000-0005-0000-0000-0000E2CE0000}"/>
    <cellStyle name="Note 8 2 3 8" xfId="27804" xr:uid="{00000000-0005-0000-0000-0000E3CE0000}"/>
    <cellStyle name="Note 8 2 3 9" xfId="53667" xr:uid="{00000000-0005-0000-0000-0000E4CE0000}"/>
    <cellStyle name="Note 8 2 4" xfId="2115" xr:uid="{00000000-0005-0000-0000-0000E5CE0000}"/>
    <cellStyle name="Note 8 2 4 2" xfId="2931" xr:uid="{00000000-0005-0000-0000-0000E6CE0000}"/>
    <cellStyle name="Note 8 2 4 2 2" xfId="4588" xr:uid="{00000000-0005-0000-0000-0000E7CE0000}"/>
    <cellStyle name="Note 8 2 4 2 2 2" xfId="7819" xr:uid="{00000000-0005-0000-0000-0000E8CE0000}"/>
    <cellStyle name="Note 8 2 4 2 2 2 2" xfId="14278" xr:uid="{00000000-0005-0000-0000-0000E9CE0000}"/>
    <cellStyle name="Note 8 2 4 2 2 2 2 2" xfId="27195" xr:uid="{00000000-0005-0000-0000-0000EACE0000}"/>
    <cellStyle name="Note 8 2 4 2 2 2 2 2 2" xfId="53069" xr:uid="{00000000-0005-0000-0000-0000EBCE0000}"/>
    <cellStyle name="Note 8 2 4 2 2 2 2 3" xfId="40153" xr:uid="{00000000-0005-0000-0000-0000ECCE0000}"/>
    <cellStyle name="Note 8 2 4 2 2 2 3" xfId="20737" xr:uid="{00000000-0005-0000-0000-0000EDCE0000}"/>
    <cellStyle name="Note 8 2 4 2 2 2 3 2" xfId="46611" xr:uid="{00000000-0005-0000-0000-0000EECE0000}"/>
    <cellStyle name="Note 8 2 4 2 2 2 4" xfId="33695" xr:uid="{00000000-0005-0000-0000-0000EFCE0000}"/>
    <cellStyle name="Note 8 2 4 2 2 3" xfId="11050" xr:uid="{00000000-0005-0000-0000-0000F0CE0000}"/>
    <cellStyle name="Note 8 2 4 2 2 3 2" xfId="23967" xr:uid="{00000000-0005-0000-0000-0000F1CE0000}"/>
    <cellStyle name="Note 8 2 4 2 2 3 2 2" xfId="49841" xr:uid="{00000000-0005-0000-0000-0000F2CE0000}"/>
    <cellStyle name="Note 8 2 4 2 2 3 3" xfId="36925" xr:uid="{00000000-0005-0000-0000-0000F3CE0000}"/>
    <cellStyle name="Note 8 2 4 2 2 4" xfId="17509" xr:uid="{00000000-0005-0000-0000-0000F4CE0000}"/>
    <cellStyle name="Note 8 2 4 2 2 4 2" xfId="43383" xr:uid="{00000000-0005-0000-0000-0000F5CE0000}"/>
    <cellStyle name="Note 8 2 4 2 2 5" xfId="30435" xr:uid="{00000000-0005-0000-0000-0000F6CE0000}"/>
    <cellStyle name="Note 8 2 4 2 3" xfId="6205" xr:uid="{00000000-0005-0000-0000-0000F7CE0000}"/>
    <cellStyle name="Note 8 2 4 2 3 2" xfId="12664" xr:uid="{00000000-0005-0000-0000-0000F8CE0000}"/>
    <cellStyle name="Note 8 2 4 2 3 2 2" xfId="25581" xr:uid="{00000000-0005-0000-0000-0000F9CE0000}"/>
    <cellStyle name="Note 8 2 4 2 3 2 2 2" xfId="51455" xr:uid="{00000000-0005-0000-0000-0000FACE0000}"/>
    <cellStyle name="Note 8 2 4 2 3 2 3" xfId="38539" xr:uid="{00000000-0005-0000-0000-0000FBCE0000}"/>
    <cellStyle name="Note 8 2 4 2 3 3" xfId="19123" xr:uid="{00000000-0005-0000-0000-0000FCCE0000}"/>
    <cellStyle name="Note 8 2 4 2 3 3 2" xfId="44997" xr:uid="{00000000-0005-0000-0000-0000FDCE0000}"/>
    <cellStyle name="Note 8 2 4 2 3 4" xfId="32081" xr:uid="{00000000-0005-0000-0000-0000FECE0000}"/>
    <cellStyle name="Note 8 2 4 2 4" xfId="9436" xr:uid="{00000000-0005-0000-0000-0000FFCE0000}"/>
    <cellStyle name="Note 8 2 4 2 4 2" xfId="22353" xr:uid="{00000000-0005-0000-0000-000000CF0000}"/>
    <cellStyle name="Note 8 2 4 2 4 2 2" xfId="48227" xr:uid="{00000000-0005-0000-0000-000001CF0000}"/>
    <cellStyle name="Note 8 2 4 2 4 3" xfId="35311" xr:uid="{00000000-0005-0000-0000-000002CF0000}"/>
    <cellStyle name="Note 8 2 4 2 5" xfId="15895" xr:uid="{00000000-0005-0000-0000-000003CF0000}"/>
    <cellStyle name="Note 8 2 4 2 5 2" xfId="41769" xr:uid="{00000000-0005-0000-0000-000004CF0000}"/>
    <cellStyle name="Note 8 2 4 2 6" xfId="28821" xr:uid="{00000000-0005-0000-0000-000005CF0000}"/>
    <cellStyle name="Note 8 2 4 3" xfId="3758" xr:uid="{00000000-0005-0000-0000-000006CF0000}"/>
    <cellStyle name="Note 8 2 4 3 2" xfId="7012" xr:uid="{00000000-0005-0000-0000-000007CF0000}"/>
    <cellStyle name="Note 8 2 4 3 2 2" xfId="13471" xr:uid="{00000000-0005-0000-0000-000008CF0000}"/>
    <cellStyle name="Note 8 2 4 3 2 2 2" xfId="26388" xr:uid="{00000000-0005-0000-0000-000009CF0000}"/>
    <cellStyle name="Note 8 2 4 3 2 2 2 2" xfId="52262" xr:uid="{00000000-0005-0000-0000-00000ACF0000}"/>
    <cellStyle name="Note 8 2 4 3 2 2 3" xfId="39346" xr:uid="{00000000-0005-0000-0000-00000BCF0000}"/>
    <cellStyle name="Note 8 2 4 3 2 3" xfId="19930" xr:uid="{00000000-0005-0000-0000-00000CCF0000}"/>
    <cellStyle name="Note 8 2 4 3 2 3 2" xfId="45804" xr:uid="{00000000-0005-0000-0000-00000DCF0000}"/>
    <cellStyle name="Note 8 2 4 3 2 4" xfId="32888" xr:uid="{00000000-0005-0000-0000-00000ECF0000}"/>
    <cellStyle name="Note 8 2 4 3 3" xfId="10243" xr:uid="{00000000-0005-0000-0000-00000FCF0000}"/>
    <cellStyle name="Note 8 2 4 3 3 2" xfId="23160" xr:uid="{00000000-0005-0000-0000-000010CF0000}"/>
    <cellStyle name="Note 8 2 4 3 3 2 2" xfId="49034" xr:uid="{00000000-0005-0000-0000-000011CF0000}"/>
    <cellStyle name="Note 8 2 4 3 3 3" xfId="36118" xr:uid="{00000000-0005-0000-0000-000012CF0000}"/>
    <cellStyle name="Note 8 2 4 3 4" xfId="16702" xr:uid="{00000000-0005-0000-0000-000013CF0000}"/>
    <cellStyle name="Note 8 2 4 3 4 2" xfId="42576" xr:uid="{00000000-0005-0000-0000-000014CF0000}"/>
    <cellStyle name="Note 8 2 4 3 5" xfId="29628" xr:uid="{00000000-0005-0000-0000-000015CF0000}"/>
    <cellStyle name="Note 8 2 4 4" xfId="5398" xr:uid="{00000000-0005-0000-0000-000016CF0000}"/>
    <cellStyle name="Note 8 2 4 4 2" xfId="11857" xr:uid="{00000000-0005-0000-0000-000017CF0000}"/>
    <cellStyle name="Note 8 2 4 4 2 2" xfId="24774" xr:uid="{00000000-0005-0000-0000-000018CF0000}"/>
    <cellStyle name="Note 8 2 4 4 2 2 2" xfId="50648" xr:uid="{00000000-0005-0000-0000-000019CF0000}"/>
    <cellStyle name="Note 8 2 4 4 2 3" xfId="37732" xr:uid="{00000000-0005-0000-0000-00001ACF0000}"/>
    <cellStyle name="Note 8 2 4 4 3" xfId="18316" xr:uid="{00000000-0005-0000-0000-00001BCF0000}"/>
    <cellStyle name="Note 8 2 4 4 3 2" xfId="44190" xr:uid="{00000000-0005-0000-0000-00001CCF0000}"/>
    <cellStyle name="Note 8 2 4 4 4" xfId="31274" xr:uid="{00000000-0005-0000-0000-00001DCF0000}"/>
    <cellStyle name="Note 8 2 4 5" xfId="8629" xr:uid="{00000000-0005-0000-0000-00001ECF0000}"/>
    <cellStyle name="Note 8 2 4 5 2" xfId="21546" xr:uid="{00000000-0005-0000-0000-00001FCF0000}"/>
    <cellStyle name="Note 8 2 4 5 2 2" xfId="47420" xr:uid="{00000000-0005-0000-0000-000020CF0000}"/>
    <cellStyle name="Note 8 2 4 5 3" xfId="34504" xr:uid="{00000000-0005-0000-0000-000021CF0000}"/>
    <cellStyle name="Note 8 2 4 6" xfId="15088" xr:uid="{00000000-0005-0000-0000-000022CF0000}"/>
    <cellStyle name="Note 8 2 4 6 2" xfId="40962" xr:uid="{00000000-0005-0000-0000-000023CF0000}"/>
    <cellStyle name="Note 8 2 4 7" xfId="28014" xr:uid="{00000000-0005-0000-0000-000024CF0000}"/>
    <cellStyle name="Note 8 2 4 8" xfId="53876" xr:uid="{00000000-0005-0000-0000-000025CF0000}"/>
    <cellStyle name="Note 8 2 5" xfId="2528" xr:uid="{00000000-0005-0000-0000-000026CF0000}"/>
    <cellStyle name="Note 8 2 5 2" xfId="4185" xr:uid="{00000000-0005-0000-0000-000027CF0000}"/>
    <cellStyle name="Note 8 2 5 2 2" xfId="7416" xr:uid="{00000000-0005-0000-0000-000028CF0000}"/>
    <cellStyle name="Note 8 2 5 2 2 2" xfId="13875" xr:uid="{00000000-0005-0000-0000-000029CF0000}"/>
    <cellStyle name="Note 8 2 5 2 2 2 2" xfId="26792" xr:uid="{00000000-0005-0000-0000-00002ACF0000}"/>
    <cellStyle name="Note 8 2 5 2 2 2 2 2" xfId="52666" xr:uid="{00000000-0005-0000-0000-00002BCF0000}"/>
    <cellStyle name="Note 8 2 5 2 2 2 3" xfId="39750" xr:uid="{00000000-0005-0000-0000-00002CCF0000}"/>
    <cellStyle name="Note 8 2 5 2 2 3" xfId="20334" xr:uid="{00000000-0005-0000-0000-00002DCF0000}"/>
    <cellStyle name="Note 8 2 5 2 2 3 2" xfId="46208" xr:uid="{00000000-0005-0000-0000-00002ECF0000}"/>
    <cellStyle name="Note 8 2 5 2 2 4" xfId="33292" xr:uid="{00000000-0005-0000-0000-00002FCF0000}"/>
    <cellStyle name="Note 8 2 5 2 3" xfId="10647" xr:uid="{00000000-0005-0000-0000-000030CF0000}"/>
    <cellStyle name="Note 8 2 5 2 3 2" xfId="23564" xr:uid="{00000000-0005-0000-0000-000031CF0000}"/>
    <cellStyle name="Note 8 2 5 2 3 2 2" xfId="49438" xr:uid="{00000000-0005-0000-0000-000032CF0000}"/>
    <cellStyle name="Note 8 2 5 2 3 3" xfId="36522" xr:uid="{00000000-0005-0000-0000-000033CF0000}"/>
    <cellStyle name="Note 8 2 5 2 4" xfId="17106" xr:uid="{00000000-0005-0000-0000-000034CF0000}"/>
    <cellStyle name="Note 8 2 5 2 4 2" xfId="42980" xr:uid="{00000000-0005-0000-0000-000035CF0000}"/>
    <cellStyle name="Note 8 2 5 2 5" xfId="30032" xr:uid="{00000000-0005-0000-0000-000036CF0000}"/>
    <cellStyle name="Note 8 2 5 3" xfId="5802" xr:uid="{00000000-0005-0000-0000-000037CF0000}"/>
    <cellStyle name="Note 8 2 5 3 2" xfId="12261" xr:uid="{00000000-0005-0000-0000-000038CF0000}"/>
    <cellStyle name="Note 8 2 5 3 2 2" xfId="25178" xr:uid="{00000000-0005-0000-0000-000039CF0000}"/>
    <cellStyle name="Note 8 2 5 3 2 2 2" xfId="51052" xr:uid="{00000000-0005-0000-0000-00003ACF0000}"/>
    <cellStyle name="Note 8 2 5 3 2 3" xfId="38136" xr:uid="{00000000-0005-0000-0000-00003BCF0000}"/>
    <cellStyle name="Note 8 2 5 3 3" xfId="18720" xr:uid="{00000000-0005-0000-0000-00003CCF0000}"/>
    <cellStyle name="Note 8 2 5 3 3 2" xfId="44594" xr:uid="{00000000-0005-0000-0000-00003DCF0000}"/>
    <cellStyle name="Note 8 2 5 3 4" xfId="31678" xr:uid="{00000000-0005-0000-0000-00003ECF0000}"/>
    <cellStyle name="Note 8 2 5 4" xfId="9033" xr:uid="{00000000-0005-0000-0000-00003FCF0000}"/>
    <cellStyle name="Note 8 2 5 4 2" xfId="21950" xr:uid="{00000000-0005-0000-0000-000040CF0000}"/>
    <cellStyle name="Note 8 2 5 4 2 2" xfId="47824" xr:uid="{00000000-0005-0000-0000-000041CF0000}"/>
    <cellStyle name="Note 8 2 5 4 3" xfId="34908" xr:uid="{00000000-0005-0000-0000-000042CF0000}"/>
    <cellStyle name="Note 8 2 5 5" xfId="15492" xr:uid="{00000000-0005-0000-0000-000043CF0000}"/>
    <cellStyle name="Note 8 2 5 5 2" xfId="41366" xr:uid="{00000000-0005-0000-0000-000044CF0000}"/>
    <cellStyle name="Note 8 2 5 6" xfId="28418" xr:uid="{00000000-0005-0000-0000-000045CF0000}"/>
    <cellStyle name="Note 8 2 6" xfId="3348" xr:uid="{00000000-0005-0000-0000-000046CF0000}"/>
    <cellStyle name="Note 8 2 6 2" xfId="6609" xr:uid="{00000000-0005-0000-0000-000047CF0000}"/>
    <cellStyle name="Note 8 2 6 2 2" xfId="13068" xr:uid="{00000000-0005-0000-0000-000048CF0000}"/>
    <cellStyle name="Note 8 2 6 2 2 2" xfId="25985" xr:uid="{00000000-0005-0000-0000-000049CF0000}"/>
    <cellStyle name="Note 8 2 6 2 2 2 2" xfId="51859" xr:uid="{00000000-0005-0000-0000-00004ACF0000}"/>
    <cellStyle name="Note 8 2 6 2 2 3" xfId="38943" xr:uid="{00000000-0005-0000-0000-00004BCF0000}"/>
    <cellStyle name="Note 8 2 6 2 3" xfId="19527" xr:uid="{00000000-0005-0000-0000-00004CCF0000}"/>
    <cellStyle name="Note 8 2 6 2 3 2" xfId="45401" xr:uid="{00000000-0005-0000-0000-00004DCF0000}"/>
    <cellStyle name="Note 8 2 6 2 4" xfId="32485" xr:uid="{00000000-0005-0000-0000-00004ECF0000}"/>
    <cellStyle name="Note 8 2 6 3" xfId="9840" xr:uid="{00000000-0005-0000-0000-00004FCF0000}"/>
    <cellStyle name="Note 8 2 6 3 2" xfId="22757" xr:uid="{00000000-0005-0000-0000-000050CF0000}"/>
    <cellStyle name="Note 8 2 6 3 2 2" xfId="48631" xr:uid="{00000000-0005-0000-0000-000051CF0000}"/>
    <cellStyle name="Note 8 2 6 3 3" xfId="35715" xr:uid="{00000000-0005-0000-0000-000052CF0000}"/>
    <cellStyle name="Note 8 2 6 4" xfId="16299" xr:uid="{00000000-0005-0000-0000-000053CF0000}"/>
    <cellStyle name="Note 8 2 6 4 2" xfId="42173" xr:uid="{00000000-0005-0000-0000-000054CF0000}"/>
    <cellStyle name="Note 8 2 6 5" xfId="29225" xr:uid="{00000000-0005-0000-0000-000055CF0000}"/>
    <cellStyle name="Note 8 2 7" xfId="4995" xr:uid="{00000000-0005-0000-0000-000056CF0000}"/>
    <cellStyle name="Note 8 2 7 2" xfId="11454" xr:uid="{00000000-0005-0000-0000-000057CF0000}"/>
    <cellStyle name="Note 8 2 7 2 2" xfId="24371" xr:uid="{00000000-0005-0000-0000-000058CF0000}"/>
    <cellStyle name="Note 8 2 7 2 2 2" xfId="50245" xr:uid="{00000000-0005-0000-0000-000059CF0000}"/>
    <cellStyle name="Note 8 2 7 2 3" xfId="37329" xr:uid="{00000000-0005-0000-0000-00005ACF0000}"/>
    <cellStyle name="Note 8 2 7 3" xfId="17913" xr:uid="{00000000-0005-0000-0000-00005BCF0000}"/>
    <cellStyle name="Note 8 2 7 3 2" xfId="43787" xr:uid="{00000000-0005-0000-0000-00005CCF0000}"/>
    <cellStyle name="Note 8 2 7 4" xfId="30871" xr:uid="{00000000-0005-0000-0000-00005DCF0000}"/>
    <cellStyle name="Note 8 2 8" xfId="8226" xr:uid="{00000000-0005-0000-0000-00005ECF0000}"/>
    <cellStyle name="Note 8 2 8 2" xfId="21143" xr:uid="{00000000-0005-0000-0000-00005FCF0000}"/>
    <cellStyle name="Note 8 2 8 2 2" xfId="47017" xr:uid="{00000000-0005-0000-0000-000060CF0000}"/>
    <cellStyle name="Note 8 2 8 3" xfId="34101" xr:uid="{00000000-0005-0000-0000-000061CF0000}"/>
    <cellStyle name="Note 8 2 9" xfId="14685" xr:uid="{00000000-0005-0000-0000-000062CF0000}"/>
    <cellStyle name="Note 8 2 9 2" xfId="40559" xr:uid="{00000000-0005-0000-0000-000063CF0000}"/>
    <cellStyle name="Note 8 3" xfId="1724" xr:uid="{00000000-0005-0000-0000-000064CF0000}"/>
    <cellStyle name="Note 8 3 10" xfId="53585" xr:uid="{00000000-0005-0000-0000-000065CF0000}"/>
    <cellStyle name="Note 8 3 2" xfId="1994" xr:uid="{00000000-0005-0000-0000-000066CF0000}"/>
    <cellStyle name="Note 8 3 2 2" xfId="2425" xr:uid="{00000000-0005-0000-0000-000067CF0000}"/>
    <cellStyle name="Note 8 3 2 2 2" xfId="3238" xr:uid="{00000000-0005-0000-0000-000068CF0000}"/>
    <cellStyle name="Note 8 3 2 2 2 2" xfId="4895" xr:uid="{00000000-0005-0000-0000-000069CF0000}"/>
    <cellStyle name="Note 8 3 2 2 2 2 2" xfId="8126" xr:uid="{00000000-0005-0000-0000-00006ACF0000}"/>
    <cellStyle name="Note 8 3 2 2 2 2 2 2" xfId="14585" xr:uid="{00000000-0005-0000-0000-00006BCF0000}"/>
    <cellStyle name="Note 8 3 2 2 2 2 2 2 2" xfId="27502" xr:uid="{00000000-0005-0000-0000-00006CCF0000}"/>
    <cellStyle name="Note 8 3 2 2 2 2 2 2 2 2" xfId="53376" xr:uid="{00000000-0005-0000-0000-00006DCF0000}"/>
    <cellStyle name="Note 8 3 2 2 2 2 2 2 3" xfId="40460" xr:uid="{00000000-0005-0000-0000-00006ECF0000}"/>
    <cellStyle name="Note 8 3 2 2 2 2 2 3" xfId="21044" xr:uid="{00000000-0005-0000-0000-00006FCF0000}"/>
    <cellStyle name="Note 8 3 2 2 2 2 2 3 2" xfId="46918" xr:uid="{00000000-0005-0000-0000-000070CF0000}"/>
    <cellStyle name="Note 8 3 2 2 2 2 2 4" xfId="34002" xr:uid="{00000000-0005-0000-0000-000071CF0000}"/>
    <cellStyle name="Note 8 3 2 2 2 2 3" xfId="11357" xr:uid="{00000000-0005-0000-0000-000072CF0000}"/>
    <cellStyle name="Note 8 3 2 2 2 2 3 2" xfId="24274" xr:uid="{00000000-0005-0000-0000-000073CF0000}"/>
    <cellStyle name="Note 8 3 2 2 2 2 3 2 2" xfId="50148" xr:uid="{00000000-0005-0000-0000-000074CF0000}"/>
    <cellStyle name="Note 8 3 2 2 2 2 3 3" xfId="37232" xr:uid="{00000000-0005-0000-0000-000075CF0000}"/>
    <cellStyle name="Note 8 3 2 2 2 2 4" xfId="17816" xr:uid="{00000000-0005-0000-0000-000076CF0000}"/>
    <cellStyle name="Note 8 3 2 2 2 2 4 2" xfId="43690" xr:uid="{00000000-0005-0000-0000-000077CF0000}"/>
    <cellStyle name="Note 8 3 2 2 2 2 5" xfId="30742" xr:uid="{00000000-0005-0000-0000-000078CF0000}"/>
    <cellStyle name="Note 8 3 2 2 2 3" xfId="6512" xr:uid="{00000000-0005-0000-0000-000079CF0000}"/>
    <cellStyle name="Note 8 3 2 2 2 3 2" xfId="12971" xr:uid="{00000000-0005-0000-0000-00007ACF0000}"/>
    <cellStyle name="Note 8 3 2 2 2 3 2 2" xfId="25888" xr:uid="{00000000-0005-0000-0000-00007BCF0000}"/>
    <cellStyle name="Note 8 3 2 2 2 3 2 2 2" xfId="51762" xr:uid="{00000000-0005-0000-0000-00007CCF0000}"/>
    <cellStyle name="Note 8 3 2 2 2 3 2 3" xfId="38846" xr:uid="{00000000-0005-0000-0000-00007DCF0000}"/>
    <cellStyle name="Note 8 3 2 2 2 3 3" xfId="19430" xr:uid="{00000000-0005-0000-0000-00007ECF0000}"/>
    <cellStyle name="Note 8 3 2 2 2 3 3 2" xfId="45304" xr:uid="{00000000-0005-0000-0000-00007FCF0000}"/>
    <cellStyle name="Note 8 3 2 2 2 3 4" xfId="32388" xr:uid="{00000000-0005-0000-0000-000080CF0000}"/>
    <cellStyle name="Note 8 3 2 2 2 4" xfId="9743" xr:uid="{00000000-0005-0000-0000-000081CF0000}"/>
    <cellStyle name="Note 8 3 2 2 2 4 2" xfId="22660" xr:uid="{00000000-0005-0000-0000-000082CF0000}"/>
    <cellStyle name="Note 8 3 2 2 2 4 2 2" xfId="48534" xr:uid="{00000000-0005-0000-0000-000083CF0000}"/>
    <cellStyle name="Note 8 3 2 2 2 4 3" xfId="35618" xr:uid="{00000000-0005-0000-0000-000084CF0000}"/>
    <cellStyle name="Note 8 3 2 2 2 5" xfId="16202" xr:uid="{00000000-0005-0000-0000-000085CF0000}"/>
    <cellStyle name="Note 8 3 2 2 2 5 2" xfId="42076" xr:uid="{00000000-0005-0000-0000-000086CF0000}"/>
    <cellStyle name="Note 8 3 2 2 2 6" xfId="29128" xr:uid="{00000000-0005-0000-0000-000087CF0000}"/>
    <cellStyle name="Note 8 3 2 2 3" xfId="4065" xr:uid="{00000000-0005-0000-0000-000088CF0000}"/>
    <cellStyle name="Note 8 3 2 2 3 2" xfId="7319" xr:uid="{00000000-0005-0000-0000-000089CF0000}"/>
    <cellStyle name="Note 8 3 2 2 3 2 2" xfId="13778" xr:uid="{00000000-0005-0000-0000-00008ACF0000}"/>
    <cellStyle name="Note 8 3 2 2 3 2 2 2" xfId="26695" xr:uid="{00000000-0005-0000-0000-00008BCF0000}"/>
    <cellStyle name="Note 8 3 2 2 3 2 2 2 2" xfId="52569" xr:uid="{00000000-0005-0000-0000-00008CCF0000}"/>
    <cellStyle name="Note 8 3 2 2 3 2 2 3" xfId="39653" xr:uid="{00000000-0005-0000-0000-00008DCF0000}"/>
    <cellStyle name="Note 8 3 2 2 3 2 3" xfId="20237" xr:uid="{00000000-0005-0000-0000-00008ECF0000}"/>
    <cellStyle name="Note 8 3 2 2 3 2 3 2" xfId="46111" xr:uid="{00000000-0005-0000-0000-00008FCF0000}"/>
    <cellStyle name="Note 8 3 2 2 3 2 4" xfId="33195" xr:uid="{00000000-0005-0000-0000-000090CF0000}"/>
    <cellStyle name="Note 8 3 2 2 3 3" xfId="10550" xr:uid="{00000000-0005-0000-0000-000091CF0000}"/>
    <cellStyle name="Note 8 3 2 2 3 3 2" xfId="23467" xr:uid="{00000000-0005-0000-0000-000092CF0000}"/>
    <cellStyle name="Note 8 3 2 2 3 3 2 2" xfId="49341" xr:uid="{00000000-0005-0000-0000-000093CF0000}"/>
    <cellStyle name="Note 8 3 2 2 3 3 3" xfId="36425" xr:uid="{00000000-0005-0000-0000-000094CF0000}"/>
    <cellStyle name="Note 8 3 2 2 3 4" xfId="17009" xr:uid="{00000000-0005-0000-0000-000095CF0000}"/>
    <cellStyle name="Note 8 3 2 2 3 4 2" xfId="42883" xr:uid="{00000000-0005-0000-0000-000096CF0000}"/>
    <cellStyle name="Note 8 3 2 2 3 5" xfId="29935" xr:uid="{00000000-0005-0000-0000-000097CF0000}"/>
    <cellStyle name="Note 8 3 2 2 4" xfId="5705" xr:uid="{00000000-0005-0000-0000-000098CF0000}"/>
    <cellStyle name="Note 8 3 2 2 4 2" xfId="12164" xr:uid="{00000000-0005-0000-0000-000099CF0000}"/>
    <cellStyle name="Note 8 3 2 2 4 2 2" xfId="25081" xr:uid="{00000000-0005-0000-0000-00009ACF0000}"/>
    <cellStyle name="Note 8 3 2 2 4 2 2 2" xfId="50955" xr:uid="{00000000-0005-0000-0000-00009BCF0000}"/>
    <cellStyle name="Note 8 3 2 2 4 2 3" xfId="38039" xr:uid="{00000000-0005-0000-0000-00009CCF0000}"/>
    <cellStyle name="Note 8 3 2 2 4 3" xfId="18623" xr:uid="{00000000-0005-0000-0000-00009DCF0000}"/>
    <cellStyle name="Note 8 3 2 2 4 3 2" xfId="44497" xr:uid="{00000000-0005-0000-0000-00009ECF0000}"/>
    <cellStyle name="Note 8 3 2 2 4 4" xfId="31581" xr:uid="{00000000-0005-0000-0000-00009FCF0000}"/>
    <cellStyle name="Note 8 3 2 2 5" xfId="8936" xr:uid="{00000000-0005-0000-0000-0000A0CF0000}"/>
    <cellStyle name="Note 8 3 2 2 5 2" xfId="21853" xr:uid="{00000000-0005-0000-0000-0000A1CF0000}"/>
    <cellStyle name="Note 8 3 2 2 5 2 2" xfId="47727" xr:uid="{00000000-0005-0000-0000-0000A2CF0000}"/>
    <cellStyle name="Note 8 3 2 2 5 3" xfId="34811" xr:uid="{00000000-0005-0000-0000-0000A3CF0000}"/>
    <cellStyle name="Note 8 3 2 2 6" xfId="15395" xr:uid="{00000000-0005-0000-0000-0000A4CF0000}"/>
    <cellStyle name="Note 8 3 2 2 6 2" xfId="41269" xr:uid="{00000000-0005-0000-0000-0000A5CF0000}"/>
    <cellStyle name="Note 8 3 2 2 7" xfId="28321" xr:uid="{00000000-0005-0000-0000-0000A6CF0000}"/>
    <cellStyle name="Note 8 3 2 2 8" xfId="54183" xr:uid="{00000000-0005-0000-0000-0000A7CF0000}"/>
    <cellStyle name="Note 8 3 2 3" xfId="2834" xr:uid="{00000000-0005-0000-0000-0000A8CF0000}"/>
    <cellStyle name="Note 8 3 2 3 2" xfId="4491" xr:uid="{00000000-0005-0000-0000-0000A9CF0000}"/>
    <cellStyle name="Note 8 3 2 3 2 2" xfId="7722" xr:uid="{00000000-0005-0000-0000-0000AACF0000}"/>
    <cellStyle name="Note 8 3 2 3 2 2 2" xfId="14181" xr:uid="{00000000-0005-0000-0000-0000ABCF0000}"/>
    <cellStyle name="Note 8 3 2 3 2 2 2 2" xfId="27098" xr:uid="{00000000-0005-0000-0000-0000ACCF0000}"/>
    <cellStyle name="Note 8 3 2 3 2 2 2 2 2" xfId="52972" xr:uid="{00000000-0005-0000-0000-0000ADCF0000}"/>
    <cellStyle name="Note 8 3 2 3 2 2 2 3" xfId="40056" xr:uid="{00000000-0005-0000-0000-0000AECF0000}"/>
    <cellStyle name="Note 8 3 2 3 2 2 3" xfId="20640" xr:uid="{00000000-0005-0000-0000-0000AFCF0000}"/>
    <cellStyle name="Note 8 3 2 3 2 2 3 2" xfId="46514" xr:uid="{00000000-0005-0000-0000-0000B0CF0000}"/>
    <cellStyle name="Note 8 3 2 3 2 2 4" xfId="33598" xr:uid="{00000000-0005-0000-0000-0000B1CF0000}"/>
    <cellStyle name="Note 8 3 2 3 2 3" xfId="10953" xr:uid="{00000000-0005-0000-0000-0000B2CF0000}"/>
    <cellStyle name="Note 8 3 2 3 2 3 2" xfId="23870" xr:uid="{00000000-0005-0000-0000-0000B3CF0000}"/>
    <cellStyle name="Note 8 3 2 3 2 3 2 2" xfId="49744" xr:uid="{00000000-0005-0000-0000-0000B4CF0000}"/>
    <cellStyle name="Note 8 3 2 3 2 3 3" xfId="36828" xr:uid="{00000000-0005-0000-0000-0000B5CF0000}"/>
    <cellStyle name="Note 8 3 2 3 2 4" xfId="17412" xr:uid="{00000000-0005-0000-0000-0000B6CF0000}"/>
    <cellStyle name="Note 8 3 2 3 2 4 2" xfId="43286" xr:uid="{00000000-0005-0000-0000-0000B7CF0000}"/>
    <cellStyle name="Note 8 3 2 3 2 5" xfId="30338" xr:uid="{00000000-0005-0000-0000-0000B8CF0000}"/>
    <cellStyle name="Note 8 3 2 3 3" xfId="6108" xr:uid="{00000000-0005-0000-0000-0000B9CF0000}"/>
    <cellStyle name="Note 8 3 2 3 3 2" xfId="12567" xr:uid="{00000000-0005-0000-0000-0000BACF0000}"/>
    <cellStyle name="Note 8 3 2 3 3 2 2" xfId="25484" xr:uid="{00000000-0005-0000-0000-0000BBCF0000}"/>
    <cellStyle name="Note 8 3 2 3 3 2 2 2" xfId="51358" xr:uid="{00000000-0005-0000-0000-0000BCCF0000}"/>
    <cellStyle name="Note 8 3 2 3 3 2 3" xfId="38442" xr:uid="{00000000-0005-0000-0000-0000BDCF0000}"/>
    <cellStyle name="Note 8 3 2 3 3 3" xfId="19026" xr:uid="{00000000-0005-0000-0000-0000BECF0000}"/>
    <cellStyle name="Note 8 3 2 3 3 3 2" xfId="44900" xr:uid="{00000000-0005-0000-0000-0000BFCF0000}"/>
    <cellStyle name="Note 8 3 2 3 3 4" xfId="31984" xr:uid="{00000000-0005-0000-0000-0000C0CF0000}"/>
    <cellStyle name="Note 8 3 2 3 4" xfId="9339" xr:uid="{00000000-0005-0000-0000-0000C1CF0000}"/>
    <cellStyle name="Note 8 3 2 3 4 2" xfId="22256" xr:uid="{00000000-0005-0000-0000-0000C2CF0000}"/>
    <cellStyle name="Note 8 3 2 3 4 2 2" xfId="48130" xr:uid="{00000000-0005-0000-0000-0000C3CF0000}"/>
    <cellStyle name="Note 8 3 2 3 4 3" xfId="35214" xr:uid="{00000000-0005-0000-0000-0000C4CF0000}"/>
    <cellStyle name="Note 8 3 2 3 5" xfId="15798" xr:uid="{00000000-0005-0000-0000-0000C5CF0000}"/>
    <cellStyle name="Note 8 3 2 3 5 2" xfId="41672" xr:uid="{00000000-0005-0000-0000-0000C6CF0000}"/>
    <cellStyle name="Note 8 3 2 3 6" xfId="28724" xr:uid="{00000000-0005-0000-0000-0000C7CF0000}"/>
    <cellStyle name="Note 8 3 2 4" xfId="3661" xr:uid="{00000000-0005-0000-0000-0000C8CF0000}"/>
    <cellStyle name="Note 8 3 2 4 2" xfId="6915" xr:uid="{00000000-0005-0000-0000-0000C9CF0000}"/>
    <cellStyle name="Note 8 3 2 4 2 2" xfId="13374" xr:uid="{00000000-0005-0000-0000-0000CACF0000}"/>
    <cellStyle name="Note 8 3 2 4 2 2 2" xfId="26291" xr:uid="{00000000-0005-0000-0000-0000CBCF0000}"/>
    <cellStyle name="Note 8 3 2 4 2 2 2 2" xfId="52165" xr:uid="{00000000-0005-0000-0000-0000CCCF0000}"/>
    <cellStyle name="Note 8 3 2 4 2 2 3" xfId="39249" xr:uid="{00000000-0005-0000-0000-0000CDCF0000}"/>
    <cellStyle name="Note 8 3 2 4 2 3" xfId="19833" xr:uid="{00000000-0005-0000-0000-0000CECF0000}"/>
    <cellStyle name="Note 8 3 2 4 2 3 2" xfId="45707" xr:uid="{00000000-0005-0000-0000-0000CFCF0000}"/>
    <cellStyle name="Note 8 3 2 4 2 4" xfId="32791" xr:uid="{00000000-0005-0000-0000-0000D0CF0000}"/>
    <cellStyle name="Note 8 3 2 4 3" xfId="10146" xr:uid="{00000000-0005-0000-0000-0000D1CF0000}"/>
    <cellStyle name="Note 8 3 2 4 3 2" xfId="23063" xr:uid="{00000000-0005-0000-0000-0000D2CF0000}"/>
    <cellStyle name="Note 8 3 2 4 3 2 2" xfId="48937" xr:uid="{00000000-0005-0000-0000-0000D3CF0000}"/>
    <cellStyle name="Note 8 3 2 4 3 3" xfId="36021" xr:uid="{00000000-0005-0000-0000-0000D4CF0000}"/>
    <cellStyle name="Note 8 3 2 4 4" xfId="16605" xr:uid="{00000000-0005-0000-0000-0000D5CF0000}"/>
    <cellStyle name="Note 8 3 2 4 4 2" xfId="42479" xr:uid="{00000000-0005-0000-0000-0000D6CF0000}"/>
    <cellStyle name="Note 8 3 2 4 5" xfId="29531" xr:uid="{00000000-0005-0000-0000-0000D7CF0000}"/>
    <cellStyle name="Note 8 3 2 5" xfId="5301" xr:uid="{00000000-0005-0000-0000-0000D8CF0000}"/>
    <cellStyle name="Note 8 3 2 5 2" xfId="11760" xr:uid="{00000000-0005-0000-0000-0000D9CF0000}"/>
    <cellStyle name="Note 8 3 2 5 2 2" xfId="24677" xr:uid="{00000000-0005-0000-0000-0000DACF0000}"/>
    <cellStyle name="Note 8 3 2 5 2 2 2" xfId="50551" xr:uid="{00000000-0005-0000-0000-0000DBCF0000}"/>
    <cellStyle name="Note 8 3 2 5 2 3" xfId="37635" xr:uid="{00000000-0005-0000-0000-0000DCCF0000}"/>
    <cellStyle name="Note 8 3 2 5 3" xfId="18219" xr:uid="{00000000-0005-0000-0000-0000DDCF0000}"/>
    <cellStyle name="Note 8 3 2 5 3 2" xfId="44093" xr:uid="{00000000-0005-0000-0000-0000DECF0000}"/>
    <cellStyle name="Note 8 3 2 5 4" xfId="31177" xr:uid="{00000000-0005-0000-0000-0000DFCF0000}"/>
    <cellStyle name="Note 8 3 2 6" xfId="8532" xr:uid="{00000000-0005-0000-0000-0000E0CF0000}"/>
    <cellStyle name="Note 8 3 2 6 2" xfId="21449" xr:uid="{00000000-0005-0000-0000-0000E1CF0000}"/>
    <cellStyle name="Note 8 3 2 6 2 2" xfId="47323" xr:uid="{00000000-0005-0000-0000-0000E2CF0000}"/>
    <cellStyle name="Note 8 3 2 6 3" xfId="34407" xr:uid="{00000000-0005-0000-0000-0000E3CF0000}"/>
    <cellStyle name="Note 8 3 2 7" xfId="14991" xr:uid="{00000000-0005-0000-0000-0000E4CF0000}"/>
    <cellStyle name="Note 8 3 2 7 2" xfId="40865" xr:uid="{00000000-0005-0000-0000-0000E5CF0000}"/>
    <cellStyle name="Note 8 3 2 8" xfId="27916" xr:uid="{00000000-0005-0000-0000-0000E6CF0000}"/>
    <cellStyle name="Note 8 3 2 9" xfId="53779" xr:uid="{00000000-0005-0000-0000-0000E7CF0000}"/>
    <cellStyle name="Note 8 3 3" xfId="2229" xr:uid="{00000000-0005-0000-0000-0000E8CF0000}"/>
    <cellStyle name="Note 8 3 3 2" xfId="3043" xr:uid="{00000000-0005-0000-0000-0000E9CF0000}"/>
    <cellStyle name="Note 8 3 3 2 2" xfId="4700" xr:uid="{00000000-0005-0000-0000-0000EACF0000}"/>
    <cellStyle name="Note 8 3 3 2 2 2" xfId="7931" xr:uid="{00000000-0005-0000-0000-0000EBCF0000}"/>
    <cellStyle name="Note 8 3 3 2 2 2 2" xfId="14390" xr:uid="{00000000-0005-0000-0000-0000ECCF0000}"/>
    <cellStyle name="Note 8 3 3 2 2 2 2 2" xfId="27307" xr:uid="{00000000-0005-0000-0000-0000EDCF0000}"/>
    <cellStyle name="Note 8 3 3 2 2 2 2 2 2" xfId="53181" xr:uid="{00000000-0005-0000-0000-0000EECF0000}"/>
    <cellStyle name="Note 8 3 3 2 2 2 2 3" xfId="40265" xr:uid="{00000000-0005-0000-0000-0000EFCF0000}"/>
    <cellStyle name="Note 8 3 3 2 2 2 3" xfId="20849" xr:uid="{00000000-0005-0000-0000-0000F0CF0000}"/>
    <cellStyle name="Note 8 3 3 2 2 2 3 2" xfId="46723" xr:uid="{00000000-0005-0000-0000-0000F1CF0000}"/>
    <cellStyle name="Note 8 3 3 2 2 2 4" xfId="33807" xr:uid="{00000000-0005-0000-0000-0000F2CF0000}"/>
    <cellStyle name="Note 8 3 3 2 2 3" xfId="11162" xr:uid="{00000000-0005-0000-0000-0000F3CF0000}"/>
    <cellStyle name="Note 8 3 3 2 2 3 2" xfId="24079" xr:uid="{00000000-0005-0000-0000-0000F4CF0000}"/>
    <cellStyle name="Note 8 3 3 2 2 3 2 2" xfId="49953" xr:uid="{00000000-0005-0000-0000-0000F5CF0000}"/>
    <cellStyle name="Note 8 3 3 2 2 3 3" xfId="37037" xr:uid="{00000000-0005-0000-0000-0000F6CF0000}"/>
    <cellStyle name="Note 8 3 3 2 2 4" xfId="17621" xr:uid="{00000000-0005-0000-0000-0000F7CF0000}"/>
    <cellStyle name="Note 8 3 3 2 2 4 2" xfId="43495" xr:uid="{00000000-0005-0000-0000-0000F8CF0000}"/>
    <cellStyle name="Note 8 3 3 2 2 5" xfId="30547" xr:uid="{00000000-0005-0000-0000-0000F9CF0000}"/>
    <cellStyle name="Note 8 3 3 2 3" xfId="6317" xr:uid="{00000000-0005-0000-0000-0000FACF0000}"/>
    <cellStyle name="Note 8 3 3 2 3 2" xfId="12776" xr:uid="{00000000-0005-0000-0000-0000FBCF0000}"/>
    <cellStyle name="Note 8 3 3 2 3 2 2" xfId="25693" xr:uid="{00000000-0005-0000-0000-0000FCCF0000}"/>
    <cellStyle name="Note 8 3 3 2 3 2 2 2" xfId="51567" xr:uid="{00000000-0005-0000-0000-0000FDCF0000}"/>
    <cellStyle name="Note 8 3 3 2 3 2 3" xfId="38651" xr:uid="{00000000-0005-0000-0000-0000FECF0000}"/>
    <cellStyle name="Note 8 3 3 2 3 3" xfId="19235" xr:uid="{00000000-0005-0000-0000-0000FFCF0000}"/>
    <cellStyle name="Note 8 3 3 2 3 3 2" xfId="45109" xr:uid="{00000000-0005-0000-0000-000000D00000}"/>
    <cellStyle name="Note 8 3 3 2 3 4" xfId="32193" xr:uid="{00000000-0005-0000-0000-000001D00000}"/>
    <cellStyle name="Note 8 3 3 2 4" xfId="9548" xr:uid="{00000000-0005-0000-0000-000002D00000}"/>
    <cellStyle name="Note 8 3 3 2 4 2" xfId="22465" xr:uid="{00000000-0005-0000-0000-000003D00000}"/>
    <cellStyle name="Note 8 3 3 2 4 2 2" xfId="48339" xr:uid="{00000000-0005-0000-0000-000004D00000}"/>
    <cellStyle name="Note 8 3 3 2 4 3" xfId="35423" xr:uid="{00000000-0005-0000-0000-000005D00000}"/>
    <cellStyle name="Note 8 3 3 2 5" xfId="16007" xr:uid="{00000000-0005-0000-0000-000006D00000}"/>
    <cellStyle name="Note 8 3 3 2 5 2" xfId="41881" xr:uid="{00000000-0005-0000-0000-000007D00000}"/>
    <cellStyle name="Note 8 3 3 2 6" xfId="28933" xr:uid="{00000000-0005-0000-0000-000008D00000}"/>
    <cellStyle name="Note 8 3 3 3" xfId="3870" xr:uid="{00000000-0005-0000-0000-000009D00000}"/>
    <cellStyle name="Note 8 3 3 3 2" xfId="7124" xr:uid="{00000000-0005-0000-0000-00000AD00000}"/>
    <cellStyle name="Note 8 3 3 3 2 2" xfId="13583" xr:uid="{00000000-0005-0000-0000-00000BD00000}"/>
    <cellStyle name="Note 8 3 3 3 2 2 2" xfId="26500" xr:uid="{00000000-0005-0000-0000-00000CD00000}"/>
    <cellStyle name="Note 8 3 3 3 2 2 2 2" xfId="52374" xr:uid="{00000000-0005-0000-0000-00000DD00000}"/>
    <cellStyle name="Note 8 3 3 3 2 2 3" xfId="39458" xr:uid="{00000000-0005-0000-0000-00000ED00000}"/>
    <cellStyle name="Note 8 3 3 3 2 3" xfId="20042" xr:uid="{00000000-0005-0000-0000-00000FD00000}"/>
    <cellStyle name="Note 8 3 3 3 2 3 2" xfId="45916" xr:uid="{00000000-0005-0000-0000-000010D00000}"/>
    <cellStyle name="Note 8 3 3 3 2 4" xfId="33000" xr:uid="{00000000-0005-0000-0000-000011D00000}"/>
    <cellStyle name="Note 8 3 3 3 3" xfId="10355" xr:uid="{00000000-0005-0000-0000-000012D00000}"/>
    <cellStyle name="Note 8 3 3 3 3 2" xfId="23272" xr:uid="{00000000-0005-0000-0000-000013D00000}"/>
    <cellStyle name="Note 8 3 3 3 3 2 2" xfId="49146" xr:uid="{00000000-0005-0000-0000-000014D00000}"/>
    <cellStyle name="Note 8 3 3 3 3 3" xfId="36230" xr:uid="{00000000-0005-0000-0000-000015D00000}"/>
    <cellStyle name="Note 8 3 3 3 4" xfId="16814" xr:uid="{00000000-0005-0000-0000-000016D00000}"/>
    <cellStyle name="Note 8 3 3 3 4 2" xfId="42688" xr:uid="{00000000-0005-0000-0000-000017D00000}"/>
    <cellStyle name="Note 8 3 3 3 5" xfId="29740" xr:uid="{00000000-0005-0000-0000-000018D00000}"/>
    <cellStyle name="Note 8 3 3 4" xfId="5510" xr:uid="{00000000-0005-0000-0000-000019D00000}"/>
    <cellStyle name="Note 8 3 3 4 2" xfId="11969" xr:uid="{00000000-0005-0000-0000-00001AD00000}"/>
    <cellStyle name="Note 8 3 3 4 2 2" xfId="24886" xr:uid="{00000000-0005-0000-0000-00001BD00000}"/>
    <cellStyle name="Note 8 3 3 4 2 2 2" xfId="50760" xr:uid="{00000000-0005-0000-0000-00001CD00000}"/>
    <cellStyle name="Note 8 3 3 4 2 3" xfId="37844" xr:uid="{00000000-0005-0000-0000-00001DD00000}"/>
    <cellStyle name="Note 8 3 3 4 3" xfId="18428" xr:uid="{00000000-0005-0000-0000-00001ED00000}"/>
    <cellStyle name="Note 8 3 3 4 3 2" xfId="44302" xr:uid="{00000000-0005-0000-0000-00001FD00000}"/>
    <cellStyle name="Note 8 3 3 4 4" xfId="31386" xr:uid="{00000000-0005-0000-0000-000020D00000}"/>
    <cellStyle name="Note 8 3 3 5" xfId="8741" xr:uid="{00000000-0005-0000-0000-000021D00000}"/>
    <cellStyle name="Note 8 3 3 5 2" xfId="21658" xr:uid="{00000000-0005-0000-0000-000022D00000}"/>
    <cellStyle name="Note 8 3 3 5 2 2" xfId="47532" xr:uid="{00000000-0005-0000-0000-000023D00000}"/>
    <cellStyle name="Note 8 3 3 5 3" xfId="34616" xr:uid="{00000000-0005-0000-0000-000024D00000}"/>
    <cellStyle name="Note 8 3 3 6" xfId="15200" xr:uid="{00000000-0005-0000-0000-000025D00000}"/>
    <cellStyle name="Note 8 3 3 6 2" xfId="41074" xr:uid="{00000000-0005-0000-0000-000026D00000}"/>
    <cellStyle name="Note 8 3 3 7" xfId="28126" xr:uid="{00000000-0005-0000-0000-000027D00000}"/>
    <cellStyle name="Note 8 3 3 8" xfId="53988" xr:uid="{00000000-0005-0000-0000-000028D00000}"/>
    <cellStyle name="Note 8 3 4" xfId="2640" xr:uid="{00000000-0005-0000-0000-000029D00000}"/>
    <cellStyle name="Note 8 3 4 2" xfId="4297" xr:uid="{00000000-0005-0000-0000-00002AD00000}"/>
    <cellStyle name="Note 8 3 4 2 2" xfId="7528" xr:uid="{00000000-0005-0000-0000-00002BD00000}"/>
    <cellStyle name="Note 8 3 4 2 2 2" xfId="13987" xr:uid="{00000000-0005-0000-0000-00002CD00000}"/>
    <cellStyle name="Note 8 3 4 2 2 2 2" xfId="26904" xr:uid="{00000000-0005-0000-0000-00002DD00000}"/>
    <cellStyle name="Note 8 3 4 2 2 2 2 2" xfId="52778" xr:uid="{00000000-0005-0000-0000-00002ED00000}"/>
    <cellStyle name="Note 8 3 4 2 2 2 3" xfId="39862" xr:uid="{00000000-0005-0000-0000-00002FD00000}"/>
    <cellStyle name="Note 8 3 4 2 2 3" xfId="20446" xr:uid="{00000000-0005-0000-0000-000030D00000}"/>
    <cellStyle name="Note 8 3 4 2 2 3 2" xfId="46320" xr:uid="{00000000-0005-0000-0000-000031D00000}"/>
    <cellStyle name="Note 8 3 4 2 2 4" xfId="33404" xr:uid="{00000000-0005-0000-0000-000032D00000}"/>
    <cellStyle name="Note 8 3 4 2 3" xfId="10759" xr:uid="{00000000-0005-0000-0000-000033D00000}"/>
    <cellStyle name="Note 8 3 4 2 3 2" xfId="23676" xr:uid="{00000000-0005-0000-0000-000034D00000}"/>
    <cellStyle name="Note 8 3 4 2 3 2 2" xfId="49550" xr:uid="{00000000-0005-0000-0000-000035D00000}"/>
    <cellStyle name="Note 8 3 4 2 3 3" xfId="36634" xr:uid="{00000000-0005-0000-0000-000036D00000}"/>
    <cellStyle name="Note 8 3 4 2 4" xfId="17218" xr:uid="{00000000-0005-0000-0000-000037D00000}"/>
    <cellStyle name="Note 8 3 4 2 4 2" xfId="43092" xr:uid="{00000000-0005-0000-0000-000038D00000}"/>
    <cellStyle name="Note 8 3 4 2 5" xfId="30144" xr:uid="{00000000-0005-0000-0000-000039D00000}"/>
    <cellStyle name="Note 8 3 4 3" xfId="5914" xr:uid="{00000000-0005-0000-0000-00003AD00000}"/>
    <cellStyle name="Note 8 3 4 3 2" xfId="12373" xr:uid="{00000000-0005-0000-0000-00003BD00000}"/>
    <cellStyle name="Note 8 3 4 3 2 2" xfId="25290" xr:uid="{00000000-0005-0000-0000-00003CD00000}"/>
    <cellStyle name="Note 8 3 4 3 2 2 2" xfId="51164" xr:uid="{00000000-0005-0000-0000-00003DD00000}"/>
    <cellStyle name="Note 8 3 4 3 2 3" xfId="38248" xr:uid="{00000000-0005-0000-0000-00003ED00000}"/>
    <cellStyle name="Note 8 3 4 3 3" xfId="18832" xr:uid="{00000000-0005-0000-0000-00003FD00000}"/>
    <cellStyle name="Note 8 3 4 3 3 2" xfId="44706" xr:uid="{00000000-0005-0000-0000-000040D00000}"/>
    <cellStyle name="Note 8 3 4 3 4" xfId="31790" xr:uid="{00000000-0005-0000-0000-000041D00000}"/>
    <cellStyle name="Note 8 3 4 4" xfId="9145" xr:uid="{00000000-0005-0000-0000-000042D00000}"/>
    <cellStyle name="Note 8 3 4 4 2" xfId="22062" xr:uid="{00000000-0005-0000-0000-000043D00000}"/>
    <cellStyle name="Note 8 3 4 4 2 2" xfId="47936" xr:uid="{00000000-0005-0000-0000-000044D00000}"/>
    <cellStyle name="Note 8 3 4 4 3" xfId="35020" xr:uid="{00000000-0005-0000-0000-000045D00000}"/>
    <cellStyle name="Note 8 3 4 5" xfId="15604" xr:uid="{00000000-0005-0000-0000-000046D00000}"/>
    <cellStyle name="Note 8 3 4 5 2" xfId="41478" xr:uid="{00000000-0005-0000-0000-000047D00000}"/>
    <cellStyle name="Note 8 3 4 6" xfId="28530" xr:uid="{00000000-0005-0000-0000-000048D00000}"/>
    <cellStyle name="Note 8 3 5" xfId="3467" xr:uid="{00000000-0005-0000-0000-000049D00000}"/>
    <cellStyle name="Note 8 3 5 2" xfId="6721" xr:uid="{00000000-0005-0000-0000-00004AD00000}"/>
    <cellStyle name="Note 8 3 5 2 2" xfId="13180" xr:uid="{00000000-0005-0000-0000-00004BD00000}"/>
    <cellStyle name="Note 8 3 5 2 2 2" xfId="26097" xr:uid="{00000000-0005-0000-0000-00004CD00000}"/>
    <cellStyle name="Note 8 3 5 2 2 2 2" xfId="51971" xr:uid="{00000000-0005-0000-0000-00004DD00000}"/>
    <cellStyle name="Note 8 3 5 2 2 3" xfId="39055" xr:uid="{00000000-0005-0000-0000-00004ED00000}"/>
    <cellStyle name="Note 8 3 5 2 3" xfId="19639" xr:uid="{00000000-0005-0000-0000-00004FD00000}"/>
    <cellStyle name="Note 8 3 5 2 3 2" xfId="45513" xr:uid="{00000000-0005-0000-0000-000050D00000}"/>
    <cellStyle name="Note 8 3 5 2 4" xfId="32597" xr:uid="{00000000-0005-0000-0000-000051D00000}"/>
    <cellStyle name="Note 8 3 5 3" xfId="9952" xr:uid="{00000000-0005-0000-0000-000052D00000}"/>
    <cellStyle name="Note 8 3 5 3 2" xfId="22869" xr:uid="{00000000-0005-0000-0000-000053D00000}"/>
    <cellStyle name="Note 8 3 5 3 2 2" xfId="48743" xr:uid="{00000000-0005-0000-0000-000054D00000}"/>
    <cellStyle name="Note 8 3 5 3 3" xfId="35827" xr:uid="{00000000-0005-0000-0000-000055D00000}"/>
    <cellStyle name="Note 8 3 5 4" xfId="16411" xr:uid="{00000000-0005-0000-0000-000056D00000}"/>
    <cellStyle name="Note 8 3 5 4 2" xfId="42285" xr:uid="{00000000-0005-0000-0000-000057D00000}"/>
    <cellStyle name="Note 8 3 5 5" xfId="29337" xr:uid="{00000000-0005-0000-0000-000058D00000}"/>
    <cellStyle name="Note 8 3 6" xfId="5107" xr:uid="{00000000-0005-0000-0000-000059D00000}"/>
    <cellStyle name="Note 8 3 6 2" xfId="11566" xr:uid="{00000000-0005-0000-0000-00005AD00000}"/>
    <cellStyle name="Note 8 3 6 2 2" xfId="24483" xr:uid="{00000000-0005-0000-0000-00005BD00000}"/>
    <cellStyle name="Note 8 3 6 2 2 2" xfId="50357" xr:uid="{00000000-0005-0000-0000-00005CD00000}"/>
    <cellStyle name="Note 8 3 6 2 3" xfId="37441" xr:uid="{00000000-0005-0000-0000-00005DD00000}"/>
    <cellStyle name="Note 8 3 6 3" xfId="18025" xr:uid="{00000000-0005-0000-0000-00005ED00000}"/>
    <cellStyle name="Note 8 3 6 3 2" xfId="43899" xr:uid="{00000000-0005-0000-0000-00005FD00000}"/>
    <cellStyle name="Note 8 3 6 4" xfId="30983" xr:uid="{00000000-0005-0000-0000-000060D00000}"/>
    <cellStyle name="Note 8 3 7" xfId="8337" xr:uid="{00000000-0005-0000-0000-000061D00000}"/>
    <cellStyle name="Note 8 3 7 2" xfId="21254" xr:uid="{00000000-0005-0000-0000-000062D00000}"/>
    <cellStyle name="Note 8 3 7 2 2" xfId="47128" xr:uid="{00000000-0005-0000-0000-000063D00000}"/>
    <cellStyle name="Note 8 3 7 3" xfId="34212" xr:uid="{00000000-0005-0000-0000-000064D00000}"/>
    <cellStyle name="Note 8 3 8" xfId="14796" xr:uid="{00000000-0005-0000-0000-000065D00000}"/>
    <cellStyle name="Note 8 3 8 2" xfId="40670" xr:uid="{00000000-0005-0000-0000-000066D00000}"/>
    <cellStyle name="Note 8 3 9" xfId="27722" xr:uid="{00000000-0005-0000-0000-000067D00000}"/>
    <cellStyle name="Note 8 4" xfId="1785" xr:uid="{00000000-0005-0000-0000-000068D00000}"/>
    <cellStyle name="Note 8 4 2" xfId="2278" xr:uid="{00000000-0005-0000-0000-000069D00000}"/>
    <cellStyle name="Note 8 4 2 2" xfId="3092" xr:uid="{00000000-0005-0000-0000-00006AD00000}"/>
    <cellStyle name="Note 8 4 2 2 2" xfId="4749" xr:uid="{00000000-0005-0000-0000-00006BD00000}"/>
    <cellStyle name="Note 8 4 2 2 2 2" xfId="7980" xr:uid="{00000000-0005-0000-0000-00006CD00000}"/>
    <cellStyle name="Note 8 4 2 2 2 2 2" xfId="14439" xr:uid="{00000000-0005-0000-0000-00006DD00000}"/>
    <cellStyle name="Note 8 4 2 2 2 2 2 2" xfId="27356" xr:uid="{00000000-0005-0000-0000-00006ED00000}"/>
    <cellStyle name="Note 8 4 2 2 2 2 2 2 2" xfId="53230" xr:uid="{00000000-0005-0000-0000-00006FD00000}"/>
    <cellStyle name="Note 8 4 2 2 2 2 2 3" xfId="40314" xr:uid="{00000000-0005-0000-0000-000070D00000}"/>
    <cellStyle name="Note 8 4 2 2 2 2 3" xfId="20898" xr:uid="{00000000-0005-0000-0000-000071D00000}"/>
    <cellStyle name="Note 8 4 2 2 2 2 3 2" xfId="46772" xr:uid="{00000000-0005-0000-0000-000072D00000}"/>
    <cellStyle name="Note 8 4 2 2 2 2 4" xfId="33856" xr:uid="{00000000-0005-0000-0000-000073D00000}"/>
    <cellStyle name="Note 8 4 2 2 2 3" xfId="11211" xr:uid="{00000000-0005-0000-0000-000074D00000}"/>
    <cellStyle name="Note 8 4 2 2 2 3 2" xfId="24128" xr:uid="{00000000-0005-0000-0000-000075D00000}"/>
    <cellStyle name="Note 8 4 2 2 2 3 2 2" xfId="50002" xr:uid="{00000000-0005-0000-0000-000076D00000}"/>
    <cellStyle name="Note 8 4 2 2 2 3 3" xfId="37086" xr:uid="{00000000-0005-0000-0000-000077D00000}"/>
    <cellStyle name="Note 8 4 2 2 2 4" xfId="17670" xr:uid="{00000000-0005-0000-0000-000078D00000}"/>
    <cellStyle name="Note 8 4 2 2 2 4 2" xfId="43544" xr:uid="{00000000-0005-0000-0000-000079D00000}"/>
    <cellStyle name="Note 8 4 2 2 2 5" xfId="30596" xr:uid="{00000000-0005-0000-0000-00007AD00000}"/>
    <cellStyle name="Note 8 4 2 2 3" xfId="6366" xr:uid="{00000000-0005-0000-0000-00007BD00000}"/>
    <cellStyle name="Note 8 4 2 2 3 2" xfId="12825" xr:uid="{00000000-0005-0000-0000-00007CD00000}"/>
    <cellStyle name="Note 8 4 2 2 3 2 2" xfId="25742" xr:uid="{00000000-0005-0000-0000-00007DD00000}"/>
    <cellStyle name="Note 8 4 2 2 3 2 2 2" xfId="51616" xr:uid="{00000000-0005-0000-0000-00007ED00000}"/>
    <cellStyle name="Note 8 4 2 2 3 2 3" xfId="38700" xr:uid="{00000000-0005-0000-0000-00007FD00000}"/>
    <cellStyle name="Note 8 4 2 2 3 3" xfId="19284" xr:uid="{00000000-0005-0000-0000-000080D00000}"/>
    <cellStyle name="Note 8 4 2 2 3 3 2" xfId="45158" xr:uid="{00000000-0005-0000-0000-000081D00000}"/>
    <cellStyle name="Note 8 4 2 2 3 4" xfId="32242" xr:uid="{00000000-0005-0000-0000-000082D00000}"/>
    <cellStyle name="Note 8 4 2 2 4" xfId="9597" xr:uid="{00000000-0005-0000-0000-000083D00000}"/>
    <cellStyle name="Note 8 4 2 2 4 2" xfId="22514" xr:uid="{00000000-0005-0000-0000-000084D00000}"/>
    <cellStyle name="Note 8 4 2 2 4 2 2" xfId="48388" xr:uid="{00000000-0005-0000-0000-000085D00000}"/>
    <cellStyle name="Note 8 4 2 2 4 3" xfId="35472" xr:uid="{00000000-0005-0000-0000-000086D00000}"/>
    <cellStyle name="Note 8 4 2 2 5" xfId="16056" xr:uid="{00000000-0005-0000-0000-000087D00000}"/>
    <cellStyle name="Note 8 4 2 2 5 2" xfId="41930" xr:uid="{00000000-0005-0000-0000-000088D00000}"/>
    <cellStyle name="Note 8 4 2 2 6" xfId="28982" xr:uid="{00000000-0005-0000-0000-000089D00000}"/>
    <cellStyle name="Note 8 4 2 3" xfId="3919" xr:uid="{00000000-0005-0000-0000-00008AD00000}"/>
    <cellStyle name="Note 8 4 2 3 2" xfId="7173" xr:uid="{00000000-0005-0000-0000-00008BD00000}"/>
    <cellStyle name="Note 8 4 2 3 2 2" xfId="13632" xr:uid="{00000000-0005-0000-0000-00008CD00000}"/>
    <cellStyle name="Note 8 4 2 3 2 2 2" xfId="26549" xr:uid="{00000000-0005-0000-0000-00008DD00000}"/>
    <cellStyle name="Note 8 4 2 3 2 2 2 2" xfId="52423" xr:uid="{00000000-0005-0000-0000-00008ED00000}"/>
    <cellStyle name="Note 8 4 2 3 2 2 3" xfId="39507" xr:uid="{00000000-0005-0000-0000-00008FD00000}"/>
    <cellStyle name="Note 8 4 2 3 2 3" xfId="20091" xr:uid="{00000000-0005-0000-0000-000090D00000}"/>
    <cellStyle name="Note 8 4 2 3 2 3 2" xfId="45965" xr:uid="{00000000-0005-0000-0000-000091D00000}"/>
    <cellStyle name="Note 8 4 2 3 2 4" xfId="33049" xr:uid="{00000000-0005-0000-0000-000092D00000}"/>
    <cellStyle name="Note 8 4 2 3 3" xfId="10404" xr:uid="{00000000-0005-0000-0000-000093D00000}"/>
    <cellStyle name="Note 8 4 2 3 3 2" xfId="23321" xr:uid="{00000000-0005-0000-0000-000094D00000}"/>
    <cellStyle name="Note 8 4 2 3 3 2 2" xfId="49195" xr:uid="{00000000-0005-0000-0000-000095D00000}"/>
    <cellStyle name="Note 8 4 2 3 3 3" xfId="36279" xr:uid="{00000000-0005-0000-0000-000096D00000}"/>
    <cellStyle name="Note 8 4 2 3 4" xfId="16863" xr:uid="{00000000-0005-0000-0000-000097D00000}"/>
    <cellStyle name="Note 8 4 2 3 4 2" xfId="42737" xr:uid="{00000000-0005-0000-0000-000098D00000}"/>
    <cellStyle name="Note 8 4 2 3 5" xfId="29789" xr:uid="{00000000-0005-0000-0000-000099D00000}"/>
    <cellStyle name="Note 8 4 2 4" xfId="5559" xr:uid="{00000000-0005-0000-0000-00009AD00000}"/>
    <cellStyle name="Note 8 4 2 4 2" xfId="12018" xr:uid="{00000000-0005-0000-0000-00009BD00000}"/>
    <cellStyle name="Note 8 4 2 4 2 2" xfId="24935" xr:uid="{00000000-0005-0000-0000-00009CD00000}"/>
    <cellStyle name="Note 8 4 2 4 2 2 2" xfId="50809" xr:uid="{00000000-0005-0000-0000-00009DD00000}"/>
    <cellStyle name="Note 8 4 2 4 2 3" xfId="37893" xr:uid="{00000000-0005-0000-0000-00009ED00000}"/>
    <cellStyle name="Note 8 4 2 4 3" xfId="18477" xr:uid="{00000000-0005-0000-0000-00009FD00000}"/>
    <cellStyle name="Note 8 4 2 4 3 2" xfId="44351" xr:uid="{00000000-0005-0000-0000-0000A0D00000}"/>
    <cellStyle name="Note 8 4 2 4 4" xfId="31435" xr:uid="{00000000-0005-0000-0000-0000A1D00000}"/>
    <cellStyle name="Note 8 4 2 5" xfId="8790" xr:uid="{00000000-0005-0000-0000-0000A2D00000}"/>
    <cellStyle name="Note 8 4 2 5 2" xfId="21707" xr:uid="{00000000-0005-0000-0000-0000A3D00000}"/>
    <cellStyle name="Note 8 4 2 5 2 2" xfId="47581" xr:uid="{00000000-0005-0000-0000-0000A4D00000}"/>
    <cellStyle name="Note 8 4 2 5 3" xfId="34665" xr:uid="{00000000-0005-0000-0000-0000A5D00000}"/>
    <cellStyle name="Note 8 4 2 6" xfId="15249" xr:uid="{00000000-0005-0000-0000-0000A6D00000}"/>
    <cellStyle name="Note 8 4 2 6 2" xfId="41123" xr:uid="{00000000-0005-0000-0000-0000A7D00000}"/>
    <cellStyle name="Note 8 4 2 7" xfId="28175" xr:uid="{00000000-0005-0000-0000-0000A8D00000}"/>
    <cellStyle name="Note 8 4 2 8" xfId="54037" xr:uid="{00000000-0005-0000-0000-0000A9D00000}"/>
    <cellStyle name="Note 8 4 3" xfId="2689" xr:uid="{00000000-0005-0000-0000-0000AAD00000}"/>
    <cellStyle name="Note 8 4 3 2" xfId="4346" xr:uid="{00000000-0005-0000-0000-0000ABD00000}"/>
    <cellStyle name="Note 8 4 3 2 2" xfId="7577" xr:uid="{00000000-0005-0000-0000-0000ACD00000}"/>
    <cellStyle name="Note 8 4 3 2 2 2" xfId="14036" xr:uid="{00000000-0005-0000-0000-0000ADD00000}"/>
    <cellStyle name="Note 8 4 3 2 2 2 2" xfId="26953" xr:uid="{00000000-0005-0000-0000-0000AED00000}"/>
    <cellStyle name="Note 8 4 3 2 2 2 2 2" xfId="52827" xr:uid="{00000000-0005-0000-0000-0000AFD00000}"/>
    <cellStyle name="Note 8 4 3 2 2 2 3" xfId="39911" xr:uid="{00000000-0005-0000-0000-0000B0D00000}"/>
    <cellStyle name="Note 8 4 3 2 2 3" xfId="20495" xr:uid="{00000000-0005-0000-0000-0000B1D00000}"/>
    <cellStyle name="Note 8 4 3 2 2 3 2" xfId="46369" xr:uid="{00000000-0005-0000-0000-0000B2D00000}"/>
    <cellStyle name="Note 8 4 3 2 2 4" xfId="33453" xr:uid="{00000000-0005-0000-0000-0000B3D00000}"/>
    <cellStyle name="Note 8 4 3 2 3" xfId="10808" xr:uid="{00000000-0005-0000-0000-0000B4D00000}"/>
    <cellStyle name="Note 8 4 3 2 3 2" xfId="23725" xr:uid="{00000000-0005-0000-0000-0000B5D00000}"/>
    <cellStyle name="Note 8 4 3 2 3 2 2" xfId="49599" xr:uid="{00000000-0005-0000-0000-0000B6D00000}"/>
    <cellStyle name="Note 8 4 3 2 3 3" xfId="36683" xr:uid="{00000000-0005-0000-0000-0000B7D00000}"/>
    <cellStyle name="Note 8 4 3 2 4" xfId="17267" xr:uid="{00000000-0005-0000-0000-0000B8D00000}"/>
    <cellStyle name="Note 8 4 3 2 4 2" xfId="43141" xr:uid="{00000000-0005-0000-0000-0000B9D00000}"/>
    <cellStyle name="Note 8 4 3 2 5" xfId="30193" xr:uid="{00000000-0005-0000-0000-0000BAD00000}"/>
    <cellStyle name="Note 8 4 3 3" xfId="5963" xr:uid="{00000000-0005-0000-0000-0000BBD00000}"/>
    <cellStyle name="Note 8 4 3 3 2" xfId="12422" xr:uid="{00000000-0005-0000-0000-0000BCD00000}"/>
    <cellStyle name="Note 8 4 3 3 2 2" xfId="25339" xr:uid="{00000000-0005-0000-0000-0000BDD00000}"/>
    <cellStyle name="Note 8 4 3 3 2 2 2" xfId="51213" xr:uid="{00000000-0005-0000-0000-0000BED00000}"/>
    <cellStyle name="Note 8 4 3 3 2 3" xfId="38297" xr:uid="{00000000-0005-0000-0000-0000BFD00000}"/>
    <cellStyle name="Note 8 4 3 3 3" xfId="18881" xr:uid="{00000000-0005-0000-0000-0000C0D00000}"/>
    <cellStyle name="Note 8 4 3 3 3 2" xfId="44755" xr:uid="{00000000-0005-0000-0000-0000C1D00000}"/>
    <cellStyle name="Note 8 4 3 3 4" xfId="31839" xr:uid="{00000000-0005-0000-0000-0000C2D00000}"/>
    <cellStyle name="Note 8 4 3 4" xfId="9194" xr:uid="{00000000-0005-0000-0000-0000C3D00000}"/>
    <cellStyle name="Note 8 4 3 4 2" xfId="22111" xr:uid="{00000000-0005-0000-0000-0000C4D00000}"/>
    <cellStyle name="Note 8 4 3 4 2 2" xfId="47985" xr:uid="{00000000-0005-0000-0000-0000C5D00000}"/>
    <cellStyle name="Note 8 4 3 4 3" xfId="35069" xr:uid="{00000000-0005-0000-0000-0000C6D00000}"/>
    <cellStyle name="Note 8 4 3 5" xfId="15653" xr:uid="{00000000-0005-0000-0000-0000C7D00000}"/>
    <cellStyle name="Note 8 4 3 5 2" xfId="41527" xr:uid="{00000000-0005-0000-0000-0000C8D00000}"/>
    <cellStyle name="Note 8 4 3 6" xfId="28579" xr:uid="{00000000-0005-0000-0000-0000C9D00000}"/>
    <cellStyle name="Note 8 4 4" xfId="3516" xr:uid="{00000000-0005-0000-0000-0000CAD00000}"/>
    <cellStyle name="Note 8 4 4 2" xfId="6770" xr:uid="{00000000-0005-0000-0000-0000CBD00000}"/>
    <cellStyle name="Note 8 4 4 2 2" xfId="13229" xr:uid="{00000000-0005-0000-0000-0000CCD00000}"/>
    <cellStyle name="Note 8 4 4 2 2 2" xfId="26146" xr:uid="{00000000-0005-0000-0000-0000CDD00000}"/>
    <cellStyle name="Note 8 4 4 2 2 2 2" xfId="52020" xr:uid="{00000000-0005-0000-0000-0000CED00000}"/>
    <cellStyle name="Note 8 4 4 2 2 3" xfId="39104" xr:uid="{00000000-0005-0000-0000-0000CFD00000}"/>
    <cellStyle name="Note 8 4 4 2 3" xfId="19688" xr:uid="{00000000-0005-0000-0000-0000D0D00000}"/>
    <cellStyle name="Note 8 4 4 2 3 2" xfId="45562" xr:uid="{00000000-0005-0000-0000-0000D1D00000}"/>
    <cellStyle name="Note 8 4 4 2 4" xfId="32646" xr:uid="{00000000-0005-0000-0000-0000D2D00000}"/>
    <cellStyle name="Note 8 4 4 3" xfId="10001" xr:uid="{00000000-0005-0000-0000-0000D3D00000}"/>
    <cellStyle name="Note 8 4 4 3 2" xfId="22918" xr:uid="{00000000-0005-0000-0000-0000D4D00000}"/>
    <cellStyle name="Note 8 4 4 3 2 2" xfId="48792" xr:uid="{00000000-0005-0000-0000-0000D5D00000}"/>
    <cellStyle name="Note 8 4 4 3 3" xfId="35876" xr:uid="{00000000-0005-0000-0000-0000D6D00000}"/>
    <cellStyle name="Note 8 4 4 4" xfId="16460" xr:uid="{00000000-0005-0000-0000-0000D7D00000}"/>
    <cellStyle name="Note 8 4 4 4 2" xfId="42334" xr:uid="{00000000-0005-0000-0000-0000D8D00000}"/>
    <cellStyle name="Note 8 4 4 5" xfId="29386" xr:uid="{00000000-0005-0000-0000-0000D9D00000}"/>
    <cellStyle name="Note 8 4 5" xfId="5156" xr:uid="{00000000-0005-0000-0000-0000DAD00000}"/>
    <cellStyle name="Note 8 4 5 2" xfId="11615" xr:uid="{00000000-0005-0000-0000-0000DBD00000}"/>
    <cellStyle name="Note 8 4 5 2 2" xfId="24532" xr:uid="{00000000-0005-0000-0000-0000DCD00000}"/>
    <cellStyle name="Note 8 4 5 2 2 2" xfId="50406" xr:uid="{00000000-0005-0000-0000-0000DDD00000}"/>
    <cellStyle name="Note 8 4 5 2 3" xfId="37490" xr:uid="{00000000-0005-0000-0000-0000DED00000}"/>
    <cellStyle name="Note 8 4 5 3" xfId="18074" xr:uid="{00000000-0005-0000-0000-0000DFD00000}"/>
    <cellStyle name="Note 8 4 5 3 2" xfId="43948" xr:uid="{00000000-0005-0000-0000-0000E0D00000}"/>
    <cellStyle name="Note 8 4 5 4" xfId="31032" xr:uid="{00000000-0005-0000-0000-0000E1D00000}"/>
    <cellStyle name="Note 8 4 6" xfId="8386" xr:uid="{00000000-0005-0000-0000-0000E2D00000}"/>
    <cellStyle name="Note 8 4 6 2" xfId="21303" xr:uid="{00000000-0005-0000-0000-0000E3D00000}"/>
    <cellStyle name="Note 8 4 6 2 2" xfId="47177" xr:uid="{00000000-0005-0000-0000-0000E4D00000}"/>
    <cellStyle name="Note 8 4 6 3" xfId="34261" xr:uid="{00000000-0005-0000-0000-0000E5D00000}"/>
    <cellStyle name="Note 8 4 7" xfId="14845" xr:uid="{00000000-0005-0000-0000-0000E6D00000}"/>
    <cellStyle name="Note 8 4 7 2" xfId="40719" xr:uid="{00000000-0005-0000-0000-0000E7D00000}"/>
    <cellStyle name="Note 8 4 8" xfId="27771" xr:uid="{00000000-0005-0000-0000-0000E8D00000}"/>
    <cellStyle name="Note 8 4 9" xfId="53634" xr:uid="{00000000-0005-0000-0000-0000E9D00000}"/>
    <cellStyle name="Note 8 5" xfId="2084" xr:uid="{00000000-0005-0000-0000-0000EAD00000}"/>
    <cellStyle name="Note 8 5 2" xfId="2901" xr:uid="{00000000-0005-0000-0000-0000EBD00000}"/>
    <cellStyle name="Note 8 5 2 2" xfId="4558" xr:uid="{00000000-0005-0000-0000-0000ECD00000}"/>
    <cellStyle name="Note 8 5 2 2 2" xfId="7789" xr:uid="{00000000-0005-0000-0000-0000EDD00000}"/>
    <cellStyle name="Note 8 5 2 2 2 2" xfId="14248" xr:uid="{00000000-0005-0000-0000-0000EED00000}"/>
    <cellStyle name="Note 8 5 2 2 2 2 2" xfId="27165" xr:uid="{00000000-0005-0000-0000-0000EFD00000}"/>
    <cellStyle name="Note 8 5 2 2 2 2 2 2" xfId="53039" xr:uid="{00000000-0005-0000-0000-0000F0D00000}"/>
    <cellStyle name="Note 8 5 2 2 2 2 3" xfId="40123" xr:uid="{00000000-0005-0000-0000-0000F1D00000}"/>
    <cellStyle name="Note 8 5 2 2 2 3" xfId="20707" xr:uid="{00000000-0005-0000-0000-0000F2D00000}"/>
    <cellStyle name="Note 8 5 2 2 2 3 2" xfId="46581" xr:uid="{00000000-0005-0000-0000-0000F3D00000}"/>
    <cellStyle name="Note 8 5 2 2 2 4" xfId="33665" xr:uid="{00000000-0005-0000-0000-0000F4D00000}"/>
    <cellStyle name="Note 8 5 2 2 3" xfId="11020" xr:uid="{00000000-0005-0000-0000-0000F5D00000}"/>
    <cellStyle name="Note 8 5 2 2 3 2" xfId="23937" xr:uid="{00000000-0005-0000-0000-0000F6D00000}"/>
    <cellStyle name="Note 8 5 2 2 3 2 2" xfId="49811" xr:uid="{00000000-0005-0000-0000-0000F7D00000}"/>
    <cellStyle name="Note 8 5 2 2 3 3" xfId="36895" xr:uid="{00000000-0005-0000-0000-0000F8D00000}"/>
    <cellStyle name="Note 8 5 2 2 4" xfId="17479" xr:uid="{00000000-0005-0000-0000-0000F9D00000}"/>
    <cellStyle name="Note 8 5 2 2 4 2" xfId="43353" xr:uid="{00000000-0005-0000-0000-0000FAD00000}"/>
    <cellStyle name="Note 8 5 2 2 5" xfId="30405" xr:uid="{00000000-0005-0000-0000-0000FBD00000}"/>
    <cellStyle name="Note 8 5 2 3" xfId="6175" xr:uid="{00000000-0005-0000-0000-0000FCD00000}"/>
    <cellStyle name="Note 8 5 2 3 2" xfId="12634" xr:uid="{00000000-0005-0000-0000-0000FDD00000}"/>
    <cellStyle name="Note 8 5 2 3 2 2" xfId="25551" xr:uid="{00000000-0005-0000-0000-0000FED00000}"/>
    <cellStyle name="Note 8 5 2 3 2 2 2" xfId="51425" xr:uid="{00000000-0005-0000-0000-0000FFD00000}"/>
    <cellStyle name="Note 8 5 2 3 2 3" xfId="38509" xr:uid="{00000000-0005-0000-0000-000000D10000}"/>
    <cellStyle name="Note 8 5 2 3 3" xfId="19093" xr:uid="{00000000-0005-0000-0000-000001D10000}"/>
    <cellStyle name="Note 8 5 2 3 3 2" xfId="44967" xr:uid="{00000000-0005-0000-0000-000002D10000}"/>
    <cellStyle name="Note 8 5 2 3 4" xfId="32051" xr:uid="{00000000-0005-0000-0000-000003D10000}"/>
    <cellStyle name="Note 8 5 2 4" xfId="9406" xr:uid="{00000000-0005-0000-0000-000004D10000}"/>
    <cellStyle name="Note 8 5 2 4 2" xfId="22323" xr:uid="{00000000-0005-0000-0000-000005D10000}"/>
    <cellStyle name="Note 8 5 2 4 2 2" xfId="48197" xr:uid="{00000000-0005-0000-0000-000006D10000}"/>
    <cellStyle name="Note 8 5 2 4 3" xfId="35281" xr:uid="{00000000-0005-0000-0000-000007D10000}"/>
    <cellStyle name="Note 8 5 2 5" xfId="15865" xr:uid="{00000000-0005-0000-0000-000008D10000}"/>
    <cellStyle name="Note 8 5 2 5 2" xfId="41739" xr:uid="{00000000-0005-0000-0000-000009D10000}"/>
    <cellStyle name="Note 8 5 2 6" xfId="28791" xr:uid="{00000000-0005-0000-0000-00000AD10000}"/>
    <cellStyle name="Note 8 5 3" xfId="3728" xr:uid="{00000000-0005-0000-0000-00000BD10000}"/>
    <cellStyle name="Note 8 5 3 2" xfId="6982" xr:uid="{00000000-0005-0000-0000-00000CD10000}"/>
    <cellStyle name="Note 8 5 3 2 2" xfId="13441" xr:uid="{00000000-0005-0000-0000-00000DD10000}"/>
    <cellStyle name="Note 8 5 3 2 2 2" xfId="26358" xr:uid="{00000000-0005-0000-0000-00000ED10000}"/>
    <cellStyle name="Note 8 5 3 2 2 2 2" xfId="52232" xr:uid="{00000000-0005-0000-0000-00000FD10000}"/>
    <cellStyle name="Note 8 5 3 2 2 3" xfId="39316" xr:uid="{00000000-0005-0000-0000-000010D10000}"/>
    <cellStyle name="Note 8 5 3 2 3" xfId="19900" xr:uid="{00000000-0005-0000-0000-000011D10000}"/>
    <cellStyle name="Note 8 5 3 2 3 2" xfId="45774" xr:uid="{00000000-0005-0000-0000-000012D10000}"/>
    <cellStyle name="Note 8 5 3 2 4" xfId="32858" xr:uid="{00000000-0005-0000-0000-000013D10000}"/>
    <cellStyle name="Note 8 5 3 3" xfId="10213" xr:uid="{00000000-0005-0000-0000-000014D10000}"/>
    <cellStyle name="Note 8 5 3 3 2" xfId="23130" xr:uid="{00000000-0005-0000-0000-000015D10000}"/>
    <cellStyle name="Note 8 5 3 3 2 2" xfId="49004" xr:uid="{00000000-0005-0000-0000-000016D10000}"/>
    <cellStyle name="Note 8 5 3 3 3" xfId="36088" xr:uid="{00000000-0005-0000-0000-000017D10000}"/>
    <cellStyle name="Note 8 5 3 4" xfId="16672" xr:uid="{00000000-0005-0000-0000-000018D10000}"/>
    <cellStyle name="Note 8 5 3 4 2" xfId="42546" xr:uid="{00000000-0005-0000-0000-000019D10000}"/>
    <cellStyle name="Note 8 5 3 5" xfId="29598" xr:uid="{00000000-0005-0000-0000-00001AD10000}"/>
    <cellStyle name="Note 8 5 4" xfId="5368" xr:uid="{00000000-0005-0000-0000-00001BD10000}"/>
    <cellStyle name="Note 8 5 4 2" xfId="11827" xr:uid="{00000000-0005-0000-0000-00001CD10000}"/>
    <cellStyle name="Note 8 5 4 2 2" xfId="24744" xr:uid="{00000000-0005-0000-0000-00001DD10000}"/>
    <cellStyle name="Note 8 5 4 2 2 2" xfId="50618" xr:uid="{00000000-0005-0000-0000-00001ED10000}"/>
    <cellStyle name="Note 8 5 4 2 3" xfId="37702" xr:uid="{00000000-0005-0000-0000-00001FD10000}"/>
    <cellStyle name="Note 8 5 4 3" xfId="18286" xr:uid="{00000000-0005-0000-0000-000020D10000}"/>
    <cellStyle name="Note 8 5 4 3 2" xfId="44160" xr:uid="{00000000-0005-0000-0000-000021D10000}"/>
    <cellStyle name="Note 8 5 4 4" xfId="31244" xr:uid="{00000000-0005-0000-0000-000022D10000}"/>
    <cellStyle name="Note 8 5 5" xfId="8599" xr:uid="{00000000-0005-0000-0000-000023D10000}"/>
    <cellStyle name="Note 8 5 5 2" xfId="21516" xr:uid="{00000000-0005-0000-0000-000024D10000}"/>
    <cellStyle name="Note 8 5 5 2 2" xfId="47390" xr:uid="{00000000-0005-0000-0000-000025D10000}"/>
    <cellStyle name="Note 8 5 5 3" xfId="34474" xr:uid="{00000000-0005-0000-0000-000026D10000}"/>
    <cellStyle name="Note 8 5 6" xfId="15058" xr:uid="{00000000-0005-0000-0000-000027D10000}"/>
    <cellStyle name="Note 8 5 6 2" xfId="40932" xr:uid="{00000000-0005-0000-0000-000028D10000}"/>
    <cellStyle name="Note 8 5 7" xfId="27984" xr:uid="{00000000-0005-0000-0000-000029D10000}"/>
    <cellStyle name="Note 8 5 8" xfId="53846" xr:uid="{00000000-0005-0000-0000-00002AD10000}"/>
    <cellStyle name="Note 8 6" xfId="2494" xr:uid="{00000000-0005-0000-0000-00002BD10000}"/>
    <cellStyle name="Note 8 6 2" xfId="4151" xr:uid="{00000000-0005-0000-0000-00002CD10000}"/>
    <cellStyle name="Note 8 6 2 2" xfId="7382" xr:uid="{00000000-0005-0000-0000-00002DD10000}"/>
    <cellStyle name="Note 8 6 2 2 2" xfId="13841" xr:uid="{00000000-0005-0000-0000-00002ED10000}"/>
    <cellStyle name="Note 8 6 2 2 2 2" xfId="26758" xr:uid="{00000000-0005-0000-0000-00002FD10000}"/>
    <cellStyle name="Note 8 6 2 2 2 2 2" xfId="52632" xr:uid="{00000000-0005-0000-0000-000030D10000}"/>
    <cellStyle name="Note 8 6 2 2 2 3" xfId="39716" xr:uid="{00000000-0005-0000-0000-000031D10000}"/>
    <cellStyle name="Note 8 6 2 2 3" xfId="20300" xr:uid="{00000000-0005-0000-0000-000032D10000}"/>
    <cellStyle name="Note 8 6 2 2 3 2" xfId="46174" xr:uid="{00000000-0005-0000-0000-000033D10000}"/>
    <cellStyle name="Note 8 6 2 2 4" xfId="33258" xr:uid="{00000000-0005-0000-0000-000034D10000}"/>
    <cellStyle name="Note 8 6 2 3" xfId="10613" xr:uid="{00000000-0005-0000-0000-000035D10000}"/>
    <cellStyle name="Note 8 6 2 3 2" xfId="23530" xr:uid="{00000000-0005-0000-0000-000036D10000}"/>
    <cellStyle name="Note 8 6 2 3 2 2" xfId="49404" xr:uid="{00000000-0005-0000-0000-000037D10000}"/>
    <cellStyle name="Note 8 6 2 3 3" xfId="36488" xr:uid="{00000000-0005-0000-0000-000038D10000}"/>
    <cellStyle name="Note 8 6 2 4" xfId="17072" xr:uid="{00000000-0005-0000-0000-000039D10000}"/>
    <cellStyle name="Note 8 6 2 4 2" xfId="42946" xr:uid="{00000000-0005-0000-0000-00003AD10000}"/>
    <cellStyle name="Note 8 6 2 5" xfId="29998" xr:uid="{00000000-0005-0000-0000-00003BD10000}"/>
    <cellStyle name="Note 8 6 3" xfId="5768" xr:uid="{00000000-0005-0000-0000-00003CD10000}"/>
    <cellStyle name="Note 8 6 3 2" xfId="12227" xr:uid="{00000000-0005-0000-0000-00003DD10000}"/>
    <cellStyle name="Note 8 6 3 2 2" xfId="25144" xr:uid="{00000000-0005-0000-0000-00003ED10000}"/>
    <cellStyle name="Note 8 6 3 2 2 2" xfId="51018" xr:uid="{00000000-0005-0000-0000-00003FD10000}"/>
    <cellStyle name="Note 8 6 3 2 3" xfId="38102" xr:uid="{00000000-0005-0000-0000-000040D10000}"/>
    <cellStyle name="Note 8 6 3 3" xfId="18686" xr:uid="{00000000-0005-0000-0000-000041D10000}"/>
    <cellStyle name="Note 8 6 3 3 2" xfId="44560" xr:uid="{00000000-0005-0000-0000-000042D10000}"/>
    <cellStyle name="Note 8 6 3 4" xfId="31644" xr:uid="{00000000-0005-0000-0000-000043D10000}"/>
    <cellStyle name="Note 8 6 4" xfId="8999" xr:uid="{00000000-0005-0000-0000-000044D10000}"/>
    <cellStyle name="Note 8 6 4 2" xfId="21916" xr:uid="{00000000-0005-0000-0000-000045D10000}"/>
    <cellStyle name="Note 8 6 4 2 2" xfId="47790" xr:uid="{00000000-0005-0000-0000-000046D10000}"/>
    <cellStyle name="Note 8 6 4 3" xfId="34874" xr:uid="{00000000-0005-0000-0000-000047D10000}"/>
    <cellStyle name="Note 8 6 5" xfId="15458" xr:uid="{00000000-0005-0000-0000-000048D10000}"/>
    <cellStyle name="Note 8 6 5 2" xfId="41332" xr:uid="{00000000-0005-0000-0000-000049D10000}"/>
    <cellStyle name="Note 8 6 6" xfId="28384" xr:uid="{00000000-0005-0000-0000-00004AD10000}"/>
    <cellStyle name="Note 8 7" xfId="3310" xr:uid="{00000000-0005-0000-0000-00004BD10000}"/>
    <cellStyle name="Note 8 7 2" xfId="6575" xr:uid="{00000000-0005-0000-0000-00004CD10000}"/>
    <cellStyle name="Note 8 7 2 2" xfId="13034" xr:uid="{00000000-0005-0000-0000-00004DD10000}"/>
    <cellStyle name="Note 8 7 2 2 2" xfId="25951" xr:uid="{00000000-0005-0000-0000-00004ED10000}"/>
    <cellStyle name="Note 8 7 2 2 2 2" xfId="51825" xr:uid="{00000000-0005-0000-0000-00004FD10000}"/>
    <cellStyle name="Note 8 7 2 2 3" xfId="38909" xr:uid="{00000000-0005-0000-0000-000050D10000}"/>
    <cellStyle name="Note 8 7 2 3" xfId="19493" xr:uid="{00000000-0005-0000-0000-000051D10000}"/>
    <cellStyle name="Note 8 7 2 3 2" xfId="45367" xr:uid="{00000000-0005-0000-0000-000052D10000}"/>
    <cellStyle name="Note 8 7 2 4" xfId="32451" xr:uid="{00000000-0005-0000-0000-000053D10000}"/>
    <cellStyle name="Note 8 7 3" xfId="9806" xr:uid="{00000000-0005-0000-0000-000054D10000}"/>
    <cellStyle name="Note 8 7 3 2" xfId="22723" xr:uid="{00000000-0005-0000-0000-000055D10000}"/>
    <cellStyle name="Note 8 7 3 2 2" xfId="48597" xr:uid="{00000000-0005-0000-0000-000056D10000}"/>
    <cellStyle name="Note 8 7 3 3" xfId="35681" xr:uid="{00000000-0005-0000-0000-000057D10000}"/>
    <cellStyle name="Note 8 7 4" xfId="16265" xr:uid="{00000000-0005-0000-0000-000058D10000}"/>
    <cellStyle name="Note 8 7 4 2" xfId="42139" xr:uid="{00000000-0005-0000-0000-000059D10000}"/>
    <cellStyle name="Note 8 7 5" xfId="29191" xr:uid="{00000000-0005-0000-0000-00005AD10000}"/>
    <cellStyle name="Note 8 8" xfId="4961" xr:uid="{00000000-0005-0000-0000-00005BD10000}"/>
    <cellStyle name="Note 8 8 2" xfId="11420" xr:uid="{00000000-0005-0000-0000-00005CD10000}"/>
    <cellStyle name="Note 8 8 2 2" xfId="24337" xr:uid="{00000000-0005-0000-0000-00005DD10000}"/>
    <cellStyle name="Note 8 8 2 2 2" xfId="50211" xr:uid="{00000000-0005-0000-0000-00005ED10000}"/>
    <cellStyle name="Note 8 8 2 3" xfId="37295" xr:uid="{00000000-0005-0000-0000-00005FD10000}"/>
    <cellStyle name="Note 8 8 3" xfId="17879" xr:uid="{00000000-0005-0000-0000-000060D10000}"/>
    <cellStyle name="Note 8 8 3 2" xfId="43753" xr:uid="{00000000-0005-0000-0000-000061D10000}"/>
    <cellStyle name="Note 8 8 4" xfId="30837" xr:uid="{00000000-0005-0000-0000-000062D10000}"/>
    <cellStyle name="Note 8 9" xfId="8189" xr:uid="{00000000-0005-0000-0000-000063D10000}"/>
    <cellStyle name="Note 8 9 2" xfId="21107" xr:uid="{00000000-0005-0000-0000-000064D10000}"/>
    <cellStyle name="Note 8 9 2 2" xfId="46981" xr:uid="{00000000-0005-0000-0000-000065D10000}"/>
    <cellStyle name="Note 8 9 3" xfId="34065" xr:uid="{00000000-0005-0000-0000-000066D10000}"/>
    <cellStyle name="Note 9" xfId="1371" xr:uid="{00000000-0005-0000-0000-000067D10000}"/>
    <cellStyle name="Note 9 2" xfId="1372" xr:uid="{00000000-0005-0000-0000-000068D10000}"/>
    <cellStyle name="Note 9 3" xfId="1373" xr:uid="{00000000-0005-0000-0000-000069D10000}"/>
    <cellStyle name="Note 9 3 10" xfId="27608" xr:uid="{00000000-0005-0000-0000-00006AD10000}"/>
    <cellStyle name="Note 9 3 11" xfId="53474" xr:uid="{00000000-0005-0000-0000-00006BD10000}"/>
    <cellStyle name="Note 9 3 2" xfId="1749" xr:uid="{00000000-0005-0000-0000-00006CD10000}"/>
    <cellStyle name="Note 9 3 2 10" xfId="53603" xr:uid="{00000000-0005-0000-0000-00006DD10000}"/>
    <cellStyle name="Note 9 3 2 2" xfId="2012" xr:uid="{00000000-0005-0000-0000-00006ED10000}"/>
    <cellStyle name="Note 9 3 2 2 2" xfId="2443" xr:uid="{00000000-0005-0000-0000-00006FD10000}"/>
    <cellStyle name="Note 9 3 2 2 2 2" xfId="3256" xr:uid="{00000000-0005-0000-0000-000070D10000}"/>
    <cellStyle name="Note 9 3 2 2 2 2 2" xfId="4913" xr:uid="{00000000-0005-0000-0000-000071D10000}"/>
    <cellStyle name="Note 9 3 2 2 2 2 2 2" xfId="8144" xr:uid="{00000000-0005-0000-0000-000072D10000}"/>
    <cellStyle name="Note 9 3 2 2 2 2 2 2 2" xfId="14603" xr:uid="{00000000-0005-0000-0000-000073D10000}"/>
    <cellStyle name="Note 9 3 2 2 2 2 2 2 2 2" xfId="27520" xr:uid="{00000000-0005-0000-0000-000074D10000}"/>
    <cellStyle name="Note 9 3 2 2 2 2 2 2 2 2 2" xfId="53394" xr:uid="{00000000-0005-0000-0000-000075D10000}"/>
    <cellStyle name="Note 9 3 2 2 2 2 2 2 2 3" xfId="40478" xr:uid="{00000000-0005-0000-0000-000076D10000}"/>
    <cellStyle name="Note 9 3 2 2 2 2 2 2 3" xfId="21062" xr:uid="{00000000-0005-0000-0000-000077D10000}"/>
    <cellStyle name="Note 9 3 2 2 2 2 2 2 3 2" xfId="46936" xr:uid="{00000000-0005-0000-0000-000078D10000}"/>
    <cellStyle name="Note 9 3 2 2 2 2 2 2 4" xfId="34020" xr:uid="{00000000-0005-0000-0000-000079D10000}"/>
    <cellStyle name="Note 9 3 2 2 2 2 2 3" xfId="11375" xr:uid="{00000000-0005-0000-0000-00007AD10000}"/>
    <cellStyle name="Note 9 3 2 2 2 2 2 3 2" xfId="24292" xr:uid="{00000000-0005-0000-0000-00007BD10000}"/>
    <cellStyle name="Note 9 3 2 2 2 2 2 3 2 2" xfId="50166" xr:uid="{00000000-0005-0000-0000-00007CD10000}"/>
    <cellStyle name="Note 9 3 2 2 2 2 2 3 3" xfId="37250" xr:uid="{00000000-0005-0000-0000-00007DD10000}"/>
    <cellStyle name="Note 9 3 2 2 2 2 2 4" xfId="17834" xr:uid="{00000000-0005-0000-0000-00007ED10000}"/>
    <cellStyle name="Note 9 3 2 2 2 2 2 4 2" xfId="43708" xr:uid="{00000000-0005-0000-0000-00007FD10000}"/>
    <cellStyle name="Note 9 3 2 2 2 2 2 5" xfId="30760" xr:uid="{00000000-0005-0000-0000-000080D10000}"/>
    <cellStyle name="Note 9 3 2 2 2 2 3" xfId="6530" xr:uid="{00000000-0005-0000-0000-000081D10000}"/>
    <cellStyle name="Note 9 3 2 2 2 2 3 2" xfId="12989" xr:uid="{00000000-0005-0000-0000-000082D10000}"/>
    <cellStyle name="Note 9 3 2 2 2 2 3 2 2" xfId="25906" xr:uid="{00000000-0005-0000-0000-000083D10000}"/>
    <cellStyle name="Note 9 3 2 2 2 2 3 2 2 2" xfId="51780" xr:uid="{00000000-0005-0000-0000-000084D10000}"/>
    <cellStyle name="Note 9 3 2 2 2 2 3 2 3" xfId="38864" xr:uid="{00000000-0005-0000-0000-000085D10000}"/>
    <cellStyle name="Note 9 3 2 2 2 2 3 3" xfId="19448" xr:uid="{00000000-0005-0000-0000-000086D10000}"/>
    <cellStyle name="Note 9 3 2 2 2 2 3 3 2" xfId="45322" xr:uid="{00000000-0005-0000-0000-000087D10000}"/>
    <cellStyle name="Note 9 3 2 2 2 2 3 4" xfId="32406" xr:uid="{00000000-0005-0000-0000-000088D10000}"/>
    <cellStyle name="Note 9 3 2 2 2 2 4" xfId="9761" xr:uid="{00000000-0005-0000-0000-000089D10000}"/>
    <cellStyle name="Note 9 3 2 2 2 2 4 2" xfId="22678" xr:uid="{00000000-0005-0000-0000-00008AD10000}"/>
    <cellStyle name="Note 9 3 2 2 2 2 4 2 2" xfId="48552" xr:uid="{00000000-0005-0000-0000-00008BD10000}"/>
    <cellStyle name="Note 9 3 2 2 2 2 4 3" xfId="35636" xr:uid="{00000000-0005-0000-0000-00008CD10000}"/>
    <cellStyle name="Note 9 3 2 2 2 2 5" xfId="16220" xr:uid="{00000000-0005-0000-0000-00008DD10000}"/>
    <cellStyle name="Note 9 3 2 2 2 2 5 2" xfId="42094" xr:uid="{00000000-0005-0000-0000-00008ED10000}"/>
    <cellStyle name="Note 9 3 2 2 2 2 6" xfId="29146" xr:uid="{00000000-0005-0000-0000-00008FD10000}"/>
    <cellStyle name="Note 9 3 2 2 2 3" xfId="4083" xr:uid="{00000000-0005-0000-0000-000090D10000}"/>
    <cellStyle name="Note 9 3 2 2 2 3 2" xfId="7337" xr:uid="{00000000-0005-0000-0000-000091D10000}"/>
    <cellStyle name="Note 9 3 2 2 2 3 2 2" xfId="13796" xr:uid="{00000000-0005-0000-0000-000092D10000}"/>
    <cellStyle name="Note 9 3 2 2 2 3 2 2 2" xfId="26713" xr:uid="{00000000-0005-0000-0000-000093D10000}"/>
    <cellStyle name="Note 9 3 2 2 2 3 2 2 2 2" xfId="52587" xr:uid="{00000000-0005-0000-0000-000094D10000}"/>
    <cellStyle name="Note 9 3 2 2 2 3 2 2 3" xfId="39671" xr:uid="{00000000-0005-0000-0000-000095D10000}"/>
    <cellStyle name="Note 9 3 2 2 2 3 2 3" xfId="20255" xr:uid="{00000000-0005-0000-0000-000096D10000}"/>
    <cellStyle name="Note 9 3 2 2 2 3 2 3 2" xfId="46129" xr:uid="{00000000-0005-0000-0000-000097D10000}"/>
    <cellStyle name="Note 9 3 2 2 2 3 2 4" xfId="33213" xr:uid="{00000000-0005-0000-0000-000098D10000}"/>
    <cellStyle name="Note 9 3 2 2 2 3 3" xfId="10568" xr:uid="{00000000-0005-0000-0000-000099D10000}"/>
    <cellStyle name="Note 9 3 2 2 2 3 3 2" xfId="23485" xr:uid="{00000000-0005-0000-0000-00009AD10000}"/>
    <cellStyle name="Note 9 3 2 2 2 3 3 2 2" xfId="49359" xr:uid="{00000000-0005-0000-0000-00009BD10000}"/>
    <cellStyle name="Note 9 3 2 2 2 3 3 3" xfId="36443" xr:uid="{00000000-0005-0000-0000-00009CD10000}"/>
    <cellStyle name="Note 9 3 2 2 2 3 4" xfId="17027" xr:uid="{00000000-0005-0000-0000-00009DD10000}"/>
    <cellStyle name="Note 9 3 2 2 2 3 4 2" xfId="42901" xr:uid="{00000000-0005-0000-0000-00009ED10000}"/>
    <cellStyle name="Note 9 3 2 2 2 3 5" xfId="29953" xr:uid="{00000000-0005-0000-0000-00009FD10000}"/>
    <cellStyle name="Note 9 3 2 2 2 4" xfId="5723" xr:uid="{00000000-0005-0000-0000-0000A0D10000}"/>
    <cellStyle name="Note 9 3 2 2 2 4 2" xfId="12182" xr:uid="{00000000-0005-0000-0000-0000A1D10000}"/>
    <cellStyle name="Note 9 3 2 2 2 4 2 2" xfId="25099" xr:uid="{00000000-0005-0000-0000-0000A2D10000}"/>
    <cellStyle name="Note 9 3 2 2 2 4 2 2 2" xfId="50973" xr:uid="{00000000-0005-0000-0000-0000A3D10000}"/>
    <cellStyle name="Note 9 3 2 2 2 4 2 3" xfId="38057" xr:uid="{00000000-0005-0000-0000-0000A4D10000}"/>
    <cellStyle name="Note 9 3 2 2 2 4 3" xfId="18641" xr:uid="{00000000-0005-0000-0000-0000A5D10000}"/>
    <cellStyle name="Note 9 3 2 2 2 4 3 2" xfId="44515" xr:uid="{00000000-0005-0000-0000-0000A6D10000}"/>
    <cellStyle name="Note 9 3 2 2 2 4 4" xfId="31599" xr:uid="{00000000-0005-0000-0000-0000A7D10000}"/>
    <cellStyle name="Note 9 3 2 2 2 5" xfId="8954" xr:uid="{00000000-0005-0000-0000-0000A8D10000}"/>
    <cellStyle name="Note 9 3 2 2 2 5 2" xfId="21871" xr:uid="{00000000-0005-0000-0000-0000A9D10000}"/>
    <cellStyle name="Note 9 3 2 2 2 5 2 2" xfId="47745" xr:uid="{00000000-0005-0000-0000-0000AAD10000}"/>
    <cellStyle name="Note 9 3 2 2 2 5 3" xfId="34829" xr:uid="{00000000-0005-0000-0000-0000ABD10000}"/>
    <cellStyle name="Note 9 3 2 2 2 6" xfId="15413" xr:uid="{00000000-0005-0000-0000-0000ACD10000}"/>
    <cellStyle name="Note 9 3 2 2 2 6 2" xfId="41287" xr:uid="{00000000-0005-0000-0000-0000ADD10000}"/>
    <cellStyle name="Note 9 3 2 2 2 7" xfId="28339" xr:uid="{00000000-0005-0000-0000-0000AED10000}"/>
    <cellStyle name="Note 9 3 2 2 2 8" xfId="54201" xr:uid="{00000000-0005-0000-0000-0000AFD10000}"/>
    <cellStyle name="Note 9 3 2 2 3" xfId="2852" xr:uid="{00000000-0005-0000-0000-0000B0D10000}"/>
    <cellStyle name="Note 9 3 2 2 3 2" xfId="4509" xr:uid="{00000000-0005-0000-0000-0000B1D10000}"/>
    <cellStyle name="Note 9 3 2 2 3 2 2" xfId="7740" xr:uid="{00000000-0005-0000-0000-0000B2D10000}"/>
    <cellStyle name="Note 9 3 2 2 3 2 2 2" xfId="14199" xr:uid="{00000000-0005-0000-0000-0000B3D10000}"/>
    <cellStyle name="Note 9 3 2 2 3 2 2 2 2" xfId="27116" xr:uid="{00000000-0005-0000-0000-0000B4D10000}"/>
    <cellStyle name="Note 9 3 2 2 3 2 2 2 2 2" xfId="52990" xr:uid="{00000000-0005-0000-0000-0000B5D10000}"/>
    <cellStyle name="Note 9 3 2 2 3 2 2 2 3" xfId="40074" xr:uid="{00000000-0005-0000-0000-0000B6D10000}"/>
    <cellStyle name="Note 9 3 2 2 3 2 2 3" xfId="20658" xr:uid="{00000000-0005-0000-0000-0000B7D10000}"/>
    <cellStyle name="Note 9 3 2 2 3 2 2 3 2" xfId="46532" xr:uid="{00000000-0005-0000-0000-0000B8D10000}"/>
    <cellStyle name="Note 9 3 2 2 3 2 2 4" xfId="33616" xr:uid="{00000000-0005-0000-0000-0000B9D10000}"/>
    <cellStyle name="Note 9 3 2 2 3 2 3" xfId="10971" xr:uid="{00000000-0005-0000-0000-0000BAD10000}"/>
    <cellStyle name="Note 9 3 2 2 3 2 3 2" xfId="23888" xr:uid="{00000000-0005-0000-0000-0000BBD10000}"/>
    <cellStyle name="Note 9 3 2 2 3 2 3 2 2" xfId="49762" xr:uid="{00000000-0005-0000-0000-0000BCD10000}"/>
    <cellStyle name="Note 9 3 2 2 3 2 3 3" xfId="36846" xr:uid="{00000000-0005-0000-0000-0000BDD10000}"/>
    <cellStyle name="Note 9 3 2 2 3 2 4" xfId="17430" xr:uid="{00000000-0005-0000-0000-0000BED10000}"/>
    <cellStyle name="Note 9 3 2 2 3 2 4 2" xfId="43304" xr:uid="{00000000-0005-0000-0000-0000BFD10000}"/>
    <cellStyle name="Note 9 3 2 2 3 2 5" xfId="30356" xr:uid="{00000000-0005-0000-0000-0000C0D10000}"/>
    <cellStyle name="Note 9 3 2 2 3 3" xfId="6126" xr:uid="{00000000-0005-0000-0000-0000C1D10000}"/>
    <cellStyle name="Note 9 3 2 2 3 3 2" xfId="12585" xr:uid="{00000000-0005-0000-0000-0000C2D10000}"/>
    <cellStyle name="Note 9 3 2 2 3 3 2 2" xfId="25502" xr:uid="{00000000-0005-0000-0000-0000C3D10000}"/>
    <cellStyle name="Note 9 3 2 2 3 3 2 2 2" xfId="51376" xr:uid="{00000000-0005-0000-0000-0000C4D10000}"/>
    <cellStyle name="Note 9 3 2 2 3 3 2 3" xfId="38460" xr:uid="{00000000-0005-0000-0000-0000C5D10000}"/>
    <cellStyle name="Note 9 3 2 2 3 3 3" xfId="19044" xr:uid="{00000000-0005-0000-0000-0000C6D10000}"/>
    <cellStyle name="Note 9 3 2 2 3 3 3 2" xfId="44918" xr:uid="{00000000-0005-0000-0000-0000C7D10000}"/>
    <cellStyle name="Note 9 3 2 2 3 3 4" xfId="32002" xr:uid="{00000000-0005-0000-0000-0000C8D10000}"/>
    <cellStyle name="Note 9 3 2 2 3 4" xfId="9357" xr:uid="{00000000-0005-0000-0000-0000C9D10000}"/>
    <cellStyle name="Note 9 3 2 2 3 4 2" xfId="22274" xr:uid="{00000000-0005-0000-0000-0000CAD10000}"/>
    <cellStyle name="Note 9 3 2 2 3 4 2 2" xfId="48148" xr:uid="{00000000-0005-0000-0000-0000CBD10000}"/>
    <cellStyle name="Note 9 3 2 2 3 4 3" xfId="35232" xr:uid="{00000000-0005-0000-0000-0000CCD10000}"/>
    <cellStyle name="Note 9 3 2 2 3 5" xfId="15816" xr:uid="{00000000-0005-0000-0000-0000CDD10000}"/>
    <cellStyle name="Note 9 3 2 2 3 5 2" xfId="41690" xr:uid="{00000000-0005-0000-0000-0000CED10000}"/>
    <cellStyle name="Note 9 3 2 2 3 6" xfId="28742" xr:uid="{00000000-0005-0000-0000-0000CFD10000}"/>
    <cellStyle name="Note 9 3 2 2 4" xfId="3679" xr:uid="{00000000-0005-0000-0000-0000D0D10000}"/>
    <cellStyle name="Note 9 3 2 2 4 2" xfId="6933" xr:uid="{00000000-0005-0000-0000-0000D1D10000}"/>
    <cellStyle name="Note 9 3 2 2 4 2 2" xfId="13392" xr:uid="{00000000-0005-0000-0000-0000D2D10000}"/>
    <cellStyle name="Note 9 3 2 2 4 2 2 2" xfId="26309" xr:uid="{00000000-0005-0000-0000-0000D3D10000}"/>
    <cellStyle name="Note 9 3 2 2 4 2 2 2 2" xfId="52183" xr:uid="{00000000-0005-0000-0000-0000D4D10000}"/>
    <cellStyle name="Note 9 3 2 2 4 2 2 3" xfId="39267" xr:uid="{00000000-0005-0000-0000-0000D5D10000}"/>
    <cellStyle name="Note 9 3 2 2 4 2 3" xfId="19851" xr:uid="{00000000-0005-0000-0000-0000D6D10000}"/>
    <cellStyle name="Note 9 3 2 2 4 2 3 2" xfId="45725" xr:uid="{00000000-0005-0000-0000-0000D7D10000}"/>
    <cellStyle name="Note 9 3 2 2 4 2 4" xfId="32809" xr:uid="{00000000-0005-0000-0000-0000D8D10000}"/>
    <cellStyle name="Note 9 3 2 2 4 3" xfId="10164" xr:uid="{00000000-0005-0000-0000-0000D9D10000}"/>
    <cellStyle name="Note 9 3 2 2 4 3 2" xfId="23081" xr:uid="{00000000-0005-0000-0000-0000DAD10000}"/>
    <cellStyle name="Note 9 3 2 2 4 3 2 2" xfId="48955" xr:uid="{00000000-0005-0000-0000-0000DBD10000}"/>
    <cellStyle name="Note 9 3 2 2 4 3 3" xfId="36039" xr:uid="{00000000-0005-0000-0000-0000DCD10000}"/>
    <cellStyle name="Note 9 3 2 2 4 4" xfId="16623" xr:uid="{00000000-0005-0000-0000-0000DDD10000}"/>
    <cellStyle name="Note 9 3 2 2 4 4 2" xfId="42497" xr:uid="{00000000-0005-0000-0000-0000DED10000}"/>
    <cellStyle name="Note 9 3 2 2 4 5" xfId="29549" xr:uid="{00000000-0005-0000-0000-0000DFD10000}"/>
    <cellStyle name="Note 9 3 2 2 5" xfId="5319" xr:uid="{00000000-0005-0000-0000-0000E0D10000}"/>
    <cellStyle name="Note 9 3 2 2 5 2" xfId="11778" xr:uid="{00000000-0005-0000-0000-0000E1D10000}"/>
    <cellStyle name="Note 9 3 2 2 5 2 2" xfId="24695" xr:uid="{00000000-0005-0000-0000-0000E2D10000}"/>
    <cellStyle name="Note 9 3 2 2 5 2 2 2" xfId="50569" xr:uid="{00000000-0005-0000-0000-0000E3D10000}"/>
    <cellStyle name="Note 9 3 2 2 5 2 3" xfId="37653" xr:uid="{00000000-0005-0000-0000-0000E4D10000}"/>
    <cellStyle name="Note 9 3 2 2 5 3" xfId="18237" xr:uid="{00000000-0005-0000-0000-0000E5D10000}"/>
    <cellStyle name="Note 9 3 2 2 5 3 2" xfId="44111" xr:uid="{00000000-0005-0000-0000-0000E6D10000}"/>
    <cellStyle name="Note 9 3 2 2 5 4" xfId="31195" xr:uid="{00000000-0005-0000-0000-0000E7D10000}"/>
    <cellStyle name="Note 9 3 2 2 6" xfId="8550" xr:uid="{00000000-0005-0000-0000-0000E8D10000}"/>
    <cellStyle name="Note 9 3 2 2 6 2" xfId="21467" xr:uid="{00000000-0005-0000-0000-0000E9D10000}"/>
    <cellStyle name="Note 9 3 2 2 6 2 2" xfId="47341" xr:uid="{00000000-0005-0000-0000-0000EAD10000}"/>
    <cellStyle name="Note 9 3 2 2 6 3" xfId="34425" xr:uid="{00000000-0005-0000-0000-0000EBD10000}"/>
    <cellStyle name="Note 9 3 2 2 7" xfId="15009" xr:uid="{00000000-0005-0000-0000-0000ECD10000}"/>
    <cellStyle name="Note 9 3 2 2 7 2" xfId="40883" xr:uid="{00000000-0005-0000-0000-0000EDD10000}"/>
    <cellStyle name="Note 9 3 2 2 8" xfId="27934" xr:uid="{00000000-0005-0000-0000-0000EED10000}"/>
    <cellStyle name="Note 9 3 2 2 9" xfId="53797" xr:uid="{00000000-0005-0000-0000-0000EFD10000}"/>
    <cellStyle name="Note 9 3 2 3" xfId="2247" xr:uid="{00000000-0005-0000-0000-0000F0D10000}"/>
    <cellStyle name="Note 9 3 2 3 2" xfId="3061" xr:uid="{00000000-0005-0000-0000-0000F1D10000}"/>
    <cellStyle name="Note 9 3 2 3 2 2" xfId="4718" xr:uid="{00000000-0005-0000-0000-0000F2D10000}"/>
    <cellStyle name="Note 9 3 2 3 2 2 2" xfId="7949" xr:uid="{00000000-0005-0000-0000-0000F3D10000}"/>
    <cellStyle name="Note 9 3 2 3 2 2 2 2" xfId="14408" xr:uid="{00000000-0005-0000-0000-0000F4D10000}"/>
    <cellStyle name="Note 9 3 2 3 2 2 2 2 2" xfId="27325" xr:uid="{00000000-0005-0000-0000-0000F5D10000}"/>
    <cellStyle name="Note 9 3 2 3 2 2 2 2 2 2" xfId="53199" xr:uid="{00000000-0005-0000-0000-0000F6D10000}"/>
    <cellStyle name="Note 9 3 2 3 2 2 2 2 3" xfId="40283" xr:uid="{00000000-0005-0000-0000-0000F7D10000}"/>
    <cellStyle name="Note 9 3 2 3 2 2 2 3" xfId="20867" xr:uid="{00000000-0005-0000-0000-0000F8D10000}"/>
    <cellStyle name="Note 9 3 2 3 2 2 2 3 2" xfId="46741" xr:uid="{00000000-0005-0000-0000-0000F9D10000}"/>
    <cellStyle name="Note 9 3 2 3 2 2 2 4" xfId="33825" xr:uid="{00000000-0005-0000-0000-0000FAD10000}"/>
    <cellStyle name="Note 9 3 2 3 2 2 3" xfId="11180" xr:uid="{00000000-0005-0000-0000-0000FBD10000}"/>
    <cellStyle name="Note 9 3 2 3 2 2 3 2" xfId="24097" xr:uid="{00000000-0005-0000-0000-0000FCD10000}"/>
    <cellStyle name="Note 9 3 2 3 2 2 3 2 2" xfId="49971" xr:uid="{00000000-0005-0000-0000-0000FDD10000}"/>
    <cellStyle name="Note 9 3 2 3 2 2 3 3" xfId="37055" xr:uid="{00000000-0005-0000-0000-0000FED10000}"/>
    <cellStyle name="Note 9 3 2 3 2 2 4" xfId="17639" xr:uid="{00000000-0005-0000-0000-0000FFD10000}"/>
    <cellStyle name="Note 9 3 2 3 2 2 4 2" xfId="43513" xr:uid="{00000000-0005-0000-0000-000000D20000}"/>
    <cellStyle name="Note 9 3 2 3 2 2 5" xfId="30565" xr:uid="{00000000-0005-0000-0000-000001D20000}"/>
    <cellStyle name="Note 9 3 2 3 2 3" xfId="6335" xr:uid="{00000000-0005-0000-0000-000002D20000}"/>
    <cellStyle name="Note 9 3 2 3 2 3 2" xfId="12794" xr:uid="{00000000-0005-0000-0000-000003D20000}"/>
    <cellStyle name="Note 9 3 2 3 2 3 2 2" xfId="25711" xr:uid="{00000000-0005-0000-0000-000004D20000}"/>
    <cellStyle name="Note 9 3 2 3 2 3 2 2 2" xfId="51585" xr:uid="{00000000-0005-0000-0000-000005D20000}"/>
    <cellStyle name="Note 9 3 2 3 2 3 2 3" xfId="38669" xr:uid="{00000000-0005-0000-0000-000006D20000}"/>
    <cellStyle name="Note 9 3 2 3 2 3 3" xfId="19253" xr:uid="{00000000-0005-0000-0000-000007D20000}"/>
    <cellStyle name="Note 9 3 2 3 2 3 3 2" xfId="45127" xr:uid="{00000000-0005-0000-0000-000008D20000}"/>
    <cellStyle name="Note 9 3 2 3 2 3 4" xfId="32211" xr:uid="{00000000-0005-0000-0000-000009D20000}"/>
    <cellStyle name="Note 9 3 2 3 2 4" xfId="9566" xr:uid="{00000000-0005-0000-0000-00000AD20000}"/>
    <cellStyle name="Note 9 3 2 3 2 4 2" xfId="22483" xr:uid="{00000000-0005-0000-0000-00000BD20000}"/>
    <cellStyle name="Note 9 3 2 3 2 4 2 2" xfId="48357" xr:uid="{00000000-0005-0000-0000-00000CD20000}"/>
    <cellStyle name="Note 9 3 2 3 2 4 3" xfId="35441" xr:uid="{00000000-0005-0000-0000-00000DD20000}"/>
    <cellStyle name="Note 9 3 2 3 2 5" xfId="16025" xr:uid="{00000000-0005-0000-0000-00000ED20000}"/>
    <cellStyle name="Note 9 3 2 3 2 5 2" xfId="41899" xr:uid="{00000000-0005-0000-0000-00000FD20000}"/>
    <cellStyle name="Note 9 3 2 3 2 6" xfId="28951" xr:uid="{00000000-0005-0000-0000-000010D20000}"/>
    <cellStyle name="Note 9 3 2 3 3" xfId="3888" xr:uid="{00000000-0005-0000-0000-000011D20000}"/>
    <cellStyle name="Note 9 3 2 3 3 2" xfId="7142" xr:uid="{00000000-0005-0000-0000-000012D20000}"/>
    <cellStyle name="Note 9 3 2 3 3 2 2" xfId="13601" xr:uid="{00000000-0005-0000-0000-000013D20000}"/>
    <cellStyle name="Note 9 3 2 3 3 2 2 2" xfId="26518" xr:uid="{00000000-0005-0000-0000-000014D20000}"/>
    <cellStyle name="Note 9 3 2 3 3 2 2 2 2" xfId="52392" xr:uid="{00000000-0005-0000-0000-000015D20000}"/>
    <cellStyle name="Note 9 3 2 3 3 2 2 3" xfId="39476" xr:uid="{00000000-0005-0000-0000-000016D20000}"/>
    <cellStyle name="Note 9 3 2 3 3 2 3" xfId="20060" xr:uid="{00000000-0005-0000-0000-000017D20000}"/>
    <cellStyle name="Note 9 3 2 3 3 2 3 2" xfId="45934" xr:uid="{00000000-0005-0000-0000-000018D20000}"/>
    <cellStyle name="Note 9 3 2 3 3 2 4" xfId="33018" xr:uid="{00000000-0005-0000-0000-000019D20000}"/>
    <cellStyle name="Note 9 3 2 3 3 3" xfId="10373" xr:uid="{00000000-0005-0000-0000-00001AD20000}"/>
    <cellStyle name="Note 9 3 2 3 3 3 2" xfId="23290" xr:uid="{00000000-0005-0000-0000-00001BD20000}"/>
    <cellStyle name="Note 9 3 2 3 3 3 2 2" xfId="49164" xr:uid="{00000000-0005-0000-0000-00001CD20000}"/>
    <cellStyle name="Note 9 3 2 3 3 3 3" xfId="36248" xr:uid="{00000000-0005-0000-0000-00001DD20000}"/>
    <cellStyle name="Note 9 3 2 3 3 4" xfId="16832" xr:uid="{00000000-0005-0000-0000-00001ED20000}"/>
    <cellStyle name="Note 9 3 2 3 3 4 2" xfId="42706" xr:uid="{00000000-0005-0000-0000-00001FD20000}"/>
    <cellStyle name="Note 9 3 2 3 3 5" xfId="29758" xr:uid="{00000000-0005-0000-0000-000020D20000}"/>
    <cellStyle name="Note 9 3 2 3 4" xfId="5528" xr:uid="{00000000-0005-0000-0000-000021D20000}"/>
    <cellStyle name="Note 9 3 2 3 4 2" xfId="11987" xr:uid="{00000000-0005-0000-0000-000022D20000}"/>
    <cellStyle name="Note 9 3 2 3 4 2 2" xfId="24904" xr:uid="{00000000-0005-0000-0000-000023D20000}"/>
    <cellStyle name="Note 9 3 2 3 4 2 2 2" xfId="50778" xr:uid="{00000000-0005-0000-0000-000024D20000}"/>
    <cellStyle name="Note 9 3 2 3 4 2 3" xfId="37862" xr:uid="{00000000-0005-0000-0000-000025D20000}"/>
    <cellStyle name="Note 9 3 2 3 4 3" xfId="18446" xr:uid="{00000000-0005-0000-0000-000026D20000}"/>
    <cellStyle name="Note 9 3 2 3 4 3 2" xfId="44320" xr:uid="{00000000-0005-0000-0000-000027D20000}"/>
    <cellStyle name="Note 9 3 2 3 4 4" xfId="31404" xr:uid="{00000000-0005-0000-0000-000028D20000}"/>
    <cellStyle name="Note 9 3 2 3 5" xfId="8759" xr:uid="{00000000-0005-0000-0000-000029D20000}"/>
    <cellStyle name="Note 9 3 2 3 5 2" xfId="21676" xr:uid="{00000000-0005-0000-0000-00002AD20000}"/>
    <cellStyle name="Note 9 3 2 3 5 2 2" xfId="47550" xr:uid="{00000000-0005-0000-0000-00002BD20000}"/>
    <cellStyle name="Note 9 3 2 3 5 3" xfId="34634" xr:uid="{00000000-0005-0000-0000-00002CD20000}"/>
    <cellStyle name="Note 9 3 2 3 6" xfId="15218" xr:uid="{00000000-0005-0000-0000-00002DD20000}"/>
    <cellStyle name="Note 9 3 2 3 6 2" xfId="41092" xr:uid="{00000000-0005-0000-0000-00002ED20000}"/>
    <cellStyle name="Note 9 3 2 3 7" xfId="28144" xr:uid="{00000000-0005-0000-0000-00002FD20000}"/>
    <cellStyle name="Note 9 3 2 3 8" xfId="54006" xr:uid="{00000000-0005-0000-0000-000030D20000}"/>
    <cellStyle name="Note 9 3 2 4" xfId="2658" xr:uid="{00000000-0005-0000-0000-000031D20000}"/>
    <cellStyle name="Note 9 3 2 4 2" xfId="4315" xr:uid="{00000000-0005-0000-0000-000032D20000}"/>
    <cellStyle name="Note 9 3 2 4 2 2" xfId="7546" xr:uid="{00000000-0005-0000-0000-000033D20000}"/>
    <cellStyle name="Note 9 3 2 4 2 2 2" xfId="14005" xr:uid="{00000000-0005-0000-0000-000034D20000}"/>
    <cellStyle name="Note 9 3 2 4 2 2 2 2" xfId="26922" xr:uid="{00000000-0005-0000-0000-000035D20000}"/>
    <cellStyle name="Note 9 3 2 4 2 2 2 2 2" xfId="52796" xr:uid="{00000000-0005-0000-0000-000036D20000}"/>
    <cellStyle name="Note 9 3 2 4 2 2 2 3" xfId="39880" xr:uid="{00000000-0005-0000-0000-000037D20000}"/>
    <cellStyle name="Note 9 3 2 4 2 2 3" xfId="20464" xr:uid="{00000000-0005-0000-0000-000038D20000}"/>
    <cellStyle name="Note 9 3 2 4 2 2 3 2" xfId="46338" xr:uid="{00000000-0005-0000-0000-000039D20000}"/>
    <cellStyle name="Note 9 3 2 4 2 2 4" xfId="33422" xr:uid="{00000000-0005-0000-0000-00003AD20000}"/>
    <cellStyle name="Note 9 3 2 4 2 3" xfId="10777" xr:uid="{00000000-0005-0000-0000-00003BD20000}"/>
    <cellStyle name="Note 9 3 2 4 2 3 2" xfId="23694" xr:uid="{00000000-0005-0000-0000-00003CD20000}"/>
    <cellStyle name="Note 9 3 2 4 2 3 2 2" xfId="49568" xr:uid="{00000000-0005-0000-0000-00003DD20000}"/>
    <cellStyle name="Note 9 3 2 4 2 3 3" xfId="36652" xr:uid="{00000000-0005-0000-0000-00003ED20000}"/>
    <cellStyle name="Note 9 3 2 4 2 4" xfId="17236" xr:uid="{00000000-0005-0000-0000-00003FD20000}"/>
    <cellStyle name="Note 9 3 2 4 2 4 2" xfId="43110" xr:uid="{00000000-0005-0000-0000-000040D20000}"/>
    <cellStyle name="Note 9 3 2 4 2 5" xfId="30162" xr:uid="{00000000-0005-0000-0000-000041D20000}"/>
    <cellStyle name="Note 9 3 2 4 3" xfId="5932" xr:uid="{00000000-0005-0000-0000-000042D20000}"/>
    <cellStyle name="Note 9 3 2 4 3 2" xfId="12391" xr:uid="{00000000-0005-0000-0000-000043D20000}"/>
    <cellStyle name="Note 9 3 2 4 3 2 2" xfId="25308" xr:uid="{00000000-0005-0000-0000-000044D20000}"/>
    <cellStyle name="Note 9 3 2 4 3 2 2 2" xfId="51182" xr:uid="{00000000-0005-0000-0000-000045D20000}"/>
    <cellStyle name="Note 9 3 2 4 3 2 3" xfId="38266" xr:uid="{00000000-0005-0000-0000-000046D20000}"/>
    <cellStyle name="Note 9 3 2 4 3 3" xfId="18850" xr:uid="{00000000-0005-0000-0000-000047D20000}"/>
    <cellStyle name="Note 9 3 2 4 3 3 2" xfId="44724" xr:uid="{00000000-0005-0000-0000-000048D20000}"/>
    <cellStyle name="Note 9 3 2 4 3 4" xfId="31808" xr:uid="{00000000-0005-0000-0000-000049D20000}"/>
    <cellStyle name="Note 9 3 2 4 4" xfId="9163" xr:uid="{00000000-0005-0000-0000-00004AD20000}"/>
    <cellStyle name="Note 9 3 2 4 4 2" xfId="22080" xr:uid="{00000000-0005-0000-0000-00004BD20000}"/>
    <cellStyle name="Note 9 3 2 4 4 2 2" xfId="47954" xr:uid="{00000000-0005-0000-0000-00004CD20000}"/>
    <cellStyle name="Note 9 3 2 4 4 3" xfId="35038" xr:uid="{00000000-0005-0000-0000-00004DD20000}"/>
    <cellStyle name="Note 9 3 2 4 5" xfId="15622" xr:uid="{00000000-0005-0000-0000-00004ED20000}"/>
    <cellStyle name="Note 9 3 2 4 5 2" xfId="41496" xr:uid="{00000000-0005-0000-0000-00004FD20000}"/>
    <cellStyle name="Note 9 3 2 4 6" xfId="28548" xr:uid="{00000000-0005-0000-0000-000050D20000}"/>
    <cellStyle name="Note 9 3 2 5" xfId="3485" xr:uid="{00000000-0005-0000-0000-000051D20000}"/>
    <cellStyle name="Note 9 3 2 5 2" xfId="6739" xr:uid="{00000000-0005-0000-0000-000052D20000}"/>
    <cellStyle name="Note 9 3 2 5 2 2" xfId="13198" xr:uid="{00000000-0005-0000-0000-000053D20000}"/>
    <cellStyle name="Note 9 3 2 5 2 2 2" xfId="26115" xr:uid="{00000000-0005-0000-0000-000054D20000}"/>
    <cellStyle name="Note 9 3 2 5 2 2 2 2" xfId="51989" xr:uid="{00000000-0005-0000-0000-000055D20000}"/>
    <cellStyle name="Note 9 3 2 5 2 2 3" xfId="39073" xr:uid="{00000000-0005-0000-0000-000056D20000}"/>
    <cellStyle name="Note 9 3 2 5 2 3" xfId="19657" xr:uid="{00000000-0005-0000-0000-000057D20000}"/>
    <cellStyle name="Note 9 3 2 5 2 3 2" xfId="45531" xr:uid="{00000000-0005-0000-0000-000058D20000}"/>
    <cellStyle name="Note 9 3 2 5 2 4" xfId="32615" xr:uid="{00000000-0005-0000-0000-000059D20000}"/>
    <cellStyle name="Note 9 3 2 5 3" xfId="9970" xr:uid="{00000000-0005-0000-0000-00005AD20000}"/>
    <cellStyle name="Note 9 3 2 5 3 2" xfId="22887" xr:uid="{00000000-0005-0000-0000-00005BD20000}"/>
    <cellStyle name="Note 9 3 2 5 3 2 2" xfId="48761" xr:uid="{00000000-0005-0000-0000-00005CD20000}"/>
    <cellStyle name="Note 9 3 2 5 3 3" xfId="35845" xr:uid="{00000000-0005-0000-0000-00005DD20000}"/>
    <cellStyle name="Note 9 3 2 5 4" xfId="16429" xr:uid="{00000000-0005-0000-0000-00005ED20000}"/>
    <cellStyle name="Note 9 3 2 5 4 2" xfId="42303" xr:uid="{00000000-0005-0000-0000-00005FD20000}"/>
    <cellStyle name="Note 9 3 2 5 5" xfId="29355" xr:uid="{00000000-0005-0000-0000-000060D20000}"/>
    <cellStyle name="Note 9 3 2 6" xfId="5125" xr:uid="{00000000-0005-0000-0000-000061D20000}"/>
    <cellStyle name="Note 9 3 2 6 2" xfId="11584" xr:uid="{00000000-0005-0000-0000-000062D20000}"/>
    <cellStyle name="Note 9 3 2 6 2 2" xfId="24501" xr:uid="{00000000-0005-0000-0000-000063D20000}"/>
    <cellStyle name="Note 9 3 2 6 2 2 2" xfId="50375" xr:uid="{00000000-0005-0000-0000-000064D20000}"/>
    <cellStyle name="Note 9 3 2 6 2 3" xfId="37459" xr:uid="{00000000-0005-0000-0000-000065D20000}"/>
    <cellStyle name="Note 9 3 2 6 3" xfId="18043" xr:uid="{00000000-0005-0000-0000-000066D20000}"/>
    <cellStyle name="Note 9 3 2 6 3 2" xfId="43917" xr:uid="{00000000-0005-0000-0000-000067D20000}"/>
    <cellStyle name="Note 9 3 2 6 4" xfId="31001" xr:uid="{00000000-0005-0000-0000-000068D20000}"/>
    <cellStyle name="Note 9 3 2 7" xfId="8355" xr:uid="{00000000-0005-0000-0000-000069D20000}"/>
    <cellStyle name="Note 9 3 2 7 2" xfId="21272" xr:uid="{00000000-0005-0000-0000-00006AD20000}"/>
    <cellStyle name="Note 9 3 2 7 2 2" xfId="47146" xr:uid="{00000000-0005-0000-0000-00006BD20000}"/>
    <cellStyle name="Note 9 3 2 7 3" xfId="34230" xr:uid="{00000000-0005-0000-0000-00006CD20000}"/>
    <cellStyle name="Note 9 3 2 8" xfId="14814" xr:uid="{00000000-0005-0000-0000-00006DD20000}"/>
    <cellStyle name="Note 9 3 2 8 2" xfId="40688" xr:uid="{00000000-0005-0000-0000-00006ED20000}"/>
    <cellStyle name="Note 9 3 2 9" xfId="27740" xr:uid="{00000000-0005-0000-0000-00006FD20000}"/>
    <cellStyle name="Note 9 3 3" xfId="1873" xr:uid="{00000000-0005-0000-0000-000070D20000}"/>
    <cellStyle name="Note 9 3 3 2" xfId="2313" xr:uid="{00000000-0005-0000-0000-000071D20000}"/>
    <cellStyle name="Note 9 3 3 2 2" xfId="3127" xr:uid="{00000000-0005-0000-0000-000072D20000}"/>
    <cellStyle name="Note 9 3 3 2 2 2" xfId="4784" xr:uid="{00000000-0005-0000-0000-000073D20000}"/>
    <cellStyle name="Note 9 3 3 2 2 2 2" xfId="8015" xr:uid="{00000000-0005-0000-0000-000074D20000}"/>
    <cellStyle name="Note 9 3 3 2 2 2 2 2" xfId="14474" xr:uid="{00000000-0005-0000-0000-000075D20000}"/>
    <cellStyle name="Note 9 3 3 2 2 2 2 2 2" xfId="27391" xr:uid="{00000000-0005-0000-0000-000076D20000}"/>
    <cellStyle name="Note 9 3 3 2 2 2 2 2 2 2" xfId="53265" xr:uid="{00000000-0005-0000-0000-000077D20000}"/>
    <cellStyle name="Note 9 3 3 2 2 2 2 2 3" xfId="40349" xr:uid="{00000000-0005-0000-0000-000078D20000}"/>
    <cellStyle name="Note 9 3 3 2 2 2 2 3" xfId="20933" xr:uid="{00000000-0005-0000-0000-000079D20000}"/>
    <cellStyle name="Note 9 3 3 2 2 2 2 3 2" xfId="46807" xr:uid="{00000000-0005-0000-0000-00007AD20000}"/>
    <cellStyle name="Note 9 3 3 2 2 2 2 4" xfId="33891" xr:uid="{00000000-0005-0000-0000-00007BD20000}"/>
    <cellStyle name="Note 9 3 3 2 2 2 3" xfId="11246" xr:uid="{00000000-0005-0000-0000-00007CD20000}"/>
    <cellStyle name="Note 9 3 3 2 2 2 3 2" xfId="24163" xr:uid="{00000000-0005-0000-0000-00007DD20000}"/>
    <cellStyle name="Note 9 3 3 2 2 2 3 2 2" xfId="50037" xr:uid="{00000000-0005-0000-0000-00007ED20000}"/>
    <cellStyle name="Note 9 3 3 2 2 2 3 3" xfId="37121" xr:uid="{00000000-0005-0000-0000-00007FD20000}"/>
    <cellStyle name="Note 9 3 3 2 2 2 4" xfId="17705" xr:uid="{00000000-0005-0000-0000-000080D20000}"/>
    <cellStyle name="Note 9 3 3 2 2 2 4 2" xfId="43579" xr:uid="{00000000-0005-0000-0000-000081D20000}"/>
    <cellStyle name="Note 9 3 3 2 2 2 5" xfId="30631" xr:uid="{00000000-0005-0000-0000-000082D20000}"/>
    <cellStyle name="Note 9 3 3 2 2 3" xfId="6401" xr:uid="{00000000-0005-0000-0000-000083D20000}"/>
    <cellStyle name="Note 9 3 3 2 2 3 2" xfId="12860" xr:uid="{00000000-0005-0000-0000-000084D20000}"/>
    <cellStyle name="Note 9 3 3 2 2 3 2 2" xfId="25777" xr:uid="{00000000-0005-0000-0000-000085D20000}"/>
    <cellStyle name="Note 9 3 3 2 2 3 2 2 2" xfId="51651" xr:uid="{00000000-0005-0000-0000-000086D20000}"/>
    <cellStyle name="Note 9 3 3 2 2 3 2 3" xfId="38735" xr:uid="{00000000-0005-0000-0000-000087D20000}"/>
    <cellStyle name="Note 9 3 3 2 2 3 3" xfId="19319" xr:uid="{00000000-0005-0000-0000-000088D20000}"/>
    <cellStyle name="Note 9 3 3 2 2 3 3 2" xfId="45193" xr:uid="{00000000-0005-0000-0000-000089D20000}"/>
    <cellStyle name="Note 9 3 3 2 2 3 4" xfId="32277" xr:uid="{00000000-0005-0000-0000-00008AD20000}"/>
    <cellStyle name="Note 9 3 3 2 2 4" xfId="9632" xr:uid="{00000000-0005-0000-0000-00008BD20000}"/>
    <cellStyle name="Note 9 3 3 2 2 4 2" xfId="22549" xr:uid="{00000000-0005-0000-0000-00008CD20000}"/>
    <cellStyle name="Note 9 3 3 2 2 4 2 2" xfId="48423" xr:uid="{00000000-0005-0000-0000-00008DD20000}"/>
    <cellStyle name="Note 9 3 3 2 2 4 3" xfId="35507" xr:uid="{00000000-0005-0000-0000-00008ED20000}"/>
    <cellStyle name="Note 9 3 3 2 2 5" xfId="16091" xr:uid="{00000000-0005-0000-0000-00008FD20000}"/>
    <cellStyle name="Note 9 3 3 2 2 5 2" xfId="41965" xr:uid="{00000000-0005-0000-0000-000090D20000}"/>
    <cellStyle name="Note 9 3 3 2 2 6" xfId="29017" xr:uid="{00000000-0005-0000-0000-000091D20000}"/>
    <cellStyle name="Note 9 3 3 2 3" xfId="3954" xr:uid="{00000000-0005-0000-0000-000092D20000}"/>
    <cellStyle name="Note 9 3 3 2 3 2" xfId="7208" xr:uid="{00000000-0005-0000-0000-000093D20000}"/>
    <cellStyle name="Note 9 3 3 2 3 2 2" xfId="13667" xr:uid="{00000000-0005-0000-0000-000094D20000}"/>
    <cellStyle name="Note 9 3 3 2 3 2 2 2" xfId="26584" xr:uid="{00000000-0005-0000-0000-000095D20000}"/>
    <cellStyle name="Note 9 3 3 2 3 2 2 2 2" xfId="52458" xr:uid="{00000000-0005-0000-0000-000096D20000}"/>
    <cellStyle name="Note 9 3 3 2 3 2 2 3" xfId="39542" xr:uid="{00000000-0005-0000-0000-000097D20000}"/>
    <cellStyle name="Note 9 3 3 2 3 2 3" xfId="20126" xr:uid="{00000000-0005-0000-0000-000098D20000}"/>
    <cellStyle name="Note 9 3 3 2 3 2 3 2" xfId="46000" xr:uid="{00000000-0005-0000-0000-000099D20000}"/>
    <cellStyle name="Note 9 3 3 2 3 2 4" xfId="33084" xr:uid="{00000000-0005-0000-0000-00009AD20000}"/>
    <cellStyle name="Note 9 3 3 2 3 3" xfId="10439" xr:uid="{00000000-0005-0000-0000-00009BD20000}"/>
    <cellStyle name="Note 9 3 3 2 3 3 2" xfId="23356" xr:uid="{00000000-0005-0000-0000-00009CD20000}"/>
    <cellStyle name="Note 9 3 3 2 3 3 2 2" xfId="49230" xr:uid="{00000000-0005-0000-0000-00009DD20000}"/>
    <cellStyle name="Note 9 3 3 2 3 3 3" xfId="36314" xr:uid="{00000000-0005-0000-0000-00009ED20000}"/>
    <cellStyle name="Note 9 3 3 2 3 4" xfId="16898" xr:uid="{00000000-0005-0000-0000-00009FD20000}"/>
    <cellStyle name="Note 9 3 3 2 3 4 2" xfId="42772" xr:uid="{00000000-0005-0000-0000-0000A0D20000}"/>
    <cellStyle name="Note 9 3 3 2 3 5" xfId="29824" xr:uid="{00000000-0005-0000-0000-0000A1D20000}"/>
    <cellStyle name="Note 9 3 3 2 4" xfId="5594" xr:uid="{00000000-0005-0000-0000-0000A2D20000}"/>
    <cellStyle name="Note 9 3 3 2 4 2" xfId="12053" xr:uid="{00000000-0005-0000-0000-0000A3D20000}"/>
    <cellStyle name="Note 9 3 3 2 4 2 2" xfId="24970" xr:uid="{00000000-0005-0000-0000-0000A4D20000}"/>
    <cellStyle name="Note 9 3 3 2 4 2 2 2" xfId="50844" xr:uid="{00000000-0005-0000-0000-0000A5D20000}"/>
    <cellStyle name="Note 9 3 3 2 4 2 3" xfId="37928" xr:uid="{00000000-0005-0000-0000-0000A6D20000}"/>
    <cellStyle name="Note 9 3 3 2 4 3" xfId="18512" xr:uid="{00000000-0005-0000-0000-0000A7D20000}"/>
    <cellStyle name="Note 9 3 3 2 4 3 2" xfId="44386" xr:uid="{00000000-0005-0000-0000-0000A8D20000}"/>
    <cellStyle name="Note 9 3 3 2 4 4" xfId="31470" xr:uid="{00000000-0005-0000-0000-0000A9D20000}"/>
    <cellStyle name="Note 9 3 3 2 5" xfId="8825" xr:uid="{00000000-0005-0000-0000-0000AAD20000}"/>
    <cellStyle name="Note 9 3 3 2 5 2" xfId="21742" xr:uid="{00000000-0005-0000-0000-0000ABD20000}"/>
    <cellStyle name="Note 9 3 3 2 5 2 2" xfId="47616" xr:uid="{00000000-0005-0000-0000-0000ACD20000}"/>
    <cellStyle name="Note 9 3 3 2 5 3" xfId="34700" xr:uid="{00000000-0005-0000-0000-0000ADD20000}"/>
    <cellStyle name="Note 9 3 3 2 6" xfId="15284" xr:uid="{00000000-0005-0000-0000-0000AED20000}"/>
    <cellStyle name="Note 9 3 3 2 6 2" xfId="41158" xr:uid="{00000000-0005-0000-0000-0000AFD20000}"/>
    <cellStyle name="Note 9 3 3 2 7" xfId="28210" xr:uid="{00000000-0005-0000-0000-0000B0D20000}"/>
    <cellStyle name="Note 9 3 3 2 8" xfId="54072" xr:uid="{00000000-0005-0000-0000-0000B1D20000}"/>
    <cellStyle name="Note 9 3 3 3" xfId="2723" xr:uid="{00000000-0005-0000-0000-0000B2D20000}"/>
    <cellStyle name="Note 9 3 3 3 2" xfId="4380" xr:uid="{00000000-0005-0000-0000-0000B3D20000}"/>
    <cellStyle name="Note 9 3 3 3 2 2" xfId="7611" xr:uid="{00000000-0005-0000-0000-0000B4D20000}"/>
    <cellStyle name="Note 9 3 3 3 2 2 2" xfId="14070" xr:uid="{00000000-0005-0000-0000-0000B5D20000}"/>
    <cellStyle name="Note 9 3 3 3 2 2 2 2" xfId="26987" xr:uid="{00000000-0005-0000-0000-0000B6D20000}"/>
    <cellStyle name="Note 9 3 3 3 2 2 2 2 2" xfId="52861" xr:uid="{00000000-0005-0000-0000-0000B7D20000}"/>
    <cellStyle name="Note 9 3 3 3 2 2 2 3" xfId="39945" xr:uid="{00000000-0005-0000-0000-0000B8D20000}"/>
    <cellStyle name="Note 9 3 3 3 2 2 3" xfId="20529" xr:uid="{00000000-0005-0000-0000-0000B9D20000}"/>
    <cellStyle name="Note 9 3 3 3 2 2 3 2" xfId="46403" xr:uid="{00000000-0005-0000-0000-0000BAD20000}"/>
    <cellStyle name="Note 9 3 3 3 2 2 4" xfId="33487" xr:uid="{00000000-0005-0000-0000-0000BBD20000}"/>
    <cellStyle name="Note 9 3 3 3 2 3" xfId="10842" xr:uid="{00000000-0005-0000-0000-0000BCD20000}"/>
    <cellStyle name="Note 9 3 3 3 2 3 2" xfId="23759" xr:uid="{00000000-0005-0000-0000-0000BDD20000}"/>
    <cellStyle name="Note 9 3 3 3 2 3 2 2" xfId="49633" xr:uid="{00000000-0005-0000-0000-0000BED20000}"/>
    <cellStyle name="Note 9 3 3 3 2 3 3" xfId="36717" xr:uid="{00000000-0005-0000-0000-0000BFD20000}"/>
    <cellStyle name="Note 9 3 3 3 2 4" xfId="17301" xr:uid="{00000000-0005-0000-0000-0000C0D20000}"/>
    <cellStyle name="Note 9 3 3 3 2 4 2" xfId="43175" xr:uid="{00000000-0005-0000-0000-0000C1D20000}"/>
    <cellStyle name="Note 9 3 3 3 2 5" xfId="30227" xr:uid="{00000000-0005-0000-0000-0000C2D20000}"/>
    <cellStyle name="Note 9 3 3 3 3" xfId="5997" xr:uid="{00000000-0005-0000-0000-0000C3D20000}"/>
    <cellStyle name="Note 9 3 3 3 3 2" xfId="12456" xr:uid="{00000000-0005-0000-0000-0000C4D20000}"/>
    <cellStyle name="Note 9 3 3 3 3 2 2" xfId="25373" xr:uid="{00000000-0005-0000-0000-0000C5D20000}"/>
    <cellStyle name="Note 9 3 3 3 3 2 2 2" xfId="51247" xr:uid="{00000000-0005-0000-0000-0000C6D20000}"/>
    <cellStyle name="Note 9 3 3 3 3 2 3" xfId="38331" xr:uid="{00000000-0005-0000-0000-0000C7D20000}"/>
    <cellStyle name="Note 9 3 3 3 3 3" xfId="18915" xr:uid="{00000000-0005-0000-0000-0000C8D20000}"/>
    <cellStyle name="Note 9 3 3 3 3 3 2" xfId="44789" xr:uid="{00000000-0005-0000-0000-0000C9D20000}"/>
    <cellStyle name="Note 9 3 3 3 3 4" xfId="31873" xr:uid="{00000000-0005-0000-0000-0000CAD20000}"/>
    <cellStyle name="Note 9 3 3 3 4" xfId="9228" xr:uid="{00000000-0005-0000-0000-0000CBD20000}"/>
    <cellStyle name="Note 9 3 3 3 4 2" xfId="22145" xr:uid="{00000000-0005-0000-0000-0000CCD20000}"/>
    <cellStyle name="Note 9 3 3 3 4 2 2" xfId="48019" xr:uid="{00000000-0005-0000-0000-0000CDD20000}"/>
    <cellStyle name="Note 9 3 3 3 4 3" xfId="35103" xr:uid="{00000000-0005-0000-0000-0000CED20000}"/>
    <cellStyle name="Note 9 3 3 3 5" xfId="15687" xr:uid="{00000000-0005-0000-0000-0000CFD20000}"/>
    <cellStyle name="Note 9 3 3 3 5 2" xfId="41561" xr:uid="{00000000-0005-0000-0000-0000D0D20000}"/>
    <cellStyle name="Note 9 3 3 3 6" xfId="28613" xr:uid="{00000000-0005-0000-0000-0000D1D20000}"/>
    <cellStyle name="Note 9 3 3 4" xfId="3550" xr:uid="{00000000-0005-0000-0000-0000D2D20000}"/>
    <cellStyle name="Note 9 3 3 4 2" xfId="6804" xr:uid="{00000000-0005-0000-0000-0000D3D20000}"/>
    <cellStyle name="Note 9 3 3 4 2 2" xfId="13263" xr:uid="{00000000-0005-0000-0000-0000D4D20000}"/>
    <cellStyle name="Note 9 3 3 4 2 2 2" xfId="26180" xr:uid="{00000000-0005-0000-0000-0000D5D20000}"/>
    <cellStyle name="Note 9 3 3 4 2 2 2 2" xfId="52054" xr:uid="{00000000-0005-0000-0000-0000D6D20000}"/>
    <cellStyle name="Note 9 3 3 4 2 2 3" xfId="39138" xr:uid="{00000000-0005-0000-0000-0000D7D20000}"/>
    <cellStyle name="Note 9 3 3 4 2 3" xfId="19722" xr:uid="{00000000-0005-0000-0000-0000D8D20000}"/>
    <cellStyle name="Note 9 3 3 4 2 3 2" xfId="45596" xr:uid="{00000000-0005-0000-0000-0000D9D20000}"/>
    <cellStyle name="Note 9 3 3 4 2 4" xfId="32680" xr:uid="{00000000-0005-0000-0000-0000DAD20000}"/>
    <cellStyle name="Note 9 3 3 4 3" xfId="10035" xr:uid="{00000000-0005-0000-0000-0000DBD20000}"/>
    <cellStyle name="Note 9 3 3 4 3 2" xfId="22952" xr:uid="{00000000-0005-0000-0000-0000DCD20000}"/>
    <cellStyle name="Note 9 3 3 4 3 2 2" xfId="48826" xr:uid="{00000000-0005-0000-0000-0000DDD20000}"/>
    <cellStyle name="Note 9 3 3 4 3 3" xfId="35910" xr:uid="{00000000-0005-0000-0000-0000DED20000}"/>
    <cellStyle name="Note 9 3 3 4 4" xfId="16494" xr:uid="{00000000-0005-0000-0000-0000DFD20000}"/>
    <cellStyle name="Note 9 3 3 4 4 2" xfId="42368" xr:uid="{00000000-0005-0000-0000-0000E0D20000}"/>
    <cellStyle name="Note 9 3 3 4 5" xfId="29420" xr:uid="{00000000-0005-0000-0000-0000E1D20000}"/>
    <cellStyle name="Note 9 3 3 5" xfId="5190" xr:uid="{00000000-0005-0000-0000-0000E2D20000}"/>
    <cellStyle name="Note 9 3 3 5 2" xfId="11649" xr:uid="{00000000-0005-0000-0000-0000E3D20000}"/>
    <cellStyle name="Note 9 3 3 5 2 2" xfId="24566" xr:uid="{00000000-0005-0000-0000-0000E4D20000}"/>
    <cellStyle name="Note 9 3 3 5 2 2 2" xfId="50440" xr:uid="{00000000-0005-0000-0000-0000E5D20000}"/>
    <cellStyle name="Note 9 3 3 5 2 3" xfId="37524" xr:uid="{00000000-0005-0000-0000-0000E6D20000}"/>
    <cellStyle name="Note 9 3 3 5 3" xfId="18108" xr:uid="{00000000-0005-0000-0000-0000E7D20000}"/>
    <cellStyle name="Note 9 3 3 5 3 2" xfId="43982" xr:uid="{00000000-0005-0000-0000-0000E8D20000}"/>
    <cellStyle name="Note 9 3 3 5 4" xfId="31066" xr:uid="{00000000-0005-0000-0000-0000E9D20000}"/>
    <cellStyle name="Note 9 3 3 6" xfId="8421" xr:uid="{00000000-0005-0000-0000-0000EAD20000}"/>
    <cellStyle name="Note 9 3 3 6 2" xfId="21338" xr:uid="{00000000-0005-0000-0000-0000EBD20000}"/>
    <cellStyle name="Note 9 3 3 6 2 2" xfId="47212" xr:uid="{00000000-0005-0000-0000-0000ECD20000}"/>
    <cellStyle name="Note 9 3 3 6 3" xfId="34296" xr:uid="{00000000-0005-0000-0000-0000EDD20000}"/>
    <cellStyle name="Note 9 3 3 7" xfId="14880" xr:uid="{00000000-0005-0000-0000-0000EED20000}"/>
    <cellStyle name="Note 9 3 3 7 2" xfId="40754" xr:uid="{00000000-0005-0000-0000-0000EFD20000}"/>
    <cellStyle name="Note 9 3 3 8" xfId="27805" xr:uid="{00000000-0005-0000-0000-0000F0D20000}"/>
    <cellStyle name="Note 9 3 3 9" xfId="53668" xr:uid="{00000000-0005-0000-0000-0000F1D20000}"/>
    <cellStyle name="Note 9 3 4" xfId="2116" xr:uid="{00000000-0005-0000-0000-0000F2D20000}"/>
    <cellStyle name="Note 9 3 4 2" xfId="2932" xr:uid="{00000000-0005-0000-0000-0000F3D20000}"/>
    <cellStyle name="Note 9 3 4 2 2" xfId="4589" xr:uid="{00000000-0005-0000-0000-0000F4D20000}"/>
    <cellStyle name="Note 9 3 4 2 2 2" xfId="7820" xr:uid="{00000000-0005-0000-0000-0000F5D20000}"/>
    <cellStyle name="Note 9 3 4 2 2 2 2" xfId="14279" xr:uid="{00000000-0005-0000-0000-0000F6D20000}"/>
    <cellStyle name="Note 9 3 4 2 2 2 2 2" xfId="27196" xr:uid="{00000000-0005-0000-0000-0000F7D20000}"/>
    <cellStyle name="Note 9 3 4 2 2 2 2 2 2" xfId="53070" xr:uid="{00000000-0005-0000-0000-0000F8D20000}"/>
    <cellStyle name="Note 9 3 4 2 2 2 2 3" xfId="40154" xr:uid="{00000000-0005-0000-0000-0000F9D20000}"/>
    <cellStyle name="Note 9 3 4 2 2 2 3" xfId="20738" xr:uid="{00000000-0005-0000-0000-0000FAD20000}"/>
    <cellStyle name="Note 9 3 4 2 2 2 3 2" xfId="46612" xr:uid="{00000000-0005-0000-0000-0000FBD20000}"/>
    <cellStyle name="Note 9 3 4 2 2 2 4" xfId="33696" xr:uid="{00000000-0005-0000-0000-0000FCD20000}"/>
    <cellStyle name="Note 9 3 4 2 2 3" xfId="11051" xr:uid="{00000000-0005-0000-0000-0000FDD20000}"/>
    <cellStyle name="Note 9 3 4 2 2 3 2" xfId="23968" xr:uid="{00000000-0005-0000-0000-0000FED20000}"/>
    <cellStyle name="Note 9 3 4 2 2 3 2 2" xfId="49842" xr:uid="{00000000-0005-0000-0000-0000FFD20000}"/>
    <cellStyle name="Note 9 3 4 2 2 3 3" xfId="36926" xr:uid="{00000000-0005-0000-0000-000000D30000}"/>
    <cellStyle name="Note 9 3 4 2 2 4" xfId="17510" xr:uid="{00000000-0005-0000-0000-000001D30000}"/>
    <cellStyle name="Note 9 3 4 2 2 4 2" xfId="43384" xr:uid="{00000000-0005-0000-0000-000002D30000}"/>
    <cellStyle name="Note 9 3 4 2 2 5" xfId="30436" xr:uid="{00000000-0005-0000-0000-000003D30000}"/>
    <cellStyle name="Note 9 3 4 2 3" xfId="6206" xr:uid="{00000000-0005-0000-0000-000004D30000}"/>
    <cellStyle name="Note 9 3 4 2 3 2" xfId="12665" xr:uid="{00000000-0005-0000-0000-000005D30000}"/>
    <cellStyle name="Note 9 3 4 2 3 2 2" xfId="25582" xr:uid="{00000000-0005-0000-0000-000006D30000}"/>
    <cellStyle name="Note 9 3 4 2 3 2 2 2" xfId="51456" xr:uid="{00000000-0005-0000-0000-000007D30000}"/>
    <cellStyle name="Note 9 3 4 2 3 2 3" xfId="38540" xr:uid="{00000000-0005-0000-0000-000008D30000}"/>
    <cellStyle name="Note 9 3 4 2 3 3" xfId="19124" xr:uid="{00000000-0005-0000-0000-000009D30000}"/>
    <cellStyle name="Note 9 3 4 2 3 3 2" xfId="44998" xr:uid="{00000000-0005-0000-0000-00000AD30000}"/>
    <cellStyle name="Note 9 3 4 2 3 4" xfId="32082" xr:uid="{00000000-0005-0000-0000-00000BD30000}"/>
    <cellStyle name="Note 9 3 4 2 4" xfId="9437" xr:uid="{00000000-0005-0000-0000-00000CD30000}"/>
    <cellStyle name="Note 9 3 4 2 4 2" xfId="22354" xr:uid="{00000000-0005-0000-0000-00000DD30000}"/>
    <cellStyle name="Note 9 3 4 2 4 2 2" xfId="48228" xr:uid="{00000000-0005-0000-0000-00000ED30000}"/>
    <cellStyle name="Note 9 3 4 2 4 3" xfId="35312" xr:uid="{00000000-0005-0000-0000-00000FD30000}"/>
    <cellStyle name="Note 9 3 4 2 5" xfId="15896" xr:uid="{00000000-0005-0000-0000-000010D30000}"/>
    <cellStyle name="Note 9 3 4 2 5 2" xfId="41770" xr:uid="{00000000-0005-0000-0000-000011D30000}"/>
    <cellStyle name="Note 9 3 4 2 6" xfId="28822" xr:uid="{00000000-0005-0000-0000-000012D30000}"/>
    <cellStyle name="Note 9 3 4 3" xfId="3759" xr:uid="{00000000-0005-0000-0000-000013D30000}"/>
    <cellStyle name="Note 9 3 4 3 2" xfId="7013" xr:uid="{00000000-0005-0000-0000-000014D30000}"/>
    <cellStyle name="Note 9 3 4 3 2 2" xfId="13472" xr:uid="{00000000-0005-0000-0000-000015D30000}"/>
    <cellStyle name="Note 9 3 4 3 2 2 2" xfId="26389" xr:uid="{00000000-0005-0000-0000-000016D30000}"/>
    <cellStyle name="Note 9 3 4 3 2 2 2 2" xfId="52263" xr:uid="{00000000-0005-0000-0000-000017D30000}"/>
    <cellStyle name="Note 9 3 4 3 2 2 3" xfId="39347" xr:uid="{00000000-0005-0000-0000-000018D30000}"/>
    <cellStyle name="Note 9 3 4 3 2 3" xfId="19931" xr:uid="{00000000-0005-0000-0000-000019D30000}"/>
    <cellStyle name="Note 9 3 4 3 2 3 2" xfId="45805" xr:uid="{00000000-0005-0000-0000-00001AD30000}"/>
    <cellStyle name="Note 9 3 4 3 2 4" xfId="32889" xr:uid="{00000000-0005-0000-0000-00001BD30000}"/>
    <cellStyle name="Note 9 3 4 3 3" xfId="10244" xr:uid="{00000000-0005-0000-0000-00001CD30000}"/>
    <cellStyle name="Note 9 3 4 3 3 2" xfId="23161" xr:uid="{00000000-0005-0000-0000-00001DD30000}"/>
    <cellStyle name="Note 9 3 4 3 3 2 2" xfId="49035" xr:uid="{00000000-0005-0000-0000-00001ED30000}"/>
    <cellStyle name="Note 9 3 4 3 3 3" xfId="36119" xr:uid="{00000000-0005-0000-0000-00001FD30000}"/>
    <cellStyle name="Note 9 3 4 3 4" xfId="16703" xr:uid="{00000000-0005-0000-0000-000020D30000}"/>
    <cellStyle name="Note 9 3 4 3 4 2" xfId="42577" xr:uid="{00000000-0005-0000-0000-000021D30000}"/>
    <cellStyle name="Note 9 3 4 3 5" xfId="29629" xr:uid="{00000000-0005-0000-0000-000022D30000}"/>
    <cellStyle name="Note 9 3 4 4" xfId="5399" xr:uid="{00000000-0005-0000-0000-000023D30000}"/>
    <cellStyle name="Note 9 3 4 4 2" xfId="11858" xr:uid="{00000000-0005-0000-0000-000024D30000}"/>
    <cellStyle name="Note 9 3 4 4 2 2" xfId="24775" xr:uid="{00000000-0005-0000-0000-000025D30000}"/>
    <cellStyle name="Note 9 3 4 4 2 2 2" xfId="50649" xr:uid="{00000000-0005-0000-0000-000026D30000}"/>
    <cellStyle name="Note 9 3 4 4 2 3" xfId="37733" xr:uid="{00000000-0005-0000-0000-000027D30000}"/>
    <cellStyle name="Note 9 3 4 4 3" xfId="18317" xr:uid="{00000000-0005-0000-0000-000028D30000}"/>
    <cellStyle name="Note 9 3 4 4 3 2" xfId="44191" xr:uid="{00000000-0005-0000-0000-000029D30000}"/>
    <cellStyle name="Note 9 3 4 4 4" xfId="31275" xr:uid="{00000000-0005-0000-0000-00002AD30000}"/>
    <cellStyle name="Note 9 3 4 5" xfId="8630" xr:uid="{00000000-0005-0000-0000-00002BD30000}"/>
    <cellStyle name="Note 9 3 4 5 2" xfId="21547" xr:uid="{00000000-0005-0000-0000-00002CD30000}"/>
    <cellStyle name="Note 9 3 4 5 2 2" xfId="47421" xr:uid="{00000000-0005-0000-0000-00002DD30000}"/>
    <cellStyle name="Note 9 3 4 5 3" xfId="34505" xr:uid="{00000000-0005-0000-0000-00002ED30000}"/>
    <cellStyle name="Note 9 3 4 6" xfId="15089" xr:uid="{00000000-0005-0000-0000-00002FD30000}"/>
    <cellStyle name="Note 9 3 4 6 2" xfId="40963" xr:uid="{00000000-0005-0000-0000-000030D30000}"/>
    <cellStyle name="Note 9 3 4 7" xfId="28015" xr:uid="{00000000-0005-0000-0000-000031D30000}"/>
    <cellStyle name="Note 9 3 4 8" xfId="53877" xr:uid="{00000000-0005-0000-0000-000032D30000}"/>
    <cellStyle name="Note 9 3 5" xfId="2529" xr:uid="{00000000-0005-0000-0000-000033D30000}"/>
    <cellStyle name="Note 9 3 5 2" xfId="4186" xr:uid="{00000000-0005-0000-0000-000034D30000}"/>
    <cellStyle name="Note 9 3 5 2 2" xfId="7417" xr:uid="{00000000-0005-0000-0000-000035D30000}"/>
    <cellStyle name="Note 9 3 5 2 2 2" xfId="13876" xr:uid="{00000000-0005-0000-0000-000036D30000}"/>
    <cellStyle name="Note 9 3 5 2 2 2 2" xfId="26793" xr:uid="{00000000-0005-0000-0000-000037D30000}"/>
    <cellStyle name="Note 9 3 5 2 2 2 2 2" xfId="52667" xr:uid="{00000000-0005-0000-0000-000038D30000}"/>
    <cellStyle name="Note 9 3 5 2 2 2 3" xfId="39751" xr:uid="{00000000-0005-0000-0000-000039D30000}"/>
    <cellStyle name="Note 9 3 5 2 2 3" xfId="20335" xr:uid="{00000000-0005-0000-0000-00003AD30000}"/>
    <cellStyle name="Note 9 3 5 2 2 3 2" xfId="46209" xr:uid="{00000000-0005-0000-0000-00003BD30000}"/>
    <cellStyle name="Note 9 3 5 2 2 4" xfId="33293" xr:uid="{00000000-0005-0000-0000-00003CD30000}"/>
    <cellStyle name="Note 9 3 5 2 3" xfId="10648" xr:uid="{00000000-0005-0000-0000-00003DD30000}"/>
    <cellStyle name="Note 9 3 5 2 3 2" xfId="23565" xr:uid="{00000000-0005-0000-0000-00003ED30000}"/>
    <cellStyle name="Note 9 3 5 2 3 2 2" xfId="49439" xr:uid="{00000000-0005-0000-0000-00003FD30000}"/>
    <cellStyle name="Note 9 3 5 2 3 3" xfId="36523" xr:uid="{00000000-0005-0000-0000-000040D30000}"/>
    <cellStyle name="Note 9 3 5 2 4" xfId="17107" xr:uid="{00000000-0005-0000-0000-000041D30000}"/>
    <cellStyle name="Note 9 3 5 2 4 2" xfId="42981" xr:uid="{00000000-0005-0000-0000-000042D30000}"/>
    <cellStyle name="Note 9 3 5 2 5" xfId="30033" xr:uid="{00000000-0005-0000-0000-000043D30000}"/>
    <cellStyle name="Note 9 3 5 3" xfId="5803" xr:uid="{00000000-0005-0000-0000-000044D30000}"/>
    <cellStyle name="Note 9 3 5 3 2" xfId="12262" xr:uid="{00000000-0005-0000-0000-000045D30000}"/>
    <cellStyle name="Note 9 3 5 3 2 2" xfId="25179" xr:uid="{00000000-0005-0000-0000-000046D30000}"/>
    <cellStyle name="Note 9 3 5 3 2 2 2" xfId="51053" xr:uid="{00000000-0005-0000-0000-000047D30000}"/>
    <cellStyle name="Note 9 3 5 3 2 3" xfId="38137" xr:uid="{00000000-0005-0000-0000-000048D30000}"/>
    <cellStyle name="Note 9 3 5 3 3" xfId="18721" xr:uid="{00000000-0005-0000-0000-000049D30000}"/>
    <cellStyle name="Note 9 3 5 3 3 2" xfId="44595" xr:uid="{00000000-0005-0000-0000-00004AD30000}"/>
    <cellStyle name="Note 9 3 5 3 4" xfId="31679" xr:uid="{00000000-0005-0000-0000-00004BD30000}"/>
    <cellStyle name="Note 9 3 5 4" xfId="9034" xr:uid="{00000000-0005-0000-0000-00004CD30000}"/>
    <cellStyle name="Note 9 3 5 4 2" xfId="21951" xr:uid="{00000000-0005-0000-0000-00004DD30000}"/>
    <cellStyle name="Note 9 3 5 4 2 2" xfId="47825" xr:uid="{00000000-0005-0000-0000-00004ED30000}"/>
    <cellStyle name="Note 9 3 5 4 3" xfId="34909" xr:uid="{00000000-0005-0000-0000-00004FD30000}"/>
    <cellStyle name="Note 9 3 5 5" xfId="15493" xr:uid="{00000000-0005-0000-0000-000050D30000}"/>
    <cellStyle name="Note 9 3 5 5 2" xfId="41367" xr:uid="{00000000-0005-0000-0000-000051D30000}"/>
    <cellStyle name="Note 9 3 5 6" xfId="28419" xr:uid="{00000000-0005-0000-0000-000052D30000}"/>
    <cellStyle name="Note 9 3 6" xfId="3349" xr:uid="{00000000-0005-0000-0000-000053D30000}"/>
    <cellStyle name="Note 9 3 6 2" xfId="6610" xr:uid="{00000000-0005-0000-0000-000054D30000}"/>
    <cellStyle name="Note 9 3 6 2 2" xfId="13069" xr:uid="{00000000-0005-0000-0000-000055D30000}"/>
    <cellStyle name="Note 9 3 6 2 2 2" xfId="25986" xr:uid="{00000000-0005-0000-0000-000056D30000}"/>
    <cellStyle name="Note 9 3 6 2 2 2 2" xfId="51860" xr:uid="{00000000-0005-0000-0000-000057D30000}"/>
    <cellStyle name="Note 9 3 6 2 2 3" xfId="38944" xr:uid="{00000000-0005-0000-0000-000058D30000}"/>
    <cellStyle name="Note 9 3 6 2 3" xfId="19528" xr:uid="{00000000-0005-0000-0000-000059D30000}"/>
    <cellStyle name="Note 9 3 6 2 3 2" xfId="45402" xr:uid="{00000000-0005-0000-0000-00005AD30000}"/>
    <cellStyle name="Note 9 3 6 2 4" xfId="32486" xr:uid="{00000000-0005-0000-0000-00005BD30000}"/>
    <cellStyle name="Note 9 3 6 3" xfId="9841" xr:uid="{00000000-0005-0000-0000-00005CD30000}"/>
    <cellStyle name="Note 9 3 6 3 2" xfId="22758" xr:uid="{00000000-0005-0000-0000-00005DD30000}"/>
    <cellStyle name="Note 9 3 6 3 2 2" xfId="48632" xr:uid="{00000000-0005-0000-0000-00005ED30000}"/>
    <cellStyle name="Note 9 3 6 3 3" xfId="35716" xr:uid="{00000000-0005-0000-0000-00005FD30000}"/>
    <cellStyle name="Note 9 3 6 4" xfId="16300" xr:uid="{00000000-0005-0000-0000-000060D30000}"/>
    <cellStyle name="Note 9 3 6 4 2" xfId="42174" xr:uid="{00000000-0005-0000-0000-000061D30000}"/>
    <cellStyle name="Note 9 3 6 5" xfId="29226" xr:uid="{00000000-0005-0000-0000-000062D30000}"/>
    <cellStyle name="Note 9 3 7" xfId="4996" xr:uid="{00000000-0005-0000-0000-000063D30000}"/>
    <cellStyle name="Note 9 3 7 2" xfId="11455" xr:uid="{00000000-0005-0000-0000-000064D30000}"/>
    <cellStyle name="Note 9 3 7 2 2" xfId="24372" xr:uid="{00000000-0005-0000-0000-000065D30000}"/>
    <cellStyle name="Note 9 3 7 2 2 2" xfId="50246" xr:uid="{00000000-0005-0000-0000-000066D30000}"/>
    <cellStyle name="Note 9 3 7 2 3" xfId="37330" xr:uid="{00000000-0005-0000-0000-000067D30000}"/>
    <cellStyle name="Note 9 3 7 3" xfId="17914" xr:uid="{00000000-0005-0000-0000-000068D30000}"/>
    <cellStyle name="Note 9 3 7 3 2" xfId="43788" xr:uid="{00000000-0005-0000-0000-000069D30000}"/>
    <cellStyle name="Note 9 3 7 4" xfId="30872" xr:uid="{00000000-0005-0000-0000-00006AD30000}"/>
    <cellStyle name="Note 9 3 8" xfId="8227" xr:uid="{00000000-0005-0000-0000-00006BD30000}"/>
    <cellStyle name="Note 9 3 8 2" xfId="21144" xr:uid="{00000000-0005-0000-0000-00006CD30000}"/>
    <cellStyle name="Note 9 3 8 2 2" xfId="47018" xr:uid="{00000000-0005-0000-0000-00006DD30000}"/>
    <cellStyle name="Note 9 3 8 3" xfId="34102" xr:uid="{00000000-0005-0000-0000-00006ED30000}"/>
    <cellStyle name="Note 9 3 9" xfId="14686" xr:uid="{00000000-0005-0000-0000-00006FD30000}"/>
    <cellStyle name="Note 9 3 9 2" xfId="40560" xr:uid="{00000000-0005-0000-0000-000070D30000}"/>
    <cellStyle name="Output 10" xfId="30797" xr:uid="{00000000-0005-0000-0000-000071D30000}"/>
    <cellStyle name="Output 11" xfId="184" xr:uid="{00000000-0005-0000-0000-000072D30000}"/>
    <cellStyle name="Output 2" xfId="55" xr:uid="{00000000-0005-0000-0000-000073D30000}"/>
    <cellStyle name="Output 2 2" xfId="296" xr:uid="{00000000-0005-0000-0000-000074D30000}"/>
    <cellStyle name="Output 2 3" xfId="256" xr:uid="{00000000-0005-0000-0000-000075D30000}"/>
    <cellStyle name="Output 3" xfId="171" xr:uid="{00000000-0005-0000-0000-000076D30000}"/>
    <cellStyle name="Output 3 2" xfId="1717" xr:uid="{00000000-0005-0000-0000-000077D30000}"/>
    <cellStyle name="Output 3 3" xfId="1566" xr:uid="{00000000-0005-0000-0000-000078D30000}"/>
    <cellStyle name="Output 3 4" xfId="1374" xr:uid="{00000000-0005-0000-0000-000079D30000}"/>
    <cellStyle name="Output 4" xfId="1375" xr:uid="{00000000-0005-0000-0000-00007AD30000}"/>
    <cellStyle name="Output 5" xfId="1376" xr:uid="{00000000-0005-0000-0000-00007BD30000}"/>
    <cellStyle name="Output 6" xfId="1377" xr:uid="{00000000-0005-0000-0000-00007CD30000}"/>
    <cellStyle name="Output 7" xfId="1378" xr:uid="{00000000-0005-0000-0000-00007DD30000}"/>
    <cellStyle name="Output 8" xfId="1517" xr:uid="{00000000-0005-0000-0000-00007ED30000}"/>
    <cellStyle name="Output 9" xfId="1507" xr:uid="{00000000-0005-0000-0000-00007FD30000}"/>
    <cellStyle name="Percent 2" xfId="14" xr:uid="{00000000-0005-0000-0000-000080D30000}"/>
    <cellStyle name="Percent 2 2" xfId="172" xr:uid="{00000000-0005-0000-0000-000081D30000}"/>
    <cellStyle name="Percent 2 2 2" xfId="358" xr:uid="{00000000-0005-0000-0000-000082D30000}"/>
    <cellStyle name="Percent 2 2 2 2" xfId="1028" xr:uid="{00000000-0005-0000-0000-000083D30000}"/>
    <cellStyle name="Percent 2 2 3" xfId="1029" xr:uid="{00000000-0005-0000-0000-000084D30000}"/>
    <cellStyle name="Percent 2 2 3 2" xfId="1752" xr:uid="{00000000-0005-0000-0000-000085D30000}"/>
    <cellStyle name="Percent 2 2 4" xfId="1591" xr:uid="{00000000-0005-0000-0000-000086D30000}"/>
    <cellStyle name="Percent 2 2 5" xfId="1504" xr:uid="{00000000-0005-0000-0000-000087D30000}"/>
    <cellStyle name="Percent 2 3" xfId="369" xr:uid="{00000000-0005-0000-0000-000088D30000}"/>
    <cellStyle name="Percent 2 3 2" xfId="1030" xr:uid="{00000000-0005-0000-0000-000089D30000}"/>
    <cellStyle name="Percent 2 3 3" xfId="1718" xr:uid="{00000000-0005-0000-0000-00008AD30000}"/>
    <cellStyle name="Percent 2 4" xfId="1550" xr:uid="{00000000-0005-0000-0000-00008BD30000}"/>
    <cellStyle name="Percent 2 5" xfId="1379" xr:uid="{00000000-0005-0000-0000-00008CD30000}"/>
    <cellStyle name="Percent 3" xfId="173" xr:uid="{00000000-0005-0000-0000-00008DD30000}"/>
    <cellStyle name="Percent 3 2" xfId="320" xr:uid="{00000000-0005-0000-0000-00008ED30000}"/>
    <cellStyle name="Percent 3 2 2" xfId="1031" xr:uid="{00000000-0005-0000-0000-00008FD30000}"/>
    <cellStyle name="Percent 3 2 2 2" xfId="1753" xr:uid="{00000000-0005-0000-0000-000090D30000}"/>
    <cellStyle name="Percent 3 2 3" xfId="1599" xr:uid="{00000000-0005-0000-0000-000091D30000}"/>
    <cellStyle name="Percent 3 2 4" xfId="1505" xr:uid="{00000000-0005-0000-0000-000092D30000}"/>
    <cellStyle name="Percent 3 3" xfId="1032" xr:uid="{00000000-0005-0000-0000-000093D30000}"/>
    <cellStyle name="Percent 3 3 2" xfId="1719" xr:uid="{00000000-0005-0000-0000-000094D30000}"/>
    <cellStyle name="Percent 3 4" xfId="1551" xr:uid="{00000000-0005-0000-0000-000095D30000}"/>
    <cellStyle name="Percent 3 5" xfId="1380" xr:uid="{00000000-0005-0000-0000-000096D30000}"/>
    <cellStyle name="Percent 4" xfId="367" xr:uid="{00000000-0005-0000-0000-000097D30000}"/>
    <cellStyle name="Percent 4 2" xfId="1033" xr:uid="{00000000-0005-0000-0000-000098D30000}"/>
    <cellStyle name="Result" xfId="174" xr:uid="{00000000-0005-0000-0000-000099D30000}"/>
    <cellStyle name="Result2" xfId="175" xr:uid="{00000000-0005-0000-0000-00009AD30000}"/>
    <cellStyle name="Snorm" xfId="15" xr:uid="{00000000-0005-0000-0000-00009BD30000}"/>
    <cellStyle name="socxn" xfId="16" xr:uid="{00000000-0005-0000-0000-00009CD30000}"/>
    <cellStyle name="Title" xfId="72" builtinId="15" customBuiltin="1"/>
    <cellStyle name="Title 10" xfId="27575" xr:uid="{00000000-0005-0000-0000-00009ED30000}"/>
    <cellStyle name="Title 2" xfId="58" xr:uid="{00000000-0005-0000-0000-00009FD30000}"/>
    <cellStyle name="Title 2 2" xfId="297" xr:uid="{00000000-0005-0000-0000-0000A0D30000}"/>
    <cellStyle name="Title 2 3" xfId="257" xr:uid="{00000000-0005-0000-0000-0000A1D30000}"/>
    <cellStyle name="Title 3" xfId="176" xr:uid="{00000000-0005-0000-0000-0000A2D30000}"/>
    <cellStyle name="Title 3 2" xfId="1720" xr:uid="{00000000-0005-0000-0000-0000A3D30000}"/>
    <cellStyle name="Title 3 3" xfId="1560" xr:uid="{00000000-0005-0000-0000-0000A4D30000}"/>
    <cellStyle name="Title 3 4" xfId="1381" xr:uid="{00000000-0005-0000-0000-0000A5D30000}"/>
    <cellStyle name="Title 4" xfId="1382" xr:uid="{00000000-0005-0000-0000-0000A6D30000}"/>
    <cellStyle name="Title 5" xfId="1383" xr:uid="{00000000-0005-0000-0000-0000A7D30000}"/>
    <cellStyle name="Title 6" xfId="1384" xr:uid="{00000000-0005-0000-0000-0000A8D30000}"/>
    <cellStyle name="Title 7" xfId="1385" xr:uid="{00000000-0005-0000-0000-0000A9D30000}"/>
    <cellStyle name="Title 8" xfId="1519" xr:uid="{00000000-0005-0000-0000-0000AAD30000}"/>
    <cellStyle name="Title 9" xfId="1442" xr:uid="{00000000-0005-0000-0000-0000ABD30000}"/>
    <cellStyle name="Total 10" xfId="30776" xr:uid="{00000000-0005-0000-0000-0000ACD30000}"/>
    <cellStyle name="Total 11" xfId="186" xr:uid="{00000000-0005-0000-0000-0000ADD30000}"/>
    <cellStyle name="Total 2" xfId="62" xr:uid="{00000000-0005-0000-0000-0000AED30000}"/>
    <cellStyle name="Total 2 2" xfId="298" xr:uid="{00000000-0005-0000-0000-0000AFD30000}"/>
    <cellStyle name="Total 2 3" xfId="258" xr:uid="{00000000-0005-0000-0000-0000B0D30000}"/>
    <cellStyle name="Total 3" xfId="177" xr:uid="{00000000-0005-0000-0000-0000B1D30000}"/>
    <cellStyle name="Total 3 2" xfId="1721" xr:uid="{00000000-0005-0000-0000-0000B2D30000}"/>
    <cellStyle name="Total 3 3" xfId="1568" xr:uid="{00000000-0005-0000-0000-0000B3D30000}"/>
    <cellStyle name="Total 3 4" xfId="1386" xr:uid="{00000000-0005-0000-0000-0000B4D30000}"/>
    <cellStyle name="Total 4" xfId="1387" xr:uid="{00000000-0005-0000-0000-0000B5D30000}"/>
    <cellStyle name="Total 5" xfId="1388" xr:uid="{00000000-0005-0000-0000-0000B6D30000}"/>
    <cellStyle name="Total 6" xfId="1389" xr:uid="{00000000-0005-0000-0000-0000B7D30000}"/>
    <cellStyle name="Total 7" xfId="1390" xr:uid="{00000000-0005-0000-0000-0000B8D30000}"/>
    <cellStyle name="Total 8" xfId="1521" xr:uid="{00000000-0005-0000-0000-0000B9D30000}"/>
    <cellStyle name="Total 9" xfId="1431" xr:uid="{00000000-0005-0000-0000-0000BAD30000}"/>
    <cellStyle name="Warning Text 10" xfId="30806" xr:uid="{00000000-0005-0000-0000-0000BBD30000}"/>
    <cellStyle name="Warning Text 11" xfId="178" xr:uid="{00000000-0005-0000-0000-0000BCD30000}"/>
    <cellStyle name="Warning Text 2" xfId="56" xr:uid="{00000000-0005-0000-0000-0000BDD30000}"/>
    <cellStyle name="Warning Text 2 2" xfId="1392" xr:uid="{00000000-0005-0000-0000-0000BED30000}"/>
    <cellStyle name="Warning Text 2 3" xfId="1722" xr:uid="{00000000-0005-0000-0000-0000BFD30000}"/>
    <cellStyle name="Warning Text 2 4" xfId="1391" xr:uid="{00000000-0005-0000-0000-0000C0D30000}"/>
    <cellStyle name="Warning Text 3" xfId="1393" xr:uid="{00000000-0005-0000-0000-0000C1D30000}"/>
    <cellStyle name="Warning Text 4" xfId="1394" xr:uid="{00000000-0005-0000-0000-0000C2D30000}"/>
    <cellStyle name="Warning Text 5" xfId="1395" xr:uid="{00000000-0005-0000-0000-0000C3D30000}"/>
    <cellStyle name="Warning Text 6" xfId="1396" xr:uid="{00000000-0005-0000-0000-0000C4D30000}"/>
    <cellStyle name="Warning Text 7" xfId="1397" xr:uid="{00000000-0005-0000-0000-0000C5D30000}"/>
    <cellStyle name="Warning Text 8" xfId="1522" xr:uid="{00000000-0005-0000-0000-0000C6D30000}"/>
    <cellStyle name="Warning Text 9" xfId="1527" xr:uid="{00000000-0005-0000-0000-0000C7D30000}"/>
    <cellStyle name="標準_②Ｂ分類事項一覧（英語）" xfId="17" xr:uid="{00000000-0005-0000-0000-0000C8D30000}"/>
  </cellStyles>
  <dxfs count="0"/>
  <tableStyles count="0" defaultTableStyle="TableStyleMedium2" defaultPivotStyle="PivotStyleLight16"/>
  <colors>
    <mruColors>
      <color rgb="FF000000"/>
      <color rgb="FF002F6C"/>
      <color rgb="FFCCCCCC"/>
      <color rgb="FF4F81BD"/>
      <color rgb="FF0000FF"/>
      <color rgb="FF004B8C"/>
      <color rgb="FF04629A"/>
      <color rgb="FFDA2128"/>
      <color rgb="FF4B7320"/>
      <color rgb="FF8CC8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8755514897298684E-3"/>
          <c:y val="0.16815040146674881"/>
          <c:w val="0.98890556063783763"/>
          <c:h val="0.82188919701142726"/>
        </c:manualLayout>
      </c:layout>
      <c:barChart>
        <c:barDir val="col"/>
        <c:grouping val="clustered"/>
        <c:varyColors val="0"/>
        <c:ser>
          <c:idx val="4"/>
          <c:order val="3"/>
          <c:tx>
            <c:strRef>
              <c:f>'Chart SF3.1.A'!$P$5</c:f>
              <c:strCache>
                <c:ptCount val="1"/>
                <c:pt idx="0">
                  <c:v>2022 (↘)</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0"/>
            <c:invertIfNegative val="0"/>
            <c:bubble3D val="0"/>
            <c:extLst>
              <c:ext xmlns:c16="http://schemas.microsoft.com/office/drawing/2014/chart" uri="{C3380CC4-5D6E-409C-BE32-E72D297353CC}">
                <c16:uniqueId val="{00000000-3739-4AE3-966A-64DEBDC3ECE0}"/>
              </c:ext>
            </c:extLst>
          </c:dPt>
          <c:dPt>
            <c:idx val="18"/>
            <c:invertIfNegative val="0"/>
            <c:bubble3D val="0"/>
            <c:extLst>
              <c:ext xmlns:c16="http://schemas.microsoft.com/office/drawing/2014/chart" uri="{C3380CC4-5D6E-409C-BE32-E72D297353CC}">
                <c16:uniqueId val="{00000001-3739-4AE3-966A-64DEBDC3ECE0}"/>
              </c:ext>
            </c:extLst>
          </c:dPt>
          <c:dPt>
            <c:idx val="19"/>
            <c:invertIfNegative val="0"/>
            <c:bubble3D val="0"/>
            <c:spPr>
              <a:solidFill>
                <a:srgbClr val="000000"/>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15-3739-4AE3-966A-64DEBDC3ECE0}"/>
              </c:ext>
            </c:extLst>
          </c:dPt>
          <c:dPt>
            <c:idx val="20"/>
            <c:invertIfNegative val="0"/>
            <c:bubble3D val="0"/>
            <c:extLst>
              <c:ext xmlns:c16="http://schemas.microsoft.com/office/drawing/2014/chart" uri="{C3380CC4-5D6E-409C-BE32-E72D297353CC}">
                <c16:uniqueId val="{00000002-3739-4AE3-966A-64DEBDC3ECE0}"/>
              </c:ext>
            </c:extLst>
          </c:dPt>
          <c:dPt>
            <c:idx val="21"/>
            <c:invertIfNegative val="0"/>
            <c:bubble3D val="0"/>
            <c:extLst>
              <c:ext xmlns:c16="http://schemas.microsoft.com/office/drawing/2014/chart" uri="{C3380CC4-5D6E-409C-BE32-E72D297353CC}">
                <c16:uniqueId val="{00000004-3739-4AE3-966A-64DEBDC3ECE0}"/>
              </c:ext>
            </c:extLst>
          </c:dPt>
          <c:dPt>
            <c:idx val="22"/>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6-3739-4AE3-966A-64DEBDC3ECE0}"/>
              </c:ext>
            </c:extLst>
          </c:dPt>
          <c:dPt>
            <c:idx val="23"/>
            <c:invertIfNegative val="0"/>
            <c:bubble3D val="0"/>
            <c:extLst>
              <c:ext xmlns:c16="http://schemas.microsoft.com/office/drawing/2014/chart" uri="{C3380CC4-5D6E-409C-BE32-E72D297353CC}">
                <c16:uniqueId val="{00000007-3739-4AE3-966A-64DEBDC3ECE0}"/>
              </c:ext>
            </c:extLst>
          </c:dPt>
          <c:dPt>
            <c:idx val="24"/>
            <c:invertIfNegative val="0"/>
            <c:bubble3D val="0"/>
            <c:extLst>
              <c:ext xmlns:c16="http://schemas.microsoft.com/office/drawing/2014/chart" uri="{C3380CC4-5D6E-409C-BE32-E72D297353CC}">
                <c16:uniqueId val="{00000008-3739-4AE3-966A-64DEBDC3ECE0}"/>
              </c:ext>
            </c:extLst>
          </c:dPt>
          <c:dPt>
            <c:idx val="26"/>
            <c:invertIfNegative val="0"/>
            <c:bubble3D val="0"/>
            <c:extLst>
              <c:ext xmlns:c16="http://schemas.microsoft.com/office/drawing/2014/chart" uri="{C3380CC4-5D6E-409C-BE32-E72D297353CC}">
                <c16:uniqueId val="{00000009-3739-4AE3-966A-64DEBDC3ECE0}"/>
              </c:ext>
            </c:extLst>
          </c:dPt>
          <c:dPt>
            <c:idx val="27"/>
            <c:invertIfNegative val="0"/>
            <c:bubble3D val="0"/>
            <c:extLst>
              <c:ext xmlns:c16="http://schemas.microsoft.com/office/drawing/2014/chart" uri="{C3380CC4-5D6E-409C-BE32-E72D297353CC}">
                <c16:uniqueId val="{0000000A-3739-4AE3-966A-64DEBDC3ECE0}"/>
              </c:ext>
            </c:extLst>
          </c:dPt>
          <c:dPt>
            <c:idx val="28"/>
            <c:invertIfNegative val="0"/>
            <c:bubble3D val="0"/>
            <c:extLst>
              <c:ext xmlns:c16="http://schemas.microsoft.com/office/drawing/2014/chart" uri="{C3380CC4-5D6E-409C-BE32-E72D297353CC}">
                <c16:uniqueId val="{0000000B-3739-4AE3-966A-64DEBDC3ECE0}"/>
              </c:ext>
            </c:extLst>
          </c:dPt>
          <c:dPt>
            <c:idx val="34"/>
            <c:invertIfNegative val="0"/>
            <c:bubble3D val="0"/>
            <c:extLst>
              <c:ext xmlns:c16="http://schemas.microsoft.com/office/drawing/2014/chart" uri="{C3380CC4-5D6E-409C-BE32-E72D297353CC}">
                <c16:uniqueId val="{0000000C-3739-4AE3-966A-64DEBDC3ECE0}"/>
              </c:ext>
            </c:extLst>
          </c:dPt>
          <c:cat>
            <c:strRef>
              <c:f>'Chart SF3.1.A'!$L$6:$L$50</c:f>
              <c:strCache>
                <c:ptCount val="45"/>
                <c:pt idx="0">
                  <c:v>Cyprus</c:v>
                </c:pt>
                <c:pt idx="1">
                  <c:v>Türkiye</c:v>
                </c:pt>
                <c:pt idx="2">
                  <c:v>Hungary</c:v>
                </c:pt>
                <c:pt idx="3">
                  <c:v>Latvia</c:v>
                </c:pt>
                <c:pt idx="4">
                  <c:v>United States</c:v>
                </c:pt>
                <c:pt idx="5">
                  <c:v>Romania</c:v>
                </c:pt>
                <c:pt idx="6">
                  <c:v>Lithuania</c:v>
                </c:pt>
                <c:pt idx="7">
                  <c:v>Israel</c:v>
                </c:pt>
                <c:pt idx="8">
                  <c:v>Slovak Republic</c:v>
                </c:pt>
                <c:pt idx="9">
                  <c:v>Denmark</c:v>
                </c:pt>
                <c:pt idx="10">
                  <c:v>Estonia</c:v>
                </c:pt>
                <c:pt idx="11">
                  <c:v>Austria</c:v>
                </c:pt>
                <c:pt idx="12">
                  <c:v>Czechia</c:v>
                </c:pt>
                <c:pt idx="13">
                  <c:v>Iceland</c:v>
                </c:pt>
                <c:pt idx="14">
                  <c:v>Australia</c:v>
                </c:pt>
                <c:pt idx="15">
                  <c:v>Malta</c:v>
                </c:pt>
                <c:pt idx="16">
                  <c:v>Germany</c:v>
                </c:pt>
                <c:pt idx="17">
                  <c:v>Switzerland</c:v>
                </c:pt>
                <c:pt idx="18">
                  <c:v>Croatia</c:v>
                </c:pt>
                <c:pt idx="19">
                  <c:v>EU-25 average</c:v>
                </c:pt>
                <c:pt idx="20">
                  <c:v>Sweden</c:v>
                </c:pt>
                <c:pt idx="21">
                  <c:v>Costa Rica</c:v>
                </c:pt>
                <c:pt idx="22">
                  <c:v>OECD-35</c:v>
                </c:pt>
                <c:pt idx="23">
                  <c:v>Japan</c:v>
                </c:pt>
                <c:pt idx="24">
                  <c:v>Poland</c:v>
                </c:pt>
                <c:pt idx="25">
                  <c:v>Greece</c:v>
                </c:pt>
                <c:pt idx="26">
                  <c:v>Belgium</c:v>
                </c:pt>
                <c:pt idx="27">
                  <c:v>Netherlands</c:v>
                </c:pt>
                <c:pt idx="28">
                  <c:v>Finland</c:v>
                </c:pt>
                <c:pt idx="29">
                  <c:v>Bulgaria</c:v>
                </c:pt>
                <c:pt idx="30">
                  <c:v>Mexico</c:v>
                </c:pt>
                <c:pt idx="31">
                  <c:v>Norway</c:v>
                </c:pt>
                <c:pt idx="32">
                  <c:v>Luxembourg</c:v>
                </c:pt>
                <c:pt idx="33">
                  <c:v>Korea</c:v>
                </c:pt>
                <c:pt idx="34">
                  <c:v>Spain</c:v>
                </c:pt>
                <c:pt idx="35">
                  <c:v>New Zealand</c:v>
                </c:pt>
                <c:pt idx="36">
                  <c:v>France</c:v>
                </c:pt>
                <c:pt idx="37">
                  <c:v>Portugal</c:v>
                </c:pt>
                <c:pt idx="38">
                  <c:v>Ireland</c:v>
                </c:pt>
                <c:pt idx="39">
                  <c:v>Slovenia</c:v>
                </c:pt>
                <c:pt idx="40">
                  <c:v>Italy</c:v>
                </c:pt>
                <c:pt idx="41">
                  <c:v>Chile</c:v>
                </c:pt>
                <c:pt idx="42">
                  <c:v>Canada</c:v>
                </c:pt>
                <c:pt idx="43">
                  <c:v>United Kingdom</c:v>
                </c:pt>
                <c:pt idx="44">
                  <c:v>Colombia</c:v>
                </c:pt>
              </c:strCache>
            </c:strRef>
          </c:cat>
          <c:val>
            <c:numRef>
              <c:f>'Chart SF3.1.A'!$P$6:$P$50</c:f>
              <c:numCache>
                <c:formatCode>General</c:formatCode>
                <c:ptCount val="45"/>
                <c:pt idx="1">
                  <c:v>6.8</c:v>
                </c:pt>
                <c:pt idx="2">
                  <c:v>6.6</c:v>
                </c:pt>
                <c:pt idx="3">
                  <c:v>6.3</c:v>
                </c:pt>
                <c:pt idx="4">
                  <c:v>6.2</c:v>
                </c:pt>
                <c:pt idx="5">
                  <c:v>6.2</c:v>
                </c:pt>
                <c:pt idx="6">
                  <c:v>5.7</c:v>
                </c:pt>
                <c:pt idx="7" formatCode="0.0">
                  <c:v>5.4591135089389615</c:v>
                </c:pt>
                <c:pt idx="8">
                  <c:v>5.4</c:v>
                </c:pt>
                <c:pt idx="9" formatCode="0.0">
                  <c:v>5.34</c:v>
                </c:pt>
                <c:pt idx="10">
                  <c:v>5.3</c:v>
                </c:pt>
                <c:pt idx="11" formatCode="0.0">
                  <c:v>5.24</c:v>
                </c:pt>
                <c:pt idx="12">
                  <c:v>5.0999999999999996</c:v>
                </c:pt>
                <c:pt idx="13">
                  <c:v>5</c:v>
                </c:pt>
                <c:pt idx="14" formatCode="0.0">
                  <c:v>4.8899999999999997</c:v>
                </c:pt>
                <c:pt idx="15">
                  <c:v>4.8</c:v>
                </c:pt>
                <c:pt idx="16">
                  <c:v>4.7</c:v>
                </c:pt>
                <c:pt idx="17">
                  <c:v>4.7</c:v>
                </c:pt>
                <c:pt idx="18">
                  <c:v>4.7</c:v>
                </c:pt>
                <c:pt idx="19" formatCode="0.0">
                  <c:v>4.6032000000000002</c:v>
                </c:pt>
                <c:pt idx="20">
                  <c:v>4.5999999999999996</c:v>
                </c:pt>
                <c:pt idx="21" formatCode="0.0">
                  <c:v>4.3899999999999997</c:v>
                </c:pt>
                <c:pt idx="22" formatCode="0.0">
                  <c:v>4.3428318145411113</c:v>
                </c:pt>
                <c:pt idx="23">
                  <c:v>4.0999999999999996</c:v>
                </c:pt>
                <c:pt idx="24">
                  <c:v>4.2</c:v>
                </c:pt>
                <c:pt idx="25">
                  <c:v>4.2</c:v>
                </c:pt>
                <c:pt idx="26">
                  <c:v>4.2</c:v>
                </c:pt>
                <c:pt idx="27">
                  <c:v>4</c:v>
                </c:pt>
                <c:pt idx="28">
                  <c:v>3.9</c:v>
                </c:pt>
                <c:pt idx="29">
                  <c:v>3.9</c:v>
                </c:pt>
                <c:pt idx="30">
                  <c:v>3.9</c:v>
                </c:pt>
                <c:pt idx="31">
                  <c:v>3.8</c:v>
                </c:pt>
                <c:pt idx="32">
                  <c:v>3.8</c:v>
                </c:pt>
                <c:pt idx="33">
                  <c:v>3.7</c:v>
                </c:pt>
                <c:pt idx="34">
                  <c:v>3.7</c:v>
                </c:pt>
                <c:pt idx="35">
                  <c:v>3.68</c:v>
                </c:pt>
                <c:pt idx="36">
                  <c:v>3.6</c:v>
                </c:pt>
                <c:pt idx="37">
                  <c:v>3.5</c:v>
                </c:pt>
                <c:pt idx="38">
                  <c:v>3.3</c:v>
                </c:pt>
                <c:pt idx="39">
                  <c:v>3.2</c:v>
                </c:pt>
                <c:pt idx="40">
                  <c:v>3.2</c:v>
                </c:pt>
                <c:pt idx="41">
                  <c:v>2.7</c:v>
                </c:pt>
                <c:pt idx="42">
                  <c:v>2.6</c:v>
                </c:pt>
                <c:pt idx="43">
                  <c:v>1.4</c:v>
                </c:pt>
                <c:pt idx="44" formatCode="0.0">
                  <c:v>1.39</c:v>
                </c:pt>
              </c:numCache>
            </c:numRef>
          </c:val>
          <c:extLst>
            <c:ext xmlns:c16="http://schemas.microsoft.com/office/drawing/2014/chart" uri="{C3380CC4-5D6E-409C-BE32-E72D297353CC}">
              <c16:uniqueId val="{0000000D-3739-4AE3-966A-64DEBDC3ECE0}"/>
            </c:ext>
          </c:extLst>
        </c:ser>
        <c:dLbls>
          <c:showLegendKey val="0"/>
          <c:showVal val="0"/>
          <c:showCatName val="0"/>
          <c:showSerName val="0"/>
          <c:showPercent val="0"/>
          <c:showBubbleSize val="0"/>
        </c:dLbls>
        <c:gapWidth val="150"/>
        <c:axId val="86093184"/>
        <c:axId val="86570496"/>
      </c:barChart>
      <c:lineChart>
        <c:grouping val="standard"/>
        <c:varyColors val="0"/>
        <c:ser>
          <c:idx val="1"/>
          <c:order val="0"/>
          <c:tx>
            <c:strRef>
              <c:f>'Chart SF3.1.A'!$O$5</c:f>
              <c:strCache>
                <c:ptCount val="1"/>
                <c:pt idx="0">
                  <c:v>2019</c:v>
                </c:pt>
              </c:strCache>
            </c:strRef>
          </c:tx>
          <c:spPr>
            <a:ln w="28575">
              <a:noFill/>
            </a:ln>
          </c:spPr>
          <c:marker>
            <c:symbol val="dash"/>
            <c:size val="7"/>
          </c:marker>
          <c:cat>
            <c:strRef>
              <c:f>'Chart SF3.1.A'!$L$6:$L$50</c:f>
              <c:strCache>
                <c:ptCount val="45"/>
                <c:pt idx="0">
                  <c:v>Cyprus</c:v>
                </c:pt>
                <c:pt idx="1">
                  <c:v>Türkiye</c:v>
                </c:pt>
                <c:pt idx="2">
                  <c:v>Hungary</c:v>
                </c:pt>
                <c:pt idx="3">
                  <c:v>Latvia</c:v>
                </c:pt>
                <c:pt idx="4">
                  <c:v>United States</c:v>
                </c:pt>
                <c:pt idx="5">
                  <c:v>Romania</c:v>
                </c:pt>
                <c:pt idx="6">
                  <c:v>Lithuania</c:v>
                </c:pt>
                <c:pt idx="7">
                  <c:v>Israel</c:v>
                </c:pt>
                <c:pt idx="8">
                  <c:v>Slovak Republic</c:v>
                </c:pt>
                <c:pt idx="9">
                  <c:v>Denmark</c:v>
                </c:pt>
                <c:pt idx="10">
                  <c:v>Estonia</c:v>
                </c:pt>
                <c:pt idx="11">
                  <c:v>Austria</c:v>
                </c:pt>
                <c:pt idx="12">
                  <c:v>Czechia</c:v>
                </c:pt>
                <c:pt idx="13">
                  <c:v>Iceland</c:v>
                </c:pt>
                <c:pt idx="14">
                  <c:v>Australia</c:v>
                </c:pt>
                <c:pt idx="15">
                  <c:v>Malta</c:v>
                </c:pt>
                <c:pt idx="16">
                  <c:v>Germany</c:v>
                </c:pt>
                <c:pt idx="17">
                  <c:v>Switzerland</c:v>
                </c:pt>
                <c:pt idx="18">
                  <c:v>Croatia</c:v>
                </c:pt>
                <c:pt idx="19">
                  <c:v>EU-25 average</c:v>
                </c:pt>
                <c:pt idx="20">
                  <c:v>Sweden</c:v>
                </c:pt>
                <c:pt idx="21">
                  <c:v>Costa Rica</c:v>
                </c:pt>
                <c:pt idx="22">
                  <c:v>OECD-35</c:v>
                </c:pt>
                <c:pt idx="23">
                  <c:v>Japan</c:v>
                </c:pt>
                <c:pt idx="24">
                  <c:v>Poland</c:v>
                </c:pt>
                <c:pt idx="25">
                  <c:v>Greece</c:v>
                </c:pt>
                <c:pt idx="26">
                  <c:v>Belgium</c:v>
                </c:pt>
                <c:pt idx="27">
                  <c:v>Netherlands</c:v>
                </c:pt>
                <c:pt idx="28">
                  <c:v>Finland</c:v>
                </c:pt>
                <c:pt idx="29">
                  <c:v>Bulgaria</c:v>
                </c:pt>
                <c:pt idx="30">
                  <c:v>Mexico</c:v>
                </c:pt>
                <c:pt idx="31">
                  <c:v>Norway</c:v>
                </c:pt>
                <c:pt idx="32">
                  <c:v>Luxembourg</c:v>
                </c:pt>
                <c:pt idx="33">
                  <c:v>Korea</c:v>
                </c:pt>
                <c:pt idx="34">
                  <c:v>Spain</c:v>
                </c:pt>
                <c:pt idx="35">
                  <c:v>New Zealand</c:v>
                </c:pt>
                <c:pt idx="36">
                  <c:v>France</c:v>
                </c:pt>
                <c:pt idx="37">
                  <c:v>Portugal</c:v>
                </c:pt>
                <c:pt idx="38">
                  <c:v>Ireland</c:v>
                </c:pt>
                <c:pt idx="39">
                  <c:v>Slovenia</c:v>
                </c:pt>
                <c:pt idx="40">
                  <c:v>Italy</c:v>
                </c:pt>
                <c:pt idx="41">
                  <c:v>Chile</c:v>
                </c:pt>
                <c:pt idx="42">
                  <c:v>Canada</c:v>
                </c:pt>
                <c:pt idx="43">
                  <c:v>United Kingdom</c:v>
                </c:pt>
                <c:pt idx="44">
                  <c:v>Colombia</c:v>
                </c:pt>
              </c:strCache>
            </c:strRef>
          </c:cat>
          <c:val>
            <c:numRef>
              <c:f>'Chart SF3.1.A'!$O$6:$O$50</c:f>
              <c:numCache>
                <c:formatCode>0.0</c:formatCode>
                <c:ptCount val="45"/>
                <c:pt idx="0">
                  <c:v>8.9</c:v>
                </c:pt>
                <c:pt idx="1">
                  <c:v>6.6</c:v>
                </c:pt>
                <c:pt idx="2">
                  <c:v>6.7</c:v>
                </c:pt>
                <c:pt idx="3">
                  <c:v>6.7</c:v>
                </c:pt>
                <c:pt idx="4">
                  <c:v>6.1</c:v>
                </c:pt>
                <c:pt idx="5">
                  <c:v>6.6</c:v>
                </c:pt>
                <c:pt idx="6">
                  <c:v>7</c:v>
                </c:pt>
                <c:pt idx="7">
                  <c:v>5.3</c:v>
                </c:pt>
                <c:pt idx="8">
                  <c:v>5.4</c:v>
                </c:pt>
                <c:pt idx="9">
                  <c:v>5.3</c:v>
                </c:pt>
                <c:pt idx="10">
                  <c:v>5</c:v>
                </c:pt>
                <c:pt idx="11">
                  <c:v>5.2</c:v>
                </c:pt>
                <c:pt idx="12">
                  <c:v>5.0999999999999996</c:v>
                </c:pt>
                <c:pt idx="13">
                  <c:v>5.8</c:v>
                </c:pt>
                <c:pt idx="14">
                  <c:v>4.5</c:v>
                </c:pt>
                <c:pt idx="15">
                  <c:v>5.3</c:v>
                </c:pt>
                <c:pt idx="16">
                  <c:v>5</c:v>
                </c:pt>
                <c:pt idx="17">
                  <c:v>4.5</c:v>
                </c:pt>
                <c:pt idx="18">
                  <c:v>4.9000000000000004</c:v>
                </c:pt>
                <c:pt idx="19">
                  <c:v>4.74</c:v>
                </c:pt>
                <c:pt idx="20">
                  <c:v>4.7</c:v>
                </c:pt>
                <c:pt idx="21">
                  <c:v>4.4824526210000002</c:v>
                </c:pt>
                <c:pt idx="22">
                  <c:v>4.579030882984843</c:v>
                </c:pt>
                <c:pt idx="23">
                  <c:v>4.8</c:v>
                </c:pt>
                <c:pt idx="24">
                  <c:v>4.8</c:v>
                </c:pt>
                <c:pt idx="25">
                  <c:v>4.4000000000000004</c:v>
                </c:pt>
                <c:pt idx="26">
                  <c:v>3.9</c:v>
                </c:pt>
                <c:pt idx="27">
                  <c:v>3.7</c:v>
                </c:pt>
                <c:pt idx="28">
                  <c:v>4</c:v>
                </c:pt>
                <c:pt idx="29">
                  <c:v>4.2</c:v>
                </c:pt>
                <c:pt idx="30">
                  <c:v>4</c:v>
                </c:pt>
                <c:pt idx="31">
                  <c:v>4</c:v>
                </c:pt>
                <c:pt idx="32">
                  <c:v>3.5</c:v>
                </c:pt>
                <c:pt idx="33">
                  <c:v>4.7</c:v>
                </c:pt>
                <c:pt idx="34">
                  <c:v>3.5</c:v>
                </c:pt>
                <c:pt idx="35">
                  <c:v>3.7836282834695658</c:v>
                </c:pt>
                <c:pt idx="36">
                  <c:v>3.3</c:v>
                </c:pt>
                <c:pt idx="37">
                  <c:v>3.2</c:v>
                </c:pt>
                <c:pt idx="38">
                  <c:v>4.0999999999999996</c:v>
                </c:pt>
                <c:pt idx="39">
                  <c:v>3.2</c:v>
                </c:pt>
                <c:pt idx="40">
                  <c:v>3.1</c:v>
                </c:pt>
                <c:pt idx="41">
                  <c:v>3.2</c:v>
                </c:pt>
                <c:pt idx="42">
                  <c:v>3.9</c:v>
                </c:pt>
                <c:pt idx="43">
                  <c:v>3.7</c:v>
                </c:pt>
                <c:pt idx="44">
                  <c:v>1.1258677459645339</c:v>
                </c:pt>
              </c:numCache>
            </c:numRef>
          </c:val>
          <c:smooth val="0"/>
          <c:extLst>
            <c:ext xmlns:c16="http://schemas.microsoft.com/office/drawing/2014/chart" uri="{C3380CC4-5D6E-409C-BE32-E72D297353CC}">
              <c16:uniqueId val="{0000000E-3739-4AE3-966A-64DEBDC3ECE0}"/>
            </c:ext>
          </c:extLst>
        </c:ser>
        <c:ser>
          <c:idx val="2"/>
          <c:order val="1"/>
          <c:tx>
            <c:strRef>
              <c:f>'Chart SF3.1.A'!$N$5</c:f>
              <c:strCache>
                <c:ptCount val="1"/>
                <c:pt idx="0">
                  <c:v>1995</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6BB6"/>
              </a:solidFill>
              <a:ln w="6350">
                <a:solidFill>
                  <a:srgbClr val="006BB6"/>
                </a:solidFill>
                <a:prstDash val="solid"/>
              </a:ln>
              <a:effectLst/>
            </c:spPr>
          </c:marker>
          <c:dPt>
            <c:idx val="10"/>
            <c:marker>
              <c:spPr>
                <a:pattFill prst="pct5">
                  <a:fgClr>
                    <a:srgbClr val="006BB6"/>
                  </a:fgClr>
                  <a:bgClr>
                    <a:srgbClr val="000000"/>
                  </a:bgClr>
                </a:pattFill>
                <a:ln w="6350">
                  <a:solidFill>
                    <a:srgbClr val="006BB6"/>
                  </a:solidFill>
                  <a:prstDash val="solid"/>
                </a:ln>
                <a:effectLst/>
              </c:spPr>
            </c:marker>
            <c:bubble3D val="0"/>
            <c:extLst>
              <c:ext xmlns:c16="http://schemas.microsoft.com/office/drawing/2014/chart" uri="{C3380CC4-5D6E-409C-BE32-E72D297353CC}">
                <c16:uniqueId val="{0000000F-3739-4AE3-966A-64DEBDC3ECE0}"/>
              </c:ext>
            </c:extLst>
          </c:dPt>
          <c:dPt>
            <c:idx val="23"/>
            <c:bubble3D val="0"/>
            <c:extLst>
              <c:ext xmlns:c16="http://schemas.microsoft.com/office/drawing/2014/chart" uri="{C3380CC4-5D6E-409C-BE32-E72D297353CC}">
                <c16:uniqueId val="{00000010-3739-4AE3-966A-64DEBDC3ECE0}"/>
              </c:ext>
            </c:extLst>
          </c:dPt>
          <c:cat>
            <c:strRef>
              <c:f>'Chart SF3.1.A'!$L$6:$L$50</c:f>
              <c:strCache>
                <c:ptCount val="45"/>
                <c:pt idx="0">
                  <c:v>Cyprus</c:v>
                </c:pt>
                <c:pt idx="1">
                  <c:v>Türkiye</c:v>
                </c:pt>
                <c:pt idx="2">
                  <c:v>Hungary</c:v>
                </c:pt>
                <c:pt idx="3">
                  <c:v>Latvia</c:v>
                </c:pt>
                <c:pt idx="4">
                  <c:v>United States</c:v>
                </c:pt>
                <c:pt idx="5">
                  <c:v>Romania</c:v>
                </c:pt>
                <c:pt idx="6">
                  <c:v>Lithuania</c:v>
                </c:pt>
                <c:pt idx="7">
                  <c:v>Israel</c:v>
                </c:pt>
                <c:pt idx="8">
                  <c:v>Slovak Republic</c:v>
                </c:pt>
                <c:pt idx="9">
                  <c:v>Denmark</c:v>
                </c:pt>
                <c:pt idx="10">
                  <c:v>Estonia</c:v>
                </c:pt>
                <c:pt idx="11">
                  <c:v>Austria</c:v>
                </c:pt>
                <c:pt idx="12">
                  <c:v>Czechia</c:v>
                </c:pt>
                <c:pt idx="13">
                  <c:v>Iceland</c:v>
                </c:pt>
                <c:pt idx="14">
                  <c:v>Australia</c:v>
                </c:pt>
                <c:pt idx="15">
                  <c:v>Malta</c:v>
                </c:pt>
                <c:pt idx="16">
                  <c:v>Germany</c:v>
                </c:pt>
                <c:pt idx="17">
                  <c:v>Switzerland</c:v>
                </c:pt>
                <c:pt idx="18">
                  <c:v>Croatia</c:v>
                </c:pt>
                <c:pt idx="19">
                  <c:v>EU-25 average</c:v>
                </c:pt>
                <c:pt idx="20">
                  <c:v>Sweden</c:v>
                </c:pt>
                <c:pt idx="21">
                  <c:v>Costa Rica</c:v>
                </c:pt>
                <c:pt idx="22">
                  <c:v>OECD-35</c:v>
                </c:pt>
                <c:pt idx="23">
                  <c:v>Japan</c:v>
                </c:pt>
                <c:pt idx="24">
                  <c:v>Poland</c:v>
                </c:pt>
                <c:pt idx="25">
                  <c:v>Greece</c:v>
                </c:pt>
                <c:pt idx="26">
                  <c:v>Belgium</c:v>
                </c:pt>
                <c:pt idx="27">
                  <c:v>Netherlands</c:v>
                </c:pt>
                <c:pt idx="28">
                  <c:v>Finland</c:v>
                </c:pt>
                <c:pt idx="29">
                  <c:v>Bulgaria</c:v>
                </c:pt>
                <c:pt idx="30">
                  <c:v>Mexico</c:v>
                </c:pt>
                <c:pt idx="31">
                  <c:v>Norway</c:v>
                </c:pt>
                <c:pt idx="32">
                  <c:v>Luxembourg</c:v>
                </c:pt>
                <c:pt idx="33">
                  <c:v>Korea</c:v>
                </c:pt>
                <c:pt idx="34">
                  <c:v>Spain</c:v>
                </c:pt>
                <c:pt idx="35">
                  <c:v>New Zealand</c:v>
                </c:pt>
                <c:pt idx="36">
                  <c:v>France</c:v>
                </c:pt>
                <c:pt idx="37">
                  <c:v>Portugal</c:v>
                </c:pt>
                <c:pt idx="38">
                  <c:v>Ireland</c:v>
                </c:pt>
                <c:pt idx="39">
                  <c:v>Slovenia</c:v>
                </c:pt>
                <c:pt idx="40">
                  <c:v>Italy</c:v>
                </c:pt>
                <c:pt idx="41">
                  <c:v>Chile</c:v>
                </c:pt>
                <c:pt idx="42">
                  <c:v>Canada</c:v>
                </c:pt>
                <c:pt idx="43">
                  <c:v>United Kingdom</c:v>
                </c:pt>
                <c:pt idx="44">
                  <c:v>Colombia</c:v>
                </c:pt>
              </c:strCache>
            </c:strRef>
          </c:cat>
          <c:val>
            <c:numRef>
              <c:f>'Chart SF3.1.A'!$N$6:$N$50</c:f>
              <c:numCache>
                <c:formatCode>0.0</c:formatCode>
                <c:ptCount val="45"/>
                <c:pt idx="0">
                  <c:v>10.199999999999999</c:v>
                </c:pt>
                <c:pt idx="2">
                  <c:v>5.2</c:v>
                </c:pt>
                <c:pt idx="3">
                  <c:v>4.5</c:v>
                </c:pt>
                <c:pt idx="4">
                  <c:v>8.9</c:v>
                </c:pt>
                <c:pt idx="5">
                  <c:v>6.8</c:v>
                </c:pt>
                <c:pt idx="6">
                  <c:v>6.1</c:v>
                </c:pt>
                <c:pt idx="7">
                  <c:v>6.5</c:v>
                </c:pt>
                <c:pt idx="8">
                  <c:v>5.0999999999999996</c:v>
                </c:pt>
                <c:pt idx="9">
                  <c:v>6.6</c:v>
                </c:pt>
                <c:pt idx="10">
                  <c:v>4.9000000000000004</c:v>
                </c:pt>
                <c:pt idx="11">
                  <c:v>5.4</c:v>
                </c:pt>
                <c:pt idx="12">
                  <c:v>5.3</c:v>
                </c:pt>
                <c:pt idx="13">
                  <c:v>4.5999999999999996</c:v>
                </c:pt>
                <c:pt idx="14">
                  <c:v>6.1</c:v>
                </c:pt>
                <c:pt idx="15">
                  <c:v>6.3</c:v>
                </c:pt>
                <c:pt idx="16">
                  <c:v>5.3</c:v>
                </c:pt>
                <c:pt idx="17">
                  <c:v>5.8</c:v>
                </c:pt>
                <c:pt idx="18">
                  <c:v>5.3</c:v>
                </c:pt>
                <c:pt idx="19">
                  <c:v>5.267999999999998</c:v>
                </c:pt>
                <c:pt idx="20">
                  <c:v>3.8</c:v>
                </c:pt>
                <c:pt idx="21">
                  <c:v>7.0805226413960591</c:v>
                </c:pt>
                <c:pt idx="22">
                  <c:v>5.6485292183256011</c:v>
                </c:pt>
                <c:pt idx="23">
                  <c:v>6.4</c:v>
                </c:pt>
                <c:pt idx="24">
                  <c:v>5.4</c:v>
                </c:pt>
                <c:pt idx="25">
                  <c:v>6</c:v>
                </c:pt>
                <c:pt idx="26">
                  <c:v>5.0999999999999996</c:v>
                </c:pt>
                <c:pt idx="27">
                  <c:v>5.3</c:v>
                </c:pt>
                <c:pt idx="28">
                  <c:v>4.5999999999999996</c:v>
                </c:pt>
                <c:pt idx="29">
                  <c:v>4.4000000000000004</c:v>
                </c:pt>
                <c:pt idx="30">
                  <c:v>7</c:v>
                </c:pt>
                <c:pt idx="31">
                  <c:v>5</c:v>
                </c:pt>
                <c:pt idx="32">
                  <c:v>5.0999999999999996</c:v>
                </c:pt>
                <c:pt idx="33">
                  <c:v>8.6999999999999993</c:v>
                </c:pt>
                <c:pt idx="34">
                  <c:v>5.0999999999999996</c:v>
                </c:pt>
                <c:pt idx="35">
                  <c:v>5.56</c:v>
                </c:pt>
                <c:pt idx="36">
                  <c:v>4.4000000000000004</c:v>
                </c:pt>
                <c:pt idx="37">
                  <c:v>6.6</c:v>
                </c:pt>
                <c:pt idx="38">
                  <c:v>4.3</c:v>
                </c:pt>
                <c:pt idx="39">
                  <c:v>4.0999999999999996</c:v>
                </c:pt>
                <c:pt idx="40">
                  <c:v>5.0999999999999996</c:v>
                </c:pt>
                <c:pt idx="41">
                  <c:v>6.0579999999999998</c:v>
                </c:pt>
                <c:pt idx="42">
                  <c:v>5.5</c:v>
                </c:pt>
                <c:pt idx="43">
                  <c:v>5.6</c:v>
                </c:pt>
              </c:numCache>
            </c:numRef>
          </c:val>
          <c:smooth val="0"/>
          <c:extLst>
            <c:ext xmlns:c16="http://schemas.microsoft.com/office/drawing/2014/chart" uri="{C3380CC4-5D6E-409C-BE32-E72D297353CC}">
              <c16:uniqueId val="{00000011-3739-4AE3-966A-64DEBDC3ECE0}"/>
            </c:ext>
          </c:extLst>
        </c:ser>
        <c:ser>
          <c:idx val="0"/>
          <c:order val="2"/>
          <c:tx>
            <c:strRef>
              <c:f>'Chart SF3.1.A'!$M$5</c:f>
              <c:strCache>
                <c:ptCount val="1"/>
                <c:pt idx="0">
                  <c:v>1970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chemeClr val="bg1"/>
              </a:solidFill>
              <a:ln w="6350">
                <a:solidFill>
                  <a:srgbClr val="7FA8D9"/>
                </a:solidFill>
                <a:prstDash val="solid"/>
              </a:ln>
              <a:effectLst/>
            </c:spPr>
          </c:marker>
          <c:dPt>
            <c:idx val="10"/>
            <c:bubble3D val="0"/>
            <c:extLst>
              <c:ext xmlns:c16="http://schemas.microsoft.com/office/drawing/2014/chart" uri="{C3380CC4-5D6E-409C-BE32-E72D297353CC}">
                <c16:uniqueId val="{00000012-3739-4AE3-966A-64DEBDC3ECE0}"/>
              </c:ext>
            </c:extLst>
          </c:dPt>
          <c:dPt>
            <c:idx val="23"/>
            <c:bubble3D val="0"/>
            <c:extLst>
              <c:ext xmlns:c16="http://schemas.microsoft.com/office/drawing/2014/chart" uri="{C3380CC4-5D6E-409C-BE32-E72D297353CC}">
                <c16:uniqueId val="{00000013-3739-4AE3-966A-64DEBDC3ECE0}"/>
              </c:ext>
            </c:extLst>
          </c:dPt>
          <c:cat>
            <c:strRef>
              <c:f>'Chart SF3.1.A'!$L$6:$L$50</c:f>
              <c:strCache>
                <c:ptCount val="45"/>
                <c:pt idx="0">
                  <c:v>Cyprus</c:v>
                </c:pt>
                <c:pt idx="1">
                  <c:v>Türkiye</c:v>
                </c:pt>
                <c:pt idx="2">
                  <c:v>Hungary</c:v>
                </c:pt>
                <c:pt idx="3">
                  <c:v>Latvia</c:v>
                </c:pt>
                <c:pt idx="4">
                  <c:v>United States</c:v>
                </c:pt>
                <c:pt idx="5">
                  <c:v>Romania</c:v>
                </c:pt>
                <c:pt idx="6">
                  <c:v>Lithuania</c:v>
                </c:pt>
                <c:pt idx="7">
                  <c:v>Israel</c:v>
                </c:pt>
                <c:pt idx="8">
                  <c:v>Slovak Republic</c:v>
                </c:pt>
                <c:pt idx="9">
                  <c:v>Denmark</c:v>
                </c:pt>
                <c:pt idx="10">
                  <c:v>Estonia</c:v>
                </c:pt>
                <c:pt idx="11">
                  <c:v>Austria</c:v>
                </c:pt>
                <c:pt idx="12">
                  <c:v>Czechia</c:v>
                </c:pt>
                <c:pt idx="13">
                  <c:v>Iceland</c:v>
                </c:pt>
                <c:pt idx="14">
                  <c:v>Australia</c:v>
                </c:pt>
                <c:pt idx="15">
                  <c:v>Malta</c:v>
                </c:pt>
                <c:pt idx="16">
                  <c:v>Germany</c:v>
                </c:pt>
                <c:pt idx="17">
                  <c:v>Switzerland</c:v>
                </c:pt>
                <c:pt idx="18">
                  <c:v>Croatia</c:v>
                </c:pt>
                <c:pt idx="19">
                  <c:v>EU-25 average</c:v>
                </c:pt>
                <c:pt idx="20">
                  <c:v>Sweden</c:v>
                </c:pt>
                <c:pt idx="21">
                  <c:v>Costa Rica</c:v>
                </c:pt>
                <c:pt idx="22">
                  <c:v>OECD-35</c:v>
                </c:pt>
                <c:pt idx="23">
                  <c:v>Japan</c:v>
                </c:pt>
                <c:pt idx="24">
                  <c:v>Poland</c:v>
                </c:pt>
                <c:pt idx="25">
                  <c:v>Greece</c:v>
                </c:pt>
                <c:pt idx="26">
                  <c:v>Belgium</c:v>
                </c:pt>
                <c:pt idx="27">
                  <c:v>Netherlands</c:v>
                </c:pt>
                <c:pt idx="28">
                  <c:v>Finland</c:v>
                </c:pt>
                <c:pt idx="29">
                  <c:v>Bulgaria</c:v>
                </c:pt>
                <c:pt idx="30">
                  <c:v>Mexico</c:v>
                </c:pt>
                <c:pt idx="31">
                  <c:v>Norway</c:v>
                </c:pt>
                <c:pt idx="32">
                  <c:v>Luxembourg</c:v>
                </c:pt>
                <c:pt idx="33">
                  <c:v>Korea</c:v>
                </c:pt>
                <c:pt idx="34">
                  <c:v>Spain</c:v>
                </c:pt>
                <c:pt idx="35">
                  <c:v>New Zealand</c:v>
                </c:pt>
                <c:pt idx="36">
                  <c:v>France</c:v>
                </c:pt>
                <c:pt idx="37">
                  <c:v>Portugal</c:v>
                </c:pt>
                <c:pt idx="38">
                  <c:v>Ireland</c:v>
                </c:pt>
                <c:pt idx="39">
                  <c:v>Slovenia</c:v>
                </c:pt>
                <c:pt idx="40">
                  <c:v>Italy</c:v>
                </c:pt>
                <c:pt idx="41">
                  <c:v>Chile</c:v>
                </c:pt>
                <c:pt idx="42">
                  <c:v>Canada</c:v>
                </c:pt>
                <c:pt idx="43">
                  <c:v>United Kingdom</c:v>
                </c:pt>
                <c:pt idx="44">
                  <c:v>Colombia</c:v>
                </c:pt>
              </c:strCache>
            </c:strRef>
          </c:cat>
          <c:val>
            <c:numRef>
              <c:f>'Chart SF3.1.A'!$M$6:$M$50</c:f>
              <c:numCache>
                <c:formatCode>0.0</c:formatCode>
                <c:ptCount val="45"/>
                <c:pt idx="0">
                  <c:v>8.6</c:v>
                </c:pt>
                <c:pt idx="2">
                  <c:v>9.3000000000000007</c:v>
                </c:pt>
                <c:pt idx="3">
                  <c:v>10.199999999999999</c:v>
                </c:pt>
                <c:pt idx="4">
                  <c:v>10.622199999999999</c:v>
                </c:pt>
                <c:pt idx="5">
                  <c:v>7.2</c:v>
                </c:pt>
                <c:pt idx="6">
                  <c:v>9.5</c:v>
                </c:pt>
                <c:pt idx="7">
                  <c:v>8.9418000000000006</c:v>
                </c:pt>
                <c:pt idx="8">
                  <c:v>7.9</c:v>
                </c:pt>
                <c:pt idx="9">
                  <c:v>7.4</c:v>
                </c:pt>
                <c:pt idx="10">
                  <c:v>9.1</c:v>
                </c:pt>
                <c:pt idx="11">
                  <c:v>7.1</c:v>
                </c:pt>
                <c:pt idx="12">
                  <c:v>9.1999999999999993</c:v>
                </c:pt>
                <c:pt idx="13">
                  <c:v>7.8</c:v>
                </c:pt>
                <c:pt idx="14">
                  <c:v>9.2797999999999998</c:v>
                </c:pt>
                <c:pt idx="15">
                  <c:v>7.9</c:v>
                </c:pt>
                <c:pt idx="16">
                  <c:v>7.4</c:v>
                </c:pt>
                <c:pt idx="17">
                  <c:v>7.6</c:v>
                </c:pt>
                <c:pt idx="18">
                  <c:v>8.5</c:v>
                </c:pt>
                <c:pt idx="19">
                  <c:v>8.104000000000001</c:v>
                </c:pt>
                <c:pt idx="20">
                  <c:v>5.4</c:v>
                </c:pt>
                <c:pt idx="21">
                  <c:v>6.2506201574562059</c:v>
                </c:pt>
                <c:pt idx="22">
                  <c:v>8.2644748616416059</c:v>
                </c:pt>
                <c:pt idx="23">
                  <c:v>10</c:v>
                </c:pt>
                <c:pt idx="24">
                  <c:v>8.6</c:v>
                </c:pt>
                <c:pt idx="25">
                  <c:v>7.7</c:v>
                </c:pt>
                <c:pt idx="26">
                  <c:v>7.6</c:v>
                </c:pt>
                <c:pt idx="27">
                  <c:v>9.5</c:v>
                </c:pt>
                <c:pt idx="28">
                  <c:v>8.8000000000000007</c:v>
                </c:pt>
                <c:pt idx="29">
                  <c:v>8.6</c:v>
                </c:pt>
                <c:pt idx="30">
                  <c:v>7</c:v>
                </c:pt>
                <c:pt idx="31">
                  <c:v>7.6</c:v>
                </c:pt>
                <c:pt idx="32">
                  <c:v>6.4</c:v>
                </c:pt>
                <c:pt idx="33">
                  <c:v>9.1999999999999993</c:v>
                </c:pt>
                <c:pt idx="34">
                  <c:v>7.3</c:v>
                </c:pt>
                <c:pt idx="35">
                  <c:v>9.1999999999999993</c:v>
                </c:pt>
                <c:pt idx="37">
                  <c:v>9.4</c:v>
                </c:pt>
                <c:pt idx="38">
                  <c:v>7</c:v>
                </c:pt>
                <c:pt idx="39">
                  <c:v>8.3000000000000007</c:v>
                </c:pt>
                <c:pt idx="40">
                  <c:v>7.3</c:v>
                </c:pt>
                <c:pt idx="41">
                  <c:v>8.0622000000000007</c:v>
                </c:pt>
                <c:pt idx="42">
                  <c:v>8.8000000000000007</c:v>
                </c:pt>
                <c:pt idx="43">
                  <c:v>8.5</c:v>
                </c:pt>
              </c:numCache>
            </c:numRef>
          </c:val>
          <c:smooth val="0"/>
          <c:extLst>
            <c:ext xmlns:c16="http://schemas.microsoft.com/office/drawing/2014/chart" uri="{C3380CC4-5D6E-409C-BE32-E72D297353CC}">
              <c16:uniqueId val="{00000014-3739-4AE3-966A-64DEBDC3ECE0}"/>
            </c:ext>
          </c:extLst>
        </c:ser>
        <c:dLbls>
          <c:showLegendKey val="0"/>
          <c:showVal val="0"/>
          <c:showCatName val="0"/>
          <c:showSerName val="0"/>
          <c:showPercent val="0"/>
          <c:showBubbleSize val="0"/>
        </c:dLbls>
        <c:marker val="1"/>
        <c:smooth val="0"/>
        <c:axId val="86093184"/>
        <c:axId val="86570496"/>
      </c:lineChart>
      <c:catAx>
        <c:axId val="86093184"/>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86570496"/>
        <c:crosses val="autoZero"/>
        <c:auto val="1"/>
        <c:lblAlgn val="ctr"/>
        <c:lblOffset val="0"/>
        <c:tickLblSkip val="1"/>
        <c:noMultiLvlLbl val="0"/>
      </c:catAx>
      <c:valAx>
        <c:axId val="86570496"/>
        <c:scaling>
          <c:orientation val="minMax"/>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Marriages per 1000 people</a:t>
                </a:r>
              </a:p>
            </c:rich>
          </c:tx>
          <c:layout>
            <c:manualLayout>
              <c:xMode val="edge"/>
              <c:yMode val="edge"/>
              <c:x val="8.8755514897298684E-3"/>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86093184"/>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4.1920208093245009E-2"/>
          <c:y val="1.9920803043647736E-2"/>
          <c:w val="0.90783925360156426"/>
          <c:h val="6.938646136137095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b="1" i="0">
                <a:solidFill>
                  <a:srgbClr val="000000"/>
                </a:solidFill>
                <a:latin typeface="Arial Narrow" panose="020B0606020202030204" pitchFamily="34" charset="0"/>
              </a:defRPr>
            </a:pPr>
            <a:r>
              <a:rPr lang="en-GB" sz="800" b="1" i="0" baseline="0">
                <a:solidFill>
                  <a:srgbClr val="000000"/>
                </a:solidFill>
                <a:effectLst/>
                <a:latin typeface="Arial Narrow" panose="020B0606020202030204" pitchFamily="34" charset="0"/>
              </a:rPr>
              <a:t>Panel A. Female mean age at first marriage</a:t>
            </a:r>
            <a:endParaRPr lang="en-GB" sz="800" b="1" i="0">
              <a:solidFill>
                <a:srgbClr val="000000"/>
              </a:solidFill>
              <a:effectLst/>
              <a:latin typeface="Arial Narrow" panose="020B0606020202030204" pitchFamily="34" charset="0"/>
            </a:endParaRPr>
          </a:p>
        </c:rich>
      </c:tx>
      <c:layout>
        <c:manualLayout>
          <c:xMode val="edge"/>
          <c:yMode val="edge"/>
          <c:x val="0.35624943039960461"/>
          <c:y val="0.12753119490349296"/>
        </c:manualLayout>
      </c:layout>
      <c:overlay val="0"/>
    </c:title>
    <c:autoTitleDeleted val="0"/>
    <c:plotArea>
      <c:layout>
        <c:manualLayout>
          <c:layoutTarget val="inner"/>
          <c:xMode val="edge"/>
          <c:yMode val="edge"/>
          <c:x val="4.6563410979773491E-2"/>
          <c:y val="0.21760599012195267"/>
          <c:w val="0.93560361352350907"/>
          <c:h val="0.52754239010719262"/>
        </c:manualLayout>
      </c:layout>
      <c:barChart>
        <c:barDir val="col"/>
        <c:grouping val="clustered"/>
        <c:varyColors val="0"/>
        <c:ser>
          <c:idx val="4"/>
          <c:order val="2"/>
          <c:tx>
            <c:strRef>
              <c:f>'Chart SF3.1.B'!$Z$4</c:f>
              <c:strCache>
                <c:ptCount val="1"/>
                <c:pt idx="0">
                  <c:v>2021 (↘)</c:v>
                </c:pt>
              </c:strCache>
            </c:strRef>
          </c:tx>
          <c:spPr>
            <a:solidFill>
              <a:schemeClr val="tx2"/>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0"/>
            <c:invertIfNegative val="0"/>
            <c:bubble3D val="0"/>
            <c:extLst>
              <c:ext xmlns:c16="http://schemas.microsoft.com/office/drawing/2014/chart" uri="{C3380CC4-5D6E-409C-BE32-E72D297353CC}">
                <c16:uniqueId val="{00000000-C407-4862-AB46-A249DDCEE068}"/>
              </c:ext>
            </c:extLst>
          </c:dPt>
          <c:dPt>
            <c:idx val="15"/>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2-C407-4862-AB46-A249DDCEE068}"/>
              </c:ext>
            </c:extLst>
          </c:dPt>
          <c:dPt>
            <c:idx val="16"/>
            <c:invertIfNegative val="0"/>
            <c:bubble3D val="0"/>
            <c:extLst>
              <c:ext xmlns:c16="http://schemas.microsoft.com/office/drawing/2014/chart" uri="{C3380CC4-5D6E-409C-BE32-E72D297353CC}">
                <c16:uniqueId val="{00000003-C407-4862-AB46-A249DDCEE068}"/>
              </c:ext>
            </c:extLst>
          </c:dPt>
          <c:dPt>
            <c:idx val="18"/>
            <c:invertIfNegative val="0"/>
            <c:bubble3D val="0"/>
            <c:extLst>
              <c:ext xmlns:c16="http://schemas.microsoft.com/office/drawing/2014/chart" uri="{C3380CC4-5D6E-409C-BE32-E72D297353CC}">
                <c16:uniqueId val="{00000004-C407-4862-AB46-A249DDCEE068}"/>
              </c:ext>
            </c:extLst>
          </c:dPt>
          <c:dPt>
            <c:idx val="19"/>
            <c:invertIfNegative val="0"/>
            <c:bubble3D val="0"/>
            <c:extLst>
              <c:ext xmlns:c16="http://schemas.microsoft.com/office/drawing/2014/chart" uri="{C3380CC4-5D6E-409C-BE32-E72D297353CC}">
                <c16:uniqueId val="{00000005-C407-4862-AB46-A249DDCEE068}"/>
              </c:ext>
            </c:extLst>
          </c:dPt>
          <c:dPt>
            <c:idx val="20"/>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7-C407-4862-AB46-A249DDCEE068}"/>
              </c:ext>
            </c:extLst>
          </c:dPt>
          <c:dPt>
            <c:idx val="21"/>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9-C407-4862-AB46-A249DDCEE068}"/>
              </c:ext>
            </c:extLst>
          </c:dPt>
          <c:dPt>
            <c:idx val="22"/>
            <c:invertIfNegative val="0"/>
            <c:bubble3D val="0"/>
            <c:extLst>
              <c:ext xmlns:c16="http://schemas.microsoft.com/office/drawing/2014/chart" uri="{C3380CC4-5D6E-409C-BE32-E72D297353CC}">
                <c16:uniqueId val="{0000000A-C407-4862-AB46-A249DDCEE068}"/>
              </c:ext>
            </c:extLst>
          </c:dPt>
          <c:dPt>
            <c:idx val="23"/>
            <c:invertIfNegative val="0"/>
            <c:bubble3D val="0"/>
            <c:extLst>
              <c:ext xmlns:c16="http://schemas.microsoft.com/office/drawing/2014/chart" uri="{C3380CC4-5D6E-409C-BE32-E72D297353CC}">
                <c16:uniqueId val="{0000000B-C407-4862-AB46-A249DDCEE068}"/>
              </c:ext>
            </c:extLst>
          </c:dPt>
          <c:dPt>
            <c:idx val="24"/>
            <c:invertIfNegative val="0"/>
            <c:bubble3D val="0"/>
            <c:extLst>
              <c:ext xmlns:c16="http://schemas.microsoft.com/office/drawing/2014/chart" uri="{C3380CC4-5D6E-409C-BE32-E72D297353CC}">
                <c16:uniqueId val="{0000000C-C407-4862-AB46-A249DDCEE068}"/>
              </c:ext>
            </c:extLst>
          </c:dPt>
          <c:dPt>
            <c:idx val="25"/>
            <c:invertIfNegative val="0"/>
            <c:bubble3D val="0"/>
            <c:extLst>
              <c:ext xmlns:c16="http://schemas.microsoft.com/office/drawing/2014/chart" uri="{C3380CC4-5D6E-409C-BE32-E72D297353CC}">
                <c16:uniqueId val="{0000000D-C407-4862-AB46-A249DDCEE068}"/>
              </c:ext>
            </c:extLst>
          </c:dPt>
          <c:dPt>
            <c:idx val="27"/>
            <c:invertIfNegative val="0"/>
            <c:bubble3D val="0"/>
            <c:extLst>
              <c:ext xmlns:c16="http://schemas.microsoft.com/office/drawing/2014/chart" uri="{C3380CC4-5D6E-409C-BE32-E72D297353CC}">
                <c16:uniqueId val="{0000000E-C407-4862-AB46-A249DDCEE068}"/>
              </c:ext>
            </c:extLst>
          </c:dPt>
          <c:cat>
            <c:strRef>
              <c:f>'Chart SF3.1.B'!$K$5:$K$46</c:f>
              <c:strCache>
                <c:ptCount val="42"/>
                <c:pt idx="0">
                  <c:v>Iceland</c:v>
                </c:pt>
                <c:pt idx="1">
                  <c:v>Sweden</c:v>
                </c:pt>
                <c:pt idx="2">
                  <c:v>Spain</c:v>
                </c:pt>
                <c:pt idx="3">
                  <c:v>Norway</c:v>
                </c:pt>
                <c:pt idx="4">
                  <c:v>France</c:v>
                </c:pt>
                <c:pt idx="5">
                  <c:v>United Kingdom</c:v>
                </c:pt>
                <c:pt idx="6">
                  <c:v>Italy</c:v>
                </c:pt>
                <c:pt idx="7">
                  <c:v>Denmark</c:v>
                </c:pt>
                <c:pt idx="8">
                  <c:v>Luxembourg</c:v>
                </c:pt>
                <c:pt idx="9">
                  <c:v>Belgium</c:v>
                </c:pt>
                <c:pt idx="10">
                  <c:v>Finland</c:v>
                </c:pt>
                <c:pt idx="11">
                  <c:v>Portugal</c:v>
                </c:pt>
                <c:pt idx="12">
                  <c:v>Austria</c:v>
                </c:pt>
                <c:pt idx="13">
                  <c:v>Netherlands</c:v>
                </c:pt>
                <c:pt idx="14">
                  <c:v>Ireland</c:v>
                </c:pt>
                <c:pt idx="15">
                  <c:v>OECD-26 average</c:v>
                </c:pt>
                <c:pt idx="16">
                  <c:v>Chile</c:v>
                </c:pt>
                <c:pt idx="17">
                  <c:v>Slovenia</c:v>
                </c:pt>
                <c:pt idx="18">
                  <c:v>Germany</c:v>
                </c:pt>
                <c:pt idx="19">
                  <c:v>Korea</c:v>
                </c:pt>
                <c:pt idx="20">
                  <c:v>EU-25 average</c:v>
                </c:pt>
                <c:pt idx="21">
                  <c:v>OECD-35 average</c:v>
                </c:pt>
                <c:pt idx="22">
                  <c:v>Greece</c:v>
                </c:pt>
                <c:pt idx="23">
                  <c:v>Mexico</c:v>
                </c:pt>
                <c:pt idx="24">
                  <c:v>Switzerland</c:v>
                </c:pt>
                <c:pt idx="25">
                  <c:v>Latvia</c:v>
                </c:pt>
                <c:pt idx="26">
                  <c:v>Estonia</c:v>
                </c:pt>
                <c:pt idx="27">
                  <c:v>Czechia</c:v>
                </c:pt>
                <c:pt idx="28">
                  <c:v>Hungary</c:v>
                </c:pt>
                <c:pt idx="29">
                  <c:v>New Zealand</c:v>
                </c:pt>
                <c:pt idx="30">
                  <c:v>Japan</c:v>
                </c:pt>
                <c:pt idx="31">
                  <c:v>Australia</c:v>
                </c:pt>
                <c:pt idx="32">
                  <c:v>Slovak Republic</c:v>
                </c:pt>
                <c:pt idx="33">
                  <c:v>Canada</c:v>
                </c:pt>
                <c:pt idx="34">
                  <c:v>Croatia</c:v>
                </c:pt>
                <c:pt idx="35">
                  <c:v>Lithuania</c:v>
                </c:pt>
                <c:pt idx="36">
                  <c:v>United States</c:v>
                </c:pt>
                <c:pt idx="37">
                  <c:v>Bulgaria</c:v>
                </c:pt>
                <c:pt idx="38">
                  <c:v>Poland</c:v>
                </c:pt>
                <c:pt idx="39">
                  <c:v>Romania</c:v>
                </c:pt>
                <c:pt idx="40">
                  <c:v>Israel</c:v>
                </c:pt>
                <c:pt idx="41">
                  <c:v>Türkiye</c:v>
                </c:pt>
              </c:strCache>
            </c:strRef>
          </c:cat>
          <c:val>
            <c:numRef>
              <c:f>'Chart SF3.1.B'!$Z$5:$Z$46</c:f>
              <c:numCache>
                <c:formatCode>0.0</c:formatCode>
                <c:ptCount val="42"/>
                <c:pt idx="0">
                  <c:v>35</c:v>
                </c:pt>
                <c:pt idx="1">
                  <c:v>34.799999999999997</c:v>
                </c:pt>
                <c:pt idx="2">
                  <c:v>34.700000000000003</c:v>
                </c:pt>
                <c:pt idx="3">
                  <c:v>34.1</c:v>
                </c:pt>
                <c:pt idx="4">
                  <c:v>33.5</c:v>
                </c:pt>
                <c:pt idx="5">
                  <c:v>33.200000000000003</c:v>
                </c:pt>
                <c:pt idx="6">
                  <c:v>33</c:v>
                </c:pt>
                <c:pt idx="7">
                  <c:v>33</c:v>
                </c:pt>
                <c:pt idx="8">
                  <c:v>32.4</c:v>
                </c:pt>
                <c:pt idx="9">
                  <c:v>32.200000000000003</c:v>
                </c:pt>
                <c:pt idx="10">
                  <c:v>32.1</c:v>
                </c:pt>
                <c:pt idx="11">
                  <c:v>32</c:v>
                </c:pt>
                <c:pt idx="12">
                  <c:v>32</c:v>
                </c:pt>
                <c:pt idx="13">
                  <c:v>32</c:v>
                </c:pt>
                <c:pt idx="14">
                  <c:v>31.9</c:v>
                </c:pt>
                <c:pt idx="15">
                  <c:v>31.506923076923076</c:v>
                </c:pt>
                <c:pt idx="16">
                  <c:v>31.5</c:v>
                </c:pt>
                <c:pt idx="17">
                  <c:v>31.4</c:v>
                </c:pt>
                <c:pt idx="18">
                  <c:v>31.2</c:v>
                </c:pt>
                <c:pt idx="19">
                  <c:v>31.1</c:v>
                </c:pt>
                <c:pt idx="20">
                  <c:v>31.063999999999993</c:v>
                </c:pt>
                <c:pt idx="21">
                  <c:v>30.999999999999993</c:v>
                </c:pt>
                <c:pt idx="22">
                  <c:v>30.9</c:v>
                </c:pt>
                <c:pt idx="23">
                  <c:v>30.5</c:v>
                </c:pt>
                <c:pt idx="24">
                  <c:v>30.3</c:v>
                </c:pt>
                <c:pt idx="25">
                  <c:v>30</c:v>
                </c:pt>
                <c:pt idx="26">
                  <c:v>29.9</c:v>
                </c:pt>
                <c:pt idx="27">
                  <c:v>29.9</c:v>
                </c:pt>
                <c:pt idx="28">
                  <c:v>29.7</c:v>
                </c:pt>
                <c:pt idx="29">
                  <c:v>29.6</c:v>
                </c:pt>
                <c:pt idx="30">
                  <c:v>29.4</c:v>
                </c:pt>
                <c:pt idx="31">
                  <c:v>29.4</c:v>
                </c:pt>
                <c:pt idx="32">
                  <c:v>28.9</c:v>
                </c:pt>
                <c:pt idx="33">
                  <c:v>28.9</c:v>
                </c:pt>
                <c:pt idx="34">
                  <c:v>28.8</c:v>
                </c:pt>
                <c:pt idx="35">
                  <c:v>28.6</c:v>
                </c:pt>
                <c:pt idx="36">
                  <c:v>28.6</c:v>
                </c:pt>
                <c:pt idx="37">
                  <c:v>28.3</c:v>
                </c:pt>
                <c:pt idx="38">
                  <c:v>27.9</c:v>
                </c:pt>
                <c:pt idx="39">
                  <c:v>27.5</c:v>
                </c:pt>
                <c:pt idx="40">
                  <c:v>25.2</c:v>
                </c:pt>
                <c:pt idx="41">
                  <c:v>25.1</c:v>
                </c:pt>
              </c:numCache>
            </c:numRef>
          </c:val>
          <c:extLst>
            <c:ext xmlns:c16="http://schemas.microsoft.com/office/drawing/2014/chart" uri="{C3380CC4-5D6E-409C-BE32-E72D297353CC}">
              <c16:uniqueId val="{0000000F-C407-4862-AB46-A249DDCEE068}"/>
            </c:ext>
          </c:extLst>
        </c:ser>
        <c:dLbls>
          <c:showLegendKey val="0"/>
          <c:showVal val="0"/>
          <c:showCatName val="0"/>
          <c:showSerName val="0"/>
          <c:showPercent val="0"/>
          <c:showBubbleSize val="0"/>
        </c:dLbls>
        <c:gapWidth val="150"/>
        <c:axId val="187311616"/>
        <c:axId val="187901056"/>
      </c:barChart>
      <c:lineChart>
        <c:grouping val="standard"/>
        <c:varyColors val="0"/>
        <c:ser>
          <c:idx val="0"/>
          <c:order val="0"/>
          <c:tx>
            <c:strRef>
              <c:f>'Chart SF3.1.B'!$U$4</c:f>
              <c:strCache>
                <c:ptCount val="1"/>
                <c:pt idx="0">
                  <c:v>1990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chemeClr val="bg1"/>
              </a:solidFill>
              <a:ln w="6350">
                <a:solidFill>
                  <a:srgbClr val="7FA8D9"/>
                </a:solidFill>
                <a:prstDash val="solid"/>
              </a:ln>
              <a:effectLst/>
            </c:spPr>
          </c:marker>
          <c:dPt>
            <c:idx val="10"/>
            <c:bubble3D val="0"/>
            <c:extLst>
              <c:ext xmlns:c16="http://schemas.microsoft.com/office/drawing/2014/chart" uri="{C3380CC4-5D6E-409C-BE32-E72D297353CC}">
                <c16:uniqueId val="{00000010-C407-4862-AB46-A249DDCEE068}"/>
              </c:ext>
            </c:extLst>
          </c:dPt>
          <c:dPt>
            <c:idx val="23"/>
            <c:bubble3D val="0"/>
            <c:extLst>
              <c:ext xmlns:c16="http://schemas.microsoft.com/office/drawing/2014/chart" uri="{C3380CC4-5D6E-409C-BE32-E72D297353CC}">
                <c16:uniqueId val="{00000011-C407-4862-AB46-A249DDCEE068}"/>
              </c:ext>
            </c:extLst>
          </c:dPt>
          <c:cat>
            <c:strRef>
              <c:f>'Chart SF3.1.B'!$K$5:$K$46</c:f>
              <c:strCache>
                <c:ptCount val="42"/>
                <c:pt idx="0">
                  <c:v>Iceland</c:v>
                </c:pt>
                <c:pt idx="1">
                  <c:v>Sweden</c:v>
                </c:pt>
                <c:pt idx="2">
                  <c:v>Spain</c:v>
                </c:pt>
                <c:pt idx="3">
                  <c:v>Norway</c:v>
                </c:pt>
                <c:pt idx="4">
                  <c:v>France</c:v>
                </c:pt>
                <c:pt idx="5">
                  <c:v>United Kingdom</c:v>
                </c:pt>
                <c:pt idx="6">
                  <c:v>Italy</c:v>
                </c:pt>
                <c:pt idx="7">
                  <c:v>Denmark</c:v>
                </c:pt>
                <c:pt idx="8">
                  <c:v>Luxembourg</c:v>
                </c:pt>
                <c:pt idx="9">
                  <c:v>Belgium</c:v>
                </c:pt>
                <c:pt idx="10">
                  <c:v>Finland</c:v>
                </c:pt>
                <c:pt idx="11">
                  <c:v>Portugal</c:v>
                </c:pt>
                <c:pt idx="12">
                  <c:v>Austria</c:v>
                </c:pt>
                <c:pt idx="13">
                  <c:v>Netherlands</c:v>
                </c:pt>
                <c:pt idx="14">
                  <c:v>Ireland</c:v>
                </c:pt>
                <c:pt idx="15">
                  <c:v>OECD-26 average</c:v>
                </c:pt>
                <c:pt idx="16">
                  <c:v>Chile</c:v>
                </c:pt>
                <c:pt idx="17">
                  <c:v>Slovenia</c:v>
                </c:pt>
                <c:pt idx="18">
                  <c:v>Germany</c:v>
                </c:pt>
                <c:pt idx="19">
                  <c:v>Korea</c:v>
                </c:pt>
                <c:pt idx="20">
                  <c:v>EU-25 average</c:v>
                </c:pt>
                <c:pt idx="21">
                  <c:v>OECD-35 average</c:v>
                </c:pt>
                <c:pt idx="22">
                  <c:v>Greece</c:v>
                </c:pt>
                <c:pt idx="23">
                  <c:v>Mexico</c:v>
                </c:pt>
                <c:pt idx="24">
                  <c:v>Switzerland</c:v>
                </c:pt>
                <c:pt idx="25">
                  <c:v>Latvia</c:v>
                </c:pt>
                <c:pt idx="26">
                  <c:v>Estonia</c:v>
                </c:pt>
                <c:pt idx="27">
                  <c:v>Czechia</c:v>
                </c:pt>
                <c:pt idx="28">
                  <c:v>Hungary</c:v>
                </c:pt>
                <c:pt idx="29">
                  <c:v>New Zealand</c:v>
                </c:pt>
                <c:pt idx="30">
                  <c:v>Japan</c:v>
                </c:pt>
                <c:pt idx="31">
                  <c:v>Australia</c:v>
                </c:pt>
                <c:pt idx="32">
                  <c:v>Slovak Republic</c:v>
                </c:pt>
                <c:pt idx="33">
                  <c:v>Canada</c:v>
                </c:pt>
                <c:pt idx="34">
                  <c:v>Croatia</c:v>
                </c:pt>
                <c:pt idx="35">
                  <c:v>Lithuania</c:v>
                </c:pt>
                <c:pt idx="36">
                  <c:v>United States</c:v>
                </c:pt>
                <c:pt idx="37">
                  <c:v>Bulgaria</c:v>
                </c:pt>
                <c:pt idx="38">
                  <c:v>Poland</c:v>
                </c:pt>
                <c:pt idx="39">
                  <c:v>Romania</c:v>
                </c:pt>
                <c:pt idx="40">
                  <c:v>Israel</c:v>
                </c:pt>
                <c:pt idx="41">
                  <c:v>Türkiye</c:v>
                </c:pt>
              </c:strCache>
            </c:strRef>
          </c:cat>
          <c:val>
            <c:numRef>
              <c:f>'Chart SF3.1.B'!$U$5:$U$46</c:f>
              <c:numCache>
                <c:formatCode>0.0</c:formatCode>
                <c:ptCount val="42"/>
                <c:pt idx="0">
                  <c:v>26.9</c:v>
                </c:pt>
                <c:pt idx="1">
                  <c:v>27.7</c:v>
                </c:pt>
                <c:pt idx="2">
                  <c:v>25.6</c:v>
                </c:pt>
                <c:pt idx="3">
                  <c:v>26.4</c:v>
                </c:pt>
                <c:pt idx="4">
                  <c:v>0</c:v>
                </c:pt>
                <c:pt idx="5">
                  <c:v>25.15</c:v>
                </c:pt>
                <c:pt idx="6">
                  <c:v>25.9</c:v>
                </c:pt>
                <c:pt idx="7">
                  <c:v>27.8</c:v>
                </c:pt>
                <c:pt idx="8">
                  <c:v>25.6</c:v>
                </c:pt>
                <c:pt idx="9">
                  <c:v>24.4</c:v>
                </c:pt>
                <c:pt idx="10">
                  <c:v>26.3</c:v>
                </c:pt>
                <c:pt idx="11">
                  <c:v>24.6</c:v>
                </c:pt>
                <c:pt idx="12">
                  <c:v>25.2</c:v>
                </c:pt>
                <c:pt idx="13">
                  <c:v>26.1</c:v>
                </c:pt>
                <c:pt idx="14">
                  <c:v>26.6</c:v>
                </c:pt>
                <c:pt idx="15">
                  <c:v>25.201153846153844</c:v>
                </c:pt>
                <c:pt idx="16">
                  <c:v>0</c:v>
                </c:pt>
                <c:pt idx="17">
                  <c:v>23.9</c:v>
                </c:pt>
                <c:pt idx="18">
                  <c:v>25.5</c:v>
                </c:pt>
                <c:pt idx="19">
                  <c:v>24.78</c:v>
                </c:pt>
                <c:pt idx="20">
                  <c:v>0</c:v>
                </c:pt>
                <c:pt idx="22">
                  <c:v>24.9</c:v>
                </c:pt>
                <c:pt idx="23">
                  <c:v>0</c:v>
                </c:pt>
                <c:pt idx="24">
                  <c:v>27</c:v>
                </c:pt>
                <c:pt idx="25">
                  <c:v>0</c:v>
                </c:pt>
                <c:pt idx="26">
                  <c:v>0</c:v>
                </c:pt>
                <c:pt idx="27">
                  <c:v>21.6</c:v>
                </c:pt>
                <c:pt idx="28">
                  <c:v>22</c:v>
                </c:pt>
                <c:pt idx="29">
                  <c:v>24.5</c:v>
                </c:pt>
                <c:pt idx="30">
                  <c:v>25.9</c:v>
                </c:pt>
                <c:pt idx="31">
                  <c:v>24.3</c:v>
                </c:pt>
                <c:pt idx="32">
                  <c:v>0</c:v>
                </c:pt>
                <c:pt idx="33">
                  <c:v>25.54</c:v>
                </c:pt>
                <c:pt idx="34">
                  <c:v>0</c:v>
                </c:pt>
                <c:pt idx="35">
                  <c:v>22.7</c:v>
                </c:pt>
                <c:pt idx="36">
                  <c:v>23.9</c:v>
                </c:pt>
                <c:pt idx="37">
                  <c:v>21.5</c:v>
                </c:pt>
                <c:pt idx="38">
                  <c:v>0</c:v>
                </c:pt>
                <c:pt idx="39">
                  <c:v>22.4</c:v>
                </c:pt>
                <c:pt idx="40">
                  <c:v>0</c:v>
                </c:pt>
                <c:pt idx="41">
                  <c:v>0</c:v>
                </c:pt>
              </c:numCache>
            </c:numRef>
          </c:val>
          <c:smooth val="0"/>
          <c:extLst>
            <c:ext xmlns:c16="http://schemas.microsoft.com/office/drawing/2014/chart" uri="{C3380CC4-5D6E-409C-BE32-E72D297353CC}">
              <c16:uniqueId val="{00000012-C407-4862-AB46-A249DDCEE068}"/>
            </c:ext>
          </c:extLst>
        </c:ser>
        <c:ser>
          <c:idx val="2"/>
          <c:order val="1"/>
          <c:tx>
            <c:strRef>
              <c:f>'Chart SF3.1.B'!$V$4</c:f>
              <c:strCache>
                <c:ptCount val="1"/>
                <c:pt idx="0">
                  <c:v>2000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6BB6"/>
              </a:solidFill>
              <a:ln w="6350">
                <a:solidFill>
                  <a:schemeClr val="bg1"/>
                </a:solidFill>
                <a:prstDash val="solid"/>
              </a:ln>
              <a:effectLst/>
            </c:spPr>
          </c:marker>
          <c:dPt>
            <c:idx val="10"/>
            <c:bubble3D val="0"/>
            <c:extLst>
              <c:ext xmlns:c16="http://schemas.microsoft.com/office/drawing/2014/chart" uri="{C3380CC4-5D6E-409C-BE32-E72D297353CC}">
                <c16:uniqueId val="{00000013-C407-4862-AB46-A249DDCEE068}"/>
              </c:ext>
            </c:extLst>
          </c:dPt>
          <c:dPt>
            <c:idx val="15"/>
            <c:bubble3D val="0"/>
            <c:extLst>
              <c:ext xmlns:c16="http://schemas.microsoft.com/office/drawing/2014/chart" uri="{C3380CC4-5D6E-409C-BE32-E72D297353CC}">
                <c16:uniqueId val="{00000014-C407-4862-AB46-A249DDCEE068}"/>
              </c:ext>
            </c:extLst>
          </c:dPt>
          <c:dPt>
            <c:idx val="16"/>
            <c:bubble3D val="0"/>
            <c:extLst>
              <c:ext xmlns:c16="http://schemas.microsoft.com/office/drawing/2014/chart" uri="{C3380CC4-5D6E-409C-BE32-E72D297353CC}">
                <c16:uniqueId val="{00000015-C407-4862-AB46-A249DDCEE068}"/>
              </c:ext>
            </c:extLst>
          </c:dPt>
          <c:dPt>
            <c:idx val="23"/>
            <c:bubble3D val="0"/>
            <c:extLst>
              <c:ext xmlns:c16="http://schemas.microsoft.com/office/drawing/2014/chart" uri="{C3380CC4-5D6E-409C-BE32-E72D297353CC}">
                <c16:uniqueId val="{00000016-C407-4862-AB46-A249DDCEE068}"/>
              </c:ext>
            </c:extLst>
          </c:dPt>
          <c:dPt>
            <c:idx val="24"/>
            <c:bubble3D val="0"/>
            <c:extLst>
              <c:ext xmlns:c16="http://schemas.microsoft.com/office/drawing/2014/chart" uri="{C3380CC4-5D6E-409C-BE32-E72D297353CC}">
                <c16:uniqueId val="{00000017-C407-4862-AB46-A249DDCEE068}"/>
              </c:ext>
            </c:extLst>
          </c:dPt>
          <c:cat>
            <c:strRef>
              <c:f>'Chart SF3.1.B'!$K$5:$K$46</c:f>
              <c:strCache>
                <c:ptCount val="42"/>
                <c:pt idx="0">
                  <c:v>Iceland</c:v>
                </c:pt>
                <c:pt idx="1">
                  <c:v>Sweden</c:v>
                </c:pt>
                <c:pt idx="2">
                  <c:v>Spain</c:v>
                </c:pt>
                <c:pt idx="3">
                  <c:v>Norway</c:v>
                </c:pt>
                <c:pt idx="4">
                  <c:v>France</c:v>
                </c:pt>
                <c:pt idx="5">
                  <c:v>United Kingdom</c:v>
                </c:pt>
                <c:pt idx="6">
                  <c:v>Italy</c:v>
                </c:pt>
                <c:pt idx="7">
                  <c:v>Denmark</c:v>
                </c:pt>
                <c:pt idx="8">
                  <c:v>Luxembourg</c:v>
                </c:pt>
                <c:pt idx="9">
                  <c:v>Belgium</c:v>
                </c:pt>
                <c:pt idx="10">
                  <c:v>Finland</c:v>
                </c:pt>
                <c:pt idx="11">
                  <c:v>Portugal</c:v>
                </c:pt>
                <c:pt idx="12">
                  <c:v>Austria</c:v>
                </c:pt>
                <c:pt idx="13">
                  <c:v>Netherlands</c:v>
                </c:pt>
                <c:pt idx="14">
                  <c:v>Ireland</c:v>
                </c:pt>
                <c:pt idx="15">
                  <c:v>OECD-26 average</c:v>
                </c:pt>
                <c:pt idx="16">
                  <c:v>Chile</c:v>
                </c:pt>
                <c:pt idx="17">
                  <c:v>Slovenia</c:v>
                </c:pt>
                <c:pt idx="18">
                  <c:v>Germany</c:v>
                </c:pt>
                <c:pt idx="19">
                  <c:v>Korea</c:v>
                </c:pt>
                <c:pt idx="20">
                  <c:v>EU-25 average</c:v>
                </c:pt>
                <c:pt idx="21">
                  <c:v>OECD-35 average</c:v>
                </c:pt>
                <c:pt idx="22">
                  <c:v>Greece</c:v>
                </c:pt>
                <c:pt idx="23">
                  <c:v>Mexico</c:v>
                </c:pt>
                <c:pt idx="24">
                  <c:v>Switzerland</c:v>
                </c:pt>
                <c:pt idx="25">
                  <c:v>Latvia</c:v>
                </c:pt>
                <c:pt idx="26">
                  <c:v>Estonia</c:v>
                </c:pt>
                <c:pt idx="27">
                  <c:v>Czechia</c:v>
                </c:pt>
                <c:pt idx="28">
                  <c:v>Hungary</c:v>
                </c:pt>
                <c:pt idx="29">
                  <c:v>New Zealand</c:v>
                </c:pt>
                <c:pt idx="30">
                  <c:v>Japan</c:v>
                </c:pt>
                <c:pt idx="31">
                  <c:v>Australia</c:v>
                </c:pt>
                <c:pt idx="32">
                  <c:v>Slovak Republic</c:v>
                </c:pt>
                <c:pt idx="33">
                  <c:v>Canada</c:v>
                </c:pt>
                <c:pt idx="34">
                  <c:v>Croatia</c:v>
                </c:pt>
                <c:pt idx="35">
                  <c:v>Lithuania</c:v>
                </c:pt>
                <c:pt idx="36">
                  <c:v>United States</c:v>
                </c:pt>
                <c:pt idx="37">
                  <c:v>Bulgaria</c:v>
                </c:pt>
                <c:pt idx="38">
                  <c:v>Poland</c:v>
                </c:pt>
                <c:pt idx="39">
                  <c:v>Romania</c:v>
                </c:pt>
                <c:pt idx="40">
                  <c:v>Israel</c:v>
                </c:pt>
                <c:pt idx="41">
                  <c:v>Türkiye</c:v>
                </c:pt>
              </c:strCache>
            </c:strRef>
          </c:cat>
          <c:val>
            <c:numRef>
              <c:f>'Chart SF3.1.B'!$V$5:$V$46</c:f>
              <c:numCache>
                <c:formatCode>0.0</c:formatCode>
                <c:ptCount val="42"/>
                <c:pt idx="0">
                  <c:v>30.6</c:v>
                </c:pt>
                <c:pt idx="1">
                  <c:v>30.4</c:v>
                </c:pt>
                <c:pt idx="2">
                  <c:v>28.1</c:v>
                </c:pt>
                <c:pt idx="3">
                  <c:v>28.4</c:v>
                </c:pt>
                <c:pt idx="4">
                  <c:v>28.4</c:v>
                </c:pt>
                <c:pt idx="5">
                  <c:v>28.2</c:v>
                </c:pt>
                <c:pt idx="6">
                  <c:v>27.8</c:v>
                </c:pt>
                <c:pt idx="7">
                  <c:v>29.9</c:v>
                </c:pt>
                <c:pt idx="8">
                  <c:v>27.4</c:v>
                </c:pt>
                <c:pt idx="9">
                  <c:v>26.9</c:v>
                </c:pt>
                <c:pt idx="10">
                  <c:v>28.3</c:v>
                </c:pt>
                <c:pt idx="11">
                  <c:v>25.2</c:v>
                </c:pt>
                <c:pt idx="12">
                  <c:v>27.4</c:v>
                </c:pt>
                <c:pt idx="13">
                  <c:v>28</c:v>
                </c:pt>
                <c:pt idx="14">
                  <c:v>0</c:v>
                </c:pt>
                <c:pt idx="15">
                  <c:v>27.5</c:v>
                </c:pt>
                <c:pt idx="16">
                  <c:v>25.6370500880946</c:v>
                </c:pt>
                <c:pt idx="17">
                  <c:v>27</c:v>
                </c:pt>
                <c:pt idx="18">
                  <c:v>27.7</c:v>
                </c:pt>
                <c:pt idx="19">
                  <c:v>26.49</c:v>
                </c:pt>
                <c:pt idx="20">
                  <c:v>0</c:v>
                </c:pt>
                <c:pt idx="22">
                  <c:v>27.2</c:v>
                </c:pt>
                <c:pt idx="23">
                  <c:v>0</c:v>
                </c:pt>
                <c:pt idx="24">
                  <c:v>28.2</c:v>
                </c:pt>
                <c:pt idx="25">
                  <c:v>0</c:v>
                </c:pt>
                <c:pt idx="26">
                  <c:v>25.2</c:v>
                </c:pt>
                <c:pt idx="27">
                  <c:v>24.6</c:v>
                </c:pt>
                <c:pt idx="28">
                  <c:v>24.8</c:v>
                </c:pt>
                <c:pt idx="29">
                  <c:v>27.4</c:v>
                </c:pt>
                <c:pt idx="30">
                  <c:v>27</c:v>
                </c:pt>
                <c:pt idx="31">
                  <c:v>26.7</c:v>
                </c:pt>
                <c:pt idx="32">
                  <c:v>24.1</c:v>
                </c:pt>
                <c:pt idx="33">
                  <c:v>27.5</c:v>
                </c:pt>
                <c:pt idx="34">
                  <c:v>0</c:v>
                </c:pt>
                <c:pt idx="35">
                  <c:v>23.8</c:v>
                </c:pt>
                <c:pt idx="36">
                  <c:v>25.1</c:v>
                </c:pt>
                <c:pt idx="37">
                  <c:v>24.7</c:v>
                </c:pt>
                <c:pt idx="38">
                  <c:v>24.1</c:v>
                </c:pt>
                <c:pt idx="39">
                  <c:v>23.7</c:v>
                </c:pt>
                <c:pt idx="40">
                  <c:v>0</c:v>
                </c:pt>
                <c:pt idx="41">
                  <c:v>0</c:v>
                </c:pt>
              </c:numCache>
            </c:numRef>
          </c:val>
          <c:smooth val="0"/>
          <c:extLst>
            <c:ext xmlns:c16="http://schemas.microsoft.com/office/drawing/2014/chart" uri="{C3380CC4-5D6E-409C-BE32-E72D297353CC}">
              <c16:uniqueId val="{00000018-C407-4862-AB46-A249DDCEE068}"/>
            </c:ext>
          </c:extLst>
        </c:ser>
        <c:dLbls>
          <c:showLegendKey val="0"/>
          <c:showVal val="0"/>
          <c:showCatName val="0"/>
          <c:showSerName val="0"/>
          <c:showPercent val="0"/>
          <c:showBubbleSize val="0"/>
        </c:dLbls>
        <c:marker val="1"/>
        <c:smooth val="0"/>
        <c:axId val="187311616"/>
        <c:axId val="187901056"/>
      </c:lineChart>
      <c:catAx>
        <c:axId val="18731161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87901056"/>
        <c:crosses val="autoZero"/>
        <c:auto val="1"/>
        <c:lblAlgn val="ctr"/>
        <c:lblOffset val="0"/>
        <c:tickLblSkip val="1"/>
        <c:noMultiLvlLbl val="0"/>
      </c:catAx>
      <c:valAx>
        <c:axId val="187901056"/>
        <c:scaling>
          <c:orientation val="minMax"/>
          <c:max val="40"/>
          <c:min val="20"/>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US" sz="750" b="0" i="0">
                    <a:solidFill>
                      <a:srgbClr val="000000"/>
                    </a:solidFill>
                    <a:latin typeface="Arial Narrow" panose="020B0606020202030204" pitchFamily="34" charset="0"/>
                  </a:rPr>
                  <a:t>Mean age</a:t>
                </a:r>
              </a:p>
            </c:rich>
          </c:tx>
          <c:layout>
            <c:manualLayout>
              <c:xMode val="edge"/>
              <c:yMode val="edge"/>
              <c:x val="1.323219992010285E-2"/>
              <c:y val="0.1538658789579579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87311616"/>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5.5964927384729989E-2"/>
          <c:y val="2.41504444142931E-2"/>
          <c:w val="0.93876500313459732"/>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b="1" i="0">
                <a:solidFill>
                  <a:srgbClr val="000000"/>
                </a:solidFill>
                <a:latin typeface="Arial Narrow" panose="020B0606020202030204" pitchFamily="34" charset="0"/>
              </a:defRPr>
            </a:pPr>
            <a:r>
              <a:rPr lang="en-GB" sz="800" b="1" i="0" baseline="0">
                <a:solidFill>
                  <a:srgbClr val="000000"/>
                </a:solidFill>
                <a:effectLst/>
                <a:latin typeface="Arial Narrow" panose="020B0606020202030204" pitchFamily="34" charset="0"/>
              </a:rPr>
              <a:t>Panel B. Male mean age at first marriage</a:t>
            </a:r>
            <a:endParaRPr lang="en-GB" sz="800" b="1" i="0">
              <a:solidFill>
                <a:srgbClr val="000000"/>
              </a:solidFill>
              <a:effectLst/>
              <a:latin typeface="Arial Narrow" panose="020B0606020202030204" pitchFamily="34" charset="0"/>
            </a:endParaRPr>
          </a:p>
        </c:rich>
      </c:tx>
      <c:layout>
        <c:manualLayout>
          <c:xMode val="edge"/>
          <c:yMode val="edge"/>
          <c:x val="0.36295005661270091"/>
          <c:y val="3.4712664473620355E-2"/>
        </c:manualLayout>
      </c:layout>
      <c:overlay val="0"/>
    </c:title>
    <c:autoTitleDeleted val="0"/>
    <c:plotArea>
      <c:layout>
        <c:manualLayout>
          <c:xMode val="edge"/>
          <c:yMode val="edge"/>
          <c:x val="8.7445796086387494E-3"/>
          <c:y val="0.11587240960935621"/>
          <c:w val="0.98906927548920154"/>
          <c:h val="0.87416718886881994"/>
        </c:manualLayout>
      </c:layout>
      <c:barChart>
        <c:barDir val="col"/>
        <c:grouping val="clustered"/>
        <c:varyColors val="0"/>
        <c:ser>
          <c:idx val="4"/>
          <c:order val="2"/>
          <c:tx>
            <c:strRef>
              <c:f>'Chart SF3.1.B'!$S$4</c:f>
              <c:strCache>
                <c:ptCount val="1"/>
                <c:pt idx="0">
                  <c:v>2021</c:v>
                </c:pt>
              </c:strCache>
            </c:strRef>
          </c:tx>
          <c:spPr>
            <a:solidFill>
              <a:schemeClr val="tx2"/>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0"/>
            <c:invertIfNegative val="0"/>
            <c:bubble3D val="0"/>
            <c:extLst>
              <c:ext xmlns:c16="http://schemas.microsoft.com/office/drawing/2014/chart" uri="{C3380CC4-5D6E-409C-BE32-E72D297353CC}">
                <c16:uniqueId val="{00000000-66F9-4DE6-B749-A80A7D6F621E}"/>
              </c:ext>
            </c:extLst>
          </c:dPt>
          <c:dPt>
            <c:idx val="14"/>
            <c:invertIfNegative val="0"/>
            <c:bubble3D val="0"/>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2-66F9-4DE6-B749-A80A7D6F621E}"/>
              </c:ext>
            </c:extLst>
          </c:dPt>
          <c:dPt>
            <c:idx val="15"/>
            <c:invertIfNegative val="0"/>
            <c:bubble3D val="0"/>
            <c:spPr>
              <a:solidFill>
                <a:srgbClr val="000000"/>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3-66F9-4DE6-B749-A80A7D6F621E}"/>
              </c:ext>
            </c:extLst>
          </c:dPt>
          <c:dPt>
            <c:idx val="16"/>
            <c:invertIfNegative val="0"/>
            <c:bubble3D val="0"/>
            <c:extLst>
              <c:ext xmlns:c16="http://schemas.microsoft.com/office/drawing/2014/chart" uri="{C3380CC4-5D6E-409C-BE32-E72D297353CC}">
                <c16:uniqueId val="{00000004-66F9-4DE6-B749-A80A7D6F621E}"/>
              </c:ext>
            </c:extLst>
          </c:dPt>
          <c:dPt>
            <c:idx val="18"/>
            <c:invertIfNegative val="0"/>
            <c:bubble3D val="0"/>
            <c:extLst>
              <c:ext xmlns:c16="http://schemas.microsoft.com/office/drawing/2014/chart" uri="{C3380CC4-5D6E-409C-BE32-E72D297353CC}">
                <c16:uniqueId val="{00000005-66F9-4DE6-B749-A80A7D6F621E}"/>
              </c:ext>
            </c:extLst>
          </c:dPt>
          <c:dPt>
            <c:idx val="19"/>
            <c:invertIfNegative val="0"/>
            <c:bubble3D val="0"/>
            <c:extLst>
              <c:ext xmlns:c16="http://schemas.microsoft.com/office/drawing/2014/chart" uri="{C3380CC4-5D6E-409C-BE32-E72D297353CC}">
                <c16:uniqueId val="{00000006-66F9-4DE6-B749-A80A7D6F621E}"/>
              </c:ext>
            </c:extLst>
          </c:dPt>
          <c:dPt>
            <c:idx val="20"/>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8-66F9-4DE6-B749-A80A7D6F621E}"/>
              </c:ext>
            </c:extLst>
          </c:dPt>
          <c:dPt>
            <c:idx val="21"/>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A-66F9-4DE6-B749-A80A7D6F621E}"/>
              </c:ext>
            </c:extLst>
          </c:dPt>
          <c:dPt>
            <c:idx val="22"/>
            <c:invertIfNegative val="0"/>
            <c:bubble3D val="0"/>
            <c:extLst>
              <c:ext xmlns:c16="http://schemas.microsoft.com/office/drawing/2014/chart" uri="{C3380CC4-5D6E-409C-BE32-E72D297353CC}">
                <c16:uniqueId val="{0000000B-66F9-4DE6-B749-A80A7D6F621E}"/>
              </c:ext>
            </c:extLst>
          </c:dPt>
          <c:dPt>
            <c:idx val="23"/>
            <c:invertIfNegative val="0"/>
            <c:bubble3D val="0"/>
            <c:extLst>
              <c:ext xmlns:c16="http://schemas.microsoft.com/office/drawing/2014/chart" uri="{C3380CC4-5D6E-409C-BE32-E72D297353CC}">
                <c16:uniqueId val="{0000000C-66F9-4DE6-B749-A80A7D6F621E}"/>
              </c:ext>
            </c:extLst>
          </c:dPt>
          <c:dPt>
            <c:idx val="24"/>
            <c:invertIfNegative val="0"/>
            <c:bubble3D val="0"/>
            <c:extLst>
              <c:ext xmlns:c16="http://schemas.microsoft.com/office/drawing/2014/chart" uri="{C3380CC4-5D6E-409C-BE32-E72D297353CC}">
                <c16:uniqueId val="{0000000D-66F9-4DE6-B749-A80A7D6F621E}"/>
              </c:ext>
            </c:extLst>
          </c:dPt>
          <c:dPt>
            <c:idx val="25"/>
            <c:invertIfNegative val="0"/>
            <c:bubble3D val="0"/>
            <c:extLst>
              <c:ext xmlns:c16="http://schemas.microsoft.com/office/drawing/2014/chart" uri="{C3380CC4-5D6E-409C-BE32-E72D297353CC}">
                <c16:uniqueId val="{0000000E-66F9-4DE6-B749-A80A7D6F621E}"/>
              </c:ext>
            </c:extLst>
          </c:dPt>
          <c:dPt>
            <c:idx val="27"/>
            <c:invertIfNegative val="0"/>
            <c:bubble3D val="0"/>
            <c:extLst>
              <c:ext xmlns:c16="http://schemas.microsoft.com/office/drawing/2014/chart" uri="{C3380CC4-5D6E-409C-BE32-E72D297353CC}">
                <c16:uniqueId val="{0000000F-66F9-4DE6-B749-A80A7D6F621E}"/>
              </c:ext>
            </c:extLst>
          </c:dPt>
          <c:cat>
            <c:strRef>
              <c:f>'Chart SF3.1.B'!$K$5:$K$46</c:f>
              <c:strCache>
                <c:ptCount val="42"/>
                <c:pt idx="0">
                  <c:v>Iceland</c:v>
                </c:pt>
                <c:pt idx="1">
                  <c:v>Sweden</c:v>
                </c:pt>
                <c:pt idx="2">
                  <c:v>Spain</c:v>
                </c:pt>
                <c:pt idx="3">
                  <c:v>Norway</c:v>
                </c:pt>
                <c:pt idx="4">
                  <c:v>France</c:v>
                </c:pt>
                <c:pt idx="5">
                  <c:v>United Kingdom</c:v>
                </c:pt>
                <c:pt idx="6">
                  <c:v>Italy</c:v>
                </c:pt>
                <c:pt idx="7">
                  <c:v>Denmark</c:v>
                </c:pt>
                <c:pt idx="8">
                  <c:v>Luxembourg</c:v>
                </c:pt>
                <c:pt idx="9">
                  <c:v>Belgium</c:v>
                </c:pt>
                <c:pt idx="10">
                  <c:v>Finland</c:v>
                </c:pt>
                <c:pt idx="11">
                  <c:v>Portugal</c:v>
                </c:pt>
                <c:pt idx="12">
                  <c:v>Austria</c:v>
                </c:pt>
                <c:pt idx="13">
                  <c:v>Netherlands</c:v>
                </c:pt>
                <c:pt idx="14">
                  <c:v>Ireland</c:v>
                </c:pt>
                <c:pt idx="15">
                  <c:v>OECD-26 average</c:v>
                </c:pt>
                <c:pt idx="16">
                  <c:v>Chile</c:v>
                </c:pt>
                <c:pt idx="17">
                  <c:v>Slovenia</c:v>
                </c:pt>
                <c:pt idx="18">
                  <c:v>Germany</c:v>
                </c:pt>
                <c:pt idx="19">
                  <c:v>Korea</c:v>
                </c:pt>
                <c:pt idx="20">
                  <c:v>EU-25 average</c:v>
                </c:pt>
                <c:pt idx="21">
                  <c:v>OECD-35 average</c:v>
                </c:pt>
                <c:pt idx="22">
                  <c:v>Greece</c:v>
                </c:pt>
                <c:pt idx="23">
                  <c:v>Mexico</c:v>
                </c:pt>
                <c:pt idx="24">
                  <c:v>Switzerland</c:v>
                </c:pt>
                <c:pt idx="25">
                  <c:v>Latvia</c:v>
                </c:pt>
                <c:pt idx="26">
                  <c:v>Estonia</c:v>
                </c:pt>
                <c:pt idx="27">
                  <c:v>Czechia</c:v>
                </c:pt>
                <c:pt idx="28">
                  <c:v>Hungary</c:v>
                </c:pt>
                <c:pt idx="29">
                  <c:v>New Zealand</c:v>
                </c:pt>
                <c:pt idx="30">
                  <c:v>Japan</c:v>
                </c:pt>
                <c:pt idx="31">
                  <c:v>Australia</c:v>
                </c:pt>
                <c:pt idx="32">
                  <c:v>Slovak Republic</c:v>
                </c:pt>
                <c:pt idx="33">
                  <c:v>Canada</c:v>
                </c:pt>
                <c:pt idx="34">
                  <c:v>Croatia</c:v>
                </c:pt>
                <c:pt idx="35">
                  <c:v>Lithuania</c:v>
                </c:pt>
                <c:pt idx="36">
                  <c:v>United States</c:v>
                </c:pt>
                <c:pt idx="37">
                  <c:v>Bulgaria</c:v>
                </c:pt>
                <c:pt idx="38">
                  <c:v>Poland</c:v>
                </c:pt>
                <c:pt idx="39">
                  <c:v>Romania</c:v>
                </c:pt>
                <c:pt idx="40">
                  <c:v>Israel</c:v>
                </c:pt>
                <c:pt idx="41">
                  <c:v>Türkiye</c:v>
                </c:pt>
              </c:strCache>
            </c:strRef>
          </c:cat>
          <c:val>
            <c:numRef>
              <c:f>'Chart SF3.1.B'!$S$5:$S$46</c:f>
              <c:numCache>
                <c:formatCode>0.0</c:formatCode>
                <c:ptCount val="42"/>
                <c:pt idx="0">
                  <c:v>39.799999999999997</c:v>
                </c:pt>
                <c:pt idx="1">
                  <c:v>37.5</c:v>
                </c:pt>
                <c:pt idx="2">
                  <c:v>36.9</c:v>
                </c:pt>
                <c:pt idx="3">
                  <c:v>36.9</c:v>
                </c:pt>
                <c:pt idx="4">
                  <c:v>35.700000000000003</c:v>
                </c:pt>
                <c:pt idx="5">
                  <c:v>35.4</c:v>
                </c:pt>
                <c:pt idx="6">
                  <c:v>35.700000000000003</c:v>
                </c:pt>
                <c:pt idx="7">
                  <c:v>35.299999999999997</c:v>
                </c:pt>
                <c:pt idx="8">
                  <c:v>34.700000000000003</c:v>
                </c:pt>
                <c:pt idx="9">
                  <c:v>34.5</c:v>
                </c:pt>
                <c:pt idx="10">
                  <c:v>34.200000000000003</c:v>
                </c:pt>
                <c:pt idx="11">
                  <c:v>33.6</c:v>
                </c:pt>
                <c:pt idx="12">
                  <c:v>34.700000000000003</c:v>
                </c:pt>
                <c:pt idx="13" formatCode="0">
                  <c:v>34.4</c:v>
                </c:pt>
                <c:pt idx="14">
                  <c:v>33.799999999999997</c:v>
                </c:pt>
                <c:pt idx="15">
                  <c:v>33.832692307692305</c:v>
                </c:pt>
                <c:pt idx="16">
                  <c:v>32.700000000000003</c:v>
                </c:pt>
                <c:pt idx="17">
                  <c:v>33.9</c:v>
                </c:pt>
                <c:pt idx="18">
                  <c:v>34</c:v>
                </c:pt>
                <c:pt idx="19">
                  <c:v>33.4</c:v>
                </c:pt>
                <c:pt idx="20">
                  <c:v>33.483333333333334</c:v>
                </c:pt>
                <c:pt idx="21">
                  <c:v>33.381818181818183</c:v>
                </c:pt>
                <c:pt idx="22">
                  <c:v>32.4</c:v>
                </c:pt>
                <c:pt idx="23">
                  <c:v>33.4</c:v>
                </c:pt>
                <c:pt idx="24">
                  <c:v>32.200000000000003</c:v>
                </c:pt>
                <c:pt idx="25">
                  <c:v>32.6</c:v>
                </c:pt>
                <c:pt idx="26">
                  <c:v>32.799999999999997</c:v>
                </c:pt>
                <c:pt idx="27">
                  <c:v>32.6</c:v>
                </c:pt>
                <c:pt idx="28">
                  <c:v>32.4</c:v>
                </c:pt>
                <c:pt idx="29" formatCode="0">
                  <c:v>30.7</c:v>
                </c:pt>
                <c:pt idx="30">
                  <c:v>31</c:v>
                </c:pt>
                <c:pt idx="31">
                  <c:v>30.8</c:v>
                </c:pt>
                <c:pt idx="32">
                  <c:v>31.7</c:v>
                </c:pt>
                <c:pt idx="33">
                  <c:v>31.3</c:v>
                </c:pt>
                <c:pt idx="34">
                  <c:v>31.3</c:v>
                </c:pt>
                <c:pt idx="35">
                  <c:v>31</c:v>
                </c:pt>
                <c:pt idx="36">
                  <c:v>30.4</c:v>
                </c:pt>
                <c:pt idx="37">
                  <c:v>31.4</c:v>
                </c:pt>
                <c:pt idx="38">
                  <c:v>30.2</c:v>
                </c:pt>
                <c:pt idx="39">
                  <c:v>30.7</c:v>
                </c:pt>
                <c:pt idx="40">
                  <c:v>27.5</c:v>
                </c:pt>
                <c:pt idx="41">
                  <c:v>27.9</c:v>
                </c:pt>
              </c:numCache>
            </c:numRef>
          </c:val>
          <c:extLst>
            <c:ext xmlns:c16="http://schemas.microsoft.com/office/drawing/2014/chart" uri="{C3380CC4-5D6E-409C-BE32-E72D297353CC}">
              <c16:uniqueId val="{00000010-66F9-4DE6-B749-A80A7D6F621E}"/>
            </c:ext>
          </c:extLst>
        </c:ser>
        <c:dLbls>
          <c:showLegendKey val="0"/>
          <c:showVal val="0"/>
          <c:showCatName val="0"/>
          <c:showSerName val="0"/>
          <c:showPercent val="0"/>
          <c:showBubbleSize val="0"/>
        </c:dLbls>
        <c:gapWidth val="150"/>
        <c:axId val="282313856"/>
        <c:axId val="324534272"/>
      </c:barChart>
      <c:lineChart>
        <c:grouping val="standard"/>
        <c:varyColors val="0"/>
        <c:ser>
          <c:idx val="0"/>
          <c:order val="0"/>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chemeClr val="bg1"/>
              </a:solidFill>
              <a:ln w="6350">
                <a:solidFill>
                  <a:srgbClr val="7FA8D9"/>
                </a:solidFill>
                <a:prstDash val="solid"/>
              </a:ln>
              <a:effectLst/>
            </c:spPr>
          </c:marker>
          <c:dPt>
            <c:idx val="10"/>
            <c:bubble3D val="0"/>
            <c:extLst>
              <c:ext xmlns:c16="http://schemas.microsoft.com/office/drawing/2014/chart" uri="{C3380CC4-5D6E-409C-BE32-E72D297353CC}">
                <c16:uniqueId val="{00000011-66F9-4DE6-B749-A80A7D6F621E}"/>
              </c:ext>
            </c:extLst>
          </c:dPt>
          <c:dPt>
            <c:idx val="23"/>
            <c:bubble3D val="0"/>
            <c:extLst>
              <c:ext xmlns:c16="http://schemas.microsoft.com/office/drawing/2014/chart" uri="{C3380CC4-5D6E-409C-BE32-E72D297353CC}">
                <c16:uniqueId val="{00000012-66F9-4DE6-B749-A80A7D6F621E}"/>
              </c:ext>
            </c:extLst>
          </c:dPt>
          <c:cat>
            <c:strRef>
              <c:f>'Chart SF3.1.B'!$K$5:$K$46</c:f>
              <c:strCache>
                <c:ptCount val="42"/>
                <c:pt idx="0">
                  <c:v>Iceland</c:v>
                </c:pt>
                <c:pt idx="1">
                  <c:v>Sweden</c:v>
                </c:pt>
                <c:pt idx="2">
                  <c:v>Spain</c:v>
                </c:pt>
                <c:pt idx="3">
                  <c:v>Norway</c:v>
                </c:pt>
                <c:pt idx="4">
                  <c:v>France</c:v>
                </c:pt>
                <c:pt idx="5">
                  <c:v>United Kingdom</c:v>
                </c:pt>
                <c:pt idx="6">
                  <c:v>Italy</c:v>
                </c:pt>
                <c:pt idx="7">
                  <c:v>Denmark</c:v>
                </c:pt>
                <c:pt idx="8">
                  <c:v>Luxembourg</c:v>
                </c:pt>
                <c:pt idx="9">
                  <c:v>Belgium</c:v>
                </c:pt>
                <c:pt idx="10">
                  <c:v>Finland</c:v>
                </c:pt>
                <c:pt idx="11">
                  <c:v>Portugal</c:v>
                </c:pt>
                <c:pt idx="12">
                  <c:v>Austria</c:v>
                </c:pt>
                <c:pt idx="13">
                  <c:v>Netherlands</c:v>
                </c:pt>
                <c:pt idx="14">
                  <c:v>Ireland</c:v>
                </c:pt>
                <c:pt idx="15">
                  <c:v>OECD-26 average</c:v>
                </c:pt>
                <c:pt idx="16">
                  <c:v>Chile</c:v>
                </c:pt>
                <c:pt idx="17">
                  <c:v>Slovenia</c:v>
                </c:pt>
                <c:pt idx="18">
                  <c:v>Germany</c:v>
                </c:pt>
                <c:pt idx="19">
                  <c:v>Korea</c:v>
                </c:pt>
                <c:pt idx="20">
                  <c:v>EU-25 average</c:v>
                </c:pt>
                <c:pt idx="21">
                  <c:v>OECD-35 average</c:v>
                </c:pt>
                <c:pt idx="22">
                  <c:v>Greece</c:v>
                </c:pt>
                <c:pt idx="23">
                  <c:v>Mexico</c:v>
                </c:pt>
                <c:pt idx="24">
                  <c:v>Switzerland</c:v>
                </c:pt>
                <c:pt idx="25">
                  <c:v>Latvia</c:v>
                </c:pt>
                <c:pt idx="26">
                  <c:v>Estonia</c:v>
                </c:pt>
                <c:pt idx="27">
                  <c:v>Czechia</c:v>
                </c:pt>
                <c:pt idx="28">
                  <c:v>Hungary</c:v>
                </c:pt>
                <c:pt idx="29">
                  <c:v>New Zealand</c:v>
                </c:pt>
                <c:pt idx="30">
                  <c:v>Japan</c:v>
                </c:pt>
                <c:pt idx="31">
                  <c:v>Australia</c:v>
                </c:pt>
                <c:pt idx="32">
                  <c:v>Slovak Republic</c:v>
                </c:pt>
                <c:pt idx="33">
                  <c:v>Canada</c:v>
                </c:pt>
                <c:pt idx="34">
                  <c:v>Croatia</c:v>
                </c:pt>
                <c:pt idx="35">
                  <c:v>Lithuania</c:v>
                </c:pt>
                <c:pt idx="36">
                  <c:v>United States</c:v>
                </c:pt>
                <c:pt idx="37">
                  <c:v>Bulgaria</c:v>
                </c:pt>
                <c:pt idx="38">
                  <c:v>Poland</c:v>
                </c:pt>
                <c:pt idx="39">
                  <c:v>Romania</c:v>
                </c:pt>
                <c:pt idx="40">
                  <c:v>Israel</c:v>
                </c:pt>
                <c:pt idx="41">
                  <c:v>Türkiye</c:v>
                </c:pt>
              </c:strCache>
            </c:strRef>
          </c:cat>
          <c:val>
            <c:numRef>
              <c:f>'Chart SF3.1.B'!$L$5:$L$46</c:f>
              <c:numCache>
                <c:formatCode>0.0</c:formatCode>
                <c:ptCount val="42"/>
                <c:pt idx="0">
                  <c:v>29.4</c:v>
                </c:pt>
                <c:pt idx="1">
                  <c:v>30.3</c:v>
                </c:pt>
                <c:pt idx="2">
                  <c:v>27.8</c:v>
                </c:pt>
                <c:pt idx="3">
                  <c:v>29</c:v>
                </c:pt>
                <c:pt idx="4">
                  <c:v>0</c:v>
                </c:pt>
                <c:pt idx="5">
                  <c:v>27.2</c:v>
                </c:pt>
                <c:pt idx="6">
                  <c:v>28.9</c:v>
                </c:pt>
                <c:pt idx="7">
                  <c:v>30.5</c:v>
                </c:pt>
                <c:pt idx="8">
                  <c:v>27.7</c:v>
                </c:pt>
                <c:pt idx="9">
                  <c:v>26.5</c:v>
                </c:pt>
                <c:pt idx="10">
                  <c:v>28.4</c:v>
                </c:pt>
                <c:pt idx="11">
                  <c:v>26.6</c:v>
                </c:pt>
                <c:pt idx="12">
                  <c:v>27.7</c:v>
                </c:pt>
                <c:pt idx="13">
                  <c:v>28.5</c:v>
                </c:pt>
                <c:pt idx="14">
                  <c:v>28.7</c:v>
                </c:pt>
                <c:pt idx="15">
                  <c:v>27.691923076923072</c:v>
                </c:pt>
                <c:pt idx="16">
                  <c:v>0</c:v>
                </c:pt>
                <c:pt idx="17">
                  <c:v>26.9</c:v>
                </c:pt>
                <c:pt idx="18">
                  <c:v>28.2</c:v>
                </c:pt>
                <c:pt idx="19">
                  <c:v>27.79</c:v>
                </c:pt>
                <c:pt idx="20">
                  <c:v>0</c:v>
                </c:pt>
                <c:pt idx="21">
                  <c:v>0</c:v>
                </c:pt>
                <c:pt idx="22">
                  <c:v>29</c:v>
                </c:pt>
                <c:pt idx="23">
                  <c:v>0</c:v>
                </c:pt>
                <c:pt idx="24">
                  <c:v>29.5</c:v>
                </c:pt>
                <c:pt idx="25">
                  <c:v>0</c:v>
                </c:pt>
                <c:pt idx="26">
                  <c:v>0</c:v>
                </c:pt>
                <c:pt idx="27">
                  <c:v>24.3</c:v>
                </c:pt>
                <c:pt idx="28">
                  <c:v>24.7</c:v>
                </c:pt>
                <c:pt idx="29">
                  <c:v>26.8</c:v>
                </c:pt>
                <c:pt idx="30">
                  <c:v>28.4</c:v>
                </c:pt>
                <c:pt idx="31">
                  <c:v>26.5</c:v>
                </c:pt>
                <c:pt idx="32">
                  <c:v>0</c:v>
                </c:pt>
                <c:pt idx="33">
                  <c:v>27.6</c:v>
                </c:pt>
                <c:pt idx="34">
                  <c:v>0</c:v>
                </c:pt>
                <c:pt idx="35">
                  <c:v>24.6</c:v>
                </c:pt>
                <c:pt idx="36">
                  <c:v>26.1</c:v>
                </c:pt>
                <c:pt idx="37">
                  <c:v>24.6</c:v>
                </c:pt>
                <c:pt idx="38">
                  <c:v>0</c:v>
                </c:pt>
                <c:pt idx="39">
                  <c:v>25.6</c:v>
                </c:pt>
                <c:pt idx="40">
                  <c:v>0</c:v>
                </c:pt>
                <c:pt idx="41">
                  <c:v>0</c:v>
                </c:pt>
              </c:numCache>
            </c:numRef>
          </c:val>
          <c:smooth val="0"/>
          <c:extLst>
            <c:ext xmlns:c16="http://schemas.microsoft.com/office/drawing/2014/chart" uri="{C3380CC4-5D6E-409C-BE32-E72D297353CC}">
              <c16:uniqueId val="{00000013-66F9-4DE6-B749-A80A7D6F621E}"/>
            </c:ext>
          </c:extLst>
        </c:ser>
        <c:ser>
          <c:idx val="2"/>
          <c:order val="1"/>
          <c:tx>
            <c:strRef>
              <c:f>'Chart SF3.1.B'!$M$4</c:f>
              <c:strCache>
                <c:ptCount val="1"/>
                <c:pt idx="0">
                  <c:v>2000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6BB6"/>
              </a:solidFill>
              <a:ln w="6350">
                <a:solidFill>
                  <a:schemeClr val="bg1"/>
                </a:solidFill>
                <a:prstDash val="solid"/>
              </a:ln>
              <a:effectLst/>
            </c:spPr>
          </c:marker>
          <c:dPt>
            <c:idx val="10"/>
            <c:marker>
              <c:spPr>
                <a:pattFill prst="pct5">
                  <a:fgClr>
                    <a:srgbClr val="006BB6"/>
                  </a:fgClr>
                  <a:bgClr>
                    <a:srgbClr val="000000"/>
                  </a:bgClr>
                </a:pattFill>
                <a:ln w="6350">
                  <a:solidFill>
                    <a:schemeClr val="bg1"/>
                  </a:solidFill>
                  <a:prstDash val="solid"/>
                </a:ln>
                <a:effectLst/>
              </c:spPr>
            </c:marker>
            <c:bubble3D val="0"/>
            <c:extLst>
              <c:ext xmlns:c16="http://schemas.microsoft.com/office/drawing/2014/chart" uri="{C3380CC4-5D6E-409C-BE32-E72D297353CC}">
                <c16:uniqueId val="{00000014-66F9-4DE6-B749-A80A7D6F621E}"/>
              </c:ext>
            </c:extLst>
          </c:dPt>
          <c:dPt>
            <c:idx val="15"/>
            <c:bubble3D val="0"/>
            <c:extLst>
              <c:ext xmlns:c16="http://schemas.microsoft.com/office/drawing/2014/chart" uri="{C3380CC4-5D6E-409C-BE32-E72D297353CC}">
                <c16:uniqueId val="{00000015-66F9-4DE6-B749-A80A7D6F621E}"/>
              </c:ext>
            </c:extLst>
          </c:dPt>
          <c:dPt>
            <c:idx val="16"/>
            <c:bubble3D val="0"/>
            <c:extLst>
              <c:ext xmlns:c16="http://schemas.microsoft.com/office/drawing/2014/chart" uri="{C3380CC4-5D6E-409C-BE32-E72D297353CC}">
                <c16:uniqueId val="{00000016-66F9-4DE6-B749-A80A7D6F621E}"/>
              </c:ext>
            </c:extLst>
          </c:dPt>
          <c:dPt>
            <c:idx val="23"/>
            <c:bubble3D val="0"/>
            <c:extLst>
              <c:ext xmlns:c16="http://schemas.microsoft.com/office/drawing/2014/chart" uri="{C3380CC4-5D6E-409C-BE32-E72D297353CC}">
                <c16:uniqueId val="{00000017-66F9-4DE6-B749-A80A7D6F621E}"/>
              </c:ext>
            </c:extLst>
          </c:dPt>
          <c:dPt>
            <c:idx val="24"/>
            <c:bubble3D val="0"/>
            <c:extLst>
              <c:ext xmlns:c16="http://schemas.microsoft.com/office/drawing/2014/chart" uri="{C3380CC4-5D6E-409C-BE32-E72D297353CC}">
                <c16:uniqueId val="{00000018-66F9-4DE6-B749-A80A7D6F621E}"/>
              </c:ext>
            </c:extLst>
          </c:dPt>
          <c:cat>
            <c:strRef>
              <c:f>'Chart SF3.1.B'!$K$5:$K$46</c:f>
              <c:strCache>
                <c:ptCount val="42"/>
                <c:pt idx="0">
                  <c:v>Iceland</c:v>
                </c:pt>
                <c:pt idx="1">
                  <c:v>Sweden</c:v>
                </c:pt>
                <c:pt idx="2">
                  <c:v>Spain</c:v>
                </c:pt>
                <c:pt idx="3">
                  <c:v>Norway</c:v>
                </c:pt>
                <c:pt idx="4">
                  <c:v>France</c:v>
                </c:pt>
                <c:pt idx="5">
                  <c:v>United Kingdom</c:v>
                </c:pt>
                <c:pt idx="6">
                  <c:v>Italy</c:v>
                </c:pt>
                <c:pt idx="7">
                  <c:v>Denmark</c:v>
                </c:pt>
                <c:pt idx="8">
                  <c:v>Luxembourg</c:v>
                </c:pt>
                <c:pt idx="9">
                  <c:v>Belgium</c:v>
                </c:pt>
                <c:pt idx="10">
                  <c:v>Finland</c:v>
                </c:pt>
                <c:pt idx="11">
                  <c:v>Portugal</c:v>
                </c:pt>
                <c:pt idx="12">
                  <c:v>Austria</c:v>
                </c:pt>
                <c:pt idx="13">
                  <c:v>Netherlands</c:v>
                </c:pt>
                <c:pt idx="14">
                  <c:v>Ireland</c:v>
                </c:pt>
                <c:pt idx="15">
                  <c:v>OECD-26 average</c:v>
                </c:pt>
                <c:pt idx="16">
                  <c:v>Chile</c:v>
                </c:pt>
                <c:pt idx="17">
                  <c:v>Slovenia</c:v>
                </c:pt>
                <c:pt idx="18">
                  <c:v>Germany</c:v>
                </c:pt>
                <c:pt idx="19">
                  <c:v>Korea</c:v>
                </c:pt>
                <c:pt idx="20">
                  <c:v>EU-25 average</c:v>
                </c:pt>
                <c:pt idx="21">
                  <c:v>OECD-35 average</c:v>
                </c:pt>
                <c:pt idx="22">
                  <c:v>Greece</c:v>
                </c:pt>
                <c:pt idx="23">
                  <c:v>Mexico</c:v>
                </c:pt>
                <c:pt idx="24">
                  <c:v>Switzerland</c:v>
                </c:pt>
                <c:pt idx="25">
                  <c:v>Latvia</c:v>
                </c:pt>
                <c:pt idx="26">
                  <c:v>Estonia</c:v>
                </c:pt>
                <c:pt idx="27">
                  <c:v>Czechia</c:v>
                </c:pt>
                <c:pt idx="28">
                  <c:v>Hungary</c:v>
                </c:pt>
                <c:pt idx="29">
                  <c:v>New Zealand</c:v>
                </c:pt>
                <c:pt idx="30">
                  <c:v>Japan</c:v>
                </c:pt>
                <c:pt idx="31">
                  <c:v>Australia</c:v>
                </c:pt>
                <c:pt idx="32">
                  <c:v>Slovak Republic</c:v>
                </c:pt>
                <c:pt idx="33">
                  <c:v>Canada</c:v>
                </c:pt>
                <c:pt idx="34">
                  <c:v>Croatia</c:v>
                </c:pt>
                <c:pt idx="35">
                  <c:v>Lithuania</c:v>
                </c:pt>
                <c:pt idx="36">
                  <c:v>United States</c:v>
                </c:pt>
                <c:pt idx="37">
                  <c:v>Bulgaria</c:v>
                </c:pt>
                <c:pt idx="38">
                  <c:v>Poland</c:v>
                </c:pt>
                <c:pt idx="39">
                  <c:v>Romania</c:v>
                </c:pt>
                <c:pt idx="40">
                  <c:v>Israel</c:v>
                </c:pt>
                <c:pt idx="41">
                  <c:v>Türkiye</c:v>
                </c:pt>
              </c:strCache>
            </c:strRef>
          </c:cat>
          <c:val>
            <c:numRef>
              <c:f>'Chart SF3.1.B'!$M$5:$M$46</c:f>
              <c:numCache>
                <c:formatCode>0.0</c:formatCode>
                <c:ptCount val="42"/>
                <c:pt idx="0">
                  <c:v>33.299999999999997</c:v>
                </c:pt>
                <c:pt idx="1">
                  <c:v>33</c:v>
                </c:pt>
                <c:pt idx="2">
                  <c:v>30.2</c:v>
                </c:pt>
                <c:pt idx="3">
                  <c:v>30.9</c:v>
                </c:pt>
                <c:pt idx="4">
                  <c:v>30.7</c:v>
                </c:pt>
                <c:pt idx="5">
                  <c:v>30.5</c:v>
                </c:pt>
                <c:pt idx="6">
                  <c:v>30.9</c:v>
                </c:pt>
                <c:pt idx="7">
                  <c:v>32.5</c:v>
                </c:pt>
                <c:pt idx="8">
                  <c:v>30.3</c:v>
                </c:pt>
                <c:pt idx="9">
                  <c:v>29.1</c:v>
                </c:pt>
                <c:pt idx="10">
                  <c:v>30.5</c:v>
                </c:pt>
                <c:pt idx="11">
                  <c:v>27.4</c:v>
                </c:pt>
                <c:pt idx="12">
                  <c:v>30</c:v>
                </c:pt>
                <c:pt idx="13">
                  <c:v>30.7</c:v>
                </c:pt>
                <c:pt idx="14">
                  <c:v>0</c:v>
                </c:pt>
                <c:pt idx="15">
                  <c:v>30</c:v>
                </c:pt>
                <c:pt idx="16">
                  <c:v>27.697914830189301</c:v>
                </c:pt>
                <c:pt idx="17">
                  <c:v>29.9</c:v>
                </c:pt>
                <c:pt idx="18">
                  <c:v>30.5</c:v>
                </c:pt>
                <c:pt idx="19">
                  <c:v>29.28</c:v>
                </c:pt>
                <c:pt idx="20">
                  <c:v>0</c:v>
                </c:pt>
                <c:pt idx="21">
                  <c:v>0</c:v>
                </c:pt>
                <c:pt idx="22">
                  <c:v>31.1</c:v>
                </c:pt>
                <c:pt idx="23">
                  <c:v>0</c:v>
                </c:pt>
                <c:pt idx="24">
                  <c:v>30.8</c:v>
                </c:pt>
                <c:pt idx="25">
                  <c:v>0</c:v>
                </c:pt>
                <c:pt idx="26">
                  <c:v>28.1</c:v>
                </c:pt>
                <c:pt idx="27">
                  <c:v>27.6</c:v>
                </c:pt>
                <c:pt idx="28">
                  <c:v>27.6</c:v>
                </c:pt>
                <c:pt idx="29">
                  <c:v>29.2</c:v>
                </c:pt>
                <c:pt idx="30">
                  <c:v>28.8</c:v>
                </c:pt>
                <c:pt idx="31">
                  <c:v>28.5</c:v>
                </c:pt>
                <c:pt idx="32">
                  <c:v>26.9</c:v>
                </c:pt>
                <c:pt idx="33">
                  <c:v>29.5</c:v>
                </c:pt>
                <c:pt idx="34">
                  <c:v>0</c:v>
                </c:pt>
                <c:pt idx="35">
                  <c:v>26.1</c:v>
                </c:pt>
                <c:pt idx="36">
                  <c:v>26.8</c:v>
                </c:pt>
                <c:pt idx="37">
                  <c:v>28.5</c:v>
                </c:pt>
                <c:pt idx="38">
                  <c:v>26.5</c:v>
                </c:pt>
                <c:pt idx="39">
                  <c:v>27.3</c:v>
                </c:pt>
                <c:pt idx="40">
                  <c:v>0</c:v>
                </c:pt>
                <c:pt idx="41">
                  <c:v>0</c:v>
                </c:pt>
              </c:numCache>
            </c:numRef>
          </c:val>
          <c:smooth val="0"/>
          <c:extLst>
            <c:ext xmlns:c16="http://schemas.microsoft.com/office/drawing/2014/chart" uri="{C3380CC4-5D6E-409C-BE32-E72D297353CC}">
              <c16:uniqueId val="{00000019-66F9-4DE6-B749-A80A7D6F621E}"/>
            </c:ext>
          </c:extLst>
        </c:ser>
        <c:dLbls>
          <c:showLegendKey val="0"/>
          <c:showVal val="0"/>
          <c:showCatName val="0"/>
          <c:showSerName val="0"/>
          <c:showPercent val="0"/>
          <c:showBubbleSize val="0"/>
        </c:dLbls>
        <c:marker val="1"/>
        <c:smooth val="0"/>
        <c:axId val="282313856"/>
        <c:axId val="324534272"/>
      </c:lineChart>
      <c:catAx>
        <c:axId val="28231385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324534272"/>
        <c:crosses val="autoZero"/>
        <c:auto val="1"/>
        <c:lblAlgn val="ctr"/>
        <c:lblOffset val="0"/>
        <c:tickLblSkip val="1"/>
        <c:noMultiLvlLbl val="0"/>
      </c:catAx>
      <c:valAx>
        <c:axId val="324534272"/>
        <c:scaling>
          <c:orientation val="minMax"/>
          <c:max val="40"/>
          <c:min val="20"/>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US" sz="750" b="0" i="0">
                    <a:solidFill>
                      <a:srgbClr val="000000"/>
                    </a:solidFill>
                    <a:latin typeface="Arial Narrow" panose="020B0606020202030204" pitchFamily="34" charset="0"/>
                  </a:rPr>
                  <a:t>Mean age</a:t>
                </a:r>
              </a:p>
            </c:rich>
          </c:tx>
          <c:layout>
            <c:manualLayout>
              <c:xMode val="edge"/>
              <c:yMode val="edge"/>
              <c:x val="1.0930724510798438E-2"/>
              <c:y val="5.976240913094320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2313856"/>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8755514897298684E-3"/>
          <c:y val="0.16815040146674881"/>
          <c:w val="0.98890556063783763"/>
          <c:h val="0.82188919701142726"/>
        </c:manualLayout>
      </c:layout>
      <c:barChart>
        <c:barDir val="col"/>
        <c:grouping val="clustered"/>
        <c:varyColors val="0"/>
        <c:ser>
          <c:idx val="4"/>
          <c:order val="3"/>
          <c:tx>
            <c:strRef>
              <c:f>'Chart SF3.1.C'!$Q$5</c:f>
              <c:strCache>
                <c:ptCount val="1"/>
                <c:pt idx="0">
                  <c:v>2022 (↘)</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0"/>
            <c:invertIfNegative val="0"/>
            <c:bubble3D val="0"/>
            <c:extLst>
              <c:ext xmlns:c16="http://schemas.microsoft.com/office/drawing/2014/chart" uri="{C3380CC4-5D6E-409C-BE32-E72D297353CC}">
                <c16:uniqueId val="{00000000-2E22-44B9-9CDF-A33DB3497AF6}"/>
              </c:ext>
            </c:extLst>
          </c:dPt>
          <c:dPt>
            <c:idx val="12"/>
            <c:invertIfNegative val="0"/>
            <c:bubble3D val="0"/>
            <c:extLst>
              <c:ext xmlns:c16="http://schemas.microsoft.com/office/drawing/2014/chart" uri="{C3380CC4-5D6E-409C-BE32-E72D297353CC}">
                <c16:uniqueId val="{00000001-2E22-44B9-9CDF-A33DB3497AF6}"/>
              </c:ext>
            </c:extLst>
          </c:dPt>
          <c:dPt>
            <c:idx val="13"/>
            <c:invertIfNegative val="0"/>
            <c:bubble3D val="0"/>
            <c:extLst>
              <c:ext xmlns:c16="http://schemas.microsoft.com/office/drawing/2014/chart" uri="{C3380CC4-5D6E-409C-BE32-E72D297353CC}">
                <c16:uniqueId val="{00000002-2E22-44B9-9CDF-A33DB3497AF6}"/>
              </c:ext>
            </c:extLst>
          </c:dPt>
          <c:dPt>
            <c:idx val="14"/>
            <c:invertIfNegative val="0"/>
            <c:bubble3D val="0"/>
            <c:extLst>
              <c:ext xmlns:c16="http://schemas.microsoft.com/office/drawing/2014/chart" uri="{C3380CC4-5D6E-409C-BE32-E72D297353CC}">
                <c16:uniqueId val="{00000003-2E22-44B9-9CDF-A33DB3497AF6}"/>
              </c:ext>
            </c:extLst>
          </c:dPt>
          <c:dPt>
            <c:idx val="16"/>
            <c:invertIfNegative val="0"/>
            <c:bubble3D val="0"/>
            <c:extLst>
              <c:ext xmlns:c16="http://schemas.microsoft.com/office/drawing/2014/chart" uri="{C3380CC4-5D6E-409C-BE32-E72D297353CC}">
                <c16:uniqueId val="{00000004-2E22-44B9-9CDF-A33DB3497AF6}"/>
              </c:ext>
            </c:extLst>
          </c:dPt>
          <c:dPt>
            <c:idx val="17"/>
            <c:invertIfNegative val="0"/>
            <c:bubble3D val="0"/>
            <c:extLst>
              <c:ext xmlns:c16="http://schemas.microsoft.com/office/drawing/2014/chart" uri="{C3380CC4-5D6E-409C-BE32-E72D297353CC}">
                <c16:uniqueId val="{00000005-2E22-44B9-9CDF-A33DB3497AF6}"/>
              </c:ext>
            </c:extLst>
          </c:dPt>
          <c:dPt>
            <c:idx val="18"/>
            <c:invertIfNegative val="0"/>
            <c:bubble3D val="0"/>
            <c:spPr>
              <a:solidFill>
                <a:srgbClr val="000000"/>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6-2E22-44B9-9CDF-A33DB3497AF6}"/>
              </c:ext>
            </c:extLst>
          </c:dPt>
          <c:dPt>
            <c:idx val="19"/>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8-2E22-44B9-9CDF-A33DB3497AF6}"/>
              </c:ext>
            </c:extLst>
          </c:dPt>
          <c:dPt>
            <c:idx val="20"/>
            <c:invertIfNegative val="0"/>
            <c:bubble3D val="0"/>
            <c:extLst>
              <c:ext xmlns:c16="http://schemas.microsoft.com/office/drawing/2014/chart" uri="{C3380CC4-5D6E-409C-BE32-E72D297353CC}">
                <c16:uniqueId val="{00000009-2E22-44B9-9CDF-A33DB3497AF6}"/>
              </c:ext>
            </c:extLst>
          </c:dPt>
          <c:dPt>
            <c:idx val="21"/>
            <c:invertIfNegative val="0"/>
            <c:bubble3D val="0"/>
            <c:spPr>
              <a:solidFill>
                <a:srgbClr val="002F6C"/>
              </a:solidFill>
              <a:ln w="6350" cmpd="sng">
                <a:noFill/>
                <a:round/>
              </a:ln>
              <a:effectLst/>
              <a:extLst>
                <a:ext uri="{91240B29-F687-4F45-9708-019B960494DF}">
                  <a14:hiddenLine xmlns:a14="http://schemas.microsoft.com/office/drawing/2010/main" w="6350" cmpd="sng">
                    <a:solidFill>
                      <a:srgbClr val="4F81BD"/>
                    </a:solidFill>
                    <a:round/>
                  </a14:hiddenLine>
                </a:ext>
              </a:extLst>
            </c:spPr>
            <c:extLst>
              <c:ext xmlns:c16="http://schemas.microsoft.com/office/drawing/2014/chart" uri="{C3380CC4-5D6E-409C-BE32-E72D297353CC}">
                <c16:uniqueId val="{0000000B-2E22-44B9-9CDF-A33DB3497AF6}"/>
              </c:ext>
            </c:extLst>
          </c:dPt>
          <c:dPt>
            <c:idx val="22"/>
            <c:invertIfNegative val="0"/>
            <c:bubble3D val="0"/>
            <c:extLst>
              <c:ext xmlns:c16="http://schemas.microsoft.com/office/drawing/2014/chart" uri="{C3380CC4-5D6E-409C-BE32-E72D297353CC}">
                <c16:uniqueId val="{0000000D-2E22-44B9-9CDF-A33DB3497AF6}"/>
              </c:ext>
            </c:extLst>
          </c:dPt>
          <c:dPt>
            <c:idx val="23"/>
            <c:invertIfNegative val="0"/>
            <c:bubble3D val="0"/>
            <c:extLst>
              <c:ext xmlns:c16="http://schemas.microsoft.com/office/drawing/2014/chart" uri="{C3380CC4-5D6E-409C-BE32-E72D297353CC}">
                <c16:uniqueId val="{0000000E-2E22-44B9-9CDF-A33DB3497AF6}"/>
              </c:ext>
            </c:extLst>
          </c:dPt>
          <c:dPt>
            <c:idx val="26"/>
            <c:invertIfNegative val="0"/>
            <c:bubble3D val="0"/>
            <c:extLst>
              <c:ext xmlns:c16="http://schemas.microsoft.com/office/drawing/2014/chart" uri="{C3380CC4-5D6E-409C-BE32-E72D297353CC}">
                <c16:uniqueId val="{0000000F-2E22-44B9-9CDF-A33DB3497AF6}"/>
              </c:ext>
            </c:extLst>
          </c:dPt>
          <c:cat>
            <c:strRef>
              <c:f>'Chart SF3.1.C'!$L$6:$L$50</c:f>
              <c:strCache>
                <c:ptCount val="45"/>
                <c:pt idx="0">
                  <c:v>Chile</c:v>
                </c:pt>
                <c:pt idx="1">
                  <c:v>Latvia</c:v>
                </c:pt>
                <c:pt idx="2">
                  <c:v>Costa Rica</c:v>
                </c:pt>
                <c:pt idx="3">
                  <c:v>Lithuania</c:v>
                </c:pt>
                <c:pt idx="4">
                  <c:v>United States</c:v>
                </c:pt>
                <c:pt idx="5">
                  <c:v>Sweden</c:v>
                </c:pt>
                <c:pt idx="6">
                  <c:v>Türkiye</c:v>
                </c:pt>
                <c:pt idx="7">
                  <c:v>Denmark</c:v>
                </c:pt>
                <c:pt idx="8">
                  <c:v>Finland</c:v>
                </c:pt>
                <c:pt idx="9">
                  <c:v>Luxembourg</c:v>
                </c:pt>
                <c:pt idx="10">
                  <c:v>Czechia</c:v>
                </c:pt>
                <c:pt idx="11">
                  <c:v>Estonia</c:v>
                </c:pt>
                <c:pt idx="12">
                  <c:v>Iceland</c:v>
                </c:pt>
                <c:pt idx="13">
                  <c:v>Australia</c:v>
                </c:pt>
                <c:pt idx="14">
                  <c:v>Korea</c:v>
                </c:pt>
                <c:pt idx="15">
                  <c:v>Switzerland</c:v>
                </c:pt>
                <c:pt idx="16">
                  <c:v>Portugal</c:v>
                </c:pt>
                <c:pt idx="17">
                  <c:v>Hungary</c:v>
                </c:pt>
                <c:pt idx="18">
                  <c:v>OECD-29</c:v>
                </c:pt>
                <c:pt idx="19">
                  <c:v>EU-20</c:v>
                </c:pt>
                <c:pt idx="20">
                  <c:v>Israel</c:v>
                </c:pt>
                <c:pt idx="21">
                  <c:v>Belgium</c:v>
                </c:pt>
                <c:pt idx="22">
                  <c:v>United Kingdom</c:v>
                </c:pt>
                <c:pt idx="23">
                  <c:v>Spain</c:v>
                </c:pt>
                <c:pt idx="24">
                  <c:v>Germany</c:v>
                </c:pt>
                <c:pt idx="25">
                  <c:v>Poland</c:v>
                </c:pt>
                <c:pt idx="26">
                  <c:v>Austria</c:v>
                </c:pt>
                <c:pt idx="27">
                  <c:v>Norway</c:v>
                </c:pt>
                <c:pt idx="28">
                  <c:v>Slovak Republic</c:v>
                </c:pt>
                <c:pt idx="29">
                  <c:v>New Zealand</c:v>
                </c:pt>
                <c:pt idx="30">
                  <c:v>Japan</c:v>
                </c:pt>
                <c:pt idx="31">
                  <c:v>Bulgaria</c:v>
                </c:pt>
                <c:pt idx="32">
                  <c:v>Italy</c:v>
                </c:pt>
                <c:pt idx="33">
                  <c:v>Netherlands</c:v>
                </c:pt>
                <c:pt idx="34">
                  <c:v>Mexico</c:v>
                </c:pt>
                <c:pt idx="35">
                  <c:v>Croatia</c:v>
                </c:pt>
                <c:pt idx="36">
                  <c:v>Romania</c:v>
                </c:pt>
                <c:pt idx="37">
                  <c:v>Canada</c:v>
                </c:pt>
                <c:pt idx="38">
                  <c:v>Slovenia</c:v>
                </c:pt>
                <c:pt idx="39">
                  <c:v>Malta</c:v>
                </c:pt>
                <c:pt idx="40">
                  <c:v>Colombia</c:v>
                </c:pt>
                <c:pt idx="41">
                  <c:v>Cyprus</c:v>
                </c:pt>
                <c:pt idx="42">
                  <c:v>France</c:v>
                </c:pt>
                <c:pt idx="43">
                  <c:v>Greece</c:v>
                </c:pt>
                <c:pt idx="44">
                  <c:v>Ireland</c:v>
                </c:pt>
              </c:strCache>
            </c:strRef>
          </c:cat>
          <c:val>
            <c:numRef>
              <c:f>'Chart SF3.1.C'!$Q$6:$Q$50</c:f>
              <c:numCache>
                <c:formatCode>General</c:formatCode>
                <c:ptCount val="45"/>
                <c:pt idx="0" formatCode="0.0">
                  <c:v>3.63</c:v>
                </c:pt>
                <c:pt idx="1">
                  <c:v>2.9</c:v>
                </c:pt>
                <c:pt idx="2">
                  <c:v>2.8</c:v>
                </c:pt>
                <c:pt idx="3">
                  <c:v>2.6</c:v>
                </c:pt>
                <c:pt idx="4">
                  <c:v>2.5</c:v>
                </c:pt>
                <c:pt idx="5">
                  <c:v>2.1</c:v>
                </c:pt>
                <c:pt idx="6">
                  <c:v>2.1</c:v>
                </c:pt>
                <c:pt idx="7" formatCode="0.0">
                  <c:v>2.08</c:v>
                </c:pt>
                <c:pt idx="8" formatCode="0.0">
                  <c:v>2</c:v>
                </c:pt>
                <c:pt idx="9">
                  <c:v>1.9</c:v>
                </c:pt>
                <c:pt idx="10">
                  <c:v>1.9</c:v>
                </c:pt>
                <c:pt idx="11">
                  <c:v>1.9</c:v>
                </c:pt>
                <c:pt idx="12">
                  <c:v>1.9</c:v>
                </c:pt>
                <c:pt idx="13" formatCode="0.0">
                  <c:v>1.89</c:v>
                </c:pt>
                <c:pt idx="14">
                  <c:v>1.8</c:v>
                </c:pt>
                <c:pt idx="15">
                  <c:v>1.8</c:v>
                </c:pt>
                <c:pt idx="16">
                  <c:v>1.8</c:v>
                </c:pt>
                <c:pt idx="17">
                  <c:v>1.8</c:v>
                </c:pt>
                <c:pt idx="18" formatCode="0.0">
                  <c:v>1.7720689655172412</c:v>
                </c:pt>
                <c:pt idx="19" formatCode="0.0">
                  <c:v>1.7525000000000002</c:v>
                </c:pt>
                <c:pt idx="20" formatCode="0.0">
                  <c:v>1.72</c:v>
                </c:pt>
                <c:pt idx="21">
                  <c:v>1.7</c:v>
                </c:pt>
                <c:pt idx="22">
                  <c:v>1.7</c:v>
                </c:pt>
                <c:pt idx="23">
                  <c:v>1.7</c:v>
                </c:pt>
                <c:pt idx="24" formatCode="0.0">
                  <c:v>1.63</c:v>
                </c:pt>
                <c:pt idx="25">
                  <c:v>1.6</c:v>
                </c:pt>
                <c:pt idx="26" formatCode="0.0">
                  <c:v>1.54</c:v>
                </c:pt>
                <c:pt idx="27">
                  <c:v>1.5</c:v>
                </c:pt>
                <c:pt idx="28">
                  <c:v>1.5</c:v>
                </c:pt>
                <c:pt idx="29" formatCode="0.0">
                  <c:v>1.48</c:v>
                </c:pt>
                <c:pt idx="30" formatCode="0.0">
                  <c:v>1.47</c:v>
                </c:pt>
                <c:pt idx="31">
                  <c:v>1.4</c:v>
                </c:pt>
                <c:pt idx="32">
                  <c:v>1.4</c:v>
                </c:pt>
                <c:pt idx="33">
                  <c:v>1.3</c:v>
                </c:pt>
                <c:pt idx="34" formatCode="0.0">
                  <c:v>1.28</c:v>
                </c:pt>
                <c:pt idx="35">
                  <c:v>1.2</c:v>
                </c:pt>
                <c:pt idx="36">
                  <c:v>1.2</c:v>
                </c:pt>
                <c:pt idx="37">
                  <c:v>1.1000000000000001</c:v>
                </c:pt>
                <c:pt idx="38" formatCode="0.0">
                  <c:v>1</c:v>
                </c:pt>
                <c:pt idx="39">
                  <c:v>0.9</c:v>
                </c:pt>
                <c:pt idx="40" formatCode="0.0">
                  <c:v>0.55000000000000004</c:v>
                </c:pt>
              </c:numCache>
            </c:numRef>
          </c:val>
          <c:extLst>
            <c:ext xmlns:c16="http://schemas.microsoft.com/office/drawing/2014/chart" uri="{C3380CC4-5D6E-409C-BE32-E72D297353CC}">
              <c16:uniqueId val="{00000010-2E22-44B9-9CDF-A33DB3497AF6}"/>
            </c:ext>
          </c:extLst>
        </c:ser>
        <c:dLbls>
          <c:showLegendKey val="0"/>
          <c:showVal val="0"/>
          <c:showCatName val="0"/>
          <c:showSerName val="0"/>
          <c:showPercent val="0"/>
          <c:showBubbleSize val="0"/>
        </c:dLbls>
        <c:gapWidth val="150"/>
        <c:axId val="357937152"/>
        <c:axId val="357939072"/>
      </c:barChart>
      <c:lineChart>
        <c:grouping val="standard"/>
        <c:varyColors val="0"/>
        <c:ser>
          <c:idx val="1"/>
          <c:order val="0"/>
          <c:tx>
            <c:strRef>
              <c:f>'Chart SF3.1.C'!$O$5</c:f>
              <c:strCache>
                <c:ptCount val="1"/>
                <c:pt idx="0">
                  <c:v>2019</c:v>
                </c:pt>
              </c:strCache>
            </c:strRef>
          </c:tx>
          <c:spPr>
            <a:ln w="28575">
              <a:noFill/>
            </a:ln>
          </c:spPr>
          <c:marker>
            <c:symbol val="dash"/>
            <c:size val="7"/>
          </c:marker>
          <c:cat>
            <c:strRef>
              <c:f>'Chart SF3.1.C'!$L$6:$L$50</c:f>
              <c:strCache>
                <c:ptCount val="45"/>
                <c:pt idx="0">
                  <c:v>Chile</c:v>
                </c:pt>
                <c:pt idx="1">
                  <c:v>Latvia</c:v>
                </c:pt>
                <c:pt idx="2">
                  <c:v>Costa Rica</c:v>
                </c:pt>
                <c:pt idx="3">
                  <c:v>Lithuania</c:v>
                </c:pt>
                <c:pt idx="4">
                  <c:v>United States</c:v>
                </c:pt>
                <c:pt idx="5">
                  <c:v>Sweden</c:v>
                </c:pt>
                <c:pt idx="6">
                  <c:v>Türkiye</c:v>
                </c:pt>
                <c:pt idx="7">
                  <c:v>Denmark</c:v>
                </c:pt>
                <c:pt idx="8">
                  <c:v>Finland</c:v>
                </c:pt>
                <c:pt idx="9">
                  <c:v>Luxembourg</c:v>
                </c:pt>
                <c:pt idx="10">
                  <c:v>Czechia</c:v>
                </c:pt>
                <c:pt idx="11">
                  <c:v>Estonia</c:v>
                </c:pt>
                <c:pt idx="12">
                  <c:v>Iceland</c:v>
                </c:pt>
                <c:pt idx="13">
                  <c:v>Australia</c:v>
                </c:pt>
                <c:pt idx="14">
                  <c:v>Korea</c:v>
                </c:pt>
                <c:pt idx="15">
                  <c:v>Switzerland</c:v>
                </c:pt>
                <c:pt idx="16">
                  <c:v>Portugal</c:v>
                </c:pt>
                <c:pt idx="17">
                  <c:v>Hungary</c:v>
                </c:pt>
                <c:pt idx="18">
                  <c:v>OECD-29</c:v>
                </c:pt>
                <c:pt idx="19">
                  <c:v>EU-20</c:v>
                </c:pt>
                <c:pt idx="20">
                  <c:v>Israel</c:v>
                </c:pt>
                <c:pt idx="21">
                  <c:v>Belgium</c:v>
                </c:pt>
                <c:pt idx="22">
                  <c:v>United Kingdom</c:v>
                </c:pt>
                <c:pt idx="23">
                  <c:v>Spain</c:v>
                </c:pt>
                <c:pt idx="24">
                  <c:v>Germany</c:v>
                </c:pt>
                <c:pt idx="25">
                  <c:v>Poland</c:v>
                </c:pt>
                <c:pt idx="26">
                  <c:v>Austria</c:v>
                </c:pt>
                <c:pt idx="27">
                  <c:v>Norway</c:v>
                </c:pt>
                <c:pt idx="28">
                  <c:v>Slovak Republic</c:v>
                </c:pt>
                <c:pt idx="29">
                  <c:v>New Zealand</c:v>
                </c:pt>
                <c:pt idx="30">
                  <c:v>Japan</c:v>
                </c:pt>
                <c:pt idx="31">
                  <c:v>Bulgaria</c:v>
                </c:pt>
                <c:pt idx="32">
                  <c:v>Italy</c:v>
                </c:pt>
                <c:pt idx="33">
                  <c:v>Netherlands</c:v>
                </c:pt>
                <c:pt idx="34">
                  <c:v>Mexico</c:v>
                </c:pt>
                <c:pt idx="35">
                  <c:v>Croatia</c:v>
                </c:pt>
                <c:pt idx="36">
                  <c:v>Romania</c:v>
                </c:pt>
                <c:pt idx="37">
                  <c:v>Canada</c:v>
                </c:pt>
                <c:pt idx="38">
                  <c:v>Slovenia</c:v>
                </c:pt>
                <c:pt idx="39">
                  <c:v>Malta</c:v>
                </c:pt>
                <c:pt idx="40">
                  <c:v>Colombia</c:v>
                </c:pt>
                <c:pt idx="41">
                  <c:v>Cyprus</c:v>
                </c:pt>
                <c:pt idx="42">
                  <c:v>France</c:v>
                </c:pt>
                <c:pt idx="43">
                  <c:v>Greece</c:v>
                </c:pt>
                <c:pt idx="44">
                  <c:v>Ireland</c:v>
                </c:pt>
              </c:strCache>
            </c:strRef>
          </c:cat>
          <c:val>
            <c:numRef>
              <c:f>'Chart SF3.1.C'!$O$6:$O$50</c:f>
              <c:numCache>
                <c:formatCode>0.0</c:formatCode>
                <c:ptCount val="45"/>
                <c:pt idx="0">
                  <c:v>3.22</c:v>
                </c:pt>
                <c:pt idx="1">
                  <c:v>3.1</c:v>
                </c:pt>
                <c:pt idx="2">
                  <c:v>2.8</c:v>
                </c:pt>
                <c:pt idx="3">
                  <c:v>3.1</c:v>
                </c:pt>
                <c:pt idx="4">
                  <c:v>2.7</c:v>
                </c:pt>
                <c:pt idx="5">
                  <c:v>2.5</c:v>
                </c:pt>
                <c:pt idx="6">
                  <c:v>1.9</c:v>
                </c:pt>
                <c:pt idx="7">
                  <c:v>1.8</c:v>
                </c:pt>
                <c:pt idx="8">
                  <c:v>2.4</c:v>
                </c:pt>
                <c:pt idx="9">
                  <c:v>3.1</c:v>
                </c:pt>
                <c:pt idx="10">
                  <c:v>2.2999999999999998</c:v>
                </c:pt>
                <c:pt idx="11">
                  <c:v>2.1</c:v>
                </c:pt>
                <c:pt idx="12">
                  <c:v>1.6</c:v>
                </c:pt>
                <c:pt idx="13">
                  <c:v>1.9</c:v>
                </c:pt>
                <c:pt idx="14">
                  <c:v>2.2000000000000002</c:v>
                </c:pt>
                <c:pt idx="15">
                  <c:v>2</c:v>
                </c:pt>
                <c:pt idx="16">
                  <c:v>2</c:v>
                </c:pt>
                <c:pt idx="17">
                  <c:v>1.8</c:v>
                </c:pt>
                <c:pt idx="18">
                  <c:v>2.0065517241379309</c:v>
                </c:pt>
                <c:pt idx="19">
                  <c:v>2.0400000000000005</c:v>
                </c:pt>
                <c:pt idx="20">
                  <c:v>1.8</c:v>
                </c:pt>
                <c:pt idx="21">
                  <c:v>2</c:v>
                </c:pt>
                <c:pt idx="22">
                  <c:v>1.8</c:v>
                </c:pt>
                <c:pt idx="23">
                  <c:v>1.9</c:v>
                </c:pt>
                <c:pt idx="24">
                  <c:v>1.8</c:v>
                </c:pt>
                <c:pt idx="25">
                  <c:v>1.7</c:v>
                </c:pt>
                <c:pt idx="26">
                  <c:v>1.8</c:v>
                </c:pt>
                <c:pt idx="27">
                  <c:v>1.9</c:v>
                </c:pt>
                <c:pt idx="28">
                  <c:v>1.7</c:v>
                </c:pt>
                <c:pt idx="29">
                  <c:v>1.7</c:v>
                </c:pt>
                <c:pt idx="30">
                  <c:v>1.69</c:v>
                </c:pt>
                <c:pt idx="31">
                  <c:v>1.6</c:v>
                </c:pt>
                <c:pt idx="32">
                  <c:v>1.4</c:v>
                </c:pt>
                <c:pt idx="33">
                  <c:v>1.7</c:v>
                </c:pt>
                <c:pt idx="34">
                  <c:v>1.3</c:v>
                </c:pt>
                <c:pt idx="35">
                  <c:v>1.5</c:v>
                </c:pt>
                <c:pt idx="36">
                  <c:v>1.6</c:v>
                </c:pt>
                <c:pt idx="37">
                  <c:v>1.5</c:v>
                </c:pt>
                <c:pt idx="38">
                  <c:v>1.2</c:v>
                </c:pt>
                <c:pt idx="39">
                  <c:v>0.7</c:v>
                </c:pt>
                <c:pt idx="40">
                  <c:v>0.48193055221336489</c:v>
                </c:pt>
                <c:pt idx="41">
                  <c:v>2.6</c:v>
                </c:pt>
                <c:pt idx="42">
                  <c:v>1.9</c:v>
                </c:pt>
                <c:pt idx="43">
                  <c:v>1.8</c:v>
                </c:pt>
                <c:pt idx="44">
                  <c:v>0.7</c:v>
                </c:pt>
              </c:numCache>
            </c:numRef>
          </c:val>
          <c:smooth val="0"/>
          <c:extLst>
            <c:ext xmlns:c16="http://schemas.microsoft.com/office/drawing/2014/chart" uri="{C3380CC4-5D6E-409C-BE32-E72D297353CC}">
              <c16:uniqueId val="{00000011-2E22-44B9-9CDF-A33DB3497AF6}"/>
            </c:ext>
          </c:extLst>
        </c:ser>
        <c:ser>
          <c:idx val="2"/>
          <c:order val="1"/>
          <c:tx>
            <c:strRef>
              <c:f>'Chart SF3.1.C'!$N$5</c:f>
              <c:strCache>
                <c:ptCount val="1"/>
                <c:pt idx="0">
                  <c:v>1995</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6BB6"/>
              </a:solidFill>
              <a:ln w="6350">
                <a:solidFill>
                  <a:srgbClr val="006BB6"/>
                </a:solidFill>
                <a:prstDash val="solid"/>
              </a:ln>
              <a:effectLst/>
            </c:spPr>
          </c:marker>
          <c:dPt>
            <c:idx val="10"/>
            <c:marker>
              <c:spPr>
                <a:pattFill prst="pct5">
                  <a:fgClr>
                    <a:srgbClr val="006BB6"/>
                  </a:fgClr>
                  <a:bgClr>
                    <a:srgbClr val="000000"/>
                  </a:bgClr>
                </a:pattFill>
                <a:ln w="6350">
                  <a:solidFill>
                    <a:srgbClr val="006BB6"/>
                  </a:solidFill>
                  <a:prstDash val="solid"/>
                </a:ln>
                <a:effectLst/>
              </c:spPr>
            </c:marker>
            <c:bubble3D val="0"/>
            <c:extLst>
              <c:ext xmlns:c16="http://schemas.microsoft.com/office/drawing/2014/chart" uri="{C3380CC4-5D6E-409C-BE32-E72D297353CC}">
                <c16:uniqueId val="{00000012-2E22-44B9-9CDF-A33DB3497AF6}"/>
              </c:ext>
            </c:extLst>
          </c:dPt>
          <c:dPt>
            <c:idx val="23"/>
            <c:bubble3D val="0"/>
            <c:extLst>
              <c:ext xmlns:c16="http://schemas.microsoft.com/office/drawing/2014/chart" uri="{C3380CC4-5D6E-409C-BE32-E72D297353CC}">
                <c16:uniqueId val="{00000013-2E22-44B9-9CDF-A33DB3497AF6}"/>
              </c:ext>
            </c:extLst>
          </c:dPt>
          <c:cat>
            <c:strRef>
              <c:f>'Chart SF3.1.C'!$L$6:$L$50</c:f>
              <c:strCache>
                <c:ptCount val="45"/>
                <c:pt idx="0">
                  <c:v>Chile</c:v>
                </c:pt>
                <c:pt idx="1">
                  <c:v>Latvia</c:v>
                </c:pt>
                <c:pt idx="2">
                  <c:v>Costa Rica</c:v>
                </c:pt>
                <c:pt idx="3">
                  <c:v>Lithuania</c:v>
                </c:pt>
                <c:pt idx="4">
                  <c:v>United States</c:v>
                </c:pt>
                <c:pt idx="5">
                  <c:v>Sweden</c:v>
                </c:pt>
                <c:pt idx="6">
                  <c:v>Türkiye</c:v>
                </c:pt>
                <c:pt idx="7">
                  <c:v>Denmark</c:v>
                </c:pt>
                <c:pt idx="8">
                  <c:v>Finland</c:v>
                </c:pt>
                <c:pt idx="9">
                  <c:v>Luxembourg</c:v>
                </c:pt>
                <c:pt idx="10">
                  <c:v>Czechia</c:v>
                </c:pt>
                <c:pt idx="11">
                  <c:v>Estonia</c:v>
                </c:pt>
                <c:pt idx="12">
                  <c:v>Iceland</c:v>
                </c:pt>
                <c:pt idx="13">
                  <c:v>Australia</c:v>
                </c:pt>
                <c:pt idx="14">
                  <c:v>Korea</c:v>
                </c:pt>
                <c:pt idx="15">
                  <c:v>Switzerland</c:v>
                </c:pt>
                <c:pt idx="16">
                  <c:v>Portugal</c:v>
                </c:pt>
                <c:pt idx="17">
                  <c:v>Hungary</c:v>
                </c:pt>
                <c:pt idx="18">
                  <c:v>OECD-29</c:v>
                </c:pt>
                <c:pt idx="19">
                  <c:v>EU-20</c:v>
                </c:pt>
                <c:pt idx="20">
                  <c:v>Israel</c:v>
                </c:pt>
                <c:pt idx="21">
                  <c:v>Belgium</c:v>
                </c:pt>
                <c:pt idx="22">
                  <c:v>United Kingdom</c:v>
                </c:pt>
                <c:pt idx="23">
                  <c:v>Spain</c:v>
                </c:pt>
                <c:pt idx="24">
                  <c:v>Germany</c:v>
                </c:pt>
                <c:pt idx="25">
                  <c:v>Poland</c:v>
                </c:pt>
                <c:pt idx="26">
                  <c:v>Austria</c:v>
                </c:pt>
                <c:pt idx="27">
                  <c:v>Norway</c:v>
                </c:pt>
                <c:pt idx="28">
                  <c:v>Slovak Republic</c:v>
                </c:pt>
                <c:pt idx="29">
                  <c:v>New Zealand</c:v>
                </c:pt>
                <c:pt idx="30">
                  <c:v>Japan</c:v>
                </c:pt>
                <c:pt idx="31">
                  <c:v>Bulgaria</c:v>
                </c:pt>
                <c:pt idx="32">
                  <c:v>Italy</c:v>
                </c:pt>
                <c:pt idx="33">
                  <c:v>Netherlands</c:v>
                </c:pt>
                <c:pt idx="34">
                  <c:v>Mexico</c:v>
                </c:pt>
                <c:pt idx="35">
                  <c:v>Croatia</c:v>
                </c:pt>
                <c:pt idx="36">
                  <c:v>Romania</c:v>
                </c:pt>
                <c:pt idx="37">
                  <c:v>Canada</c:v>
                </c:pt>
                <c:pt idx="38">
                  <c:v>Slovenia</c:v>
                </c:pt>
                <c:pt idx="39">
                  <c:v>Malta</c:v>
                </c:pt>
                <c:pt idx="40">
                  <c:v>Colombia</c:v>
                </c:pt>
                <c:pt idx="41">
                  <c:v>Cyprus</c:v>
                </c:pt>
                <c:pt idx="42">
                  <c:v>France</c:v>
                </c:pt>
                <c:pt idx="43">
                  <c:v>Greece</c:v>
                </c:pt>
                <c:pt idx="44">
                  <c:v>Ireland</c:v>
                </c:pt>
              </c:strCache>
            </c:strRef>
          </c:cat>
          <c:val>
            <c:numRef>
              <c:f>'Chart SF3.1.C'!$N$6:$N$50</c:f>
              <c:numCache>
                <c:formatCode>0.0</c:formatCode>
                <c:ptCount val="45"/>
                <c:pt idx="1">
                  <c:v>3.1</c:v>
                </c:pt>
                <c:pt idx="3">
                  <c:v>2.8</c:v>
                </c:pt>
                <c:pt idx="4">
                  <c:v>4.3901000000000003</c:v>
                </c:pt>
                <c:pt idx="5">
                  <c:v>2.6</c:v>
                </c:pt>
                <c:pt idx="7">
                  <c:v>2.5</c:v>
                </c:pt>
                <c:pt idx="8">
                  <c:v>2.7</c:v>
                </c:pt>
                <c:pt idx="9">
                  <c:v>1.8</c:v>
                </c:pt>
                <c:pt idx="10">
                  <c:v>3</c:v>
                </c:pt>
                <c:pt idx="11">
                  <c:v>5.2</c:v>
                </c:pt>
                <c:pt idx="12">
                  <c:v>1.8</c:v>
                </c:pt>
                <c:pt idx="13">
                  <c:v>2.8</c:v>
                </c:pt>
                <c:pt idx="14">
                  <c:v>1.5</c:v>
                </c:pt>
                <c:pt idx="15">
                  <c:v>2.2000000000000002</c:v>
                </c:pt>
                <c:pt idx="16">
                  <c:v>1.2</c:v>
                </c:pt>
                <c:pt idx="17">
                  <c:v>2.4</c:v>
                </c:pt>
                <c:pt idx="18">
                  <c:v>2.3364586206896552</c:v>
                </c:pt>
                <c:pt idx="19">
                  <c:v>2.2299999999999995</c:v>
                </c:pt>
                <c:pt idx="20">
                  <c:v>1.6</c:v>
                </c:pt>
                <c:pt idx="21">
                  <c:v>3.5</c:v>
                </c:pt>
                <c:pt idx="22">
                  <c:v>2.9</c:v>
                </c:pt>
                <c:pt idx="23">
                  <c:v>0.8</c:v>
                </c:pt>
                <c:pt idx="24">
                  <c:v>2.1</c:v>
                </c:pt>
                <c:pt idx="25">
                  <c:v>1</c:v>
                </c:pt>
                <c:pt idx="26">
                  <c:v>2.2999999999999998</c:v>
                </c:pt>
                <c:pt idx="27">
                  <c:v>2.4</c:v>
                </c:pt>
                <c:pt idx="28">
                  <c:v>1.7</c:v>
                </c:pt>
                <c:pt idx="29">
                  <c:v>2.6063000000000001</c:v>
                </c:pt>
                <c:pt idx="30">
                  <c:v>1.6</c:v>
                </c:pt>
                <c:pt idx="31">
                  <c:v>1.3</c:v>
                </c:pt>
                <c:pt idx="32">
                  <c:v>0.5</c:v>
                </c:pt>
                <c:pt idx="33">
                  <c:v>2.2000000000000002</c:v>
                </c:pt>
                <c:pt idx="34">
                  <c:v>0.41089999999999999</c:v>
                </c:pt>
                <c:pt idx="35">
                  <c:v>0.9</c:v>
                </c:pt>
                <c:pt idx="36">
                  <c:v>1.5</c:v>
                </c:pt>
                <c:pt idx="37">
                  <c:v>2.65</c:v>
                </c:pt>
                <c:pt idx="38">
                  <c:v>0.8</c:v>
                </c:pt>
                <c:pt idx="40">
                  <c:v>0</c:v>
                </c:pt>
                <c:pt idx="41">
                  <c:v>1.2</c:v>
                </c:pt>
                <c:pt idx="42">
                  <c:v>2.1</c:v>
                </c:pt>
                <c:pt idx="43">
                  <c:v>1</c:v>
                </c:pt>
              </c:numCache>
            </c:numRef>
          </c:val>
          <c:smooth val="0"/>
          <c:extLst>
            <c:ext xmlns:c16="http://schemas.microsoft.com/office/drawing/2014/chart" uri="{C3380CC4-5D6E-409C-BE32-E72D297353CC}">
              <c16:uniqueId val="{00000014-2E22-44B9-9CDF-A33DB3497AF6}"/>
            </c:ext>
          </c:extLst>
        </c:ser>
        <c:ser>
          <c:idx val="0"/>
          <c:order val="2"/>
          <c:tx>
            <c:strRef>
              <c:f>'Chart SF3.1.C'!$M$5</c:f>
              <c:strCache>
                <c:ptCount val="1"/>
                <c:pt idx="0">
                  <c:v>1970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chemeClr val="bg1"/>
              </a:solidFill>
              <a:ln w="6350">
                <a:solidFill>
                  <a:srgbClr val="7FA8D9"/>
                </a:solidFill>
                <a:prstDash val="solid"/>
              </a:ln>
              <a:effectLst/>
            </c:spPr>
          </c:marker>
          <c:dPt>
            <c:idx val="10"/>
            <c:bubble3D val="0"/>
            <c:extLst>
              <c:ext xmlns:c16="http://schemas.microsoft.com/office/drawing/2014/chart" uri="{C3380CC4-5D6E-409C-BE32-E72D297353CC}">
                <c16:uniqueId val="{00000015-2E22-44B9-9CDF-A33DB3497AF6}"/>
              </c:ext>
            </c:extLst>
          </c:dPt>
          <c:dPt>
            <c:idx val="23"/>
            <c:bubble3D val="0"/>
            <c:extLst>
              <c:ext xmlns:c16="http://schemas.microsoft.com/office/drawing/2014/chart" uri="{C3380CC4-5D6E-409C-BE32-E72D297353CC}">
                <c16:uniqueId val="{00000016-2E22-44B9-9CDF-A33DB3497AF6}"/>
              </c:ext>
            </c:extLst>
          </c:dPt>
          <c:cat>
            <c:strRef>
              <c:f>'Chart SF3.1.C'!$L$6:$L$50</c:f>
              <c:strCache>
                <c:ptCount val="45"/>
                <c:pt idx="0">
                  <c:v>Chile</c:v>
                </c:pt>
                <c:pt idx="1">
                  <c:v>Latvia</c:v>
                </c:pt>
                <c:pt idx="2">
                  <c:v>Costa Rica</c:v>
                </c:pt>
                <c:pt idx="3">
                  <c:v>Lithuania</c:v>
                </c:pt>
                <c:pt idx="4">
                  <c:v>United States</c:v>
                </c:pt>
                <c:pt idx="5">
                  <c:v>Sweden</c:v>
                </c:pt>
                <c:pt idx="6">
                  <c:v>Türkiye</c:v>
                </c:pt>
                <c:pt idx="7">
                  <c:v>Denmark</c:v>
                </c:pt>
                <c:pt idx="8">
                  <c:v>Finland</c:v>
                </c:pt>
                <c:pt idx="9">
                  <c:v>Luxembourg</c:v>
                </c:pt>
                <c:pt idx="10">
                  <c:v>Czechia</c:v>
                </c:pt>
                <c:pt idx="11">
                  <c:v>Estonia</c:v>
                </c:pt>
                <c:pt idx="12">
                  <c:v>Iceland</c:v>
                </c:pt>
                <c:pt idx="13">
                  <c:v>Australia</c:v>
                </c:pt>
                <c:pt idx="14">
                  <c:v>Korea</c:v>
                </c:pt>
                <c:pt idx="15">
                  <c:v>Switzerland</c:v>
                </c:pt>
                <c:pt idx="16">
                  <c:v>Portugal</c:v>
                </c:pt>
                <c:pt idx="17">
                  <c:v>Hungary</c:v>
                </c:pt>
                <c:pt idx="18">
                  <c:v>OECD-29</c:v>
                </c:pt>
                <c:pt idx="19">
                  <c:v>EU-20</c:v>
                </c:pt>
                <c:pt idx="20">
                  <c:v>Israel</c:v>
                </c:pt>
                <c:pt idx="21">
                  <c:v>Belgium</c:v>
                </c:pt>
                <c:pt idx="22">
                  <c:v>United Kingdom</c:v>
                </c:pt>
                <c:pt idx="23">
                  <c:v>Spain</c:v>
                </c:pt>
                <c:pt idx="24">
                  <c:v>Germany</c:v>
                </c:pt>
                <c:pt idx="25">
                  <c:v>Poland</c:v>
                </c:pt>
                <c:pt idx="26">
                  <c:v>Austria</c:v>
                </c:pt>
                <c:pt idx="27">
                  <c:v>Norway</c:v>
                </c:pt>
                <c:pt idx="28">
                  <c:v>Slovak Republic</c:v>
                </c:pt>
                <c:pt idx="29">
                  <c:v>New Zealand</c:v>
                </c:pt>
                <c:pt idx="30">
                  <c:v>Japan</c:v>
                </c:pt>
                <c:pt idx="31">
                  <c:v>Bulgaria</c:v>
                </c:pt>
                <c:pt idx="32">
                  <c:v>Italy</c:v>
                </c:pt>
                <c:pt idx="33">
                  <c:v>Netherlands</c:v>
                </c:pt>
                <c:pt idx="34">
                  <c:v>Mexico</c:v>
                </c:pt>
                <c:pt idx="35">
                  <c:v>Croatia</c:v>
                </c:pt>
                <c:pt idx="36">
                  <c:v>Romania</c:v>
                </c:pt>
                <c:pt idx="37">
                  <c:v>Canada</c:v>
                </c:pt>
                <c:pt idx="38">
                  <c:v>Slovenia</c:v>
                </c:pt>
                <c:pt idx="39">
                  <c:v>Malta</c:v>
                </c:pt>
                <c:pt idx="40">
                  <c:v>Colombia</c:v>
                </c:pt>
                <c:pt idx="41">
                  <c:v>Cyprus</c:v>
                </c:pt>
                <c:pt idx="42">
                  <c:v>France</c:v>
                </c:pt>
                <c:pt idx="43">
                  <c:v>Greece</c:v>
                </c:pt>
                <c:pt idx="44">
                  <c:v>Ireland</c:v>
                </c:pt>
              </c:strCache>
            </c:strRef>
          </c:cat>
          <c:val>
            <c:numRef>
              <c:f>'Chart SF3.1.C'!$M$6:$M$50</c:f>
              <c:numCache>
                <c:formatCode>0.0</c:formatCode>
                <c:ptCount val="45"/>
                <c:pt idx="1">
                  <c:v>4.5999999999999996</c:v>
                </c:pt>
                <c:pt idx="3">
                  <c:v>2.2000000000000002</c:v>
                </c:pt>
                <c:pt idx="4">
                  <c:v>3.4836</c:v>
                </c:pt>
                <c:pt idx="5">
                  <c:v>1.6</c:v>
                </c:pt>
                <c:pt idx="7">
                  <c:v>1.9</c:v>
                </c:pt>
                <c:pt idx="8">
                  <c:v>1.3</c:v>
                </c:pt>
                <c:pt idx="9">
                  <c:v>0.6</c:v>
                </c:pt>
                <c:pt idx="10">
                  <c:v>2.2000000000000002</c:v>
                </c:pt>
                <c:pt idx="11">
                  <c:v>3.2</c:v>
                </c:pt>
                <c:pt idx="12">
                  <c:v>1.2</c:v>
                </c:pt>
                <c:pt idx="13">
                  <c:v>0.97529999999999994</c:v>
                </c:pt>
                <c:pt idx="14">
                  <c:v>0.4</c:v>
                </c:pt>
                <c:pt idx="15">
                  <c:v>1</c:v>
                </c:pt>
                <c:pt idx="16">
                  <c:v>0.1</c:v>
                </c:pt>
                <c:pt idx="17">
                  <c:v>2.2000000000000002</c:v>
                </c:pt>
                <c:pt idx="18">
                  <c:v>1.4101862068965516</c:v>
                </c:pt>
                <c:pt idx="19">
                  <c:v>1.4949999999999999</c:v>
                </c:pt>
                <c:pt idx="20">
                  <c:v>0.82110000000000005</c:v>
                </c:pt>
                <c:pt idx="21">
                  <c:v>0.7</c:v>
                </c:pt>
                <c:pt idx="22">
                  <c:v>1</c:v>
                </c:pt>
                <c:pt idx="24">
                  <c:v>1.3</c:v>
                </c:pt>
                <c:pt idx="25">
                  <c:v>1.1000000000000001</c:v>
                </c:pt>
                <c:pt idx="26">
                  <c:v>1.4</c:v>
                </c:pt>
                <c:pt idx="27">
                  <c:v>0.9</c:v>
                </c:pt>
                <c:pt idx="28">
                  <c:v>0.8</c:v>
                </c:pt>
                <c:pt idx="29">
                  <c:v>1.1156999999999999</c:v>
                </c:pt>
                <c:pt idx="30">
                  <c:v>0.93</c:v>
                </c:pt>
                <c:pt idx="31">
                  <c:v>1.2</c:v>
                </c:pt>
                <c:pt idx="33">
                  <c:v>0.8</c:v>
                </c:pt>
                <c:pt idx="34">
                  <c:v>0.5968</c:v>
                </c:pt>
                <c:pt idx="35">
                  <c:v>1.2</c:v>
                </c:pt>
                <c:pt idx="36">
                  <c:v>0.4</c:v>
                </c:pt>
                <c:pt idx="37">
                  <c:v>1.3729</c:v>
                </c:pt>
                <c:pt idx="38">
                  <c:v>1.1000000000000001</c:v>
                </c:pt>
                <c:pt idx="40">
                  <c:v>0</c:v>
                </c:pt>
                <c:pt idx="41">
                  <c:v>0.2</c:v>
                </c:pt>
                <c:pt idx="43">
                  <c:v>0.4</c:v>
                </c:pt>
              </c:numCache>
            </c:numRef>
          </c:val>
          <c:smooth val="0"/>
          <c:extLst>
            <c:ext xmlns:c16="http://schemas.microsoft.com/office/drawing/2014/chart" uri="{C3380CC4-5D6E-409C-BE32-E72D297353CC}">
              <c16:uniqueId val="{00000017-2E22-44B9-9CDF-A33DB3497AF6}"/>
            </c:ext>
          </c:extLst>
        </c:ser>
        <c:dLbls>
          <c:showLegendKey val="0"/>
          <c:showVal val="0"/>
          <c:showCatName val="0"/>
          <c:showSerName val="0"/>
          <c:showPercent val="0"/>
          <c:showBubbleSize val="0"/>
        </c:dLbls>
        <c:marker val="1"/>
        <c:smooth val="0"/>
        <c:axId val="357937152"/>
        <c:axId val="357939072"/>
      </c:lineChart>
      <c:catAx>
        <c:axId val="35793715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357939072"/>
        <c:crosses val="autoZero"/>
        <c:auto val="1"/>
        <c:lblAlgn val="ctr"/>
        <c:lblOffset val="0"/>
        <c:tickLblSkip val="1"/>
        <c:noMultiLvlLbl val="0"/>
      </c:catAx>
      <c:valAx>
        <c:axId val="357939072"/>
        <c:scaling>
          <c:orientation val="minMax"/>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US" sz="750" b="0" i="0">
                    <a:solidFill>
                      <a:srgbClr val="000000"/>
                    </a:solidFill>
                    <a:latin typeface="Arial Narrow" panose="020B0606020202030204" pitchFamily="34" charset="0"/>
                  </a:rPr>
                  <a:t>Divorces per 1000 people</a:t>
                </a:r>
              </a:p>
            </c:rich>
          </c:tx>
          <c:layout>
            <c:manualLayout>
              <c:xMode val="edge"/>
              <c:yMode val="edge"/>
              <c:x val="4.2158869576216874E-2"/>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5793715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6.8284789191674869E-2"/>
          <c:y val="1.9920803043647736E-2"/>
          <c:w val="0.9105928824073295"/>
          <c:h val="7.2096124489092431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clustered"/>
        <c:varyColors val="0"/>
        <c:ser>
          <c:idx val="4"/>
          <c:order val="0"/>
          <c:tx>
            <c:strRef>
              <c:f>'Chart SF3.1.D'!$M$5</c:f>
              <c:strCache>
                <c:ptCount val="1"/>
                <c:pt idx="0">
                  <c:v>Single never married</c:v>
                </c:pt>
              </c:strCache>
            </c:strRef>
          </c:tx>
          <c:spPr>
            <a:solidFill>
              <a:schemeClr val="tx2"/>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0"/>
            <c:invertIfNegative val="0"/>
            <c:bubble3D val="0"/>
            <c:extLst>
              <c:ext xmlns:c16="http://schemas.microsoft.com/office/drawing/2014/chart" uri="{C3380CC4-5D6E-409C-BE32-E72D297353CC}">
                <c16:uniqueId val="{00000000-AD16-4AB5-AF63-829D57442E8D}"/>
              </c:ext>
            </c:extLst>
          </c:dPt>
          <c:dPt>
            <c:idx val="14"/>
            <c:invertIfNegative val="0"/>
            <c:bubble3D val="0"/>
            <c:extLst>
              <c:ext xmlns:c16="http://schemas.microsoft.com/office/drawing/2014/chart" uri="{C3380CC4-5D6E-409C-BE32-E72D297353CC}">
                <c16:uniqueId val="{00000001-AD16-4AB5-AF63-829D57442E8D}"/>
              </c:ext>
            </c:extLst>
          </c:dPt>
          <c:dPt>
            <c:idx val="15"/>
            <c:invertIfNegative val="0"/>
            <c:bubble3D val="0"/>
            <c:extLst>
              <c:ext xmlns:c16="http://schemas.microsoft.com/office/drawing/2014/chart" uri="{C3380CC4-5D6E-409C-BE32-E72D297353CC}">
                <c16:uniqueId val="{00000002-AD16-4AB5-AF63-829D57442E8D}"/>
              </c:ext>
            </c:extLst>
          </c:dPt>
          <c:dPt>
            <c:idx val="16"/>
            <c:invertIfNegative val="0"/>
            <c:bubble3D val="0"/>
            <c:extLst>
              <c:ext xmlns:c16="http://schemas.microsoft.com/office/drawing/2014/chart" uri="{C3380CC4-5D6E-409C-BE32-E72D297353CC}">
                <c16:uniqueId val="{00000003-AD16-4AB5-AF63-829D57442E8D}"/>
              </c:ext>
            </c:extLst>
          </c:dPt>
          <c:dPt>
            <c:idx val="17"/>
            <c:invertIfNegative val="0"/>
            <c:bubble3D val="0"/>
            <c:extLst>
              <c:ext xmlns:c16="http://schemas.microsoft.com/office/drawing/2014/chart" uri="{C3380CC4-5D6E-409C-BE32-E72D297353CC}">
                <c16:uniqueId val="{00000004-AD16-4AB5-AF63-829D57442E8D}"/>
              </c:ext>
            </c:extLst>
          </c:dPt>
          <c:dPt>
            <c:idx val="18"/>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6-AD16-4AB5-AF63-829D57442E8D}"/>
              </c:ext>
            </c:extLst>
          </c:dPt>
          <c:dPt>
            <c:idx val="20"/>
            <c:invertIfNegative val="0"/>
            <c:bubble3D val="0"/>
            <c:spPr>
              <a:solidFill>
                <a:schemeClr val="tx1"/>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8-AD16-4AB5-AF63-829D57442E8D}"/>
              </c:ext>
            </c:extLst>
          </c:dPt>
          <c:dPt>
            <c:idx val="23"/>
            <c:invertIfNegative val="0"/>
            <c:bubble3D val="0"/>
            <c:extLst>
              <c:ext xmlns:c16="http://schemas.microsoft.com/office/drawing/2014/chart" uri="{C3380CC4-5D6E-409C-BE32-E72D297353CC}">
                <c16:uniqueId val="{00000009-AD16-4AB5-AF63-829D57442E8D}"/>
              </c:ext>
            </c:extLst>
          </c:dPt>
          <c:dPt>
            <c:idx val="26"/>
            <c:invertIfNegative val="0"/>
            <c:bubble3D val="0"/>
            <c:extLst>
              <c:ext xmlns:c16="http://schemas.microsoft.com/office/drawing/2014/chart" uri="{C3380CC4-5D6E-409C-BE32-E72D297353CC}">
                <c16:uniqueId val="{0000000A-AD16-4AB5-AF63-829D57442E8D}"/>
              </c:ext>
            </c:extLst>
          </c:dPt>
          <c:cat>
            <c:strRef>
              <c:f>'Chart SF3.1.D'!$L$6:$L$43</c:f>
              <c:strCache>
                <c:ptCount val="38"/>
                <c:pt idx="0">
                  <c:v>Ireland</c:v>
                </c:pt>
                <c:pt idx="1">
                  <c:v>Slovenia</c:v>
                </c:pt>
                <c:pt idx="2">
                  <c:v>Croatia</c:v>
                </c:pt>
                <c:pt idx="3">
                  <c:v>Cyprus</c:v>
                </c:pt>
                <c:pt idx="4">
                  <c:v>Bulgaria</c:v>
                </c:pt>
                <c:pt idx="5">
                  <c:v>Italy</c:v>
                </c:pt>
                <c:pt idx="6">
                  <c:v>Slovak Republic</c:v>
                </c:pt>
                <c:pt idx="7">
                  <c:v>Greece</c:v>
                </c:pt>
                <c:pt idx="8">
                  <c:v>Türkiye</c:v>
                </c:pt>
                <c:pt idx="9">
                  <c:v>Chile</c:v>
                </c:pt>
                <c:pt idx="10">
                  <c:v>Poland</c:v>
                </c:pt>
                <c:pt idx="11">
                  <c:v>Romania</c:v>
                </c:pt>
                <c:pt idx="12">
                  <c:v>Hungary</c:v>
                </c:pt>
                <c:pt idx="13">
                  <c:v>Korea</c:v>
                </c:pt>
                <c:pt idx="14">
                  <c:v>Switzerland</c:v>
                </c:pt>
                <c:pt idx="15">
                  <c:v>Iceland</c:v>
                </c:pt>
                <c:pt idx="16">
                  <c:v>Australia</c:v>
                </c:pt>
                <c:pt idx="17">
                  <c:v>France</c:v>
                </c:pt>
                <c:pt idx="18">
                  <c:v>EU-26</c:v>
                </c:pt>
                <c:pt idx="19">
                  <c:v>Spain</c:v>
                </c:pt>
                <c:pt idx="20">
                  <c:v>OECD-32</c:v>
                </c:pt>
                <c:pt idx="21">
                  <c:v>New Zealand</c:v>
                </c:pt>
                <c:pt idx="22">
                  <c:v>Norway</c:v>
                </c:pt>
                <c:pt idx="23">
                  <c:v>Luxembourg</c:v>
                </c:pt>
                <c:pt idx="24">
                  <c:v>Denmark</c:v>
                </c:pt>
                <c:pt idx="25">
                  <c:v>Sweden</c:v>
                </c:pt>
                <c:pt idx="26">
                  <c:v>Austria</c:v>
                </c:pt>
                <c:pt idx="27">
                  <c:v>Netherlands</c:v>
                </c:pt>
                <c:pt idx="28">
                  <c:v>Belgium</c:v>
                </c:pt>
                <c:pt idx="29">
                  <c:v>Germany</c:v>
                </c:pt>
                <c:pt idx="30">
                  <c:v>United Kingdom</c:v>
                </c:pt>
                <c:pt idx="31">
                  <c:v>Portugal</c:v>
                </c:pt>
                <c:pt idx="32">
                  <c:v>Finland</c:v>
                </c:pt>
                <c:pt idx="33">
                  <c:v>Lithuania</c:v>
                </c:pt>
                <c:pt idx="34">
                  <c:v>Czechia</c:v>
                </c:pt>
                <c:pt idx="35">
                  <c:v>Estonia</c:v>
                </c:pt>
                <c:pt idx="36">
                  <c:v>Japan</c:v>
                </c:pt>
                <c:pt idx="37">
                  <c:v>Latvia</c:v>
                </c:pt>
              </c:strCache>
            </c:strRef>
          </c:cat>
          <c:val>
            <c:numRef>
              <c:f>'Chart SF3.1.D'!$M$6:$M$43</c:f>
              <c:numCache>
                <c:formatCode>0.0</c:formatCode>
                <c:ptCount val="38"/>
                <c:pt idx="0">
                  <c:v>92.5</c:v>
                </c:pt>
                <c:pt idx="1">
                  <c:v>88.73394185260311</c:v>
                </c:pt>
                <c:pt idx="2">
                  <c:v>87.90583969675329</c:v>
                </c:pt>
                <c:pt idx="3">
                  <c:v>86.39490773484215</c:v>
                </c:pt>
                <c:pt idx="4">
                  <c:v>86.2</c:v>
                </c:pt>
                <c:pt idx="5">
                  <c:v>85.672556757715498</c:v>
                </c:pt>
                <c:pt idx="6">
                  <c:v>85.058823529411768</c:v>
                </c:pt>
                <c:pt idx="7">
                  <c:v>85.016806104173313</c:v>
                </c:pt>
                <c:pt idx="8">
                  <c:v>84.7</c:v>
                </c:pt>
                <c:pt idx="9">
                  <c:v>84.521102330000005</c:v>
                </c:pt>
                <c:pt idx="10">
                  <c:v>83.765238468667576</c:v>
                </c:pt>
                <c:pt idx="11">
                  <c:v>83.384556113022839</c:v>
                </c:pt>
                <c:pt idx="12">
                  <c:v>82.740524781341108</c:v>
                </c:pt>
                <c:pt idx="13">
                  <c:v>82.512064496355976</c:v>
                </c:pt>
                <c:pt idx="14">
                  <c:v>82</c:v>
                </c:pt>
                <c:pt idx="15">
                  <c:v>81.804465902232948</c:v>
                </c:pt>
                <c:pt idx="16">
                  <c:v>81.8</c:v>
                </c:pt>
                <c:pt idx="17">
                  <c:v>80.817610062893081</c:v>
                </c:pt>
                <c:pt idx="18">
                  <c:v>80.75</c:v>
                </c:pt>
                <c:pt idx="19">
                  <c:v>80.525553080116211</c:v>
                </c:pt>
                <c:pt idx="20">
                  <c:v>80.075250970309781</c:v>
                </c:pt>
                <c:pt idx="21">
                  <c:v>80</c:v>
                </c:pt>
                <c:pt idx="22">
                  <c:v>79.3</c:v>
                </c:pt>
                <c:pt idx="23">
                  <c:v>79.151670951156817</c:v>
                </c:pt>
                <c:pt idx="24">
                  <c:v>78.884024219841649</c:v>
                </c:pt>
                <c:pt idx="25">
                  <c:v>78.701029193191061</c:v>
                </c:pt>
                <c:pt idx="26">
                  <c:v>78.01407655211365</c:v>
                </c:pt>
                <c:pt idx="27">
                  <c:v>77.456319387876519</c:v>
                </c:pt>
                <c:pt idx="28">
                  <c:v>77.341896040865038</c:v>
                </c:pt>
                <c:pt idx="29">
                  <c:v>76.503926146527391</c:v>
                </c:pt>
                <c:pt idx="30">
                  <c:v>76.099999999999994</c:v>
                </c:pt>
                <c:pt idx="31">
                  <c:v>75.986853426024709</c:v>
                </c:pt>
                <c:pt idx="32">
                  <c:v>75.668371267322016</c:v>
                </c:pt>
                <c:pt idx="33">
                  <c:v>75.507043511927805</c:v>
                </c:pt>
                <c:pt idx="34">
                  <c:v>74.592757279062809</c:v>
                </c:pt>
                <c:pt idx="35">
                  <c:v>74.546338302009076</c:v>
                </c:pt>
                <c:pt idx="36">
                  <c:v>74</c:v>
                </c:pt>
                <c:pt idx="37">
                  <c:v>68.485037406483798</c:v>
                </c:pt>
              </c:numCache>
            </c:numRef>
          </c:val>
          <c:extLst>
            <c:ext xmlns:c16="http://schemas.microsoft.com/office/drawing/2014/chart" uri="{C3380CC4-5D6E-409C-BE32-E72D297353CC}">
              <c16:uniqueId val="{0000000B-AD16-4AB5-AF63-829D57442E8D}"/>
            </c:ext>
          </c:extLst>
        </c:ser>
        <c:dLbls>
          <c:showLegendKey val="0"/>
          <c:showVal val="0"/>
          <c:showCatName val="0"/>
          <c:showSerName val="0"/>
          <c:showPercent val="0"/>
          <c:showBubbleSize val="0"/>
        </c:dLbls>
        <c:gapWidth val="150"/>
        <c:axId val="228309248"/>
        <c:axId val="228311040"/>
      </c:barChart>
      <c:catAx>
        <c:axId val="22830924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28311040"/>
        <c:crosses val="autoZero"/>
        <c:auto val="1"/>
        <c:lblAlgn val="ctr"/>
        <c:lblOffset val="0"/>
        <c:noMultiLvlLbl val="0"/>
      </c:catAx>
      <c:valAx>
        <c:axId val="228311040"/>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28309248"/>
        <c:crosses val="autoZero"/>
        <c:crossBetween val="between"/>
        <c:dispUnits>
          <c:builtInUnit val="hundreds"/>
        </c:dispUnits>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85726</xdr:colOff>
      <xdr:row>2</xdr:row>
      <xdr:rowOff>57150</xdr:rowOff>
    </xdr:from>
    <xdr:to>
      <xdr:col>8</xdr:col>
      <xdr:colOff>313389</xdr:colOff>
      <xdr:row>18</xdr:row>
      <xdr:rowOff>16448</xdr:rowOff>
    </xdr:to>
    <xdr:graphicFrame macro="">
      <xdr:nvGraphicFramePr>
        <xdr:cNvPr id="2" name="Chart 3">
          <a:extLst>
            <a:ext uri="{FF2B5EF4-FFF2-40B4-BE49-F238E27FC236}">
              <a16:creationId xmlns:a16="http://schemas.microsoft.com/office/drawing/2014/main" id="{6309E5CC-75D1-4AC5-B44D-72C68158A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0</xdr:rowOff>
    </xdr:from>
    <xdr:to>
      <xdr:col>10</xdr:col>
      <xdr:colOff>380999</xdr:colOff>
      <xdr:row>50</xdr:row>
      <xdr:rowOff>0</xdr:rowOff>
    </xdr:to>
    <xdr:sp macro="" textlink="">
      <xdr:nvSpPr>
        <xdr:cNvPr id="3" name="TextBox 2">
          <a:extLst>
            <a:ext uri="{FF2B5EF4-FFF2-40B4-BE49-F238E27FC236}">
              <a16:creationId xmlns:a16="http://schemas.microsoft.com/office/drawing/2014/main" id="{916631A8-F488-4031-B31C-836D74CCF303}"/>
            </a:ext>
          </a:extLst>
        </xdr:cNvPr>
        <xdr:cNvSpPr txBox="1"/>
      </xdr:nvSpPr>
      <xdr:spPr>
        <a:xfrm>
          <a:off x="0" y="6134100"/>
          <a:ext cx="6924674"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2</xdr:row>
      <xdr:rowOff>45944</xdr:rowOff>
    </xdr:from>
    <xdr:to>
      <xdr:col>8</xdr:col>
      <xdr:colOff>227664</xdr:colOff>
      <xdr:row>22</xdr:row>
      <xdr:rowOff>5242</xdr:rowOff>
    </xdr:to>
    <xdr:graphicFrame macro="">
      <xdr:nvGraphicFramePr>
        <xdr:cNvPr id="2" name="Chart 3">
          <a:extLst>
            <a:ext uri="{FF2B5EF4-FFF2-40B4-BE49-F238E27FC236}">
              <a16:creationId xmlns:a16="http://schemas.microsoft.com/office/drawing/2014/main" id="{F46B26AB-EB40-417C-B683-D39E44A84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21</xdr:row>
      <xdr:rowOff>9525</xdr:rowOff>
    </xdr:from>
    <xdr:to>
      <xdr:col>8</xdr:col>
      <xdr:colOff>256238</xdr:colOff>
      <xdr:row>36</xdr:row>
      <xdr:rowOff>102173</xdr:rowOff>
    </xdr:to>
    <xdr:graphicFrame macro="">
      <xdr:nvGraphicFramePr>
        <xdr:cNvPr id="3" name="Chart 3">
          <a:extLst>
            <a:ext uri="{FF2B5EF4-FFF2-40B4-BE49-F238E27FC236}">
              <a16:creationId xmlns:a16="http://schemas.microsoft.com/office/drawing/2014/main" id="{0B54F35B-A8DA-466B-A479-12DD815DD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58</xdr:row>
      <xdr:rowOff>0</xdr:rowOff>
    </xdr:from>
    <xdr:to>
      <xdr:col>9</xdr:col>
      <xdr:colOff>276225</xdr:colOff>
      <xdr:row>63</xdr:row>
      <xdr:rowOff>123825</xdr:rowOff>
    </xdr:to>
    <xdr:sp macro="" textlink="">
      <xdr:nvSpPr>
        <xdr:cNvPr id="4" name="TextBox 3">
          <a:extLst>
            <a:ext uri="{FF2B5EF4-FFF2-40B4-BE49-F238E27FC236}">
              <a16:creationId xmlns:a16="http://schemas.microsoft.com/office/drawing/2014/main" id="{96755265-BEEA-41D5-9CCA-B72A6592305B}"/>
            </a:ext>
          </a:extLst>
        </xdr:cNvPr>
        <xdr:cNvSpPr txBox="1"/>
      </xdr:nvSpPr>
      <xdr:spPr>
        <a:xfrm>
          <a:off x="0" y="9229725"/>
          <a:ext cx="5762625" cy="933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161925</xdr:colOff>
      <xdr:row>3</xdr:row>
      <xdr:rowOff>57150</xdr:rowOff>
    </xdr:from>
    <xdr:to>
      <xdr:col>8</xdr:col>
      <xdr:colOff>389588</xdr:colOff>
      <xdr:row>19</xdr:row>
      <xdr:rowOff>16448</xdr:rowOff>
    </xdr:to>
    <xdr:graphicFrame macro="">
      <xdr:nvGraphicFramePr>
        <xdr:cNvPr id="2" name="Chart 3">
          <a:extLst>
            <a:ext uri="{FF2B5EF4-FFF2-40B4-BE49-F238E27FC236}">
              <a16:creationId xmlns:a16="http://schemas.microsoft.com/office/drawing/2014/main" id="{4CABA319-7EAB-444F-8B7F-2FD349868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0</xdr:rowOff>
    </xdr:from>
    <xdr:to>
      <xdr:col>10</xdr:col>
      <xdr:colOff>425262</xdr:colOff>
      <xdr:row>48</xdr:row>
      <xdr:rowOff>0</xdr:rowOff>
    </xdr:to>
    <xdr:sp macro="" textlink="">
      <xdr:nvSpPr>
        <xdr:cNvPr id="3" name="TextBox 2">
          <a:extLst>
            <a:ext uri="{FF2B5EF4-FFF2-40B4-BE49-F238E27FC236}">
              <a16:creationId xmlns:a16="http://schemas.microsoft.com/office/drawing/2014/main" id="{0324984A-4C5C-4D01-85D0-28F024E04136}"/>
            </a:ext>
          </a:extLst>
        </xdr:cNvPr>
        <xdr:cNvSpPr txBox="1"/>
      </xdr:nvSpPr>
      <xdr:spPr>
        <a:xfrm>
          <a:off x="0" y="5629275"/>
          <a:ext cx="6968937" cy="226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82550</xdr:colOff>
      <xdr:row>3</xdr:row>
      <xdr:rowOff>57150</xdr:rowOff>
    </xdr:from>
    <xdr:to>
      <xdr:col>9</xdr:col>
      <xdr:colOff>470646</xdr:colOff>
      <xdr:row>20</xdr:row>
      <xdr:rowOff>16448</xdr:rowOff>
    </xdr:to>
    <xdr:graphicFrame macro="">
      <xdr:nvGraphicFramePr>
        <xdr:cNvPr id="2" name="Chart 3">
          <a:extLst>
            <a:ext uri="{FF2B5EF4-FFF2-40B4-BE49-F238E27FC236}">
              <a16:creationId xmlns:a16="http://schemas.microsoft.com/office/drawing/2014/main" id="{C916435B-3656-4A61-91BC-96D1A7935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56030</xdr:rowOff>
    </xdr:from>
    <xdr:to>
      <xdr:col>10</xdr:col>
      <xdr:colOff>453837</xdr:colOff>
      <xdr:row>47</xdr:row>
      <xdr:rowOff>162822</xdr:rowOff>
    </xdr:to>
    <xdr:sp macro="" textlink="">
      <xdr:nvSpPr>
        <xdr:cNvPr id="3" name="TextBox 2">
          <a:extLst>
            <a:ext uri="{FF2B5EF4-FFF2-40B4-BE49-F238E27FC236}">
              <a16:creationId xmlns:a16="http://schemas.microsoft.com/office/drawing/2014/main" id="{2636995A-DF15-4092-BBCE-D98D49B81EB8}"/>
            </a:ext>
          </a:extLst>
        </xdr:cNvPr>
        <xdr:cNvSpPr txBox="1"/>
      </xdr:nvSpPr>
      <xdr:spPr>
        <a:xfrm>
          <a:off x="0" y="5399555"/>
          <a:ext cx="6549837" cy="2373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cbs.gov.il/reader/?MIval=cw_usr_view_SHTML&amp;ID=963" TargetMode="External"/><Relationship Id="rId13" Type="http://schemas.openxmlformats.org/officeDocument/2006/relationships/printerSettings" Target="../printerSettings/printerSettings1.bin"/><Relationship Id="rId3" Type="http://schemas.openxmlformats.org/officeDocument/2006/relationships/hyperlink" Target="http://www.un.org/esa/population/publications/WMD2008/WP_WMD_2008/Data.html" TargetMode="External"/><Relationship Id="rId7" Type="http://schemas.openxmlformats.org/officeDocument/2006/relationships/hyperlink" Target="http://ec.europa.eu/eurostat/web/population-demography-migration-projections/population-data/database" TargetMode="External"/><Relationship Id="rId12" Type="http://schemas.openxmlformats.org/officeDocument/2006/relationships/hyperlink" Target="http://www.ine.cl/canales/chile_estadistico/familias/demograficas_vitales.php" TargetMode="External"/><Relationship Id="rId2" Type="http://schemas.openxmlformats.org/officeDocument/2006/relationships/hyperlink" Target="https://unstats.un.org/unsd/demographic-social/products/dyb/" TargetMode="External"/><Relationship Id="rId1" Type="http://schemas.openxmlformats.org/officeDocument/2006/relationships/hyperlink" Target="http://www.abs.gov.au/ausstats/abs@.nsf/mf/3310.0" TargetMode="External"/><Relationship Id="rId6" Type="http://schemas.openxmlformats.org/officeDocument/2006/relationships/hyperlink" Target="http://www.inegi.org.mx/est/contenidos/proyectos/registros/vitales/nupcialidad/default.aspx" TargetMode="External"/><Relationship Id="rId11" Type="http://schemas.openxmlformats.org/officeDocument/2006/relationships/hyperlink" Target="http://www.cdc.gov/nchs/nvss/marriage_divorce_tables.htm" TargetMode="External"/><Relationship Id="rId5" Type="http://schemas.openxmlformats.org/officeDocument/2006/relationships/hyperlink" Target="http://kosis.kr/" TargetMode="External"/><Relationship Id="rId10" Type="http://schemas.openxmlformats.org/officeDocument/2006/relationships/hyperlink" Target="http://www.stats.govt.nz/" TargetMode="External"/><Relationship Id="rId4" Type="http://schemas.openxmlformats.org/officeDocument/2006/relationships/hyperlink" Target="http://www.stat.go.jp/english/data/kokusei/index.htm" TargetMode="External"/><Relationship Id="rId9" Type="http://schemas.openxmlformats.org/officeDocument/2006/relationships/hyperlink" Target="http://www.inec.go.cr/Web/Home/GeneradorPagina.aspx"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www.ine.cl/canales/chile_estadistico/familias/demograficas_vitales.php" TargetMode="External"/><Relationship Id="rId13" Type="http://schemas.openxmlformats.org/officeDocument/2006/relationships/customProperty" Target="../customProperty1.bin"/><Relationship Id="rId18" Type="http://schemas.openxmlformats.org/officeDocument/2006/relationships/customProperty" Target="../customProperty6.bin"/><Relationship Id="rId26" Type="http://schemas.openxmlformats.org/officeDocument/2006/relationships/drawing" Target="../drawings/drawing2.xml"/><Relationship Id="rId3" Type="http://schemas.openxmlformats.org/officeDocument/2006/relationships/hyperlink" Target="http://www.census.gov/en.html" TargetMode="External"/><Relationship Id="rId21" Type="http://schemas.openxmlformats.org/officeDocument/2006/relationships/customProperty" Target="../customProperty9.bin"/><Relationship Id="rId7" Type="http://schemas.openxmlformats.org/officeDocument/2006/relationships/hyperlink" Target="http://www.ons.gov.uk/ons/index.html" TargetMode="External"/><Relationship Id="rId12" Type="http://schemas.openxmlformats.org/officeDocument/2006/relationships/printerSettings" Target="../printerSettings/printerSettings2.bin"/><Relationship Id="rId17" Type="http://schemas.openxmlformats.org/officeDocument/2006/relationships/customProperty" Target="../customProperty5.bin"/><Relationship Id="rId25" Type="http://schemas.openxmlformats.org/officeDocument/2006/relationships/customProperty" Target="../customProperty13.bin"/><Relationship Id="rId2" Type="http://schemas.openxmlformats.org/officeDocument/2006/relationships/hyperlink" Target="http://www.abs.gov.au/ausstats/abs@.nsf/mf/3310.0" TargetMode="External"/><Relationship Id="rId16" Type="http://schemas.openxmlformats.org/officeDocument/2006/relationships/customProperty" Target="../customProperty4.bin"/><Relationship Id="rId20" Type="http://schemas.openxmlformats.org/officeDocument/2006/relationships/customProperty" Target="../customProperty8.bin"/><Relationship Id="rId1" Type="http://schemas.openxmlformats.org/officeDocument/2006/relationships/hyperlink" Target="http://ec.europa.eu/eurostat/web/population-demography-migration-projections/population-data/database" TargetMode="External"/><Relationship Id="rId6" Type="http://schemas.openxmlformats.org/officeDocument/2006/relationships/hyperlink" Target="http://kosis.kr/" TargetMode="External"/><Relationship Id="rId11" Type="http://schemas.openxmlformats.org/officeDocument/2006/relationships/hyperlink" Target="http://www5.statcan.gc.ca/" TargetMode="External"/><Relationship Id="rId24" Type="http://schemas.openxmlformats.org/officeDocument/2006/relationships/customProperty" Target="../customProperty12.bin"/><Relationship Id="rId5" Type="http://schemas.openxmlformats.org/officeDocument/2006/relationships/hyperlink" Target="http://www.stat.go.jp/english/data/kokusei/index.htm" TargetMode="External"/><Relationship Id="rId15" Type="http://schemas.openxmlformats.org/officeDocument/2006/relationships/customProperty" Target="../customProperty3.bin"/><Relationship Id="rId23" Type="http://schemas.openxmlformats.org/officeDocument/2006/relationships/customProperty" Target="../customProperty11.bin"/><Relationship Id="rId10" Type="http://schemas.openxmlformats.org/officeDocument/2006/relationships/hyperlink" Target="http://www3.inegi.org.mx/sistemas/temas/default.aspx?s=est&amp;c=17484" TargetMode="External"/><Relationship Id="rId19" Type="http://schemas.openxmlformats.org/officeDocument/2006/relationships/customProperty" Target="../customProperty7.bin"/><Relationship Id="rId4" Type="http://schemas.openxmlformats.org/officeDocument/2006/relationships/hyperlink" Target="http://www.stats.govt.nz/" TargetMode="External"/><Relationship Id="rId9" Type="http://schemas.openxmlformats.org/officeDocument/2006/relationships/hyperlink" Target="http://www.cbs.gov.il/reader/?MIval=cw_usr_view_SHTML&amp;ID=963" TargetMode="External"/><Relationship Id="rId14" Type="http://schemas.openxmlformats.org/officeDocument/2006/relationships/customProperty" Target="../customProperty2.bin"/><Relationship Id="rId22" Type="http://schemas.openxmlformats.org/officeDocument/2006/relationships/customProperty" Target="../customProperty10.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unstats.un.org/unsd/demographic-social/products/dyb/" TargetMode="External"/><Relationship Id="rId3" Type="http://schemas.openxmlformats.org/officeDocument/2006/relationships/hyperlink" Target="http://www.stat.go.jp/english/data/kokusei/index.htm" TargetMode="External"/><Relationship Id="rId7" Type="http://schemas.openxmlformats.org/officeDocument/2006/relationships/hyperlink" Target="http://www.cdc.gov/nchs/nvss/marriage_divorce_tables.htm" TargetMode="External"/><Relationship Id="rId2" Type="http://schemas.openxmlformats.org/officeDocument/2006/relationships/hyperlink" Target="http://www.un.org/esa/population/publications/WMD2008/WP_WMD_2008/Data.html" TargetMode="External"/><Relationship Id="rId1" Type="http://schemas.openxmlformats.org/officeDocument/2006/relationships/hyperlink" Target="http://www.abs.gov.au/ausstats/abs@.nsf/mf/3310.0" TargetMode="External"/><Relationship Id="rId6" Type="http://schemas.openxmlformats.org/officeDocument/2006/relationships/hyperlink" Target="http://www.cbs.gov.il/reader/?MIval=cw_usr_view_SHTML&amp;ID=963" TargetMode="External"/><Relationship Id="rId11" Type="http://schemas.openxmlformats.org/officeDocument/2006/relationships/drawing" Target="../drawings/drawing3.xml"/><Relationship Id="rId5" Type="http://schemas.openxmlformats.org/officeDocument/2006/relationships/hyperlink" Target="http://ec.europa.eu/eurostat/web/population-demography-migration-projections/population-data/database" TargetMode="External"/><Relationship Id="rId10" Type="http://schemas.openxmlformats.org/officeDocument/2006/relationships/printerSettings" Target="../printerSettings/printerSettings4.bin"/><Relationship Id="rId4" Type="http://schemas.openxmlformats.org/officeDocument/2006/relationships/hyperlink" Target="http://kosis.kr/" TargetMode="External"/><Relationship Id="rId9" Type="http://schemas.openxmlformats.org/officeDocument/2006/relationships/hyperlink" Target="https://www.ine.cl/estadisticas/sociales/seguridad-publica-y-justicia/estadisticas-judiciales" TargetMode="Externa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15.bin"/><Relationship Id="rId13" Type="http://schemas.openxmlformats.org/officeDocument/2006/relationships/customProperty" Target="../customProperty20.bin"/><Relationship Id="rId18" Type="http://schemas.openxmlformats.org/officeDocument/2006/relationships/customProperty" Target="../customProperty25.bin"/><Relationship Id="rId3" Type="http://schemas.openxmlformats.org/officeDocument/2006/relationships/hyperlink" Target="http://www.stats.govt.nz/" TargetMode="External"/><Relationship Id="rId7" Type="http://schemas.openxmlformats.org/officeDocument/2006/relationships/customProperty" Target="../customProperty14.bin"/><Relationship Id="rId12" Type="http://schemas.openxmlformats.org/officeDocument/2006/relationships/customProperty" Target="../customProperty19.bin"/><Relationship Id="rId17" Type="http://schemas.openxmlformats.org/officeDocument/2006/relationships/customProperty" Target="../customProperty24.bin"/><Relationship Id="rId2" Type="http://schemas.openxmlformats.org/officeDocument/2006/relationships/hyperlink" Target="http://www.abs.gov.au/ausstats/abs@.nsf/mf/3310.0" TargetMode="External"/><Relationship Id="rId16" Type="http://schemas.openxmlformats.org/officeDocument/2006/relationships/customProperty" Target="../customProperty23.bin"/><Relationship Id="rId20" Type="http://schemas.openxmlformats.org/officeDocument/2006/relationships/drawing" Target="../drawings/drawing4.xml"/><Relationship Id="rId1" Type="http://schemas.openxmlformats.org/officeDocument/2006/relationships/hyperlink" Target="http://ec.europa.eu/eurostat/web/population-demography-migration-projections/population-data/database" TargetMode="External"/><Relationship Id="rId6" Type="http://schemas.openxmlformats.org/officeDocument/2006/relationships/printerSettings" Target="../printerSettings/printerSettings5.bin"/><Relationship Id="rId11" Type="http://schemas.openxmlformats.org/officeDocument/2006/relationships/customProperty" Target="../customProperty18.bin"/><Relationship Id="rId5" Type="http://schemas.openxmlformats.org/officeDocument/2006/relationships/hyperlink" Target="https://www.mhlw.go.jp/english/database/db-hw/vs01.html" TargetMode="External"/><Relationship Id="rId15" Type="http://schemas.openxmlformats.org/officeDocument/2006/relationships/customProperty" Target="../customProperty22.bin"/><Relationship Id="rId10" Type="http://schemas.openxmlformats.org/officeDocument/2006/relationships/customProperty" Target="../customProperty17.bin"/><Relationship Id="rId19" Type="http://schemas.openxmlformats.org/officeDocument/2006/relationships/customProperty" Target="../customProperty26.bin"/><Relationship Id="rId4" Type="http://schemas.openxmlformats.org/officeDocument/2006/relationships/hyperlink" Target="https://kosis.kr/statHtml/statHtml.do?orgId=101&amp;tblId=DT_1B83A02&amp;vw_cd=MT_ETITLE&amp;list_id=A23&amp;scrId=&amp;language=en&amp;seqNo=&amp;lang_mode=en&amp;obj_var_id=&amp;itm_id=&amp;conn_path=MT_ETITLE&amp;path=%252Feng%252FstatisticsList%252FstatisticsListIndex.do" TargetMode="External"/><Relationship Id="rId9" Type="http://schemas.openxmlformats.org/officeDocument/2006/relationships/customProperty" Target="../customProperty16.bin"/><Relationship Id="rId14" Type="http://schemas.openxmlformats.org/officeDocument/2006/relationships/customProperty" Target="../customProperty21.bin"/></Relationships>
</file>

<file path=xl/worksheets/_rels/sheet6.xml.rels><?xml version="1.0" encoding="UTF-8" standalone="yes"?>
<Relationships xmlns="http://schemas.openxmlformats.org/package/2006/relationships"><Relationship Id="rId8" Type="http://schemas.openxmlformats.org/officeDocument/2006/relationships/hyperlink" Target="http://www.stats.govt.nz/" TargetMode="External"/><Relationship Id="rId13" Type="http://schemas.openxmlformats.org/officeDocument/2006/relationships/hyperlink" Target="https://www.statssa.gov.za/publications/P0307/P03072021.pdf" TargetMode="External"/><Relationship Id="rId3" Type="http://schemas.openxmlformats.org/officeDocument/2006/relationships/hyperlink" Target="http://kosis.kr/" TargetMode="External"/><Relationship Id="rId7" Type="http://schemas.openxmlformats.org/officeDocument/2006/relationships/hyperlink" Target="https://inec.cr/estadisticas-fuentes/anuarios-estadisticos" TargetMode="External"/><Relationship Id="rId12" Type="http://schemas.openxmlformats.org/officeDocument/2006/relationships/hyperlink" Target="https://www.stat.go.jp/english/data/nenkan/72nenkan/1431-02.html" TargetMode="External"/><Relationship Id="rId2" Type="http://schemas.openxmlformats.org/officeDocument/2006/relationships/hyperlink" Target="https://unstats.un.org/unsd/demographic-social/products/dyb/" TargetMode="External"/><Relationship Id="rId16" Type="http://schemas.openxmlformats.org/officeDocument/2006/relationships/printerSettings" Target="../printerSettings/printerSettings6.bin"/><Relationship Id="rId1" Type="http://schemas.openxmlformats.org/officeDocument/2006/relationships/hyperlink" Target="http://www.abs.gov.au/ausstats/abs@.nsf/mf/3310.0" TargetMode="External"/><Relationship Id="rId6" Type="http://schemas.openxmlformats.org/officeDocument/2006/relationships/hyperlink" Target="https://www.cbs.gov.il/en/publications/Pages/2023/Population-Statistical-Abstract-of-Israel-202-No-74.aspx" TargetMode="External"/><Relationship Id="rId11" Type="http://schemas.openxmlformats.org/officeDocument/2006/relationships/hyperlink" Target="https://www150.statcan.gc.ca/t1/tbl1/en/tv.action?pid=3910005501" TargetMode="External"/><Relationship Id="rId5" Type="http://schemas.openxmlformats.org/officeDocument/2006/relationships/hyperlink" Target="https://ec.europa.eu/eurostat/databrowser/view/demo_ndivind/default/table?lang=en" TargetMode="External"/><Relationship Id="rId15" Type="http://schemas.openxmlformats.org/officeDocument/2006/relationships/hyperlink" Target="https://www.gov.co/" TargetMode="External"/><Relationship Id="rId10" Type="http://schemas.openxmlformats.org/officeDocument/2006/relationships/hyperlink" Target="http://www.ine.cl/canales/chile_estadistico/familias/demograficas_vitales.php" TargetMode="External"/><Relationship Id="rId4" Type="http://schemas.openxmlformats.org/officeDocument/2006/relationships/hyperlink" Target="https://www.inegi.org.mx/temas/nupcialidad/" TargetMode="External"/><Relationship Id="rId9" Type="http://schemas.openxmlformats.org/officeDocument/2006/relationships/hyperlink" Target="https://www.cdc.gov/nchs/nvss/marriage-divorce.htm" TargetMode="External"/><Relationship Id="rId14" Type="http://schemas.openxmlformats.org/officeDocument/2006/relationships/hyperlink" Target="https://www.bfs.admin.ch/bfs/en/home/statistics/population/marriages-partnerships-divorces.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www.ine.cl/canales/chile_estadistico/familias/demograficas_vitales.php" TargetMode="External"/><Relationship Id="rId13" Type="http://schemas.openxmlformats.org/officeDocument/2006/relationships/printerSettings" Target="../printerSettings/printerSettings7.bin"/><Relationship Id="rId3" Type="http://schemas.openxmlformats.org/officeDocument/2006/relationships/hyperlink" Target="http://www.census.gov/en.html" TargetMode="External"/><Relationship Id="rId7" Type="http://schemas.openxmlformats.org/officeDocument/2006/relationships/hyperlink" Target="http://www.ons.gov.uk/ons/index.html" TargetMode="External"/><Relationship Id="rId12" Type="http://schemas.openxmlformats.org/officeDocument/2006/relationships/hyperlink" Target="https://www.census.gov/data/tables/time-series/demo/families/marital.html" TargetMode="External"/><Relationship Id="rId2" Type="http://schemas.openxmlformats.org/officeDocument/2006/relationships/hyperlink" Target="http://www.abs.gov.au/ausstats/abs@.nsf/mf/3310.0" TargetMode="External"/><Relationship Id="rId1" Type="http://schemas.openxmlformats.org/officeDocument/2006/relationships/hyperlink" Target="http://ec.europa.eu/eurostat/web/population-demography-migration-projections/population-data/database" TargetMode="External"/><Relationship Id="rId6" Type="http://schemas.openxmlformats.org/officeDocument/2006/relationships/hyperlink" Target="http://kosis.kr/" TargetMode="External"/><Relationship Id="rId11" Type="http://schemas.openxmlformats.org/officeDocument/2006/relationships/hyperlink" Target="http://www5.statcan.gc.ca/" TargetMode="External"/><Relationship Id="rId5" Type="http://schemas.openxmlformats.org/officeDocument/2006/relationships/hyperlink" Target="https://www.stat.go.jp/english/data/handbook/index.html" TargetMode="External"/><Relationship Id="rId10" Type="http://schemas.openxmlformats.org/officeDocument/2006/relationships/hyperlink" Target="http://www3.inegi.org.mx/sistemas/temas/default.aspx?s=est&amp;c=17484" TargetMode="External"/><Relationship Id="rId4" Type="http://schemas.openxmlformats.org/officeDocument/2006/relationships/hyperlink" Target="http://www.stats.govt.nz/" TargetMode="External"/><Relationship Id="rId9" Type="http://schemas.openxmlformats.org/officeDocument/2006/relationships/hyperlink" Target="http://www.cbs.gov.il/reader/?MIval=cw_usr_view_SHTML&amp;ID=96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150.statcan.gc.ca/t1/tbl1/en/tv.action?pid=3910005101&amp;pickMembers%5B0%5D=1.1&amp;cubeTimeFrame.startYear=2008&amp;cubeTimeFrame.endYear=2010&amp;referencePeriods=20080101%2C20100101" TargetMode="External"/><Relationship Id="rId13" Type="http://schemas.openxmlformats.org/officeDocument/2006/relationships/printerSettings" Target="../printerSettings/printerSettings8.bin"/><Relationship Id="rId3" Type="http://schemas.openxmlformats.org/officeDocument/2006/relationships/hyperlink" Target="https://www.stat.go.jp/english/data/nenkan/70nenkan/1431-02.html" TargetMode="External"/><Relationship Id="rId7" Type="http://schemas.openxmlformats.org/officeDocument/2006/relationships/hyperlink" Target="https://www.cdc.gov/nchs/nvss/marriage-divorce.htm" TargetMode="External"/><Relationship Id="rId12" Type="http://schemas.openxmlformats.org/officeDocument/2006/relationships/hyperlink" Target="https://www.inegi.org.mx/contenidos/saladeprensa/boletines/2022/EstDiv/Divorcios2021.pdf" TargetMode="External"/><Relationship Id="rId2" Type="http://schemas.openxmlformats.org/officeDocument/2006/relationships/hyperlink" Target="http://www.un.org/esa/population/publications/WMD2008/WP_WMD_2008/Data.html" TargetMode="External"/><Relationship Id="rId1" Type="http://schemas.openxmlformats.org/officeDocument/2006/relationships/hyperlink" Target="http://www.abs.gov.au/ausstats/abs@.nsf/mf/3310.0" TargetMode="External"/><Relationship Id="rId6" Type="http://schemas.openxmlformats.org/officeDocument/2006/relationships/hyperlink" Target="http://www.cbs.gov.il/reader/?MIval=cw_usr_view_SHTML&amp;ID=963" TargetMode="External"/><Relationship Id="rId11" Type="http://schemas.openxmlformats.org/officeDocument/2006/relationships/hyperlink" Target="https://www.gov.co/" TargetMode="External"/><Relationship Id="rId5" Type="http://schemas.openxmlformats.org/officeDocument/2006/relationships/hyperlink" Target="https://ec.europa.eu/eurostat/databrowser/view/demo_ndivind/default/table?lang=en" TargetMode="External"/><Relationship Id="rId10" Type="http://schemas.openxmlformats.org/officeDocument/2006/relationships/hyperlink" Target="https://www.ine.cl/estadisticas/sociales/seguridad-publica-y-justicia/estadisticas-judiciales" TargetMode="External"/><Relationship Id="rId4" Type="http://schemas.openxmlformats.org/officeDocument/2006/relationships/hyperlink" Target="http://kosis.kr/" TargetMode="External"/><Relationship Id="rId9" Type="http://schemas.openxmlformats.org/officeDocument/2006/relationships/hyperlink" Target="https://unstats.un.org/unsd/demographic-social/products/dyb/dyb_202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www.stats.govt.nz/" TargetMode="External"/><Relationship Id="rId2" Type="http://schemas.openxmlformats.org/officeDocument/2006/relationships/hyperlink" Target="http://www.abs.gov.au/ausstats/abs@.nsf/mf/3310.0" TargetMode="External"/><Relationship Id="rId1" Type="http://schemas.openxmlformats.org/officeDocument/2006/relationships/hyperlink" Target="http://ec.europa.eu/eurostat/web/population-demography-migration-projections/population-data/database" TargetMode="External"/><Relationship Id="rId6" Type="http://schemas.openxmlformats.org/officeDocument/2006/relationships/printerSettings" Target="../printerSettings/printerSettings9.bin"/><Relationship Id="rId5" Type="http://schemas.openxmlformats.org/officeDocument/2006/relationships/hyperlink" Target="https://kosis.kr/statHtml/statHtml.do?orgId=101&amp;tblId=DT_1B83A02&amp;vw_cd=MT_ETITLE&amp;list_id=A23&amp;scrId=&amp;language=en&amp;seqNo=&amp;lang_mode=en&amp;obj_var_id=&amp;itm_id=&amp;conn_path=MT_ETITLE&amp;path=%252Feng%252FstatisticsList%252FstatisticsListIndex.do" TargetMode="External"/><Relationship Id="rId4" Type="http://schemas.openxmlformats.org/officeDocument/2006/relationships/hyperlink" Target="http://www5.statcan.g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DA885-92C0-45EC-87D9-D17802D93436}">
  <sheetPr>
    <pageSetUpPr fitToPage="1"/>
  </sheetPr>
  <dimension ref="A1:R103"/>
  <sheetViews>
    <sheetView showGridLines="0" tabSelected="1" zoomScale="85" zoomScaleNormal="85" workbookViewId="0">
      <selection sqref="A1:I1"/>
    </sheetView>
  </sheetViews>
  <sheetFormatPr defaultColWidth="9.140625" defaultRowHeight="13.5"/>
  <cols>
    <col min="1" max="1" width="15.85546875" style="98" bestFit="1" customWidth="1"/>
    <col min="2" max="11" width="9.140625" style="98"/>
    <col min="12" max="12" width="14.28515625" style="98" customWidth="1"/>
    <col min="13" max="13" width="16.42578125" style="98" customWidth="1"/>
    <col min="14" max="14" width="16.42578125" style="104" customWidth="1"/>
    <col min="15" max="15" width="16.42578125" style="98" customWidth="1"/>
    <col min="16" max="16" width="10.42578125" style="196" customWidth="1"/>
    <col min="17" max="17" width="5.7109375" style="33" customWidth="1"/>
    <col min="18" max="18" width="9.140625" style="239"/>
    <col min="19" max="16384" width="9.140625" style="85"/>
  </cols>
  <sheetData>
    <row r="1" spans="1:18" ht="16.5" customHeight="1">
      <c r="A1" s="391" t="s">
        <v>188</v>
      </c>
      <c r="B1" s="391"/>
      <c r="C1" s="391"/>
      <c r="D1" s="391"/>
      <c r="E1" s="391"/>
      <c r="F1" s="391"/>
      <c r="G1" s="391"/>
      <c r="H1" s="391"/>
      <c r="I1" s="391"/>
      <c r="J1" s="83"/>
      <c r="K1" s="84"/>
      <c r="L1" s="154"/>
      <c r="M1" s="154"/>
      <c r="N1" s="154"/>
      <c r="O1" s="154"/>
    </row>
    <row r="2" spans="1:18" ht="16.5" customHeight="1">
      <c r="A2" s="161" t="s">
        <v>67</v>
      </c>
      <c r="B2" s="161"/>
      <c r="C2" s="161"/>
      <c r="D2" s="161"/>
      <c r="E2" s="161"/>
      <c r="F2" s="161"/>
      <c r="G2" s="161"/>
      <c r="H2" s="161"/>
      <c r="I2" s="161"/>
      <c r="J2" s="83"/>
      <c r="K2" s="84"/>
      <c r="L2" s="152"/>
      <c r="M2" s="157"/>
      <c r="N2" s="157"/>
      <c r="O2" s="157"/>
    </row>
    <row r="3" spans="1:18">
      <c r="A3" s="160"/>
      <c r="B3" s="160"/>
      <c r="C3" s="160"/>
      <c r="D3" s="160"/>
      <c r="E3" s="160"/>
      <c r="F3" s="160"/>
      <c r="G3" s="160"/>
      <c r="H3" s="160"/>
      <c r="I3" s="160"/>
      <c r="J3" s="86"/>
      <c r="K3" s="84"/>
      <c r="L3" s="155"/>
      <c r="M3" s="155"/>
      <c r="N3" s="155"/>
      <c r="O3" s="155"/>
    </row>
    <row r="4" spans="1:18" ht="12.75" customHeight="1">
      <c r="A4" s="86"/>
      <c r="B4" s="86"/>
      <c r="C4" s="86"/>
      <c r="D4" s="86"/>
      <c r="E4" s="86"/>
      <c r="F4" s="86"/>
      <c r="G4" s="86"/>
      <c r="H4" s="86"/>
      <c r="I4" s="86"/>
      <c r="J4" s="86"/>
      <c r="K4" s="84"/>
      <c r="L4" s="153"/>
      <c r="M4" s="156"/>
      <c r="N4" s="156"/>
      <c r="O4" s="156"/>
    </row>
    <row r="5" spans="1:18">
      <c r="A5" s="86"/>
      <c r="B5" s="86"/>
      <c r="C5" s="86"/>
      <c r="D5" s="86"/>
      <c r="E5" s="86"/>
      <c r="F5" s="86"/>
      <c r="G5" s="86"/>
      <c r="H5" s="86"/>
      <c r="I5" s="86"/>
      <c r="J5" s="86"/>
      <c r="K5" s="84"/>
      <c r="L5" s="87"/>
      <c r="M5" s="88">
        <v>1970</v>
      </c>
      <c r="N5" s="88">
        <v>1995</v>
      </c>
      <c r="O5" s="88">
        <v>2019</v>
      </c>
      <c r="P5" s="88" t="s">
        <v>187</v>
      </c>
    </row>
    <row r="6" spans="1:18">
      <c r="A6" s="89"/>
      <c r="B6" s="89"/>
      <c r="C6" s="89"/>
      <c r="D6" s="89"/>
      <c r="E6" s="89"/>
      <c r="F6" s="89"/>
      <c r="G6" s="89"/>
      <c r="H6" s="89"/>
      <c r="I6" s="89"/>
      <c r="J6" s="89"/>
      <c r="K6" s="76"/>
      <c r="L6" s="112" t="s">
        <v>5</v>
      </c>
      <c r="M6" s="113">
        <v>8.6</v>
      </c>
      <c r="N6" s="113">
        <v>10.199999999999999</v>
      </c>
      <c r="O6" s="52">
        <v>8.9</v>
      </c>
      <c r="P6" s="240"/>
      <c r="R6" s="272"/>
    </row>
    <row r="7" spans="1:18">
      <c r="A7" s="89"/>
      <c r="B7" s="89"/>
      <c r="C7" s="89"/>
      <c r="D7" s="89"/>
      <c r="E7" s="89"/>
      <c r="F7" s="89"/>
      <c r="G7" s="89"/>
      <c r="H7" s="89"/>
      <c r="I7" s="89"/>
      <c r="J7" s="89"/>
      <c r="K7" s="76"/>
      <c r="L7" s="90" t="s">
        <v>189</v>
      </c>
      <c r="M7" s="91"/>
      <c r="N7" s="91"/>
      <c r="O7" s="121">
        <v>6.6</v>
      </c>
      <c r="P7" s="238">
        <v>6.8</v>
      </c>
      <c r="R7" s="272"/>
    </row>
    <row r="8" spans="1:18">
      <c r="A8" s="89"/>
      <c r="B8" s="89"/>
      <c r="C8" s="89"/>
      <c r="D8" s="89"/>
      <c r="E8" s="89"/>
      <c r="F8" s="89"/>
      <c r="G8" s="89"/>
      <c r="H8" s="89"/>
      <c r="I8" s="89"/>
      <c r="J8" s="89"/>
      <c r="K8" s="76"/>
      <c r="L8" s="20" t="s">
        <v>29</v>
      </c>
      <c r="M8" s="19">
        <v>9.3000000000000007</v>
      </c>
      <c r="N8" s="19">
        <v>5.2</v>
      </c>
      <c r="O8" s="52">
        <v>6.7</v>
      </c>
      <c r="P8" s="240">
        <v>6.6</v>
      </c>
      <c r="R8" s="272"/>
    </row>
    <row r="9" spans="1:18">
      <c r="A9" s="89"/>
      <c r="B9" s="89"/>
      <c r="C9" s="89"/>
      <c r="D9" s="89"/>
      <c r="E9" s="89"/>
      <c r="F9" s="89"/>
      <c r="G9" s="89"/>
      <c r="H9" s="89"/>
      <c r="I9" s="89"/>
      <c r="J9" s="89"/>
      <c r="K9" s="76"/>
      <c r="L9" s="321" t="s">
        <v>4</v>
      </c>
      <c r="M9" s="322">
        <v>10.199999999999999</v>
      </c>
      <c r="N9" s="322">
        <v>4.5</v>
      </c>
      <c r="O9" s="51">
        <v>6.7</v>
      </c>
      <c r="P9" s="323">
        <v>6.3</v>
      </c>
      <c r="R9" s="272"/>
    </row>
    <row r="10" spans="1:18">
      <c r="A10" s="89"/>
      <c r="B10" s="89"/>
      <c r="C10" s="89"/>
      <c r="D10" s="89"/>
      <c r="E10" s="89"/>
      <c r="F10" s="89"/>
      <c r="G10" s="89"/>
      <c r="H10" s="89"/>
      <c r="I10" s="89"/>
      <c r="J10" s="89"/>
      <c r="K10" s="76"/>
      <c r="L10" s="20" t="s">
        <v>8</v>
      </c>
      <c r="M10" s="19">
        <v>10.622199999999999</v>
      </c>
      <c r="N10" s="19">
        <v>8.9</v>
      </c>
      <c r="O10" s="52">
        <v>6.1</v>
      </c>
      <c r="P10" s="240">
        <v>6.2</v>
      </c>
      <c r="R10" s="272"/>
    </row>
    <row r="11" spans="1:18">
      <c r="A11" s="89"/>
      <c r="B11" s="89"/>
      <c r="C11" s="89"/>
      <c r="D11" s="89"/>
      <c r="E11" s="89"/>
      <c r="F11" s="89"/>
      <c r="G11" s="89"/>
      <c r="H11" s="89"/>
      <c r="I11" s="89"/>
      <c r="J11" s="89"/>
      <c r="K11" s="76"/>
      <c r="L11" s="321" t="s">
        <v>1</v>
      </c>
      <c r="M11" s="322">
        <v>7.2</v>
      </c>
      <c r="N11" s="322">
        <v>6.8</v>
      </c>
      <c r="O11" s="51">
        <v>6.6</v>
      </c>
      <c r="P11" s="323">
        <v>6.2</v>
      </c>
      <c r="R11" s="272"/>
    </row>
    <row r="12" spans="1:18">
      <c r="A12" s="89"/>
      <c r="B12" s="89"/>
      <c r="C12" s="89"/>
      <c r="D12" s="89"/>
      <c r="E12" s="89"/>
      <c r="F12" s="89"/>
      <c r="G12" s="89"/>
      <c r="H12" s="89"/>
      <c r="I12" s="89"/>
      <c r="J12" s="89"/>
      <c r="K12" s="76"/>
      <c r="L12" s="20" t="s">
        <v>3</v>
      </c>
      <c r="M12" s="19">
        <v>9.5</v>
      </c>
      <c r="N12" s="19">
        <v>6.1</v>
      </c>
      <c r="O12" s="52">
        <v>7</v>
      </c>
      <c r="P12" s="240">
        <v>5.7</v>
      </c>
      <c r="R12" s="272"/>
    </row>
    <row r="13" spans="1:18">
      <c r="A13" s="89"/>
      <c r="B13" s="89"/>
      <c r="C13" s="89"/>
      <c r="D13" s="89"/>
      <c r="E13" s="89"/>
      <c r="F13" s="89"/>
      <c r="G13" s="89"/>
      <c r="H13" s="89"/>
      <c r="I13" s="89"/>
      <c r="J13" s="89"/>
      <c r="K13" s="76"/>
      <c r="L13" s="321" t="s">
        <v>26</v>
      </c>
      <c r="M13" s="322">
        <v>8.9418000000000006</v>
      </c>
      <c r="N13" s="322">
        <v>6.5</v>
      </c>
      <c r="O13" s="51">
        <v>5.3</v>
      </c>
      <c r="P13" s="324">
        <v>5.4591135089389615</v>
      </c>
      <c r="R13" s="272"/>
    </row>
    <row r="14" spans="1:18">
      <c r="A14" s="89"/>
      <c r="B14" s="89"/>
      <c r="C14" s="89"/>
      <c r="D14" s="89"/>
      <c r="E14" s="89"/>
      <c r="F14" s="89"/>
      <c r="G14" s="89"/>
      <c r="H14" s="89"/>
      <c r="I14" s="89"/>
      <c r="J14" s="89"/>
      <c r="K14" s="76"/>
      <c r="L14" s="20" t="s">
        <v>15</v>
      </c>
      <c r="M14" s="19">
        <v>7.9</v>
      </c>
      <c r="N14" s="19">
        <v>5.0999999999999996</v>
      </c>
      <c r="O14" s="52">
        <v>5.4</v>
      </c>
      <c r="P14" s="240">
        <v>5.4</v>
      </c>
      <c r="R14" s="272"/>
    </row>
    <row r="15" spans="1:18">
      <c r="A15" s="89"/>
      <c r="B15" s="89"/>
      <c r="C15" s="89"/>
      <c r="D15" s="89"/>
      <c r="E15" s="89"/>
      <c r="F15" s="89"/>
      <c r="G15" s="89"/>
      <c r="H15" s="89"/>
      <c r="I15" s="89"/>
      <c r="J15" s="89"/>
      <c r="K15" s="76"/>
      <c r="L15" s="321" t="s">
        <v>35</v>
      </c>
      <c r="M15" s="322">
        <v>7.4</v>
      </c>
      <c r="N15" s="322">
        <v>6.6</v>
      </c>
      <c r="O15" s="51">
        <v>5.3</v>
      </c>
      <c r="P15" s="324">
        <v>5.34</v>
      </c>
      <c r="R15" s="272"/>
    </row>
    <row r="16" spans="1:18">
      <c r="A16" s="89"/>
      <c r="B16" s="89"/>
      <c r="C16" s="89"/>
      <c r="D16" s="89"/>
      <c r="E16" s="89"/>
      <c r="F16" s="89"/>
      <c r="G16" s="89"/>
      <c r="H16" s="89"/>
      <c r="I16" s="89"/>
      <c r="J16" s="89"/>
      <c r="K16" s="76"/>
      <c r="L16" s="20" t="s">
        <v>34</v>
      </c>
      <c r="M16" s="19">
        <v>9.1</v>
      </c>
      <c r="N16" s="19">
        <v>4.9000000000000004</v>
      </c>
      <c r="O16" s="52">
        <v>5</v>
      </c>
      <c r="P16" s="240">
        <v>5.3</v>
      </c>
      <c r="R16" s="272"/>
    </row>
    <row r="17" spans="1:18">
      <c r="A17" s="89"/>
      <c r="B17" s="89"/>
      <c r="C17" s="89"/>
      <c r="D17" s="89"/>
      <c r="E17" s="89"/>
      <c r="F17" s="89"/>
      <c r="G17" s="89"/>
      <c r="H17" s="89"/>
      <c r="I17" s="89"/>
      <c r="J17" s="89"/>
      <c r="K17" s="76"/>
      <c r="L17" s="321" t="s">
        <v>39</v>
      </c>
      <c r="M17" s="322">
        <v>7.1</v>
      </c>
      <c r="N17" s="322">
        <v>5.4</v>
      </c>
      <c r="O17" s="51">
        <v>5.2</v>
      </c>
      <c r="P17" s="324">
        <v>5.24</v>
      </c>
      <c r="R17" s="272"/>
    </row>
    <row r="18" spans="1:18">
      <c r="A18" s="89"/>
      <c r="B18" s="89"/>
      <c r="C18" s="89"/>
      <c r="D18" s="89"/>
      <c r="E18" s="89"/>
      <c r="F18" s="89"/>
      <c r="G18" s="89"/>
      <c r="H18" s="89"/>
      <c r="I18" s="89"/>
      <c r="J18" s="89"/>
      <c r="K18" s="76"/>
      <c r="L18" s="20" t="s">
        <v>191</v>
      </c>
      <c r="M18" s="19">
        <v>9.1999999999999993</v>
      </c>
      <c r="N18" s="19">
        <v>5.3</v>
      </c>
      <c r="O18" s="52">
        <v>5.0999999999999996</v>
      </c>
      <c r="P18" s="240">
        <v>5.0999999999999996</v>
      </c>
      <c r="R18" s="272"/>
    </row>
    <row r="19" spans="1:18">
      <c r="A19" s="392" t="s">
        <v>239</v>
      </c>
      <c r="B19" s="392"/>
      <c r="C19" s="392"/>
      <c r="D19" s="392"/>
      <c r="E19" s="392"/>
      <c r="F19" s="392"/>
      <c r="G19" s="392"/>
      <c r="H19" s="392"/>
      <c r="I19" s="392"/>
      <c r="J19" s="76"/>
      <c r="K19" s="76"/>
      <c r="L19" s="321" t="s">
        <v>28</v>
      </c>
      <c r="M19" s="322">
        <v>7.8</v>
      </c>
      <c r="N19" s="322">
        <v>4.5999999999999996</v>
      </c>
      <c r="O19" s="51">
        <v>5.8</v>
      </c>
      <c r="P19" s="323">
        <v>5</v>
      </c>
      <c r="R19" s="272"/>
    </row>
    <row r="20" spans="1:18" ht="12.75" customHeight="1">
      <c r="A20" s="392"/>
      <c r="B20" s="392"/>
      <c r="C20" s="392"/>
      <c r="D20" s="392"/>
      <c r="E20" s="392"/>
      <c r="F20" s="392"/>
      <c r="G20" s="392"/>
      <c r="H20" s="392"/>
      <c r="I20" s="392"/>
      <c r="J20" s="84"/>
      <c r="K20" s="84"/>
      <c r="L20" s="20" t="s">
        <v>40</v>
      </c>
      <c r="M20" s="19">
        <v>9.2797999999999998</v>
      </c>
      <c r="N20" s="19">
        <v>6.1</v>
      </c>
      <c r="O20" s="52">
        <v>4.5</v>
      </c>
      <c r="P20" s="241">
        <v>4.8899999999999997</v>
      </c>
      <c r="R20" s="272"/>
    </row>
    <row r="21" spans="1:18" ht="12.75" customHeight="1">
      <c r="A21" s="392"/>
      <c r="B21" s="392"/>
      <c r="C21" s="392"/>
      <c r="D21" s="392"/>
      <c r="E21" s="392"/>
      <c r="F21" s="392"/>
      <c r="G21" s="392"/>
      <c r="H21" s="392"/>
      <c r="I21" s="392"/>
      <c r="J21" s="76"/>
      <c r="K21" s="76"/>
      <c r="L21" s="321" t="s">
        <v>2</v>
      </c>
      <c r="M21" s="322">
        <v>7.9</v>
      </c>
      <c r="N21" s="322">
        <v>6.3</v>
      </c>
      <c r="O21" s="51">
        <v>5.3</v>
      </c>
      <c r="P21" s="323">
        <v>4.8</v>
      </c>
      <c r="R21" s="272"/>
    </row>
    <row r="22" spans="1:18" ht="12.75" customHeight="1">
      <c r="A22" s="235"/>
      <c r="B22" s="235"/>
      <c r="C22" s="235"/>
      <c r="D22" s="235"/>
      <c r="E22" s="235"/>
      <c r="F22" s="235"/>
      <c r="G22" s="235"/>
      <c r="H22" s="235"/>
      <c r="I22" s="235"/>
      <c r="J22" s="76"/>
      <c r="K22" s="76"/>
      <c r="L22" s="20" t="s">
        <v>31</v>
      </c>
      <c r="M22" s="19">
        <v>7.4</v>
      </c>
      <c r="N22" s="19">
        <v>5.3</v>
      </c>
      <c r="O22" s="52">
        <v>5</v>
      </c>
      <c r="P22" s="240">
        <v>4.7</v>
      </c>
      <c r="R22" s="272"/>
    </row>
    <row r="23" spans="1:18" ht="12.75" customHeight="1">
      <c r="A23" s="93" t="s">
        <v>104</v>
      </c>
      <c r="B23" s="235"/>
      <c r="C23" s="235"/>
      <c r="D23" s="235"/>
      <c r="E23" s="235"/>
      <c r="F23" s="105"/>
      <c r="G23" s="105"/>
      <c r="H23" s="105"/>
      <c r="I23" s="105"/>
      <c r="J23" s="76"/>
      <c r="K23" s="76"/>
      <c r="L23" s="321" t="s">
        <v>11</v>
      </c>
      <c r="M23" s="322">
        <v>7.6</v>
      </c>
      <c r="N23" s="322">
        <v>5.8</v>
      </c>
      <c r="O23" s="51">
        <v>4.5</v>
      </c>
      <c r="P23" s="323">
        <v>4.7</v>
      </c>
      <c r="R23" s="272"/>
    </row>
    <row r="24" spans="1:18" ht="12.75" customHeight="1">
      <c r="A24" s="94" t="s">
        <v>59</v>
      </c>
      <c r="B24" s="235"/>
      <c r="C24" s="235"/>
      <c r="D24" s="235"/>
      <c r="E24" s="94"/>
      <c r="F24" s="105"/>
      <c r="G24" s="105"/>
      <c r="H24" s="105"/>
      <c r="I24" s="105"/>
      <c r="J24" s="76"/>
      <c r="K24" s="76"/>
      <c r="L24" s="20" t="s">
        <v>6</v>
      </c>
      <c r="M24" s="19">
        <v>8.5</v>
      </c>
      <c r="N24" s="19">
        <v>5.3</v>
      </c>
      <c r="O24" s="52">
        <v>4.9000000000000004</v>
      </c>
      <c r="P24" s="240">
        <v>4.7</v>
      </c>
      <c r="R24" s="272"/>
    </row>
    <row r="25" spans="1:18" ht="12.75" customHeight="1">
      <c r="A25" s="47" t="s">
        <v>60</v>
      </c>
      <c r="B25" s="95"/>
      <c r="C25" s="96"/>
      <c r="D25" s="96"/>
      <c r="E25" s="47"/>
      <c r="F25" s="105"/>
      <c r="G25" s="105"/>
      <c r="H25" s="105"/>
      <c r="I25" s="105"/>
      <c r="J25" s="76"/>
      <c r="K25" s="76"/>
      <c r="L25" s="325" t="s">
        <v>193</v>
      </c>
      <c r="M25" s="326">
        <v>8.104000000000001</v>
      </c>
      <c r="N25" s="326">
        <v>5.267999999999998</v>
      </c>
      <c r="O25" s="327">
        <v>4.74</v>
      </c>
      <c r="P25" s="328">
        <v>4.6032000000000002</v>
      </c>
      <c r="R25" s="272"/>
    </row>
    <row r="26" spans="1:18" ht="12.75" customHeight="1">
      <c r="A26" s="109" t="s">
        <v>81</v>
      </c>
      <c r="B26" s="105"/>
      <c r="C26" s="105"/>
      <c r="D26" s="105"/>
      <c r="E26" s="109"/>
      <c r="F26" s="105"/>
      <c r="G26" s="105"/>
      <c r="H26" s="105"/>
      <c r="I26" s="105"/>
      <c r="J26" s="76"/>
      <c r="K26" s="76"/>
      <c r="L26" s="20" t="s">
        <v>12</v>
      </c>
      <c r="M26" s="19">
        <v>5.4</v>
      </c>
      <c r="N26" s="19">
        <v>3.8</v>
      </c>
      <c r="O26" s="52">
        <v>4.7</v>
      </c>
      <c r="P26" s="240">
        <v>4.5999999999999996</v>
      </c>
      <c r="R26" s="272"/>
    </row>
    <row r="27" spans="1:18" ht="12.75" customHeight="1">
      <c r="A27" s="47" t="s">
        <v>84</v>
      </c>
      <c r="B27" s="105"/>
      <c r="C27" s="105"/>
      <c r="D27" s="105"/>
      <c r="E27" s="47"/>
      <c r="F27" s="105"/>
      <c r="G27" s="105"/>
      <c r="H27" s="105"/>
      <c r="I27" s="105"/>
      <c r="J27" s="76"/>
      <c r="K27" s="76"/>
      <c r="L27" s="321" t="s">
        <v>72</v>
      </c>
      <c r="M27" s="322">
        <v>6.2506201574562059</v>
      </c>
      <c r="N27" s="322">
        <v>7.0805226413960591</v>
      </c>
      <c r="O27" s="51">
        <v>4.4824526210000002</v>
      </c>
      <c r="P27" s="324">
        <v>4.3899999999999997</v>
      </c>
      <c r="R27" s="272"/>
    </row>
    <row r="28" spans="1:18" ht="12.75" customHeight="1">
      <c r="A28" s="109" t="s">
        <v>82</v>
      </c>
      <c r="B28" s="105"/>
      <c r="C28" s="105"/>
      <c r="D28" s="105"/>
      <c r="E28" s="109"/>
      <c r="F28" s="105"/>
      <c r="G28" s="105"/>
      <c r="H28" s="105"/>
      <c r="I28" s="105"/>
      <c r="J28" s="76"/>
      <c r="K28" s="76"/>
      <c r="L28" s="175" t="s">
        <v>192</v>
      </c>
      <c r="M28" s="329">
        <v>8.2644748616416059</v>
      </c>
      <c r="N28" s="329">
        <v>5.6485292183256011</v>
      </c>
      <c r="O28" s="168">
        <v>4.579030882984843</v>
      </c>
      <c r="P28" s="330">
        <v>4.3428318145411113</v>
      </c>
      <c r="R28" s="272"/>
    </row>
    <row r="29" spans="1:18" ht="12.75" customHeight="1">
      <c r="A29" s="32" t="s">
        <v>47</v>
      </c>
      <c r="B29" s="105"/>
      <c r="C29" s="105"/>
      <c r="D29" s="97"/>
      <c r="E29" s="32"/>
      <c r="F29" s="105"/>
      <c r="G29" s="105"/>
      <c r="H29" s="105"/>
      <c r="I29" s="105"/>
      <c r="J29" s="76"/>
      <c r="K29" s="76"/>
      <c r="L29" s="321" t="s">
        <v>24</v>
      </c>
      <c r="M29" s="322">
        <v>10</v>
      </c>
      <c r="N29" s="322">
        <v>6.4</v>
      </c>
      <c r="O29" s="51">
        <v>4.8</v>
      </c>
      <c r="P29" s="323">
        <v>4.0999999999999996</v>
      </c>
      <c r="R29" s="272"/>
    </row>
    <row r="30" spans="1:18" ht="12.75" customHeight="1">
      <c r="A30" s="32" t="s">
        <v>65</v>
      </c>
      <c r="B30" s="105"/>
      <c r="C30" s="105"/>
      <c r="D30" s="97"/>
      <c r="E30" s="32"/>
      <c r="F30" s="105"/>
      <c r="G30" s="105"/>
      <c r="H30" s="105"/>
      <c r="I30" s="105"/>
      <c r="J30" s="76"/>
      <c r="K30" s="76"/>
      <c r="L30" s="20" t="s">
        <v>17</v>
      </c>
      <c r="M30" s="19">
        <v>8.6</v>
      </c>
      <c r="N30" s="19">
        <v>5.4</v>
      </c>
      <c r="O30" s="52">
        <v>4.8</v>
      </c>
      <c r="P30" s="240">
        <v>4.2</v>
      </c>
      <c r="R30" s="272"/>
    </row>
    <row r="31" spans="1:18" ht="13.5" customHeight="1">
      <c r="A31" s="32" t="s">
        <v>66</v>
      </c>
      <c r="B31" s="105"/>
      <c r="C31" s="105"/>
      <c r="D31" s="97"/>
      <c r="E31" s="32"/>
      <c r="F31" s="105"/>
      <c r="G31" s="105"/>
      <c r="H31" s="105"/>
      <c r="I31" s="105"/>
      <c r="J31" s="76"/>
      <c r="K31" s="76"/>
      <c r="L31" s="321" t="s">
        <v>30</v>
      </c>
      <c r="M31" s="322">
        <v>7.7</v>
      </c>
      <c r="N31" s="322">
        <v>6</v>
      </c>
      <c r="O31" s="51">
        <v>4.4000000000000004</v>
      </c>
      <c r="P31" s="323">
        <v>4.2</v>
      </c>
      <c r="R31" s="272"/>
    </row>
    <row r="32" spans="1:18" ht="13.5" customHeight="1">
      <c r="A32" s="32" t="s">
        <v>64</v>
      </c>
      <c r="B32" s="105"/>
      <c r="C32" s="105"/>
      <c r="D32" s="97"/>
      <c r="E32" s="32"/>
      <c r="F32" s="105"/>
      <c r="G32" s="105"/>
      <c r="H32" s="105"/>
      <c r="I32" s="105"/>
      <c r="J32" s="76"/>
      <c r="K32" s="76"/>
      <c r="L32" s="20" t="s">
        <v>38</v>
      </c>
      <c r="M32" s="19">
        <v>7.6</v>
      </c>
      <c r="N32" s="19">
        <v>5.0999999999999996</v>
      </c>
      <c r="O32" s="52">
        <v>3.9</v>
      </c>
      <c r="P32" s="240">
        <v>4.2</v>
      </c>
      <c r="R32" s="272"/>
    </row>
    <row r="33" spans="1:18" ht="13.5" customHeight="1">
      <c r="A33" s="32" t="s">
        <v>83</v>
      </c>
      <c r="B33" s="39"/>
      <c r="C33" s="39"/>
      <c r="D33" s="102"/>
      <c r="E33" s="32"/>
      <c r="F33" s="110"/>
      <c r="G33" s="99"/>
      <c r="H33" s="99"/>
      <c r="I33" s="99"/>
      <c r="J33" s="76"/>
      <c r="K33" s="76"/>
      <c r="L33" s="321" t="s">
        <v>20</v>
      </c>
      <c r="M33" s="322">
        <v>9.5</v>
      </c>
      <c r="N33" s="322">
        <v>5.3</v>
      </c>
      <c r="O33" s="51">
        <v>3.7</v>
      </c>
      <c r="P33" s="323">
        <v>4</v>
      </c>
      <c r="R33" s="272"/>
    </row>
    <row r="34" spans="1:18">
      <c r="A34" s="109" t="s">
        <v>61</v>
      </c>
      <c r="B34" s="106"/>
      <c r="C34" s="110"/>
      <c r="D34" s="110"/>
      <c r="E34" s="109"/>
      <c r="F34" s="110"/>
      <c r="G34" s="99"/>
      <c r="H34" s="99"/>
      <c r="I34" s="99"/>
      <c r="J34" s="76"/>
      <c r="K34" s="76"/>
      <c r="L34" s="20" t="s">
        <v>33</v>
      </c>
      <c r="M34" s="19">
        <v>8.8000000000000007</v>
      </c>
      <c r="N34" s="19">
        <v>4.5999999999999996</v>
      </c>
      <c r="O34" s="52">
        <v>4</v>
      </c>
      <c r="P34" s="240">
        <v>3.9</v>
      </c>
      <c r="R34" s="272"/>
    </row>
    <row r="35" spans="1:18">
      <c r="A35" s="100" t="s">
        <v>62</v>
      </c>
      <c r="B35" s="106"/>
      <c r="C35" s="110"/>
      <c r="D35" s="110"/>
      <c r="E35" s="100"/>
      <c r="F35" s="110"/>
      <c r="G35" s="99"/>
      <c r="H35" s="99"/>
      <c r="I35" s="99"/>
      <c r="J35" s="76"/>
      <c r="K35" s="76"/>
      <c r="L35" s="321" t="s">
        <v>7</v>
      </c>
      <c r="M35" s="322">
        <v>8.6</v>
      </c>
      <c r="N35" s="322">
        <v>4.4000000000000004</v>
      </c>
      <c r="O35" s="51">
        <v>4.2</v>
      </c>
      <c r="P35" s="323">
        <v>3.9</v>
      </c>
      <c r="R35" s="272"/>
    </row>
    <row r="36" spans="1:18">
      <c r="A36" s="106"/>
      <c r="B36" s="106"/>
      <c r="C36" s="110"/>
      <c r="D36" s="110"/>
      <c r="E36" s="110"/>
      <c r="F36" s="110"/>
      <c r="G36" s="99"/>
      <c r="H36" s="99"/>
      <c r="I36" s="99"/>
      <c r="J36" s="76"/>
      <c r="K36" s="76"/>
      <c r="L36" s="20" t="s">
        <v>21</v>
      </c>
      <c r="M36" s="19">
        <v>7</v>
      </c>
      <c r="N36" s="19">
        <v>7</v>
      </c>
      <c r="O36" s="52">
        <v>4</v>
      </c>
      <c r="P36" s="240">
        <v>3.9</v>
      </c>
      <c r="R36" s="272"/>
    </row>
    <row r="37" spans="1:18">
      <c r="A37" s="76"/>
      <c r="B37" s="108"/>
      <c r="C37" s="99"/>
      <c r="D37" s="99"/>
      <c r="F37" s="99"/>
      <c r="G37" s="99"/>
      <c r="H37" s="99"/>
      <c r="I37" s="99"/>
      <c r="J37" s="76"/>
      <c r="K37" s="76"/>
      <c r="L37" s="321" t="s">
        <v>18</v>
      </c>
      <c r="M37" s="322">
        <v>7.6</v>
      </c>
      <c r="N37" s="322">
        <v>5</v>
      </c>
      <c r="O37" s="51">
        <v>4</v>
      </c>
      <c r="P37" s="323">
        <v>3.8</v>
      </c>
      <c r="R37" s="272"/>
    </row>
    <row r="38" spans="1:18">
      <c r="A38" s="76"/>
      <c r="B38" s="76"/>
      <c r="J38" s="76"/>
      <c r="K38" s="76"/>
      <c r="L38" s="20" t="s">
        <v>22</v>
      </c>
      <c r="M38" s="19">
        <v>6.4</v>
      </c>
      <c r="N38" s="19">
        <v>5.0999999999999996</v>
      </c>
      <c r="O38" s="52">
        <v>3.5</v>
      </c>
      <c r="P38" s="240">
        <v>3.8</v>
      </c>
      <c r="R38" s="272"/>
    </row>
    <row r="39" spans="1:18">
      <c r="J39" s="76"/>
      <c r="K39" s="76"/>
      <c r="L39" s="321" t="s">
        <v>23</v>
      </c>
      <c r="M39" s="322">
        <v>9.1999999999999993</v>
      </c>
      <c r="N39" s="322">
        <v>8.6999999999999993</v>
      </c>
      <c r="O39" s="51">
        <v>4.7</v>
      </c>
      <c r="P39" s="323">
        <v>3.7</v>
      </c>
      <c r="R39" s="272"/>
    </row>
    <row r="40" spans="1:18">
      <c r="J40" s="76"/>
      <c r="K40" s="76"/>
      <c r="L40" s="20" t="s">
        <v>13</v>
      </c>
      <c r="M40" s="19">
        <v>7.3</v>
      </c>
      <c r="N40" s="19">
        <v>5.0999999999999996</v>
      </c>
      <c r="O40" s="52">
        <v>3.5</v>
      </c>
      <c r="P40" s="240">
        <v>3.7</v>
      </c>
      <c r="R40" s="272"/>
    </row>
    <row r="41" spans="1:18">
      <c r="J41" s="76"/>
      <c r="K41" s="76"/>
      <c r="L41" s="321" t="s">
        <v>19</v>
      </c>
      <c r="M41" s="322">
        <v>9.1999999999999993</v>
      </c>
      <c r="N41" s="322">
        <v>5.56</v>
      </c>
      <c r="O41" s="51">
        <v>3.7836282834695658</v>
      </c>
      <c r="P41" s="323">
        <v>3.68</v>
      </c>
      <c r="R41" s="272"/>
    </row>
    <row r="42" spans="1:18">
      <c r="J42" s="76"/>
      <c r="K42" s="76"/>
      <c r="L42" s="20" t="s">
        <v>32</v>
      </c>
      <c r="M42" s="19"/>
      <c r="N42" s="19">
        <v>4.4000000000000004</v>
      </c>
      <c r="O42" s="52">
        <v>3.3</v>
      </c>
      <c r="P42" s="240">
        <v>3.6</v>
      </c>
      <c r="R42" s="272"/>
    </row>
    <row r="43" spans="1:18">
      <c r="J43" s="76"/>
      <c r="K43" s="76"/>
      <c r="L43" s="321" t="s">
        <v>16</v>
      </c>
      <c r="M43" s="322">
        <v>9.4</v>
      </c>
      <c r="N43" s="322">
        <v>6.6</v>
      </c>
      <c r="O43" s="51">
        <v>3.2</v>
      </c>
      <c r="P43" s="323">
        <v>3.5</v>
      </c>
      <c r="R43" s="272"/>
    </row>
    <row r="44" spans="1:18">
      <c r="J44" s="76"/>
      <c r="K44" s="76"/>
      <c r="L44" s="20" t="s">
        <v>27</v>
      </c>
      <c r="M44" s="19">
        <v>7</v>
      </c>
      <c r="N44" s="19">
        <v>4.3</v>
      </c>
      <c r="O44" s="52">
        <v>4.0999999999999996</v>
      </c>
      <c r="P44" s="240">
        <v>3.3</v>
      </c>
      <c r="R44" s="272"/>
    </row>
    <row r="45" spans="1:18">
      <c r="J45" s="76"/>
      <c r="K45" s="76"/>
      <c r="L45" s="321" t="s">
        <v>14</v>
      </c>
      <c r="M45" s="322">
        <v>8.3000000000000007</v>
      </c>
      <c r="N45" s="322">
        <v>4.0999999999999996</v>
      </c>
      <c r="O45" s="51">
        <v>3.2</v>
      </c>
      <c r="P45" s="323">
        <v>3.2</v>
      </c>
      <c r="R45" s="272"/>
    </row>
    <row r="46" spans="1:18">
      <c r="J46" s="76"/>
      <c r="K46" s="76"/>
      <c r="L46" s="20" t="s">
        <v>25</v>
      </c>
      <c r="M46" s="19">
        <v>7.3</v>
      </c>
      <c r="N46" s="19">
        <v>5.0999999999999996</v>
      </c>
      <c r="O46" s="52">
        <v>3.1</v>
      </c>
      <c r="P46" s="240">
        <v>3.2</v>
      </c>
      <c r="R46" s="272"/>
    </row>
    <row r="47" spans="1:18">
      <c r="J47" s="76"/>
      <c r="K47" s="76"/>
      <c r="L47" s="321" t="s">
        <v>36</v>
      </c>
      <c r="M47" s="322">
        <v>8.0622000000000007</v>
      </c>
      <c r="N47" s="322">
        <v>6.0579999999999998</v>
      </c>
      <c r="O47" s="51">
        <v>3.2</v>
      </c>
      <c r="P47" s="323">
        <v>2.7</v>
      </c>
      <c r="R47" s="272"/>
    </row>
    <row r="48" spans="1:18">
      <c r="J48" s="76"/>
      <c r="K48" s="76"/>
      <c r="L48" s="20" t="s">
        <v>37</v>
      </c>
      <c r="M48" s="19">
        <v>8.8000000000000007</v>
      </c>
      <c r="N48" s="19">
        <v>5.5</v>
      </c>
      <c r="O48" s="52">
        <v>3.9</v>
      </c>
      <c r="P48" s="240">
        <v>2.6</v>
      </c>
      <c r="R48" s="272"/>
    </row>
    <row r="49" spans="10:18" ht="12.75" customHeight="1">
      <c r="J49" s="39"/>
      <c r="K49" s="76"/>
      <c r="L49" s="321" t="s">
        <v>9</v>
      </c>
      <c r="M49" s="322">
        <v>8.5</v>
      </c>
      <c r="N49" s="322">
        <v>5.6</v>
      </c>
      <c r="O49" s="51">
        <v>3.7</v>
      </c>
      <c r="P49" s="323">
        <v>1.4</v>
      </c>
      <c r="R49" s="272"/>
    </row>
    <row r="50" spans="10:18" ht="12.75" customHeight="1">
      <c r="J50" s="103"/>
      <c r="K50" s="76"/>
      <c r="L50" s="20" t="s">
        <v>71</v>
      </c>
      <c r="M50" s="19"/>
      <c r="N50" s="19"/>
      <c r="O50" s="52">
        <v>1.1258677459645339</v>
      </c>
      <c r="P50" s="241">
        <v>1.39</v>
      </c>
      <c r="R50" s="272"/>
    </row>
    <row r="51" spans="10:18" ht="12.75" customHeight="1">
      <c r="L51" s="85"/>
      <c r="M51" s="85"/>
      <c r="N51" s="85"/>
      <c r="O51" s="85"/>
    </row>
    <row r="52" spans="10:18" ht="12.75" customHeight="1">
      <c r="K52" s="39"/>
      <c r="L52" s="85"/>
      <c r="M52" s="197"/>
      <c r="N52" s="197"/>
      <c r="O52" s="197"/>
    </row>
    <row r="53" spans="10:18" ht="12.75" customHeight="1">
      <c r="K53" s="39"/>
      <c r="L53" s="203"/>
      <c r="M53" s="199"/>
      <c r="N53" s="199"/>
      <c r="O53" s="199"/>
      <c r="P53" s="205"/>
    </row>
    <row r="54" spans="10:18">
      <c r="K54" s="39"/>
    </row>
    <row r="55" spans="10:18">
      <c r="K55" s="39"/>
      <c r="L55" s="85"/>
      <c r="M55" s="197"/>
      <c r="N55" s="197"/>
      <c r="O55" s="197"/>
    </row>
    <row r="56" spans="10:18">
      <c r="K56" s="39"/>
      <c r="L56" s="203"/>
      <c r="M56" s="199"/>
      <c r="N56" s="199"/>
      <c r="O56" s="199"/>
      <c r="P56" s="199"/>
    </row>
    <row r="57" spans="10:18">
      <c r="L57" s="85"/>
      <c r="M57" s="85"/>
      <c r="N57" s="85"/>
      <c r="O57" s="85"/>
    </row>
    <row r="58" spans="10:18">
      <c r="L58" s="85"/>
      <c r="M58" s="85"/>
      <c r="N58" s="85"/>
      <c r="O58" s="85"/>
    </row>
    <row r="59" spans="10:18">
      <c r="L59" s="85"/>
      <c r="M59" s="197"/>
      <c r="N59" s="197"/>
      <c r="O59" s="197"/>
      <c r="P59" s="198"/>
    </row>
    <row r="60" spans="10:18">
      <c r="L60" s="85"/>
      <c r="M60" s="200"/>
      <c r="N60" s="200"/>
      <c r="O60" s="201"/>
      <c r="P60" s="199"/>
    </row>
    <row r="61" spans="10:18">
      <c r="L61" s="85"/>
      <c r="M61" s="200"/>
      <c r="N61" s="200"/>
      <c r="O61" s="201"/>
      <c r="P61" s="199"/>
    </row>
    <row r="62" spans="10:18">
      <c r="L62" s="85"/>
      <c r="M62" s="197"/>
      <c r="N62" s="197"/>
      <c r="O62" s="197"/>
      <c r="P62" s="199"/>
    </row>
    <row r="63" spans="10:18">
      <c r="L63" s="85"/>
      <c r="M63" s="197"/>
      <c r="N63" s="197"/>
      <c r="O63" s="197"/>
      <c r="P63" s="199"/>
    </row>
    <row r="64" spans="10:18">
      <c r="L64" s="85"/>
      <c r="M64" s="200"/>
      <c r="N64" s="200"/>
      <c r="O64" s="201"/>
      <c r="P64" s="199"/>
    </row>
    <row r="65" spans="11:16">
      <c r="M65" s="202"/>
      <c r="N65" s="202"/>
      <c r="O65" s="199"/>
      <c r="P65" s="199"/>
    </row>
    <row r="66" spans="11:16">
      <c r="L66" s="85"/>
      <c r="M66" s="202"/>
      <c r="N66" s="202"/>
      <c r="O66" s="202"/>
      <c r="P66" s="199"/>
    </row>
    <row r="67" spans="11:16">
      <c r="L67" s="85"/>
      <c r="M67" s="200"/>
      <c r="N67" s="200"/>
      <c r="O67" s="201"/>
      <c r="P67" s="199"/>
    </row>
    <row r="68" spans="11:16">
      <c r="M68" s="202"/>
      <c r="N68" s="202"/>
      <c r="O68" s="202"/>
      <c r="P68" s="199"/>
    </row>
    <row r="69" spans="11:16">
      <c r="M69" s="202"/>
      <c r="N69" s="202"/>
      <c r="O69" s="202"/>
      <c r="P69" s="199"/>
    </row>
    <row r="70" spans="11:16">
      <c r="L70" s="85"/>
      <c r="M70" s="200"/>
      <c r="N70" s="200"/>
      <c r="O70" s="201"/>
      <c r="P70" s="199"/>
    </row>
    <row r="71" spans="11:16">
      <c r="L71" s="85"/>
      <c r="M71" s="202"/>
      <c r="N71" s="202"/>
      <c r="O71" s="202"/>
      <c r="P71" s="199"/>
    </row>
    <row r="72" spans="11:16">
      <c r="M72" s="202"/>
      <c r="N72" s="202"/>
      <c r="O72" s="202"/>
      <c r="P72" s="199"/>
    </row>
    <row r="73" spans="11:16">
      <c r="L73" s="85"/>
      <c r="M73" s="200"/>
      <c r="N73" s="200"/>
      <c r="O73" s="201"/>
      <c r="P73" s="199"/>
    </row>
    <row r="74" spans="11:16">
      <c r="L74" s="85"/>
      <c r="M74" s="202"/>
      <c r="N74" s="202"/>
      <c r="O74" s="202"/>
      <c r="P74" s="199"/>
    </row>
    <row r="75" spans="11:16">
      <c r="M75" s="202"/>
      <c r="N75" s="202"/>
      <c r="O75" s="202"/>
      <c r="P75" s="199"/>
    </row>
    <row r="76" spans="11:16">
      <c r="M76" s="202"/>
      <c r="N76" s="202"/>
      <c r="O76" s="202"/>
      <c r="P76" s="199"/>
    </row>
    <row r="77" spans="11:16">
      <c r="M77" s="202"/>
      <c r="N77" s="202"/>
      <c r="O77" s="202"/>
      <c r="P77" s="199"/>
    </row>
    <row r="78" spans="11:16">
      <c r="M78" s="202"/>
      <c r="N78" s="202"/>
      <c r="O78" s="202"/>
      <c r="P78" s="199"/>
    </row>
    <row r="79" spans="11:16">
      <c r="K79" s="76"/>
      <c r="M79" s="202"/>
      <c r="N79" s="202"/>
      <c r="O79" s="202"/>
      <c r="P79" s="205"/>
    </row>
    <row r="80" spans="11:16">
      <c r="M80" s="202"/>
      <c r="N80" s="202"/>
      <c r="O80" s="202"/>
      <c r="P80" s="206"/>
    </row>
    <row r="81" spans="12:16">
      <c r="L81" s="207"/>
      <c r="M81" s="208"/>
      <c r="N81" s="208"/>
      <c r="O81" s="208"/>
      <c r="P81" s="209"/>
    </row>
    <row r="82" spans="12:16">
      <c r="M82" s="202"/>
      <c r="N82" s="202"/>
      <c r="O82" s="202"/>
      <c r="P82" s="205"/>
    </row>
    <row r="83" spans="12:16">
      <c r="M83" s="202"/>
      <c r="N83" s="202"/>
      <c r="O83" s="202"/>
      <c r="P83" s="199"/>
    </row>
    <row r="84" spans="12:16">
      <c r="M84" s="202"/>
      <c r="N84" s="202"/>
      <c r="O84" s="202"/>
      <c r="P84" s="199"/>
    </row>
    <row r="85" spans="12:16">
      <c r="M85" s="202"/>
      <c r="N85" s="202"/>
      <c r="O85" s="202"/>
      <c r="P85" s="199"/>
    </row>
    <row r="86" spans="12:16">
      <c r="M86" s="202"/>
      <c r="N86" s="202"/>
      <c r="O86" s="202"/>
      <c r="P86" s="199"/>
    </row>
    <row r="87" spans="12:16">
      <c r="M87" s="202"/>
      <c r="N87" s="202"/>
      <c r="O87" s="202"/>
      <c r="P87" s="199"/>
    </row>
    <row r="88" spans="12:16">
      <c r="M88" s="202"/>
      <c r="N88" s="202"/>
      <c r="O88" s="202"/>
      <c r="P88" s="199"/>
    </row>
    <row r="89" spans="12:16">
      <c r="M89" s="202"/>
      <c r="N89" s="202"/>
      <c r="O89" s="202"/>
      <c r="P89" s="199"/>
    </row>
    <row r="90" spans="12:16">
      <c r="M90" s="202"/>
      <c r="N90" s="202"/>
      <c r="O90" s="199"/>
      <c r="P90" s="199"/>
    </row>
    <row r="91" spans="12:16">
      <c r="M91" s="202"/>
      <c r="N91" s="202"/>
      <c r="O91" s="202"/>
      <c r="P91" s="199"/>
    </row>
    <row r="92" spans="12:16">
      <c r="M92" s="202"/>
      <c r="N92" s="202"/>
      <c r="O92" s="202"/>
      <c r="P92" s="199"/>
    </row>
    <row r="93" spans="12:16">
      <c r="M93" s="202"/>
      <c r="N93" s="202"/>
      <c r="O93" s="202"/>
      <c r="P93" s="199"/>
    </row>
    <row r="94" spans="12:16">
      <c r="M94" s="202"/>
      <c r="N94" s="202"/>
      <c r="O94" s="202"/>
      <c r="P94" s="199"/>
    </row>
    <row r="95" spans="12:16">
      <c r="L95" s="85"/>
      <c r="M95" s="202"/>
      <c r="N95" s="202"/>
      <c r="O95" s="202"/>
      <c r="P95" s="199"/>
    </row>
    <row r="96" spans="12:16">
      <c r="M96" s="202"/>
      <c r="N96" s="202"/>
      <c r="O96" s="199"/>
      <c r="P96" s="199"/>
    </row>
    <row r="97" spans="13:16">
      <c r="M97" s="202"/>
      <c r="N97" s="202"/>
      <c r="O97" s="202"/>
      <c r="P97" s="199"/>
    </row>
    <row r="98" spans="13:16">
      <c r="M98" s="202"/>
      <c r="N98" s="202"/>
      <c r="O98" s="202"/>
      <c r="P98" s="199"/>
    </row>
    <row r="99" spans="13:16">
      <c r="M99" s="202"/>
      <c r="N99" s="202"/>
      <c r="O99" s="202"/>
      <c r="P99" s="199"/>
    </row>
    <row r="100" spans="13:16">
      <c r="M100" s="202"/>
      <c r="N100" s="202"/>
      <c r="O100" s="199"/>
      <c r="P100" s="199"/>
    </row>
    <row r="101" spans="13:16">
      <c r="M101" s="202"/>
      <c r="N101" s="202"/>
      <c r="O101" s="202"/>
      <c r="P101" s="199"/>
    </row>
    <row r="103" spans="13:16">
      <c r="M103" s="202"/>
      <c r="N103" s="202"/>
      <c r="O103" s="202"/>
      <c r="P103" s="199"/>
    </row>
  </sheetData>
  <sortState xmlns:xlrd2="http://schemas.microsoft.com/office/spreadsheetml/2017/richdata2" ref="L7:P50">
    <sortCondition descending="1" ref="P7:P50"/>
  </sortState>
  <mergeCells count="2">
    <mergeCell ref="A1:I1"/>
    <mergeCell ref="A19:I21"/>
  </mergeCells>
  <hyperlinks>
    <hyperlink ref="A25" r:id="rId1" xr:uid="{D77C3B06-43A6-4D14-AB52-D603FC3662AC}"/>
    <hyperlink ref="A35" r:id="rId2" xr:uid="{C90D3464-9A1E-4ECD-ADBA-75CEB925D6B1}"/>
    <hyperlink ref="A34" r:id="rId3" xr:uid="{FA1571A4-A855-479C-BA46-6EB0DBDC1A1A}"/>
    <hyperlink ref="A29" r:id="rId4" xr:uid="{178F12D5-1833-4BED-B971-A6107E58B7E1}"/>
    <hyperlink ref="A30" r:id="rId5" xr:uid="{5ADAAC64-F23A-497A-9D66-8A8133598F92}"/>
    <hyperlink ref="A31" r:id="rId6" xr:uid="{A13F6692-58C3-4DD0-841E-196910F23FE8}"/>
    <hyperlink ref="A24" r:id="rId7" xr:uid="{CF9B3131-DBE3-43C3-BC48-73BBFDA08E73}"/>
    <hyperlink ref="A28" r:id="rId8" xr:uid="{258CBF71-5EEA-41AD-8100-77CA04C6279C}"/>
    <hyperlink ref="A26" r:id="rId9" xr:uid="{4CFA177B-1D82-4E51-B69C-862354FD5A52}"/>
    <hyperlink ref="A32" r:id="rId10" xr:uid="{964F6059-5461-41AD-BE03-413B8F08A40C}"/>
    <hyperlink ref="A33" r:id="rId11" xr:uid="{EEBC8857-B1E8-4A42-B65E-98A867C9D5FB}"/>
    <hyperlink ref="A27" r:id="rId12" xr:uid="{294DC18F-7DC0-4FF2-8B0D-54E0EFB86FB6}"/>
  </hyperlinks>
  <pageMargins left="0.70866141732283472" right="0.70866141732283472" top="0.74803149606299213" bottom="0.74803149606299213" header="0.31496062992125984" footer="0.31496062992125984"/>
  <pageSetup paperSize="9" orientation="landscape" r:id="rId13"/>
  <headerFooter>
    <oddHeader>&amp;LOECD Family database (www.oecd.org/els/social/family/database.htm)</oddHeader>
    <oddFooter>&amp;C_x000D_&amp;1#&amp;"Calibri"&amp;10&amp;K0000FF Restricted Use - À usage restreint</oddFooter>
  </headerFooter>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EC93-5E5D-40CD-A3BB-33AD8ADAFE6B}">
  <sheetPr>
    <pageSetUpPr fitToPage="1"/>
  </sheetPr>
  <dimension ref="A1:AA127"/>
  <sheetViews>
    <sheetView showGridLines="0" zoomScale="50" zoomScaleNormal="50" workbookViewId="0">
      <selection sqref="A1:I2"/>
    </sheetView>
  </sheetViews>
  <sheetFormatPr defaultColWidth="9.140625" defaultRowHeight="12.75"/>
  <cols>
    <col min="1" max="1" width="15.85546875" style="245" bestFit="1" customWidth="1"/>
    <col min="2" max="8" width="9.140625" style="245"/>
    <col min="9" max="9" width="4.85546875" style="245" customWidth="1"/>
    <col min="10" max="10" width="9.140625" style="245"/>
    <col min="11" max="11" width="14.140625" style="245" customWidth="1"/>
    <col min="12" max="14" width="16.42578125" style="245" customWidth="1"/>
    <col min="15" max="15" width="4.85546875" style="245" bestFit="1" customWidth="1"/>
    <col min="16" max="16" width="16.42578125" style="245" customWidth="1"/>
    <col min="17" max="17" width="4.85546875" style="245" bestFit="1" customWidth="1"/>
    <col min="18" max="18" width="4.85546875" style="245" customWidth="1"/>
    <col min="19" max="19" width="16.42578125" style="245" customWidth="1"/>
    <col min="20" max="20" width="4.85546875" style="245" customWidth="1"/>
    <col min="21" max="21" width="16.42578125" style="245" customWidth="1"/>
    <col min="22" max="22" width="16.42578125" style="246" customWidth="1"/>
    <col min="23" max="23" width="16.42578125" style="245" customWidth="1"/>
    <col min="24" max="24" width="9.140625" style="49"/>
    <col min="25" max="25" width="16.85546875" style="49" customWidth="1"/>
    <col min="26" max="26" width="16.42578125" style="245" customWidth="1"/>
    <col min="27" max="16384" width="9.140625" style="49"/>
  </cols>
  <sheetData>
    <row r="1" spans="1:26" ht="16.5">
      <c r="A1" s="393" t="s">
        <v>203</v>
      </c>
      <c r="B1" s="393"/>
      <c r="C1" s="393"/>
      <c r="D1" s="393"/>
      <c r="E1" s="393"/>
      <c r="F1" s="393"/>
      <c r="G1" s="393"/>
      <c r="H1" s="393"/>
      <c r="I1" s="393"/>
      <c r="J1" s="270"/>
      <c r="K1" s="269"/>
      <c r="L1" s="268"/>
      <c r="M1" s="268"/>
      <c r="N1" s="268"/>
      <c r="O1" s="269"/>
      <c r="P1" s="268"/>
      <c r="Q1" s="269"/>
      <c r="R1" s="269"/>
      <c r="S1" s="268"/>
      <c r="T1" s="269"/>
      <c r="U1" s="269"/>
      <c r="V1" s="269"/>
      <c r="W1" s="269"/>
      <c r="Z1" s="268"/>
    </row>
    <row r="2" spans="1:26">
      <c r="A2" s="393"/>
      <c r="B2" s="393"/>
      <c r="C2" s="393"/>
      <c r="D2" s="393"/>
      <c r="E2" s="393"/>
      <c r="F2" s="393"/>
      <c r="G2" s="393"/>
      <c r="H2" s="393"/>
      <c r="I2" s="393"/>
      <c r="J2" s="259"/>
      <c r="K2" s="266"/>
      <c r="L2" s="266"/>
      <c r="M2" s="266"/>
      <c r="N2" s="266"/>
      <c r="O2" s="266"/>
      <c r="P2" s="266"/>
      <c r="Q2" s="266"/>
      <c r="R2" s="266"/>
      <c r="S2" s="266"/>
      <c r="T2" s="266"/>
      <c r="U2" s="266"/>
      <c r="V2" s="266"/>
      <c r="W2" s="267"/>
      <c r="X2" s="267"/>
      <c r="Z2" s="266"/>
    </row>
    <row r="3" spans="1:26" ht="12.75" customHeight="1">
      <c r="A3" s="265"/>
      <c r="B3" s="265"/>
      <c r="C3" s="265"/>
      <c r="D3" s="265"/>
      <c r="E3" s="265"/>
      <c r="F3" s="265"/>
      <c r="G3" s="265"/>
      <c r="H3" s="265"/>
      <c r="I3" s="265"/>
      <c r="J3" s="259"/>
      <c r="K3" s="264"/>
      <c r="L3" s="395" t="s">
        <v>70</v>
      </c>
      <c r="M3" s="395"/>
      <c r="N3" s="395"/>
      <c r="O3" s="264"/>
      <c r="P3" s="264"/>
      <c r="Q3" s="264"/>
      <c r="R3" s="264"/>
      <c r="S3" s="264"/>
      <c r="T3" s="264"/>
      <c r="U3" s="395" t="s">
        <v>69</v>
      </c>
      <c r="V3" s="395"/>
      <c r="W3" s="395"/>
      <c r="Z3" s="264"/>
    </row>
    <row r="4" spans="1:26" ht="25.5">
      <c r="A4" s="261"/>
      <c r="B4" s="261"/>
      <c r="C4" s="261"/>
      <c r="D4" s="261"/>
      <c r="E4" s="261"/>
      <c r="F4" s="261"/>
      <c r="G4" s="261"/>
      <c r="H4" s="261"/>
      <c r="I4" s="261"/>
      <c r="J4" s="259"/>
      <c r="K4" s="263"/>
      <c r="L4" s="262">
        <v>1990</v>
      </c>
      <c r="M4" s="262">
        <v>2000</v>
      </c>
      <c r="N4" s="262">
        <v>2019</v>
      </c>
      <c r="O4" s="262" t="s">
        <v>109</v>
      </c>
      <c r="P4" s="262">
        <v>2020</v>
      </c>
      <c r="Q4" s="262" t="s">
        <v>109</v>
      </c>
      <c r="R4" s="262"/>
      <c r="S4" s="262">
        <v>2021</v>
      </c>
      <c r="T4" s="262" t="s">
        <v>198</v>
      </c>
      <c r="U4" s="262">
        <v>1990</v>
      </c>
      <c r="V4" s="262">
        <v>2000</v>
      </c>
      <c r="W4" s="262">
        <v>2019</v>
      </c>
      <c r="X4" s="262">
        <v>2020</v>
      </c>
      <c r="Y4" s="262" t="s">
        <v>186</v>
      </c>
      <c r="Z4" s="262" t="s">
        <v>197</v>
      </c>
    </row>
    <row r="5" spans="1:26">
      <c r="A5" s="261"/>
      <c r="B5" s="261"/>
      <c r="C5" s="261"/>
      <c r="D5" s="261"/>
      <c r="E5" s="261"/>
      <c r="F5" s="261"/>
      <c r="G5" s="261"/>
      <c r="H5" s="261"/>
      <c r="I5" s="261"/>
      <c r="J5" s="259"/>
      <c r="K5" s="90" t="s">
        <v>28</v>
      </c>
      <c r="L5" s="91">
        <v>29.4</v>
      </c>
      <c r="M5" s="91">
        <v>33.299999999999997</v>
      </c>
      <c r="N5" s="91">
        <v>36.700000000000003</v>
      </c>
      <c r="O5" s="162"/>
      <c r="P5" s="91">
        <v>39.799999999999997</v>
      </c>
      <c r="Q5" s="162"/>
      <c r="R5" s="162"/>
      <c r="S5" s="91">
        <v>39.799999999999997</v>
      </c>
      <c r="T5" s="162">
        <v>2020</v>
      </c>
      <c r="U5" s="91">
        <v>26.9</v>
      </c>
      <c r="V5" s="91">
        <v>30.6</v>
      </c>
      <c r="W5" s="91">
        <v>34.1</v>
      </c>
      <c r="X5" s="91">
        <v>35</v>
      </c>
      <c r="Y5" s="162"/>
      <c r="Z5" s="91">
        <v>35</v>
      </c>
    </row>
    <row r="6" spans="1:26">
      <c r="A6" s="260"/>
      <c r="B6" s="260"/>
      <c r="C6" s="260"/>
      <c r="D6" s="260"/>
      <c r="E6" s="260"/>
      <c r="F6" s="260"/>
      <c r="G6" s="260"/>
      <c r="H6" s="260"/>
      <c r="I6" s="260"/>
      <c r="J6" s="249"/>
      <c r="K6" s="90" t="s">
        <v>12</v>
      </c>
      <c r="L6" s="91">
        <v>30.3</v>
      </c>
      <c r="M6" s="91">
        <v>33</v>
      </c>
      <c r="N6" s="91">
        <v>36.700000000000003</v>
      </c>
      <c r="O6" s="162"/>
      <c r="P6" s="91">
        <v>37.5</v>
      </c>
      <c r="Q6" s="162"/>
      <c r="R6" s="162"/>
      <c r="S6" s="91">
        <v>37.5</v>
      </c>
      <c r="T6" s="162">
        <v>2020</v>
      </c>
      <c r="U6" s="91">
        <v>27.7</v>
      </c>
      <c r="V6" s="91">
        <v>30.4</v>
      </c>
      <c r="W6" s="91">
        <v>34.1</v>
      </c>
      <c r="X6" s="91">
        <v>34.799999999999997</v>
      </c>
      <c r="Y6" s="162"/>
      <c r="Z6" s="91">
        <v>34.799999999999997</v>
      </c>
    </row>
    <row r="7" spans="1:26">
      <c r="A7" s="260"/>
      <c r="B7" s="260"/>
      <c r="C7" s="260"/>
      <c r="D7" s="260"/>
      <c r="E7" s="260"/>
      <c r="F7" s="260"/>
      <c r="G7" s="260"/>
      <c r="H7" s="260"/>
      <c r="I7" s="260"/>
      <c r="J7" s="259"/>
      <c r="K7" s="90" t="s">
        <v>13</v>
      </c>
      <c r="L7" s="91">
        <v>27.8</v>
      </c>
      <c r="M7" s="91">
        <v>30.2</v>
      </c>
      <c r="N7" s="91">
        <v>36.1</v>
      </c>
      <c r="O7" s="162"/>
      <c r="P7" s="91">
        <v>37.200000000000003</v>
      </c>
      <c r="Q7" s="162"/>
      <c r="R7" s="162"/>
      <c r="S7" s="91">
        <v>36.9</v>
      </c>
      <c r="T7" s="162"/>
      <c r="U7" s="91">
        <v>25.6</v>
      </c>
      <c r="V7" s="91">
        <v>28.1</v>
      </c>
      <c r="W7" s="91">
        <v>33.9</v>
      </c>
      <c r="X7" s="91">
        <v>34.9</v>
      </c>
      <c r="Y7" s="162"/>
      <c r="Z7" s="91">
        <v>34.700000000000003</v>
      </c>
    </row>
    <row r="8" spans="1:26">
      <c r="A8" s="260"/>
      <c r="B8" s="260"/>
      <c r="C8" s="260"/>
      <c r="D8" s="260"/>
      <c r="E8" s="260"/>
      <c r="F8" s="260"/>
      <c r="G8" s="260"/>
      <c r="H8" s="260"/>
      <c r="I8" s="260"/>
      <c r="J8" s="249"/>
      <c r="K8" s="90" t="s">
        <v>18</v>
      </c>
      <c r="L8" s="91">
        <v>29</v>
      </c>
      <c r="M8" s="91">
        <v>30.9</v>
      </c>
      <c r="N8" s="91">
        <v>35.700000000000003</v>
      </c>
      <c r="O8" s="162"/>
      <c r="P8" s="91">
        <v>36.9</v>
      </c>
      <c r="Q8" s="162"/>
      <c r="R8" s="162"/>
      <c r="S8" s="91">
        <v>36.9</v>
      </c>
      <c r="T8" s="162">
        <v>2020</v>
      </c>
      <c r="U8" s="91">
        <v>26.4</v>
      </c>
      <c r="V8" s="91">
        <v>28.4</v>
      </c>
      <c r="W8" s="91">
        <v>33.1</v>
      </c>
      <c r="X8" s="91">
        <v>34.1</v>
      </c>
      <c r="Y8" s="162"/>
      <c r="Z8" s="91">
        <v>34.1</v>
      </c>
    </row>
    <row r="9" spans="1:26">
      <c r="A9" s="260"/>
      <c r="B9" s="260"/>
      <c r="C9" s="260"/>
      <c r="D9" s="260"/>
      <c r="E9" s="260"/>
      <c r="F9" s="260"/>
      <c r="G9" s="260"/>
      <c r="H9" s="260"/>
      <c r="I9" s="260"/>
      <c r="J9" s="259"/>
      <c r="K9" s="90" t="s">
        <v>32</v>
      </c>
      <c r="L9" s="91" t="s">
        <v>44</v>
      </c>
      <c r="M9" s="91">
        <v>30.7</v>
      </c>
      <c r="N9" s="91">
        <v>35.200000000000003</v>
      </c>
      <c r="O9" s="162"/>
      <c r="P9" s="91">
        <v>35.700000000000003</v>
      </c>
      <c r="Q9" s="162"/>
      <c r="R9" s="162"/>
      <c r="S9" s="91">
        <v>35.700000000000003</v>
      </c>
      <c r="T9" s="162">
        <v>2020</v>
      </c>
      <c r="U9" s="91" t="s">
        <v>44</v>
      </c>
      <c r="V9" s="91">
        <v>28.4</v>
      </c>
      <c r="W9" s="91">
        <v>33.1</v>
      </c>
      <c r="X9" s="91">
        <v>33.5</v>
      </c>
      <c r="Y9" s="162"/>
      <c r="Z9" s="91">
        <v>33.5</v>
      </c>
    </row>
    <row r="10" spans="1:26">
      <c r="A10" s="260"/>
      <c r="B10" s="260"/>
      <c r="C10" s="260"/>
      <c r="D10" s="260"/>
      <c r="E10" s="260"/>
      <c r="F10" s="260"/>
      <c r="G10" s="260"/>
      <c r="H10" s="260"/>
      <c r="I10" s="260"/>
      <c r="J10" s="249"/>
      <c r="K10" s="90" t="s">
        <v>9</v>
      </c>
      <c r="L10" s="91">
        <v>27.2</v>
      </c>
      <c r="M10" s="91">
        <v>30.5</v>
      </c>
      <c r="N10" s="91">
        <v>33.9</v>
      </c>
      <c r="O10" s="162"/>
      <c r="P10" s="91">
        <v>35.4</v>
      </c>
      <c r="Q10" s="162"/>
      <c r="R10" s="162"/>
      <c r="S10" s="91">
        <v>35.4</v>
      </c>
      <c r="T10" s="162">
        <v>2020</v>
      </c>
      <c r="U10" s="91">
        <v>25.15</v>
      </c>
      <c r="V10" s="91">
        <v>28.2</v>
      </c>
      <c r="W10" s="91">
        <v>32.1</v>
      </c>
      <c r="X10" s="91">
        <v>33.200000000000003</v>
      </c>
      <c r="Y10" s="162"/>
      <c r="Z10" s="91">
        <v>33.200000000000003</v>
      </c>
    </row>
    <row r="11" spans="1:26">
      <c r="A11" s="260"/>
      <c r="B11" s="260"/>
      <c r="C11" s="260"/>
      <c r="D11" s="260"/>
      <c r="E11" s="260"/>
      <c r="F11" s="260"/>
      <c r="G11" s="260"/>
      <c r="H11" s="260"/>
      <c r="I11" s="260"/>
      <c r="J11" s="259"/>
      <c r="K11" s="90" t="s">
        <v>25</v>
      </c>
      <c r="L11" s="91">
        <v>28.9</v>
      </c>
      <c r="M11" s="91">
        <v>30.9</v>
      </c>
      <c r="N11" s="91">
        <v>35.5</v>
      </c>
      <c r="O11" s="162"/>
      <c r="P11" s="91">
        <v>36.4</v>
      </c>
      <c r="Q11" s="162"/>
      <c r="R11" s="162"/>
      <c r="S11" s="91">
        <v>35.700000000000003</v>
      </c>
      <c r="T11" s="162"/>
      <c r="U11" s="91">
        <v>25.9</v>
      </c>
      <c r="V11" s="91">
        <v>27.8</v>
      </c>
      <c r="W11" s="91">
        <v>32.700000000000003</v>
      </c>
      <c r="X11" s="91">
        <v>33.6</v>
      </c>
      <c r="Y11" s="162"/>
      <c r="Z11" s="91">
        <v>33</v>
      </c>
    </row>
    <row r="12" spans="1:26">
      <c r="A12" s="260"/>
      <c r="B12" s="260"/>
      <c r="C12" s="260"/>
      <c r="D12" s="260"/>
      <c r="E12" s="260"/>
      <c r="F12" s="260"/>
      <c r="G12" s="260"/>
      <c r="H12" s="260"/>
      <c r="I12" s="260"/>
      <c r="J12" s="249"/>
      <c r="K12" s="90" t="s">
        <v>35</v>
      </c>
      <c r="L12" s="91">
        <v>30.5</v>
      </c>
      <c r="M12" s="91">
        <v>32.5</v>
      </c>
      <c r="N12" s="91">
        <v>35.1</v>
      </c>
      <c r="O12" s="162"/>
      <c r="P12" s="91">
        <v>35.299999999999997</v>
      </c>
      <c r="Q12" s="162"/>
      <c r="R12" s="162"/>
      <c r="S12" s="91">
        <v>35.299999999999997</v>
      </c>
      <c r="T12" s="162"/>
      <c r="U12" s="91">
        <v>27.8</v>
      </c>
      <c r="V12" s="91">
        <v>29.9</v>
      </c>
      <c r="W12" s="91">
        <v>32.799999999999997</v>
      </c>
      <c r="X12" s="91">
        <v>33</v>
      </c>
      <c r="Y12" s="162"/>
      <c r="Z12" s="91">
        <v>33</v>
      </c>
    </row>
    <row r="13" spans="1:26">
      <c r="A13" s="260"/>
      <c r="B13" s="260"/>
      <c r="C13" s="260"/>
      <c r="D13" s="260"/>
      <c r="E13" s="260"/>
      <c r="F13" s="260"/>
      <c r="G13" s="260"/>
      <c r="H13" s="260"/>
      <c r="I13" s="260"/>
      <c r="J13" s="259"/>
      <c r="K13" s="90" t="s">
        <v>22</v>
      </c>
      <c r="L13" s="91">
        <v>27.7</v>
      </c>
      <c r="M13" s="91">
        <v>30.3</v>
      </c>
      <c r="N13" s="91">
        <v>34.799999999999997</v>
      </c>
      <c r="O13" s="162"/>
      <c r="P13" s="91">
        <v>34.6</v>
      </c>
      <c r="Q13" s="162"/>
      <c r="R13" s="162"/>
      <c r="S13" s="91">
        <v>34.700000000000003</v>
      </c>
      <c r="T13" s="162"/>
      <c r="U13" s="91">
        <v>25.6</v>
      </c>
      <c r="V13" s="91">
        <v>27.4</v>
      </c>
      <c r="W13" s="91">
        <v>32.1</v>
      </c>
      <c r="X13" s="91">
        <v>32.4</v>
      </c>
      <c r="Y13" s="162"/>
      <c r="Z13" s="91">
        <v>32.4</v>
      </c>
    </row>
    <row r="14" spans="1:26">
      <c r="A14" s="260"/>
      <c r="B14" s="260"/>
      <c r="C14" s="260"/>
      <c r="D14" s="260"/>
      <c r="E14" s="260"/>
      <c r="F14" s="260"/>
      <c r="G14" s="260"/>
      <c r="H14" s="260"/>
      <c r="I14" s="260"/>
      <c r="J14" s="249"/>
      <c r="K14" s="90" t="s">
        <v>38</v>
      </c>
      <c r="L14" s="91">
        <v>26.5</v>
      </c>
      <c r="M14" s="91">
        <v>29.1</v>
      </c>
      <c r="N14" s="91">
        <v>33.5</v>
      </c>
      <c r="O14" s="162">
        <v>2017</v>
      </c>
      <c r="P14" s="91">
        <v>34.299999999999997</v>
      </c>
      <c r="Q14" s="162"/>
      <c r="R14" s="162"/>
      <c r="S14" s="91">
        <v>34.5</v>
      </c>
      <c r="T14" s="162"/>
      <c r="U14" s="91">
        <v>24.4</v>
      </c>
      <c r="V14" s="91">
        <v>26.9</v>
      </c>
      <c r="W14" s="91">
        <v>31.2</v>
      </c>
      <c r="X14" s="91">
        <v>32</v>
      </c>
      <c r="Y14" s="162"/>
      <c r="Z14" s="91">
        <v>32.200000000000003</v>
      </c>
    </row>
    <row r="15" spans="1:26">
      <c r="A15" s="260"/>
      <c r="B15" s="260"/>
      <c r="C15" s="260"/>
      <c r="D15" s="260"/>
      <c r="E15" s="260"/>
      <c r="F15" s="260"/>
      <c r="G15" s="260"/>
      <c r="H15" s="260"/>
      <c r="I15" s="260"/>
      <c r="J15" s="259"/>
      <c r="K15" s="90" t="s">
        <v>33</v>
      </c>
      <c r="L15" s="91">
        <v>28.4</v>
      </c>
      <c r="M15" s="91">
        <v>30.5</v>
      </c>
      <c r="N15" s="91">
        <v>34.200000000000003</v>
      </c>
      <c r="O15" s="162"/>
      <c r="P15" s="91">
        <v>34.1</v>
      </c>
      <c r="Q15" s="162">
        <v>2019</v>
      </c>
      <c r="R15" s="162"/>
      <c r="S15" s="91">
        <v>34.200000000000003</v>
      </c>
      <c r="T15" s="162"/>
      <c r="U15" s="91">
        <v>26.3</v>
      </c>
      <c r="V15" s="91">
        <v>28.3</v>
      </c>
      <c r="W15" s="91">
        <v>31.9</v>
      </c>
      <c r="X15" s="91">
        <v>31.9</v>
      </c>
      <c r="Y15" s="162"/>
      <c r="Z15" s="91">
        <v>32.1</v>
      </c>
    </row>
    <row r="16" spans="1:26">
      <c r="A16" s="260"/>
      <c r="B16" s="260"/>
      <c r="C16" s="260"/>
      <c r="D16" s="260"/>
      <c r="E16" s="260"/>
      <c r="F16" s="260"/>
      <c r="G16" s="260"/>
      <c r="H16" s="260"/>
      <c r="I16" s="260"/>
      <c r="J16" s="249"/>
      <c r="K16" s="90" t="s">
        <v>16</v>
      </c>
      <c r="L16" s="91">
        <v>26.6</v>
      </c>
      <c r="M16" s="91">
        <v>27.4</v>
      </c>
      <c r="N16" s="91">
        <v>33.200000000000003</v>
      </c>
      <c r="O16" s="162"/>
      <c r="P16" s="91">
        <v>34</v>
      </c>
      <c r="Q16" s="162"/>
      <c r="R16" s="162"/>
      <c r="S16" s="91">
        <v>33.6</v>
      </c>
      <c r="T16" s="162"/>
      <c r="U16" s="91">
        <v>24.6</v>
      </c>
      <c r="V16" s="91">
        <v>25.2</v>
      </c>
      <c r="W16" s="91">
        <v>31.5</v>
      </c>
      <c r="X16" s="91">
        <v>32.299999999999997</v>
      </c>
      <c r="Y16" s="162"/>
      <c r="Z16" s="91">
        <v>32</v>
      </c>
    </row>
    <row r="17" spans="1:26">
      <c r="A17" s="260"/>
      <c r="B17" s="260"/>
      <c r="C17" s="260"/>
      <c r="D17" s="260"/>
      <c r="E17" s="260"/>
      <c r="F17" s="260"/>
      <c r="G17" s="260"/>
      <c r="H17" s="260"/>
      <c r="I17" s="260"/>
      <c r="J17" s="259"/>
      <c r="K17" s="90" t="s">
        <v>39</v>
      </c>
      <c r="L17" s="91">
        <v>27.7</v>
      </c>
      <c r="M17" s="91">
        <v>30</v>
      </c>
      <c r="N17" s="91">
        <v>34.700000000000003</v>
      </c>
      <c r="O17" s="162"/>
      <c r="P17" s="91">
        <v>34.700000000000003</v>
      </c>
      <c r="Q17" s="162">
        <v>2019</v>
      </c>
      <c r="R17" s="162"/>
      <c r="S17" s="91">
        <v>34.700000000000003</v>
      </c>
      <c r="T17" s="162">
        <v>2019</v>
      </c>
      <c r="U17" s="91">
        <v>25.2</v>
      </c>
      <c r="V17" s="91">
        <v>27.4</v>
      </c>
      <c r="W17" s="91">
        <v>32</v>
      </c>
      <c r="X17" s="91">
        <v>32</v>
      </c>
      <c r="Y17" s="162"/>
      <c r="Z17" s="91">
        <v>32</v>
      </c>
    </row>
    <row r="18" spans="1:26">
      <c r="A18" s="260"/>
      <c r="B18" s="260"/>
      <c r="C18" s="260"/>
      <c r="D18" s="260"/>
      <c r="E18" s="260"/>
      <c r="F18" s="260"/>
      <c r="G18" s="260"/>
      <c r="H18" s="260"/>
      <c r="I18" s="260"/>
      <c r="J18" s="249"/>
      <c r="K18" s="90" t="s">
        <v>20</v>
      </c>
      <c r="L18" s="91">
        <v>28.5</v>
      </c>
      <c r="M18" s="91">
        <v>30.7</v>
      </c>
      <c r="N18" s="91">
        <v>34.4</v>
      </c>
      <c r="O18" s="162"/>
      <c r="P18" s="91">
        <v>34.4</v>
      </c>
      <c r="Q18" s="162"/>
      <c r="R18" s="162"/>
      <c r="S18" s="162">
        <v>34.4</v>
      </c>
      <c r="T18" s="162"/>
      <c r="U18" s="91">
        <v>26.1</v>
      </c>
      <c r="V18" s="91">
        <v>28</v>
      </c>
      <c r="W18" s="91">
        <v>31.9</v>
      </c>
      <c r="X18" s="91">
        <v>31.8</v>
      </c>
      <c r="Y18" s="162"/>
      <c r="Z18" s="91">
        <v>32</v>
      </c>
    </row>
    <row r="19" spans="1:26" ht="12.75" customHeight="1">
      <c r="A19" s="260"/>
      <c r="B19" s="260"/>
      <c r="C19" s="260"/>
      <c r="D19" s="260"/>
      <c r="E19" s="260"/>
      <c r="F19" s="260"/>
      <c r="G19" s="260"/>
      <c r="H19" s="260"/>
      <c r="I19" s="260"/>
      <c r="J19" s="259"/>
      <c r="K19" s="90" t="s">
        <v>27</v>
      </c>
      <c r="L19" s="91">
        <v>28.7</v>
      </c>
      <c r="M19" s="91" t="s">
        <v>44</v>
      </c>
      <c r="N19" s="91">
        <v>33.799999999999997</v>
      </c>
      <c r="O19" s="162">
        <v>2016</v>
      </c>
      <c r="P19" s="91">
        <v>33.799999999999997</v>
      </c>
      <c r="Q19" s="162">
        <v>2016</v>
      </c>
      <c r="R19" s="162"/>
      <c r="S19" s="91">
        <v>33.799999999999997</v>
      </c>
      <c r="T19" s="162">
        <v>2016</v>
      </c>
      <c r="U19" s="91">
        <v>26.6</v>
      </c>
      <c r="V19" s="91" t="s">
        <v>44</v>
      </c>
      <c r="W19" s="91">
        <v>31.9</v>
      </c>
      <c r="X19" s="91">
        <v>31.9</v>
      </c>
      <c r="Y19" s="162"/>
      <c r="Z19" s="91">
        <v>31.9</v>
      </c>
    </row>
    <row r="20" spans="1:26" ht="12.75" customHeight="1">
      <c r="A20" s="260"/>
      <c r="B20" s="260"/>
      <c r="C20" s="260"/>
      <c r="D20" s="260"/>
      <c r="E20" s="260"/>
      <c r="F20" s="260"/>
      <c r="G20" s="260"/>
      <c r="H20" s="260"/>
      <c r="I20" s="260"/>
      <c r="J20" s="249"/>
      <c r="K20" s="158" t="s">
        <v>110</v>
      </c>
      <c r="L20" s="159">
        <v>27.691923076923072</v>
      </c>
      <c r="M20" s="159">
        <v>30</v>
      </c>
      <c r="N20" s="159">
        <v>33.6708</v>
      </c>
      <c r="O20" s="271"/>
      <c r="P20" s="159">
        <v>33.874230769230778</v>
      </c>
      <c r="Q20" s="271"/>
      <c r="R20" s="271"/>
      <c r="S20" s="159">
        <v>33.832692307692305</v>
      </c>
      <c r="T20" s="271"/>
      <c r="U20" s="159">
        <v>25.201153846153844</v>
      </c>
      <c r="V20" s="159">
        <v>27.5</v>
      </c>
      <c r="W20" s="159">
        <v>31.307600000000001</v>
      </c>
      <c r="X20" s="159">
        <v>31.437692307692309</v>
      </c>
      <c r="Y20" s="162"/>
      <c r="Z20" s="159">
        <v>31.506923076923076</v>
      </c>
    </row>
    <row r="21" spans="1:26" ht="12.75" customHeight="1">
      <c r="A21" s="260"/>
      <c r="B21" s="260"/>
      <c r="C21" s="260"/>
      <c r="D21" s="260"/>
      <c r="E21" s="260"/>
      <c r="F21" s="260"/>
      <c r="G21" s="260"/>
      <c r="H21" s="260"/>
      <c r="I21" s="260"/>
      <c r="J21" s="249"/>
      <c r="K21" s="90" t="s">
        <v>36</v>
      </c>
      <c r="L21" s="91" t="s">
        <v>44</v>
      </c>
      <c r="M21" s="91">
        <v>27.697914830189301</v>
      </c>
      <c r="N21" s="91">
        <v>32.700000000000003</v>
      </c>
      <c r="O21" s="162">
        <v>2016</v>
      </c>
      <c r="P21" s="91">
        <v>32.700000000000003</v>
      </c>
      <c r="Q21" s="162">
        <v>2016</v>
      </c>
      <c r="R21" s="162"/>
      <c r="S21" s="91">
        <v>32.700000000000003</v>
      </c>
      <c r="T21" s="162">
        <v>2016</v>
      </c>
      <c r="U21" s="91" t="s">
        <v>44</v>
      </c>
      <c r="V21" s="91">
        <v>25.6370500880946</v>
      </c>
      <c r="W21" s="91">
        <v>31.5</v>
      </c>
      <c r="X21" s="91">
        <v>31.5</v>
      </c>
      <c r="Y21" s="271"/>
      <c r="Z21" s="91">
        <v>31.5</v>
      </c>
    </row>
    <row r="22" spans="1:26" ht="12.75" customHeight="1">
      <c r="A22" s="260"/>
      <c r="B22" s="260"/>
      <c r="C22" s="260"/>
      <c r="D22" s="260"/>
      <c r="E22" s="260"/>
      <c r="F22" s="260"/>
      <c r="G22" s="260"/>
      <c r="H22" s="260"/>
      <c r="I22" s="260"/>
      <c r="J22" s="249"/>
      <c r="K22" s="90" t="s">
        <v>14</v>
      </c>
      <c r="L22" s="91">
        <v>26.9</v>
      </c>
      <c r="M22" s="91">
        <v>29.9</v>
      </c>
      <c r="N22" s="91">
        <v>33.9</v>
      </c>
      <c r="O22" s="162"/>
      <c r="P22" s="91">
        <v>33.6</v>
      </c>
      <c r="Q22" s="162"/>
      <c r="R22" s="162"/>
      <c r="S22" s="91">
        <v>33.9</v>
      </c>
      <c r="T22" s="162"/>
      <c r="U22" s="91">
        <v>23.9</v>
      </c>
      <c r="V22" s="91">
        <v>27</v>
      </c>
      <c r="W22" s="91">
        <v>31.2</v>
      </c>
      <c r="X22" s="91">
        <v>31.1</v>
      </c>
      <c r="Y22" s="162"/>
      <c r="Z22" s="91">
        <v>31.4</v>
      </c>
    </row>
    <row r="23" spans="1:26" ht="12.75" customHeight="1">
      <c r="J23" s="249"/>
      <c r="K23" s="90" t="s">
        <v>31</v>
      </c>
      <c r="L23" s="91">
        <v>28.2</v>
      </c>
      <c r="M23" s="91">
        <v>30.5</v>
      </c>
      <c r="N23" s="91">
        <v>34</v>
      </c>
      <c r="O23" s="162">
        <v>2017</v>
      </c>
      <c r="P23" s="91">
        <v>34</v>
      </c>
      <c r="Q23" s="162">
        <v>2017</v>
      </c>
      <c r="R23" s="162"/>
      <c r="S23" s="91">
        <v>34</v>
      </c>
      <c r="T23" s="162">
        <v>2017</v>
      </c>
      <c r="U23" s="91">
        <v>25.5</v>
      </c>
      <c r="V23" s="91">
        <v>27.7</v>
      </c>
      <c r="W23" s="91">
        <v>31.2</v>
      </c>
      <c r="X23" s="91">
        <v>31.2</v>
      </c>
      <c r="Y23" s="162"/>
      <c r="Z23" s="91">
        <v>31.2</v>
      </c>
    </row>
    <row r="24" spans="1:26" ht="12.75" customHeight="1">
      <c r="J24" s="259"/>
      <c r="K24" s="90" t="s">
        <v>23</v>
      </c>
      <c r="L24" s="91">
        <v>27.79</v>
      </c>
      <c r="M24" s="91">
        <v>29.28</v>
      </c>
      <c r="N24" s="91">
        <v>33.4</v>
      </c>
      <c r="O24" s="162"/>
      <c r="P24" s="91">
        <v>33.200000000000003</v>
      </c>
      <c r="Q24" s="162"/>
      <c r="R24" s="162"/>
      <c r="S24" s="91">
        <v>33.4</v>
      </c>
      <c r="T24" s="162"/>
      <c r="U24" s="91">
        <v>24.78</v>
      </c>
      <c r="V24" s="91">
        <v>26.49</v>
      </c>
      <c r="W24" s="91">
        <v>30.6</v>
      </c>
      <c r="X24" s="91">
        <v>30.8</v>
      </c>
      <c r="Y24" s="162"/>
      <c r="Z24" s="91">
        <v>31.1</v>
      </c>
    </row>
    <row r="25" spans="1:26" ht="12.75" customHeight="1">
      <c r="J25" s="249"/>
      <c r="K25" s="158" t="s">
        <v>193</v>
      </c>
      <c r="L25" s="159" t="s">
        <v>91</v>
      </c>
      <c r="M25" s="159" t="s">
        <v>91</v>
      </c>
      <c r="N25" s="159">
        <v>33.299999999999997</v>
      </c>
      <c r="O25" s="271"/>
      <c r="P25" s="159">
        <v>33.552</v>
      </c>
      <c r="Q25" s="271"/>
      <c r="R25" s="271"/>
      <c r="S25" s="159">
        <v>33.483333333333334</v>
      </c>
      <c r="T25" s="271"/>
      <c r="U25" s="159" t="s">
        <v>91</v>
      </c>
      <c r="V25" s="159" t="s">
        <v>91</v>
      </c>
      <c r="W25" s="159">
        <v>30.719999999999995</v>
      </c>
      <c r="X25" s="159">
        <v>31.007999999999996</v>
      </c>
      <c r="Y25" s="271"/>
      <c r="Z25" s="159">
        <v>31.063999999999993</v>
      </c>
    </row>
    <row r="26" spans="1:26" ht="12.75" customHeight="1">
      <c r="J26" s="249"/>
      <c r="K26" s="158" t="s">
        <v>111</v>
      </c>
      <c r="L26" s="159" t="s">
        <v>91</v>
      </c>
      <c r="M26" s="159" t="s">
        <v>91</v>
      </c>
      <c r="N26" s="159">
        <v>32.988571428571426</v>
      </c>
      <c r="O26" s="271"/>
      <c r="P26" s="159">
        <v>33.331428571428582</v>
      </c>
      <c r="Q26" s="271"/>
      <c r="R26" s="271"/>
      <c r="S26" s="159">
        <v>33.381818181818183</v>
      </c>
      <c r="T26" s="271"/>
      <c r="U26" s="159"/>
      <c r="V26" s="159"/>
      <c r="W26" s="159">
        <v>30.620000000000008</v>
      </c>
      <c r="X26" s="159">
        <v>30.917142857142849</v>
      </c>
      <c r="Y26" s="162"/>
      <c r="Z26" s="159">
        <v>30.999999999999993</v>
      </c>
    </row>
    <row r="27" spans="1:26" ht="12.75" customHeight="1">
      <c r="J27" s="249"/>
      <c r="K27" s="90" t="s">
        <v>30</v>
      </c>
      <c r="L27" s="91">
        <v>29</v>
      </c>
      <c r="M27" s="91">
        <v>31.1</v>
      </c>
      <c r="N27" s="91">
        <v>33.700000000000003</v>
      </c>
      <c r="O27" s="162"/>
      <c r="P27" s="91">
        <v>33.799999999999997</v>
      </c>
      <c r="Q27" s="162"/>
      <c r="R27" s="162"/>
      <c r="S27" s="91">
        <v>32.4</v>
      </c>
      <c r="T27" s="162"/>
      <c r="U27" s="91">
        <v>24.9</v>
      </c>
      <c r="V27" s="91">
        <v>27.2</v>
      </c>
      <c r="W27" s="91">
        <v>30.7</v>
      </c>
      <c r="X27" s="91">
        <v>30.7</v>
      </c>
      <c r="Y27" s="162"/>
      <c r="Z27" s="91">
        <v>30.9</v>
      </c>
    </row>
    <row r="28" spans="1:26" ht="12.75" customHeight="1">
      <c r="J28" s="258"/>
      <c r="K28" s="90" t="s">
        <v>21</v>
      </c>
      <c r="L28" s="91" t="s">
        <v>44</v>
      </c>
      <c r="M28" s="91" t="s">
        <v>44</v>
      </c>
      <c r="N28" s="91">
        <v>32.799999999999997</v>
      </c>
      <c r="O28" s="162"/>
      <c r="P28" s="91">
        <v>33.200000000000003</v>
      </c>
      <c r="Q28" s="162"/>
      <c r="R28" s="162"/>
      <c r="S28" s="91">
        <v>33.4</v>
      </c>
      <c r="T28" s="162"/>
      <c r="U28" s="91" t="s">
        <v>44</v>
      </c>
      <c r="V28" s="91" t="s">
        <v>44</v>
      </c>
      <c r="W28" s="91">
        <v>30</v>
      </c>
      <c r="X28" s="91">
        <v>30.3</v>
      </c>
      <c r="Y28" s="162"/>
      <c r="Z28" s="91">
        <v>30.5</v>
      </c>
    </row>
    <row r="29" spans="1:26" ht="12.75" customHeight="1">
      <c r="J29" s="258"/>
      <c r="K29" s="90" t="s">
        <v>11</v>
      </c>
      <c r="L29" s="91">
        <v>29.5</v>
      </c>
      <c r="M29" s="91">
        <v>30.8</v>
      </c>
      <c r="N29" s="91">
        <v>33.1</v>
      </c>
      <c r="O29" s="162"/>
      <c r="P29" s="91">
        <v>32.200000000000003</v>
      </c>
      <c r="Q29" s="162"/>
      <c r="R29" s="162"/>
      <c r="S29" s="91">
        <v>32.200000000000003</v>
      </c>
      <c r="T29" s="162"/>
      <c r="U29" s="91">
        <v>27</v>
      </c>
      <c r="V29" s="91">
        <v>28.2</v>
      </c>
      <c r="W29" s="91">
        <v>30.7</v>
      </c>
      <c r="X29" s="91">
        <v>30.2</v>
      </c>
      <c r="Y29" s="271"/>
      <c r="Z29" s="91">
        <v>30.3</v>
      </c>
    </row>
    <row r="30" spans="1:26" ht="13.5" customHeight="1">
      <c r="J30" s="258"/>
      <c r="K30" s="90" t="s">
        <v>4</v>
      </c>
      <c r="L30" s="91" t="s">
        <v>44</v>
      </c>
      <c r="M30" s="91" t="s">
        <v>44</v>
      </c>
      <c r="N30" s="91">
        <v>32.299999999999997</v>
      </c>
      <c r="O30" s="162"/>
      <c r="P30" s="91">
        <v>32.299999999999997</v>
      </c>
      <c r="Q30" s="162"/>
      <c r="R30" s="162"/>
      <c r="S30" s="91">
        <v>32.6</v>
      </c>
      <c r="T30" s="162"/>
      <c r="U30" s="91" t="s">
        <v>44</v>
      </c>
      <c r="V30" s="91" t="s">
        <v>44</v>
      </c>
      <c r="W30" s="91">
        <v>29.6</v>
      </c>
      <c r="X30" s="91">
        <v>29.8</v>
      </c>
      <c r="Y30" s="162"/>
      <c r="Z30" s="91">
        <v>30</v>
      </c>
    </row>
    <row r="31" spans="1:26" ht="13.5" customHeight="1">
      <c r="J31" s="249"/>
      <c r="K31" s="90" t="s">
        <v>34</v>
      </c>
      <c r="L31" s="91" t="s">
        <v>44</v>
      </c>
      <c r="M31" s="91">
        <v>28.1</v>
      </c>
      <c r="N31" s="91">
        <v>32.799999999999997</v>
      </c>
      <c r="O31" s="162">
        <v>2018</v>
      </c>
      <c r="P31" s="91">
        <v>32.799999999999997</v>
      </c>
      <c r="Q31" s="162">
        <v>2018</v>
      </c>
      <c r="R31" s="162"/>
      <c r="S31" s="91">
        <v>32.799999999999997</v>
      </c>
      <c r="T31" s="162">
        <v>2018</v>
      </c>
      <c r="U31" s="91" t="s">
        <v>44</v>
      </c>
      <c r="V31" s="91">
        <v>25.2</v>
      </c>
      <c r="W31" s="91">
        <v>29.9</v>
      </c>
      <c r="X31" s="91">
        <v>29.9</v>
      </c>
      <c r="Y31" s="162"/>
      <c r="Z31" s="91">
        <v>29.9</v>
      </c>
    </row>
    <row r="32" spans="1:26" ht="13.5" customHeight="1">
      <c r="J32" s="249"/>
      <c r="K32" s="90" t="s">
        <v>191</v>
      </c>
      <c r="L32" s="91">
        <v>24.3</v>
      </c>
      <c r="M32" s="91">
        <v>27.6</v>
      </c>
      <c r="N32" s="91">
        <v>32</v>
      </c>
      <c r="O32" s="162"/>
      <c r="P32" s="91">
        <v>32.4</v>
      </c>
      <c r="Q32" s="162"/>
      <c r="R32" s="162"/>
      <c r="S32" s="91">
        <v>32.6</v>
      </c>
      <c r="T32" s="162"/>
      <c r="U32" s="91">
        <v>21.6</v>
      </c>
      <c r="V32" s="91">
        <v>24.6</v>
      </c>
      <c r="W32" s="91">
        <v>29.4</v>
      </c>
      <c r="X32" s="91">
        <v>29.7</v>
      </c>
      <c r="Y32" s="162"/>
      <c r="Z32" s="91">
        <v>29.9</v>
      </c>
    </row>
    <row r="33" spans="1:26">
      <c r="J33" s="249"/>
      <c r="K33" s="90" t="s">
        <v>29</v>
      </c>
      <c r="L33" s="91">
        <v>24.7</v>
      </c>
      <c r="M33" s="91">
        <v>27.6</v>
      </c>
      <c r="N33" s="91">
        <v>32.4</v>
      </c>
      <c r="O33" s="162"/>
      <c r="P33" s="91">
        <v>32.299999999999997</v>
      </c>
      <c r="Q33" s="162"/>
      <c r="R33" s="162"/>
      <c r="S33" s="91">
        <v>32.4</v>
      </c>
      <c r="T33" s="162"/>
      <c r="U33" s="91">
        <v>22</v>
      </c>
      <c r="V33" s="91">
        <v>24.8</v>
      </c>
      <c r="W33" s="91">
        <v>29.6</v>
      </c>
      <c r="X33" s="91">
        <v>29.5</v>
      </c>
      <c r="Y33" s="162"/>
      <c r="Z33" s="91">
        <v>29.7</v>
      </c>
    </row>
    <row r="34" spans="1:26" ht="13.5" customHeight="1">
      <c r="J34" s="249"/>
      <c r="K34" s="90" t="s">
        <v>19</v>
      </c>
      <c r="L34" s="91">
        <v>26.8</v>
      </c>
      <c r="M34" s="91">
        <v>29.2</v>
      </c>
      <c r="N34" s="91">
        <v>30.6</v>
      </c>
      <c r="O34" s="162"/>
      <c r="P34" s="91">
        <v>30.6</v>
      </c>
      <c r="Q34" s="162"/>
      <c r="R34" s="162"/>
      <c r="S34" s="162">
        <v>30.7</v>
      </c>
      <c r="T34" s="162"/>
      <c r="U34" s="91">
        <v>24.5</v>
      </c>
      <c r="V34" s="91">
        <v>27.4</v>
      </c>
      <c r="W34" s="91">
        <v>29.4</v>
      </c>
      <c r="X34" s="91">
        <v>29.5</v>
      </c>
      <c r="Y34" s="162"/>
      <c r="Z34" s="91">
        <v>29.6</v>
      </c>
    </row>
    <row r="35" spans="1:26" ht="13.5" customHeight="1">
      <c r="J35" s="249"/>
      <c r="K35" s="90" t="s">
        <v>24</v>
      </c>
      <c r="L35" s="91">
        <v>28.4</v>
      </c>
      <c r="M35" s="91">
        <v>28.8</v>
      </c>
      <c r="N35" s="91">
        <v>31.2</v>
      </c>
      <c r="O35" s="162"/>
      <c r="P35" s="91">
        <v>31</v>
      </c>
      <c r="Q35" s="162"/>
      <c r="R35" s="162"/>
      <c r="S35" s="91">
        <v>31</v>
      </c>
      <c r="T35" s="162">
        <v>2020</v>
      </c>
      <c r="U35" s="91">
        <v>25.9</v>
      </c>
      <c r="V35" s="91">
        <v>27</v>
      </c>
      <c r="W35" s="91">
        <v>29.6</v>
      </c>
      <c r="X35" s="91">
        <v>29.4</v>
      </c>
      <c r="Y35" s="162"/>
      <c r="Z35" s="91">
        <v>29.4</v>
      </c>
    </row>
    <row r="36" spans="1:26" ht="13.5" customHeight="1">
      <c r="J36" s="249"/>
      <c r="K36" s="90" t="s">
        <v>40</v>
      </c>
      <c r="L36" s="91">
        <v>26.5</v>
      </c>
      <c r="M36" s="91">
        <v>28.5</v>
      </c>
      <c r="N36" s="91">
        <v>30.7</v>
      </c>
      <c r="O36" s="162"/>
      <c r="P36" s="91">
        <v>30.6</v>
      </c>
      <c r="Q36" s="162"/>
      <c r="R36" s="162"/>
      <c r="S36" s="91">
        <v>30.8</v>
      </c>
      <c r="T36" s="162"/>
      <c r="U36" s="91">
        <v>24.3</v>
      </c>
      <c r="V36" s="91">
        <v>26.7</v>
      </c>
      <c r="W36" s="91">
        <v>29.3</v>
      </c>
      <c r="X36" s="91">
        <v>29.2</v>
      </c>
      <c r="Y36" s="162"/>
      <c r="Z36" s="91">
        <v>29.4</v>
      </c>
    </row>
    <row r="37" spans="1:26" ht="13.5" customHeight="1">
      <c r="J37" s="249"/>
      <c r="K37" s="90" t="s">
        <v>15</v>
      </c>
      <c r="L37" s="91" t="s">
        <v>44</v>
      </c>
      <c r="M37" s="91">
        <v>26.9</v>
      </c>
      <c r="N37" s="91">
        <v>29.2</v>
      </c>
      <c r="O37" s="162"/>
      <c r="P37" s="91">
        <v>31.5</v>
      </c>
      <c r="Q37" s="162"/>
      <c r="R37" s="162"/>
      <c r="S37" s="91">
        <v>31.7</v>
      </c>
      <c r="T37" s="162"/>
      <c r="U37" s="91" t="s">
        <v>44</v>
      </c>
      <c r="V37" s="91">
        <v>24.1</v>
      </c>
      <c r="W37" s="91">
        <v>26.6</v>
      </c>
      <c r="X37" s="91">
        <v>28.8</v>
      </c>
      <c r="Y37" s="162"/>
      <c r="Z37" s="91">
        <v>28.9</v>
      </c>
    </row>
    <row r="38" spans="1:26" ht="13.5" customHeight="1">
      <c r="A38" s="396" t="s">
        <v>234</v>
      </c>
      <c r="B38" s="396"/>
      <c r="C38" s="396"/>
      <c r="D38" s="396"/>
      <c r="E38" s="396"/>
      <c r="F38" s="396"/>
      <c r="G38" s="396"/>
      <c r="H38" s="396"/>
      <c r="I38" s="396"/>
      <c r="J38" s="249"/>
      <c r="K38" s="90" t="s">
        <v>37</v>
      </c>
      <c r="L38" s="91">
        <v>27.6</v>
      </c>
      <c r="M38" s="91">
        <v>29.5</v>
      </c>
      <c r="N38" s="91">
        <v>31.3</v>
      </c>
      <c r="O38" s="162">
        <v>2017</v>
      </c>
      <c r="P38" s="91"/>
      <c r="Q38" s="162"/>
      <c r="R38" s="162"/>
      <c r="S38" s="91">
        <v>31.3</v>
      </c>
      <c r="T38" s="162"/>
      <c r="U38" s="91">
        <v>25.54</v>
      </c>
      <c r="V38" s="91">
        <v>27.5</v>
      </c>
      <c r="W38" s="91">
        <v>28.9</v>
      </c>
      <c r="X38" s="91"/>
      <c r="Y38" s="162">
        <v>2017</v>
      </c>
      <c r="Z38" s="91">
        <v>28.9</v>
      </c>
    </row>
    <row r="39" spans="1:26" ht="12.75" customHeight="1">
      <c r="A39" s="396"/>
      <c r="B39" s="396"/>
      <c r="C39" s="396"/>
      <c r="D39" s="396"/>
      <c r="E39" s="396"/>
      <c r="F39" s="396"/>
      <c r="G39" s="396"/>
      <c r="H39" s="396"/>
      <c r="I39" s="396"/>
      <c r="J39" s="249"/>
      <c r="K39" s="90" t="s">
        <v>6</v>
      </c>
      <c r="L39" s="91" t="s">
        <v>44</v>
      </c>
      <c r="M39" s="91" t="s">
        <v>44</v>
      </c>
      <c r="N39" s="91">
        <v>31.1</v>
      </c>
      <c r="O39" s="162"/>
      <c r="P39" s="91">
        <v>31.3</v>
      </c>
      <c r="Q39" s="162"/>
      <c r="R39" s="162"/>
      <c r="S39" s="91">
        <v>31.3</v>
      </c>
      <c r="T39" s="162"/>
      <c r="U39" s="91" t="s">
        <v>44</v>
      </c>
      <c r="V39" s="91" t="s">
        <v>44</v>
      </c>
      <c r="W39" s="91">
        <v>28.5</v>
      </c>
      <c r="X39" s="91">
        <v>28.7</v>
      </c>
      <c r="Y39" s="162"/>
      <c r="Z39" s="91">
        <v>28.8</v>
      </c>
    </row>
    <row r="40" spans="1:26" ht="12.75" customHeight="1">
      <c r="A40" s="396"/>
      <c r="B40" s="396"/>
      <c r="C40" s="396"/>
      <c r="D40" s="396"/>
      <c r="E40" s="396"/>
      <c r="F40" s="396"/>
      <c r="G40" s="396"/>
      <c r="H40" s="396"/>
      <c r="I40" s="396"/>
      <c r="J40" s="249"/>
      <c r="K40" s="90" t="s">
        <v>3</v>
      </c>
      <c r="L40" s="91">
        <v>24.6</v>
      </c>
      <c r="M40" s="91">
        <v>26.1</v>
      </c>
      <c r="N40" s="91">
        <v>31.1</v>
      </c>
      <c r="O40" s="162"/>
      <c r="P40" s="91">
        <v>30.8</v>
      </c>
      <c r="Q40" s="162"/>
      <c r="R40" s="162"/>
      <c r="S40" s="91">
        <v>31</v>
      </c>
      <c r="T40" s="162"/>
      <c r="U40" s="91">
        <v>22.7</v>
      </c>
      <c r="V40" s="91">
        <v>23.8</v>
      </c>
      <c r="W40" s="91">
        <v>28.4</v>
      </c>
      <c r="X40" s="91">
        <v>28.4</v>
      </c>
      <c r="Y40" s="162"/>
      <c r="Z40" s="91">
        <v>28.6</v>
      </c>
    </row>
    <row r="41" spans="1:26" ht="12.75" customHeight="1">
      <c r="A41" s="396"/>
      <c r="B41" s="396"/>
      <c r="C41" s="396"/>
      <c r="D41" s="396"/>
      <c r="E41" s="396"/>
      <c r="F41" s="396"/>
      <c r="G41" s="396"/>
      <c r="H41" s="396"/>
      <c r="I41" s="396"/>
      <c r="J41" s="249"/>
      <c r="K41" s="90" t="s">
        <v>8</v>
      </c>
      <c r="L41" s="91">
        <v>26.1</v>
      </c>
      <c r="M41" s="91">
        <v>26.8</v>
      </c>
      <c r="N41" s="91">
        <v>29.8</v>
      </c>
      <c r="O41" s="162"/>
      <c r="P41" s="91">
        <v>30.5</v>
      </c>
      <c r="Q41" s="162"/>
      <c r="R41" s="162"/>
      <c r="S41" s="91">
        <v>30.4</v>
      </c>
      <c r="T41" s="162"/>
      <c r="U41" s="91">
        <v>23.9</v>
      </c>
      <c r="V41" s="91">
        <v>25.1</v>
      </c>
      <c r="W41" s="91">
        <v>28</v>
      </c>
      <c r="X41" s="91">
        <v>28.1</v>
      </c>
      <c r="Y41" s="162"/>
      <c r="Z41" s="91">
        <v>28.6</v>
      </c>
    </row>
    <row r="42" spans="1:26">
      <c r="A42" s="396"/>
      <c r="B42" s="396"/>
      <c r="C42" s="396"/>
      <c r="D42" s="396"/>
      <c r="E42" s="396"/>
      <c r="F42" s="396"/>
      <c r="G42" s="396"/>
      <c r="H42" s="396"/>
      <c r="I42" s="396"/>
      <c r="J42" s="249"/>
      <c r="K42" s="90" t="s">
        <v>7</v>
      </c>
      <c r="L42" s="91">
        <v>24.6</v>
      </c>
      <c r="M42" s="91">
        <v>28.5</v>
      </c>
      <c r="N42" s="91">
        <v>31</v>
      </c>
      <c r="O42" s="162"/>
      <c r="P42" s="91">
        <v>31.2</v>
      </c>
      <c r="Q42" s="162"/>
      <c r="R42" s="162"/>
      <c r="S42" s="91">
        <v>31.4</v>
      </c>
      <c r="T42" s="162"/>
      <c r="U42" s="91">
        <v>21.5</v>
      </c>
      <c r="V42" s="91">
        <v>24.7</v>
      </c>
      <c r="W42" s="91">
        <v>27.8</v>
      </c>
      <c r="X42" s="91">
        <v>28.1</v>
      </c>
      <c r="Y42" s="162"/>
      <c r="Z42" s="91">
        <v>28.3</v>
      </c>
    </row>
    <row r="43" spans="1:26" ht="12.75" customHeight="1">
      <c r="A43" s="394"/>
      <c r="B43" s="394"/>
      <c r="C43" s="394"/>
      <c r="D43" s="394"/>
      <c r="E43" s="394"/>
      <c r="F43" s="394"/>
      <c r="G43" s="394"/>
      <c r="H43" s="394"/>
      <c r="I43" s="394"/>
      <c r="J43" s="249"/>
      <c r="K43" s="90" t="s">
        <v>17</v>
      </c>
      <c r="L43" s="91" t="s">
        <v>44</v>
      </c>
      <c r="M43" s="91">
        <v>26.5</v>
      </c>
      <c r="N43" s="91">
        <v>30.1</v>
      </c>
      <c r="O43" s="162"/>
      <c r="P43" s="91">
        <v>30.2</v>
      </c>
      <c r="Q43" s="162"/>
      <c r="R43" s="162"/>
      <c r="S43" s="91">
        <v>30.2</v>
      </c>
      <c r="T43" s="162">
        <v>2020</v>
      </c>
      <c r="U43" s="91" t="s">
        <v>44</v>
      </c>
      <c r="V43" s="91">
        <v>24.1</v>
      </c>
      <c r="W43" s="91">
        <v>27.7</v>
      </c>
      <c r="X43" s="91">
        <v>27.9</v>
      </c>
      <c r="Y43" s="162"/>
      <c r="Z43" s="91">
        <v>27.9</v>
      </c>
    </row>
    <row r="44" spans="1:26" ht="12.75" customHeight="1">
      <c r="A44" s="257"/>
      <c r="B44" s="257"/>
      <c r="C44" s="257"/>
      <c r="D44" s="257"/>
      <c r="E44" s="257"/>
      <c r="F44" s="257"/>
      <c r="G44" s="257"/>
      <c r="H44" s="257"/>
      <c r="I44" s="257"/>
      <c r="J44" s="249"/>
      <c r="K44" s="90" t="s">
        <v>1</v>
      </c>
      <c r="L44" s="91">
        <v>25.6</v>
      </c>
      <c r="M44" s="91">
        <v>27.3</v>
      </c>
      <c r="N44" s="91">
        <v>31.7</v>
      </c>
      <c r="O44" s="162"/>
      <c r="P44" s="91">
        <v>30.6</v>
      </c>
      <c r="Q44" s="162"/>
      <c r="R44" s="162"/>
      <c r="S44" s="91">
        <v>30.7</v>
      </c>
      <c r="T44" s="162"/>
      <c r="U44" s="91">
        <v>22.4</v>
      </c>
      <c r="V44" s="91">
        <v>23.7</v>
      </c>
      <c r="W44" s="91">
        <v>28.3</v>
      </c>
      <c r="X44" s="91">
        <v>27.3</v>
      </c>
      <c r="Y44" s="162"/>
      <c r="Z44" s="91">
        <v>27.5</v>
      </c>
    </row>
    <row r="45" spans="1:26" ht="12.75" customHeight="1">
      <c r="A45" s="387"/>
      <c r="B45" s="387"/>
      <c r="C45" s="387"/>
      <c r="D45" s="387"/>
      <c r="E45" s="387"/>
      <c r="F45" s="387"/>
      <c r="G45" s="387"/>
      <c r="H45" s="387"/>
      <c r="I45" s="387"/>
      <c r="J45" s="249"/>
      <c r="K45" s="90" t="s">
        <v>26</v>
      </c>
      <c r="L45" s="91" t="s">
        <v>44</v>
      </c>
      <c r="M45" s="91" t="s">
        <v>44</v>
      </c>
      <c r="N45" s="91">
        <v>27.3</v>
      </c>
      <c r="O45" s="162"/>
      <c r="P45" s="91">
        <v>26.9</v>
      </c>
      <c r="Q45" s="162"/>
      <c r="R45" s="162"/>
      <c r="S45" s="91">
        <v>27.5</v>
      </c>
      <c r="T45" s="162"/>
      <c r="U45" s="91" t="s">
        <v>44</v>
      </c>
      <c r="V45" s="91" t="s">
        <v>44</v>
      </c>
      <c r="W45" s="91">
        <v>24.9</v>
      </c>
      <c r="X45" s="91">
        <v>24.6</v>
      </c>
      <c r="Y45" s="162"/>
      <c r="Z45" s="91">
        <v>25.2</v>
      </c>
    </row>
    <row r="46" spans="1:26">
      <c r="A46" s="256" t="s">
        <v>104</v>
      </c>
      <c r="B46" s="255"/>
      <c r="C46" s="250"/>
      <c r="D46" s="250"/>
      <c r="E46" s="250"/>
      <c r="J46" s="249"/>
      <c r="K46" s="87" t="s">
        <v>189</v>
      </c>
      <c r="L46" s="143" t="s">
        <v>44</v>
      </c>
      <c r="M46" s="143" t="s">
        <v>44</v>
      </c>
      <c r="N46" s="143">
        <v>28</v>
      </c>
      <c r="O46" s="163"/>
      <c r="P46" s="143">
        <v>27.9</v>
      </c>
      <c r="Q46" s="163"/>
      <c r="R46" s="163"/>
      <c r="S46" s="143">
        <v>27.9</v>
      </c>
      <c r="T46" s="163">
        <v>2020</v>
      </c>
      <c r="U46" s="143" t="s">
        <v>44</v>
      </c>
      <c r="V46" s="143" t="s">
        <v>44</v>
      </c>
      <c r="W46" s="143">
        <v>25</v>
      </c>
      <c r="X46" s="143">
        <v>25.1</v>
      </c>
      <c r="Y46" s="163"/>
      <c r="Z46" s="143">
        <v>25.1</v>
      </c>
    </row>
    <row r="47" spans="1:26" ht="13.5">
      <c r="A47" s="21" t="s">
        <v>59</v>
      </c>
      <c r="B47" s="248"/>
      <c r="C47" s="248"/>
      <c r="D47" s="248"/>
      <c r="E47" s="247"/>
      <c r="J47" s="249"/>
      <c r="K47" s="254"/>
      <c r="L47" s="254"/>
      <c r="M47" s="254"/>
      <c r="N47" s="254"/>
      <c r="O47" s="254"/>
      <c r="P47" s="254"/>
      <c r="Q47" s="254"/>
      <c r="R47" s="254"/>
      <c r="S47" s="254"/>
      <c r="T47" s="254"/>
      <c r="U47" s="254"/>
      <c r="V47" s="252"/>
      <c r="W47" s="254"/>
      <c r="Z47" s="254"/>
    </row>
    <row r="48" spans="1:26" ht="13.5">
      <c r="A48" s="47" t="s">
        <v>60</v>
      </c>
      <c r="B48" s="248"/>
      <c r="C48" s="248"/>
      <c r="D48" s="248"/>
      <c r="E48" s="247"/>
      <c r="J48" s="249"/>
      <c r="K48" s="248"/>
      <c r="L48" s="248"/>
      <c r="M48" s="248"/>
      <c r="N48" s="252"/>
      <c r="O48" s="252"/>
      <c r="P48" s="252"/>
      <c r="Q48" s="252"/>
      <c r="R48" s="252"/>
      <c r="S48" s="252"/>
      <c r="T48" s="252"/>
      <c r="U48" s="248"/>
      <c r="V48" s="248"/>
      <c r="W48" s="252"/>
      <c r="Z48" s="252"/>
    </row>
    <row r="49" spans="1:26" ht="13.5">
      <c r="A49" s="47" t="s">
        <v>87</v>
      </c>
      <c r="B49" s="248"/>
      <c r="C49" s="248"/>
      <c r="D49" s="248"/>
      <c r="E49" s="247"/>
      <c r="J49" s="249"/>
      <c r="K49" s="248"/>
      <c r="L49" s="248"/>
      <c r="M49" s="49"/>
      <c r="N49" s="49"/>
      <c r="O49" s="49"/>
      <c r="P49" s="49"/>
      <c r="Q49" s="49"/>
      <c r="R49" s="49"/>
      <c r="S49" s="49"/>
      <c r="T49" s="49"/>
      <c r="U49" s="248"/>
      <c r="V49" s="248"/>
      <c r="W49" s="248"/>
      <c r="Z49" s="49"/>
    </row>
    <row r="50" spans="1:26" ht="13.5">
      <c r="A50" s="47" t="s">
        <v>84</v>
      </c>
      <c r="B50" s="248"/>
      <c r="C50" s="248"/>
      <c r="D50" s="252"/>
      <c r="E50" s="247"/>
      <c r="J50" s="249"/>
      <c r="K50" s="248"/>
      <c r="L50" s="248"/>
      <c r="M50" s="49"/>
      <c r="N50" s="49"/>
      <c r="O50" s="49"/>
      <c r="P50" s="49"/>
      <c r="Q50" s="49"/>
      <c r="R50" s="49"/>
      <c r="S50" s="49"/>
      <c r="T50" s="49"/>
      <c r="U50" s="248"/>
      <c r="V50" s="248"/>
      <c r="W50" s="248"/>
      <c r="Z50" s="49"/>
    </row>
    <row r="51" spans="1:26" ht="13.5">
      <c r="A51" s="47" t="s">
        <v>82</v>
      </c>
      <c r="B51" s="248"/>
      <c r="C51" s="248"/>
      <c r="D51" s="252"/>
      <c r="E51" s="247"/>
      <c r="J51" s="249"/>
      <c r="K51" s="253"/>
      <c r="L51" s="253"/>
      <c r="M51" s="49"/>
      <c r="N51" s="49"/>
      <c r="O51" s="49"/>
      <c r="P51" s="49"/>
      <c r="Q51" s="49"/>
      <c r="R51" s="49"/>
      <c r="S51" s="49"/>
      <c r="T51" s="49"/>
      <c r="U51" s="253"/>
      <c r="V51" s="253"/>
      <c r="W51" s="253"/>
      <c r="Z51" s="49"/>
    </row>
    <row r="52" spans="1:26" ht="12.75" customHeight="1">
      <c r="A52" s="32" t="s">
        <v>47</v>
      </c>
      <c r="B52" s="248"/>
      <c r="C52" s="248"/>
      <c r="D52" s="252"/>
      <c r="E52" s="247"/>
      <c r="J52" s="249"/>
      <c r="K52" s="253"/>
      <c r="L52" s="253"/>
      <c r="M52" s="49"/>
      <c r="N52" s="49"/>
      <c r="O52" s="49"/>
      <c r="P52" s="49"/>
      <c r="Q52" s="49"/>
      <c r="R52" s="49"/>
      <c r="S52" s="49"/>
      <c r="T52" s="49"/>
      <c r="U52" s="253"/>
      <c r="V52" s="253"/>
      <c r="W52" s="253"/>
      <c r="Z52" s="49"/>
    </row>
    <row r="53" spans="1:26" ht="12.75" customHeight="1">
      <c r="A53" s="32" t="s">
        <v>65</v>
      </c>
      <c r="B53" s="248"/>
      <c r="C53" s="248"/>
      <c r="D53" s="252"/>
      <c r="E53" s="247"/>
      <c r="J53" s="249"/>
      <c r="K53" s="251"/>
      <c r="L53" s="251"/>
      <c r="M53" s="49"/>
      <c r="N53" s="49"/>
      <c r="O53" s="49"/>
      <c r="P53" s="49"/>
      <c r="Q53" s="49"/>
      <c r="R53" s="49"/>
      <c r="S53" s="49"/>
      <c r="T53" s="49"/>
      <c r="U53" s="251"/>
      <c r="V53" s="251"/>
      <c r="W53" s="251"/>
      <c r="Z53" s="49"/>
    </row>
    <row r="54" spans="1:26" ht="12.75" customHeight="1">
      <c r="A54" s="32" t="s">
        <v>66</v>
      </c>
      <c r="B54" s="248"/>
      <c r="C54" s="248"/>
      <c r="D54" s="252"/>
      <c r="E54" s="247"/>
      <c r="J54" s="249"/>
      <c r="K54" s="251"/>
      <c r="L54" s="251"/>
      <c r="M54" s="49"/>
      <c r="N54" s="49"/>
      <c r="O54" s="49"/>
      <c r="P54" s="49"/>
      <c r="Q54" s="49"/>
      <c r="R54" s="49"/>
      <c r="S54" s="49"/>
      <c r="T54" s="49"/>
      <c r="U54" s="251"/>
      <c r="V54" s="251"/>
      <c r="W54" s="251"/>
      <c r="Z54" s="49"/>
    </row>
    <row r="55" spans="1:26" ht="12.75" customHeight="1">
      <c r="A55" s="32" t="s">
        <v>64</v>
      </c>
      <c r="J55" s="249"/>
      <c r="K55" s="251"/>
      <c r="L55" s="251"/>
      <c r="M55" s="49"/>
      <c r="N55" s="49"/>
      <c r="O55" s="49"/>
      <c r="P55" s="49"/>
      <c r="Q55" s="49"/>
      <c r="R55" s="49"/>
      <c r="S55" s="49"/>
      <c r="T55" s="49"/>
      <c r="U55" s="251"/>
      <c r="V55" s="251"/>
      <c r="W55" s="251"/>
      <c r="Z55" s="49"/>
    </row>
    <row r="56" spans="1:26" ht="12.75" customHeight="1">
      <c r="A56" s="109" t="s">
        <v>46</v>
      </c>
      <c r="J56" s="249"/>
      <c r="K56" s="250"/>
      <c r="L56" s="250"/>
      <c r="M56" s="49"/>
      <c r="N56" s="49"/>
      <c r="O56" s="49"/>
      <c r="P56" s="49"/>
      <c r="Q56" s="49"/>
      <c r="R56" s="49"/>
      <c r="S56" s="49"/>
      <c r="T56" s="49"/>
      <c r="U56" s="250"/>
      <c r="V56" s="250"/>
      <c r="W56" s="250"/>
      <c r="Z56" s="49"/>
    </row>
    <row r="57" spans="1:26" ht="13.5">
      <c r="A57" s="111" t="s">
        <v>63</v>
      </c>
      <c r="J57" s="249"/>
      <c r="K57" s="248"/>
      <c r="L57" s="247"/>
      <c r="M57" s="49"/>
      <c r="N57" s="49"/>
      <c r="O57" s="49"/>
      <c r="P57" s="49"/>
      <c r="Q57" s="49"/>
      <c r="R57" s="49"/>
      <c r="S57" s="49"/>
      <c r="T57" s="49"/>
      <c r="U57" s="247"/>
      <c r="V57" s="247"/>
      <c r="W57" s="247"/>
      <c r="Z57" s="49"/>
    </row>
    <row r="58" spans="1:26" ht="13.5">
      <c r="J58" s="249"/>
      <c r="K58" s="248"/>
      <c r="L58" s="247"/>
      <c r="M58" s="49"/>
      <c r="N58" s="49"/>
      <c r="O58" s="49"/>
      <c r="P58" s="49"/>
      <c r="Q58" s="49"/>
      <c r="R58" s="49"/>
      <c r="S58" s="49"/>
      <c r="T58" s="49"/>
      <c r="U58" s="247"/>
      <c r="V58" s="247"/>
      <c r="W58" s="247"/>
      <c r="Z58" s="49"/>
    </row>
    <row r="59" spans="1:26" ht="13.5">
      <c r="J59" s="249"/>
      <c r="K59" s="248"/>
      <c r="L59" s="247"/>
      <c r="M59" s="49"/>
      <c r="N59" s="49"/>
      <c r="O59" s="49"/>
      <c r="P59" s="49"/>
      <c r="Q59" s="49"/>
      <c r="R59" s="49"/>
      <c r="S59" s="49"/>
      <c r="T59" s="49"/>
      <c r="U59" s="247"/>
      <c r="V59" s="247"/>
      <c r="W59" s="247"/>
      <c r="Z59" s="49"/>
    </row>
    <row r="60" spans="1:26" ht="13.5">
      <c r="J60" s="248"/>
      <c r="K60" s="248"/>
      <c r="L60" s="247"/>
      <c r="M60" s="49"/>
      <c r="N60" s="49"/>
      <c r="O60" s="49"/>
      <c r="P60" s="49"/>
      <c r="Q60" s="49"/>
      <c r="R60" s="49"/>
      <c r="S60" s="49"/>
      <c r="T60" s="49"/>
      <c r="U60" s="247"/>
      <c r="V60" s="247"/>
      <c r="W60" s="247"/>
      <c r="Z60" s="49"/>
    </row>
    <row r="61" spans="1:26" ht="13.5">
      <c r="J61" s="248"/>
      <c r="K61" s="248"/>
      <c r="L61" s="247"/>
      <c r="M61" s="49"/>
      <c r="N61" s="49"/>
      <c r="O61" s="49"/>
      <c r="P61" s="49"/>
      <c r="Q61" s="49"/>
      <c r="R61" s="49"/>
      <c r="S61" s="49"/>
      <c r="T61" s="49"/>
      <c r="U61" s="247"/>
      <c r="V61" s="247"/>
      <c r="W61" s="247"/>
      <c r="Z61" s="49"/>
    </row>
    <row r="62" spans="1:26" ht="13.5">
      <c r="J62" s="247"/>
      <c r="K62" s="248"/>
      <c r="L62" s="247"/>
      <c r="M62" s="49"/>
      <c r="N62" s="49"/>
      <c r="O62" s="49"/>
      <c r="P62" s="49"/>
      <c r="Q62" s="49"/>
      <c r="R62" s="49"/>
      <c r="S62" s="49"/>
      <c r="T62" s="49"/>
      <c r="U62" s="247"/>
      <c r="V62" s="247"/>
      <c r="W62" s="247"/>
      <c r="Z62" s="49"/>
    </row>
    <row r="63" spans="1:26" ht="13.5">
      <c r="K63" s="248"/>
      <c r="L63" s="247"/>
      <c r="M63" s="49"/>
      <c r="N63" s="49"/>
      <c r="O63" s="49"/>
      <c r="P63" s="49"/>
      <c r="Q63" s="49"/>
      <c r="R63" s="49"/>
      <c r="S63" s="49"/>
      <c r="T63" s="49"/>
      <c r="U63" s="247"/>
      <c r="V63" s="247"/>
      <c r="W63" s="247"/>
      <c r="Z63" s="49"/>
    </row>
    <row r="64" spans="1:26" ht="13.5">
      <c r="K64" s="248"/>
      <c r="L64" s="247"/>
      <c r="M64" s="49"/>
      <c r="N64" s="49"/>
      <c r="O64" s="49"/>
      <c r="P64" s="49"/>
      <c r="Q64" s="49"/>
      <c r="R64" s="49"/>
      <c r="S64" s="49"/>
      <c r="T64" s="49"/>
      <c r="U64" s="247"/>
      <c r="V64" s="247"/>
      <c r="W64" s="247"/>
      <c r="Z64" s="49"/>
    </row>
    <row r="65" spans="13:27">
      <c r="M65" s="49"/>
      <c r="N65" s="49"/>
      <c r="O65" s="49"/>
      <c r="P65" s="49"/>
      <c r="Q65" s="49"/>
      <c r="R65" s="49"/>
      <c r="S65" s="49"/>
      <c r="T65" s="49"/>
      <c r="V65" s="245"/>
      <c r="Z65" s="49"/>
    </row>
    <row r="66" spans="13:27">
      <c r="V66" s="245"/>
      <c r="X66" s="245"/>
      <c r="Y66" s="245"/>
      <c r="AA66" s="245"/>
    </row>
    <row r="67" spans="13:27">
      <c r="V67" s="245"/>
      <c r="X67" s="245"/>
      <c r="Y67" s="245"/>
      <c r="AA67" s="245"/>
    </row>
    <row r="68" spans="13:27">
      <c r="V68" s="245"/>
      <c r="X68" s="245"/>
      <c r="Y68" s="245"/>
      <c r="AA68" s="245"/>
    </row>
    <row r="69" spans="13:27">
      <c r="V69" s="245"/>
      <c r="X69" s="245"/>
      <c r="Y69" s="245"/>
      <c r="AA69" s="245"/>
    </row>
    <row r="70" spans="13:27">
      <c r="V70" s="245"/>
      <c r="X70" s="245"/>
      <c r="Y70" s="245"/>
      <c r="AA70" s="245"/>
    </row>
    <row r="71" spans="13:27">
      <c r="V71" s="245"/>
      <c r="X71" s="245"/>
      <c r="Y71" s="245"/>
      <c r="AA71" s="245"/>
    </row>
    <row r="72" spans="13:27">
      <c r="V72" s="245"/>
      <c r="X72" s="245"/>
      <c r="Y72" s="245"/>
      <c r="AA72" s="245"/>
    </row>
    <row r="73" spans="13:27">
      <c r="V73" s="245"/>
      <c r="X73" s="245"/>
      <c r="Y73" s="245"/>
      <c r="AA73" s="245"/>
    </row>
    <row r="74" spans="13:27">
      <c r="V74" s="245"/>
      <c r="X74" s="245"/>
      <c r="Y74" s="245"/>
      <c r="AA74" s="245"/>
    </row>
    <row r="75" spans="13:27" ht="12.75" customHeight="1">
      <c r="V75" s="245"/>
      <c r="X75" s="245"/>
      <c r="Y75" s="245"/>
      <c r="AA75" s="245"/>
    </row>
    <row r="76" spans="13:27">
      <c r="V76" s="245"/>
      <c r="X76" s="245"/>
      <c r="Y76" s="245"/>
      <c r="AA76" s="245"/>
    </row>
    <row r="77" spans="13:27">
      <c r="V77" s="245"/>
      <c r="X77" s="245"/>
      <c r="Y77" s="245"/>
      <c r="AA77" s="245"/>
    </row>
    <row r="78" spans="13:27">
      <c r="V78" s="245"/>
      <c r="X78" s="245"/>
      <c r="Y78" s="245"/>
      <c r="AA78" s="245"/>
    </row>
    <row r="79" spans="13:27">
      <c r="V79" s="245"/>
      <c r="X79" s="245"/>
      <c r="Y79" s="245"/>
      <c r="AA79" s="245"/>
    </row>
    <row r="80" spans="13:27">
      <c r="V80" s="245"/>
      <c r="X80" s="245"/>
      <c r="Y80" s="245"/>
      <c r="AA80" s="245"/>
    </row>
    <row r="81" spans="22:27">
      <c r="V81" s="245"/>
      <c r="X81" s="245"/>
      <c r="Y81" s="245"/>
      <c r="AA81" s="245"/>
    </row>
    <row r="82" spans="22:27">
      <c r="V82" s="245"/>
      <c r="X82" s="245"/>
      <c r="Y82" s="245"/>
      <c r="AA82" s="245"/>
    </row>
    <row r="83" spans="22:27">
      <c r="V83" s="245"/>
      <c r="X83" s="245"/>
      <c r="Y83" s="245"/>
      <c r="AA83" s="245"/>
    </row>
    <row r="84" spans="22:27">
      <c r="V84" s="245"/>
      <c r="X84" s="245"/>
      <c r="Y84" s="245"/>
      <c r="AA84" s="245"/>
    </row>
    <row r="85" spans="22:27">
      <c r="V85" s="245"/>
      <c r="X85" s="245"/>
      <c r="Y85" s="245"/>
      <c r="AA85" s="245"/>
    </row>
    <row r="86" spans="22:27">
      <c r="V86" s="245"/>
      <c r="X86" s="245"/>
      <c r="Y86" s="245"/>
      <c r="AA86" s="245"/>
    </row>
    <row r="87" spans="22:27">
      <c r="V87" s="245"/>
      <c r="X87" s="245"/>
      <c r="Y87" s="245"/>
      <c r="AA87" s="245"/>
    </row>
    <row r="88" spans="22:27">
      <c r="V88" s="245"/>
      <c r="X88" s="245"/>
      <c r="Y88" s="245"/>
      <c r="AA88" s="245"/>
    </row>
    <row r="89" spans="22:27">
      <c r="V89" s="245"/>
      <c r="X89" s="245"/>
      <c r="Y89" s="245"/>
      <c r="AA89" s="245"/>
    </row>
    <row r="90" spans="22:27">
      <c r="V90" s="245"/>
      <c r="X90" s="245"/>
      <c r="Y90" s="245"/>
      <c r="AA90" s="245"/>
    </row>
    <row r="91" spans="22:27">
      <c r="V91" s="245"/>
      <c r="X91" s="245"/>
      <c r="Y91" s="245"/>
      <c r="AA91" s="245"/>
    </row>
    <row r="92" spans="22:27">
      <c r="V92" s="245"/>
      <c r="X92" s="245"/>
      <c r="Y92" s="245"/>
      <c r="AA92" s="245"/>
    </row>
    <row r="93" spans="22:27">
      <c r="V93" s="245"/>
      <c r="X93" s="245"/>
      <c r="Y93" s="245"/>
      <c r="AA93" s="245"/>
    </row>
    <row r="94" spans="22:27">
      <c r="V94" s="245"/>
      <c r="X94" s="245"/>
      <c r="Y94" s="245"/>
      <c r="AA94" s="245"/>
    </row>
    <row r="95" spans="22:27">
      <c r="V95" s="245"/>
      <c r="X95" s="245"/>
      <c r="Y95" s="245"/>
      <c r="AA95" s="245"/>
    </row>
    <row r="96" spans="22:27">
      <c r="V96" s="245"/>
      <c r="X96" s="245"/>
      <c r="Y96" s="245"/>
      <c r="AA96" s="245"/>
    </row>
    <row r="97" spans="22:27">
      <c r="V97" s="245"/>
      <c r="X97" s="245"/>
      <c r="Y97" s="245"/>
      <c r="AA97" s="245"/>
    </row>
    <row r="98" spans="22:27">
      <c r="V98" s="245"/>
      <c r="X98" s="245"/>
      <c r="Y98" s="245"/>
      <c r="AA98" s="245"/>
    </row>
    <row r="99" spans="22:27">
      <c r="V99" s="245"/>
      <c r="X99" s="245"/>
      <c r="Y99" s="245"/>
      <c r="AA99" s="245"/>
    </row>
    <row r="100" spans="22:27">
      <c r="V100" s="245"/>
      <c r="X100" s="245"/>
      <c r="Y100" s="245"/>
      <c r="AA100" s="245"/>
    </row>
    <row r="101" spans="22:27">
      <c r="V101" s="245"/>
      <c r="X101" s="245"/>
      <c r="Y101" s="245"/>
      <c r="AA101" s="245"/>
    </row>
    <row r="102" spans="22:27">
      <c r="V102" s="245"/>
      <c r="X102" s="245"/>
      <c r="Y102" s="245"/>
      <c r="AA102" s="245"/>
    </row>
    <row r="103" spans="22:27">
      <c r="V103" s="245"/>
      <c r="X103" s="245"/>
      <c r="Y103" s="245"/>
      <c r="AA103" s="245"/>
    </row>
    <row r="104" spans="22:27">
      <c r="V104" s="245"/>
      <c r="X104" s="245"/>
      <c r="Y104" s="245"/>
      <c r="AA104" s="245"/>
    </row>
    <row r="105" spans="22:27">
      <c r="V105" s="245"/>
      <c r="X105" s="245"/>
      <c r="Y105" s="245"/>
      <c r="AA105" s="245"/>
    </row>
    <row r="106" spans="22:27">
      <c r="V106" s="245"/>
      <c r="X106" s="245"/>
      <c r="Y106" s="245"/>
      <c r="AA106" s="245"/>
    </row>
    <row r="107" spans="22:27">
      <c r="V107" s="245"/>
      <c r="X107" s="245"/>
      <c r="Y107" s="245"/>
      <c r="AA107" s="245"/>
    </row>
    <row r="108" spans="22:27">
      <c r="V108" s="245"/>
      <c r="X108" s="245"/>
      <c r="Y108" s="245"/>
      <c r="AA108" s="245"/>
    </row>
    <row r="109" spans="22:27">
      <c r="V109" s="245"/>
      <c r="X109" s="245"/>
      <c r="Y109" s="245"/>
      <c r="AA109" s="245"/>
    </row>
    <row r="110" spans="22:27">
      <c r="V110" s="245"/>
      <c r="X110" s="245"/>
      <c r="Y110" s="245"/>
      <c r="AA110" s="245"/>
    </row>
    <row r="111" spans="22:27">
      <c r="V111" s="245"/>
      <c r="X111" s="245"/>
      <c r="Y111" s="245"/>
      <c r="AA111" s="245"/>
    </row>
    <row r="112" spans="22:27">
      <c r="V112" s="245"/>
      <c r="X112" s="245"/>
      <c r="Y112" s="245"/>
      <c r="AA112" s="245"/>
    </row>
    <row r="113" spans="22:27">
      <c r="V113" s="245"/>
      <c r="X113" s="245"/>
      <c r="Y113" s="245"/>
      <c r="AA113" s="245"/>
    </row>
    <row r="114" spans="22:27">
      <c r="V114" s="245"/>
      <c r="X114" s="245"/>
      <c r="Y114" s="245"/>
      <c r="AA114" s="245"/>
    </row>
    <row r="115" spans="22:27">
      <c r="V115" s="245"/>
      <c r="X115" s="245"/>
      <c r="Y115" s="245"/>
      <c r="AA115" s="245"/>
    </row>
    <row r="116" spans="22:27">
      <c r="V116" s="245"/>
      <c r="X116" s="245"/>
      <c r="Y116" s="245"/>
      <c r="AA116" s="245"/>
    </row>
    <row r="117" spans="22:27">
      <c r="V117" s="245"/>
      <c r="X117" s="245"/>
      <c r="Y117" s="245"/>
      <c r="AA117" s="245"/>
    </row>
    <row r="118" spans="22:27">
      <c r="V118" s="245"/>
      <c r="X118" s="245"/>
      <c r="Y118" s="245"/>
      <c r="AA118" s="245"/>
    </row>
    <row r="119" spans="22:27">
      <c r="V119" s="245"/>
      <c r="X119" s="245"/>
      <c r="Y119" s="245"/>
      <c r="AA119" s="245"/>
    </row>
    <row r="120" spans="22:27">
      <c r="V120" s="245"/>
      <c r="X120" s="245"/>
      <c r="Y120" s="245"/>
      <c r="AA120" s="245"/>
    </row>
    <row r="121" spans="22:27">
      <c r="V121" s="245"/>
      <c r="X121" s="245"/>
      <c r="Y121" s="245"/>
      <c r="AA121" s="245"/>
    </row>
    <row r="122" spans="22:27">
      <c r="V122" s="245"/>
      <c r="X122" s="245"/>
      <c r="Y122" s="245"/>
      <c r="AA122" s="245"/>
    </row>
    <row r="123" spans="22:27">
      <c r="V123" s="245"/>
      <c r="X123" s="245"/>
      <c r="Y123" s="245"/>
      <c r="AA123" s="245"/>
    </row>
    <row r="124" spans="22:27">
      <c r="V124" s="245"/>
      <c r="X124" s="245"/>
      <c r="Y124" s="245"/>
      <c r="AA124" s="245"/>
    </row>
    <row r="125" spans="22:27">
      <c r="V125" s="245"/>
      <c r="X125" s="245"/>
      <c r="Y125" s="245"/>
      <c r="AA125" s="245"/>
    </row>
    <row r="126" spans="22:27">
      <c r="V126" s="245"/>
      <c r="X126" s="245"/>
      <c r="Y126" s="245"/>
      <c r="AA126" s="245"/>
    </row>
    <row r="127" spans="22:27">
      <c r="V127" s="245"/>
      <c r="X127" s="245"/>
      <c r="Y127" s="245"/>
      <c r="AA127" s="245"/>
    </row>
  </sheetData>
  <sortState xmlns:xlrd2="http://schemas.microsoft.com/office/spreadsheetml/2017/richdata2" ref="K5:Z46">
    <sortCondition descending="1" ref="Z5:Z46"/>
  </sortState>
  <mergeCells count="5">
    <mergeCell ref="A1:I2"/>
    <mergeCell ref="A43:I43"/>
    <mergeCell ref="L3:N3"/>
    <mergeCell ref="U3:W3"/>
    <mergeCell ref="A38:I42"/>
  </mergeCells>
  <hyperlinks>
    <hyperlink ref="A47" r:id="rId1" display="Source: for EU countries: Eurostat Demographic Statistics; " xr:uid="{2012A287-5090-4A0B-B578-07DFC34304AE}"/>
    <hyperlink ref="A48" r:id="rId2" xr:uid="{2AE53DE1-F99B-4D07-AC53-8ED068E6A921}"/>
    <hyperlink ref="A57" r:id="rId3" xr:uid="{948E1AB1-4CB2-4F6B-B91E-B9F288F86B9D}"/>
    <hyperlink ref="A55" r:id="rId4" xr:uid="{2AC0CA8A-D4D7-489D-9E0E-363F96D77AF9}"/>
    <hyperlink ref="A52" r:id="rId5" xr:uid="{86447E80-5791-4A1D-AC99-C879203B013C}"/>
    <hyperlink ref="A53" r:id="rId6" xr:uid="{852CD0B0-ED2F-4943-BB40-9DAA2CC4850F}"/>
    <hyperlink ref="A56" r:id="rId7" xr:uid="{84DFF395-E2BC-4C65-A1BE-6663D514767E}"/>
    <hyperlink ref="A50" r:id="rId8" xr:uid="{208BB34A-537C-447B-9520-734EC964D2B1}"/>
    <hyperlink ref="A51" r:id="rId9" xr:uid="{4FAB9577-6598-44F1-9B26-D4561A7B6C38}"/>
    <hyperlink ref="A54" r:id="rId10" xr:uid="{FFD41A7C-C243-4347-80AB-2ACA134C6F98}"/>
    <hyperlink ref="A49" r:id="rId11" display="for Canada, Statistics Canda" xr:uid="{728F9F3D-44AB-4CB7-B099-E0F5B56CBCEC}"/>
  </hyperlinks>
  <pageMargins left="0.70866141732283472" right="0.70866141732283472" top="0.74803149606299213" bottom="0.74803149606299213" header="0.31496062992125984" footer="0.31496062992125984"/>
  <pageSetup paperSize="9" orientation="landscape" r:id="rId12"/>
  <headerFooter>
    <oddHeader>&amp;LOECD Family database (www.oecd.org/els/social/family/database.htm)</oddHeader>
  </headerFooter>
  <customProperties>
    <customPr name="CycleColor" r:id="rId13"/>
    <customPr name="DashStyle" r:id="rId14"/>
    <customPr name="GraphSizeIndex" r:id="rId15"/>
    <customPr name="GraphSizeName" r:id="rId16"/>
    <customPr name="PageSizeIndex" r:id="rId17"/>
    <customPr name="PageSizeName" r:id="rId18"/>
    <customPr name="PaletteIndex" r:id="rId19"/>
    <customPr name="PaletteName" r:id="rId20"/>
    <customPr name="SinglePanel" r:id="rId21"/>
    <customPr name="StartColorIndex" r:id="rId22"/>
    <customPr name="StartColorName" r:id="rId23"/>
    <customPr name="StyleTemplateIndex" r:id="rId24"/>
    <customPr name="StyleTemplateName" r:id="rId25"/>
  </customProperties>
  <drawing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1DF48-51F6-492E-913A-2FDB088A90AA}">
  <sheetPr>
    <pageSetUpPr fitToPage="1"/>
  </sheetPr>
  <dimension ref="A1:CI35"/>
  <sheetViews>
    <sheetView showGridLines="0" zoomScale="60" zoomScaleNormal="60" workbookViewId="0"/>
  </sheetViews>
  <sheetFormatPr defaultColWidth="8.7109375" defaultRowHeight="15"/>
  <cols>
    <col min="1" max="1" width="17.5703125" style="223" customWidth="1"/>
    <col min="2" max="2" width="39.7109375" style="221" bestFit="1" customWidth="1"/>
    <col min="3" max="3" width="23.5703125" style="222" bestFit="1" customWidth="1"/>
    <col min="4" max="4" width="39" style="222" bestFit="1" customWidth="1"/>
    <col min="5" max="5" width="15.5703125" style="49" customWidth="1"/>
    <col min="6" max="6" width="21.140625" style="49" customWidth="1"/>
    <col min="7" max="7" width="25.5703125" style="331" customWidth="1"/>
    <col min="8" max="10" width="8.7109375" style="331"/>
    <col min="11" max="11" width="4.140625" style="331" bestFit="1" customWidth="1"/>
    <col min="12" max="12" width="7.140625" style="331" bestFit="1" customWidth="1"/>
    <col min="13" max="13" width="19" style="332" bestFit="1" customWidth="1"/>
    <col min="14" max="87" width="8.7109375" style="331"/>
    <col min="88" max="16384" width="8.7109375" style="49"/>
  </cols>
  <sheetData>
    <row r="1" spans="1:87" ht="15.75">
      <c r="A1" s="220" t="s">
        <v>217</v>
      </c>
    </row>
    <row r="2" spans="1:87" s="195" customFormat="1" ht="15.75">
      <c r="A2" s="220" t="s">
        <v>216</v>
      </c>
      <c r="B2" s="311"/>
      <c r="C2" s="227"/>
      <c r="D2" s="227"/>
      <c r="G2" s="333"/>
      <c r="H2" s="333"/>
      <c r="I2" s="333"/>
      <c r="J2" s="333"/>
      <c r="K2" s="333"/>
      <c r="L2" s="333"/>
      <c r="M2" s="334"/>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3"/>
      <c r="AV2" s="333"/>
      <c r="AW2" s="333"/>
      <c r="AX2" s="333"/>
      <c r="AY2" s="333"/>
      <c r="AZ2" s="333"/>
      <c r="BA2" s="333"/>
      <c r="BB2" s="333"/>
      <c r="BC2" s="333"/>
      <c r="BD2" s="333"/>
      <c r="BE2" s="333"/>
      <c r="BF2" s="333"/>
      <c r="BG2" s="333"/>
      <c r="BH2" s="333"/>
      <c r="BI2" s="333"/>
      <c r="BJ2" s="333"/>
      <c r="BK2" s="333"/>
      <c r="BL2" s="333"/>
      <c r="BM2" s="333"/>
      <c r="BN2" s="333"/>
      <c r="BO2" s="333"/>
      <c r="BP2" s="333"/>
      <c r="BQ2" s="333"/>
      <c r="BR2" s="333"/>
      <c r="BS2" s="333"/>
      <c r="BT2" s="333"/>
      <c r="BU2" s="333"/>
      <c r="BV2" s="333"/>
      <c r="BW2" s="333"/>
      <c r="BX2" s="333"/>
      <c r="BY2" s="333"/>
      <c r="BZ2" s="333"/>
      <c r="CA2" s="333"/>
      <c r="CB2" s="333"/>
      <c r="CC2" s="333"/>
      <c r="CD2" s="333"/>
      <c r="CE2" s="333"/>
      <c r="CF2" s="333"/>
      <c r="CG2" s="333"/>
      <c r="CH2" s="333"/>
      <c r="CI2" s="333"/>
    </row>
    <row r="4" spans="1:87">
      <c r="A4" s="224"/>
      <c r="B4" s="231" t="s">
        <v>181</v>
      </c>
      <c r="C4" s="232" t="s">
        <v>164</v>
      </c>
      <c r="D4" s="225" t="s">
        <v>182</v>
      </c>
    </row>
    <row r="5" spans="1:87" s="306" customFormat="1">
      <c r="A5" s="310" t="s">
        <v>40</v>
      </c>
      <c r="B5" s="309">
        <v>2017</v>
      </c>
      <c r="C5" s="308">
        <v>3.2000000000000001E-2</v>
      </c>
      <c r="D5" s="307">
        <v>0.623</v>
      </c>
      <c r="E5" s="306">
        <v>2021</v>
      </c>
      <c r="F5" s="306" t="s">
        <v>170</v>
      </c>
      <c r="G5" s="335"/>
      <c r="H5" s="331"/>
      <c r="I5" s="331"/>
      <c r="J5" s="331"/>
      <c r="K5" s="336"/>
      <c r="L5" s="336"/>
      <c r="M5" s="337"/>
      <c r="N5" s="331"/>
      <c r="O5" s="331"/>
      <c r="P5" s="331"/>
      <c r="Q5" s="331"/>
      <c r="R5" s="331"/>
      <c r="S5" s="331"/>
      <c r="T5" s="331"/>
      <c r="U5" s="331"/>
      <c r="V5" s="331"/>
      <c r="W5" s="331"/>
      <c r="X5" s="331"/>
      <c r="Y5" s="331"/>
      <c r="Z5" s="331"/>
      <c r="AA5" s="331"/>
      <c r="AB5" s="331"/>
      <c r="AC5" s="331"/>
      <c r="AD5" s="331"/>
      <c r="AE5" s="331"/>
      <c r="AF5" s="331"/>
      <c r="AG5" s="331"/>
      <c r="AH5" s="331"/>
      <c r="AI5" s="331"/>
      <c r="AJ5" s="331"/>
      <c r="AK5" s="331"/>
      <c r="AL5" s="331"/>
      <c r="AM5" s="331"/>
      <c r="AN5" s="331"/>
      <c r="AO5" s="331"/>
      <c r="AP5" s="331"/>
      <c r="AQ5" s="331"/>
      <c r="AR5" s="331"/>
      <c r="AS5" s="331"/>
      <c r="AT5" s="331"/>
      <c r="AU5" s="331"/>
      <c r="AV5" s="331"/>
      <c r="AW5" s="331"/>
      <c r="AX5" s="331"/>
      <c r="AY5" s="331"/>
      <c r="AZ5" s="331"/>
      <c r="BA5" s="331"/>
      <c r="BB5" s="331"/>
      <c r="BC5" s="331"/>
      <c r="BD5" s="331"/>
      <c r="BE5" s="331"/>
      <c r="BF5" s="331"/>
      <c r="BG5" s="331"/>
      <c r="BH5" s="331"/>
      <c r="BI5" s="331"/>
      <c r="BJ5" s="331"/>
      <c r="BK5" s="331"/>
      <c r="BL5" s="331"/>
      <c r="BM5" s="331"/>
      <c r="BN5" s="331"/>
      <c r="BO5" s="331"/>
      <c r="BP5" s="331"/>
      <c r="BQ5" s="331"/>
      <c r="BR5" s="331"/>
      <c r="BS5" s="331"/>
      <c r="BT5" s="331"/>
      <c r="BU5" s="331"/>
      <c r="BV5" s="331"/>
      <c r="BW5" s="331"/>
      <c r="BX5" s="331"/>
      <c r="BY5" s="331"/>
      <c r="BZ5" s="331"/>
      <c r="CA5" s="331"/>
      <c r="CB5" s="331"/>
      <c r="CC5" s="331"/>
      <c r="CD5" s="331"/>
      <c r="CE5" s="331"/>
      <c r="CF5" s="331"/>
      <c r="CG5" s="331"/>
      <c r="CH5" s="331"/>
      <c r="CI5" s="331"/>
    </row>
    <row r="6" spans="1:87">
      <c r="A6" s="223" t="s">
        <v>39</v>
      </c>
      <c r="B6" s="228">
        <v>2019</v>
      </c>
      <c r="C6" s="229">
        <v>1.67E-2</v>
      </c>
      <c r="D6" s="226">
        <v>0.56759999999999999</v>
      </c>
      <c r="E6" s="49">
        <v>2022</v>
      </c>
      <c r="F6" s="49" t="s">
        <v>168</v>
      </c>
      <c r="G6" s="335"/>
    </row>
    <row r="7" spans="1:87" s="306" customFormat="1">
      <c r="A7" s="310" t="s">
        <v>38</v>
      </c>
      <c r="B7" s="309">
        <v>2003</v>
      </c>
      <c r="C7" s="308">
        <v>2.8500000000000001E-2</v>
      </c>
      <c r="D7" s="307">
        <v>0.51370000000000005</v>
      </c>
      <c r="E7" s="306">
        <v>2022</v>
      </c>
      <c r="F7" s="306" t="s">
        <v>171</v>
      </c>
      <c r="G7" s="335"/>
      <c r="H7" s="331"/>
      <c r="I7" s="331"/>
      <c r="J7" s="331"/>
      <c r="K7" s="331"/>
      <c r="L7" s="331"/>
      <c r="M7" s="332"/>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1"/>
      <c r="CH7" s="331"/>
      <c r="CI7" s="331"/>
    </row>
    <row r="8" spans="1:87">
      <c r="A8" s="223" t="s">
        <v>37</v>
      </c>
      <c r="B8" s="228">
        <v>2005</v>
      </c>
      <c r="C8" s="229" t="s">
        <v>44</v>
      </c>
      <c r="D8" s="226" t="s">
        <v>44</v>
      </c>
    </row>
    <row r="9" spans="1:87" s="300" customFormat="1">
      <c r="A9" s="304" t="s">
        <v>36</v>
      </c>
      <c r="B9" s="305" t="s">
        <v>185</v>
      </c>
      <c r="C9" s="302" t="s">
        <v>44</v>
      </c>
      <c r="D9" s="301" t="s">
        <v>44</v>
      </c>
      <c r="G9" s="331"/>
      <c r="H9" s="331"/>
      <c r="I9" s="331"/>
      <c r="J9" s="331"/>
      <c r="K9" s="331"/>
      <c r="L9" s="331"/>
      <c r="M9" s="332"/>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31"/>
      <c r="AZ9" s="331"/>
      <c r="BA9" s="331"/>
      <c r="BB9" s="331"/>
      <c r="BC9" s="331"/>
      <c r="BD9" s="331"/>
      <c r="BE9" s="331"/>
      <c r="BF9" s="331"/>
      <c r="BG9" s="331"/>
      <c r="BH9" s="331"/>
      <c r="BI9" s="331"/>
      <c r="BJ9" s="331"/>
      <c r="BK9" s="331"/>
      <c r="BL9" s="331"/>
      <c r="BM9" s="331"/>
      <c r="BN9" s="331"/>
      <c r="BO9" s="331"/>
      <c r="BP9" s="331"/>
      <c r="BQ9" s="331"/>
      <c r="BR9" s="331"/>
      <c r="BS9" s="331"/>
      <c r="BT9" s="331"/>
      <c r="BU9" s="331"/>
      <c r="BV9" s="331"/>
      <c r="BW9" s="331"/>
      <c r="BX9" s="331"/>
      <c r="BY9" s="331"/>
      <c r="BZ9" s="331"/>
      <c r="CA9" s="331"/>
      <c r="CB9" s="331"/>
      <c r="CC9" s="331"/>
      <c r="CD9" s="331"/>
      <c r="CE9" s="331"/>
      <c r="CF9" s="331"/>
      <c r="CG9" s="331"/>
      <c r="CH9" s="331"/>
      <c r="CI9" s="331"/>
    </row>
    <row r="10" spans="1:87">
      <c r="A10" s="223" t="s">
        <v>71</v>
      </c>
      <c r="B10" s="228">
        <v>2016</v>
      </c>
      <c r="C10" s="229">
        <v>1.8800000000000001E-2</v>
      </c>
      <c r="D10" s="226" t="s">
        <v>44</v>
      </c>
      <c r="E10" s="49">
        <v>2021</v>
      </c>
      <c r="F10" s="49" t="s">
        <v>215</v>
      </c>
      <c r="G10" s="335"/>
    </row>
    <row r="11" spans="1:87" s="300" customFormat="1">
      <c r="A11" s="304" t="s">
        <v>72</v>
      </c>
      <c r="B11" s="303" t="s">
        <v>180</v>
      </c>
      <c r="C11" s="302">
        <f>0.0344*100%</f>
        <v>3.44E-2</v>
      </c>
      <c r="D11" s="301">
        <f>+(100*386/838)%</f>
        <v>0.46062052505966583</v>
      </c>
      <c r="E11" s="300">
        <v>2021</v>
      </c>
      <c r="F11" s="300" t="s">
        <v>214</v>
      </c>
      <c r="G11" s="335"/>
      <c r="H11" s="331"/>
      <c r="I11" s="331"/>
      <c r="J11" s="331"/>
      <c r="K11" s="331"/>
      <c r="L11" s="331"/>
      <c r="M11" s="332"/>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1"/>
      <c r="BW11" s="331"/>
      <c r="BX11" s="331"/>
      <c r="BY11" s="331"/>
      <c r="BZ11" s="331"/>
      <c r="CA11" s="331"/>
      <c r="CB11" s="331"/>
      <c r="CC11" s="331"/>
      <c r="CD11" s="331"/>
      <c r="CE11" s="331"/>
      <c r="CF11" s="331"/>
      <c r="CG11" s="331"/>
      <c r="CH11" s="331"/>
      <c r="CI11" s="331"/>
    </row>
    <row r="12" spans="1:87">
      <c r="A12" s="223" t="s">
        <v>35</v>
      </c>
      <c r="B12" s="228">
        <v>2012</v>
      </c>
      <c r="C12" s="229">
        <v>1.54E-2</v>
      </c>
      <c r="D12" s="226">
        <v>0.57999999999999996</v>
      </c>
      <c r="E12" s="49">
        <v>2022</v>
      </c>
      <c r="F12" s="49" t="s">
        <v>169</v>
      </c>
      <c r="G12" s="335"/>
    </row>
    <row r="13" spans="1:87" s="295" customFormat="1">
      <c r="A13" s="299" t="s">
        <v>34</v>
      </c>
      <c r="B13" s="298" t="s">
        <v>213</v>
      </c>
      <c r="C13" s="297" t="s">
        <v>91</v>
      </c>
      <c r="D13" s="296" t="s">
        <v>91</v>
      </c>
      <c r="G13" s="335"/>
      <c r="H13" s="331"/>
      <c r="I13" s="331"/>
      <c r="J13" s="331"/>
      <c r="K13" s="331"/>
      <c r="L13" s="331"/>
      <c r="M13" s="332"/>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1"/>
      <c r="CD13" s="331"/>
      <c r="CE13" s="331"/>
      <c r="CF13" s="331"/>
      <c r="CG13" s="331"/>
      <c r="CH13" s="331"/>
      <c r="CI13" s="331"/>
    </row>
    <row r="14" spans="1:87">
      <c r="A14" s="223" t="s">
        <v>33</v>
      </c>
      <c r="B14" s="228">
        <v>2017</v>
      </c>
      <c r="C14" s="229">
        <f>(132+291)/(132+291+21519)</f>
        <v>1.9278096800656275E-2</v>
      </c>
      <c r="D14" s="226">
        <f>291/(132+291)</f>
        <v>0.68794326241134751</v>
      </c>
      <c r="E14" s="49">
        <v>2022</v>
      </c>
      <c r="F14" s="49" t="s">
        <v>172</v>
      </c>
      <c r="G14" s="335"/>
    </row>
    <row r="15" spans="1:87" s="295" customFormat="1">
      <c r="A15" s="299" t="s">
        <v>32</v>
      </c>
      <c r="B15" s="298">
        <v>2013</v>
      </c>
      <c r="C15" s="297">
        <v>2.87E-2</v>
      </c>
      <c r="D15" s="296" t="s">
        <v>44</v>
      </c>
      <c r="E15" s="295">
        <v>2022</v>
      </c>
      <c r="F15" s="295" t="s">
        <v>173</v>
      </c>
      <c r="G15" s="335"/>
      <c r="H15" s="331"/>
      <c r="I15" s="331"/>
      <c r="J15" s="331"/>
      <c r="K15" s="331"/>
      <c r="L15" s="331"/>
      <c r="M15" s="332"/>
      <c r="N15" s="331"/>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1"/>
      <c r="BK15" s="331"/>
      <c r="BL15" s="331"/>
      <c r="BM15" s="331"/>
      <c r="BN15" s="331"/>
      <c r="BO15" s="331"/>
      <c r="BP15" s="331"/>
      <c r="BQ15" s="331"/>
      <c r="BR15" s="331"/>
      <c r="BS15" s="331"/>
      <c r="BT15" s="331"/>
      <c r="BU15" s="331"/>
      <c r="BV15" s="331"/>
      <c r="BW15" s="331"/>
      <c r="BX15" s="331"/>
      <c r="BY15" s="331"/>
      <c r="BZ15" s="331"/>
      <c r="CA15" s="331"/>
      <c r="CB15" s="331"/>
      <c r="CC15" s="331"/>
      <c r="CD15" s="331"/>
      <c r="CE15" s="331"/>
      <c r="CF15" s="331"/>
      <c r="CG15" s="331"/>
      <c r="CH15" s="331"/>
      <c r="CI15" s="331"/>
    </row>
    <row r="16" spans="1:87">
      <c r="A16" s="223" t="s">
        <v>31</v>
      </c>
      <c r="B16" s="228">
        <v>2017</v>
      </c>
      <c r="C16" s="229">
        <f>(4664+5379)/390743</f>
        <v>2.5702315844429714E-2</v>
      </c>
      <c r="D16" s="226">
        <f>5379/(4664+5379)</f>
        <v>0.53559693318729462</v>
      </c>
      <c r="E16" s="49">
        <v>2022</v>
      </c>
      <c r="F16" s="49" t="s">
        <v>167</v>
      </c>
      <c r="G16" s="335"/>
    </row>
    <row r="17" spans="1:87" s="290" customFormat="1">
      <c r="A17" s="294" t="s">
        <v>28</v>
      </c>
      <c r="B17" s="293">
        <v>2010</v>
      </c>
      <c r="C17" s="292">
        <v>1.1891891891891892E-2</v>
      </c>
      <c r="D17" s="291">
        <v>0.45454545454545453</v>
      </c>
      <c r="E17" s="290">
        <v>2021</v>
      </c>
      <c r="F17" s="290" t="s">
        <v>178</v>
      </c>
      <c r="G17" s="331"/>
      <c r="H17" s="331"/>
      <c r="I17" s="331"/>
      <c r="J17" s="331"/>
      <c r="K17" s="331"/>
      <c r="L17" s="331"/>
      <c r="M17" s="332"/>
      <c r="N17" s="331"/>
      <c r="O17" s="331"/>
      <c r="P17" s="331"/>
      <c r="Q17" s="331"/>
      <c r="R17" s="331"/>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c r="AP17" s="331"/>
      <c r="AQ17" s="331"/>
      <c r="AR17" s="331"/>
      <c r="AS17" s="331"/>
      <c r="AT17" s="331"/>
      <c r="AU17" s="331"/>
      <c r="AV17" s="331"/>
      <c r="AW17" s="331"/>
      <c r="AX17" s="331"/>
      <c r="AY17" s="331"/>
      <c r="AZ17" s="331"/>
      <c r="BA17" s="331"/>
      <c r="BB17" s="331"/>
      <c r="BC17" s="331"/>
      <c r="BD17" s="331"/>
      <c r="BE17" s="331"/>
      <c r="BF17" s="331"/>
      <c r="BG17" s="331"/>
      <c r="BH17" s="331"/>
      <c r="BI17" s="331"/>
      <c r="BJ17" s="331"/>
      <c r="BK17" s="331"/>
      <c r="BL17" s="331"/>
      <c r="BM17" s="331"/>
      <c r="BN17" s="331"/>
      <c r="BO17" s="331"/>
      <c r="BP17" s="331"/>
      <c r="BQ17" s="331"/>
      <c r="BR17" s="331"/>
      <c r="BS17" s="331"/>
      <c r="BT17" s="331"/>
      <c r="BU17" s="331"/>
      <c r="BV17" s="331"/>
      <c r="BW17" s="331"/>
      <c r="BX17" s="331"/>
      <c r="BY17" s="331"/>
      <c r="BZ17" s="331"/>
      <c r="CA17" s="331"/>
      <c r="CB17" s="331"/>
      <c r="CC17" s="331"/>
      <c r="CD17" s="331"/>
      <c r="CE17" s="331"/>
      <c r="CF17" s="331"/>
      <c r="CG17" s="331"/>
      <c r="CH17" s="331"/>
      <c r="CI17" s="331"/>
    </row>
    <row r="18" spans="1:87">
      <c r="A18" s="223" t="s">
        <v>27</v>
      </c>
      <c r="B18" s="228">
        <v>2015</v>
      </c>
      <c r="C18" s="229">
        <f>(313+305)/(313+305+22555)</f>
        <v>2.6668968195745046E-2</v>
      </c>
      <c r="D18" s="226">
        <f>313/(313+305)</f>
        <v>0.50647249190938515</v>
      </c>
      <c r="E18" s="49">
        <v>2022</v>
      </c>
      <c r="F18" s="49" t="s">
        <v>174</v>
      </c>
      <c r="G18" s="335"/>
    </row>
    <row r="19" spans="1:87" s="290" customFormat="1">
      <c r="A19" s="294" t="s">
        <v>22</v>
      </c>
      <c r="B19" s="293">
        <v>2015</v>
      </c>
      <c r="C19" s="292">
        <v>1.9230769230769232E-2</v>
      </c>
      <c r="D19" s="291">
        <v>0.69444444444444442</v>
      </c>
      <c r="E19" s="290">
        <v>2021</v>
      </c>
      <c r="F19" s="290" t="s">
        <v>175</v>
      </c>
      <c r="G19" s="335"/>
      <c r="H19" s="331"/>
      <c r="I19" s="331"/>
      <c r="J19" s="331"/>
      <c r="K19" s="331"/>
      <c r="L19" s="331"/>
      <c r="M19" s="332"/>
      <c r="N19" s="331"/>
      <c r="O19" s="331"/>
      <c r="P19" s="331"/>
      <c r="Q19" s="331"/>
      <c r="R19" s="331"/>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c r="AP19" s="331"/>
      <c r="AQ19" s="331"/>
      <c r="AR19" s="331"/>
      <c r="AS19" s="331"/>
      <c r="AT19" s="331"/>
      <c r="AU19" s="331"/>
      <c r="AV19" s="331"/>
      <c r="AW19" s="331"/>
      <c r="AX19" s="331"/>
      <c r="AY19" s="331"/>
      <c r="AZ19" s="331"/>
      <c r="BA19" s="331"/>
      <c r="BB19" s="331"/>
      <c r="BC19" s="331"/>
      <c r="BD19" s="331"/>
      <c r="BE19" s="331"/>
      <c r="BF19" s="331"/>
      <c r="BG19" s="331"/>
      <c r="BH19" s="331"/>
      <c r="BI19" s="331"/>
      <c r="BJ19" s="331"/>
      <c r="BK19" s="331"/>
      <c r="BL19" s="331"/>
      <c r="BM19" s="331"/>
      <c r="BN19" s="331"/>
      <c r="BO19" s="331"/>
      <c r="BP19" s="331"/>
      <c r="BQ19" s="331"/>
      <c r="BR19" s="331"/>
      <c r="BS19" s="331"/>
      <c r="BT19" s="331"/>
      <c r="BU19" s="331"/>
      <c r="BV19" s="331"/>
      <c r="BW19" s="331"/>
      <c r="BX19" s="331"/>
      <c r="BY19" s="331"/>
      <c r="BZ19" s="331"/>
      <c r="CA19" s="331"/>
      <c r="CB19" s="331"/>
      <c r="CC19" s="331"/>
      <c r="CD19" s="331"/>
      <c r="CE19" s="331"/>
      <c r="CF19" s="331"/>
      <c r="CG19" s="331"/>
      <c r="CH19" s="331"/>
      <c r="CI19" s="331"/>
    </row>
    <row r="20" spans="1:87">
      <c r="A20" s="223" t="s">
        <v>21</v>
      </c>
      <c r="B20" s="228" t="s">
        <v>212</v>
      </c>
      <c r="C20" s="229">
        <v>9.5803493594341389E-3</v>
      </c>
      <c r="D20" s="226">
        <v>0.57498272287491359</v>
      </c>
      <c r="E20" s="49">
        <v>2021</v>
      </c>
      <c r="F20" s="49" t="s">
        <v>211</v>
      </c>
      <c r="G20" s="335"/>
    </row>
    <row r="21" spans="1:87" s="290" customFormat="1">
      <c r="A21" s="294" t="s">
        <v>20</v>
      </c>
      <c r="B21" s="293">
        <v>2001</v>
      </c>
      <c r="C21" s="292">
        <v>2.1100000000000001E-2</v>
      </c>
      <c r="D21" s="291">
        <v>0.55800000000000005</v>
      </c>
      <c r="E21" s="290">
        <v>2021</v>
      </c>
      <c r="F21" s="290" t="s">
        <v>210</v>
      </c>
      <c r="G21" s="335"/>
      <c r="H21" s="331"/>
      <c r="I21" s="331"/>
      <c r="J21" s="331"/>
      <c r="K21" s="331"/>
      <c r="L21" s="331"/>
      <c r="M21" s="332"/>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31"/>
      <c r="BE21" s="331"/>
      <c r="BF21" s="331"/>
      <c r="BG21" s="331"/>
      <c r="BH21" s="331"/>
      <c r="BI21" s="331"/>
      <c r="BJ21" s="331"/>
      <c r="BK21" s="331"/>
      <c r="BL21" s="331"/>
      <c r="BM21" s="331"/>
      <c r="BN21" s="331"/>
      <c r="BO21" s="331"/>
      <c r="BP21" s="331"/>
      <c r="BQ21" s="331"/>
      <c r="BR21" s="331"/>
      <c r="BS21" s="331"/>
      <c r="BT21" s="331"/>
      <c r="BU21" s="331"/>
      <c r="BV21" s="331"/>
      <c r="BW21" s="331"/>
      <c r="BX21" s="331"/>
      <c r="BY21" s="331"/>
      <c r="BZ21" s="331"/>
      <c r="CA21" s="331"/>
      <c r="CB21" s="331"/>
      <c r="CC21" s="331"/>
      <c r="CD21" s="331"/>
      <c r="CE21" s="331"/>
      <c r="CF21" s="331"/>
      <c r="CG21" s="331"/>
      <c r="CH21" s="331"/>
      <c r="CI21" s="331"/>
    </row>
    <row r="22" spans="1:87">
      <c r="A22" s="223" t="s">
        <v>19</v>
      </c>
      <c r="B22" s="228">
        <v>2013</v>
      </c>
      <c r="C22" s="229">
        <f>456/(456+18402)</f>
        <v>2.4180719058224626E-2</v>
      </c>
      <c r="D22" s="226" t="s">
        <v>44</v>
      </c>
      <c r="F22" s="49" t="s">
        <v>209</v>
      </c>
      <c r="G22" s="335"/>
      <c r="H22" s="332"/>
    </row>
    <row r="23" spans="1:87" s="285" customFormat="1">
      <c r="A23" s="289" t="s">
        <v>18</v>
      </c>
      <c r="B23" s="288">
        <v>2009</v>
      </c>
      <c r="C23" s="287">
        <f>(173+261)/20769</f>
        <v>2.0896528479946073E-2</v>
      </c>
      <c r="D23" s="286">
        <f>261/(173+261)</f>
        <v>0.60138248847926268</v>
      </c>
      <c r="E23" s="285">
        <v>2022</v>
      </c>
      <c r="F23" s="285" t="s">
        <v>166</v>
      </c>
      <c r="G23" s="335"/>
      <c r="H23" s="331"/>
      <c r="I23" s="331"/>
      <c r="J23" s="331"/>
      <c r="K23" s="331"/>
      <c r="L23" s="331"/>
      <c r="M23" s="332"/>
      <c r="N23" s="331"/>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331"/>
      <c r="BE23" s="331"/>
      <c r="BF23" s="331"/>
      <c r="BG23" s="331"/>
      <c r="BH23" s="331"/>
      <c r="BI23" s="331"/>
      <c r="BJ23" s="331"/>
      <c r="BK23" s="331"/>
      <c r="BL23" s="331"/>
      <c r="BM23" s="331"/>
      <c r="BN23" s="331"/>
      <c r="BO23" s="331"/>
      <c r="BP23" s="331"/>
      <c r="BQ23" s="331"/>
      <c r="BR23" s="331"/>
      <c r="BS23" s="331"/>
      <c r="BT23" s="331"/>
      <c r="BU23" s="331"/>
      <c r="BV23" s="331"/>
      <c r="BW23" s="331"/>
      <c r="BX23" s="331"/>
      <c r="BY23" s="331"/>
      <c r="BZ23" s="331"/>
      <c r="CA23" s="331"/>
      <c r="CB23" s="331"/>
      <c r="CC23" s="331"/>
      <c r="CD23" s="331"/>
      <c r="CE23" s="331"/>
      <c r="CF23" s="331"/>
      <c r="CG23" s="331"/>
      <c r="CH23" s="331"/>
      <c r="CI23" s="331"/>
    </row>
    <row r="24" spans="1:87">
      <c r="A24" s="223" t="s">
        <v>16</v>
      </c>
      <c r="B24" s="228">
        <v>2010</v>
      </c>
      <c r="C24" s="229">
        <f>549/29057</f>
        <v>1.8893898200089479E-2</v>
      </c>
      <c r="D24" s="226">
        <f>262/549</f>
        <v>0.4772313296903461</v>
      </c>
      <c r="E24" s="49">
        <v>2021</v>
      </c>
      <c r="G24" s="335"/>
    </row>
    <row r="25" spans="1:87" s="285" customFormat="1">
      <c r="A25" s="289" t="s">
        <v>13</v>
      </c>
      <c r="B25" s="288">
        <v>2005</v>
      </c>
      <c r="C25" s="287">
        <f>5073/148588</f>
        <v>3.4141384230220478E-2</v>
      </c>
      <c r="D25" s="286">
        <f>2867/(2867+2206)</f>
        <v>0.56514882712398973</v>
      </c>
      <c r="E25" s="285">
        <v>2021</v>
      </c>
      <c r="F25" s="285" t="s">
        <v>176</v>
      </c>
      <c r="G25" s="335"/>
      <c r="H25" s="331"/>
      <c r="I25" s="331"/>
      <c r="J25" s="331"/>
      <c r="K25" s="331"/>
      <c r="L25" s="331"/>
      <c r="M25" s="332"/>
      <c r="N25" s="331"/>
      <c r="O25" s="331"/>
      <c r="P25" s="331"/>
      <c r="Q25" s="331"/>
      <c r="R25" s="331"/>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1"/>
      <c r="BJ25" s="331"/>
      <c r="BK25" s="331"/>
      <c r="BL25" s="331"/>
      <c r="BM25" s="331"/>
      <c r="BN25" s="331"/>
      <c r="BO25" s="331"/>
      <c r="BP25" s="331"/>
      <c r="BQ25" s="331"/>
      <c r="BR25" s="331"/>
      <c r="BS25" s="331"/>
      <c r="BT25" s="331"/>
      <c r="BU25" s="331"/>
      <c r="BV25" s="331"/>
      <c r="BW25" s="331"/>
      <c r="BX25" s="331"/>
      <c r="BY25" s="331"/>
      <c r="BZ25" s="331"/>
      <c r="CA25" s="331"/>
      <c r="CB25" s="331"/>
      <c r="CC25" s="331"/>
      <c r="CD25" s="331"/>
      <c r="CE25" s="331"/>
      <c r="CF25" s="331"/>
      <c r="CG25" s="331"/>
      <c r="CH25" s="331"/>
      <c r="CI25" s="331"/>
    </row>
    <row r="26" spans="1:87">
      <c r="A26" s="223" t="s">
        <v>14</v>
      </c>
      <c r="B26" s="284" t="s">
        <v>208</v>
      </c>
      <c r="C26" s="229" t="s">
        <v>44</v>
      </c>
      <c r="D26" s="226" t="s">
        <v>44</v>
      </c>
      <c r="G26" s="335"/>
    </row>
    <row r="27" spans="1:87" s="276" customFormat="1">
      <c r="A27" s="280" t="s">
        <v>12</v>
      </c>
      <c r="B27" s="279">
        <v>2009</v>
      </c>
      <c r="C27" s="278">
        <v>1.47E-2</v>
      </c>
      <c r="D27" s="277">
        <v>0.62409999999999999</v>
      </c>
      <c r="E27" s="276">
        <v>2022</v>
      </c>
      <c r="F27" s="276" t="s">
        <v>177</v>
      </c>
      <c r="G27" s="335"/>
      <c r="H27" s="331"/>
      <c r="I27" s="331"/>
      <c r="J27" s="331"/>
      <c r="K27" s="331"/>
      <c r="L27" s="331"/>
      <c r="M27" s="332"/>
      <c r="N27" s="331"/>
      <c r="O27" s="331"/>
      <c r="P27" s="331"/>
      <c r="Q27" s="331"/>
      <c r="R27" s="331"/>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1"/>
      <c r="BK27" s="331"/>
      <c r="BL27" s="331"/>
      <c r="BM27" s="331"/>
      <c r="BN27" s="331"/>
      <c r="BO27" s="331"/>
      <c r="BP27" s="331"/>
      <c r="BQ27" s="331"/>
      <c r="BR27" s="331"/>
      <c r="BS27" s="331"/>
      <c r="BT27" s="331"/>
      <c r="BU27" s="331"/>
      <c r="BV27" s="331"/>
      <c r="BW27" s="331"/>
      <c r="BX27" s="331"/>
      <c r="BY27" s="331"/>
      <c r="BZ27" s="331"/>
      <c r="CA27" s="331"/>
      <c r="CB27" s="331"/>
      <c r="CC27" s="331"/>
      <c r="CD27" s="331"/>
      <c r="CE27" s="331"/>
      <c r="CF27" s="331"/>
      <c r="CG27" s="331"/>
      <c r="CH27" s="331"/>
      <c r="CI27" s="331"/>
    </row>
    <row r="28" spans="1:87">
      <c r="A28" s="223" t="s">
        <v>11</v>
      </c>
      <c r="B28" s="283" t="s">
        <v>184</v>
      </c>
      <c r="C28" s="229" t="s">
        <v>44</v>
      </c>
      <c r="D28" s="226">
        <f>+(355/749)</f>
        <v>0.47396528704939922</v>
      </c>
      <c r="E28" s="282" t="s">
        <v>207</v>
      </c>
      <c r="F28" s="49" t="s">
        <v>206</v>
      </c>
      <c r="G28" s="335"/>
    </row>
    <row r="29" spans="1:87" s="276" customFormat="1">
      <c r="A29" s="280" t="s">
        <v>9</v>
      </c>
      <c r="B29" s="279">
        <v>2014</v>
      </c>
      <c r="C29" s="278">
        <v>3.2800000000000003E-2</v>
      </c>
      <c r="D29" s="277">
        <v>0.57240000000000002</v>
      </c>
      <c r="E29" s="276">
        <v>2020</v>
      </c>
      <c r="F29" s="276" t="s">
        <v>179</v>
      </c>
      <c r="G29" s="335"/>
      <c r="H29" s="331"/>
      <c r="I29" s="331"/>
      <c r="J29" s="331"/>
      <c r="K29" s="336"/>
      <c r="L29" s="336"/>
      <c r="M29" s="337"/>
      <c r="N29" s="331"/>
      <c r="O29" s="331"/>
      <c r="P29" s="331"/>
      <c r="Q29" s="331"/>
      <c r="R29" s="331"/>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331"/>
      <c r="BE29" s="331"/>
      <c r="BF29" s="331"/>
      <c r="BG29" s="331"/>
      <c r="BH29" s="331"/>
      <c r="BI29" s="331"/>
      <c r="BJ29" s="331"/>
      <c r="BK29" s="331"/>
      <c r="BL29" s="331"/>
      <c r="BM29" s="331"/>
      <c r="BN29" s="331"/>
      <c r="BO29" s="331"/>
      <c r="BP29" s="331"/>
      <c r="BQ29" s="331"/>
      <c r="BR29" s="331"/>
      <c r="BS29" s="331"/>
      <c r="BT29" s="331"/>
      <c r="BU29" s="331"/>
      <c r="BV29" s="331"/>
      <c r="BW29" s="331"/>
      <c r="BX29" s="331"/>
      <c r="BY29" s="331"/>
      <c r="BZ29" s="331"/>
      <c r="CA29" s="331"/>
      <c r="CB29" s="331"/>
      <c r="CC29" s="331"/>
      <c r="CD29" s="331"/>
      <c r="CE29" s="331"/>
      <c r="CF29" s="331"/>
      <c r="CG29" s="331"/>
      <c r="CH29" s="331"/>
      <c r="CI29" s="331"/>
    </row>
    <row r="30" spans="1:87">
      <c r="A30" s="223" t="s">
        <v>8</v>
      </c>
      <c r="B30" s="228">
        <v>2015</v>
      </c>
      <c r="C30" s="229" t="s">
        <v>44</v>
      </c>
      <c r="D30" s="226" t="s">
        <v>44</v>
      </c>
    </row>
    <row r="31" spans="1:87">
      <c r="B31" s="228"/>
      <c r="C31" s="230"/>
    </row>
    <row r="32" spans="1:87" s="195" customFormat="1" ht="15.75">
      <c r="A32" s="275" t="s">
        <v>183</v>
      </c>
      <c r="B32" s="274"/>
      <c r="C32" s="273">
        <f>AVERAGE(C5:C30)</f>
        <v>2.2678246064570345E-2</v>
      </c>
      <c r="D32" s="338">
        <f>AVERAGE(D5:D30)</f>
        <v>0.55950743148752791</v>
      </c>
      <c r="E32" s="339"/>
      <c r="F32" s="339"/>
      <c r="G32" s="333"/>
      <c r="H32" s="333"/>
      <c r="I32" s="333"/>
      <c r="J32" s="333"/>
      <c r="K32" s="333"/>
      <c r="L32" s="333"/>
      <c r="M32" s="334"/>
      <c r="N32" s="333"/>
      <c r="O32" s="333"/>
      <c r="P32" s="333"/>
      <c r="Q32" s="333"/>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3"/>
      <c r="BD32" s="333"/>
      <c r="BE32" s="333"/>
      <c r="BF32" s="333"/>
      <c r="BG32" s="333"/>
      <c r="BH32" s="333"/>
      <c r="BI32" s="333"/>
      <c r="BJ32" s="333"/>
      <c r="BK32" s="333"/>
      <c r="BL32" s="333"/>
      <c r="BM32" s="333"/>
      <c r="BN32" s="333"/>
      <c r="BO32" s="333"/>
      <c r="BP32" s="333"/>
      <c r="BQ32" s="333"/>
      <c r="BR32" s="333"/>
      <c r="BS32" s="333"/>
      <c r="BT32" s="333"/>
      <c r="BU32" s="333"/>
      <c r="BV32" s="333"/>
      <c r="BW32" s="333"/>
      <c r="BX32" s="333"/>
      <c r="BY32" s="333"/>
      <c r="BZ32" s="333"/>
      <c r="CA32" s="333"/>
      <c r="CB32" s="333"/>
      <c r="CC32" s="333"/>
      <c r="CD32" s="333"/>
      <c r="CE32" s="333"/>
      <c r="CF32" s="333"/>
      <c r="CG32" s="333"/>
      <c r="CH32" s="333"/>
      <c r="CI32" s="333"/>
    </row>
    <row r="34" spans="1:1">
      <c r="A34" s="223" t="s">
        <v>205</v>
      </c>
    </row>
    <row r="35" spans="1:1">
      <c r="A35" s="223" t="s">
        <v>204</v>
      </c>
    </row>
  </sheetData>
  <pageMargins left="0.70866141732283472" right="0.70866141732283472" top="0.74803149606299213" bottom="0.74803149606299213" header="0.31496062992125984" footer="0.31496062992125984"/>
  <pageSetup scale="42" fitToWidth="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F4E7-87D2-415D-9809-D04D03035499}">
  <sheetPr>
    <pageSetUpPr fitToPage="1"/>
  </sheetPr>
  <dimension ref="A1:R103"/>
  <sheetViews>
    <sheetView showGridLines="0" zoomScale="60" zoomScaleNormal="60" workbookViewId="0">
      <selection sqref="A1:I1"/>
    </sheetView>
  </sheetViews>
  <sheetFormatPr defaultColWidth="9.140625" defaultRowHeight="12.75"/>
  <cols>
    <col min="1" max="1" width="15.85546875" style="98" bestFit="1" customWidth="1"/>
    <col min="2" max="11" width="9.140625" style="98"/>
    <col min="12" max="12" width="14.28515625" style="98" customWidth="1"/>
    <col min="13" max="13" width="16.42578125" style="98" customWidth="1"/>
    <col min="14" max="14" width="16.42578125" style="104" customWidth="1"/>
    <col min="15" max="15" width="16.42578125" style="98" customWidth="1"/>
    <col min="16" max="16" width="7.7109375" style="173" bestFit="1" customWidth="1"/>
    <col min="17" max="17" width="10" style="210" bestFit="1" customWidth="1"/>
    <col min="18" max="18" width="14.28515625" style="85" bestFit="1" customWidth="1"/>
    <col min="19" max="16384" width="9.140625" style="85"/>
  </cols>
  <sheetData>
    <row r="1" spans="1:17" ht="16.5" customHeight="1">
      <c r="A1" s="391" t="s">
        <v>194</v>
      </c>
      <c r="B1" s="391"/>
      <c r="C1" s="391"/>
      <c r="D1" s="391"/>
      <c r="E1" s="391"/>
      <c r="F1" s="391"/>
      <c r="G1" s="391"/>
      <c r="H1" s="391"/>
      <c r="I1" s="391"/>
      <c r="J1" s="83"/>
      <c r="K1" s="84"/>
      <c r="L1" s="397"/>
      <c r="M1" s="397"/>
      <c r="N1" s="397"/>
      <c r="O1" s="397"/>
      <c r="P1" s="164"/>
    </row>
    <row r="2" spans="1:17" ht="16.5" customHeight="1">
      <c r="A2" s="398" t="s">
        <v>68</v>
      </c>
      <c r="B2" s="398"/>
      <c r="C2" s="398"/>
      <c r="D2" s="398"/>
      <c r="E2" s="398"/>
      <c r="F2" s="398"/>
      <c r="G2" s="398"/>
      <c r="H2" s="398"/>
      <c r="I2" s="398"/>
      <c r="J2" s="83"/>
      <c r="K2" s="84"/>
      <c r="L2" s="236"/>
      <c r="M2" s="167"/>
      <c r="N2" s="167"/>
      <c r="O2" s="167"/>
      <c r="P2" s="169"/>
    </row>
    <row r="3" spans="1:17">
      <c r="A3" s="398"/>
      <c r="B3" s="398"/>
      <c r="C3" s="398"/>
      <c r="D3" s="398"/>
      <c r="E3" s="398"/>
      <c r="F3" s="398"/>
      <c r="G3" s="398"/>
      <c r="H3" s="398"/>
      <c r="I3" s="398"/>
      <c r="J3" s="84"/>
      <c r="K3" s="84"/>
      <c r="L3" s="399"/>
      <c r="M3" s="399"/>
      <c r="N3" s="399"/>
      <c r="O3" s="399"/>
      <c r="P3" s="170"/>
      <c r="Q3" s="170"/>
    </row>
    <row r="4" spans="1:17" ht="12.75" customHeight="1">
      <c r="A4" s="160"/>
      <c r="B4" s="160"/>
      <c r="C4" s="160"/>
      <c r="D4" s="160"/>
      <c r="E4" s="160"/>
      <c r="F4" s="160"/>
      <c r="G4" s="160"/>
      <c r="H4" s="160"/>
      <c r="I4" s="160"/>
      <c r="J4" s="84"/>
      <c r="K4" s="84"/>
      <c r="L4" s="234"/>
      <c r="M4" s="400"/>
      <c r="N4" s="400"/>
      <c r="O4" s="400"/>
      <c r="P4" s="164"/>
    </row>
    <row r="5" spans="1:17">
      <c r="A5" s="86"/>
      <c r="B5" s="86"/>
      <c r="C5" s="86"/>
      <c r="D5" s="86"/>
      <c r="E5" s="86"/>
      <c r="F5" s="86"/>
      <c r="G5" s="86"/>
      <c r="H5" s="86"/>
      <c r="I5" s="86"/>
      <c r="J5" s="84"/>
      <c r="K5" s="84"/>
      <c r="L5" s="87"/>
      <c r="M5" s="88">
        <v>1970</v>
      </c>
      <c r="N5" s="88">
        <v>1995</v>
      </c>
      <c r="O5" s="88">
        <v>2019</v>
      </c>
      <c r="P5" s="171"/>
      <c r="Q5" s="88" t="s">
        <v>187</v>
      </c>
    </row>
    <row r="6" spans="1:17">
      <c r="A6" s="86"/>
      <c r="B6" s="86"/>
      <c r="C6" s="86"/>
      <c r="D6" s="86"/>
      <c r="E6" s="86"/>
      <c r="F6" s="86"/>
      <c r="G6" s="86"/>
      <c r="H6" s="86"/>
      <c r="I6" s="86"/>
      <c r="J6" s="84"/>
      <c r="K6" s="84"/>
      <c r="L6" s="112" t="s">
        <v>36</v>
      </c>
      <c r="M6" s="113"/>
      <c r="N6" s="113"/>
      <c r="O6" s="52">
        <v>3.22</v>
      </c>
      <c r="P6" s="165"/>
      <c r="Q6" s="241">
        <v>3.63</v>
      </c>
    </row>
    <row r="7" spans="1:17">
      <c r="A7" s="89"/>
      <c r="B7" s="89"/>
      <c r="C7" s="89"/>
      <c r="D7" s="89"/>
      <c r="E7" s="89"/>
      <c r="F7" s="89"/>
      <c r="G7" s="89"/>
      <c r="H7" s="89"/>
      <c r="I7" s="89"/>
      <c r="J7" s="76"/>
      <c r="K7" s="76"/>
      <c r="L7" s="90" t="s">
        <v>4</v>
      </c>
      <c r="M7" s="91">
        <v>4.5999999999999996</v>
      </c>
      <c r="N7" s="91">
        <v>3.1</v>
      </c>
      <c r="O7" s="69">
        <v>3.1</v>
      </c>
      <c r="P7" s="166"/>
      <c r="Q7" s="238">
        <v>2.9</v>
      </c>
    </row>
    <row r="8" spans="1:17">
      <c r="A8" s="89"/>
      <c r="B8" s="89"/>
      <c r="C8" s="89"/>
      <c r="D8" s="89"/>
      <c r="E8" s="89"/>
      <c r="F8" s="89"/>
      <c r="G8" s="89"/>
      <c r="H8" s="89"/>
      <c r="I8" s="89"/>
      <c r="J8" s="76"/>
      <c r="K8" s="76"/>
      <c r="L8" s="20" t="s">
        <v>72</v>
      </c>
      <c r="M8" s="19"/>
      <c r="N8" s="19"/>
      <c r="O8" s="52">
        <v>2.8</v>
      </c>
      <c r="P8" s="165"/>
      <c r="Q8" s="240">
        <v>2.8</v>
      </c>
    </row>
    <row r="9" spans="1:17">
      <c r="A9" s="89"/>
      <c r="B9" s="89"/>
      <c r="C9" s="89"/>
      <c r="D9" s="89"/>
      <c r="E9" s="89"/>
      <c r="F9" s="89"/>
      <c r="G9" s="89"/>
      <c r="H9" s="89"/>
      <c r="I9" s="89"/>
      <c r="J9" s="76"/>
      <c r="K9" s="76"/>
      <c r="L9" s="340" t="s">
        <v>3</v>
      </c>
      <c r="M9" s="341">
        <v>2.2000000000000002</v>
      </c>
      <c r="N9" s="341">
        <v>2.8</v>
      </c>
      <c r="O9" s="51">
        <v>3.1</v>
      </c>
      <c r="P9" s="342"/>
      <c r="Q9" s="323">
        <v>2.6</v>
      </c>
    </row>
    <row r="10" spans="1:17">
      <c r="A10" s="89"/>
      <c r="B10" s="89"/>
      <c r="C10" s="89"/>
      <c r="D10" s="89"/>
      <c r="E10" s="89"/>
      <c r="F10" s="89"/>
      <c r="G10" s="89"/>
      <c r="H10" s="89"/>
      <c r="I10" s="89"/>
      <c r="J10" s="76"/>
      <c r="K10" s="76"/>
      <c r="L10" s="20" t="s">
        <v>8</v>
      </c>
      <c r="M10" s="19">
        <v>3.4836</v>
      </c>
      <c r="N10" s="19">
        <v>4.3901000000000003</v>
      </c>
      <c r="O10" s="52">
        <v>2.7</v>
      </c>
      <c r="P10" s="165"/>
      <c r="Q10" s="240">
        <v>2.5</v>
      </c>
    </row>
    <row r="11" spans="1:17">
      <c r="A11" s="89"/>
      <c r="B11" s="89"/>
      <c r="C11" s="89"/>
      <c r="D11" s="89"/>
      <c r="E11" s="89"/>
      <c r="F11" s="89"/>
      <c r="G11" s="89"/>
      <c r="H11" s="89"/>
      <c r="I11" s="89"/>
      <c r="J11" s="76"/>
      <c r="K11" s="76"/>
      <c r="L11" s="340" t="s">
        <v>12</v>
      </c>
      <c r="M11" s="341">
        <v>1.6</v>
      </c>
      <c r="N11" s="341">
        <v>2.6</v>
      </c>
      <c r="O11" s="51">
        <v>2.5</v>
      </c>
      <c r="P11" s="342"/>
      <c r="Q11" s="323">
        <v>2.1</v>
      </c>
    </row>
    <row r="12" spans="1:17">
      <c r="A12" s="89"/>
      <c r="B12" s="89"/>
      <c r="C12" s="89"/>
      <c r="D12" s="89"/>
      <c r="E12" s="89"/>
      <c r="F12" s="89"/>
      <c r="G12" s="89"/>
      <c r="H12" s="89"/>
      <c r="I12" s="89"/>
      <c r="J12" s="76"/>
      <c r="K12" s="76"/>
      <c r="L12" s="20" t="s">
        <v>189</v>
      </c>
      <c r="M12" s="19"/>
      <c r="N12" s="19"/>
      <c r="O12" s="52">
        <v>1.9</v>
      </c>
      <c r="P12" s="165"/>
      <c r="Q12" s="240">
        <v>2.1</v>
      </c>
    </row>
    <row r="13" spans="1:17">
      <c r="A13" s="89"/>
      <c r="B13" s="89"/>
      <c r="C13" s="89"/>
      <c r="D13" s="89"/>
      <c r="E13" s="89"/>
      <c r="F13" s="89"/>
      <c r="G13" s="89"/>
      <c r="H13" s="89"/>
      <c r="I13" s="89"/>
      <c r="J13" s="76"/>
      <c r="K13" s="76"/>
      <c r="L13" s="340" t="s">
        <v>35</v>
      </c>
      <c r="M13" s="341">
        <v>1.9</v>
      </c>
      <c r="N13" s="341">
        <v>2.5</v>
      </c>
      <c r="O13" s="51">
        <v>1.8</v>
      </c>
      <c r="P13" s="342"/>
      <c r="Q13" s="324">
        <v>2.08</v>
      </c>
    </row>
    <row r="14" spans="1:17">
      <c r="A14" s="89"/>
      <c r="B14" s="89"/>
      <c r="C14" s="89"/>
      <c r="D14" s="89"/>
      <c r="E14" s="89"/>
      <c r="F14" s="89"/>
      <c r="G14" s="89"/>
      <c r="H14" s="89"/>
      <c r="I14" s="89"/>
      <c r="J14" s="76"/>
      <c r="K14" s="76"/>
      <c r="L14" s="20" t="s">
        <v>33</v>
      </c>
      <c r="M14" s="19">
        <v>1.3</v>
      </c>
      <c r="N14" s="19">
        <v>2.7</v>
      </c>
      <c r="O14" s="52">
        <v>2.4</v>
      </c>
      <c r="P14" s="165"/>
      <c r="Q14" s="241">
        <v>2</v>
      </c>
    </row>
    <row r="15" spans="1:17">
      <c r="A15" s="89"/>
      <c r="B15" s="89"/>
      <c r="C15" s="89"/>
      <c r="D15" s="89"/>
      <c r="E15" s="89"/>
      <c r="F15" s="89"/>
      <c r="G15" s="89"/>
      <c r="H15" s="89"/>
      <c r="I15" s="89"/>
      <c r="J15" s="76"/>
      <c r="K15" s="76"/>
      <c r="L15" s="340" t="s">
        <v>22</v>
      </c>
      <c r="M15" s="341">
        <v>0.6</v>
      </c>
      <c r="N15" s="341">
        <v>1.8</v>
      </c>
      <c r="O15" s="51">
        <v>3.1</v>
      </c>
      <c r="P15" s="342"/>
      <c r="Q15" s="323">
        <v>1.9</v>
      </c>
    </row>
    <row r="16" spans="1:17">
      <c r="A16" s="89"/>
      <c r="B16" s="89"/>
      <c r="C16" s="89"/>
      <c r="D16" s="89"/>
      <c r="E16" s="89"/>
      <c r="F16" s="89"/>
      <c r="G16" s="89"/>
      <c r="H16" s="89"/>
      <c r="I16" s="89"/>
      <c r="J16" s="76"/>
      <c r="K16" s="76"/>
      <c r="L16" s="20" t="s">
        <v>191</v>
      </c>
      <c r="M16" s="19">
        <v>2.2000000000000002</v>
      </c>
      <c r="N16" s="19">
        <v>3</v>
      </c>
      <c r="O16" s="52">
        <v>2.2999999999999998</v>
      </c>
      <c r="P16" s="165"/>
      <c r="Q16" s="240">
        <v>1.9</v>
      </c>
    </row>
    <row r="17" spans="1:17">
      <c r="A17" s="89"/>
      <c r="B17" s="89"/>
      <c r="C17" s="89"/>
      <c r="D17" s="89"/>
      <c r="E17" s="89"/>
      <c r="F17" s="89"/>
      <c r="G17" s="89"/>
      <c r="H17" s="89"/>
      <c r="I17" s="89"/>
      <c r="J17" s="76"/>
      <c r="K17" s="76"/>
      <c r="L17" s="340" t="s">
        <v>34</v>
      </c>
      <c r="M17" s="341">
        <v>3.2</v>
      </c>
      <c r="N17" s="341">
        <v>5.2</v>
      </c>
      <c r="O17" s="51">
        <v>2.1</v>
      </c>
      <c r="P17" s="342"/>
      <c r="Q17" s="323">
        <v>1.9</v>
      </c>
    </row>
    <row r="18" spans="1:17">
      <c r="A18" s="89"/>
      <c r="B18" s="89"/>
      <c r="C18" s="89"/>
      <c r="D18" s="89"/>
      <c r="E18" s="89"/>
      <c r="F18" s="89"/>
      <c r="G18" s="89"/>
      <c r="H18" s="89"/>
      <c r="I18" s="89"/>
      <c r="J18" s="76"/>
      <c r="K18" s="76"/>
      <c r="L18" s="20" t="s">
        <v>28</v>
      </c>
      <c r="M18" s="19">
        <v>1.2</v>
      </c>
      <c r="N18" s="19">
        <v>1.8</v>
      </c>
      <c r="O18" s="52">
        <v>1.6</v>
      </c>
      <c r="P18" s="165"/>
      <c r="Q18" s="240">
        <v>1.9</v>
      </c>
    </row>
    <row r="19" spans="1:17">
      <c r="A19" s="89"/>
      <c r="B19" s="89"/>
      <c r="C19" s="89"/>
      <c r="D19" s="89"/>
      <c r="E19" s="89"/>
      <c r="F19" s="89"/>
      <c r="G19" s="89"/>
      <c r="H19" s="89"/>
      <c r="I19" s="89"/>
      <c r="J19" s="76"/>
      <c r="K19" s="76"/>
      <c r="L19" s="340" t="s">
        <v>40</v>
      </c>
      <c r="M19" s="341">
        <v>0.97529999999999994</v>
      </c>
      <c r="N19" s="341">
        <v>2.8</v>
      </c>
      <c r="O19" s="51">
        <v>1.9</v>
      </c>
      <c r="P19" s="342"/>
      <c r="Q19" s="324">
        <v>1.89</v>
      </c>
    </row>
    <row r="20" spans="1:17" ht="12.75" customHeight="1">
      <c r="A20" s="392" t="s">
        <v>242</v>
      </c>
      <c r="B20" s="392"/>
      <c r="C20" s="392"/>
      <c r="D20" s="392"/>
      <c r="E20" s="392"/>
      <c r="F20" s="392"/>
      <c r="G20" s="392"/>
      <c r="H20" s="392"/>
      <c r="I20" s="392"/>
      <c r="J20" s="76"/>
      <c r="K20" s="76"/>
      <c r="L20" s="20" t="s">
        <v>23</v>
      </c>
      <c r="M20" s="19">
        <v>0.4</v>
      </c>
      <c r="N20" s="19">
        <v>1.5</v>
      </c>
      <c r="O20" s="52">
        <v>2.2000000000000002</v>
      </c>
      <c r="P20" s="165"/>
      <c r="Q20" s="240">
        <v>1.8</v>
      </c>
    </row>
    <row r="21" spans="1:17" ht="12.75" customHeight="1">
      <c r="A21" s="392"/>
      <c r="B21" s="392"/>
      <c r="C21" s="392"/>
      <c r="D21" s="392"/>
      <c r="E21" s="392"/>
      <c r="F21" s="392"/>
      <c r="G21" s="392"/>
      <c r="H21" s="392"/>
      <c r="I21" s="392"/>
      <c r="J21" s="84"/>
      <c r="K21" s="76"/>
      <c r="L21" s="340" t="s">
        <v>11</v>
      </c>
      <c r="M21" s="341">
        <v>1</v>
      </c>
      <c r="N21" s="341">
        <v>2.2000000000000002</v>
      </c>
      <c r="O21" s="51">
        <v>2</v>
      </c>
      <c r="P21" s="342"/>
      <c r="Q21" s="323">
        <v>1.8</v>
      </c>
    </row>
    <row r="22" spans="1:17" ht="12.75" customHeight="1">
      <c r="A22" s="392"/>
      <c r="B22" s="392"/>
      <c r="C22" s="392"/>
      <c r="D22" s="392"/>
      <c r="E22" s="392"/>
      <c r="F22" s="392"/>
      <c r="G22" s="392"/>
      <c r="H22" s="392"/>
      <c r="I22" s="392"/>
      <c r="J22" s="92"/>
      <c r="K22" s="76"/>
      <c r="L22" s="20" t="s">
        <v>16</v>
      </c>
      <c r="M22" s="19">
        <v>0.1</v>
      </c>
      <c r="N22" s="19">
        <v>1.2</v>
      </c>
      <c r="O22" s="52">
        <v>2</v>
      </c>
      <c r="P22" s="165"/>
      <c r="Q22" s="240">
        <v>1.8</v>
      </c>
    </row>
    <row r="23" spans="1:17" ht="12.75" customHeight="1">
      <c r="B23" s="235"/>
      <c r="C23" s="235"/>
      <c r="D23" s="235"/>
      <c r="E23" s="235"/>
      <c r="F23" s="105"/>
      <c r="G23" s="105"/>
      <c r="H23" s="105"/>
      <c r="I23" s="105"/>
      <c r="J23" s="92"/>
      <c r="K23" s="76"/>
      <c r="L23" s="340" t="s">
        <v>29</v>
      </c>
      <c r="M23" s="341">
        <v>2.2000000000000002</v>
      </c>
      <c r="N23" s="341">
        <v>2.4</v>
      </c>
      <c r="O23" s="51">
        <v>1.8</v>
      </c>
      <c r="P23" s="342"/>
      <c r="Q23" s="323">
        <v>1.8</v>
      </c>
    </row>
    <row r="24" spans="1:17" ht="12.75" customHeight="1">
      <c r="A24" s="93" t="s">
        <v>104</v>
      </c>
      <c r="B24" s="235"/>
      <c r="C24" s="235"/>
      <c r="D24" s="235"/>
      <c r="E24" s="235"/>
      <c r="F24" s="105"/>
      <c r="G24" s="105"/>
      <c r="H24" s="105"/>
      <c r="I24" s="105"/>
      <c r="J24" s="92"/>
      <c r="K24" s="76"/>
      <c r="L24" s="175" t="s">
        <v>195</v>
      </c>
      <c r="M24" s="329">
        <v>1.4101862068965516</v>
      </c>
      <c r="N24" s="329">
        <v>2.3364586206896552</v>
      </c>
      <c r="O24" s="168">
        <v>2.0065517241379309</v>
      </c>
      <c r="P24" s="176"/>
      <c r="Q24" s="330">
        <v>1.7720689655172412</v>
      </c>
    </row>
    <row r="25" spans="1:17" ht="12.75" customHeight="1">
      <c r="A25" s="21" t="s">
        <v>59</v>
      </c>
      <c r="B25" s="95"/>
      <c r="C25" s="96"/>
      <c r="D25" s="96"/>
      <c r="E25" s="96"/>
      <c r="F25" s="105"/>
      <c r="G25" s="105"/>
      <c r="H25" s="105"/>
      <c r="I25" s="105"/>
      <c r="J25" s="76"/>
      <c r="K25" s="76"/>
      <c r="L25" s="343" t="s">
        <v>196</v>
      </c>
      <c r="M25" s="344">
        <v>1.4949999999999999</v>
      </c>
      <c r="N25" s="344">
        <v>2.2299999999999995</v>
      </c>
      <c r="O25" s="327">
        <v>2.0400000000000005</v>
      </c>
      <c r="P25" s="345"/>
      <c r="Q25" s="328">
        <v>1.7525000000000002</v>
      </c>
    </row>
    <row r="26" spans="1:17" ht="12.75" customHeight="1">
      <c r="A26" s="47" t="s">
        <v>60</v>
      </c>
      <c r="B26" s="105"/>
      <c r="C26" s="105"/>
      <c r="D26" s="105"/>
      <c r="E26" s="105"/>
      <c r="F26" s="105"/>
      <c r="G26" s="105"/>
      <c r="H26" s="105"/>
      <c r="I26" s="105"/>
      <c r="J26" s="76"/>
      <c r="K26" s="76"/>
      <c r="L26" s="20" t="s">
        <v>26</v>
      </c>
      <c r="M26" s="19">
        <v>0.82110000000000005</v>
      </c>
      <c r="N26" s="19">
        <v>1.6</v>
      </c>
      <c r="O26" s="52">
        <v>1.8</v>
      </c>
      <c r="P26" s="165"/>
      <c r="Q26" s="241">
        <v>1.72</v>
      </c>
    </row>
    <row r="27" spans="1:17" ht="12.75" customHeight="1">
      <c r="A27" s="47" t="s">
        <v>163</v>
      </c>
      <c r="B27" s="105"/>
      <c r="C27" s="105"/>
      <c r="D27" s="105"/>
      <c r="E27" s="105"/>
      <c r="F27" s="105"/>
      <c r="G27" s="105"/>
      <c r="H27" s="105"/>
      <c r="I27" s="105"/>
      <c r="J27" s="76"/>
      <c r="K27" s="76"/>
      <c r="L27" s="340" t="s">
        <v>38</v>
      </c>
      <c r="M27" s="341">
        <v>0.7</v>
      </c>
      <c r="N27" s="341">
        <v>3.5</v>
      </c>
      <c r="O27" s="51">
        <v>2</v>
      </c>
      <c r="P27" s="342"/>
      <c r="Q27" s="323">
        <v>1.7</v>
      </c>
    </row>
    <row r="28" spans="1:17" ht="12.75" customHeight="1">
      <c r="A28" s="47" t="s">
        <v>82</v>
      </c>
      <c r="B28" s="105"/>
      <c r="C28" s="105"/>
      <c r="D28" s="105"/>
      <c r="E28" s="105"/>
      <c r="F28" s="105"/>
      <c r="G28" s="105"/>
      <c r="H28" s="105"/>
      <c r="I28" s="105"/>
      <c r="J28" s="76"/>
      <c r="K28" s="76"/>
      <c r="L28" s="20" t="s">
        <v>9</v>
      </c>
      <c r="M28" s="19">
        <v>1</v>
      </c>
      <c r="N28" s="19">
        <v>2.9</v>
      </c>
      <c r="O28" s="52">
        <v>1.8</v>
      </c>
      <c r="P28" s="165"/>
      <c r="Q28" s="240">
        <v>1.7</v>
      </c>
    </row>
    <row r="29" spans="1:17" ht="12.75" customHeight="1">
      <c r="A29" s="32" t="s">
        <v>47</v>
      </c>
      <c r="B29" s="105"/>
      <c r="C29" s="105"/>
      <c r="D29" s="105"/>
      <c r="E29" s="105"/>
      <c r="F29" s="105"/>
      <c r="G29" s="105"/>
      <c r="H29" s="105"/>
      <c r="I29" s="105"/>
      <c r="J29" s="76"/>
      <c r="K29" s="76"/>
      <c r="L29" s="340" t="s">
        <v>13</v>
      </c>
      <c r="M29" s="341"/>
      <c r="N29" s="341">
        <v>0.8</v>
      </c>
      <c r="O29" s="51">
        <v>1.9</v>
      </c>
      <c r="P29" s="342"/>
      <c r="Q29" s="323">
        <v>1.7</v>
      </c>
    </row>
    <row r="30" spans="1:17" ht="12.75" customHeight="1">
      <c r="A30" s="32" t="s">
        <v>65</v>
      </c>
      <c r="B30" s="105"/>
      <c r="C30" s="105"/>
      <c r="D30" s="97"/>
      <c r="E30" s="105"/>
      <c r="F30" s="105"/>
      <c r="G30" s="105"/>
      <c r="H30" s="105"/>
      <c r="I30" s="105"/>
      <c r="J30" s="76"/>
      <c r="K30" s="76"/>
      <c r="L30" s="20" t="s">
        <v>31</v>
      </c>
      <c r="M30" s="19">
        <v>1.3</v>
      </c>
      <c r="N30" s="19">
        <v>2.1</v>
      </c>
      <c r="O30" s="52">
        <v>1.8</v>
      </c>
      <c r="P30" s="165"/>
      <c r="Q30" s="241">
        <v>1.63</v>
      </c>
    </row>
    <row r="31" spans="1:17" ht="13.5" customHeight="1">
      <c r="A31" s="32" t="s">
        <v>83</v>
      </c>
      <c r="B31" s="105"/>
      <c r="C31" s="105"/>
      <c r="D31" s="97"/>
      <c r="E31" s="105"/>
      <c r="F31" s="105"/>
      <c r="G31" s="105"/>
      <c r="H31" s="105"/>
      <c r="I31" s="105"/>
      <c r="J31" s="76"/>
      <c r="K31" s="76"/>
      <c r="L31" s="340" t="s">
        <v>17</v>
      </c>
      <c r="M31" s="341">
        <v>1.1000000000000001</v>
      </c>
      <c r="N31" s="341">
        <v>1</v>
      </c>
      <c r="O31" s="51">
        <v>1.7</v>
      </c>
      <c r="P31" s="342"/>
      <c r="Q31" s="323">
        <v>1.6</v>
      </c>
    </row>
    <row r="32" spans="1:17" ht="13.5" customHeight="1">
      <c r="A32" s="47" t="s">
        <v>61</v>
      </c>
      <c r="B32" s="105"/>
      <c r="C32" s="105"/>
      <c r="D32" s="97"/>
      <c r="E32" s="105"/>
      <c r="F32" s="105"/>
      <c r="G32" s="105"/>
      <c r="H32" s="107"/>
      <c r="I32" s="105"/>
      <c r="J32" s="76"/>
      <c r="K32" s="76"/>
      <c r="L32" s="340" t="s">
        <v>39</v>
      </c>
      <c r="M32" s="341">
        <v>1.4</v>
      </c>
      <c r="N32" s="341">
        <v>2.2999999999999998</v>
      </c>
      <c r="O32" s="51">
        <v>1.8</v>
      </c>
      <c r="P32" s="342"/>
      <c r="Q32" s="324">
        <v>1.54</v>
      </c>
    </row>
    <row r="33" spans="1:17" ht="13.5" customHeight="1">
      <c r="A33" s="100" t="s">
        <v>62</v>
      </c>
      <c r="B33" s="105"/>
      <c r="C33" s="105"/>
      <c r="D33" s="97"/>
      <c r="E33" s="105"/>
      <c r="F33" s="105"/>
      <c r="G33" s="105"/>
      <c r="H33" s="107"/>
      <c r="I33" s="105"/>
      <c r="J33" s="76"/>
      <c r="K33" s="76"/>
      <c r="L33" s="20" t="s">
        <v>18</v>
      </c>
      <c r="M33" s="19">
        <v>0.9</v>
      </c>
      <c r="N33" s="19">
        <v>2.4</v>
      </c>
      <c r="O33" s="52">
        <v>1.9</v>
      </c>
      <c r="P33" s="165"/>
      <c r="Q33" s="240">
        <v>1.5</v>
      </c>
    </row>
    <row r="34" spans="1:17">
      <c r="B34" s="76"/>
      <c r="C34" s="76"/>
      <c r="D34" s="77"/>
      <c r="F34" s="99"/>
      <c r="G34" s="99"/>
      <c r="H34" s="99"/>
      <c r="I34" s="99"/>
      <c r="J34" s="76"/>
      <c r="K34" s="76"/>
      <c r="L34" s="340" t="s">
        <v>15</v>
      </c>
      <c r="M34" s="341">
        <v>0.8</v>
      </c>
      <c r="N34" s="341">
        <v>1.7</v>
      </c>
      <c r="O34" s="51">
        <v>1.7</v>
      </c>
      <c r="P34" s="342"/>
      <c r="Q34" s="323">
        <v>1.5</v>
      </c>
    </row>
    <row r="35" spans="1:17">
      <c r="B35" s="99"/>
      <c r="C35" s="99"/>
      <c r="D35" s="99"/>
      <c r="E35" s="99"/>
      <c r="F35" s="99"/>
      <c r="G35" s="99"/>
      <c r="H35" s="29"/>
      <c r="I35" s="99"/>
      <c r="J35" s="76"/>
      <c r="K35" s="76"/>
      <c r="L35" s="20" t="s">
        <v>19</v>
      </c>
      <c r="M35" s="19">
        <v>1.1156999999999999</v>
      </c>
      <c r="N35" s="19">
        <v>2.6063000000000001</v>
      </c>
      <c r="O35" s="52">
        <v>1.7</v>
      </c>
      <c r="P35" s="165"/>
      <c r="Q35" s="241">
        <v>1.48</v>
      </c>
    </row>
    <row r="36" spans="1:17">
      <c r="B36" s="99"/>
      <c r="C36" s="99"/>
      <c r="D36" s="99"/>
      <c r="E36" s="99"/>
      <c r="F36" s="99"/>
      <c r="G36" s="99"/>
      <c r="H36" s="99"/>
      <c r="I36" s="99"/>
      <c r="J36" s="76"/>
      <c r="K36" s="76"/>
      <c r="L36" s="20" t="s">
        <v>24</v>
      </c>
      <c r="M36" s="19">
        <v>0.93</v>
      </c>
      <c r="N36" s="19">
        <v>1.6</v>
      </c>
      <c r="O36" s="52">
        <v>1.69</v>
      </c>
      <c r="P36" s="165"/>
      <c r="Q36" s="241">
        <v>1.47</v>
      </c>
    </row>
    <row r="37" spans="1:17">
      <c r="B37" s="99"/>
      <c r="C37" s="99"/>
      <c r="D37" s="99"/>
      <c r="E37" s="99"/>
      <c r="F37" s="99"/>
      <c r="G37" s="99"/>
      <c r="H37" s="99"/>
      <c r="I37" s="99"/>
      <c r="J37" s="76"/>
      <c r="K37" s="76"/>
      <c r="L37" s="340" t="s">
        <v>7</v>
      </c>
      <c r="M37" s="341">
        <v>1.2</v>
      </c>
      <c r="N37" s="341">
        <v>1.3</v>
      </c>
      <c r="O37" s="51">
        <v>1.6</v>
      </c>
      <c r="P37" s="342"/>
      <c r="Q37" s="323">
        <v>1.4</v>
      </c>
    </row>
    <row r="38" spans="1:17">
      <c r="B38" s="99"/>
      <c r="C38" s="99"/>
      <c r="D38" s="99"/>
      <c r="E38" s="99"/>
      <c r="F38" s="99"/>
      <c r="G38" s="99"/>
      <c r="H38" s="99"/>
      <c r="I38" s="99"/>
      <c r="J38" s="76"/>
      <c r="K38" s="76"/>
      <c r="L38" s="20" t="s">
        <v>25</v>
      </c>
      <c r="M38" s="19"/>
      <c r="N38" s="19">
        <v>0.5</v>
      </c>
      <c r="O38" s="52">
        <v>1.4</v>
      </c>
      <c r="P38" s="165"/>
      <c r="Q38" s="240">
        <v>1.4</v>
      </c>
    </row>
    <row r="39" spans="1:17">
      <c r="J39" s="76"/>
      <c r="K39" s="76"/>
      <c r="L39" s="340" t="s">
        <v>20</v>
      </c>
      <c r="M39" s="341">
        <v>0.8</v>
      </c>
      <c r="N39" s="341">
        <v>2.2000000000000002</v>
      </c>
      <c r="O39" s="51">
        <v>1.7</v>
      </c>
      <c r="P39" s="342"/>
      <c r="Q39" s="323">
        <v>1.3</v>
      </c>
    </row>
    <row r="40" spans="1:17">
      <c r="J40" s="76"/>
      <c r="K40" s="76"/>
      <c r="L40" s="20" t="s">
        <v>21</v>
      </c>
      <c r="M40" s="19">
        <v>0.5968</v>
      </c>
      <c r="N40" s="19">
        <v>0.41089999999999999</v>
      </c>
      <c r="O40" s="52">
        <v>1.3</v>
      </c>
      <c r="P40" s="165"/>
      <c r="Q40" s="241">
        <v>1.28</v>
      </c>
    </row>
    <row r="41" spans="1:17">
      <c r="J41" s="76"/>
      <c r="K41" s="76"/>
      <c r="L41" s="340" t="s">
        <v>6</v>
      </c>
      <c r="M41" s="341">
        <v>1.2</v>
      </c>
      <c r="N41" s="341">
        <v>0.9</v>
      </c>
      <c r="O41" s="51">
        <v>1.5</v>
      </c>
      <c r="P41" s="342"/>
      <c r="Q41" s="323">
        <v>1.2</v>
      </c>
    </row>
    <row r="42" spans="1:17">
      <c r="J42" s="76"/>
      <c r="K42" s="76"/>
      <c r="L42" s="20" t="s">
        <v>1</v>
      </c>
      <c r="M42" s="19">
        <v>0.4</v>
      </c>
      <c r="N42" s="19">
        <v>1.5</v>
      </c>
      <c r="O42" s="52">
        <v>1.6</v>
      </c>
      <c r="P42" s="165"/>
      <c r="Q42" s="240">
        <v>1.2</v>
      </c>
    </row>
    <row r="43" spans="1:17">
      <c r="J43" s="76"/>
      <c r="K43" s="76"/>
      <c r="L43" s="340" t="s">
        <v>37</v>
      </c>
      <c r="M43" s="341">
        <v>1.3729</v>
      </c>
      <c r="N43" s="341">
        <v>2.65</v>
      </c>
      <c r="O43" s="51">
        <v>1.5</v>
      </c>
      <c r="P43" s="342"/>
      <c r="Q43" s="323">
        <v>1.1000000000000001</v>
      </c>
    </row>
    <row r="44" spans="1:17">
      <c r="J44" s="76"/>
      <c r="K44" s="76"/>
      <c r="L44" s="20" t="s">
        <v>14</v>
      </c>
      <c r="M44" s="19">
        <v>1.1000000000000001</v>
      </c>
      <c r="N44" s="19">
        <v>0.8</v>
      </c>
      <c r="O44" s="52">
        <v>1.2</v>
      </c>
      <c r="P44" s="165"/>
      <c r="Q44" s="241">
        <v>1</v>
      </c>
    </row>
    <row r="45" spans="1:17">
      <c r="J45" s="76"/>
      <c r="K45" s="76"/>
      <c r="L45" s="340" t="s">
        <v>2</v>
      </c>
      <c r="M45" s="341"/>
      <c r="N45" s="341"/>
      <c r="O45" s="51">
        <v>0.7</v>
      </c>
      <c r="P45" s="342"/>
      <c r="Q45" s="323">
        <v>0.9</v>
      </c>
    </row>
    <row r="46" spans="1:17">
      <c r="J46" s="76"/>
      <c r="K46" s="76"/>
      <c r="L46" s="20" t="s">
        <v>71</v>
      </c>
      <c r="M46" s="19" t="s">
        <v>44</v>
      </c>
      <c r="N46" s="19" t="s">
        <v>44</v>
      </c>
      <c r="O46" s="52">
        <v>0.48193055221336489</v>
      </c>
      <c r="P46" s="165"/>
      <c r="Q46" s="241">
        <v>0.55000000000000004</v>
      </c>
    </row>
    <row r="47" spans="1:17">
      <c r="J47" s="76"/>
      <c r="K47" s="76"/>
      <c r="L47" s="340" t="s">
        <v>5</v>
      </c>
      <c r="M47" s="341">
        <v>0.2</v>
      </c>
      <c r="N47" s="341">
        <v>1.2</v>
      </c>
      <c r="O47" s="51">
        <v>2.6</v>
      </c>
      <c r="P47" s="342"/>
      <c r="Q47" s="323"/>
    </row>
    <row r="48" spans="1:17">
      <c r="J48" s="76"/>
      <c r="K48" s="76"/>
      <c r="L48" s="20" t="s">
        <v>32</v>
      </c>
      <c r="M48" s="19"/>
      <c r="N48" s="19">
        <v>2.1</v>
      </c>
      <c r="O48" s="52">
        <v>1.9</v>
      </c>
      <c r="P48" s="165"/>
      <c r="Q48" s="240"/>
    </row>
    <row r="49" spans="10:17" ht="13.5" customHeight="1">
      <c r="J49" s="76"/>
      <c r="K49" s="76"/>
      <c r="L49" s="340" t="s">
        <v>30</v>
      </c>
      <c r="M49" s="341">
        <v>0.4</v>
      </c>
      <c r="N49" s="341">
        <v>1</v>
      </c>
      <c r="O49" s="51">
        <v>1.8</v>
      </c>
      <c r="P49" s="342"/>
      <c r="Q49" s="323"/>
    </row>
    <row r="50" spans="10:17" ht="12.75" customHeight="1">
      <c r="J50" s="76"/>
      <c r="K50" s="76"/>
      <c r="L50" s="242" t="s">
        <v>27</v>
      </c>
      <c r="M50" s="243"/>
      <c r="N50" s="243"/>
      <c r="O50" s="7">
        <v>0.7</v>
      </c>
      <c r="P50" s="244"/>
      <c r="Q50" s="346"/>
    </row>
    <row r="51" spans="10:17" ht="12.75" customHeight="1">
      <c r="J51" s="39"/>
      <c r="K51" s="39"/>
      <c r="L51" s="101"/>
      <c r="M51" s="101"/>
      <c r="N51" s="102"/>
      <c r="O51" s="101"/>
      <c r="P51" s="172"/>
      <c r="Q51" s="101"/>
    </row>
    <row r="52" spans="10:17" ht="12.75" customHeight="1">
      <c r="J52" s="39"/>
      <c r="K52" s="39"/>
    </row>
    <row r="61" spans="10:17">
      <c r="M61" s="213"/>
      <c r="N61" s="213"/>
      <c r="O61" s="213"/>
      <c r="P61" s="214"/>
      <c r="Q61" s="215"/>
    </row>
    <row r="62" spans="10:17">
      <c r="M62" s="213"/>
      <c r="N62" s="213"/>
      <c r="O62" s="213"/>
      <c r="P62" s="214"/>
      <c r="Q62" s="215"/>
    </row>
    <row r="63" spans="10:17">
      <c r="M63" s="213"/>
      <c r="N63" s="213"/>
      <c r="O63" s="213"/>
      <c r="P63" s="214"/>
      <c r="Q63" s="215"/>
    </row>
    <row r="64" spans="10:17">
      <c r="M64" s="213"/>
      <c r="N64" s="213"/>
      <c r="O64" s="213"/>
      <c r="P64" s="214"/>
      <c r="Q64" s="215"/>
    </row>
    <row r="65" spans="11:17">
      <c r="M65" s="213"/>
      <c r="N65" s="213"/>
      <c r="O65" s="213"/>
      <c r="P65" s="214"/>
      <c r="Q65" s="215"/>
    </row>
    <row r="66" spans="11:17">
      <c r="M66" s="213"/>
      <c r="N66" s="213"/>
      <c r="O66" s="213"/>
      <c r="P66" s="214"/>
      <c r="Q66" s="215"/>
    </row>
    <row r="67" spans="11:17">
      <c r="M67" s="213"/>
      <c r="N67" s="213"/>
      <c r="O67" s="213"/>
      <c r="P67" s="214"/>
      <c r="Q67" s="215"/>
    </row>
    <row r="68" spans="11:17">
      <c r="M68" s="213"/>
      <c r="N68" s="213"/>
      <c r="O68" s="213"/>
      <c r="P68" s="214"/>
      <c r="Q68" s="215"/>
    </row>
    <row r="69" spans="11:17">
      <c r="M69" s="213"/>
      <c r="N69" s="213"/>
      <c r="O69" s="213"/>
      <c r="P69" s="214"/>
      <c r="Q69" s="215"/>
    </row>
    <row r="70" spans="11:17">
      <c r="M70" s="213"/>
      <c r="N70" s="213"/>
      <c r="O70" s="213"/>
      <c r="P70" s="214"/>
      <c r="Q70" s="215"/>
    </row>
    <row r="71" spans="11:17">
      <c r="M71" s="213"/>
      <c r="N71" s="213"/>
      <c r="O71" s="213"/>
      <c r="P71" s="214"/>
      <c r="Q71" s="215"/>
    </row>
    <row r="72" spans="11:17">
      <c r="M72" s="213"/>
      <c r="N72" s="213"/>
      <c r="O72" s="213"/>
      <c r="P72" s="214"/>
      <c r="Q72" s="215"/>
    </row>
    <row r="73" spans="11:17">
      <c r="M73" s="213"/>
      <c r="N73" s="213"/>
      <c r="O73" s="213"/>
      <c r="P73" s="214"/>
      <c r="Q73" s="215"/>
    </row>
    <row r="74" spans="11:17">
      <c r="M74" s="213"/>
      <c r="N74" s="213"/>
      <c r="O74" s="213"/>
      <c r="P74" s="214"/>
      <c r="Q74" s="215"/>
    </row>
    <row r="75" spans="11:17">
      <c r="M75" s="213"/>
      <c r="N75" s="213"/>
      <c r="O75" s="213"/>
      <c r="P75" s="214"/>
      <c r="Q75" s="215"/>
    </row>
    <row r="76" spans="11:17">
      <c r="M76" s="213"/>
      <c r="N76" s="213"/>
      <c r="O76" s="213"/>
      <c r="P76" s="214"/>
      <c r="Q76" s="215"/>
    </row>
    <row r="77" spans="11:17">
      <c r="M77" s="213"/>
      <c r="N77" s="213"/>
      <c r="O77" s="213"/>
      <c r="P77" s="214"/>
      <c r="Q77" s="215"/>
    </row>
    <row r="78" spans="11:17">
      <c r="K78" s="211"/>
      <c r="M78" s="213"/>
      <c r="N78" s="213"/>
      <c r="O78" s="213"/>
      <c r="P78" s="214"/>
      <c r="Q78" s="215"/>
    </row>
    <row r="79" spans="11:17">
      <c r="M79" s="213"/>
      <c r="N79" s="213"/>
      <c r="O79" s="213"/>
      <c r="P79" s="214"/>
      <c r="Q79" s="215"/>
    </row>
    <row r="80" spans="11:17">
      <c r="L80" s="211"/>
      <c r="M80" s="216"/>
      <c r="N80" s="216"/>
      <c r="O80" s="216"/>
      <c r="P80" s="217"/>
      <c r="Q80" s="216"/>
    </row>
    <row r="81" spans="12:18">
      <c r="M81" s="213"/>
      <c r="N81" s="213"/>
      <c r="O81" s="213"/>
      <c r="P81" s="214"/>
      <c r="Q81" s="215"/>
      <c r="R81" s="212"/>
    </row>
    <row r="82" spans="12:18">
      <c r="M82" s="213"/>
      <c r="N82" s="213"/>
      <c r="O82" s="213"/>
      <c r="P82" s="214"/>
      <c r="Q82" s="215"/>
    </row>
    <row r="83" spans="12:18">
      <c r="L83" s="211"/>
      <c r="M83" s="218"/>
      <c r="N83" s="219"/>
      <c r="O83" s="216"/>
      <c r="P83" s="216"/>
      <c r="Q83" s="216"/>
    </row>
    <row r="84" spans="12:18">
      <c r="M84" s="213"/>
      <c r="N84" s="213"/>
      <c r="O84" s="213"/>
      <c r="P84" s="214"/>
      <c r="Q84" s="215"/>
    </row>
    <row r="85" spans="12:18">
      <c r="M85" s="213"/>
      <c r="N85" s="213"/>
      <c r="O85" s="213"/>
      <c r="P85" s="214"/>
      <c r="Q85" s="215"/>
    </row>
    <row r="86" spans="12:18">
      <c r="M86" s="213"/>
      <c r="N86" s="213"/>
      <c r="O86" s="213"/>
      <c r="P86" s="214"/>
      <c r="Q86" s="215"/>
    </row>
    <row r="87" spans="12:18">
      <c r="M87" s="213"/>
      <c r="N87" s="213"/>
      <c r="O87" s="213"/>
      <c r="P87" s="214"/>
      <c r="Q87" s="215"/>
    </row>
    <row r="88" spans="12:18">
      <c r="M88" s="213"/>
      <c r="N88" s="213"/>
      <c r="O88" s="213"/>
      <c r="P88" s="214"/>
      <c r="Q88" s="215"/>
    </row>
    <row r="89" spans="12:18">
      <c r="M89" s="213"/>
      <c r="N89" s="213"/>
      <c r="O89" s="213"/>
      <c r="P89" s="214"/>
      <c r="Q89" s="215"/>
    </row>
    <row r="90" spans="12:18">
      <c r="M90" s="213"/>
      <c r="N90" s="213"/>
      <c r="O90" s="213"/>
      <c r="P90" s="214"/>
      <c r="Q90" s="215"/>
    </row>
    <row r="91" spans="12:18">
      <c r="M91" s="213"/>
      <c r="N91" s="213"/>
      <c r="O91" s="213"/>
      <c r="P91" s="214"/>
      <c r="Q91" s="215"/>
    </row>
    <row r="92" spans="12:18">
      <c r="M92" s="213"/>
      <c r="N92" s="213"/>
      <c r="O92" s="213"/>
      <c r="P92" s="214"/>
      <c r="Q92" s="215"/>
    </row>
    <row r="93" spans="12:18">
      <c r="M93" s="213"/>
      <c r="N93" s="213"/>
      <c r="O93" s="213"/>
      <c r="P93" s="214"/>
      <c r="Q93" s="215"/>
    </row>
    <row r="94" spans="12:18">
      <c r="M94" s="213"/>
      <c r="N94" s="213"/>
      <c r="O94" s="213"/>
      <c r="P94" s="214"/>
      <c r="Q94" s="215"/>
    </row>
    <row r="95" spans="12:18">
      <c r="M95" s="213"/>
      <c r="N95" s="213"/>
      <c r="O95" s="213"/>
      <c r="P95" s="214"/>
      <c r="Q95" s="215"/>
    </row>
    <row r="96" spans="12:18">
      <c r="M96" s="213"/>
      <c r="N96" s="213"/>
      <c r="O96" s="213"/>
      <c r="P96" s="214"/>
      <c r="Q96" s="215"/>
    </row>
    <row r="97" spans="13:17">
      <c r="M97" s="213"/>
      <c r="N97" s="213"/>
      <c r="O97" s="213"/>
      <c r="P97" s="214"/>
      <c r="Q97" s="215"/>
    </row>
    <row r="98" spans="13:17">
      <c r="M98" s="213"/>
      <c r="N98" s="213"/>
      <c r="O98" s="213"/>
      <c r="P98" s="214"/>
      <c r="Q98" s="215"/>
    </row>
    <row r="99" spans="13:17">
      <c r="M99" s="213"/>
      <c r="N99" s="213"/>
      <c r="O99" s="213"/>
      <c r="P99" s="214"/>
      <c r="Q99" s="215"/>
    </row>
    <row r="100" spans="13:17">
      <c r="M100" s="213"/>
      <c r="N100" s="213"/>
      <c r="O100" s="213"/>
      <c r="P100" s="214"/>
      <c r="Q100" s="215"/>
    </row>
    <row r="101" spans="13:17">
      <c r="M101" s="213"/>
      <c r="N101" s="213"/>
      <c r="O101" s="213"/>
      <c r="P101" s="214"/>
      <c r="Q101" s="215"/>
    </row>
    <row r="102" spans="13:17">
      <c r="M102" s="213"/>
      <c r="N102" s="213"/>
      <c r="O102" s="213"/>
      <c r="P102" s="214"/>
      <c r="Q102" s="215"/>
    </row>
    <row r="103" spans="13:17">
      <c r="M103" s="213"/>
      <c r="N103" s="213"/>
      <c r="O103" s="213"/>
      <c r="P103" s="214"/>
      <c r="Q103" s="215"/>
    </row>
  </sheetData>
  <sortState xmlns:xlrd2="http://schemas.microsoft.com/office/spreadsheetml/2017/richdata2" ref="L6:Q50">
    <sortCondition descending="1" ref="Q6:Q50"/>
  </sortState>
  <mergeCells count="6">
    <mergeCell ref="A20:I22"/>
    <mergeCell ref="A1:I1"/>
    <mergeCell ref="L1:O1"/>
    <mergeCell ref="A2:I3"/>
    <mergeCell ref="L3:O3"/>
    <mergeCell ref="M4:O4"/>
  </mergeCells>
  <hyperlinks>
    <hyperlink ref="A26" r:id="rId1" xr:uid="{31677051-580A-4B96-99D0-873DFCE88C57}"/>
    <hyperlink ref="A32" r:id="rId2" xr:uid="{255C9ECB-7DCA-413D-ADA4-CA963A41447D}"/>
    <hyperlink ref="A29" r:id="rId3" xr:uid="{41625950-C556-4283-9C6A-8863886F5857}"/>
    <hyperlink ref="A30" r:id="rId4" xr:uid="{5CD6CBC9-CDF1-4041-B501-1B78D10C6B83}"/>
    <hyperlink ref="A25" r:id="rId5" display="Source: for EU countries: Eurostat Demographic Statistics; " xr:uid="{A6D3A1A4-FD61-4EAD-962F-43D2B510A8ED}"/>
    <hyperlink ref="A28" r:id="rId6" xr:uid="{74F30CB5-E7B6-4C8D-84EB-7D55F7CE174E}"/>
    <hyperlink ref="A31" r:id="rId7" xr:uid="{5E0B3BAD-C52A-453D-935D-C98F1C381D41}"/>
    <hyperlink ref="A33" r:id="rId8" xr:uid="{FEA35444-B477-458D-919E-33C78D714BD8}"/>
    <hyperlink ref="A27" r:id="rId9" display="for Chile, INE" xr:uid="{D1C3E06B-2948-461F-A3FC-BA4D3AB5D334}"/>
  </hyperlinks>
  <pageMargins left="0.70866141732283472" right="0.70866141732283472" top="0.74803149606299213" bottom="0.74803149606299213" header="0.31496062992125984" footer="0.31496062992125984"/>
  <pageSetup paperSize="9" orientation="landscape" r:id="rId10"/>
  <headerFooter>
    <oddHeader>&amp;LOECD Family database (www.oecd.org/els/social/family/database.htm)</oddHeader>
    <oddFooter>&amp;C_x000D_&amp;1#&amp;"Calibri"&amp;10&amp;K0000FF Restricted Use - À usage restreint</oddFooter>
  </headerFooter>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453C-64D5-4C36-A12E-574883DAB5EA}">
  <sheetPr>
    <pageSetUpPr fitToPage="1"/>
  </sheetPr>
  <dimension ref="A1:V59"/>
  <sheetViews>
    <sheetView zoomScale="70" zoomScaleNormal="70" workbookViewId="0">
      <selection sqref="A1:I1"/>
    </sheetView>
  </sheetViews>
  <sheetFormatPr defaultColWidth="9.140625" defaultRowHeight="12.75"/>
  <cols>
    <col min="1" max="1" width="15.85546875" style="373" bestFit="1" customWidth="1"/>
    <col min="2" max="11" width="9.140625" style="373"/>
    <col min="12" max="12" width="14.140625" style="373" customWidth="1"/>
    <col min="13" max="13" width="16.42578125" style="373" customWidth="1"/>
    <col min="14" max="16384" width="9.140625" style="331"/>
  </cols>
  <sheetData>
    <row r="1" spans="1:22" ht="16.5" customHeight="1">
      <c r="A1" s="401" t="s">
        <v>202</v>
      </c>
      <c r="B1" s="401"/>
      <c r="C1" s="401"/>
      <c r="D1" s="401"/>
      <c r="E1" s="401"/>
      <c r="F1" s="401"/>
      <c r="G1" s="401"/>
      <c r="H1" s="401"/>
      <c r="I1" s="401"/>
      <c r="J1" s="347"/>
      <c r="K1" s="348"/>
      <c r="L1" s="349"/>
      <c r="M1" s="349"/>
    </row>
    <row r="2" spans="1:22" ht="16.5" customHeight="1">
      <c r="A2" s="403" t="s">
        <v>201</v>
      </c>
      <c r="B2" s="403"/>
      <c r="C2" s="403"/>
      <c r="D2" s="403"/>
      <c r="E2" s="403"/>
      <c r="F2" s="403"/>
      <c r="G2" s="403"/>
      <c r="H2" s="403"/>
      <c r="I2" s="403"/>
      <c r="J2" s="347"/>
      <c r="K2" s="348"/>
      <c r="L2" s="349"/>
      <c r="M2" s="349"/>
    </row>
    <row r="3" spans="1:22">
      <c r="A3" s="403"/>
      <c r="B3" s="403"/>
      <c r="C3" s="403"/>
      <c r="D3" s="403"/>
      <c r="E3" s="403"/>
      <c r="F3" s="403"/>
      <c r="G3" s="403"/>
      <c r="H3" s="403"/>
      <c r="I3" s="403"/>
      <c r="J3" s="348"/>
      <c r="K3" s="348"/>
      <c r="L3" s="350"/>
      <c r="M3" s="350"/>
      <c r="T3" s="351"/>
    </row>
    <row r="4" spans="1:22" ht="12.75" customHeight="1">
      <c r="A4" s="352"/>
      <c r="B4" s="352"/>
      <c r="C4" s="352"/>
      <c r="D4" s="352"/>
      <c r="E4" s="352"/>
      <c r="F4" s="352"/>
      <c r="G4" s="352"/>
      <c r="H4" s="352"/>
      <c r="I4" s="352"/>
      <c r="J4" s="348"/>
      <c r="K4" s="348"/>
      <c r="L4" s="353"/>
      <c r="M4" s="353"/>
      <c r="T4" s="354"/>
      <c r="U4" s="354"/>
      <c r="V4" s="354"/>
    </row>
    <row r="5" spans="1:22">
      <c r="A5" s="355"/>
      <c r="B5" s="355"/>
      <c r="C5" s="355"/>
      <c r="D5" s="355"/>
      <c r="E5" s="355"/>
      <c r="F5" s="355"/>
      <c r="G5" s="355"/>
      <c r="H5" s="355"/>
      <c r="I5" s="355"/>
      <c r="J5" s="348"/>
      <c r="K5" s="348"/>
      <c r="L5" s="356"/>
      <c r="M5" s="357" t="s">
        <v>52</v>
      </c>
    </row>
    <row r="6" spans="1:22">
      <c r="A6" s="355"/>
      <c r="B6" s="355"/>
      <c r="C6" s="355"/>
      <c r="D6" s="355"/>
      <c r="E6" s="355"/>
      <c r="F6" s="355"/>
      <c r="G6" s="355"/>
      <c r="H6" s="355"/>
      <c r="I6" s="355"/>
      <c r="J6" s="348"/>
      <c r="K6" s="348"/>
      <c r="L6" s="20" t="s">
        <v>27</v>
      </c>
      <c r="M6" s="19">
        <v>92.5</v>
      </c>
      <c r="R6" s="358"/>
      <c r="T6" s="359"/>
      <c r="U6" s="359"/>
      <c r="V6" s="359"/>
    </row>
    <row r="7" spans="1:22">
      <c r="A7" s="360"/>
      <c r="B7" s="360"/>
      <c r="C7" s="360"/>
      <c r="D7" s="360"/>
      <c r="E7" s="360"/>
      <c r="F7" s="360"/>
      <c r="G7" s="360"/>
      <c r="H7" s="360"/>
      <c r="I7" s="360"/>
      <c r="J7" s="361"/>
      <c r="K7" s="361"/>
      <c r="L7" s="321" t="s">
        <v>14</v>
      </c>
      <c r="M7" s="322">
        <v>88.73394185260311</v>
      </c>
      <c r="R7" s="358"/>
      <c r="T7" s="359"/>
      <c r="U7" s="359"/>
      <c r="V7" s="359"/>
    </row>
    <row r="8" spans="1:22">
      <c r="A8" s="360"/>
      <c r="B8" s="360"/>
      <c r="C8" s="360"/>
      <c r="D8" s="360"/>
      <c r="E8" s="360"/>
      <c r="F8" s="360"/>
      <c r="G8" s="360"/>
      <c r="H8" s="360"/>
      <c r="I8" s="360"/>
      <c r="J8" s="361"/>
      <c r="K8" s="361"/>
      <c r="L8" s="20" t="s">
        <v>6</v>
      </c>
      <c r="M8" s="19">
        <v>87.90583969675329</v>
      </c>
      <c r="R8" s="358"/>
      <c r="T8" s="359"/>
      <c r="U8" s="359"/>
      <c r="V8" s="359"/>
    </row>
    <row r="9" spans="1:22">
      <c r="A9" s="360"/>
      <c r="B9" s="360"/>
      <c r="C9" s="360"/>
      <c r="D9" s="360"/>
      <c r="E9" s="360"/>
      <c r="F9" s="360"/>
      <c r="G9" s="360"/>
      <c r="H9" s="360"/>
      <c r="I9" s="360"/>
      <c r="J9" s="361"/>
      <c r="K9" s="361"/>
      <c r="L9" s="321" t="s">
        <v>5</v>
      </c>
      <c r="M9" s="322">
        <v>86.39490773484215</v>
      </c>
      <c r="R9" s="358"/>
      <c r="T9" s="359"/>
      <c r="U9" s="359"/>
      <c r="V9" s="359"/>
    </row>
    <row r="10" spans="1:22">
      <c r="A10" s="360"/>
      <c r="B10" s="360"/>
      <c r="C10" s="360"/>
      <c r="D10" s="360"/>
      <c r="E10" s="360"/>
      <c r="F10" s="360"/>
      <c r="G10" s="360"/>
      <c r="H10" s="360"/>
      <c r="I10" s="360"/>
      <c r="J10" s="361"/>
      <c r="K10" s="361"/>
      <c r="L10" s="20" t="s">
        <v>7</v>
      </c>
      <c r="M10" s="19">
        <v>86.2</v>
      </c>
      <c r="R10" s="358"/>
      <c r="T10" s="359"/>
      <c r="U10" s="359"/>
      <c r="V10" s="359"/>
    </row>
    <row r="11" spans="1:22">
      <c r="A11" s="360"/>
      <c r="B11" s="360"/>
      <c r="C11" s="360"/>
      <c r="D11" s="360"/>
      <c r="E11" s="360"/>
      <c r="F11" s="360"/>
      <c r="G11" s="360"/>
      <c r="H11" s="360"/>
      <c r="I11" s="360"/>
      <c r="J11" s="361"/>
      <c r="K11" s="361"/>
      <c r="L11" s="321" t="s">
        <v>25</v>
      </c>
      <c r="M11" s="322">
        <v>85.672556757715498</v>
      </c>
      <c r="R11" s="358"/>
      <c r="T11" s="359"/>
      <c r="U11" s="359"/>
      <c r="V11" s="359"/>
    </row>
    <row r="12" spans="1:22">
      <c r="A12" s="360"/>
      <c r="B12" s="360"/>
      <c r="C12" s="360"/>
      <c r="D12" s="360"/>
      <c r="E12" s="360"/>
      <c r="F12" s="360"/>
      <c r="G12" s="360"/>
      <c r="H12" s="360"/>
      <c r="I12" s="360"/>
      <c r="J12" s="361"/>
      <c r="K12" s="361"/>
      <c r="L12" s="20" t="s">
        <v>15</v>
      </c>
      <c r="M12" s="19">
        <v>85.058823529411768</v>
      </c>
      <c r="R12" s="358"/>
      <c r="T12" s="359"/>
      <c r="U12" s="359"/>
      <c r="V12" s="359"/>
    </row>
    <row r="13" spans="1:22">
      <c r="A13" s="360"/>
      <c r="B13" s="360"/>
      <c r="C13" s="360"/>
      <c r="D13" s="360"/>
      <c r="E13" s="360"/>
      <c r="F13" s="360"/>
      <c r="G13" s="360"/>
      <c r="H13" s="360"/>
      <c r="I13" s="360"/>
      <c r="J13" s="361"/>
      <c r="K13" s="361"/>
      <c r="L13" s="321" t="s">
        <v>30</v>
      </c>
      <c r="M13" s="322">
        <v>85.016806104173313</v>
      </c>
      <c r="R13" s="358"/>
      <c r="T13" s="359"/>
      <c r="U13" s="359"/>
      <c r="V13" s="359"/>
    </row>
    <row r="14" spans="1:22">
      <c r="A14" s="360"/>
      <c r="B14" s="360"/>
      <c r="C14" s="360"/>
      <c r="D14" s="360"/>
      <c r="E14" s="360"/>
      <c r="F14" s="360"/>
      <c r="G14" s="360"/>
      <c r="H14" s="360"/>
      <c r="I14" s="360"/>
      <c r="J14" s="361"/>
      <c r="K14" s="361"/>
      <c r="L14" s="20" t="s">
        <v>189</v>
      </c>
      <c r="M14" s="19">
        <v>84.7</v>
      </c>
      <c r="R14" s="358"/>
      <c r="T14" s="359"/>
      <c r="U14" s="359"/>
      <c r="V14" s="359"/>
    </row>
    <row r="15" spans="1:22">
      <c r="A15" s="360"/>
      <c r="B15" s="360"/>
      <c r="C15" s="360"/>
      <c r="D15" s="360"/>
      <c r="E15" s="360"/>
      <c r="F15" s="360"/>
      <c r="G15" s="360"/>
      <c r="H15" s="360"/>
      <c r="I15" s="360"/>
      <c r="J15" s="361"/>
      <c r="K15" s="361"/>
      <c r="L15" s="321" t="s">
        <v>36</v>
      </c>
      <c r="M15" s="322">
        <v>84.521102330000005</v>
      </c>
      <c r="R15" s="358"/>
      <c r="T15" s="359"/>
      <c r="U15" s="359"/>
      <c r="V15" s="359"/>
    </row>
    <row r="16" spans="1:22">
      <c r="A16" s="360"/>
      <c r="B16" s="360"/>
      <c r="C16" s="360"/>
      <c r="D16" s="360"/>
      <c r="E16" s="360"/>
      <c r="F16" s="360"/>
      <c r="G16" s="360"/>
      <c r="H16" s="360"/>
      <c r="I16" s="360"/>
      <c r="J16" s="361"/>
      <c r="K16" s="361"/>
      <c r="L16" s="20" t="s">
        <v>17</v>
      </c>
      <c r="M16" s="19">
        <v>83.765238468667576</v>
      </c>
      <c r="R16" s="358"/>
      <c r="T16" s="359"/>
      <c r="U16" s="359"/>
      <c r="V16" s="359"/>
    </row>
    <row r="17" spans="1:22">
      <c r="A17" s="360"/>
      <c r="B17" s="360"/>
      <c r="C17" s="360"/>
      <c r="D17" s="360"/>
      <c r="E17" s="360"/>
      <c r="F17" s="360"/>
      <c r="G17" s="360"/>
      <c r="H17" s="360"/>
      <c r="I17" s="360"/>
      <c r="J17" s="361"/>
      <c r="K17" s="361"/>
      <c r="L17" s="321" t="s">
        <v>1</v>
      </c>
      <c r="M17" s="322">
        <v>83.384556113022839</v>
      </c>
      <c r="R17" s="358"/>
      <c r="T17" s="359"/>
      <c r="U17" s="359"/>
      <c r="V17" s="359"/>
    </row>
    <row r="18" spans="1:22">
      <c r="A18" s="360"/>
      <c r="B18" s="360"/>
      <c r="C18" s="360"/>
      <c r="D18" s="360"/>
      <c r="E18" s="360"/>
      <c r="F18" s="360"/>
      <c r="G18" s="360"/>
      <c r="H18" s="360"/>
      <c r="I18" s="360"/>
      <c r="J18" s="361"/>
      <c r="K18" s="361"/>
      <c r="L18" s="20" t="s">
        <v>29</v>
      </c>
      <c r="M18" s="19">
        <v>82.740524781341108</v>
      </c>
      <c r="R18" s="358"/>
      <c r="T18" s="359"/>
      <c r="U18" s="359"/>
      <c r="V18" s="359"/>
    </row>
    <row r="19" spans="1:22">
      <c r="A19" s="360"/>
      <c r="B19" s="360"/>
      <c r="C19" s="360"/>
      <c r="D19" s="360"/>
      <c r="E19" s="360"/>
      <c r="F19" s="360"/>
      <c r="G19" s="360"/>
      <c r="H19" s="360"/>
      <c r="I19" s="360"/>
      <c r="J19" s="361"/>
      <c r="K19" s="361"/>
      <c r="L19" s="321" t="s">
        <v>23</v>
      </c>
      <c r="M19" s="322">
        <v>82.512064496355976</v>
      </c>
      <c r="R19" s="358"/>
      <c r="T19" s="359"/>
      <c r="U19" s="359"/>
      <c r="V19" s="359"/>
    </row>
    <row r="20" spans="1:22">
      <c r="A20" s="360"/>
      <c r="B20" s="360"/>
      <c r="C20" s="360"/>
      <c r="D20" s="360"/>
      <c r="E20" s="360"/>
      <c r="F20" s="360"/>
      <c r="G20" s="360"/>
      <c r="H20" s="360"/>
      <c r="I20" s="360"/>
      <c r="J20" s="361"/>
      <c r="K20" s="361"/>
      <c r="L20" s="20" t="s">
        <v>11</v>
      </c>
      <c r="M20" s="19">
        <v>82</v>
      </c>
      <c r="R20" s="358"/>
      <c r="T20" s="359"/>
      <c r="U20" s="359"/>
      <c r="V20" s="359"/>
    </row>
    <row r="21" spans="1:22" ht="12.75" customHeight="1">
      <c r="A21" s="402" t="s">
        <v>233</v>
      </c>
      <c r="B21" s="402"/>
      <c r="C21" s="402"/>
      <c r="D21" s="402"/>
      <c r="E21" s="402"/>
      <c r="F21" s="402"/>
      <c r="G21" s="402"/>
      <c r="H21" s="402"/>
      <c r="I21" s="402"/>
      <c r="J21" s="361"/>
      <c r="K21" s="361"/>
      <c r="L21" s="321" t="s">
        <v>28</v>
      </c>
      <c r="M21" s="322">
        <v>81.804465902232948</v>
      </c>
      <c r="R21" s="358"/>
      <c r="T21" s="359"/>
      <c r="U21" s="359"/>
      <c r="V21" s="359"/>
    </row>
    <row r="22" spans="1:22" ht="12.75" customHeight="1">
      <c r="A22" s="402"/>
      <c r="B22" s="402"/>
      <c r="C22" s="402"/>
      <c r="D22" s="402"/>
      <c r="E22" s="402"/>
      <c r="F22" s="402"/>
      <c r="G22" s="402"/>
      <c r="H22" s="402"/>
      <c r="I22" s="402"/>
      <c r="J22" s="348"/>
      <c r="K22" s="348"/>
      <c r="L22" s="20" t="s">
        <v>40</v>
      </c>
      <c r="M22" s="19">
        <v>81.8</v>
      </c>
      <c r="S22" s="333"/>
      <c r="T22" s="362"/>
      <c r="U22" s="362"/>
      <c r="V22" s="362"/>
    </row>
    <row r="23" spans="1:22" ht="12.75" customHeight="1">
      <c r="A23" s="402"/>
      <c r="B23" s="402"/>
      <c r="C23" s="402"/>
      <c r="D23" s="402"/>
      <c r="E23" s="402"/>
      <c r="F23" s="402"/>
      <c r="G23" s="402"/>
      <c r="H23" s="402"/>
      <c r="I23" s="402"/>
      <c r="J23" s="361"/>
      <c r="K23" s="361"/>
      <c r="L23" s="321" t="s">
        <v>32</v>
      </c>
      <c r="M23" s="322">
        <v>80.817610062893081</v>
      </c>
      <c r="R23" s="358"/>
      <c r="T23" s="359"/>
      <c r="U23" s="359"/>
      <c r="V23" s="359"/>
    </row>
    <row r="24" spans="1:22" ht="19.5" customHeight="1">
      <c r="A24" s="402"/>
      <c r="B24" s="402"/>
      <c r="C24" s="402"/>
      <c r="D24" s="402"/>
      <c r="E24" s="402"/>
      <c r="F24" s="402"/>
      <c r="G24" s="402"/>
      <c r="H24" s="402"/>
      <c r="I24" s="402"/>
      <c r="J24" s="361"/>
      <c r="K24" s="361"/>
      <c r="L24" s="175" t="s">
        <v>200</v>
      </c>
      <c r="M24" s="329">
        <v>80.75</v>
      </c>
      <c r="R24" s="358"/>
      <c r="T24" s="359"/>
      <c r="U24" s="359"/>
      <c r="V24" s="359"/>
    </row>
    <row r="25" spans="1:22" ht="12.75" customHeight="1">
      <c r="A25" s="363"/>
      <c r="B25" s="364"/>
      <c r="C25" s="364"/>
      <c r="D25" s="364"/>
      <c r="E25" s="364"/>
      <c r="F25" s="365"/>
      <c r="G25" s="365"/>
      <c r="H25" s="365"/>
      <c r="I25" s="365"/>
      <c r="J25" s="361"/>
      <c r="K25" s="361"/>
      <c r="L25" s="321" t="s">
        <v>13</v>
      </c>
      <c r="M25" s="322">
        <v>80.525553080116211</v>
      </c>
      <c r="R25" s="358"/>
      <c r="T25" s="359"/>
      <c r="U25" s="359"/>
      <c r="V25" s="359"/>
    </row>
    <row r="26" spans="1:22" ht="12.75" customHeight="1">
      <c r="A26" s="363"/>
      <c r="B26" s="363"/>
      <c r="C26" s="363"/>
      <c r="D26" s="363"/>
      <c r="E26" s="363"/>
      <c r="F26" s="365"/>
      <c r="G26" s="365"/>
      <c r="H26" s="365"/>
      <c r="I26" s="365"/>
      <c r="J26" s="366"/>
      <c r="K26" s="361"/>
      <c r="L26" s="175" t="s">
        <v>240</v>
      </c>
      <c r="M26" s="329">
        <f>AVERAGE(M6:M7,M11:M16,M18:M23,M25,M27:M43)</f>
        <v>80.075250970309781</v>
      </c>
      <c r="R26" s="358"/>
      <c r="T26" s="359"/>
      <c r="U26" s="359"/>
      <c r="V26" s="359"/>
    </row>
    <row r="27" spans="1:22" ht="12.75" customHeight="1">
      <c r="A27" s="364"/>
      <c r="B27" s="364"/>
      <c r="C27" s="364"/>
      <c r="D27" s="364"/>
      <c r="E27" s="364"/>
      <c r="F27" s="364"/>
      <c r="G27" s="364"/>
      <c r="H27" s="364"/>
      <c r="I27" s="364"/>
      <c r="J27" s="366"/>
      <c r="K27" s="361"/>
      <c r="L27" s="321" t="s">
        <v>19</v>
      </c>
      <c r="M27" s="322">
        <v>80</v>
      </c>
      <c r="R27" s="358"/>
      <c r="T27" s="359"/>
      <c r="U27" s="359"/>
      <c r="V27" s="359"/>
    </row>
    <row r="28" spans="1:22" ht="12.75" customHeight="1">
      <c r="A28" s="367" t="s">
        <v>104</v>
      </c>
      <c r="B28" s="368"/>
      <c r="C28" s="368"/>
      <c r="D28" s="368"/>
      <c r="E28" s="368"/>
      <c r="F28" s="368"/>
      <c r="G28" s="368"/>
      <c r="H28" s="368"/>
      <c r="I28" s="368"/>
      <c r="J28" s="366"/>
      <c r="K28" s="361"/>
      <c r="L28" s="20" t="s">
        <v>18</v>
      </c>
      <c r="M28" s="19">
        <v>79.3</v>
      </c>
      <c r="R28" s="358"/>
      <c r="T28" s="359"/>
      <c r="U28" s="359"/>
      <c r="V28" s="359"/>
    </row>
    <row r="29" spans="1:22" ht="12.75" customHeight="1">
      <c r="A29" s="21" t="s">
        <v>86</v>
      </c>
      <c r="B29" s="368"/>
      <c r="C29" s="368"/>
      <c r="D29" s="368"/>
      <c r="E29" s="368"/>
      <c r="F29" s="368"/>
      <c r="G29" s="368"/>
      <c r="H29" s="368"/>
      <c r="I29" s="368"/>
      <c r="J29" s="361"/>
      <c r="K29" s="361"/>
      <c r="L29" s="321" t="s">
        <v>22</v>
      </c>
      <c r="M29" s="322">
        <v>79.151670951156817</v>
      </c>
      <c r="R29" s="358"/>
      <c r="T29" s="359"/>
      <c r="U29" s="359"/>
      <c r="V29" s="359"/>
    </row>
    <row r="30" spans="1:22" ht="12.75" customHeight="1">
      <c r="A30" s="369" t="s">
        <v>60</v>
      </c>
      <c r="B30" s="368"/>
      <c r="C30" s="368"/>
      <c r="D30" s="368"/>
      <c r="E30" s="368"/>
      <c r="F30" s="368"/>
      <c r="G30" s="368"/>
      <c r="H30" s="368"/>
      <c r="I30" s="368"/>
      <c r="J30" s="361"/>
      <c r="K30" s="361"/>
      <c r="L30" s="20" t="s">
        <v>35</v>
      </c>
      <c r="M30" s="19">
        <v>78.884024219841649</v>
      </c>
      <c r="R30" s="358"/>
      <c r="T30" s="359"/>
      <c r="U30" s="359"/>
      <c r="V30" s="359"/>
    </row>
    <row r="31" spans="1:22" ht="12.75" customHeight="1">
      <c r="A31" s="370" t="s">
        <v>64</v>
      </c>
      <c r="B31" s="368"/>
      <c r="C31" s="368"/>
      <c r="D31" s="371"/>
      <c r="E31" s="368"/>
      <c r="F31" s="368"/>
      <c r="G31" s="368"/>
      <c r="H31" s="368"/>
      <c r="I31" s="368"/>
      <c r="J31" s="361"/>
      <c r="K31" s="361"/>
      <c r="L31" s="321" t="s">
        <v>12</v>
      </c>
      <c r="M31" s="322">
        <v>78.701029193191061</v>
      </c>
      <c r="R31" s="358"/>
      <c r="T31" s="359"/>
      <c r="U31" s="359"/>
      <c r="V31" s="359"/>
    </row>
    <row r="32" spans="1:22" ht="13.5" customHeight="1">
      <c r="A32" s="372" t="s">
        <v>199</v>
      </c>
      <c r="B32" s="368"/>
      <c r="C32" s="368"/>
      <c r="D32" s="371"/>
      <c r="E32" s="368"/>
      <c r="F32" s="368"/>
      <c r="G32" s="368"/>
      <c r="H32" s="368"/>
      <c r="I32" s="368"/>
      <c r="J32" s="361"/>
      <c r="K32" s="361"/>
      <c r="L32" s="20" t="s">
        <v>39</v>
      </c>
      <c r="M32" s="19">
        <v>78.01407655211365</v>
      </c>
      <c r="R32" s="358"/>
      <c r="T32" s="359"/>
      <c r="U32" s="359"/>
      <c r="V32" s="359"/>
    </row>
    <row r="33" spans="1:22" ht="13.5" customHeight="1">
      <c r="A33" s="390" t="s">
        <v>241</v>
      </c>
      <c r="B33" s="368"/>
      <c r="C33" s="368"/>
      <c r="D33" s="371"/>
      <c r="E33" s="368"/>
      <c r="F33" s="368"/>
      <c r="G33" s="368"/>
      <c r="H33" s="368"/>
      <c r="I33" s="368"/>
      <c r="J33" s="361"/>
      <c r="K33" s="361"/>
      <c r="L33" s="321" t="s">
        <v>20</v>
      </c>
      <c r="M33" s="322">
        <v>77.456319387876519</v>
      </c>
      <c r="R33" s="358"/>
      <c r="T33" s="359"/>
      <c r="U33" s="359"/>
      <c r="V33" s="359"/>
    </row>
    <row r="34" spans="1:22" ht="13.5" customHeight="1">
      <c r="B34" s="368"/>
      <c r="C34" s="368"/>
      <c r="D34" s="371"/>
      <c r="E34" s="368"/>
      <c r="F34" s="368"/>
      <c r="G34" s="368"/>
      <c r="H34" s="368"/>
      <c r="I34" s="368"/>
      <c r="J34" s="361"/>
      <c r="K34" s="361"/>
      <c r="L34" s="20" t="s">
        <v>38</v>
      </c>
      <c r="M34" s="19">
        <v>77.341896040865038</v>
      </c>
      <c r="R34" s="358"/>
      <c r="T34" s="359"/>
      <c r="U34" s="359"/>
      <c r="V34" s="359"/>
    </row>
    <row r="35" spans="1:22">
      <c r="B35" s="361"/>
      <c r="C35" s="361"/>
      <c r="D35" s="374"/>
      <c r="J35" s="361"/>
      <c r="K35" s="361"/>
      <c r="L35" s="321" t="s">
        <v>31</v>
      </c>
      <c r="M35" s="322">
        <v>76.503926146527391</v>
      </c>
      <c r="R35" s="358"/>
      <c r="T35" s="359"/>
      <c r="U35" s="359"/>
      <c r="V35" s="359"/>
    </row>
    <row r="36" spans="1:22">
      <c r="J36" s="361"/>
      <c r="K36" s="361"/>
      <c r="L36" s="20" t="s">
        <v>9</v>
      </c>
      <c r="M36" s="19">
        <v>76.099999999999994</v>
      </c>
      <c r="R36" s="358"/>
      <c r="T36" s="359"/>
      <c r="U36" s="359"/>
      <c r="V36" s="359"/>
    </row>
    <row r="37" spans="1:22">
      <c r="J37" s="361"/>
      <c r="K37" s="361"/>
      <c r="L37" s="321" t="s">
        <v>16</v>
      </c>
      <c r="M37" s="322">
        <v>75.986853426024709</v>
      </c>
      <c r="R37" s="358"/>
      <c r="T37" s="359"/>
      <c r="U37" s="359"/>
      <c r="V37" s="359"/>
    </row>
    <row r="38" spans="1:22">
      <c r="J38" s="361"/>
      <c r="K38" s="361"/>
      <c r="L38" s="20" t="s">
        <v>33</v>
      </c>
      <c r="M38" s="19">
        <v>75.668371267322016</v>
      </c>
      <c r="R38" s="358"/>
      <c r="T38" s="359"/>
      <c r="U38" s="359"/>
      <c r="V38" s="359"/>
    </row>
    <row r="39" spans="1:22">
      <c r="J39" s="361"/>
      <c r="K39" s="361"/>
      <c r="L39" s="321" t="s">
        <v>3</v>
      </c>
      <c r="M39" s="322">
        <v>75.507043511927805</v>
      </c>
      <c r="T39" s="359"/>
      <c r="U39" s="359"/>
      <c r="V39" s="359"/>
    </row>
    <row r="40" spans="1:22">
      <c r="J40" s="361"/>
      <c r="K40" s="361"/>
      <c r="L40" s="20" t="s">
        <v>191</v>
      </c>
      <c r="M40" s="19">
        <v>74.592757279062809</v>
      </c>
      <c r="T40" s="359"/>
      <c r="U40" s="359"/>
      <c r="V40" s="359"/>
    </row>
    <row r="41" spans="1:22">
      <c r="J41" s="361"/>
      <c r="K41" s="361"/>
      <c r="L41" s="321" t="s">
        <v>34</v>
      </c>
      <c r="M41" s="322">
        <v>74.546338302009076</v>
      </c>
      <c r="T41" s="359"/>
      <c r="U41" s="359"/>
      <c r="V41" s="359"/>
    </row>
    <row r="42" spans="1:22">
      <c r="J42" s="361"/>
      <c r="K42" s="361"/>
      <c r="L42" s="20" t="s">
        <v>24</v>
      </c>
      <c r="M42" s="19">
        <v>74</v>
      </c>
      <c r="T42" s="359"/>
      <c r="U42" s="359"/>
      <c r="V42" s="359"/>
    </row>
    <row r="43" spans="1:22" ht="13.5">
      <c r="J43" s="361"/>
      <c r="K43" s="361"/>
      <c r="L43" s="242" t="s">
        <v>4</v>
      </c>
      <c r="M43" s="243">
        <v>68.485037406483798</v>
      </c>
      <c r="N43" s="375"/>
      <c r="T43" s="359"/>
      <c r="U43" s="359"/>
      <c r="V43" s="359"/>
    </row>
    <row r="44" spans="1:22" ht="13.5">
      <c r="J44" s="361"/>
      <c r="K44" s="361"/>
      <c r="L44" s="375"/>
      <c r="M44" s="375"/>
    </row>
    <row r="45" spans="1:22" ht="13.5">
      <c r="J45" s="361"/>
      <c r="K45" s="361"/>
      <c r="L45" s="375"/>
      <c r="M45" s="376"/>
    </row>
    <row r="46" spans="1:22">
      <c r="J46" s="361"/>
      <c r="K46" s="361"/>
    </row>
    <row r="47" spans="1:22">
      <c r="J47" s="361"/>
      <c r="K47" s="361"/>
    </row>
    <row r="48" spans="1:22">
      <c r="J48" s="361"/>
      <c r="K48" s="361"/>
    </row>
    <row r="49" spans="10:11" ht="13.5" customHeight="1">
      <c r="J49" s="361"/>
      <c r="K49" s="361"/>
    </row>
    <row r="50" spans="10:11" ht="13.5" customHeight="1">
      <c r="J50" s="361"/>
      <c r="K50" s="361"/>
    </row>
    <row r="51" spans="10:11" ht="12.75" customHeight="1">
      <c r="J51" s="361"/>
      <c r="K51" s="361"/>
    </row>
    <row r="52" spans="10:11" ht="13.5" customHeight="1">
      <c r="J52" s="361"/>
      <c r="K52" s="361"/>
    </row>
    <row r="53" spans="10:11" ht="12.75" customHeight="1">
      <c r="J53" s="361"/>
      <c r="K53" s="377"/>
    </row>
    <row r="54" spans="10:11" ht="12.75" customHeight="1">
      <c r="J54" s="361"/>
      <c r="K54" s="377"/>
    </row>
    <row r="55" spans="10:11" ht="12.75" customHeight="1">
      <c r="J55" s="361"/>
      <c r="K55" s="377"/>
    </row>
    <row r="56" spans="10:11" ht="13.5">
      <c r="J56" s="377"/>
      <c r="K56" s="377"/>
    </row>
    <row r="57" spans="10:11" ht="13.5">
      <c r="J57" s="377"/>
      <c r="K57" s="377"/>
    </row>
    <row r="58" spans="10:11" ht="13.5">
      <c r="J58" s="377"/>
      <c r="K58" s="376"/>
    </row>
    <row r="59" spans="10:11">
      <c r="J59" s="376"/>
    </row>
  </sheetData>
  <sortState xmlns:xlrd2="http://schemas.microsoft.com/office/spreadsheetml/2017/richdata2" ref="L6:M43">
    <sortCondition descending="1" ref="M6:M43"/>
  </sortState>
  <mergeCells count="3">
    <mergeCell ref="A1:I1"/>
    <mergeCell ref="A21:I24"/>
    <mergeCell ref="A2:I3"/>
  </mergeCells>
  <hyperlinks>
    <hyperlink ref="A29" r:id="rId1" display="Source: for EU countries: Eurostat Demographic Statistics; " xr:uid="{22BCABCC-0A51-4328-BEAC-EF2D0A4215D3}"/>
    <hyperlink ref="A30" r:id="rId2" xr:uid="{241CF3C0-D1CD-446F-8188-7DFCEEC079F0}"/>
    <hyperlink ref="A31" r:id="rId3" xr:uid="{8B2E016F-8E01-4FA7-8E9B-FDCBF46229C4}"/>
    <hyperlink ref="A32" r:id="rId4" xr:uid="{561EE22D-F3D2-404F-955D-733A3F6C9488}"/>
    <hyperlink ref="A33" r:id="rId5" xr:uid="{688BEF69-6418-4C71-B888-F5755C47BB53}"/>
  </hyperlinks>
  <pageMargins left="0.70866141732283472" right="0.70866141732283472" top="0.74803149606299213" bottom="0.74803149606299213" header="0.31496062992125984" footer="0.31496062992125984"/>
  <pageSetup paperSize="9" orientation="landscape" r:id="rId6"/>
  <headerFooter>
    <oddHeader>&amp;LOECD Family database (www.oecd.org/els/social/family/database.htm)</oddHeader>
  </headerFooter>
  <customProperties>
    <customPr name="CycleColor" r:id="rId7"/>
    <customPr name="DashStyle" r:id="rId8"/>
    <customPr name="GraphSizeIndex" r:id="rId9"/>
    <customPr name="GraphSizeName" r:id="rId10"/>
    <customPr name="PageSizeIndex" r:id="rId11"/>
    <customPr name="PageSizeName" r:id="rId12"/>
    <customPr name="PaletteIndex" r:id="rId13"/>
    <customPr name="PaletteName" r:id="rId14"/>
    <customPr name="SinglePanel" r:id="rId15"/>
    <customPr name="StartColorIndex" r:id="rId16"/>
    <customPr name="StartColorName" r:id="rId17"/>
    <customPr name="StyleTemplateIndex" r:id="rId18"/>
    <customPr name="StyleTemplateName" r:id="rId19"/>
  </customProperties>
  <drawing r:id="rId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pageSetUpPr fitToPage="1"/>
  </sheetPr>
  <dimension ref="A1:DE80"/>
  <sheetViews>
    <sheetView showGridLines="0" zoomScale="50" zoomScaleNormal="50" workbookViewId="0">
      <pane xSplit="3" ySplit="4" topLeftCell="D5" activePane="bottomRight" state="frozen"/>
      <selection activeCell="U28" sqref="U28"/>
      <selection pane="topRight" activeCell="U28" sqref="U28"/>
      <selection pane="bottomLeft" activeCell="U28" sqref="U28"/>
      <selection pane="bottomRight" activeCell="B1" sqref="B1:BI1"/>
    </sheetView>
  </sheetViews>
  <sheetFormatPr defaultColWidth="9.140625" defaultRowHeight="12.75"/>
  <cols>
    <col min="1" max="1" width="0" style="144" hidden="1" customWidth="1"/>
    <col min="2" max="2" width="16.85546875" style="40" customWidth="1"/>
    <col min="3" max="33" width="4.28515625" style="34" customWidth="1"/>
    <col min="34" max="49" width="5" style="29" bestFit="1" customWidth="1"/>
    <col min="50" max="52" width="5" style="29" customWidth="1"/>
    <col min="53" max="66" width="5" style="29" bestFit="1" customWidth="1"/>
    <col min="67" max="67" width="7.7109375" style="29" bestFit="1" customWidth="1"/>
    <col min="68" max="68" width="5" style="29" customWidth="1"/>
    <col min="69" max="69" width="6.5703125" style="29" bestFit="1" customWidth="1"/>
    <col min="70" max="72" width="4.42578125" style="29" bestFit="1" customWidth="1"/>
    <col min="73" max="74" width="6.5703125" style="29" bestFit="1" customWidth="1"/>
    <col min="75" max="79" width="7.85546875" style="29" bestFit="1" customWidth="1"/>
    <col min="80" max="81" width="5" style="29" bestFit="1" customWidth="1"/>
    <col min="82" max="82" width="6.140625" style="29" bestFit="1" customWidth="1"/>
    <col min="83" max="83" width="5" style="29" customWidth="1"/>
    <col min="84" max="106" width="5" style="29" bestFit="1" customWidth="1"/>
    <col min="107" max="108" width="5" style="29" customWidth="1"/>
    <col min="109" max="109" width="10" style="38" customWidth="1"/>
    <col min="110" max="16384" width="9.140625" style="40"/>
  </cols>
  <sheetData>
    <row r="1" spans="1:109">
      <c r="B1" s="406" t="s">
        <v>48</v>
      </c>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c r="AW1" s="406"/>
      <c r="AX1" s="406"/>
      <c r="AY1" s="406"/>
      <c r="AZ1" s="406"/>
      <c r="BA1" s="406"/>
      <c r="BB1" s="406"/>
      <c r="BC1" s="406"/>
      <c r="BD1" s="406"/>
      <c r="BE1" s="406"/>
      <c r="BF1" s="406"/>
      <c r="BG1" s="406"/>
      <c r="BH1" s="406"/>
      <c r="BI1" s="406"/>
      <c r="CT1" s="38"/>
      <c r="CU1" s="40"/>
      <c r="CV1" s="40"/>
      <c r="CW1" s="40"/>
      <c r="CX1" s="40"/>
      <c r="CY1" s="40"/>
      <c r="CZ1" s="40"/>
      <c r="DA1" s="40"/>
      <c r="DB1" s="40"/>
      <c r="DC1" s="40"/>
      <c r="DD1" s="40"/>
      <c r="DE1" s="40"/>
    </row>
    <row r="2" spans="1:109" ht="13.5" thickBot="1">
      <c r="B2" s="407" t="s">
        <v>238</v>
      </c>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DE2" s="29"/>
    </row>
    <row r="3" spans="1:109">
      <c r="B3" s="63"/>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5" t="s">
        <v>43</v>
      </c>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row>
    <row r="4" spans="1:109" ht="12.75" customHeight="1">
      <c r="B4" s="66" t="s">
        <v>42</v>
      </c>
      <c r="C4" s="67" t="s">
        <v>41</v>
      </c>
      <c r="D4" s="68">
        <v>1960</v>
      </c>
      <c r="E4" s="68">
        <v>1961</v>
      </c>
      <c r="F4" s="68">
        <v>1962</v>
      </c>
      <c r="G4" s="68">
        <v>1963</v>
      </c>
      <c r="H4" s="68">
        <v>1964</v>
      </c>
      <c r="I4" s="68">
        <v>1965</v>
      </c>
      <c r="J4" s="68">
        <v>1966</v>
      </c>
      <c r="K4" s="68">
        <v>1967</v>
      </c>
      <c r="L4" s="68">
        <v>1968</v>
      </c>
      <c r="M4" s="68">
        <v>1969</v>
      </c>
      <c r="N4" s="68">
        <v>1970</v>
      </c>
      <c r="O4" s="68">
        <v>1971</v>
      </c>
      <c r="P4" s="68">
        <v>1972</v>
      </c>
      <c r="Q4" s="68">
        <v>1973</v>
      </c>
      <c r="R4" s="68">
        <v>1974</v>
      </c>
      <c r="S4" s="68">
        <v>1975</v>
      </c>
      <c r="T4" s="68">
        <v>1976</v>
      </c>
      <c r="U4" s="68">
        <v>1977</v>
      </c>
      <c r="V4" s="68">
        <v>1978</v>
      </c>
      <c r="W4" s="68">
        <v>1979</v>
      </c>
      <c r="X4" s="68">
        <v>1980</v>
      </c>
      <c r="Y4" s="68">
        <v>1981</v>
      </c>
      <c r="Z4" s="68">
        <v>1982</v>
      </c>
      <c r="AA4" s="68">
        <v>1983</v>
      </c>
      <c r="AB4" s="68">
        <v>1984</v>
      </c>
      <c r="AC4" s="68">
        <v>1985</v>
      </c>
      <c r="AD4" s="68">
        <v>1986</v>
      </c>
      <c r="AE4" s="68">
        <v>1987</v>
      </c>
      <c r="AF4" s="68">
        <v>1988</v>
      </c>
      <c r="AG4" s="68">
        <v>1989</v>
      </c>
      <c r="AH4" s="68">
        <v>1990</v>
      </c>
      <c r="AI4" s="68">
        <v>1991</v>
      </c>
      <c r="AJ4" s="68">
        <v>1992</v>
      </c>
      <c r="AK4" s="68">
        <v>1993</v>
      </c>
      <c r="AL4" s="68">
        <v>1994</v>
      </c>
      <c r="AM4" s="68">
        <v>1995</v>
      </c>
      <c r="AN4" s="68">
        <v>1996</v>
      </c>
      <c r="AO4" s="68">
        <v>1997</v>
      </c>
      <c r="AP4" s="68">
        <v>1998</v>
      </c>
      <c r="AQ4" s="68">
        <v>1999</v>
      </c>
      <c r="AR4" s="68">
        <v>2000</v>
      </c>
      <c r="AS4" s="68">
        <v>2001</v>
      </c>
      <c r="AT4" s="68">
        <v>2002</v>
      </c>
      <c r="AU4" s="68">
        <v>2003</v>
      </c>
      <c r="AV4" s="68">
        <v>2004</v>
      </c>
      <c r="AW4" s="68">
        <v>2005</v>
      </c>
      <c r="AX4" s="68">
        <v>2006</v>
      </c>
      <c r="AY4" s="68">
        <v>2007</v>
      </c>
      <c r="AZ4" s="68">
        <v>2008</v>
      </c>
      <c r="BA4" s="68">
        <v>2009</v>
      </c>
      <c r="BB4" s="68">
        <v>2010</v>
      </c>
      <c r="BC4" s="68">
        <v>2011</v>
      </c>
      <c r="BD4" s="68">
        <v>2012</v>
      </c>
      <c r="BE4" s="68">
        <v>2013</v>
      </c>
      <c r="BF4" s="68">
        <v>2014</v>
      </c>
      <c r="BG4" s="68">
        <v>2015</v>
      </c>
      <c r="BH4" s="68">
        <v>2016</v>
      </c>
      <c r="BI4" s="68">
        <v>2017</v>
      </c>
      <c r="BJ4" s="68">
        <v>2018</v>
      </c>
      <c r="BK4" s="68">
        <v>2019</v>
      </c>
      <c r="BL4" s="68">
        <v>2020</v>
      </c>
      <c r="BM4" s="68">
        <v>2021</v>
      </c>
      <c r="BN4" s="68">
        <v>2022</v>
      </c>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row>
    <row r="5" spans="1:109" s="50" customFormat="1">
      <c r="A5" s="144" t="s">
        <v>112</v>
      </c>
      <c r="B5" s="2" t="s">
        <v>40</v>
      </c>
      <c r="C5" s="4"/>
      <c r="D5" s="55" t="s">
        <v>44</v>
      </c>
      <c r="E5" s="55" t="s">
        <v>44</v>
      </c>
      <c r="F5" s="55" t="s">
        <v>44</v>
      </c>
      <c r="G5" s="55" t="s">
        <v>44</v>
      </c>
      <c r="H5" s="55" t="s">
        <v>44</v>
      </c>
      <c r="I5" s="55" t="s">
        <v>44</v>
      </c>
      <c r="J5" s="55" t="s">
        <v>44</v>
      </c>
      <c r="K5" s="55" t="s">
        <v>44</v>
      </c>
      <c r="L5" s="55" t="s">
        <v>44</v>
      </c>
      <c r="M5" s="55" t="s">
        <v>44</v>
      </c>
      <c r="N5" s="55">
        <v>9.2797999999999998</v>
      </c>
      <c r="O5" s="55" t="s">
        <v>44</v>
      </c>
      <c r="P5" s="55" t="s">
        <v>44</v>
      </c>
      <c r="Q5" s="55" t="s">
        <v>44</v>
      </c>
      <c r="R5" s="55" t="s">
        <v>44</v>
      </c>
      <c r="S5" s="55" t="s">
        <v>44</v>
      </c>
      <c r="T5" s="55" t="s">
        <v>44</v>
      </c>
      <c r="U5" s="55" t="s">
        <v>44</v>
      </c>
      <c r="V5" s="55" t="s">
        <v>44</v>
      </c>
      <c r="W5" s="55" t="s">
        <v>44</v>
      </c>
      <c r="X5" s="55">
        <v>7.4</v>
      </c>
      <c r="Y5" s="55">
        <v>7.6</v>
      </c>
      <c r="Z5" s="55">
        <v>7.7</v>
      </c>
      <c r="AA5" s="55">
        <v>7.5</v>
      </c>
      <c r="AB5" s="55">
        <v>7</v>
      </c>
      <c r="AC5" s="55">
        <v>7.3</v>
      </c>
      <c r="AD5" s="55">
        <v>7.2</v>
      </c>
      <c r="AE5" s="55">
        <v>7</v>
      </c>
      <c r="AF5" s="55">
        <v>7.1</v>
      </c>
      <c r="AG5" s="55">
        <v>7</v>
      </c>
      <c r="AH5" s="55">
        <v>6.9</v>
      </c>
      <c r="AI5" s="55">
        <v>6.6</v>
      </c>
      <c r="AJ5" s="55">
        <v>6.6</v>
      </c>
      <c r="AK5" s="55">
        <v>6.4109999999999996</v>
      </c>
      <c r="AL5" s="55">
        <v>6.2</v>
      </c>
      <c r="AM5" s="55">
        <v>6.1</v>
      </c>
      <c r="AN5" s="55">
        <v>5.8</v>
      </c>
      <c r="AO5" s="55">
        <v>5.8</v>
      </c>
      <c r="AP5" s="55">
        <v>5.9</v>
      </c>
      <c r="AQ5" s="55">
        <v>6</v>
      </c>
      <c r="AR5" s="55">
        <v>5.9</v>
      </c>
      <c r="AS5" s="55">
        <v>5.3</v>
      </c>
      <c r="AT5" s="55">
        <v>5.4</v>
      </c>
      <c r="AU5" s="55">
        <v>5.3479999999999999</v>
      </c>
      <c r="AV5" s="55">
        <v>5.5</v>
      </c>
      <c r="AW5" s="55">
        <v>5.4</v>
      </c>
      <c r="AX5" s="55">
        <v>5.5</v>
      </c>
      <c r="AY5" s="55">
        <v>5.5</v>
      </c>
      <c r="AZ5" s="55">
        <v>5.5</v>
      </c>
      <c r="BA5" s="55">
        <v>5.5</v>
      </c>
      <c r="BB5" s="55">
        <v>5.4</v>
      </c>
      <c r="BC5" s="55">
        <v>5.4</v>
      </c>
      <c r="BD5" s="55">
        <v>5.4</v>
      </c>
      <c r="BE5" s="55">
        <v>5.0999999999999996</v>
      </c>
      <c r="BF5" s="55">
        <v>5.2</v>
      </c>
      <c r="BG5" s="55">
        <v>4.8</v>
      </c>
      <c r="BH5" s="55">
        <v>4.9000000000000004</v>
      </c>
      <c r="BI5" s="55">
        <v>4.5999999999999996</v>
      </c>
      <c r="BJ5" s="55">
        <v>4.8</v>
      </c>
      <c r="BK5" s="55">
        <v>4.5</v>
      </c>
      <c r="BL5" s="55">
        <v>3.1</v>
      </c>
      <c r="BM5" s="55">
        <v>3.5</v>
      </c>
      <c r="BN5" s="55">
        <v>4.8899999999999997</v>
      </c>
      <c r="BO5" s="187"/>
      <c r="BQ5" s="178"/>
      <c r="BR5" s="178"/>
      <c r="BS5" s="178"/>
      <c r="BT5" s="178"/>
      <c r="BU5" s="178"/>
      <c r="BV5" s="178"/>
      <c r="BW5" s="178"/>
      <c r="BX5" s="178"/>
      <c r="BY5" s="178"/>
      <c r="BZ5" s="178"/>
      <c r="CA5" s="178"/>
      <c r="CD5" s="187"/>
    </row>
    <row r="6" spans="1:109">
      <c r="A6" s="144" t="s">
        <v>113</v>
      </c>
      <c r="B6" s="79" t="s">
        <v>39</v>
      </c>
      <c r="C6" s="11"/>
      <c r="D6" s="52">
        <v>8.3000000000000007</v>
      </c>
      <c r="E6" s="52">
        <v>8.5</v>
      </c>
      <c r="F6" s="52">
        <v>8.4</v>
      </c>
      <c r="G6" s="52">
        <v>8.1</v>
      </c>
      <c r="H6" s="52">
        <v>8</v>
      </c>
      <c r="I6" s="52">
        <v>7.8</v>
      </c>
      <c r="J6" s="52">
        <v>7.6</v>
      </c>
      <c r="K6" s="52">
        <v>7.6</v>
      </c>
      <c r="L6" s="52">
        <v>7.6</v>
      </c>
      <c r="M6" s="52">
        <v>7.3</v>
      </c>
      <c r="N6" s="52">
        <v>7.1</v>
      </c>
      <c r="O6" s="52">
        <v>6.4</v>
      </c>
      <c r="P6" s="52">
        <v>7.6</v>
      </c>
      <c r="Q6" s="52">
        <v>6.5</v>
      </c>
      <c r="R6" s="52">
        <v>6.5</v>
      </c>
      <c r="S6" s="52">
        <v>6.1</v>
      </c>
      <c r="T6" s="52">
        <v>6</v>
      </c>
      <c r="U6" s="52">
        <v>6</v>
      </c>
      <c r="V6" s="52">
        <v>5.9</v>
      </c>
      <c r="W6" s="52">
        <v>6</v>
      </c>
      <c r="X6" s="52">
        <v>6.2</v>
      </c>
      <c r="Y6" s="52">
        <v>6.3</v>
      </c>
      <c r="Z6" s="52">
        <v>6.3</v>
      </c>
      <c r="AA6" s="52">
        <v>7.4</v>
      </c>
      <c r="AB6" s="52">
        <v>6.1</v>
      </c>
      <c r="AC6" s="52">
        <v>5.9</v>
      </c>
      <c r="AD6" s="52">
        <v>6.1</v>
      </c>
      <c r="AE6" s="52">
        <v>10.1</v>
      </c>
      <c r="AF6" s="52">
        <v>4.7</v>
      </c>
      <c r="AG6" s="52">
        <v>5.6</v>
      </c>
      <c r="AH6" s="52">
        <v>5.9</v>
      </c>
      <c r="AI6" s="52">
        <v>5.7</v>
      </c>
      <c r="AJ6" s="52">
        <v>5.8</v>
      </c>
      <c r="AK6" s="52">
        <v>5.7</v>
      </c>
      <c r="AL6" s="52">
        <v>5.5</v>
      </c>
      <c r="AM6" s="52">
        <v>5.4</v>
      </c>
      <c r="AN6" s="52">
        <v>5.3</v>
      </c>
      <c r="AO6" s="52">
        <v>5.2</v>
      </c>
      <c r="AP6" s="52">
        <v>4.9000000000000004</v>
      </c>
      <c r="AQ6" s="52">
        <v>4.9000000000000004</v>
      </c>
      <c r="AR6" s="52">
        <v>4.9000000000000004</v>
      </c>
      <c r="AS6" s="52">
        <v>4.3</v>
      </c>
      <c r="AT6" s="52">
        <v>4.5</v>
      </c>
      <c r="AU6" s="52">
        <v>4.5999999999999996</v>
      </c>
      <c r="AV6" s="52">
        <v>4.7</v>
      </c>
      <c r="AW6" s="52">
        <v>4.8</v>
      </c>
      <c r="AX6" s="52">
        <v>4.5</v>
      </c>
      <c r="AY6" s="52">
        <v>4.3</v>
      </c>
      <c r="AZ6" s="52">
        <v>4.2</v>
      </c>
      <c r="BA6" s="52">
        <v>4.3</v>
      </c>
      <c r="BB6" s="52">
        <v>4.5</v>
      </c>
      <c r="BC6" s="52">
        <v>4.3</v>
      </c>
      <c r="BD6" s="52">
        <v>4.5999999999999996</v>
      </c>
      <c r="BE6" s="52">
        <v>4.3</v>
      </c>
      <c r="BF6" s="52">
        <v>4.4000000000000004</v>
      </c>
      <c r="BG6" s="52">
        <v>5.0999999999999996</v>
      </c>
      <c r="BH6" s="52">
        <v>5.0999999999999996</v>
      </c>
      <c r="BI6" s="52">
        <v>5.0999999999999996</v>
      </c>
      <c r="BJ6" s="52">
        <v>5.3</v>
      </c>
      <c r="BK6" s="52">
        <v>5.2</v>
      </c>
      <c r="BL6" s="52">
        <v>4.4000000000000004</v>
      </c>
      <c r="BM6" s="52">
        <v>4.59</v>
      </c>
      <c r="BN6" s="52">
        <v>5.24</v>
      </c>
      <c r="BO6" s="187"/>
      <c r="BP6" s="40"/>
      <c r="BQ6" s="179"/>
      <c r="BR6" s="179"/>
      <c r="BS6" s="179"/>
      <c r="BT6" s="179"/>
      <c r="BU6" s="179"/>
      <c r="BV6" s="179"/>
      <c r="BW6" s="179"/>
      <c r="BX6" s="179"/>
      <c r="BY6" s="179"/>
      <c r="BZ6" s="179"/>
      <c r="CA6" s="179"/>
      <c r="CB6" s="40"/>
      <c r="CC6" s="40"/>
      <c r="CD6" s="187"/>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row>
    <row r="7" spans="1:109">
      <c r="A7" s="144" t="s">
        <v>114</v>
      </c>
      <c r="B7" s="61" t="s">
        <v>38</v>
      </c>
      <c r="C7" s="56"/>
      <c r="D7" s="69">
        <v>7.1</v>
      </c>
      <c r="E7" s="69">
        <v>6.8</v>
      </c>
      <c r="F7" s="69">
        <v>6.7</v>
      </c>
      <c r="G7" s="69">
        <v>6.7</v>
      </c>
      <c r="H7" s="69">
        <v>6.9</v>
      </c>
      <c r="I7" s="69">
        <v>7</v>
      </c>
      <c r="J7" s="69">
        <v>7.2</v>
      </c>
      <c r="K7" s="69">
        <v>7.1</v>
      </c>
      <c r="L7" s="69">
        <v>7.2</v>
      </c>
      <c r="M7" s="69">
        <v>7.5</v>
      </c>
      <c r="N7" s="69">
        <v>7.6</v>
      </c>
      <c r="O7" s="69">
        <v>7.6</v>
      </c>
      <c r="P7" s="69">
        <v>7.7</v>
      </c>
      <c r="Q7" s="69">
        <v>7.6</v>
      </c>
      <c r="R7" s="69">
        <v>7.5</v>
      </c>
      <c r="S7" s="69">
        <v>7.3</v>
      </c>
      <c r="T7" s="69">
        <v>7.2</v>
      </c>
      <c r="U7" s="69">
        <v>7</v>
      </c>
      <c r="V7" s="69">
        <v>6.8</v>
      </c>
      <c r="W7" s="69">
        <v>6.6</v>
      </c>
      <c r="X7" s="69">
        <v>6.7</v>
      </c>
      <c r="Y7" s="69">
        <v>6.5</v>
      </c>
      <c r="Z7" s="69">
        <v>6.3</v>
      </c>
      <c r="AA7" s="69">
        <v>6.1</v>
      </c>
      <c r="AB7" s="69">
        <v>6</v>
      </c>
      <c r="AC7" s="69">
        <v>5.8</v>
      </c>
      <c r="AD7" s="69">
        <v>5.8</v>
      </c>
      <c r="AE7" s="69">
        <v>5.7</v>
      </c>
      <c r="AF7" s="69">
        <v>6</v>
      </c>
      <c r="AG7" s="69">
        <v>6.4</v>
      </c>
      <c r="AH7" s="69">
        <v>6.5</v>
      </c>
      <c r="AI7" s="69">
        <v>6.1</v>
      </c>
      <c r="AJ7" s="69">
        <v>5.8</v>
      </c>
      <c r="AK7" s="69">
        <v>5.4</v>
      </c>
      <c r="AL7" s="69">
        <v>5.0999999999999996</v>
      </c>
      <c r="AM7" s="69">
        <v>5.0999999999999996</v>
      </c>
      <c r="AN7" s="69">
        <v>5</v>
      </c>
      <c r="AO7" s="69">
        <v>4.7</v>
      </c>
      <c r="AP7" s="69">
        <v>4.4000000000000004</v>
      </c>
      <c r="AQ7" s="69">
        <v>4.3</v>
      </c>
      <c r="AR7" s="69">
        <v>4.4000000000000004</v>
      </c>
      <c r="AS7" s="69">
        <v>4.0999999999999996</v>
      </c>
      <c r="AT7" s="69">
        <v>3.9</v>
      </c>
      <c r="AU7" s="69">
        <v>4</v>
      </c>
      <c r="AV7" s="69">
        <v>4.2</v>
      </c>
      <c r="AW7" s="69">
        <v>4.0999999999999996</v>
      </c>
      <c r="AX7" s="69">
        <v>4.2</v>
      </c>
      <c r="AY7" s="69">
        <v>4.3</v>
      </c>
      <c r="AZ7" s="69">
        <v>4.3</v>
      </c>
      <c r="BA7" s="69">
        <v>4</v>
      </c>
      <c r="BB7" s="69">
        <v>3.9</v>
      </c>
      <c r="BC7" s="69">
        <v>3.7</v>
      </c>
      <c r="BD7" s="69">
        <v>3.8</v>
      </c>
      <c r="BE7" s="69">
        <v>3.4</v>
      </c>
      <c r="BF7" s="69">
        <v>3.6</v>
      </c>
      <c r="BG7" s="69">
        <v>4</v>
      </c>
      <c r="BH7" s="69">
        <v>3.9</v>
      </c>
      <c r="BI7" s="69">
        <v>3.9</v>
      </c>
      <c r="BJ7" s="69">
        <v>3.9</v>
      </c>
      <c r="BK7" s="69">
        <v>3.9</v>
      </c>
      <c r="BL7" s="69">
        <v>2.8</v>
      </c>
      <c r="BM7" s="69">
        <v>3.5</v>
      </c>
      <c r="BN7" s="69">
        <v>4.2</v>
      </c>
      <c r="BO7" s="187"/>
      <c r="BP7" s="40"/>
      <c r="BQ7" s="179"/>
      <c r="BR7" s="179"/>
      <c r="BS7" s="179"/>
      <c r="BT7" s="179"/>
      <c r="BU7" s="179"/>
      <c r="BV7" s="179"/>
      <c r="BW7" s="179"/>
      <c r="BX7" s="179"/>
      <c r="BY7" s="179"/>
      <c r="BZ7" s="179"/>
      <c r="CA7" s="179"/>
      <c r="CB7" s="40"/>
      <c r="CC7" s="40"/>
      <c r="CD7" s="187"/>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row>
    <row r="8" spans="1:109" s="50" customFormat="1">
      <c r="A8" s="144" t="s">
        <v>115</v>
      </c>
      <c r="B8" s="132" t="s">
        <v>37</v>
      </c>
      <c r="C8" s="133">
        <v>1</v>
      </c>
      <c r="D8" s="131">
        <v>7.3</v>
      </c>
      <c r="E8" s="131">
        <v>7</v>
      </c>
      <c r="F8" s="131">
        <v>7</v>
      </c>
      <c r="G8" s="131">
        <v>6.9</v>
      </c>
      <c r="H8" s="131">
        <v>7.2</v>
      </c>
      <c r="I8" s="131">
        <v>7.4</v>
      </c>
      <c r="J8" s="131">
        <v>7.8</v>
      </c>
      <c r="K8" s="131">
        <v>8.1</v>
      </c>
      <c r="L8" s="131">
        <v>8.3000000000000007</v>
      </c>
      <c r="M8" s="131">
        <v>8.6999999999999993</v>
      </c>
      <c r="N8" s="131">
        <v>8.8000000000000007</v>
      </c>
      <c r="O8" s="131">
        <v>8.9</v>
      </c>
      <c r="P8" s="131">
        <v>9.1999999999999993</v>
      </c>
      <c r="Q8" s="131">
        <v>9</v>
      </c>
      <c r="R8" s="131">
        <v>8.9</v>
      </c>
      <c r="S8" s="131">
        <v>8.6999999999999993</v>
      </c>
      <c r="T8" s="131">
        <v>8.4</v>
      </c>
      <c r="U8" s="131">
        <v>8</v>
      </c>
      <c r="V8" s="131">
        <v>7.9</v>
      </c>
      <c r="W8" s="131">
        <v>7.8</v>
      </c>
      <c r="X8" s="131">
        <v>7.8</v>
      </c>
      <c r="Y8" s="131">
        <v>7.7</v>
      </c>
      <c r="Z8" s="131">
        <v>7.5</v>
      </c>
      <c r="AA8" s="131">
        <v>7.3</v>
      </c>
      <c r="AB8" s="131">
        <v>7.2</v>
      </c>
      <c r="AC8" s="131">
        <v>7.1</v>
      </c>
      <c r="AD8" s="131">
        <v>6.7</v>
      </c>
      <c r="AE8" s="131">
        <v>6.9</v>
      </c>
      <c r="AF8" s="131">
        <v>7</v>
      </c>
      <c r="AG8" s="131">
        <v>7</v>
      </c>
      <c r="AH8" s="131">
        <v>6.8</v>
      </c>
      <c r="AI8" s="131">
        <v>6.1</v>
      </c>
      <c r="AJ8" s="131">
        <v>5.8</v>
      </c>
      <c r="AK8" s="131">
        <v>5.6</v>
      </c>
      <c r="AL8" s="131">
        <v>5.5</v>
      </c>
      <c r="AM8" s="131">
        <v>5.5</v>
      </c>
      <c r="AN8" s="131">
        <v>5.3</v>
      </c>
      <c r="AO8" s="131">
        <v>5.0999999999999996</v>
      </c>
      <c r="AP8" s="131">
        <v>5.0999999999999996</v>
      </c>
      <c r="AQ8" s="131">
        <v>5.0999999999999996</v>
      </c>
      <c r="AR8" s="131">
        <v>5.0999999999999996</v>
      </c>
      <c r="AS8" s="131">
        <v>4.7</v>
      </c>
      <c r="AT8" s="131">
        <v>4.7</v>
      </c>
      <c r="AU8" s="131">
        <v>4.7</v>
      </c>
      <c r="AV8" s="131">
        <v>4.5999999999999996</v>
      </c>
      <c r="AW8" s="131">
        <v>4.5999999999999996</v>
      </c>
      <c r="AX8" s="131">
        <v>4.5999999999999996</v>
      </c>
      <c r="AY8" s="131">
        <v>4.5</v>
      </c>
      <c r="AZ8" s="131">
        <v>4.4000000000000004</v>
      </c>
      <c r="BA8" s="131">
        <v>4.4000000000000004</v>
      </c>
      <c r="BB8" s="131">
        <v>4.3</v>
      </c>
      <c r="BC8" s="131">
        <v>4.2</v>
      </c>
      <c r="BD8" s="131">
        <v>4.2</v>
      </c>
      <c r="BE8" s="131">
        <v>4.0999999999999996</v>
      </c>
      <c r="BF8" s="131">
        <v>4.2</v>
      </c>
      <c r="BG8" s="131">
        <v>4.2</v>
      </c>
      <c r="BH8" s="131">
        <v>4.0999999999999996</v>
      </c>
      <c r="BI8" s="131">
        <v>4.0999999999999996</v>
      </c>
      <c r="BJ8" s="131">
        <v>4.0999999999999996</v>
      </c>
      <c r="BK8" s="131">
        <v>3.9</v>
      </c>
      <c r="BL8" s="131">
        <v>2.6</v>
      </c>
      <c r="BM8" s="131"/>
      <c r="BN8" s="131"/>
      <c r="BO8" s="187"/>
      <c r="BQ8" s="178"/>
      <c r="BR8" s="178"/>
      <c r="BS8" s="178"/>
      <c r="BT8" s="178"/>
      <c r="BU8" s="178"/>
      <c r="BV8" s="178"/>
      <c r="BW8" s="178"/>
      <c r="BX8" s="178"/>
      <c r="BY8" s="178"/>
      <c r="BZ8" s="178"/>
      <c r="CA8" s="178"/>
      <c r="CD8" s="187"/>
    </row>
    <row r="9" spans="1:109" s="50" customFormat="1">
      <c r="A9" s="144" t="s">
        <v>116</v>
      </c>
      <c r="B9" s="2" t="s">
        <v>36</v>
      </c>
      <c r="C9" s="4"/>
      <c r="D9" s="55" t="s">
        <v>44</v>
      </c>
      <c r="E9" s="55" t="s">
        <v>44</v>
      </c>
      <c r="F9" s="55" t="s">
        <v>44</v>
      </c>
      <c r="G9" s="55" t="s">
        <v>44</v>
      </c>
      <c r="H9" s="55" t="s">
        <v>44</v>
      </c>
      <c r="I9" s="55" t="s">
        <v>44</v>
      </c>
      <c r="J9" s="55" t="s">
        <v>44</v>
      </c>
      <c r="K9" s="55" t="s">
        <v>44</v>
      </c>
      <c r="L9" s="55" t="s">
        <v>44</v>
      </c>
      <c r="M9" s="55" t="s">
        <v>44</v>
      </c>
      <c r="N9" s="55">
        <v>8.0622000000000007</v>
      </c>
      <c r="O9" s="55" t="s">
        <v>44</v>
      </c>
      <c r="P9" s="55" t="s">
        <v>44</v>
      </c>
      <c r="Q9" s="55" t="s">
        <v>44</v>
      </c>
      <c r="R9" s="55" t="s">
        <v>44</v>
      </c>
      <c r="S9" s="55" t="s">
        <v>44</v>
      </c>
      <c r="T9" s="55" t="s">
        <v>44</v>
      </c>
      <c r="U9" s="55" t="s">
        <v>44</v>
      </c>
      <c r="V9" s="55" t="s">
        <v>44</v>
      </c>
      <c r="W9" s="55" t="s">
        <v>44</v>
      </c>
      <c r="X9" s="55" t="s">
        <v>44</v>
      </c>
      <c r="Y9" s="55" t="s">
        <v>44</v>
      </c>
      <c r="Z9" s="55" t="s">
        <v>44</v>
      </c>
      <c r="AA9" s="55" t="s">
        <v>44</v>
      </c>
      <c r="AB9" s="55" t="s">
        <v>44</v>
      </c>
      <c r="AC9" s="55">
        <v>7.5274999999999999</v>
      </c>
      <c r="AD9" s="55" t="s">
        <v>44</v>
      </c>
      <c r="AE9" s="55" t="s">
        <v>44</v>
      </c>
      <c r="AF9" s="55" t="s">
        <v>44</v>
      </c>
      <c r="AG9" s="55" t="s">
        <v>44</v>
      </c>
      <c r="AH9" s="55" t="s">
        <v>44</v>
      </c>
      <c r="AI9" s="55" t="s">
        <v>44</v>
      </c>
      <c r="AJ9" s="55">
        <v>6.6</v>
      </c>
      <c r="AK9" s="55">
        <v>6.7</v>
      </c>
      <c r="AL9" s="55">
        <v>6.5</v>
      </c>
      <c r="AM9" s="55">
        <v>6.0579999999999998</v>
      </c>
      <c r="AN9" s="55">
        <v>5.8</v>
      </c>
      <c r="AO9" s="55">
        <v>5.3</v>
      </c>
      <c r="AP9" s="55">
        <v>5</v>
      </c>
      <c r="AQ9" s="55">
        <v>4.5999999999999996</v>
      </c>
      <c r="AR9" s="55">
        <v>4.4000000000000004</v>
      </c>
      <c r="AS9" s="55">
        <v>4.0999999999999996</v>
      </c>
      <c r="AT9" s="55">
        <v>3.9</v>
      </c>
      <c r="AU9" s="55">
        <v>3.6</v>
      </c>
      <c r="AV9" s="55">
        <v>3.3</v>
      </c>
      <c r="AW9" s="55">
        <v>3.3098000000000001</v>
      </c>
      <c r="AX9" s="55">
        <v>3.5389858035000001</v>
      </c>
      <c r="AY9" s="55">
        <v>3.4818497615999999</v>
      </c>
      <c r="AZ9" s="55">
        <v>3.3</v>
      </c>
      <c r="BA9" s="55">
        <v>3.3</v>
      </c>
      <c r="BB9" s="55">
        <v>3.5311237242</v>
      </c>
      <c r="BC9" s="55">
        <v>3.7550040727999998</v>
      </c>
      <c r="BD9" s="55">
        <v>3.6535817924872624</v>
      </c>
      <c r="BE9" s="55">
        <v>3.484997004522397</v>
      </c>
      <c r="BF9" s="55">
        <v>3.6403728278729051</v>
      </c>
      <c r="BG9" s="55">
        <v>3.4290016881213448</v>
      </c>
      <c r="BH9" s="55">
        <v>3.4336190798050401</v>
      </c>
      <c r="BI9" s="55">
        <v>3.3291362618</v>
      </c>
      <c r="BJ9" s="55">
        <v>3.3697208288999998</v>
      </c>
      <c r="BK9" s="55">
        <v>3.2</v>
      </c>
      <c r="BL9" s="55">
        <v>1.9</v>
      </c>
      <c r="BM9" s="55">
        <v>2.7</v>
      </c>
      <c r="BN9" s="55"/>
      <c r="BO9" s="187"/>
      <c r="BQ9" s="178"/>
      <c r="BR9" s="178"/>
      <c r="BS9" s="178"/>
      <c r="BT9" s="178"/>
      <c r="BU9" s="178"/>
      <c r="BV9" s="178"/>
      <c r="BW9" s="178"/>
      <c r="BX9" s="178"/>
      <c r="BY9" s="178"/>
      <c r="BZ9" s="178"/>
      <c r="CA9" s="178"/>
      <c r="CD9" s="187"/>
    </row>
    <row r="10" spans="1:109" s="50" customFormat="1">
      <c r="A10" s="144" t="s">
        <v>117</v>
      </c>
      <c r="B10" s="132" t="s">
        <v>71</v>
      </c>
      <c r="C10" s="133"/>
      <c r="D10" s="131" t="s">
        <v>44</v>
      </c>
      <c r="E10" s="131" t="s">
        <v>44</v>
      </c>
      <c r="F10" s="131" t="s">
        <v>44</v>
      </c>
      <c r="G10" s="131" t="s">
        <v>44</v>
      </c>
      <c r="H10" s="131" t="s">
        <v>44</v>
      </c>
      <c r="I10" s="131" t="s">
        <v>44</v>
      </c>
      <c r="J10" s="131" t="s">
        <v>44</v>
      </c>
      <c r="K10" s="131" t="s">
        <v>44</v>
      </c>
      <c r="L10" s="131" t="s">
        <v>44</v>
      </c>
      <c r="M10" s="131" t="s">
        <v>44</v>
      </c>
      <c r="N10" s="131" t="s">
        <v>44</v>
      </c>
      <c r="O10" s="131" t="s">
        <v>44</v>
      </c>
      <c r="P10" s="131" t="s">
        <v>44</v>
      </c>
      <c r="Q10" s="131" t="s">
        <v>44</v>
      </c>
      <c r="R10" s="131" t="s">
        <v>44</v>
      </c>
      <c r="S10" s="131" t="s">
        <v>44</v>
      </c>
      <c r="T10" s="131" t="s">
        <v>44</v>
      </c>
      <c r="U10" s="131" t="s">
        <v>44</v>
      </c>
      <c r="V10" s="131" t="s">
        <v>44</v>
      </c>
      <c r="W10" s="131" t="s">
        <v>44</v>
      </c>
      <c r="X10" s="131" t="s">
        <v>44</v>
      </c>
      <c r="Y10" s="131" t="s">
        <v>44</v>
      </c>
      <c r="Z10" s="131" t="s">
        <v>44</v>
      </c>
      <c r="AA10" s="131" t="s">
        <v>44</v>
      </c>
      <c r="AB10" s="131" t="s">
        <v>44</v>
      </c>
      <c r="AC10" s="131" t="s">
        <v>44</v>
      </c>
      <c r="AD10" s="131" t="s">
        <v>44</v>
      </c>
      <c r="AE10" s="131" t="s">
        <v>44</v>
      </c>
      <c r="AF10" s="131" t="s">
        <v>44</v>
      </c>
      <c r="AG10" s="131" t="s">
        <v>44</v>
      </c>
      <c r="AH10" s="131" t="s">
        <v>44</v>
      </c>
      <c r="AI10" s="131" t="s">
        <v>44</v>
      </c>
      <c r="AJ10" s="131" t="s">
        <v>44</v>
      </c>
      <c r="AK10" s="131" t="s">
        <v>44</v>
      </c>
      <c r="AL10" s="131" t="s">
        <v>44</v>
      </c>
      <c r="AM10" s="131" t="s">
        <v>44</v>
      </c>
      <c r="AN10" s="131" t="s">
        <v>44</v>
      </c>
      <c r="AO10" s="131" t="s">
        <v>44</v>
      </c>
      <c r="AP10" s="131" t="s">
        <v>44</v>
      </c>
      <c r="AQ10" s="131" t="s">
        <v>44</v>
      </c>
      <c r="AR10" s="131" t="s">
        <v>44</v>
      </c>
      <c r="AS10" s="131" t="s">
        <v>44</v>
      </c>
      <c r="AT10" s="131" t="s">
        <v>44</v>
      </c>
      <c r="AU10" s="131" t="s">
        <v>44</v>
      </c>
      <c r="AV10" s="131" t="s">
        <v>44</v>
      </c>
      <c r="AW10" s="131" t="s">
        <v>44</v>
      </c>
      <c r="AX10" s="131" t="s">
        <v>44</v>
      </c>
      <c r="AY10" s="131" t="s">
        <v>44</v>
      </c>
      <c r="AZ10" s="131" t="s">
        <v>44</v>
      </c>
      <c r="BA10" s="131" t="s">
        <v>44</v>
      </c>
      <c r="BB10" s="131" t="s">
        <v>44</v>
      </c>
      <c r="BC10" s="131">
        <v>0.8007236288137235</v>
      </c>
      <c r="BD10" s="131">
        <v>1.4568987564097695</v>
      </c>
      <c r="BE10" s="131">
        <v>1.3954685979349926</v>
      </c>
      <c r="BF10" s="131">
        <v>1.3991502248960996</v>
      </c>
      <c r="BG10" s="131">
        <v>1.3313374853913329</v>
      </c>
      <c r="BH10" s="131">
        <v>1.2684493802252201</v>
      </c>
      <c r="BI10" s="131">
        <v>1.2021518713256043</v>
      </c>
      <c r="BJ10" s="131">
        <v>1.1508352490175429</v>
      </c>
      <c r="BK10" s="131">
        <v>1.1258677459645339</v>
      </c>
      <c r="BL10" s="131">
        <v>0.84725043907843112</v>
      </c>
      <c r="BM10" s="131">
        <v>1.2174024053789851</v>
      </c>
      <c r="BN10" s="131">
        <v>1.39</v>
      </c>
      <c r="BO10" s="187"/>
      <c r="BQ10" s="178"/>
      <c r="BR10" s="178"/>
      <c r="BS10" s="178"/>
      <c r="BT10" s="178"/>
      <c r="BU10" s="178"/>
      <c r="BV10" s="178"/>
      <c r="BW10" s="178"/>
      <c r="BX10" s="178"/>
      <c r="BY10" s="178"/>
      <c r="BZ10" s="178"/>
      <c r="CA10" s="178"/>
      <c r="CD10" s="187"/>
    </row>
    <row r="11" spans="1:109" s="50" customFormat="1">
      <c r="A11" s="144" t="s">
        <v>118</v>
      </c>
      <c r="B11" s="2" t="s">
        <v>72</v>
      </c>
      <c r="C11" s="4"/>
      <c r="D11" s="55">
        <v>7.227281008191718</v>
      </c>
      <c r="E11" s="55">
        <v>6.7120954527148129</v>
      </c>
      <c r="F11" s="55">
        <v>5.8468464805443947</v>
      </c>
      <c r="G11" s="55">
        <v>5.8369971876415789</v>
      </c>
      <c r="H11" s="55">
        <v>5.5069128381279517</v>
      </c>
      <c r="I11" s="55">
        <v>5.6793571089803754</v>
      </c>
      <c r="J11" s="55">
        <v>5.566945013917362</v>
      </c>
      <c r="K11" s="55">
        <v>5.5341135960078462</v>
      </c>
      <c r="L11" s="55">
        <v>5.7829518291649693</v>
      </c>
      <c r="M11" s="55">
        <v>5.7512907759579024</v>
      </c>
      <c r="N11" s="55">
        <v>6.2506201574562059</v>
      </c>
      <c r="O11" s="55">
        <v>6.3012236559127919</v>
      </c>
      <c r="P11" s="55">
        <v>6.9593147751605988</v>
      </c>
      <c r="Q11" s="55">
        <v>6.8322708149395632</v>
      </c>
      <c r="R11" s="55">
        <v>7.2740686620652495</v>
      </c>
      <c r="S11" s="55">
        <v>7.3056329948119707</v>
      </c>
      <c r="T11" s="55">
        <v>7.1578814725781754</v>
      </c>
      <c r="U11" s="55">
        <v>7.2821195680402688</v>
      </c>
      <c r="V11" s="55">
        <v>7.5551608026261885</v>
      </c>
      <c r="W11" s="55">
        <v>7.6101951435115121</v>
      </c>
      <c r="X11" s="55">
        <v>7.5986483190355951</v>
      </c>
      <c r="Y11" s="55">
        <v>7.0268263250719389</v>
      </c>
      <c r="Z11" s="55">
        <v>7.6078139495189419</v>
      </c>
      <c r="AA11" s="55">
        <v>7.6517100899517967</v>
      </c>
      <c r="AB11" s="55">
        <v>7.8515204744481721</v>
      </c>
      <c r="AC11" s="55">
        <v>8.0483209139947895</v>
      </c>
      <c r="AD11" s="55">
        <v>7.7404667463664634</v>
      </c>
      <c r="AE11" s="55">
        <v>7.7540611373645323</v>
      </c>
      <c r="AF11" s="55">
        <v>7.9607126084793851</v>
      </c>
      <c r="AG11" s="55">
        <v>7.7767833426667368</v>
      </c>
      <c r="AH11" s="55">
        <v>7.494381607058445</v>
      </c>
      <c r="AI11" s="55">
        <v>7.2054620678270371</v>
      </c>
      <c r="AJ11" s="55">
        <v>6.5881584097583472</v>
      </c>
      <c r="AK11" s="55">
        <v>6.3030345680749962</v>
      </c>
      <c r="AL11" s="55">
        <v>6.4542773533743842</v>
      </c>
      <c r="AM11" s="55">
        <v>7.0805226413960591</v>
      </c>
      <c r="AN11" s="55">
        <v>6.6955118428250326</v>
      </c>
      <c r="AO11" s="55">
        <v>6.7290204097004223</v>
      </c>
      <c r="AP11" s="55">
        <v>6.711191725052764</v>
      </c>
      <c r="AQ11" s="55">
        <v>6.7636850873855021</v>
      </c>
      <c r="AR11" s="55">
        <v>6.3103816314077061</v>
      </c>
      <c r="AS11" s="55">
        <v>6.0176157543659334</v>
      </c>
      <c r="AT11" s="55">
        <v>5.9481442938362399</v>
      </c>
      <c r="AU11" s="55">
        <v>5.9827648018245867</v>
      </c>
      <c r="AV11" s="55">
        <v>6.1105687790640397</v>
      </c>
      <c r="AW11" s="55">
        <v>6.0805437782071188</v>
      </c>
      <c r="AX11" s="55">
        <v>6.2110625392646668</v>
      </c>
      <c r="AY11" s="55">
        <v>5.9925490566515913</v>
      </c>
      <c r="AZ11" s="55">
        <v>5.6842616749430643</v>
      </c>
      <c r="BA11" s="55">
        <v>5.3520242487867886</v>
      </c>
      <c r="BB11" s="55">
        <v>5.2835377271722717</v>
      </c>
      <c r="BC11" s="55">
        <v>5.4469051417974459</v>
      </c>
      <c r="BD11" s="55">
        <v>5.6125159598477374</v>
      </c>
      <c r="BE11" s="55">
        <v>5.4581120868527382</v>
      </c>
      <c r="BF11" s="55">
        <v>5.4281068626195994</v>
      </c>
      <c r="BG11" s="55">
        <v>5.4864972196049564</v>
      </c>
      <c r="BH11" s="55">
        <v>5.4633880612763202</v>
      </c>
      <c r="BI11" s="55">
        <v>5.15</v>
      </c>
      <c r="BJ11" s="55">
        <v>4.7173346460000003</v>
      </c>
      <c r="BK11" s="55">
        <v>4.4824526210000002</v>
      </c>
      <c r="BL11" s="55">
        <v>3.6882227098000002</v>
      </c>
      <c r="BM11" s="55">
        <v>4.7162603494999997</v>
      </c>
      <c r="BN11" s="55">
        <v>4.3899999999999997</v>
      </c>
      <c r="BO11" s="187"/>
      <c r="BQ11" s="178"/>
      <c r="BR11" s="178"/>
      <c r="BS11" s="178"/>
      <c r="BT11" s="178"/>
      <c r="BU11" s="178"/>
      <c r="BV11" s="178"/>
      <c r="BW11" s="178"/>
      <c r="BX11" s="178"/>
      <c r="BY11" s="178"/>
      <c r="BZ11" s="178"/>
      <c r="CA11" s="178"/>
      <c r="CD11" s="187"/>
    </row>
    <row r="12" spans="1:109">
      <c r="A12" s="144" t="s">
        <v>119</v>
      </c>
      <c r="B12" s="79" t="s">
        <v>191</v>
      </c>
      <c r="C12" s="11"/>
      <c r="D12" s="52">
        <v>7.7</v>
      </c>
      <c r="E12" s="52">
        <v>7.7</v>
      </c>
      <c r="F12" s="52">
        <v>8</v>
      </c>
      <c r="G12" s="52">
        <v>8.3000000000000007</v>
      </c>
      <c r="H12" s="52">
        <v>8.3000000000000007</v>
      </c>
      <c r="I12" s="52">
        <v>8.4</v>
      </c>
      <c r="J12" s="52">
        <v>8.6</v>
      </c>
      <c r="K12" s="52">
        <v>8.9</v>
      </c>
      <c r="L12" s="52">
        <v>9</v>
      </c>
      <c r="M12" s="52">
        <v>9.1</v>
      </c>
      <c r="N12" s="52">
        <v>9.1999999999999993</v>
      </c>
      <c r="O12" s="52">
        <v>9.3000000000000007</v>
      </c>
      <c r="P12" s="52">
        <v>9.6999999999999993</v>
      </c>
      <c r="Q12" s="52">
        <v>10</v>
      </c>
      <c r="R12" s="52">
        <v>9.8000000000000007</v>
      </c>
      <c r="S12" s="52">
        <v>9.6999999999999993</v>
      </c>
      <c r="T12" s="52">
        <v>9.4</v>
      </c>
      <c r="U12" s="52">
        <v>9.1</v>
      </c>
      <c r="V12" s="52">
        <v>8.8000000000000007</v>
      </c>
      <c r="W12" s="52">
        <v>8.1999999999999993</v>
      </c>
      <c r="X12" s="52">
        <v>7.6</v>
      </c>
      <c r="Y12" s="52">
        <v>7.5</v>
      </c>
      <c r="Z12" s="52">
        <v>7.5</v>
      </c>
      <c r="AA12" s="52">
        <v>7.8</v>
      </c>
      <c r="AB12" s="52">
        <v>7.9</v>
      </c>
      <c r="AC12" s="52">
        <v>7.8</v>
      </c>
      <c r="AD12" s="52">
        <v>7.9</v>
      </c>
      <c r="AE12" s="52">
        <v>8.1</v>
      </c>
      <c r="AF12" s="52">
        <v>7.9</v>
      </c>
      <c r="AG12" s="52">
        <v>7.8</v>
      </c>
      <c r="AH12" s="52">
        <v>8.8000000000000007</v>
      </c>
      <c r="AI12" s="52">
        <v>7</v>
      </c>
      <c r="AJ12" s="52">
        <v>7.2</v>
      </c>
      <c r="AK12" s="52">
        <v>6.4</v>
      </c>
      <c r="AL12" s="52">
        <v>5.7</v>
      </c>
      <c r="AM12" s="52">
        <v>5.3</v>
      </c>
      <c r="AN12" s="52">
        <v>5.2</v>
      </c>
      <c r="AO12" s="52">
        <v>5.6</v>
      </c>
      <c r="AP12" s="52">
        <v>5.3</v>
      </c>
      <c r="AQ12" s="52">
        <v>5.2</v>
      </c>
      <c r="AR12" s="52">
        <v>5.4</v>
      </c>
      <c r="AS12" s="52">
        <v>5.0999999999999996</v>
      </c>
      <c r="AT12" s="52">
        <v>5.2</v>
      </c>
      <c r="AU12" s="52">
        <v>4.8</v>
      </c>
      <c r="AV12" s="52">
        <v>5</v>
      </c>
      <c r="AW12" s="52">
        <v>5.0999999999999996</v>
      </c>
      <c r="AX12" s="52">
        <v>5.2</v>
      </c>
      <c r="AY12" s="52">
        <v>5.5</v>
      </c>
      <c r="AZ12" s="52">
        <v>5.0999999999999996</v>
      </c>
      <c r="BA12" s="52">
        <v>4.5999999999999996</v>
      </c>
      <c r="BB12" s="52">
        <v>4.5</v>
      </c>
      <c r="BC12" s="52">
        <v>4.3</v>
      </c>
      <c r="BD12" s="52">
        <v>4.3</v>
      </c>
      <c r="BE12" s="52">
        <v>4.0999999999999996</v>
      </c>
      <c r="BF12" s="52">
        <v>4.3</v>
      </c>
      <c r="BG12" s="52">
        <v>4.5999999999999996</v>
      </c>
      <c r="BH12" s="52">
        <v>4.8</v>
      </c>
      <c r="BI12" s="52">
        <v>5</v>
      </c>
      <c r="BJ12" s="52">
        <v>5.0999999999999996</v>
      </c>
      <c r="BK12" s="52">
        <v>5.0999999999999996</v>
      </c>
      <c r="BL12" s="52">
        <v>4.2</v>
      </c>
      <c r="BM12" s="52">
        <v>4.5</v>
      </c>
      <c r="BN12" s="52">
        <v>5.0999999999999996</v>
      </c>
      <c r="BO12" s="187"/>
      <c r="BP12" s="40"/>
      <c r="BQ12" s="179"/>
      <c r="BR12" s="179"/>
      <c r="BS12" s="179"/>
      <c r="BT12" s="179"/>
      <c r="BU12" s="179"/>
      <c r="BV12" s="179"/>
      <c r="BW12" s="179"/>
      <c r="BX12" s="179"/>
      <c r="BY12" s="179"/>
      <c r="BZ12" s="179"/>
      <c r="CA12" s="179"/>
      <c r="CB12" s="40"/>
      <c r="CC12" s="40"/>
      <c r="CD12" s="187"/>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row>
    <row r="13" spans="1:109">
      <c r="A13" s="144" t="s">
        <v>120</v>
      </c>
      <c r="B13" s="61" t="s">
        <v>35</v>
      </c>
      <c r="C13" s="56"/>
      <c r="D13" s="69">
        <v>7.8</v>
      </c>
      <c r="E13" s="69">
        <v>7.9</v>
      </c>
      <c r="F13" s="69">
        <v>8.1</v>
      </c>
      <c r="G13" s="69">
        <v>8.1999999999999993</v>
      </c>
      <c r="H13" s="69">
        <v>8.4</v>
      </c>
      <c r="I13" s="69">
        <v>8.8000000000000007</v>
      </c>
      <c r="J13" s="69">
        <v>8.6</v>
      </c>
      <c r="K13" s="69">
        <v>8.5</v>
      </c>
      <c r="L13" s="69">
        <v>8.1</v>
      </c>
      <c r="M13" s="69">
        <v>8</v>
      </c>
      <c r="N13" s="69">
        <v>7.4</v>
      </c>
      <c r="O13" s="69">
        <v>6.6</v>
      </c>
      <c r="P13" s="69">
        <v>6.2</v>
      </c>
      <c r="Q13" s="69">
        <v>6.1</v>
      </c>
      <c r="R13" s="69">
        <v>6.6</v>
      </c>
      <c r="S13" s="69">
        <v>6.3</v>
      </c>
      <c r="T13" s="69">
        <v>6.1</v>
      </c>
      <c r="U13" s="69">
        <v>6.3</v>
      </c>
      <c r="V13" s="69">
        <v>5.6</v>
      </c>
      <c r="W13" s="69">
        <v>5.4</v>
      </c>
      <c r="X13" s="69">
        <v>5.2</v>
      </c>
      <c r="Y13" s="69">
        <v>5</v>
      </c>
      <c r="Z13" s="69">
        <v>4.8</v>
      </c>
      <c r="AA13" s="69">
        <v>5.3</v>
      </c>
      <c r="AB13" s="69">
        <v>5.6</v>
      </c>
      <c r="AC13" s="69">
        <v>5.7</v>
      </c>
      <c r="AD13" s="69">
        <v>6</v>
      </c>
      <c r="AE13" s="69">
        <v>6.1</v>
      </c>
      <c r="AF13" s="69">
        <v>6.3</v>
      </c>
      <c r="AG13" s="69">
        <v>6</v>
      </c>
      <c r="AH13" s="69">
        <v>6.1</v>
      </c>
      <c r="AI13" s="69">
        <v>6</v>
      </c>
      <c r="AJ13" s="69">
        <v>6.2</v>
      </c>
      <c r="AK13" s="69">
        <v>6.1</v>
      </c>
      <c r="AL13" s="69">
        <v>6.8</v>
      </c>
      <c r="AM13" s="69">
        <v>6.6</v>
      </c>
      <c r="AN13" s="69">
        <v>6.8</v>
      </c>
      <c r="AO13" s="69">
        <v>6.5</v>
      </c>
      <c r="AP13" s="69">
        <v>6.5</v>
      </c>
      <c r="AQ13" s="69">
        <v>6.7</v>
      </c>
      <c r="AR13" s="69">
        <v>7.2</v>
      </c>
      <c r="AS13" s="69">
        <v>6.8</v>
      </c>
      <c r="AT13" s="69">
        <v>6.9</v>
      </c>
      <c r="AU13" s="69">
        <v>6.5</v>
      </c>
      <c r="AV13" s="69">
        <v>7</v>
      </c>
      <c r="AW13" s="69">
        <v>6.7</v>
      </c>
      <c r="AX13" s="69">
        <v>6.7</v>
      </c>
      <c r="AY13" s="69">
        <v>6.7</v>
      </c>
      <c r="AZ13" s="69">
        <v>6.8</v>
      </c>
      <c r="BA13" s="69">
        <v>6</v>
      </c>
      <c r="BB13" s="69">
        <v>5.6</v>
      </c>
      <c r="BC13" s="69">
        <v>4.9000000000000004</v>
      </c>
      <c r="BD13" s="69">
        <v>5.0999999999999996</v>
      </c>
      <c r="BE13" s="69">
        <v>4.9000000000000004</v>
      </c>
      <c r="BF13" s="69">
        <v>5</v>
      </c>
      <c r="BG13" s="69">
        <v>5.0999999999999996</v>
      </c>
      <c r="BH13" s="69">
        <v>5.4</v>
      </c>
      <c r="BI13" s="69">
        <v>5.5</v>
      </c>
      <c r="BJ13" s="69">
        <v>5.6</v>
      </c>
      <c r="BK13" s="69">
        <v>5.3</v>
      </c>
      <c r="BL13" s="69">
        <v>4.9000000000000004</v>
      </c>
      <c r="BM13" s="69">
        <v>4.7</v>
      </c>
      <c r="BN13" s="69">
        <v>5.34</v>
      </c>
      <c r="BO13" s="187"/>
      <c r="BP13" s="40"/>
      <c r="BQ13" s="179"/>
      <c r="BR13" s="179"/>
      <c r="BS13" s="179"/>
      <c r="BT13" s="179"/>
      <c r="BU13" s="179"/>
      <c r="BV13" s="179"/>
      <c r="BW13" s="179"/>
      <c r="BX13" s="179"/>
      <c r="BY13" s="179"/>
      <c r="BZ13" s="179"/>
      <c r="CA13" s="179"/>
      <c r="CB13" s="40"/>
      <c r="CC13" s="40"/>
      <c r="CD13" s="187"/>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row>
    <row r="14" spans="1:109">
      <c r="A14" s="144" t="s">
        <v>121</v>
      </c>
      <c r="B14" s="79" t="s">
        <v>34</v>
      </c>
      <c r="C14" s="11"/>
      <c r="D14" s="52">
        <v>10</v>
      </c>
      <c r="E14" s="52">
        <v>9.6999999999999993</v>
      </c>
      <c r="F14" s="52">
        <v>8.9</v>
      </c>
      <c r="G14" s="52">
        <v>8.6999999999999993</v>
      </c>
      <c r="H14" s="52">
        <v>8.5</v>
      </c>
      <c r="I14" s="52">
        <v>8.1999999999999993</v>
      </c>
      <c r="J14" s="52">
        <v>8.6</v>
      </c>
      <c r="K14" s="52">
        <v>8.8000000000000007</v>
      </c>
      <c r="L14" s="52">
        <v>8.9</v>
      </c>
      <c r="M14" s="52">
        <v>9.1</v>
      </c>
      <c r="N14" s="52">
        <v>9.1</v>
      </c>
      <c r="O14" s="52">
        <v>9.1</v>
      </c>
      <c r="P14" s="52">
        <v>8.5</v>
      </c>
      <c r="Q14" s="52">
        <v>8.6999999999999993</v>
      </c>
      <c r="R14" s="52">
        <v>8.6999999999999993</v>
      </c>
      <c r="S14" s="52">
        <v>8.6999999999999993</v>
      </c>
      <c r="T14" s="52">
        <v>8.6</v>
      </c>
      <c r="U14" s="52">
        <v>8.6999999999999993</v>
      </c>
      <c r="V14" s="52">
        <v>8.6</v>
      </c>
      <c r="W14" s="52">
        <v>8.6999999999999993</v>
      </c>
      <c r="X14" s="52">
        <v>8.8000000000000007</v>
      </c>
      <c r="Y14" s="52">
        <v>8.6</v>
      </c>
      <c r="Z14" s="52">
        <v>8.1999999999999993</v>
      </c>
      <c r="AA14" s="52">
        <v>8.6</v>
      </c>
      <c r="AB14" s="52">
        <v>8.3000000000000007</v>
      </c>
      <c r="AC14" s="52">
        <v>8.4</v>
      </c>
      <c r="AD14" s="52">
        <v>8.4</v>
      </c>
      <c r="AE14" s="52">
        <v>8.6999999999999993</v>
      </c>
      <c r="AF14" s="52">
        <v>8.3000000000000007</v>
      </c>
      <c r="AG14" s="52">
        <v>8.1</v>
      </c>
      <c r="AH14" s="52">
        <v>7.5</v>
      </c>
      <c r="AI14" s="52">
        <v>6.6</v>
      </c>
      <c r="AJ14" s="52">
        <v>5.8</v>
      </c>
      <c r="AK14" s="52">
        <v>5.2</v>
      </c>
      <c r="AL14" s="52">
        <v>5</v>
      </c>
      <c r="AM14" s="52">
        <v>4.9000000000000004</v>
      </c>
      <c r="AN14" s="52">
        <v>3.9</v>
      </c>
      <c r="AO14" s="52">
        <v>4</v>
      </c>
      <c r="AP14" s="52">
        <v>3.9</v>
      </c>
      <c r="AQ14" s="52">
        <v>4</v>
      </c>
      <c r="AR14" s="52">
        <v>3.9</v>
      </c>
      <c r="AS14" s="52">
        <v>4.0999999999999996</v>
      </c>
      <c r="AT14" s="52">
        <v>4.2</v>
      </c>
      <c r="AU14" s="52">
        <v>4.2</v>
      </c>
      <c r="AV14" s="52">
        <v>4.4000000000000004</v>
      </c>
      <c r="AW14" s="52">
        <v>4.5</v>
      </c>
      <c r="AX14" s="52">
        <v>5.2</v>
      </c>
      <c r="AY14" s="52">
        <v>5.2</v>
      </c>
      <c r="AZ14" s="52">
        <v>4.5999999999999996</v>
      </c>
      <c r="BA14" s="52">
        <v>4</v>
      </c>
      <c r="BB14" s="52">
        <v>3.8</v>
      </c>
      <c r="BC14" s="52">
        <v>4.0999999999999996</v>
      </c>
      <c r="BD14" s="52">
        <v>4.5</v>
      </c>
      <c r="BE14" s="52">
        <v>4.3</v>
      </c>
      <c r="BF14" s="52">
        <v>4.7</v>
      </c>
      <c r="BG14" s="52">
        <v>5.2</v>
      </c>
      <c r="BH14" s="52">
        <v>4.8</v>
      </c>
      <c r="BI14" s="52">
        <v>4.9000000000000004</v>
      </c>
      <c r="BJ14" s="52">
        <v>5</v>
      </c>
      <c r="BK14" s="52">
        <v>5.0999999999999996</v>
      </c>
      <c r="BL14" s="52">
        <v>4.5999999999999996</v>
      </c>
      <c r="BM14" s="52"/>
      <c r="BN14" s="52">
        <v>5.3</v>
      </c>
      <c r="BO14" s="187"/>
      <c r="BP14" s="40"/>
      <c r="BQ14" s="179"/>
      <c r="BR14" s="179"/>
      <c r="BS14" s="179"/>
      <c r="BT14" s="179"/>
      <c r="BU14" s="179"/>
      <c r="BV14" s="179"/>
      <c r="BW14" s="179"/>
      <c r="BX14" s="179"/>
      <c r="BY14" s="179"/>
      <c r="BZ14" s="179"/>
      <c r="CA14" s="179"/>
      <c r="CB14" s="40"/>
      <c r="CC14" s="40"/>
      <c r="CD14" s="187"/>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row>
    <row r="15" spans="1:109">
      <c r="A15" s="144" t="s">
        <v>122</v>
      </c>
      <c r="B15" s="61" t="s">
        <v>33</v>
      </c>
      <c r="C15" s="56"/>
      <c r="D15" s="69">
        <v>7.4</v>
      </c>
      <c r="E15" s="69">
        <v>7.7</v>
      </c>
      <c r="F15" s="69">
        <v>7.6</v>
      </c>
      <c r="G15" s="69">
        <v>7.4</v>
      </c>
      <c r="H15" s="69">
        <v>7.6</v>
      </c>
      <c r="I15" s="69">
        <v>7.9</v>
      </c>
      <c r="J15" s="69">
        <v>8.4</v>
      </c>
      <c r="K15" s="69">
        <v>9</v>
      </c>
      <c r="L15" s="69">
        <v>8.6999999999999993</v>
      </c>
      <c r="M15" s="69">
        <v>8.8000000000000007</v>
      </c>
      <c r="N15" s="69">
        <v>8.8000000000000007</v>
      </c>
      <c r="O15" s="69">
        <v>8.1999999999999993</v>
      </c>
      <c r="P15" s="69">
        <v>7.6</v>
      </c>
      <c r="Q15" s="69">
        <v>7.5</v>
      </c>
      <c r="R15" s="69">
        <v>7.4</v>
      </c>
      <c r="S15" s="69">
        <v>6.7</v>
      </c>
      <c r="T15" s="69">
        <v>6.8</v>
      </c>
      <c r="U15" s="69">
        <v>6.5</v>
      </c>
      <c r="V15" s="69">
        <v>6.3</v>
      </c>
      <c r="W15" s="69">
        <v>6.1</v>
      </c>
      <c r="X15" s="69">
        <v>6.1</v>
      </c>
      <c r="Y15" s="69">
        <v>6.3</v>
      </c>
      <c r="Z15" s="69">
        <v>6.3</v>
      </c>
      <c r="AA15" s="69">
        <v>6.1</v>
      </c>
      <c r="AB15" s="69">
        <v>5.8</v>
      </c>
      <c r="AC15" s="69">
        <v>5.3</v>
      </c>
      <c r="AD15" s="69">
        <v>5.2</v>
      </c>
      <c r="AE15" s="69">
        <v>5.3</v>
      </c>
      <c r="AF15" s="69">
        <v>5.2</v>
      </c>
      <c r="AG15" s="69">
        <v>4.9000000000000004</v>
      </c>
      <c r="AH15" s="69">
        <v>5</v>
      </c>
      <c r="AI15" s="69">
        <v>4.9000000000000004</v>
      </c>
      <c r="AJ15" s="69">
        <v>4.7</v>
      </c>
      <c r="AK15" s="69">
        <v>4.9000000000000004</v>
      </c>
      <c r="AL15" s="69">
        <v>4.9000000000000004</v>
      </c>
      <c r="AM15" s="69">
        <v>4.5999999999999996</v>
      </c>
      <c r="AN15" s="69" t="s">
        <v>44</v>
      </c>
      <c r="AO15" s="69">
        <v>4.5999999999999996</v>
      </c>
      <c r="AP15" s="69">
        <v>4.7</v>
      </c>
      <c r="AQ15" s="69">
        <v>4.7</v>
      </c>
      <c r="AR15" s="69">
        <v>5.0999999999999996</v>
      </c>
      <c r="AS15" s="69">
        <v>4.8</v>
      </c>
      <c r="AT15" s="69">
        <v>5.2</v>
      </c>
      <c r="AU15" s="69">
        <v>5</v>
      </c>
      <c r="AV15" s="69">
        <v>5.6</v>
      </c>
      <c r="AW15" s="69">
        <v>5.6</v>
      </c>
      <c r="AX15" s="69">
        <v>5.4</v>
      </c>
      <c r="AY15" s="69">
        <v>5.6</v>
      </c>
      <c r="AZ15" s="69">
        <v>5.8</v>
      </c>
      <c r="BA15" s="69">
        <v>5.6</v>
      </c>
      <c r="BB15" s="69">
        <v>5.6</v>
      </c>
      <c r="BC15" s="69">
        <v>5.3</v>
      </c>
      <c r="BD15" s="69">
        <v>5.3</v>
      </c>
      <c r="BE15" s="69">
        <v>4.5999999999999996</v>
      </c>
      <c r="BF15" s="69">
        <v>4.5</v>
      </c>
      <c r="BG15" s="69">
        <v>4.5</v>
      </c>
      <c r="BH15" s="69">
        <v>4.5</v>
      </c>
      <c r="BI15" s="69">
        <v>4.8</v>
      </c>
      <c r="BJ15" s="69">
        <v>4.3</v>
      </c>
      <c r="BK15" s="69">
        <v>4</v>
      </c>
      <c r="BL15" s="69">
        <v>4</v>
      </c>
      <c r="BM15" s="69">
        <v>3.5</v>
      </c>
      <c r="BN15" s="69">
        <v>3.9</v>
      </c>
      <c r="BO15" s="187"/>
      <c r="BP15" s="40"/>
      <c r="BQ15" s="179"/>
      <c r="BR15" s="179"/>
      <c r="BS15" s="179"/>
      <c r="BT15" s="179"/>
      <c r="BU15" s="179"/>
      <c r="BV15" s="179"/>
      <c r="BW15" s="179"/>
      <c r="BX15" s="179"/>
      <c r="BY15" s="179"/>
      <c r="BZ15" s="179"/>
      <c r="CA15" s="179"/>
      <c r="CB15" s="40"/>
      <c r="CC15" s="40"/>
      <c r="CD15" s="187"/>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row>
    <row r="16" spans="1:109">
      <c r="A16" s="144" t="s">
        <v>123</v>
      </c>
      <c r="B16" s="79" t="s">
        <v>32</v>
      </c>
      <c r="C16" s="11"/>
      <c r="D16" s="52" t="s">
        <v>44</v>
      </c>
      <c r="E16" s="52" t="s">
        <v>44</v>
      </c>
      <c r="F16" s="52" t="s">
        <v>44</v>
      </c>
      <c r="G16" s="52" t="s">
        <v>44</v>
      </c>
      <c r="H16" s="52" t="s">
        <v>44</v>
      </c>
      <c r="I16" s="52" t="s">
        <v>44</v>
      </c>
      <c r="J16" s="52" t="s">
        <v>44</v>
      </c>
      <c r="K16" s="52" t="s">
        <v>44</v>
      </c>
      <c r="L16" s="52" t="s">
        <v>44</v>
      </c>
      <c r="M16" s="52" t="s">
        <v>44</v>
      </c>
      <c r="N16" s="52" t="s">
        <v>44</v>
      </c>
      <c r="O16" s="52" t="s">
        <v>44</v>
      </c>
      <c r="P16" s="52" t="s">
        <v>44</v>
      </c>
      <c r="Q16" s="52" t="s">
        <v>44</v>
      </c>
      <c r="R16" s="52" t="s">
        <v>44</v>
      </c>
      <c r="S16" s="52" t="s">
        <v>44</v>
      </c>
      <c r="T16" s="52" t="s">
        <v>44</v>
      </c>
      <c r="U16" s="52" t="s">
        <v>44</v>
      </c>
      <c r="V16" s="52" t="s">
        <v>44</v>
      </c>
      <c r="W16" s="52" t="s">
        <v>44</v>
      </c>
      <c r="X16" s="52" t="s">
        <v>44</v>
      </c>
      <c r="Y16" s="52" t="s">
        <v>44</v>
      </c>
      <c r="Z16" s="52" t="s">
        <v>44</v>
      </c>
      <c r="AA16" s="52" t="s">
        <v>44</v>
      </c>
      <c r="AB16" s="52" t="s">
        <v>44</v>
      </c>
      <c r="AC16" s="52" t="s">
        <v>44</v>
      </c>
      <c r="AD16" s="52" t="s">
        <v>44</v>
      </c>
      <c r="AE16" s="52" t="s">
        <v>44</v>
      </c>
      <c r="AF16" s="52" t="s">
        <v>44</v>
      </c>
      <c r="AG16" s="52" t="s">
        <v>44</v>
      </c>
      <c r="AH16" s="52" t="s">
        <v>44</v>
      </c>
      <c r="AI16" s="52" t="s">
        <v>44</v>
      </c>
      <c r="AJ16" s="52" t="s">
        <v>44</v>
      </c>
      <c r="AK16" s="52" t="s">
        <v>44</v>
      </c>
      <c r="AL16" s="52">
        <v>4.4000000000000004</v>
      </c>
      <c r="AM16" s="52">
        <v>4.4000000000000004</v>
      </c>
      <c r="AN16" s="52">
        <v>4.8</v>
      </c>
      <c r="AO16" s="52">
        <v>4.9000000000000004</v>
      </c>
      <c r="AP16" s="52">
        <v>4.5999999999999996</v>
      </c>
      <c r="AQ16" s="52">
        <v>4.9000000000000004</v>
      </c>
      <c r="AR16" s="52">
        <v>5</v>
      </c>
      <c r="AS16" s="52">
        <v>4.8</v>
      </c>
      <c r="AT16" s="52">
        <v>4.5999999999999996</v>
      </c>
      <c r="AU16" s="52">
        <v>4.5999999999999996</v>
      </c>
      <c r="AV16" s="52">
        <v>4.5</v>
      </c>
      <c r="AW16" s="52">
        <v>4.5</v>
      </c>
      <c r="AX16" s="52">
        <v>4.3</v>
      </c>
      <c r="AY16" s="52">
        <v>4.3</v>
      </c>
      <c r="AZ16" s="52">
        <v>4.0999999999999996</v>
      </c>
      <c r="BA16" s="52">
        <v>3.9</v>
      </c>
      <c r="BB16" s="52">
        <v>3.9</v>
      </c>
      <c r="BC16" s="52">
        <v>3.6</v>
      </c>
      <c r="BD16" s="52">
        <v>3.7</v>
      </c>
      <c r="BE16" s="52">
        <v>3.6</v>
      </c>
      <c r="BF16" s="52">
        <v>3.6</v>
      </c>
      <c r="BG16" s="52">
        <v>3.6</v>
      </c>
      <c r="BH16" s="52">
        <v>3.5</v>
      </c>
      <c r="BI16" s="52">
        <v>3.5</v>
      </c>
      <c r="BJ16" s="52">
        <v>3.5</v>
      </c>
      <c r="BK16" s="52">
        <v>3.3</v>
      </c>
      <c r="BL16" s="52">
        <v>2.2999999999999998</v>
      </c>
      <c r="BM16" s="52">
        <v>3.3908895638535532</v>
      </c>
      <c r="BN16" s="52">
        <v>3.6</v>
      </c>
      <c r="BO16" s="187"/>
      <c r="BP16" s="40"/>
      <c r="BQ16" s="179"/>
      <c r="BR16" s="179"/>
      <c r="BS16" s="179"/>
      <c r="BT16" s="179"/>
      <c r="BU16" s="179"/>
      <c r="BV16" s="179"/>
      <c r="BW16" s="179"/>
      <c r="BX16" s="179"/>
      <c r="BY16" s="179"/>
      <c r="BZ16" s="179"/>
      <c r="CA16" s="179"/>
      <c r="CB16" s="40"/>
      <c r="CC16" s="40"/>
      <c r="CD16" s="187"/>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row>
    <row r="17" spans="1:109">
      <c r="A17" s="144" t="s">
        <v>124</v>
      </c>
      <c r="B17" s="61" t="s">
        <v>31</v>
      </c>
      <c r="C17" s="56"/>
      <c r="D17" s="69">
        <v>9.5</v>
      </c>
      <c r="E17" s="69">
        <v>9.5</v>
      </c>
      <c r="F17" s="69">
        <v>9.4</v>
      </c>
      <c r="G17" s="69">
        <v>8.8000000000000007</v>
      </c>
      <c r="H17" s="69">
        <v>8.5</v>
      </c>
      <c r="I17" s="69">
        <v>8.1999999999999993</v>
      </c>
      <c r="J17" s="69">
        <v>7.9</v>
      </c>
      <c r="K17" s="69">
        <v>7.8</v>
      </c>
      <c r="L17" s="69">
        <v>7.3</v>
      </c>
      <c r="M17" s="69">
        <v>7.3</v>
      </c>
      <c r="N17" s="69">
        <v>7.4</v>
      </c>
      <c r="O17" s="69">
        <v>7.2</v>
      </c>
      <c r="P17" s="69">
        <v>7</v>
      </c>
      <c r="Q17" s="69">
        <v>6.7</v>
      </c>
      <c r="R17" s="69">
        <v>6.5</v>
      </c>
      <c r="S17" s="69">
        <v>6.7</v>
      </c>
      <c r="T17" s="69">
        <v>6.5</v>
      </c>
      <c r="U17" s="69">
        <v>6.5</v>
      </c>
      <c r="V17" s="69">
        <v>6</v>
      </c>
      <c r="W17" s="69">
        <v>6.2</v>
      </c>
      <c r="X17" s="69">
        <v>6.3</v>
      </c>
      <c r="Y17" s="69">
        <v>6.2</v>
      </c>
      <c r="Z17" s="69">
        <v>6.2</v>
      </c>
      <c r="AA17" s="69">
        <v>6.3</v>
      </c>
      <c r="AB17" s="69">
        <v>6.4</v>
      </c>
      <c r="AC17" s="69">
        <v>6.4</v>
      </c>
      <c r="AD17" s="69">
        <v>6.6</v>
      </c>
      <c r="AE17" s="69">
        <v>6.7</v>
      </c>
      <c r="AF17" s="69">
        <v>6.8</v>
      </c>
      <c r="AG17" s="69">
        <v>6.7</v>
      </c>
      <c r="AH17" s="69">
        <v>6.5</v>
      </c>
      <c r="AI17" s="69">
        <v>5.7</v>
      </c>
      <c r="AJ17" s="69">
        <v>5.6</v>
      </c>
      <c r="AK17" s="69">
        <v>5.5</v>
      </c>
      <c r="AL17" s="69">
        <v>5.4</v>
      </c>
      <c r="AM17" s="69">
        <v>5.3</v>
      </c>
      <c r="AN17" s="69">
        <v>5.2</v>
      </c>
      <c r="AO17" s="69">
        <v>5.2</v>
      </c>
      <c r="AP17" s="69">
        <v>5.0999999999999996</v>
      </c>
      <c r="AQ17" s="69">
        <v>5.2</v>
      </c>
      <c r="AR17" s="69">
        <v>5.0999999999999996</v>
      </c>
      <c r="AS17" s="69">
        <v>4.7</v>
      </c>
      <c r="AT17" s="69">
        <v>4.5999999999999996</v>
      </c>
      <c r="AU17" s="69">
        <v>4.5999999999999996</v>
      </c>
      <c r="AV17" s="69">
        <v>4.8</v>
      </c>
      <c r="AW17" s="69">
        <v>4.7</v>
      </c>
      <c r="AX17" s="69">
        <v>4.5</v>
      </c>
      <c r="AY17" s="69">
        <v>4.5</v>
      </c>
      <c r="AZ17" s="69">
        <v>4.5999999999999996</v>
      </c>
      <c r="BA17" s="69">
        <v>4.5999999999999996</v>
      </c>
      <c r="BB17" s="69">
        <v>4.7</v>
      </c>
      <c r="BC17" s="69">
        <v>4.5999999999999996</v>
      </c>
      <c r="BD17" s="69">
        <v>4.8</v>
      </c>
      <c r="BE17" s="69">
        <v>4.5999999999999996</v>
      </c>
      <c r="BF17" s="69">
        <v>4.8</v>
      </c>
      <c r="BG17" s="69">
        <v>4.9000000000000004</v>
      </c>
      <c r="BH17" s="69">
        <v>5</v>
      </c>
      <c r="BI17" s="69">
        <v>4.9000000000000004</v>
      </c>
      <c r="BJ17" s="69">
        <v>5.4</v>
      </c>
      <c r="BK17" s="69">
        <v>5</v>
      </c>
      <c r="BL17" s="69">
        <v>4.5</v>
      </c>
      <c r="BM17" s="69">
        <v>4.3</v>
      </c>
      <c r="BN17" s="69">
        <v>4.7</v>
      </c>
      <c r="BO17" s="187"/>
      <c r="BP17" s="40"/>
      <c r="BQ17" s="179"/>
      <c r="BR17" s="179"/>
      <c r="BS17" s="179"/>
      <c r="BT17" s="179"/>
      <c r="BU17" s="179"/>
      <c r="BV17" s="179"/>
      <c r="BW17" s="179"/>
      <c r="BX17" s="179"/>
      <c r="BY17" s="179"/>
      <c r="BZ17" s="179"/>
      <c r="CA17" s="179"/>
      <c r="CB17" s="40"/>
      <c r="CC17" s="40"/>
      <c r="CD17" s="187"/>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row>
    <row r="18" spans="1:109">
      <c r="A18" s="144" t="s">
        <v>125</v>
      </c>
      <c r="B18" s="79" t="s">
        <v>30</v>
      </c>
      <c r="C18" s="11"/>
      <c r="D18" s="52">
        <v>7</v>
      </c>
      <c r="E18" s="52">
        <v>8.4</v>
      </c>
      <c r="F18" s="52">
        <v>8.4</v>
      </c>
      <c r="G18" s="52">
        <v>9.1999999999999993</v>
      </c>
      <c r="H18" s="52">
        <v>8.9</v>
      </c>
      <c r="I18" s="52">
        <v>9.4</v>
      </c>
      <c r="J18" s="52">
        <v>8.3000000000000007</v>
      </c>
      <c r="K18" s="52">
        <v>9.4</v>
      </c>
      <c r="L18" s="52">
        <v>7.5</v>
      </c>
      <c r="M18" s="52">
        <v>8.3000000000000007</v>
      </c>
      <c r="N18" s="52">
        <v>7.7</v>
      </c>
      <c r="O18" s="52">
        <v>8.3000000000000007</v>
      </c>
      <c r="P18" s="52">
        <v>6.8</v>
      </c>
      <c r="Q18" s="52">
        <v>8.3000000000000007</v>
      </c>
      <c r="R18" s="52">
        <v>7.6</v>
      </c>
      <c r="S18" s="52">
        <v>8.5</v>
      </c>
      <c r="T18" s="52">
        <v>6.9</v>
      </c>
      <c r="U18" s="52">
        <v>8.1999999999999993</v>
      </c>
      <c r="V18" s="52">
        <v>7.7</v>
      </c>
      <c r="W18" s="52">
        <v>8.3000000000000007</v>
      </c>
      <c r="X18" s="52">
        <v>6.5</v>
      </c>
      <c r="Y18" s="52">
        <v>7.3</v>
      </c>
      <c r="Z18" s="52">
        <v>6.9</v>
      </c>
      <c r="AA18" s="52">
        <v>7.2</v>
      </c>
      <c r="AB18" s="52">
        <v>5.5</v>
      </c>
      <c r="AC18" s="52">
        <v>6.4</v>
      </c>
      <c r="AD18" s="52">
        <v>5.8</v>
      </c>
      <c r="AE18" s="52">
        <v>6.6</v>
      </c>
      <c r="AF18" s="52">
        <v>4.8</v>
      </c>
      <c r="AG18" s="52">
        <v>6.1</v>
      </c>
      <c r="AH18" s="52">
        <v>5.8</v>
      </c>
      <c r="AI18" s="52">
        <v>6.4</v>
      </c>
      <c r="AJ18" s="52">
        <v>4.7</v>
      </c>
      <c r="AK18" s="52">
        <v>5.9</v>
      </c>
      <c r="AL18" s="52">
        <v>5.4</v>
      </c>
      <c r="AM18" s="52">
        <v>6.1</v>
      </c>
      <c r="AN18" s="52">
        <v>4.3</v>
      </c>
      <c r="AO18" s="52">
        <v>5.6</v>
      </c>
      <c r="AP18" s="52">
        <v>5.0999999999999996</v>
      </c>
      <c r="AQ18" s="52">
        <v>5.6</v>
      </c>
      <c r="AR18" s="52">
        <v>4.5</v>
      </c>
      <c r="AS18" s="52">
        <v>5.3</v>
      </c>
      <c r="AT18" s="52">
        <v>5.3</v>
      </c>
      <c r="AU18" s="52">
        <v>5.5</v>
      </c>
      <c r="AV18" s="52">
        <v>4.5999999999999996</v>
      </c>
      <c r="AW18" s="52">
        <v>5.5</v>
      </c>
      <c r="AX18" s="52">
        <v>5.2</v>
      </c>
      <c r="AY18" s="52">
        <v>5.5</v>
      </c>
      <c r="AZ18" s="52">
        <v>4.8</v>
      </c>
      <c r="BA18" s="52">
        <v>5.3</v>
      </c>
      <c r="BB18" s="52">
        <v>5.0999999999999996</v>
      </c>
      <c r="BC18" s="52">
        <v>5</v>
      </c>
      <c r="BD18" s="52">
        <v>4.5</v>
      </c>
      <c r="BE18" s="52">
        <v>4.7</v>
      </c>
      <c r="BF18" s="52">
        <v>4.9000000000000004</v>
      </c>
      <c r="BG18" s="52">
        <v>5</v>
      </c>
      <c r="BH18" s="52">
        <v>4.5999999999999996</v>
      </c>
      <c r="BI18" s="52">
        <v>4.7</v>
      </c>
      <c r="BJ18" s="52">
        <v>4.4000000000000004</v>
      </c>
      <c r="BK18" s="52">
        <v>4.4000000000000004</v>
      </c>
      <c r="BL18" s="52">
        <v>2.9</v>
      </c>
      <c r="BM18" s="52">
        <v>3.9</v>
      </c>
      <c r="BN18" s="52">
        <v>4.2</v>
      </c>
      <c r="BO18" s="187"/>
      <c r="BP18" s="40"/>
      <c r="BQ18" s="179"/>
      <c r="BR18" s="179"/>
      <c r="BS18" s="179"/>
      <c r="BT18" s="179"/>
      <c r="BU18" s="179"/>
      <c r="BV18" s="179"/>
      <c r="BW18" s="179"/>
      <c r="BX18" s="179"/>
      <c r="BY18" s="179"/>
      <c r="BZ18" s="179"/>
      <c r="CA18" s="179"/>
      <c r="CB18" s="40"/>
      <c r="CC18" s="40"/>
      <c r="CD18" s="187"/>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row>
    <row r="19" spans="1:109">
      <c r="A19" s="144" t="s">
        <v>126</v>
      </c>
      <c r="B19" s="61" t="s">
        <v>29</v>
      </c>
      <c r="C19" s="56"/>
      <c r="D19" s="69">
        <v>8.9</v>
      </c>
      <c r="E19" s="69">
        <v>8.3000000000000007</v>
      </c>
      <c r="F19" s="69">
        <v>8.1</v>
      </c>
      <c r="G19" s="69">
        <v>8.4</v>
      </c>
      <c r="H19" s="69">
        <v>8.6999999999999993</v>
      </c>
      <c r="I19" s="69">
        <v>8.8000000000000007</v>
      </c>
      <c r="J19" s="69">
        <v>9.1999999999999993</v>
      </c>
      <c r="K19" s="69">
        <v>9.4</v>
      </c>
      <c r="L19" s="69">
        <v>9.3000000000000007</v>
      </c>
      <c r="M19" s="69">
        <v>9.3000000000000007</v>
      </c>
      <c r="N19" s="69">
        <v>9.3000000000000007</v>
      </c>
      <c r="O19" s="69">
        <v>9.1</v>
      </c>
      <c r="P19" s="69">
        <v>9.4</v>
      </c>
      <c r="Q19" s="69">
        <v>9.6999999999999993</v>
      </c>
      <c r="R19" s="69">
        <v>9.5</v>
      </c>
      <c r="S19" s="69">
        <v>9.8000000000000007</v>
      </c>
      <c r="T19" s="69">
        <v>9.5</v>
      </c>
      <c r="U19" s="69">
        <v>9.1</v>
      </c>
      <c r="V19" s="69">
        <v>8.6999999999999993</v>
      </c>
      <c r="W19" s="69">
        <v>8.1</v>
      </c>
      <c r="X19" s="69">
        <v>7.5</v>
      </c>
      <c r="Y19" s="69">
        <v>7.2</v>
      </c>
      <c r="Z19" s="69">
        <v>7.1</v>
      </c>
      <c r="AA19" s="69">
        <v>7.1</v>
      </c>
      <c r="AB19" s="69">
        <v>7</v>
      </c>
      <c r="AC19" s="69">
        <v>6.9</v>
      </c>
      <c r="AD19" s="69">
        <v>6.8</v>
      </c>
      <c r="AE19" s="69">
        <v>6.2</v>
      </c>
      <c r="AF19" s="69">
        <v>6.2</v>
      </c>
      <c r="AG19" s="69">
        <v>6.4</v>
      </c>
      <c r="AH19" s="69">
        <v>6.4</v>
      </c>
      <c r="AI19" s="69">
        <v>5.9</v>
      </c>
      <c r="AJ19" s="69">
        <v>5.5</v>
      </c>
      <c r="AK19" s="69">
        <v>5.2</v>
      </c>
      <c r="AL19" s="69">
        <v>5.2</v>
      </c>
      <c r="AM19" s="69">
        <v>5.2</v>
      </c>
      <c r="AN19" s="69">
        <v>4.7</v>
      </c>
      <c r="AO19" s="69">
        <v>4.5999999999999996</v>
      </c>
      <c r="AP19" s="69">
        <v>4.4000000000000004</v>
      </c>
      <c r="AQ19" s="69">
        <v>4.4000000000000004</v>
      </c>
      <c r="AR19" s="69">
        <v>4.7</v>
      </c>
      <c r="AS19" s="69">
        <v>4.3</v>
      </c>
      <c r="AT19" s="69">
        <v>4.5</v>
      </c>
      <c r="AU19" s="69">
        <v>4.5</v>
      </c>
      <c r="AV19" s="69">
        <v>4.3</v>
      </c>
      <c r="AW19" s="69">
        <v>4.4000000000000004</v>
      </c>
      <c r="AX19" s="69">
        <v>4.4000000000000004</v>
      </c>
      <c r="AY19" s="69">
        <v>4.0999999999999996</v>
      </c>
      <c r="AZ19" s="69">
        <v>4</v>
      </c>
      <c r="BA19" s="69">
        <v>3.7</v>
      </c>
      <c r="BB19" s="69">
        <v>3.6</v>
      </c>
      <c r="BC19" s="69">
        <v>3.6</v>
      </c>
      <c r="BD19" s="69">
        <v>3.6</v>
      </c>
      <c r="BE19" s="69">
        <v>3.7</v>
      </c>
      <c r="BF19" s="69">
        <v>3.9</v>
      </c>
      <c r="BG19" s="69">
        <v>4.7</v>
      </c>
      <c r="BH19" s="69">
        <v>5.3</v>
      </c>
      <c r="BI19" s="69">
        <v>5.2</v>
      </c>
      <c r="BJ19" s="69">
        <v>5.2</v>
      </c>
      <c r="BK19" s="69">
        <v>6.7</v>
      </c>
      <c r="BL19" s="69">
        <v>6.9</v>
      </c>
      <c r="BM19" s="69">
        <v>7.4</v>
      </c>
      <c r="BN19" s="69">
        <v>6.6</v>
      </c>
      <c r="BO19" s="187"/>
      <c r="BP19" s="40"/>
      <c r="BQ19" s="179"/>
      <c r="BR19" s="179"/>
      <c r="BS19" s="179"/>
      <c r="BT19" s="179"/>
      <c r="BU19" s="179"/>
      <c r="BV19" s="179"/>
      <c r="BW19" s="179"/>
      <c r="BX19" s="179"/>
      <c r="BY19" s="179"/>
      <c r="BZ19" s="179"/>
      <c r="CA19" s="179"/>
      <c r="CB19" s="40"/>
      <c r="CC19" s="40"/>
      <c r="CD19" s="187"/>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row>
    <row r="20" spans="1:109">
      <c r="A20" s="144" t="s">
        <v>127</v>
      </c>
      <c r="B20" s="79" t="s">
        <v>28</v>
      </c>
      <c r="C20" s="11"/>
      <c r="D20" s="52">
        <v>7.5</v>
      </c>
      <c r="E20" s="52">
        <v>7.5</v>
      </c>
      <c r="F20" s="52">
        <v>7.4</v>
      </c>
      <c r="G20" s="52">
        <v>7.8</v>
      </c>
      <c r="H20" s="52">
        <v>8.3000000000000007</v>
      </c>
      <c r="I20" s="52">
        <v>8.1</v>
      </c>
      <c r="J20" s="52">
        <v>7.9</v>
      </c>
      <c r="K20" s="52">
        <v>8.6</v>
      </c>
      <c r="L20" s="52">
        <v>8.4</v>
      </c>
      <c r="M20" s="52">
        <v>8.5</v>
      </c>
      <c r="N20" s="52">
        <v>7.8</v>
      </c>
      <c r="O20" s="52">
        <v>7.9</v>
      </c>
      <c r="P20" s="52">
        <v>8.1</v>
      </c>
      <c r="Q20" s="52">
        <v>8.3000000000000007</v>
      </c>
      <c r="R20" s="52">
        <v>8.8000000000000007</v>
      </c>
      <c r="S20" s="52">
        <v>7.7</v>
      </c>
      <c r="T20" s="52">
        <v>7.5</v>
      </c>
      <c r="U20" s="52">
        <v>7.1</v>
      </c>
      <c r="V20" s="52">
        <v>7.1</v>
      </c>
      <c r="W20" s="52">
        <v>6.4</v>
      </c>
      <c r="X20" s="52">
        <v>5.7</v>
      </c>
      <c r="Y20" s="52">
        <v>5.9</v>
      </c>
      <c r="Z20" s="52">
        <v>5.6</v>
      </c>
      <c r="AA20" s="52">
        <v>5.9</v>
      </c>
      <c r="AB20" s="52">
        <v>5.9</v>
      </c>
      <c r="AC20" s="52">
        <v>5.2</v>
      </c>
      <c r="AD20" s="52">
        <v>5.0999999999999996</v>
      </c>
      <c r="AE20" s="52">
        <v>4.7</v>
      </c>
      <c r="AF20" s="52">
        <v>5.2</v>
      </c>
      <c r="AG20" s="52">
        <v>4.7</v>
      </c>
      <c r="AH20" s="52">
        <v>4.5</v>
      </c>
      <c r="AI20" s="52">
        <v>4.8</v>
      </c>
      <c r="AJ20" s="52">
        <v>4.8</v>
      </c>
      <c r="AK20" s="52">
        <v>4.5999999999999996</v>
      </c>
      <c r="AL20" s="52">
        <v>4.9000000000000004</v>
      </c>
      <c r="AM20" s="52">
        <v>4.5999999999999996</v>
      </c>
      <c r="AN20" s="52">
        <v>5</v>
      </c>
      <c r="AO20" s="52">
        <v>5.5</v>
      </c>
      <c r="AP20" s="52">
        <v>5.6</v>
      </c>
      <c r="AQ20" s="52">
        <v>5.6</v>
      </c>
      <c r="AR20" s="52">
        <v>6.3</v>
      </c>
      <c r="AS20" s="52">
        <v>5.2</v>
      </c>
      <c r="AT20" s="52">
        <v>5.6</v>
      </c>
      <c r="AU20" s="52">
        <v>5.0999999999999996</v>
      </c>
      <c r="AV20" s="52">
        <v>5</v>
      </c>
      <c r="AW20" s="52">
        <v>5.4</v>
      </c>
      <c r="AX20" s="52">
        <v>5.5</v>
      </c>
      <c r="AY20" s="52">
        <v>5.5</v>
      </c>
      <c r="AZ20" s="52">
        <v>5.2</v>
      </c>
      <c r="BA20" s="52">
        <v>4.5999999999999996</v>
      </c>
      <c r="BB20" s="52">
        <v>4.9000000000000004</v>
      </c>
      <c r="BC20" s="52">
        <v>4.5999999999999996</v>
      </c>
      <c r="BD20" s="52">
        <v>4.5999999999999996</v>
      </c>
      <c r="BE20" s="52">
        <v>4.4000000000000004</v>
      </c>
      <c r="BF20" s="52">
        <v>4.0999999999999996</v>
      </c>
      <c r="BG20" s="52">
        <v>4.5999999999999996</v>
      </c>
      <c r="BH20" s="52">
        <v>4.9000000000000004</v>
      </c>
      <c r="BI20" s="52">
        <v>5.8</v>
      </c>
      <c r="BJ20" s="52">
        <v>6</v>
      </c>
      <c r="BK20" s="52">
        <v>5.8</v>
      </c>
      <c r="BL20" s="52">
        <v>5</v>
      </c>
      <c r="BM20" s="52"/>
      <c r="BN20" s="52"/>
      <c r="BO20" s="187"/>
      <c r="BP20" s="40"/>
      <c r="BQ20" s="179"/>
      <c r="BR20" s="179"/>
      <c r="BS20" s="179"/>
      <c r="BT20" s="179"/>
      <c r="BU20" s="179"/>
      <c r="BV20" s="179"/>
      <c r="BW20" s="179"/>
      <c r="BX20" s="179"/>
      <c r="BY20" s="179"/>
      <c r="BZ20" s="179"/>
      <c r="CA20" s="179"/>
      <c r="CB20" s="40"/>
      <c r="CC20" s="40"/>
      <c r="CD20" s="187"/>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row>
    <row r="21" spans="1:109">
      <c r="A21" s="144" t="s">
        <v>128</v>
      </c>
      <c r="B21" s="61" t="s">
        <v>27</v>
      </c>
      <c r="C21" s="56"/>
      <c r="D21" s="69">
        <v>5.5</v>
      </c>
      <c r="E21" s="69">
        <v>5.4</v>
      </c>
      <c r="F21" s="69">
        <v>5.5</v>
      </c>
      <c r="G21" s="69">
        <v>5.5</v>
      </c>
      <c r="H21" s="69">
        <v>5.6</v>
      </c>
      <c r="I21" s="69">
        <v>5.9</v>
      </c>
      <c r="J21" s="69">
        <v>5.8</v>
      </c>
      <c r="K21" s="69">
        <v>6.1</v>
      </c>
      <c r="L21" s="69">
        <v>6.5</v>
      </c>
      <c r="M21" s="69">
        <v>6.9</v>
      </c>
      <c r="N21" s="69">
        <v>7</v>
      </c>
      <c r="O21" s="69">
        <v>7.4</v>
      </c>
      <c r="P21" s="69">
        <v>7.3</v>
      </c>
      <c r="Q21" s="69">
        <v>7.4</v>
      </c>
      <c r="R21" s="69">
        <v>7.3</v>
      </c>
      <c r="S21" s="69">
        <v>6.7</v>
      </c>
      <c r="T21" s="69">
        <v>6.4</v>
      </c>
      <c r="U21" s="69">
        <v>6.1</v>
      </c>
      <c r="V21" s="69">
        <v>6.4</v>
      </c>
      <c r="W21" s="69">
        <v>6.2</v>
      </c>
      <c r="X21" s="69">
        <v>6.4</v>
      </c>
      <c r="Y21" s="69">
        <v>6</v>
      </c>
      <c r="Z21" s="69">
        <v>5.8</v>
      </c>
      <c r="AA21" s="69">
        <v>5.5</v>
      </c>
      <c r="AB21" s="69">
        <v>5.2</v>
      </c>
      <c r="AC21" s="69">
        <v>5.3</v>
      </c>
      <c r="AD21" s="69">
        <v>5.2</v>
      </c>
      <c r="AE21" s="69">
        <v>5.2</v>
      </c>
      <c r="AF21" s="69">
        <v>5.2</v>
      </c>
      <c r="AG21" s="69">
        <v>5.2</v>
      </c>
      <c r="AH21" s="69">
        <v>5.0999999999999996</v>
      </c>
      <c r="AI21" s="69">
        <v>4.9000000000000004</v>
      </c>
      <c r="AJ21" s="69">
        <v>4.7</v>
      </c>
      <c r="AK21" s="69">
        <v>4.7</v>
      </c>
      <c r="AL21" s="69">
        <v>4.5999999999999996</v>
      </c>
      <c r="AM21" s="69">
        <v>4.3</v>
      </c>
      <c r="AN21" s="69">
        <v>4.4000000000000004</v>
      </c>
      <c r="AO21" s="69">
        <v>4.3</v>
      </c>
      <c r="AP21" s="69">
        <v>4.5</v>
      </c>
      <c r="AQ21" s="69">
        <v>4.9000000000000004</v>
      </c>
      <c r="AR21" s="69">
        <v>5</v>
      </c>
      <c r="AS21" s="69">
        <v>5</v>
      </c>
      <c r="AT21" s="69">
        <v>5.2</v>
      </c>
      <c r="AU21" s="69">
        <v>5.0999999999999996</v>
      </c>
      <c r="AV21" s="69">
        <v>5.2</v>
      </c>
      <c r="AW21" s="69">
        <v>5.0999999999999996</v>
      </c>
      <c r="AX21" s="69">
        <v>5.2</v>
      </c>
      <c r="AY21" s="69">
        <v>5.2</v>
      </c>
      <c r="AZ21" s="69">
        <v>4.9000000000000004</v>
      </c>
      <c r="BA21" s="69">
        <v>4.8</v>
      </c>
      <c r="BB21" s="69">
        <v>4.5</v>
      </c>
      <c r="BC21" s="69">
        <v>4.3</v>
      </c>
      <c r="BD21" s="69">
        <v>4.5</v>
      </c>
      <c r="BE21" s="69">
        <v>4.5</v>
      </c>
      <c r="BF21" s="69">
        <v>4.7</v>
      </c>
      <c r="BG21" s="69">
        <v>4.7</v>
      </c>
      <c r="BH21" s="69">
        <v>4.8</v>
      </c>
      <c r="BI21" s="69">
        <v>4.5999999999999996</v>
      </c>
      <c r="BJ21" s="69">
        <v>4.3</v>
      </c>
      <c r="BK21" s="69">
        <v>4.0999999999999996</v>
      </c>
      <c r="BL21" s="69">
        <v>1.9</v>
      </c>
      <c r="BM21" s="69">
        <v>3.3</v>
      </c>
      <c r="BN21" s="69"/>
      <c r="BO21" s="187"/>
      <c r="BP21" s="40"/>
      <c r="BQ21" s="179"/>
      <c r="BR21" s="179"/>
      <c r="BS21" s="179"/>
      <c r="BT21" s="179"/>
      <c r="BU21" s="179"/>
      <c r="BV21" s="179"/>
      <c r="BW21" s="179"/>
      <c r="BX21" s="179"/>
      <c r="BY21" s="179"/>
      <c r="BZ21" s="179"/>
      <c r="CA21" s="179"/>
      <c r="CB21" s="40"/>
      <c r="CC21" s="40"/>
      <c r="CD21" s="189"/>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row>
    <row r="22" spans="1:109" s="50" customFormat="1">
      <c r="A22" s="144" t="s">
        <v>129</v>
      </c>
      <c r="B22" s="132" t="s">
        <v>26</v>
      </c>
      <c r="C22" s="133">
        <v>3</v>
      </c>
      <c r="D22" s="131" t="s">
        <v>44</v>
      </c>
      <c r="E22" s="131" t="s">
        <v>44</v>
      </c>
      <c r="F22" s="131" t="s">
        <v>44</v>
      </c>
      <c r="G22" s="131" t="s">
        <v>44</v>
      </c>
      <c r="H22" s="131" t="s">
        <v>44</v>
      </c>
      <c r="I22" s="131" t="s">
        <v>44</v>
      </c>
      <c r="J22" s="131" t="s">
        <v>44</v>
      </c>
      <c r="K22" s="131" t="s">
        <v>44</v>
      </c>
      <c r="L22" s="131" t="s">
        <v>44</v>
      </c>
      <c r="M22" s="131" t="s">
        <v>44</v>
      </c>
      <c r="N22" s="131">
        <v>8.9418000000000006</v>
      </c>
      <c r="O22" s="131" t="s">
        <v>44</v>
      </c>
      <c r="P22" s="131" t="s">
        <v>44</v>
      </c>
      <c r="Q22" s="131" t="s">
        <v>44</v>
      </c>
      <c r="R22" s="131" t="s">
        <v>44</v>
      </c>
      <c r="S22" s="131" t="s">
        <v>44</v>
      </c>
      <c r="T22" s="131" t="s">
        <v>44</v>
      </c>
      <c r="U22" s="131" t="s">
        <v>44</v>
      </c>
      <c r="V22" s="131" t="s">
        <v>44</v>
      </c>
      <c r="W22" s="131" t="s">
        <v>44</v>
      </c>
      <c r="X22" s="131" t="s">
        <v>44</v>
      </c>
      <c r="Y22" s="131" t="s">
        <v>44</v>
      </c>
      <c r="Z22" s="131" t="s">
        <v>44</v>
      </c>
      <c r="AA22" s="131" t="s">
        <v>44</v>
      </c>
      <c r="AB22" s="131" t="s">
        <v>44</v>
      </c>
      <c r="AC22" s="131">
        <v>6.9</v>
      </c>
      <c r="AD22" s="131">
        <v>7</v>
      </c>
      <c r="AE22" s="131">
        <v>6.9</v>
      </c>
      <c r="AF22" s="131">
        <v>7</v>
      </c>
      <c r="AG22" s="131">
        <v>7.1</v>
      </c>
      <c r="AH22" s="131">
        <v>6.8</v>
      </c>
      <c r="AI22" s="131">
        <v>6.5</v>
      </c>
      <c r="AJ22" s="131">
        <v>6.4</v>
      </c>
      <c r="AK22" s="131">
        <v>6.6</v>
      </c>
      <c r="AL22" s="131">
        <v>6.7</v>
      </c>
      <c r="AM22" s="131">
        <v>6.5</v>
      </c>
      <c r="AN22" s="131">
        <v>6.3</v>
      </c>
      <c r="AO22" s="131">
        <v>6.5</v>
      </c>
      <c r="AP22" s="131">
        <v>6.7</v>
      </c>
      <c r="AQ22" s="131">
        <v>6.6</v>
      </c>
      <c r="AR22" s="131">
        <v>6.4</v>
      </c>
      <c r="AS22" s="131">
        <v>6.3</v>
      </c>
      <c r="AT22" s="131">
        <v>6.2</v>
      </c>
      <c r="AU22" s="131">
        <v>6.1</v>
      </c>
      <c r="AV22" s="131">
        <v>5.9</v>
      </c>
      <c r="AW22" s="131">
        <v>5.9</v>
      </c>
      <c r="AX22" s="131">
        <v>6.3</v>
      </c>
      <c r="AY22" s="131">
        <v>6.5</v>
      </c>
      <c r="AZ22" s="131">
        <v>6.8</v>
      </c>
      <c r="BA22" s="131">
        <v>6.5</v>
      </c>
      <c r="BB22" s="131">
        <v>6.3</v>
      </c>
      <c r="BC22" s="131">
        <v>6.6</v>
      </c>
      <c r="BD22" s="131">
        <v>6.4</v>
      </c>
      <c r="BE22" s="131">
        <v>6.5</v>
      </c>
      <c r="BF22" s="131">
        <v>6.2</v>
      </c>
      <c r="BG22" s="131">
        <v>6.4</v>
      </c>
      <c r="BH22" s="131">
        <v>6.2</v>
      </c>
      <c r="BI22" s="131">
        <v>5.7</v>
      </c>
      <c r="BJ22" s="131">
        <v>5.6</v>
      </c>
      <c r="BK22" s="131">
        <v>5.3</v>
      </c>
      <c r="BL22" s="131">
        <v>4.3040754375766976</v>
      </c>
      <c r="BM22" s="131">
        <v>5.4591135089389615</v>
      </c>
      <c r="BN22" s="131"/>
      <c r="BO22" s="187"/>
      <c r="BQ22" s="178"/>
      <c r="BR22" s="178"/>
      <c r="BS22" s="178"/>
      <c r="BT22" s="178"/>
      <c r="BU22" s="178"/>
      <c r="BV22" s="178"/>
      <c r="BW22" s="178"/>
      <c r="BX22" s="178"/>
      <c r="BY22" s="178"/>
      <c r="BZ22" s="178"/>
      <c r="CA22" s="178"/>
      <c r="CD22" s="187"/>
    </row>
    <row r="23" spans="1:109">
      <c r="A23" s="144" t="s">
        <v>130</v>
      </c>
      <c r="B23" s="61" t="s">
        <v>25</v>
      </c>
      <c r="C23" s="56"/>
      <c r="D23" s="69">
        <v>7.7</v>
      </c>
      <c r="E23" s="69">
        <v>7.9</v>
      </c>
      <c r="F23" s="69">
        <v>8</v>
      </c>
      <c r="G23" s="69">
        <v>8.1999999999999993</v>
      </c>
      <c r="H23" s="69">
        <v>8.1</v>
      </c>
      <c r="I23" s="69">
        <v>7.7</v>
      </c>
      <c r="J23" s="69">
        <v>7.3</v>
      </c>
      <c r="K23" s="69">
        <v>7.2</v>
      </c>
      <c r="L23" s="69">
        <v>7</v>
      </c>
      <c r="M23" s="69">
        <v>7.2</v>
      </c>
      <c r="N23" s="69">
        <v>7.3</v>
      </c>
      <c r="O23" s="69">
        <v>7.5</v>
      </c>
      <c r="P23" s="69">
        <v>7.7</v>
      </c>
      <c r="Q23" s="69">
        <v>7.6</v>
      </c>
      <c r="R23" s="69">
        <v>7.3</v>
      </c>
      <c r="S23" s="69">
        <v>6.7</v>
      </c>
      <c r="T23" s="69">
        <v>6.4</v>
      </c>
      <c r="U23" s="69">
        <v>6.2</v>
      </c>
      <c r="V23" s="69">
        <v>5.9</v>
      </c>
      <c r="W23" s="69">
        <v>5.8</v>
      </c>
      <c r="X23" s="69">
        <v>5.7</v>
      </c>
      <c r="Y23" s="69">
        <v>5.6</v>
      </c>
      <c r="Z23" s="69">
        <v>5.5</v>
      </c>
      <c r="AA23" s="69">
        <v>5.4</v>
      </c>
      <c r="AB23" s="69">
        <v>5.3</v>
      </c>
      <c r="AC23" s="69">
        <v>5.3</v>
      </c>
      <c r="AD23" s="69">
        <v>5.3</v>
      </c>
      <c r="AE23" s="69">
        <v>5.4</v>
      </c>
      <c r="AF23" s="69">
        <v>5.6</v>
      </c>
      <c r="AG23" s="69">
        <v>5.7</v>
      </c>
      <c r="AH23" s="69">
        <v>5.6</v>
      </c>
      <c r="AI23" s="69">
        <v>5.5</v>
      </c>
      <c r="AJ23" s="69">
        <v>5.5</v>
      </c>
      <c r="AK23" s="69">
        <v>5.3</v>
      </c>
      <c r="AL23" s="69">
        <v>5.0999999999999996</v>
      </c>
      <c r="AM23" s="69">
        <v>5.0999999999999996</v>
      </c>
      <c r="AN23" s="69">
        <v>4.9000000000000004</v>
      </c>
      <c r="AO23" s="69">
        <v>4.9000000000000004</v>
      </c>
      <c r="AP23" s="69">
        <v>4.9000000000000004</v>
      </c>
      <c r="AQ23" s="69">
        <v>4.9000000000000004</v>
      </c>
      <c r="AR23" s="69">
        <v>5</v>
      </c>
      <c r="AS23" s="69">
        <v>4.5999999999999996</v>
      </c>
      <c r="AT23" s="69">
        <v>4.7</v>
      </c>
      <c r="AU23" s="69">
        <v>4.5999999999999996</v>
      </c>
      <c r="AV23" s="69">
        <v>4.3</v>
      </c>
      <c r="AW23" s="69">
        <v>4.3</v>
      </c>
      <c r="AX23" s="69">
        <v>4.2</v>
      </c>
      <c r="AY23" s="69">
        <v>4.3</v>
      </c>
      <c r="AZ23" s="69">
        <v>4.2</v>
      </c>
      <c r="BA23" s="69">
        <v>3.9</v>
      </c>
      <c r="BB23" s="69">
        <v>3.7</v>
      </c>
      <c r="BC23" s="69">
        <v>3.4</v>
      </c>
      <c r="BD23" s="69">
        <v>3.5</v>
      </c>
      <c r="BE23" s="69">
        <v>3.2</v>
      </c>
      <c r="BF23" s="69">
        <v>3.1</v>
      </c>
      <c r="BG23" s="69">
        <v>3.2</v>
      </c>
      <c r="BH23" s="69">
        <v>3.4</v>
      </c>
      <c r="BI23" s="69">
        <v>3.2</v>
      </c>
      <c r="BJ23" s="69">
        <v>3.2</v>
      </c>
      <c r="BK23" s="69">
        <v>3.1</v>
      </c>
      <c r="BL23" s="69">
        <v>1.6</v>
      </c>
      <c r="BM23" s="69">
        <v>3.1</v>
      </c>
      <c r="BN23" s="69">
        <v>3.2</v>
      </c>
      <c r="BO23" s="187"/>
      <c r="BP23" s="40"/>
      <c r="BQ23" s="179"/>
      <c r="BR23" s="179"/>
      <c r="BS23" s="179"/>
      <c r="BT23" s="179"/>
      <c r="BU23" s="179"/>
      <c r="BV23" s="179"/>
      <c r="BW23" s="179"/>
      <c r="BX23" s="179"/>
      <c r="BY23" s="179"/>
      <c r="BZ23" s="179"/>
      <c r="CA23" s="179"/>
      <c r="CB23" s="40"/>
      <c r="CC23" s="40"/>
      <c r="CD23" s="189"/>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row>
    <row r="24" spans="1:109" s="50" customFormat="1">
      <c r="A24" s="144" t="s">
        <v>131</v>
      </c>
      <c r="B24" s="132" t="s">
        <v>24</v>
      </c>
      <c r="C24" s="133"/>
      <c r="D24" s="131">
        <v>9.3000000000000007</v>
      </c>
      <c r="E24" s="131" t="s">
        <v>44</v>
      </c>
      <c r="F24" s="131" t="s">
        <v>44</v>
      </c>
      <c r="G24" s="131">
        <v>9.6999999999999993</v>
      </c>
      <c r="H24" s="131">
        <v>9.9</v>
      </c>
      <c r="I24" s="131">
        <v>9.6999999999999993</v>
      </c>
      <c r="J24" s="131">
        <v>9.5</v>
      </c>
      <c r="K24" s="131">
        <v>9.6</v>
      </c>
      <c r="L24" s="131">
        <v>9.5</v>
      </c>
      <c r="M24" s="131">
        <v>9.6</v>
      </c>
      <c r="N24" s="131">
        <v>10</v>
      </c>
      <c r="O24" s="131">
        <v>10.5</v>
      </c>
      <c r="P24" s="131">
        <v>10.4</v>
      </c>
      <c r="Q24" s="131">
        <v>9.9</v>
      </c>
      <c r="R24" s="131">
        <v>9.1</v>
      </c>
      <c r="S24" s="131">
        <v>8.5</v>
      </c>
      <c r="T24" s="131">
        <v>7.8</v>
      </c>
      <c r="U24" s="131">
        <v>7.2</v>
      </c>
      <c r="V24" s="131">
        <v>6.9</v>
      </c>
      <c r="W24" s="131">
        <v>6.8</v>
      </c>
      <c r="X24" s="131">
        <v>6.7</v>
      </c>
      <c r="Y24" s="131">
        <v>6.6</v>
      </c>
      <c r="Z24" s="131">
        <v>6.6</v>
      </c>
      <c r="AA24" s="131">
        <v>6.4</v>
      </c>
      <c r="AB24" s="131">
        <v>6.2</v>
      </c>
      <c r="AC24" s="131">
        <v>6.1</v>
      </c>
      <c r="AD24" s="131">
        <v>5.9</v>
      </c>
      <c r="AE24" s="131">
        <v>5.7</v>
      </c>
      <c r="AF24" s="131">
        <v>5.8</v>
      </c>
      <c r="AG24" s="131">
        <v>5.8</v>
      </c>
      <c r="AH24" s="131">
        <v>5.9</v>
      </c>
      <c r="AI24" s="131">
        <v>6</v>
      </c>
      <c r="AJ24" s="131">
        <v>6.1</v>
      </c>
      <c r="AK24" s="131">
        <v>6.4</v>
      </c>
      <c r="AL24" s="131">
        <v>6.3</v>
      </c>
      <c r="AM24" s="131">
        <v>6.4</v>
      </c>
      <c r="AN24" s="131">
        <v>6.4</v>
      </c>
      <c r="AO24" s="131">
        <v>6.2</v>
      </c>
      <c r="AP24" s="131">
        <v>6.3</v>
      </c>
      <c r="AQ24" s="131">
        <v>6.1</v>
      </c>
      <c r="AR24" s="131">
        <v>6.4</v>
      </c>
      <c r="AS24" s="131">
        <v>6.4</v>
      </c>
      <c r="AT24" s="131">
        <v>6</v>
      </c>
      <c r="AU24" s="131">
        <v>5.9</v>
      </c>
      <c r="AV24" s="131">
        <v>5.7</v>
      </c>
      <c r="AW24" s="131">
        <v>5.7</v>
      </c>
      <c r="AX24" s="131">
        <v>5.8</v>
      </c>
      <c r="AY24" s="131">
        <v>5.7</v>
      </c>
      <c r="AZ24" s="131">
        <v>5.8</v>
      </c>
      <c r="BA24" s="131">
        <v>5.6</v>
      </c>
      <c r="BB24" s="131">
        <v>5.5</v>
      </c>
      <c r="BC24" s="131">
        <v>5.2</v>
      </c>
      <c r="BD24" s="131">
        <v>5.3</v>
      </c>
      <c r="BE24" s="131">
        <v>5.3</v>
      </c>
      <c r="BF24" s="131">
        <v>5.0999999999999996</v>
      </c>
      <c r="BG24" s="131">
        <v>5.0999999999999996</v>
      </c>
      <c r="BH24" s="131">
        <v>5</v>
      </c>
      <c r="BI24" s="131">
        <v>4.9000000000000004</v>
      </c>
      <c r="BJ24" s="131">
        <v>4.7</v>
      </c>
      <c r="BK24" s="131">
        <v>4.8</v>
      </c>
      <c r="BL24" s="131">
        <v>4.3</v>
      </c>
      <c r="BM24" s="388">
        <v>4.0999999999999996</v>
      </c>
      <c r="BN24" s="388">
        <v>4.0999999999999996</v>
      </c>
      <c r="BO24" s="187"/>
      <c r="BQ24" s="178"/>
      <c r="BR24" s="178"/>
      <c r="BS24" s="178"/>
      <c r="BT24" s="178"/>
      <c r="BU24" s="178"/>
      <c r="BV24" s="178"/>
      <c r="BW24" s="178"/>
      <c r="BX24" s="178"/>
      <c r="BY24" s="178"/>
      <c r="BZ24" s="178"/>
      <c r="CA24" s="178"/>
      <c r="CD24" s="187"/>
    </row>
    <row r="25" spans="1:109">
      <c r="A25" s="144" t="s">
        <v>132</v>
      </c>
      <c r="B25" s="61" t="s">
        <v>23</v>
      </c>
      <c r="C25" s="56"/>
      <c r="D25" s="69" t="s">
        <v>44</v>
      </c>
      <c r="E25" s="69" t="s">
        <v>44</v>
      </c>
      <c r="F25" s="69" t="s">
        <v>44</v>
      </c>
      <c r="G25" s="69" t="s">
        <v>44</v>
      </c>
      <c r="H25" s="69" t="s">
        <v>44</v>
      </c>
      <c r="I25" s="69" t="s">
        <v>44</v>
      </c>
      <c r="J25" s="69" t="s">
        <v>44</v>
      </c>
      <c r="K25" s="69" t="s">
        <v>44</v>
      </c>
      <c r="L25" s="69" t="s">
        <v>44</v>
      </c>
      <c r="M25" s="69" t="s">
        <v>44</v>
      </c>
      <c r="N25" s="69">
        <v>9.1999999999999993</v>
      </c>
      <c r="O25" s="69">
        <v>7.3</v>
      </c>
      <c r="P25" s="69">
        <v>7.3</v>
      </c>
      <c r="Q25" s="69">
        <v>7.6</v>
      </c>
      <c r="R25" s="69">
        <v>7.5</v>
      </c>
      <c r="S25" s="69">
        <v>8</v>
      </c>
      <c r="T25" s="69">
        <v>8</v>
      </c>
      <c r="U25" s="69">
        <v>8.3000000000000007</v>
      </c>
      <c r="V25" s="69">
        <v>9.3000000000000007</v>
      </c>
      <c r="W25" s="69">
        <v>9.4</v>
      </c>
      <c r="X25" s="69">
        <v>10.6</v>
      </c>
      <c r="Y25" s="69">
        <v>10.5</v>
      </c>
      <c r="Z25" s="69">
        <v>9.9</v>
      </c>
      <c r="AA25" s="69">
        <v>10.3</v>
      </c>
      <c r="AB25" s="69">
        <v>9.5</v>
      </c>
      <c r="AC25" s="69">
        <v>9.4</v>
      </c>
      <c r="AD25" s="69">
        <v>9.5</v>
      </c>
      <c r="AE25" s="69">
        <v>9.4</v>
      </c>
      <c r="AF25" s="69">
        <v>9.8000000000000007</v>
      </c>
      <c r="AG25" s="69">
        <v>9.6999999999999993</v>
      </c>
      <c r="AH25" s="69">
        <v>9.3000000000000007</v>
      </c>
      <c r="AI25" s="69">
        <v>9.6</v>
      </c>
      <c r="AJ25" s="69">
        <v>9.6</v>
      </c>
      <c r="AK25" s="69">
        <v>9</v>
      </c>
      <c r="AL25" s="69">
        <v>8.6999999999999993</v>
      </c>
      <c r="AM25" s="69">
        <v>8.6999999999999993</v>
      </c>
      <c r="AN25" s="69">
        <v>9.4</v>
      </c>
      <c r="AO25" s="69">
        <v>8.4</v>
      </c>
      <c r="AP25" s="69">
        <v>8</v>
      </c>
      <c r="AQ25" s="69">
        <v>7.6</v>
      </c>
      <c r="AR25" s="69">
        <v>7</v>
      </c>
      <c r="AS25" s="69">
        <v>6.7</v>
      </c>
      <c r="AT25" s="69">
        <v>6.3</v>
      </c>
      <c r="AU25" s="69">
        <v>6.3</v>
      </c>
      <c r="AV25" s="69">
        <v>6.4</v>
      </c>
      <c r="AW25" s="69">
        <v>6.5</v>
      </c>
      <c r="AX25" s="69">
        <v>6.8</v>
      </c>
      <c r="AY25" s="69">
        <v>7</v>
      </c>
      <c r="AZ25" s="69">
        <v>6.6</v>
      </c>
      <c r="BA25" s="69">
        <v>6.2</v>
      </c>
      <c r="BB25" s="69">
        <v>6.5</v>
      </c>
      <c r="BC25" s="69">
        <v>6.6</v>
      </c>
      <c r="BD25" s="69">
        <v>6.5</v>
      </c>
      <c r="BE25" s="69">
        <v>6.4</v>
      </c>
      <c r="BF25" s="69">
        <v>6</v>
      </c>
      <c r="BG25" s="69">
        <v>5.9</v>
      </c>
      <c r="BH25" s="69">
        <v>5.5</v>
      </c>
      <c r="BI25" s="69">
        <v>5.2</v>
      </c>
      <c r="BJ25" s="69">
        <v>5</v>
      </c>
      <c r="BK25" s="69">
        <v>4.7</v>
      </c>
      <c r="BL25" s="69">
        <v>4.2</v>
      </c>
      <c r="BM25" s="69">
        <v>3.8</v>
      </c>
      <c r="BN25" s="69">
        <v>3.7</v>
      </c>
      <c r="BO25" s="187"/>
      <c r="BP25" s="40"/>
      <c r="BQ25" s="179"/>
      <c r="BR25" s="179"/>
      <c r="BS25" s="179"/>
      <c r="BT25" s="179"/>
      <c r="BU25" s="179"/>
      <c r="BV25" s="179"/>
      <c r="BW25" s="179"/>
      <c r="BX25" s="179"/>
      <c r="BY25" s="179"/>
      <c r="BZ25" s="179"/>
      <c r="CA25" s="179"/>
      <c r="CB25" s="40"/>
      <c r="CC25" s="40"/>
      <c r="CD25" s="187"/>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row>
    <row r="26" spans="1:109">
      <c r="A26" s="144" t="s">
        <v>133</v>
      </c>
      <c r="B26" s="79" t="s">
        <v>4</v>
      </c>
      <c r="C26" s="11"/>
      <c r="D26" s="52">
        <v>11</v>
      </c>
      <c r="E26" s="52">
        <v>10.5</v>
      </c>
      <c r="F26" s="52">
        <v>10</v>
      </c>
      <c r="G26" s="52">
        <v>9.5</v>
      </c>
      <c r="H26" s="52">
        <v>8.6</v>
      </c>
      <c r="I26" s="52">
        <v>8.8000000000000007</v>
      </c>
      <c r="J26" s="52">
        <v>9.8000000000000007</v>
      </c>
      <c r="K26" s="52">
        <v>9.9</v>
      </c>
      <c r="L26" s="52">
        <v>10.199999999999999</v>
      </c>
      <c r="M26" s="52">
        <v>10</v>
      </c>
      <c r="N26" s="52">
        <v>10.199999999999999</v>
      </c>
      <c r="O26" s="52">
        <v>10</v>
      </c>
      <c r="P26" s="52">
        <v>9.4</v>
      </c>
      <c r="Q26" s="52">
        <v>9.8000000000000007</v>
      </c>
      <c r="R26" s="52">
        <v>10</v>
      </c>
      <c r="S26" s="52">
        <v>10</v>
      </c>
      <c r="T26" s="52">
        <v>9.6</v>
      </c>
      <c r="U26" s="52">
        <v>10</v>
      </c>
      <c r="V26" s="52">
        <v>10.199999999999999</v>
      </c>
      <c r="W26" s="52">
        <v>10</v>
      </c>
      <c r="X26" s="52">
        <v>9.8000000000000007</v>
      </c>
      <c r="Y26" s="52">
        <v>9.8000000000000007</v>
      </c>
      <c r="Z26" s="52">
        <v>9.6999999999999993</v>
      </c>
      <c r="AA26" s="52">
        <v>9.5</v>
      </c>
      <c r="AB26" s="52">
        <v>9.1999999999999993</v>
      </c>
      <c r="AC26" s="52">
        <v>9.3000000000000007</v>
      </c>
      <c r="AD26" s="52">
        <v>9.6999999999999993</v>
      </c>
      <c r="AE26" s="52">
        <v>9.6999999999999993</v>
      </c>
      <c r="AF26" s="52">
        <v>9.5</v>
      </c>
      <c r="AG26" s="52">
        <v>9.1999999999999993</v>
      </c>
      <c r="AH26" s="52">
        <v>8.9</v>
      </c>
      <c r="AI26" s="52">
        <v>8.4</v>
      </c>
      <c r="AJ26" s="52">
        <v>7.2</v>
      </c>
      <c r="AK26" s="52">
        <v>5.7</v>
      </c>
      <c r="AL26" s="52">
        <v>4.5999999999999996</v>
      </c>
      <c r="AM26" s="52">
        <v>4.5</v>
      </c>
      <c r="AN26" s="52">
        <v>3.9</v>
      </c>
      <c r="AO26" s="52">
        <v>4</v>
      </c>
      <c r="AP26" s="52">
        <v>4</v>
      </c>
      <c r="AQ26" s="52">
        <v>3.9</v>
      </c>
      <c r="AR26" s="52">
        <v>3.9</v>
      </c>
      <c r="AS26" s="52">
        <v>4</v>
      </c>
      <c r="AT26" s="52">
        <v>4.2</v>
      </c>
      <c r="AU26" s="52">
        <v>4.4000000000000004</v>
      </c>
      <c r="AV26" s="52">
        <v>4.5999999999999996</v>
      </c>
      <c r="AW26" s="52">
        <v>5.6</v>
      </c>
      <c r="AX26" s="52">
        <v>6.6</v>
      </c>
      <c r="AY26" s="52">
        <v>7</v>
      </c>
      <c r="AZ26" s="52">
        <v>5.9</v>
      </c>
      <c r="BA26" s="52">
        <v>4.5999999999999996</v>
      </c>
      <c r="BB26" s="52">
        <v>4.4000000000000004</v>
      </c>
      <c r="BC26" s="52">
        <v>5.2</v>
      </c>
      <c r="BD26" s="52">
        <v>5.5</v>
      </c>
      <c r="BE26" s="52">
        <v>5.7</v>
      </c>
      <c r="BF26" s="52">
        <v>6.3</v>
      </c>
      <c r="BG26" s="52">
        <v>6.9</v>
      </c>
      <c r="BH26" s="52">
        <v>6.6</v>
      </c>
      <c r="BI26" s="52">
        <v>6.8</v>
      </c>
      <c r="BJ26" s="52">
        <v>6.8</v>
      </c>
      <c r="BK26" s="52">
        <v>6.7</v>
      </c>
      <c r="BL26" s="52">
        <v>5.6</v>
      </c>
      <c r="BM26" s="52">
        <v>6</v>
      </c>
      <c r="BN26" s="52">
        <v>6.3</v>
      </c>
      <c r="BO26" s="187"/>
      <c r="BQ26" s="180"/>
      <c r="BR26" s="180"/>
      <c r="BS26" s="180"/>
      <c r="BT26" s="180"/>
      <c r="BU26" s="180"/>
      <c r="BV26" s="180"/>
      <c r="BW26" s="180"/>
      <c r="BX26" s="180"/>
      <c r="BY26" s="180"/>
      <c r="BZ26" s="180"/>
      <c r="CA26" s="180"/>
      <c r="CD26" s="187"/>
      <c r="DB26" s="38"/>
      <c r="DC26" s="40"/>
      <c r="DD26" s="40"/>
      <c r="DE26" s="40"/>
    </row>
    <row r="27" spans="1:109" s="38" customFormat="1">
      <c r="A27" s="144" t="s">
        <v>134</v>
      </c>
      <c r="B27" s="61" t="s">
        <v>3</v>
      </c>
      <c r="C27" s="56"/>
      <c r="D27" s="69">
        <v>10.1</v>
      </c>
      <c r="E27" s="69">
        <v>9.9</v>
      </c>
      <c r="F27" s="69">
        <v>9.3000000000000007</v>
      </c>
      <c r="G27" s="69">
        <v>8.6999999999999993</v>
      </c>
      <c r="H27" s="69">
        <v>8.6</v>
      </c>
      <c r="I27" s="69">
        <v>8.4</v>
      </c>
      <c r="J27" s="69">
        <v>9.1999999999999993</v>
      </c>
      <c r="K27" s="69">
        <v>9.1999999999999993</v>
      </c>
      <c r="L27" s="69">
        <v>9.5</v>
      </c>
      <c r="M27" s="69">
        <v>9.6999999999999993</v>
      </c>
      <c r="N27" s="69">
        <v>9.5</v>
      </c>
      <c r="O27" s="69">
        <v>9.1999999999999993</v>
      </c>
      <c r="P27" s="69">
        <v>8.8000000000000007</v>
      </c>
      <c r="Q27" s="69">
        <v>8.8000000000000007</v>
      </c>
      <c r="R27" s="69">
        <v>8.8000000000000007</v>
      </c>
      <c r="S27" s="69">
        <v>9</v>
      </c>
      <c r="T27" s="69">
        <v>9</v>
      </c>
      <c r="U27" s="69">
        <v>9.1999999999999993</v>
      </c>
      <c r="V27" s="69">
        <v>9.1</v>
      </c>
      <c r="W27" s="69">
        <v>9.4</v>
      </c>
      <c r="X27" s="69">
        <v>9.1999999999999993</v>
      </c>
      <c r="Y27" s="69">
        <v>9.1</v>
      </c>
      <c r="Z27" s="69">
        <v>9.4</v>
      </c>
      <c r="AA27" s="69">
        <v>9.6</v>
      </c>
      <c r="AB27" s="69">
        <v>9.6999999999999993</v>
      </c>
      <c r="AC27" s="69">
        <v>9.6999999999999993</v>
      </c>
      <c r="AD27" s="69">
        <v>9.9</v>
      </c>
      <c r="AE27" s="69">
        <v>9.6999999999999993</v>
      </c>
      <c r="AF27" s="69">
        <v>9.6</v>
      </c>
      <c r="AG27" s="69">
        <v>9.4</v>
      </c>
      <c r="AH27" s="69">
        <v>9.8000000000000007</v>
      </c>
      <c r="AI27" s="69">
        <v>9.1999999999999993</v>
      </c>
      <c r="AJ27" s="69">
        <v>8.1</v>
      </c>
      <c r="AK27" s="69">
        <v>6.4</v>
      </c>
      <c r="AL27" s="69">
        <v>6.4</v>
      </c>
      <c r="AM27" s="69">
        <v>6.1</v>
      </c>
      <c r="AN27" s="69">
        <v>5.7</v>
      </c>
      <c r="AO27" s="69">
        <v>5.3</v>
      </c>
      <c r="AP27" s="69">
        <v>5.2</v>
      </c>
      <c r="AQ27" s="69">
        <v>5.0999999999999996</v>
      </c>
      <c r="AR27" s="69">
        <v>4.8</v>
      </c>
      <c r="AS27" s="69">
        <v>4.5</v>
      </c>
      <c r="AT27" s="69">
        <v>4.7</v>
      </c>
      <c r="AU27" s="69">
        <v>5</v>
      </c>
      <c r="AV27" s="69">
        <v>5.7</v>
      </c>
      <c r="AW27" s="69">
        <v>6</v>
      </c>
      <c r="AX27" s="69">
        <v>6.5</v>
      </c>
      <c r="AY27" s="69">
        <v>7.1</v>
      </c>
      <c r="AZ27" s="69">
        <v>7.5</v>
      </c>
      <c r="BA27" s="69">
        <v>6.5</v>
      </c>
      <c r="BB27" s="69">
        <v>6</v>
      </c>
      <c r="BC27" s="69">
        <v>6.3</v>
      </c>
      <c r="BD27" s="69">
        <v>6.9</v>
      </c>
      <c r="BE27" s="69">
        <v>6.9</v>
      </c>
      <c r="BF27" s="69">
        <v>7.6</v>
      </c>
      <c r="BG27" s="69">
        <v>7.6</v>
      </c>
      <c r="BH27" s="69">
        <v>7.4</v>
      </c>
      <c r="BI27" s="69">
        <v>7.5</v>
      </c>
      <c r="BJ27" s="69">
        <v>7</v>
      </c>
      <c r="BK27" s="69">
        <v>7</v>
      </c>
      <c r="BL27" s="69">
        <v>5.5</v>
      </c>
      <c r="BM27" s="69">
        <v>6</v>
      </c>
      <c r="BN27" s="69">
        <v>5.7</v>
      </c>
      <c r="BO27" s="187"/>
      <c r="BP27" s="29"/>
      <c r="BQ27" s="180"/>
      <c r="BR27" s="180"/>
      <c r="BS27" s="180"/>
      <c r="BT27" s="180"/>
      <c r="BU27" s="180"/>
      <c r="BV27" s="180"/>
      <c r="BW27" s="180"/>
      <c r="BX27" s="180"/>
      <c r="BY27" s="180"/>
      <c r="BZ27" s="180"/>
      <c r="CA27" s="180"/>
      <c r="CB27" s="29"/>
      <c r="CC27" s="29"/>
      <c r="CD27" s="187"/>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row>
    <row r="28" spans="1:109">
      <c r="A28" s="144" t="s">
        <v>135</v>
      </c>
      <c r="B28" s="79" t="s">
        <v>22</v>
      </c>
      <c r="C28" s="11"/>
      <c r="D28" s="52">
        <v>7.1</v>
      </c>
      <c r="E28" s="52">
        <v>7</v>
      </c>
      <c r="F28" s="52">
        <v>6.7</v>
      </c>
      <c r="G28" s="52">
        <v>6.6</v>
      </c>
      <c r="H28" s="52">
        <v>6.6</v>
      </c>
      <c r="I28" s="52">
        <v>6.6</v>
      </c>
      <c r="J28" s="52">
        <v>6.6</v>
      </c>
      <c r="K28" s="52">
        <v>6.4</v>
      </c>
      <c r="L28" s="52">
        <v>6.5</v>
      </c>
      <c r="M28" s="52">
        <v>6.6</v>
      </c>
      <c r="N28" s="52">
        <v>6.4</v>
      </c>
      <c r="O28" s="52">
        <v>6.5</v>
      </c>
      <c r="P28" s="52">
        <v>6.6</v>
      </c>
      <c r="Q28" s="52">
        <v>5.9</v>
      </c>
      <c r="R28" s="52">
        <v>6.2</v>
      </c>
      <c r="S28" s="52">
        <v>6.8</v>
      </c>
      <c r="T28" s="52">
        <v>6.2</v>
      </c>
      <c r="U28" s="52">
        <v>6.2</v>
      </c>
      <c r="V28" s="52">
        <v>5.9</v>
      </c>
      <c r="W28" s="52">
        <v>5.7</v>
      </c>
      <c r="X28" s="52">
        <v>5.9</v>
      </c>
      <c r="Y28" s="52">
        <v>5.4</v>
      </c>
      <c r="Z28" s="52">
        <v>5.7</v>
      </c>
      <c r="AA28" s="52">
        <v>5.4</v>
      </c>
      <c r="AB28" s="52">
        <v>5.4</v>
      </c>
      <c r="AC28" s="52">
        <v>5.4</v>
      </c>
      <c r="AD28" s="52">
        <v>5.0999999999999996</v>
      </c>
      <c r="AE28" s="52">
        <v>5.3</v>
      </c>
      <c r="AF28" s="52">
        <v>5.6</v>
      </c>
      <c r="AG28" s="52">
        <v>5.8</v>
      </c>
      <c r="AH28" s="52">
        <v>6.1</v>
      </c>
      <c r="AI28" s="52">
        <v>6.7</v>
      </c>
      <c r="AJ28" s="52">
        <v>6.4</v>
      </c>
      <c r="AK28" s="52">
        <v>6</v>
      </c>
      <c r="AL28" s="52">
        <v>5.8</v>
      </c>
      <c r="AM28" s="52">
        <v>5.0999999999999996</v>
      </c>
      <c r="AN28" s="52">
        <v>5.0999999999999996</v>
      </c>
      <c r="AO28" s="52">
        <v>4.8</v>
      </c>
      <c r="AP28" s="52">
        <v>4.8</v>
      </c>
      <c r="AQ28" s="52">
        <v>4.9000000000000004</v>
      </c>
      <c r="AR28" s="52">
        <v>4.9000000000000004</v>
      </c>
      <c r="AS28" s="52">
        <v>4.5</v>
      </c>
      <c r="AT28" s="52">
        <v>4.5</v>
      </c>
      <c r="AU28" s="52">
        <v>4.4000000000000004</v>
      </c>
      <c r="AV28" s="52">
        <v>4.4000000000000004</v>
      </c>
      <c r="AW28" s="52">
        <v>4.4000000000000004</v>
      </c>
      <c r="AX28" s="52">
        <v>4.0999999999999996</v>
      </c>
      <c r="AY28" s="52">
        <v>4.0999999999999996</v>
      </c>
      <c r="AZ28" s="52">
        <v>3.9</v>
      </c>
      <c r="BA28" s="52">
        <v>3.5</v>
      </c>
      <c r="BB28" s="52">
        <v>3.5</v>
      </c>
      <c r="BC28" s="52">
        <v>3.3</v>
      </c>
      <c r="BD28" s="52">
        <v>3.4</v>
      </c>
      <c r="BE28" s="52">
        <v>3.2</v>
      </c>
      <c r="BF28" s="52">
        <v>3</v>
      </c>
      <c r="BG28" s="52">
        <v>3.6</v>
      </c>
      <c r="BH28" s="52">
        <v>3.2</v>
      </c>
      <c r="BI28" s="52">
        <v>3.2</v>
      </c>
      <c r="BJ28" s="52">
        <v>3.1</v>
      </c>
      <c r="BK28" s="52">
        <v>3.5</v>
      </c>
      <c r="BL28" s="52">
        <v>2.9</v>
      </c>
      <c r="BM28" s="52">
        <v>3</v>
      </c>
      <c r="BN28" s="52">
        <v>3.8</v>
      </c>
      <c r="BO28" s="187"/>
      <c r="BP28" s="40"/>
      <c r="BQ28" s="179"/>
      <c r="BR28" s="179"/>
      <c r="BS28" s="179"/>
      <c r="BT28" s="179"/>
      <c r="BU28" s="179"/>
      <c r="BV28" s="179"/>
      <c r="BW28" s="179"/>
      <c r="BX28" s="179"/>
      <c r="BY28" s="179"/>
      <c r="BZ28" s="179"/>
      <c r="CA28" s="179"/>
      <c r="CB28" s="40"/>
      <c r="CC28" s="40"/>
      <c r="CD28" s="187"/>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row>
    <row r="29" spans="1:109">
      <c r="A29" s="144" t="s">
        <v>136</v>
      </c>
      <c r="B29" s="61" t="s">
        <v>21</v>
      </c>
      <c r="C29" s="56"/>
      <c r="D29" s="55" t="s">
        <v>44</v>
      </c>
      <c r="E29" s="55" t="s">
        <v>44</v>
      </c>
      <c r="F29" s="55" t="s">
        <v>44</v>
      </c>
      <c r="G29" s="55" t="s">
        <v>44</v>
      </c>
      <c r="H29" s="55" t="s">
        <v>44</v>
      </c>
      <c r="I29" s="55" t="s">
        <v>44</v>
      </c>
      <c r="J29" s="55" t="s">
        <v>44</v>
      </c>
      <c r="K29" s="55" t="s">
        <v>44</v>
      </c>
      <c r="L29" s="55" t="s">
        <v>44</v>
      </c>
      <c r="M29" s="55" t="s">
        <v>44</v>
      </c>
      <c r="N29" s="55">
        <v>7</v>
      </c>
      <c r="O29" s="55" t="s">
        <v>44</v>
      </c>
      <c r="P29" s="55" t="s">
        <v>44</v>
      </c>
      <c r="Q29" s="55" t="s">
        <v>44</v>
      </c>
      <c r="R29" s="55" t="s">
        <v>44</v>
      </c>
      <c r="S29" s="55" t="s">
        <v>44</v>
      </c>
      <c r="T29" s="55" t="s">
        <v>44</v>
      </c>
      <c r="U29" s="55" t="s">
        <v>44</v>
      </c>
      <c r="V29" s="55" t="s">
        <v>44</v>
      </c>
      <c r="W29" s="55" t="s">
        <v>44</v>
      </c>
      <c r="X29" s="55">
        <v>7.1</v>
      </c>
      <c r="Y29" s="55" t="s">
        <v>44</v>
      </c>
      <c r="Z29" s="55" t="s">
        <v>44</v>
      </c>
      <c r="AA29" s="55" t="s">
        <v>44</v>
      </c>
      <c r="AB29" s="55" t="s">
        <v>44</v>
      </c>
      <c r="AC29" s="55">
        <v>7.4082999999999997</v>
      </c>
      <c r="AD29" s="55" t="s">
        <v>44</v>
      </c>
      <c r="AE29" s="55" t="s">
        <v>44</v>
      </c>
      <c r="AF29" s="55" t="s">
        <v>44</v>
      </c>
      <c r="AG29" s="55" t="s">
        <v>44</v>
      </c>
      <c r="AH29" s="55">
        <v>7.4</v>
      </c>
      <c r="AI29" s="55">
        <v>7.4</v>
      </c>
      <c r="AJ29" s="55">
        <v>7.4</v>
      </c>
      <c r="AK29" s="55">
        <v>7.2</v>
      </c>
      <c r="AL29" s="69">
        <v>7.2</v>
      </c>
      <c r="AM29" s="69">
        <v>7</v>
      </c>
      <c r="AN29" s="69">
        <v>7</v>
      </c>
      <c r="AO29" s="69">
        <v>7.3</v>
      </c>
      <c r="AP29" s="69">
        <v>7.2</v>
      </c>
      <c r="AQ29" s="69">
        <v>7.5</v>
      </c>
      <c r="AR29" s="69">
        <v>7</v>
      </c>
      <c r="AS29" s="69">
        <v>6.5</v>
      </c>
      <c r="AT29" s="69">
        <v>6</v>
      </c>
      <c r="AU29" s="69">
        <v>5.6</v>
      </c>
      <c r="AV29" s="69">
        <v>5.7</v>
      </c>
      <c r="AW29" s="69">
        <v>5.6</v>
      </c>
      <c r="AX29" s="69">
        <v>5.4</v>
      </c>
      <c r="AY29" s="69">
        <v>5.4</v>
      </c>
      <c r="AZ29" s="69">
        <v>5.3</v>
      </c>
      <c r="BA29" s="69">
        <v>5</v>
      </c>
      <c r="BB29" s="69">
        <v>5</v>
      </c>
      <c r="BC29" s="69">
        <v>4.9000000000000004</v>
      </c>
      <c r="BD29" s="69">
        <v>5</v>
      </c>
      <c r="BE29" s="69">
        <v>4.9000000000000004</v>
      </c>
      <c r="BF29" s="69">
        <v>4.8</v>
      </c>
      <c r="BG29" s="69">
        <v>4.5999999999999996</v>
      </c>
      <c r="BH29" s="69">
        <v>4.4000000000000004</v>
      </c>
      <c r="BI29" s="69">
        <v>4.2</v>
      </c>
      <c r="BJ29" s="69">
        <v>4</v>
      </c>
      <c r="BK29" s="69">
        <v>4</v>
      </c>
      <c r="BL29" s="69">
        <v>2.7</v>
      </c>
      <c r="BM29" s="69">
        <v>3.6</v>
      </c>
      <c r="BN29" s="69">
        <v>3.9</v>
      </c>
      <c r="BO29" s="187"/>
      <c r="BP29" s="40"/>
      <c r="BQ29" s="179"/>
      <c r="BR29" s="179"/>
      <c r="BS29" s="179"/>
      <c r="BT29" s="179"/>
      <c r="BU29" s="179"/>
      <c r="BV29" s="179"/>
      <c r="BW29" s="179"/>
      <c r="BX29" s="179"/>
      <c r="BY29" s="179"/>
      <c r="BZ29" s="179"/>
      <c r="CA29" s="179"/>
      <c r="CB29" s="40"/>
      <c r="CC29" s="40"/>
      <c r="CD29" s="187"/>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row>
    <row r="30" spans="1:109">
      <c r="A30" s="144" t="s">
        <v>137</v>
      </c>
      <c r="B30" s="79" t="s">
        <v>20</v>
      </c>
      <c r="C30" s="11"/>
      <c r="D30" s="52">
        <v>7.7</v>
      </c>
      <c r="E30" s="52">
        <v>7.9</v>
      </c>
      <c r="F30" s="52">
        <v>7.9</v>
      </c>
      <c r="G30" s="52">
        <v>7.9</v>
      </c>
      <c r="H30" s="52">
        <v>8.5</v>
      </c>
      <c r="I30" s="52">
        <v>8.8000000000000007</v>
      </c>
      <c r="J30" s="52">
        <v>9</v>
      </c>
      <c r="K30" s="52">
        <v>9.1</v>
      </c>
      <c r="L30" s="52">
        <v>9.1999999999999993</v>
      </c>
      <c r="M30" s="52">
        <v>9.1</v>
      </c>
      <c r="N30" s="52">
        <v>9.5</v>
      </c>
      <c r="O30" s="52">
        <v>9.3000000000000007</v>
      </c>
      <c r="P30" s="52">
        <v>8.8000000000000007</v>
      </c>
      <c r="Q30" s="52">
        <v>8</v>
      </c>
      <c r="R30" s="52">
        <v>8.1</v>
      </c>
      <c r="S30" s="52">
        <v>7.3</v>
      </c>
      <c r="T30" s="52">
        <v>7</v>
      </c>
      <c r="U30" s="52">
        <v>6.7</v>
      </c>
      <c r="V30" s="52">
        <v>6.4</v>
      </c>
      <c r="W30" s="52">
        <v>6.1</v>
      </c>
      <c r="X30" s="52">
        <v>6.4</v>
      </c>
      <c r="Y30" s="52">
        <v>6</v>
      </c>
      <c r="Z30" s="52">
        <v>5.8</v>
      </c>
      <c r="AA30" s="52">
        <v>5.4</v>
      </c>
      <c r="AB30" s="52">
        <v>5.6</v>
      </c>
      <c r="AC30" s="52">
        <v>5.7</v>
      </c>
      <c r="AD30" s="52">
        <v>6</v>
      </c>
      <c r="AE30" s="52">
        <v>6</v>
      </c>
      <c r="AF30" s="52">
        <v>6</v>
      </c>
      <c r="AG30" s="52">
        <v>6.2</v>
      </c>
      <c r="AH30" s="52">
        <v>6.5</v>
      </c>
      <c r="AI30" s="52">
        <v>6.4</v>
      </c>
      <c r="AJ30" s="52">
        <v>6.2</v>
      </c>
      <c r="AK30" s="52">
        <v>5.8</v>
      </c>
      <c r="AL30" s="52">
        <v>5.4</v>
      </c>
      <c r="AM30" s="52">
        <v>5.3</v>
      </c>
      <c r="AN30" s="52">
        <v>5.5</v>
      </c>
      <c r="AO30" s="52">
        <v>5.4</v>
      </c>
      <c r="AP30" s="52">
        <v>5.5</v>
      </c>
      <c r="AQ30" s="52">
        <v>5.7</v>
      </c>
      <c r="AR30" s="52">
        <v>5.5</v>
      </c>
      <c r="AS30" s="52">
        <v>5</v>
      </c>
      <c r="AT30" s="52">
        <v>5.2</v>
      </c>
      <c r="AU30" s="52">
        <v>4.9000000000000004</v>
      </c>
      <c r="AV30" s="52">
        <v>4.4000000000000004</v>
      </c>
      <c r="AW30" s="52">
        <v>4.4000000000000004</v>
      </c>
      <c r="AX30" s="52">
        <v>4.4000000000000004</v>
      </c>
      <c r="AY30" s="52">
        <v>4.3</v>
      </c>
      <c r="AZ30" s="52">
        <v>4.5</v>
      </c>
      <c r="BA30" s="52">
        <v>4.4000000000000004</v>
      </c>
      <c r="BB30" s="52">
        <v>4.5</v>
      </c>
      <c r="BC30" s="52">
        <v>4.3</v>
      </c>
      <c r="BD30" s="52">
        <v>4.2</v>
      </c>
      <c r="BE30" s="52">
        <v>3.8</v>
      </c>
      <c r="BF30" s="52">
        <v>3.9</v>
      </c>
      <c r="BG30" s="52">
        <v>3.8</v>
      </c>
      <c r="BH30" s="52">
        <v>3.8</v>
      </c>
      <c r="BI30" s="52">
        <v>3.8</v>
      </c>
      <c r="BJ30" s="52">
        <v>3.7</v>
      </c>
      <c r="BK30" s="52">
        <v>3.7</v>
      </c>
      <c r="BL30" s="52">
        <v>2.9</v>
      </c>
      <c r="BM30" s="52">
        <v>3.2</v>
      </c>
      <c r="BN30" s="52">
        <v>4</v>
      </c>
      <c r="BO30" s="187"/>
      <c r="BP30" s="40"/>
      <c r="BQ30" s="179"/>
      <c r="BR30" s="179"/>
      <c r="BS30" s="179"/>
      <c r="BT30" s="179"/>
      <c r="BU30" s="179"/>
      <c r="BV30" s="179"/>
      <c r="BW30" s="179"/>
      <c r="BX30" s="179"/>
      <c r="BY30" s="179"/>
      <c r="BZ30" s="179"/>
      <c r="CA30" s="179"/>
      <c r="CB30" s="40"/>
      <c r="CC30" s="40"/>
      <c r="CD30" s="187"/>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row>
    <row r="31" spans="1:109">
      <c r="A31" s="144" t="s">
        <v>138</v>
      </c>
      <c r="B31" s="61" t="s">
        <v>19</v>
      </c>
      <c r="C31" s="56">
        <v>2</v>
      </c>
      <c r="D31" s="55">
        <v>7.95</v>
      </c>
      <c r="E31" s="55">
        <v>8.01</v>
      </c>
      <c r="F31" s="55">
        <v>7.88</v>
      </c>
      <c r="G31" s="55">
        <v>7.83</v>
      </c>
      <c r="H31" s="55">
        <v>8</v>
      </c>
      <c r="I31" s="55">
        <v>8.24</v>
      </c>
      <c r="J31" s="55">
        <v>8.5500000000000007</v>
      </c>
      <c r="K31" s="55">
        <v>8.6199999999999992</v>
      </c>
      <c r="L31" s="55">
        <v>8.74</v>
      </c>
      <c r="M31" s="55">
        <v>8.98</v>
      </c>
      <c r="N31" s="55">
        <v>9.1999999999999993</v>
      </c>
      <c r="O31" s="55">
        <v>9.5</v>
      </c>
      <c r="P31" s="55">
        <v>9.2200000000000006</v>
      </c>
      <c r="Q31" s="55">
        <v>8.83</v>
      </c>
      <c r="R31" s="55">
        <v>8.35</v>
      </c>
      <c r="S31" s="55">
        <v>7.91</v>
      </c>
      <c r="T31" s="55">
        <v>7.71</v>
      </c>
      <c r="U31" s="55">
        <v>7.19</v>
      </c>
      <c r="V31" s="55">
        <v>7.13</v>
      </c>
      <c r="W31" s="55">
        <v>7.12</v>
      </c>
      <c r="X31" s="55">
        <v>7.31</v>
      </c>
      <c r="Y31" s="55">
        <v>7.5</v>
      </c>
      <c r="Z31" s="55">
        <v>8.0299999999999994</v>
      </c>
      <c r="AA31" s="55">
        <v>7.66</v>
      </c>
      <c r="AB31" s="55">
        <v>7.77</v>
      </c>
      <c r="AC31" s="55">
        <v>7.54</v>
      </c>
      <c r="AD31" s="55">
        <v>7.34</v>
      </c>
      <c r="AE31" s="55">
        <v>7.4</v>
      </c>
      <c r="AF31" s="55">
        <v>7.08</v>
      </c>
      <c r="AG31" s="55">
        <v>6.83</v>
      </c>
      <c r="AH31" s="55">
        <v>6.94</v>
      </c>
      <c r="AI31" s="55">
        <v>6.25</v>
      </c>
      <c r="AJ31" s="55">
        <v>5.89</v>
      </c>
      <c r="AK31" s="55">
        <v>5.82</v>
      </c>
      <c r="AL31" s="55">
        <v>5.68</v>
      </c>
      <c r="AM31" s="55">
        <v>5.56</v>
      </c>
      <c r="AN31" s="55">
        <v>5.48</v>
      </c>
      <c r="AO31" s="55">
        <v>5.27</v>
      </c>
      <c r="AP31" s="55">
        <v>5.28</v>
      </c>
      <c r="AQ31" s="55">
        <v>5.49</v>
      </c>
      <c r="AR31" s="55">
        <v>5.35</v>
      </c>
      <c r="AS31" s="55">
        <v>5.14</v>
      </c>
      <c r="AT31" s="55">
        <v>5.24</v>
      </c>
      <c r="AU31" s="55">
        <v>5.32</v>
      </c>
      <c r="AV31" s="55">
        <v>5.14</v>
      </c>
      <c r="AW31" s="55">
        <v>5.01</v>
      </c>
      <c r="AX31" s="55">
        <v>5.21</v>
      </c>
      <c r="AY31" s="55">
        <v>5.16</v>
      </c>
      <c r="AZ31" s="55">
        <v>5.23</v>
      </c>
      <c r="BA31" s="55">
        <v>5.09</v>
      </c>
      <c r="BB31" s="55">
        <v>4.87</v>
      </c>
      <c r="BC31" s="55">
        <v>4.68</v>
      </c>
      <c r="BD31" s="55">
        <v>4.72</v>
      </c>
      <c r="BE31" s="55">
        <v>4.3499999999999996</v>
      </c>
      <c r="BF31" s="55">
        <v>4.4400000000000004</v>
      </c>
      <c r="BG31" s="55">
        <v>4.2777194073375213</v>
      </c>
      <c r="BH31" s="55">
        <v>4.2442738484772216</v>
      </c>
      <c r="BI31" s="55">
        <v>4.2566107624241178</v>
      </c>
      <c r="BJ31" s="55">
        <v>4.2396583825791305</v>
      </c>
      <c r="BK31" s="55">
        <v>3.7836282834695658</v>
      </c>
      <c r="BL31" s="55">
        <v>3.2858765470781761</v>
      </c>
      <c r="BM31" s="55">
        <v>3.06</v>
      </c>
      <c r="BN31" s="55">
        <v>3.68</v>
      </c>
      <c r="BO31" s="187"/>
      <c r="BP31" s="40"/>
      <c r="BQ31" s="179"/>
      <c r="BR31" s="179"/>
      <c r="BS31" s="179"/>
      <c r="BT31" s="179"/>
      <c r="BU31" s="179"/>
      <c r="BV31" s="179"/>
      <c r="BW31" s="179"/>
      <c r="BX31" s="179"/>
      <c r="BY31" s="179"/>
      <c r="BZ31" s="179"/>
      <c r="CA31" s="179"/>
      <c r="CB31" s="40"/>
      <c r="CC31" s="40"/>
      <c r="CD31" s="187"/>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row>
    <row r="32" spans="1:109">
      <c r="A32" s="144" t="s">
        <v>139</v>
      </c>
      <c r="B32" s="79" t="s">
        <v>18</v>
      </c>
      <c r="C32" s="11"/>
      <c r="D32" s="52">
        <v>6.6</v>
      </c>
      <c r="E32" s="52">
        <v>6.7</v>
      </c>
      <c r="F32" s="52">
        <v>6.6</v>
      </c>
      <c r="G32" s="52">
        <v>6.6</v>
      </c>
      <c r="H32" s="52">
        <v>6.8</v>
      </c>
      <c r="I32" s="52">
        <v>6.5</v>
      </c>
      <c r="J32" s="52">
        <v>7.4</v>
      </c>
      <c r="K32" s="52">
        <v>7.7</v>
      </c>
      <c r="L32" s="52">
        <v>7.7</v>
      </c>
      <c r="M32" s="52">
        <v>7.7</v>
      </c>
      <c r="N32" s="52">
        <v>7.6</v>
      </c>
      <c r="O32" s="52">
        <v>7.6</v>
      </c>
      <c r="P32" s="52">
        <v>7.3</v>
      </c>
      <c r="Q32" s="52">
        <v>7.1</v>
      </c>
      <c r="R32" s="52">
        <v>6.9</v>
      </c>
      <c r="S32" s="52">
        <v>6.5</v>
      </c>
      <c r="T32" s="52">
        <v>6.3</v>
      </c>
      <c r="U32" s="52">
        <v>5.9</v>
      </c>
      <c r="V32" s="52">
        <v>5.8</v>
      </c>
      <c r="W32" s="52">
        <v>5.7</v>
      </c>
      <c r="X32" s="52">
        <v>5.4</v>
      </c>
      <c r="Y32" s="52">
        <v>5.4</v>
      </c>
      <c r="Z32" s="52">
        <v>5.3</v>
      </c>
      <c r="AA32" s="52">
        <v>5</v>
      </c>
      <c r="AB32" s="52">
        <v>5</v>
      </c>
      <c r="AC32" s="52">
        <v>4.9000000000000004</v>
      </c>
      <c r="AD32" s="52">
        <v>4.9000000000000004</v>
      </c>
      <c r="AE32" s="52">
        <v>5</v>
      </c>
      <c r="AF32" s="52">
        <v>5.2</v>
      </c>
      <c r="AG32" s="52">
        <v>4.9000000000000004</v>
      </c>
      <c r="AH32" s="52">
        <v>5.2</v>
      </c>
      <c r="AI32" s="52">
        <v>4.7</v>
      </c>
      <c r="AJ32" s="52">
        <v>4.5</v>
      </c>
      <c r="AK32" s="52">
        <v>4.5</v>
      </c>
      <c r="AL32" s="52">
        <v>4.8</v>
      </c>
      <c r="AM32" s="52">
        <v>5</v>
      </c>
      <c r="AN32" s="52">
        <v>5.3</v>
      </c>
      <c r="AO32" s="52">
        <v>5.4</v>
      </c>
      <c r="AP32" s="52">
        <v>5.3</v>
      </c>
      <c r="AQ32" s="52">
        <v>5.3</v>
      </c>
      <c r="AR32" s="52">
        <v>5</v>
      </c>
      <c r="AS32" s="52">
        <v>4.4000000000000004</v>
      </c>
      <c r="AT32" s="52">
        <v>4.5</v>
      </c>
      <c r="AU32" s="52">
        <v>4.9000000000000004</v>
      </c>
      <c r="AV32" s="52">
        <v>4.0999999999999996</v>
      </c>
      <c r="AW32" s="52">
        <v>4.8</v>
      </c>
      <c r="AX32" s="52">
        <v>4.7</v>
      </c>
      <c r="AY32" s="52">
        <v>5</v>
      </c>
      <c r="AZ32" s="52">
        <v>5.3</v>
      </c>
      <c r="BA32" s="52">
        <v>5</v>
      </c>
      <c r="BB32" s="52">
        <v>4.8</v>
      </c>
      <c r="BC32" s="52">
        <v>4.5999999999999996</v>
      </c>
      <c r="BD32" s="52">
        <v>4.8</v>
      </c>
      <c r="BE32" s="52">
        <v>4.7</v>
      </c>
      <c r="BF32" s="52">
        <v>4.5999999999999996</v>
      </c>
      <c r="BG32" s="52">
        <v>4.5</v>
      </c>
      <c r="BH32" s="52">
        <v>4.5</v>
      </c>
      <c r="BI32" s="52">
        <v>4.4000000000000004</v>
      </c>
      <c r="BJ32" s="52">
        <v>4.3</v>
      </c>
      <c r="BK32" s="52">
        <v>4</v>
      </c>
      <c r="BL32" s="52">
        <v>3.3</v>
      </c>
      <c r="BM32" s="52">
        <v>2.96</v>
      </c>
      <c r="BN32" s="52">
        <v>3.8</v>
      </c>
      <c r="BO32" s="187"/>
      <c r="BP32" s="40"/>
      <c r="BQ32" s="179"/>
      <c r="BR32" s="179"/>
      <c r="BS32" s="179"/>
      <c r="BT32" s="179"/>
      <c r="BU32" s="179"/>
      <c r="BV32" s="179"/>
      <c r="BW32" s="179"/>
      <c r="BX32" s="179"/>
      <c r="BY32" s="179"/>
      <c r="BZ32" s="179"/>
      <c r="CA32" s="179"/>
      <c r="CB32" s="40"/>
      <c r="CC32" s="40"/>
      <c r="CD32" s="187"/>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row>
    <row r="33" spans="1:109">
      <c r="A33" s="144" t="s">
        <v>140</v>
      </c>
      <c r="B33" s="61" t="s">
        <v>17</v>
      </c>
      <c r="C33" s="56"/>
      <c r="D33" s="69">
        <v>8.1999999999999993</v>
      </c>
      <c r="E33" s="69">
        <v>7.9</v>
      </c>
      <c r="F33" s="69">
        <v>7.5</v>
      </c>
      <c r="G33" s="69">
        <v>7.2</v>
      </c>
      <c r="H33" s="69">
        <v>7.4</v>
      </c>
      <c r="I33" s="69">
        <v>6.4</v>
      </c>
      <c r="J33" s="69">
        <v>7.1</v>
      </c>
      <c r="K33" s="69">
        <v>7.4</v>
      </c>
      <c r="L33" s="69">
        <v>8</v>
      </c>
      <c r="M33" s="69">
        <v>8.3000000000000007</v>
      </c>
      <c r="N33" s="69">
        <v>8.6</v>
      </c>
      <c r="O33" s="69">
        <v>8.9</v>
      </c>
      <c r="P33" s="69">
        <v>9.3000000000000007</v>
      </c>
      <c r="Q33" s="69">
        <v>9.4</v>
      </c>
      <c r="R33" s="69">
        <v>9.5</v>
      </c>
      <c r="S33" s="69">
        <v>9.6999999999999993</v>
      </c>
      <c r="T33" s="69">
        <v>9.5</v>
      </c>
      <c r="U33" s="69">
        <v>9.4</v>
      </c>
      <c r="V33" s="69">
        <v>9.4</v>
      </c>
      <c r="W33" s="69">
        <v>9</v>
      </c>
      <c r="X33" s="69">
        <v>8.6</v>
      </c>
      <c r="Y33" s="69">
        <v>9</v>
      </c>
      <c r="Z33" s="69">
        <v>8.6999999999999993</v>
      </c>
      <c r="AA33" s="69">
        <v>8.4</v>
      </c>
      <c r="AB33" s="69">
        <v>7.7</v>
      </c>
      <c r="AC33" s="69">
        <v>7.2</v>
      </c>
      <c r="AD33" s="69">
        <v>6.9</v>
      </c>
      <c r="AE33" s="69">
        <v>6.7</v>
      </c>
      <c r="AF33" s="69">
        <v>6.5</v>
      </c>
      <c r="AG33" s="69">
        <v>6.7</v>
      </c>
      <c r="AH33" s="69">
        <v>6.7</v>
      </c>
      <c r="AI33" s="69">
        <v>6.1</v>
      </c>
      <c r="AJ33" s="69">
        <v>5.7</v>
      </c>
      <c r="AK33" s="69">
        <v>5.4</v>
      </c>
      <c r="AL33" s="69">
        <v>5.4</v>
      </c>
      <c r="AM33" s="69">
        <v>5.4</v>
      </c>
      <c r="AN33" s="69">
        <v>5.3</v>
      </c>
      <c r="AO33" s="69">
        <v>5.3</v>
      </c>
      <c r="AP33" s="69">
        <v>5.4</v>
      </c>
      <c r="AQ33" s="69">
        <v>5.7</v>
      </c>
      <c r="AR33" s="69">
        <v>5.5</v>
      </c>
      <c r="AS33" s="69">
        <v>5.0999999999999996</v>
      </c>
      <c r="AT33" s="69">
        <v>5</v>
      </c>
      <c r="AU33" s="69">
        <v>5.0999999999999996</v>
      </c>
      <c r="AV33" s="69">
        <v>5</v>
      </c>
      <c r="AW33" s="69">
        <v>5.4</v>
      </c>
      <c r="AX33" s="69">
        <v>5.9</v>
      </c>
      <c r="AY33" s="69">
        <v>6.5</v>
      </c>
      <c r="AZ33" s="69">
        <v>6.8</v>
      </c>
      <c r="BA33" s="69">
        <v>6.6</v>
      </c>
      <c r="BB33" s="69">
        <v>6</v>
      </c>
      <c r="BC33" s="69">
        <v>5.4</v>
      </c>
      <c r="BD33" s="69">
        <v>5.4</v>
      </c>
      <c r="BE33" s="69">
        <v>4.7</v>
      </c>
      <c r="BF33" s="69">
        <v>5</v>
      </c>
      <c r="BG33" s="69">
        <v>5</v>
      </c>
      <c r="BH33" s="69">
        <v>5.0999999999999996</v>
      </c>
      <c r="BI33" s="69">
        <v>5.0999999999999996</v>
      </c>
      <c r="BJ33" s="69">
        <v>5.0999999999999996</v>
      </c>
      <c r="BK33" s="69">
        <v>4.8</v>
      </c>
      <c r="BL33" s="69">
        <v>3.8</v>
      </c>
      <c r="BM33" s="69">
        <v>4.5</v>
      </c>
      <c r="BN33" s="69">
        <v>4.2</v>
      </c>
      <c r="BO33" s="187"/>
      <c r="BP33" s="40"/>
      <c r="BQ33" s="179"/>
      <c r="BR33" s="179"/>
      <c r="BS33" s="179"/>
      <c r="BT33" s="179"/>
      <c r="BU33" s="179"/>
      <c r="BV33" s="179"/>
      <c r="BW33" s="179"/>
      <c r="BX33" s="179"/>
      <c r="BY33" s="179"/>
      <c r="BZ33" s="179"/>
      <c r="CA33" s="179"/>
      <c r="CB33" s="40"/>
      <c r="CC33" s="40"/>
      <c r="CD33" s="187"/>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row>
    <row r="34" spans="1:109">
      <c r="A34" s="144" t="s">
        <v>141</v>
      </c>
      <c r="B34" s="79" t="s">
        <v>16</v>
      </c>
      <c r="C34" s="11"/>
      <c r="D34" s="52">
        <v>7.8</v>
      </c>
      <c r="E34" s="52">
        <v>8.8000000000000007</v>
      </c>
      <c r="F34" s="52">
        <v>7.9</v>
      </c>
      <c r="G34" s="52">
        <v>7.9</v>
      </c>
      <c r="H34" s="52">
        <v>8.1</v>
      </c>
      <c r="I34" s="52">
        <v>8.4</v>
      </c>
      <c r="J34" s="52">
        <v>8.6</v>
      </c>
      <c r="K34" s="52">
        <v>8.9</v>
      </c>
      <c r="L34" s="52">
        <v>8.6999999999999993</v>
      </c>
      <c r="M34" s="52">
        <v>9</v>
      </c>
      <c r="N34" s="52">
        <v>9.4</v>
      </c>
      <c r="O34" s="52">
        <v>9.6999999999999993</v>
      </c>
      <c r="P34" s="52">
        <v>9</v>
      </c>
      <c r="Q34" s="52">
        <v>9.8000000000000007</v>
      </c>
      <c r="R34" s="52">
        <v>9.3000000000000007</v>
      </c>
      <c r="S34" s="52">
        <v>11.3</v>
      </c>
      <c r="T34" s="52">
        <v>10.9</v>
      </c>
      <c r="U34" s="52">
        <v>9.6999999999999993</v>
      </c>
      <c r="V34" s="52">
        <v>8.5</v>
      </c>
      <c r="W34" s="52">
        <v>8.3000000000000007</v>
      </c>
      <c r="X34" s="52">
        <v>7.4</v>
      </c>
      <c r="Y34" s="52">
        <v>7.7</v>
      </c>
      <c r="Z34" s="52">
        <v>7.4</v>
      </c>
      <c r="AA34" s="52">
        <v>7.5</v>
      </c>
      <c r="AB34" s="52">
        <v>7</v>
      </c>
      <c r="AC34" s="52">
        <v>6.8</v>
      </c>
      <c r="AD34" s="52">
        <v>6.9</v>
      </c>
      <c r="AE34" s="52">
        <v>7.1</v>
      </c>
      <c r="AF34" s="52">
        <v>7.1</v>
      </c>
      <c r="AG34" s="52">
        <v>7.3</v>
      </c>
      <c r="AH34" s="52">
        <v>7.2</v>
      </c>
      <c r="AI34" s="52">
        <v>7.2</v>
      </c>
      <c r="AJ34" s="52">
        <v>7</v>
      </c>
      <c r="AK34" s="52">
        <v>6.8</v>
      </c>
      <c r="AL34" s="52">
        <v>6.6</v>
      </c>
      <c r="AM34" s="52">
        <v>6.6</v>
      </c>
      <c r="AN34" s="52">
        <v>6.3</v>
      </c>
      <c r="AO34" s="52">
        <v>6.5</v>
      </c>
      <c r="AP34" s="52">
        <v>6.6</v>
      </c>
      <c r="AQ34" s="52">
        <v>6.7</v>
      </c>
      <c r="AR34" s="52">
        <v>6.2</v>
      </c>
      <c r="AS34" s="52">
        <v>5.6</v>
      </c>
      <c r="AT34" s="52">
        <v>5.4</v>
      </c>
      <c r="AU34" s="52">
        <v>5.0999999999999996</v>
      </c>
      <c r="AV34" s="52">
        <v>4.7</v>
      </c>
      <c r="AW34" s="52">
        <v>4.5999999999999996</v>
      </c>
      <c r="AX34" s="52">
        <v>4.5</v>
      </c>
      <c r="AY34" s="52">
        <v>4.4000000000000004</v>
      </c>
      <c r="AZ34" s="52">
        <v>4.0999999999999996</v>
      </c>
      <c r="BA34" s="52">
        <v>3.8</v>
      </c>
      <c r="BB34" s="52">
        <v>3.8</v>
      </c>
      <c r="BC34" s="52">
        <v>3.4</v>
      </c>
      <c r="BD34" s="52">
        <v>3.3</v>
      </c>
      <c r="BE34" s="52">
        <v>3.1</v>
      </c>
      <c r="BF34" s="52">
        <v>3</v>
      </c>
      <c r="BG34" s="52">
        <v>3.1</v>
      </c>
      <c r="BH34" s="52">
        <v>3.1</v>
      </c>
      <c r="BI34" s="52">
        <v>3.3</v>
      </c>
      <c r="BJ34" s="52">
        <v>3.4</v>
      </c>
      <c r="BK34" s="52">
        <v>3.2</v>
      </c>
      <c r="BL34" s="52">
        <v>1.8</v>
      </c>
      <c r="BM34" s="52">
        <v>2.8</v>
      </c>
      <c r="BN34" s="52">
        <v>3.5</v>
      </c>
      <c r="BO34" s="187"/>
      <c r="BP34" s="40"/>
      <c r="BQ34" s="179"/>
      <c r="BR34" s="179"/>
      <c r="BS34" s="179"/>
      <c r="BT34" s="179"/>
      <c r="BU34" s="179"/>
      <c r="BV34" s="179"/>
      <c r="BW34" s="179"/>
      <c r="BX34" s="179"/>
      <c r="BY34" s="179"/>
      <c r="BZ34" s="179"/>
      <c r="CA34" s="179"/>
      <c r="CB34" s="40"/>
      <c r="CC34" s="40"/>
      <c r="CD34" s="189"/>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row>
    <row r="35" spans="1:109">
      <c r="A35" s="144" t="s">
        <v>142</v>
      </c>
      <c r="B35" s="61" t="s">
        <v>190</v>
      </c>
      <c r="C35" s="56"/>
      <c r="D35" s="69">
        <v>7.9</v>
      </c>
      <c r="E35" s="69">
        <v>7.5</v>
      </c>
      <c r="F35" s="69">
        <v>7.2</v>
      </c>
      <c r="G35" s="69">
        <v>7.2</v>
      </c>
      <c r="H35" s="69">
        <v>7</v>
      </c>
      <c r="I35" s="69">
        <v>7</v>
      </c>
      <c r="J35" s="69">
        <v>7</v>
      </c>
      <c r="K35" s="69">
        <v>7.6</v>
      </c>
      <c r="L35" s="69">
        <v>7.5</v>
      </c>
      <c r="M35" s="69">
        <v>7.7</v>
      </c>
      <c r="N35" s="69">
        <v>7.9</v>
      </c>
      <c r="O35" s="69">
        <v>8.4</v>
      </c>
      <c r="P35" s="69">
        <v>8.6999999999999993</v>
      </c>
      <c r="Q35" s="69">
        <v>9</v>
      </c>
      <c r="R35" s="69">
        <v>9</v>
      </c>
      <c r="S35" s="69">
        <v>9.1999999999999993</v>
      </c>
      <c r="T35" s="69">
        <v>9.1999999999999993</v>
      </c>
      <c r="U35" s="69">
        <v>9.1999999999999993</v>
      </c>
      <c r="V35" s="69">
        <v>9</v>
      </c>
      <c r="W35" s="69">
        <v>8.6</v>
      </c>
      <c r="X35" s="69">
        <v>7.9</v>
      </c>
      <c r="Y35" s="69">
        <v>7.8</v>
      </c>
      <c r="Z35" s="69">
        <v>8</v>
      </c>
      <c r="AA35" s="69">
        <v>7.9</v>
      </c>
      <c r="AB35" s="69">
        <v>7.7</v>
      </c>
      <c r="AC35" s="69">
        <v>7.5</v>
      </c>
      <c r="AD35" s="69">
        <v>7.4</v>
      </c>
      <c r="AE35" s="69">
        <v>7.4</v>
      </c>
      <c r="AF35" s="69">
        <v>7.1</v>
      </c>
      <c r="AG35" s="69">
        <v>6.9</v>
      </c>
      <c r="AH35" s="69">
        <v>7.6</v>
      </c>
      <c r="AI35" s="69">
        <v>6.2</v>
      </c>
      <c r="AJ35" s="69">
        <v>6.4</v>
      </c>
      <c r="AK35" s="69">
        <v>5.8</v>
      </c>
      <c r="AL35" s="69">
        <v>5.3</v>
      </c>
      <c r="AM35" s="69">
        <v>5.0999999999999996</v>
      </c>
      <c r="AN35" s="69">
        <v>5.0999999999999996</v>
      </c>
      <c r="AO35" s="69">
        <v>5.2</v>
      </c>
      <c r="AP35" s="69">
        <v>5.0999999999999996</v>
      </c>
      <c r="AQ35" s="69">
        <v>5.0999999999999996</v>
      </c>
      <c r="AR35" s="69">
        <v>4.8</v>
      </c>
      <c r="AS35" s="69">
        <v>4.4000000000000004</v>
      </c>
      <c r="AT35" s="69">
        <v>4.7</v>
      </c>
      <c r="AU35" s="69">
        <v>4.8</v>
      </c>
      <c r="AV35" s="69">
        <v>5.2</v>
      </c>
      <c r="AW35" s="69">
        <v>4.9000000000000004</v>
      </c>
      <c r="AX35" s="69">
        <v>4.8</v>
      </c>
      <c r="AY35" s="69">
        <v>5.0999999999999996</v>
      </c>
      <c r="AZ35" s="69">
        <v>5.3</v>
      </c>
      <c r="BA35" s="69">
        <v>4.9000000000000004</v>
      </c>
      <c r="BB35" s="69">
        <v>4.7</v>
      </c>
      <c r="BC35" s="69">
        <v>4.7</v>
      </c>
      <c r="BD35" s="69">
        <v>4.8</v>
      </c>
      <c r="BE35" s="69">
        <v>4.7</v>
      </c>
      <c r="BF35" s="69">
        <v>4.9000000000000004</v>
      </c>
      <c r="BG35" s="69">
        <v>5.3</v>
      </c>
      <c r="BH35" s="69">
        <v>5.5</v>
      </c>
      <c r="BI35" s="69">
        <v>5.8</v>
      </c>
      <c r="BJ35" s="69">
        <v>5.7</v>
      </c>
      <c r="BK35" s="69">
        <v>5.4</v>
      </c>
      <c r="BL35" s="69">
        <v>4.4000000000000004</v>
      </c>
      <c r="BM35" s="69">
        <v>4.8</v>
      </c>
      <c r="BN35" s="69">
        <v>5.4</v>
      </c>
      <c r="BO35" s="187"/>
      <c r="BP35" s="40"/>
      <c r="BQ35" s="179"/>
      <c r="BR35" s="179"/>
      <c r="BS35" s="179"/>
      <c r="BT35" s="179"/>
      <c r="BU35" s="179"/>
      <c r="BV35" s="179"/>
      <c r="BW35" s="179"/>
      <c r="BX35" s="179"/>
      <c r="BY35" s="179"/>
      <c r="BZ35" s="179"/>
      <c r="CA35" s="179"/>
      <c r="CB35" s="40"/>
      <c r="CC35" s="40"/>
      <c r="CD35" s="187"/>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row>
    <row r="36" spans="1:109">
      <c r="A36" s="144" t="s">
        <v>143</v>
      </c>
      <c r="B36" s="79" t="s">
        <v>14</v>
      </c>
      <c r="C36" s="11"/>
      <c r="D36" s="52">
        <v>8.8000000000000007</v>
      </c>
      <c r="E36" s="52">
        <v>9.1</v>
      </c>
      <c r="F36" s="52">
        <v>9.1</v>
      </c>
      <c r="G36" s="52">
        <v>8.8000000000000007</v>
      </c>
      <c r="H36" s="52">
        <v>9</v>
      </c>
      <c r="I36" s="52">
        <v>9.1999999999999993</v>
      </c>
      <c r="J36" s="52">
        <v>8.6</v>
      </c>
      <c r="K36" s="52">
        <v>8.3000000000000007</v>
      </c>
      <c r="L36" s="52">
        <v>8.1999999999999993</v>
      </c>
      <c r="M36" s="52">
        <v>8.1999999999999993</v>
      </c>
      <c r="N36" s="52">
        <v>8.3000000000000007</v>
      </c>
      <c r="O36" s="52">
        <v>8.1999999999999993</v>
      </c>
      <c r="P36" s="52">
        <v>9</v>
      </c>
      <c r="Q36" s="52">
        <v>8.9</v>
      </c>
      <c r="R36" s="52">
        <v>8.6999999999999993</v>
      </c>
      <c r="S36" s="52">
        <v>8.6</v>
      </c>
      <c r="T36" s="52">
        <v>8.3000000000000007</v>
      </c>
      <c r="U36" s="52">
        <v>8.1999999999999993</v>
      </c>
      <c r="V36" s="52">
        <v>8.4</v>
      </c>
      <c r="W36" s="52">
        <v>7.6</v>
      </c>
      <c r="X36" s="52">
        <v>6.5</v>
      </c>
      <c r="Y36" s="52">
        <v>6.4</v>
      </c>
      <c r="Z36" s="52">
        <v>6.1</v>
      </c>
      <c r="AA36" s="52">
        <v>6.2</v>
      </c>
      <c r="AB36" s="52">
        <v>5.9</v>
      </c>
      <c r="AC36" s="52">
        <v>5.4</v>
      </c>
      <c r="AD36" s="52">
        <v>5.4</v>
      </c>
      <c r="AE36" s="52">
        <v>5.2</v>
      </c>
      <c r="AF36" s="52">
        <v>4.5999999999999996</v>
      </c>
      <c r="AG36" s="52">
        <v>4.9000000000000004</v>
      </c>
      <c r="AH36" s="52">
        <v>4.3</v>
      </c>
      <c r="AI36" s="52">
        <v>4.0999999999999996</v>
      </c>
      <c r="AJ36" s="52">
        <v>4.5999999999999996</v>
      </c>
      <c r="AK36" s="52">
        <v>4.5</v>
      </c>
      <c r="AL36" s="52">
        <v>4.2</v>
      </c>
      <c r="AM36" s="52">
        <v>4.0999999999999996</v>
      </c>
      <c r="AN36" s="52">
        <v>3.8</v>
      </c>
      <c r="AO36" s="52">
        <v>3.8</v>
      </c>
      <c r="AP36" s="52">
        <v>3.8</v>
      </c>
      <c r="AQ36" s="52">
        <v>3.9</v>
      </c>
      <c r="AR36" s="52">
        <v>3.6</v>
      </c>
      <c r="AS36" s="52">
        <v>3.5</v>
      </c>
      <c r="AT36" s="52">
        <v>3.5</v>
      </c>
      <c r="AU36" s="52">
        <v>3.4</v>
      </c>
      <c r="AV36" s="52">
        <v>3.3</v>
      </c>
      <c r="AW36" s="52">
        <v>2.9</v>
      </c>
      <c r="AX36" s="52">
        <v>3.2</v>
      </c>
      <c r="AY36" s="52">
        <v>3.2</v>
      </c>
      <c r="AZ36" s="52">
        <v>3.3</v>
      </c>
      <c r="BA36" s="52">
        <v>3.2</v>
      </c>
      <c r="BB36" s="52">
        <v>3.2</v>
      </c>
      <c r="BC36" s="52">
        <v>3.2</v>
      </c>
      <c r="BD36" s="52">
        <v>3.4</v>
      </c>
      <c r="BE36" s="52">
        <v>3</v>
      </c>
      <c r="BF36" s="52">
        <v>3.2</v>
      </c>
      <c r="BG36" s="52">
        <v>3.1</v>
      </c>
      <c r="BH36" s="52">
        <v>3.2</v>
      </c>
      <c r="BI36" s="52">
        <v>3.1</v>
      </c>
      <c r="BJ36" s="52">
        <v>3.5</v>
      </c>
      <c r="BK36" s="52">
        <v>3.2</v>
      </c>
      <c r="BL36" s="52">
        <v>2.5</v>
      </c>
      <c r="BM36" s="52">
        <v>2.8</v>
      </c>
      <c r="BN36" s="52">
        <v>3.2</v>
      </c>
      <c r="BO36" s="187"/>
      <c r="BP36" s="40"/>
      <c r="BQ36" s="179"/>
      <c r="BR36" s="179"/>
      <c r="BS36" s="179"/>
      <c r="BT36" s="179"/>
      <c r="BU36" s="179"/>
      <c r="BV36" s="179"/>
      <c r="BW36" s="179"/>
      <c r="BX36" s="179"/>
      <c r="BY36" s="179"/>
      <c r="BZ36" s="179"/>
      <c r="CA36" s="179"/>
      <c r="CB36" s="40"/>
      <c r="CC36" s="40"/>
      <c r="CD36" s="187"/>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row>
    <row r="37" spans="1:109">
      <c r="A37" s="144" t="s">
        <v>144</v>
      </c>
      <c r="B37" s="61" t="s">
        <v>13</v>
      </c>
      <c r="C37" s="56"/>
      <c r="D37" s="69">
        <v>7.8</v>
      </c>
      <c r="E37" s="69">
        <v>7.7</v>
      </c>
      <c r="F37" s="69">
        <v>7.6</v>
      </c>
      <c r="G37" s="69">
        <v>7.6</v>
      </c>
      <c r="H37" s="69">
        <v>7.4</v>
      </c>
      <c r="I37" s="69">
        <v>7.1</v>
      </c>
      <c r="J37" s="69">
        <v>7.1</v>
      </c>
      <c r="K37" s="69">
        <v>7.1</v>
      </c>
      <c r="L37" s="69">
        <v>7</v>
      </c>
      <c r="M37" s="69">
        <v>7.2</v>
      </c>
      <c r="N37" s="69">
        <v>7.3</v>
      </c>
      <c r="O37" s="69">
        <v>7.4</v>
      </c>
      <c r="P37" s="69">
        <v>7.6</v>
      </c>
      <c r="Q37" s="69">
        <v>7.7</v>
      </c>
      <c r="R37" s="69">
        <v>7.6</v>
      </c>
      <c r="S37" s="69">
        <v>7.6</v>
      </c>
      <c r="T37" s="69">
        <v>7.3</v>
      </c>
      <c r="U37" s="69">
        <v>7.2</v>
      </c>
      <c r="V37" s="69">
        <v>7</v>
      </c>
      <c r="W37" s="69">
        <v>6.6</v>
      </c>
      <c r="X37" s="69">
        <v>5.9</v>
      </c>
      <c r="Y37" s="69">
        <v>5.4</v>
      </c>
      <c r="Z37" s="69">
        <v>5.0999999999999996</v>
      </c>
      <c r="AA37" s="69">
        <v>5.0999999999999996</v>
      </c>
      <c r="AB37" s="69">
        <v>5.2</v>
      </c>
      <c r="AC37" s="69">
        <v>5.2</v>
      </c>
      <c r="AD37" s="69">
        <v>5.4</v>
      </c>
      <c r="AE37" s="69">
        <v>5.6</v>
      </c>
      <c r="AF37" s="69">
        <v>5.7</v>
      </c>
      <c r="AG37" s="69">
        <v>5.7</v>
      </c>
      <c r="AH37" s="69">
        <v>5.7</v>
      </c>
      <c r="AI37" s="69">
        <v>5.6</v>
      </c>
      <c r="AJ37" s="69">
        <v>5.6</v>
      </c>
      <c r="AK37" s="69">
        <v>5.0999999999999996</v>
      </c>
      <c r="AL37" s="69">
        <v>5.0999999999999996</v>
      </c>
      <c r="AM37" s="69">
        <v>5.0999999999999996</v>
      </c>
      <c r="AN37" s="69">
        <v>4.9000000000000004</v>
      </c>
      <c r="AO37" s="69">
        <v>5</v>
      </c>
      <c r="AP37" s="69">
        <v>5.2</v>
      </c>
      <c r="AQ37" s="69">
        <v>5.2</v>
      </c>
      <c r="AR37" s="69">
        <v>5.4</v>
      </c>
      <c r="AS37" s="69">
        <v>5.0999999999999996</v>
      </c>
      <c r="AT37" s="69">
        <v>5.0999999999999996</v>
      </c>
      <c r="AU37" s="69">
        <v>5</v>
      </c>
      <c r="AV37" s="69">
        <v>5</v>
      </c>
      <c r="AW37" s="69">
        <v>4.7</v>
      </c>
      <c r="AX37" s="69">
        <v>4.5</v>
      </c>
      <c r="AY37" s="69">
        <v>4.4000000000000004</v>
      </c>
      <c r="AZ37" s="69">
        <v>4.2</v>
      </c>
      <c r="BA37" s="69">
        <v>3.7</v>
      </c>
      <c r="BB37" s="69">
        <v>3.6</v>
      </c>
      <c r="BC37" s="69">
        <v>3.4</v>
      </c>
      <c r="BD37" s="69">
        <v>3.5</v>
      </c>
      <c r="BE37" s="69">
        <v>3.3</v>
      </c>
      <c r="BF37" s="69">
        <v>3.4</v>
      </c>
      <c r="BG37" s="69">
        <v>3.6</v>
      </c>
      <c r="BH37" s="69">
        <v>3.7</v>
      </c>
      <c r="BI37" s="69">
        <v>3.7</v>
      </c>
      <c r="BJ37" s="69">
        <v>3.5</v>
      </c>
      <c r="BK37" s="69">
        <v>3.5</v>
      </c>
      <c r="BL37" s="69">
        <v>1.9</v>
      </c>
      <c r="BM37" s="69">
        <v>3.1</v>
      </c>
      <c r="BN37" s="69">
        <v>3.7</v>
      </c>
      <c r="BO37" s="187"/>
      <c r="BP37" s="40"/>
      <c r="BQ37" s="179"/>
      <c r="BR37" s="179"/>
      <c r="BS37" s="179"/>
      <c r="BT37" s="179"/>
      <c r="BU37" s="179"/>
      <c r="BV37" s="179"/>
      <c r="BW37" s="179"/>
      <c r="BX37" s="179"/>
      <c r="BY37" s="179"/>
      <c r="BZ37" s="179"/>
      <c r="CA37" s="179"/>
      <c r="CB37" s="40"/>
      <c r="CC37" s="40"/>
      <c r="CD37" s="189"/>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row>
    <row r="38" spans="1:109">
      <c r="A38" s="144" t="s">
        <v>145</v>
      </c>
      <c r="B38" s="79" t="s">
        <v>12</v>
      </c>
      <c r="C38" s="11"/>
      <c r="D38" s="52">
        <v>6.7</v>
      </c>
      <c r="E38" s="52">
        <v>7</v>
      </c>
      <c r="F38" s="52">
        <v>7.1</v>
      </c>
      <c r="G38" s="52">
        <v>7</v>
      </c>
      <c r="H38" s="52">
        <v>7.6</v>
      </c>
      <c r="I38" s="52">
        <v>7.8</v>
      </c>
      <c r="J38" s="52">
        <v>7.8</v>
      </c>
      <c r="K38" s="52">
        <v>7.2</v>
      </c>
      <c r="L38" s="52">
        <v>6.6</v>
      </c>
      <c r="M38" s="52">
        <v>6.1</v>
      </c>
      <c r="N38" s="52">
        <v>5.4</v>
      </c>
      <c r="O38" s="52">
        <v>4.9000000000000004</v>
      </c>
      <c r="P38" s="52">
        <v>4.8</v>
      </c>
      <c r="Q38" s="52">
        <v>4.7</v>
      </c>
      <c r="R38" s="52">
        <v>5.5</v>
      </c>
      <c r="S38" s="52">
        <v>5.4</v>
      </c>
      <c r="T38" s="52">
        <v>5.4</v>
      </c>
      <c r="U38" s="52">
        <v>4.9000000000000004</v>
      </c>
      <c r="V38" s="52">
        <v>4.5999999999999996</v>
      </c>
      <c r="W38" s="52">
        <v>4.5</v>
      </c>
      <c r="X38" s="52">
        <v>4.5</v>
      </c>
      <c r="Y38" s="52">
        <v>4.5</v>
      </c>
      <c r="Z38" s="52">
        <v>4.5</v>
      </c>
      <c r="AA38" s="52">
        <v>4.3</v>
      </c>
      <c r="AB38" s="52">
        <v>4.4000000000000004</v>
      </c>
      <c r="AC38" s="52">
        <v>4.5999999999999996</v>
      </c>
      <c r="AD38" s="52">
        <v>4.5999999999999996</v>
      </c>
      <c r="AE38" s="52">
        <v>4.9000000000000004</v>
      </c>
      <c r="AF38" s="52">
        <v>5.2</v>
      </c>
      <c r="AG38" s="52">
        <v>12.8</v>
      </c>
      <c r="AH38" s="52">
        <v>4.7</v>
      </c>
      <c r="AI38" s="52">
        <v>4.3</v>
      </c>
      <c r="AJ38" s="52">
        <v>4.3</v>
      </c>
      <c r="AK38" s="52">
        <v>3.9</v>
      </c>
      <c r="AL38" s="52">
        <v>3.9</v>
      </c>
      <c r="AM38" s="52" t="s">
        <v>44</v>
      </c>
      <c r="AN38" s="52">
        <v>3.8</v>
      </c>
      <c r="AO38" s="52">
        <v>3.7</v>
      </c>
      <c r="AP38" s="52">
        <v>3.6</v>
      </c>
      <c r="AQ38" s="52">
        <v>4</v>
      </c>
      <c r="AR38" s="52">
        <v>4.5</v>
      </c>
      <c r="AS38" s="52">
        <v>4</v>
      </c>
      <c r="AT38" s="52">
        <v>4.3</v>
      </c>
      <c r="AU38" s="52">
        <v>4.4000000000000004</v>
      </c>
      <c r="AV38" s="52">
        <v>4.8</v>
      </c>
      <c r="AW38" s="52">
        <v>4.9000000000000004</v>
      </c>
      <c r="AX38" s="52">
        <v>5</v>
      </c>
      <c r="AY38" s="52" t="s">
        <v>44</v>
      </c>
      <c r="AZ38" s="52">
        <v>5.5</v>
      </c>
      <c r="BA38" s="52">
        <v>5.0999999999999996</v>
      </c>
      <c r="BB38" s="52">
        <v>5.3</v>
      </c>
      <c r="BC38" s="52">
        <v>5</v>
      </c>
      <c r="BD38" s="52">
        <v>5.3</v>
      </c>
      <c r="BE38" s="52">
        <v>5.4</v>
      </c>
      <c r="BF38" s="52">
        <v>5.5</v>
      </c>
      <c r="BG38" s="52">
        <v>5.3</v>
      </c>
      <c r="BH38" s="52">
        <v>5.4</v>
      </c>
      <c r="BI38" s="52">
        <v>5.2</v>
      </c>
      <c r="BJ38" s="52">
        <v>5</v>
      </c>
      <c r="BK38" s="52">
        <v>4.7</v>
      </c>
      <c r="BL38" s="52">
        <v>3.6</v>
      </c>
      <c r="BM38" s="52">
        <v>3.7</v>
      </c>
      <c r="BN38" s="52">
        <v>4.5999999999999996</v>
      </c>
      <c r="BO38" s="187"/>
      <c r="BP38" s="40"/>
      <c r="BQ38" s="179"/>
      <c r="BR38" s="179"/>
      <c r="BS38" s="179"/>
      <c r="BT38" s="179"/>
      <c r="BU38" s="179"/>
      <c r="BV38" s="179"/>
      <c r="BW38" s="179"/>
      <c r="BX38" s="179"/>
      <c r="BY38" s="179"/>
      <c r="BZ38" s="179"/>
      <c r="CA38" s="179"/>
      <c r="CB38" s="40"/>
      <c r="CC38" s="40"/>
      <c r="CD38" s="187"/>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row>
    <row r="39" spans="1:109">
      <c r="A39" s="144" t="s">
        <v>146</v>
      </c>
      <c r="B39" s="61" t="s">
        <v>11</v>
      </c>
      <c r="C39" s="56"/>
      <c r="D39" s="69">
        <v>7.8</v>
      </c>
      <c r="E39" s="69">
        <v>7.8</v>
      </c>
      <c r="F39" s="69">
        <v>8</v>
      </c>
      <c r="G39" s="69">
        <v>7.7</v>
      </c>
      <c r="H39" s="69">
        <v>7.6</v>
      </c>
      <c r="I39" s="69">
        <v>7.7</v>
      </c>
      <c r="J39" s="69">
        <v>7.5</v>
      </c>
      <c r="K39" s="69">
        <v>7.6</v>
      </c>
      <c r="L39" s="69">
        <v>7.5</v>
      </c>
      <c r="M39" s="69">
        <v>7.6</v>
      </c>
      <c r="N39" s="69">
        <v>7.6</v>
      </c>
      <c r="O39" s="69">
        <v>7.2</v>
      </c>
      <c r="P39" s="69">
        <v>6.9</v>
      </c>
      <c r="Q39" s="69">
        <v>6.5</v>
      </c>
      <c r="R39" s="69">
        <v>6.1</v>
      </c>
      <c r="S39" s="69">
        <v>5.6</v>
      </c>
      <c r="T39" s="69">
        <v>5.0999999999999996</v>
      </c>
      <c r="U39" s="69">
        <v>5.3</v>
      </c>
      <c r="V39" s="69">
        <v>5.0999999999999996</v>
      </c>
      <c r="W39" s="69">
        <v>5.4</v>
      </c>
      <c r="X39" s="69">
        <v>5.7</v>
      </c>
      <c r="Y39" s="69">
        <v>5.6</v>
      </c>
      <c r="Z39" s="69">
        <v>5.8</v>
      </c>
      <c r="AA39" s="69">
        <v>5.9</v>
      </c>
      <c r="AB39" s="69">
        <v>6</v>
      </c>
      <c r="AC39" s="69">
        <v>6</v>
      </c>
      <c r="AD39" s="69">
        <v>6.2</v>
      </c>
      <c r="AE39" s="69">
        <v>6.6</v>
      </c>
      <c r="AF39" s="69">
        <v>6.9</v>
      </c>
      <c r="AG39" s="69">
        <v>6.8</v>
      </c>
      <c r="AH39" s="69">
        <v>6.9</v>
      </c>
      <c r="AI39" s="69">
        <v>7</v>
      </c>
      <c r="AJ39" s="69">
        <v>6.6</v>
      </c>
      <c r="AK39" s="69">
        <v>6.2</v>
      </c>
      <c r="AL39" s="69">
        <v>6.1</v>
      </c>
      <c r="AM39" s="69">
        <v>5.8</v>
      </c>
      <c r="AN39" s="69">
        <v>5.7</v>
      </c>
      <c r="AO39" s="69">
        <v>5.5</v>
      </c>
      <c r="AP39" s="69">
        <v>5.4</v>
      </c>
      <c r="AQ39" s="69">
        <v>5.7</v>
      </c>
      <c r="AR39" s="69">
        <v>5.5</v>
      </c>
      <c r="AS39" s="69">
        <v>5</v>
      </c>
      <c r="AT39" s="69">
        <v>5.5</v>
      </c>
      <c r="AU39" s="69">
        <v>5.5</v>
      </c>
      <c r="AV39" s="69">
        <v>5.3</v>
      </c>
      <c r="AW39" s="69">
        <v>5.4</v>
      </c>
      <c r="AX39" s="69">
        <v>5.3</v>
      </c>
      <c r="AY39" s="69">
        <v>5.3</v>
      </c>
      <c r="AZ39" s="69">
        <v>5.4</v>
      </c>
      <c r="BA39" s="69">
        <v>5.4</v>
      </c>
      <c r="BB39" s="69">
        <v>5.5</v>
      </c>
      <c r="BC39" s="69">
        <v>5.3</v>
      </c>
      <c r="BD39" s="69">
        <v>5.3</v>
      </c>
      <c r="BE39" s="69">
        <v>4.9000000000000004</v>
      </c>
      <c r="BF39" s="69">
        <v>5.0999999999999996</v>
      </c>
      <c r="BG39" s="69">
        <v>5</v>
      </c>
      <c r="BH39" s="69">
        <v>5</v>
      </c>
      <c r="BI39" s="69">
        <v>4.8</v>
      </c>
      <c r="BJ39" s="69">
        <v>4.8</v>
      </c>
      <c r="BK39" s="69">
        <v>4.5</v>
      </c>
      <c r="BL39" s="69">
        <v>4.0999999999999996</v>
      </c>
      <c r="BM39" s="69">
        <v>4.2</v>
      </c>
      <c r="BN39" s="69">
        <v>4.7</v>
      </c>
      <c r="BO39" s="187"/>
      <c r="BP39" s="40"/>
      <c r="BQ39" s="179"/>
      <c r="BR39" s="179"/>
      <c r="BS39" s="179"/>
      <c r="BT39" s="179"/>
      <c r="BU39" s="179"/>
      <c r="BV39" s="179"/>
      <c r="BW39" s="179"/>
      <c r="BX39" s="179"/>
      <c r="BY39" s="179"/>
      <c r="BZ39" s="179"/>
      <c r="CA39" s="179"/>
      <c r="CB39" s="40"/>
      <c r="CC39" s="40"/>
      <c r="CD39" s="187"/>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row>
    <row r="40" spans="1:109">
      <c r="A40" s="144" t="s">
        <v>147</v>
      </c>
      <c r="B40" s="79" t="s">
        <v>189</v>
      </c>
      <c r="C40" s="11"/>
      <c r="D40" s="52" t="s">
        <v>44</v>
      </c>
      <c r="E40" s="52" t="s">
        <v>44</v>
      </c>
      <c r="F40" s="52" t="s">
        <v>44</v>
      </c>
      <c r="G40" s="52" t="s">
        <v>44</v>
      </c>
      <c r="H40" s="52" t="s">
        <v>44</v>
      </c>
      <c r="I40" s="52" t="s">
        <v>44</v>
      </c>
      <c r="J40" s="52" t="s">
        <v>44</v>
      </c>
      <c r="K40" s="52" t="s">
        <v>44</v>
      </c>
      <c r="L40" s="52" t="s">
        <v>44</v>
      </c>
      <c r="M40" s="52" t="s">
        <v>44</v>
      </c>
      <c r="N40" s="52" t="s">
        <v>44</v>
      </c>
      <c r="O40" s="52" t="s">
        <v>44</v>
      </c>
      <c r="P40" s="52" t="s">
        <v>44</v>
      </c>
      <c r="Q40" s="52" t="s">
        <v>44</v>
      </c>
      <c r="R40" s="52" t="s">
        <v>44</v>
      </c>
      <c r="S40" s="52" t="s">
        <v>44</v>
      </c>
      <c r="T40" s="52" t="s">
        <v>44</v>
      </c>
      <c r="U40" s="52" t="s">
        <v>44</v>
      </c>
      <c r="V40" s="52" t="s">
        <v>44</v>
      </c>
      <c r="W40" s="52" t="s">
        <v>44</v>
      </c>
      <c r="X40" s="52">
        <v>8.1999999999999993</v>
      </c>
      <c r="Y40" s="52" t="s">
        <v>44</v>
      </c>
      <c r="Z40" s="52" t="s">
        <v>44</v>
      </c>
      <c r="AA40" s="52" t="s">
        <v>44</v>
      </c>
      <c r="AB40" s="52" t="s">
        <v>44</v>
      </c>
      <c r="AC40" s="52" t="s">
        <v>44</v>
      </c>
      <c r="AD40" s="52" t="s">
        <v>44</v>
      </c>
      <c r="AE40" s="52" t="s">
        <v>44</v>
      </c>
      <c r="AF40" s="52" t="s">
        <v>44</v>
      </c>
      <c r="AG40" s="52" t="s">
        <v>44</v>
      </c>
      <c r="AH40" s="52" t="s">
        <v>44</v>
      </c>
      <c r="AI40" s="52" t="s">
        <v>44</v>
      </c>
      <c r="AJ40" s="52" t="s">
        <v>44</v>
      </c>
      <c r="AK40" s="52" t="s">
        <v>44</v>
      </c>
      <c r="AL40" s="52" t="s">
        <v>44</v>
      </c>
      <c r="AM40" s="52" t="s">
        <v>44</v>
      </c>
      <c r="AN40" s="52" t="s">
        <v>44</v>
      </c>
      <c r="AO40" s="52" t="s">
        <v>44</v>
      </c>
      <c r="AP40" s="52" t="s">
        <v>44</v>
      </c>
      <c r="AQ40" s="52" t="s">
        <v>44</v>
      </c>
      <c r="AR40" s="52" t="s">
        <v>44</v>
      </c>
      <c r="AS40" s="52" t="s">
        <v>44</v>
      </c>
      <c r="AT40" s="52" t="s">
        <v>44</v>
      </c>
      <c r="AU40" s="52">
        <v>7.1</v>
      </c>
      <c r="AV40" s="52">
        <v>9.1999999999999993</v>
      </c>
      <c r="AW40" s="52">
        <v>9.5</v>
      </c>
      <c r="AX40" s="52">
        <v>9.1999999999999993</v>
      </c>
      <c r="AY40" s="52">
        <v>9.1</v>
      </c>
      <c r="AZ40" s="52">
        <v>9</v>
      </c>
      <c r="BA40" s="52">
        <v>8.1999999999999993</v>
      </c>
      <c r="BB40" s="52">
        <v>8</v>
      </c>
      <c r="BC40" s="52">
        <v>8</v>
      </c>
      <c r="BD40" s="52">
        <v>8</v>
      </c>
      <c r="BE40" s="52">
        <v>7.9</v>
      </c>
      <c r="BF40" s="52">
        <v>7.8</v>
      </c>
      <c r="BG40" s="52">
        <v>7.7</v>
      </c>
      <c r="BH40" s="52">
        <v>7.5</v>
      </c>
      <c r="BI40" s="52">
        <v>7.1</v>
      </c>
      <c r="BJ40" s="52">
        <v>6.8</v>
      </c>
      <c r="BK40" s="52">
        <v>6.6</v>
      </c>
      <c r="BL40" s="52">
        <v>5.84</v>
      </c>
      <c r="BM40" s="52"/>
      <c r="BN40" s="52">
        <v>6.8</v>
      </c>
      <c r="BO40" s="187"/>
      <c r="BP40" s="40"/>
      <c r="BQ40" s="179"/>
      <c r="BR40" s="179"/>
      <c r="BS40" s="179"/>
      <c r="BT40" s="179"/>
      <c r="BU40" s="179"/>
      <c r="BV40" s="179"/>
      <c r="BW40" s="179"/>
      <c r="BX40" s="179"/>
      <c r="BY40" s="179"/>
      <c r="BZ40" s="179"/>
      <c r="CA40" s="179"/>
      <c r="CB40" s="40"/>
      <c r="CC40" s="40"/>
      <c r="CD40" s="187"/>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row>
    <row r="41" spans="1:109">
      <c r="A41" s="144" t="s">
        <v>148</v>
      </c>
      <c r="B41" s="61" t="s">
        <v>9</v>
      </c>
      <c r="C41" s="56">
        <v>5</v>
      </c>
      <c r="D41" s="69">
        <v>7.5</v>
      </c>
      <c r="E41" s="69">
        <v>7.5</v>
      </c>
      <c r="F41" s="69">
        <v>7.5</v>
      </c>
      <c r="G41" s="69">
        <v>7.5</v>
      </c>
      <c r="H41" s="69">
        <v>7.6</v>
      </c>
      <c r="I41" s="69">
        <v>7.8</v>
      </c>
      <c r="J41" s="69">
        <v>8</v>
      </c>
      <c r="K41" s="69">
        <v>8</v>
      </c>
      <c r="L41" s="69">
        <v>8.4</v>
      </c>
      <c r="M41" s="69">
        <v>8.1</v>
      </c>
      <c r="N41" s="69">
        <v>8.5</v>
      </c>
      <c r="O41" s="69">
        <v>8.1999999999999993</v>
      </c>
      <c r="P41" s="69">
        <v>8.6</v>
      </c>
      <c r="Q41" s="69">
        <v>8.1</v>
      </c>
      <c r="R41" s="69">
        <v>7.8</v>
      </c>
      <c r="S41" s="69">
        <v>7.7</v>
      </c>
      <c r="T41" s="69">
        <v>7.2</v>
      </c>
      <c r="U41" s="69">
        <v>7.2</v>
      </c>
      <c r="V41" s="69">
        <v>7.4</v>
      </c>
      <c r="W41" s="69">
        <v>7.4</v>
      </c>
      <c r="X41" s="69">
        <v>7.4</v>
      </c>
      <c r="Y41" s="69">
        <v>7.1</v>
      </c>
      <c r="Z41" s="69">
        <v>6.9</v>
      </c>
      <c r="AA41" s="69">
        <v>6.9</v>
      </c>
      <c r="AB41" s="69">
        <v>7</v>
      </c>
      <c r="AC41" s="69">
        <v>7</v>
      </c>
      <c r="AD41" s="69">
        <v>7</v>
      </c>
      <c r="AE41" s="69">
        <v>7</v>
      </c>
      <c r="AF41" s="69">
        <v>6.9</v>
      </c>
      <c r="AG41" s="69">
        <v>6.9</v>
      </c>
      <c r="AH41" s="69">
        <v>6.6</v>
      </c>
      <c r="AI41" s="69">
        <v>6.1</v>
      </c>
      <c r="AJ41" s="69">
        <v>6.2</v>
      </c>
      <c r="AK41" s="69">
        <v>5.9</v>
      </c>
      <c r="AL41" s="69">
        <v>5.7</v>
      </c>
      <c r="AM41" s="69">
        <v>5.6</v>
      </c>
      <c r="AN41" s="69">
        <v>5.5</v>
      </c>
      <c r="AO41" s="69">
        <v>5.3</v>
      </c>
      <c r="AP41" s="69">
        <v>5.2</v>
      </c>
      <c r="AQ41" s="69">
        <v>5.0999999999999996</v>
      </c>
      <c r="AR41" s="69">
        <v>5.2</v>
      </c>
      <c r="AS41" s="69">
        <v>4.8</v>
      </c>
      <c r="AT41" s="69">
        <v>4.9000000000000004</v>
      </c>
      <c r="AU41" s="69">
        <v>5.2</v>
      </c>
      <c r="AV41" s="69" t="s">
        <v>44</v>
      </c>
      <c r="AW41" s="69" t="s">
        <v>44</v>
      </c>
      <c r="AX41" s="69" t="s">
        <v>44</v>
      </c>
      <c r="AY41" s="69">
        <v>4.5</v>
      </c>
      <c r="AZ41" s="69">
        <v>4.4000000000000004</v>
      </c>
      <c r="BA41" s="69">
        <v>4.3</v>
      </c>
      <c r="BB41" s="69">
        <v>4.4000000000000004</v>
      </c>
      <c r="BC41" s="69">
        <v>4.4000000000000004</v>
      </c>
      <c r="BD41" s="69">
        <v>4.7</v>
      </c>
      <c r="BE41" s="69">
        <v>4.2</v>
      </c>
      <c r="BF41" s="69">
        <v>4.4000000000000004</v>
      </c>
      <c r="BG41" s="69">
        <v>4.2</v>
      </c>
      <c r="BH41" s="69">
        <v>4.3</v>
      </c>
      <c r="BI41" s="69">
        <v>4.0999999999999996</v>
      </c>
      <c r="BJ41" s="69">
        <v>4</v>
      </c>
      <c r="BK41" s="69">
        <v>3.7</v>
      </c>
      <c r="BL41" s="69">
        <v>1.4</v>
      </c>
      <c r="BM41" s="69"/>
      <c r="BN41" s="69"/>
      <c r="BO41" s="187"/>
      <c r="BP41" s="40"/>
      <c r="BQ41" s="181"/>
      <c r="BR41" s="181"/>
      <c r="BS41" s="181"/>
      <c r="BT41" s="181"/>
      <c r="BU41" s="181"/>
      <c r="BV41" s="181"/>
      <c r="BW41" s="181"/>
      <c r="BX41" s="181"/>
      <c r="BY41" s="181"/>
      <c r="BZ41" s="179"/>
      <c r="CA41" s="179"/>
      <c r="CB41" s="40"/>
      <c r="CC41" s="40"/>
      <c r="CD41" s="187"/>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row>
    <row r="42" spans="1:109" s="50" customFormat="1">
      <c r="A42" s="144" t="s">
        <v>149</v>
      </c>
      <c r="B42" s="80" t="s">
        <v>8</v>
      </c>
      <c r="C42" s="8"/>
      <c r="D42" s="7" t="s">
        <v>44</v>
      </c>
      <c r="E42" s="7" t="s">
        <v>44</v>
      </c>
      <c r="F42" s="7" t="s">
        <v>44</v>
      </c>
      <c r="G42" s="7" t="s">
        <v>44</v>
      </c>
      <c r="H42" s="7" t="s">
        <v>44</v>
      </c>
      <c r="I42" s="7" t="s">
        <v>44</v>
      </c>
      <c r="J42" s="7" t="s">
        <v>44</v>
      </c>
      <c r="K42" s="7" t="s">
        <v>44</v>
      </c>
      <c r="L42" s="7" t="s">
        <v>44</v>
      </c>
      <c r="M42" s="7" t="s">
        <v>44</v>
      </c>
      <c r="N42" s="7">
        <v>10.622199999999999</v>
      </c>
      <c r="O42" s="7" t="s">
        <v>44</v>
      </c>
      <c r="P42" s="7" t="s">
        <v>44</v>
      </c>
      <c r="Q42" s="7" t="s">
        <v>44</v>
      </c>
      <c r="R42" s="7" t="s">
        <v>44</v>
      </c>
      <c r="S42" s="7" t="s">
        <v>44</v>
      </c>
      <c r="T42" s="7" t="s">
        <v>44</v>
      </c>
      <c r="U42" s="7" t="s">
        <v>44</v>
      </c>
      <c r="V42" s="7" t="s">
        <v>44</v>
      </c>
      <c r="W42" s="7" t="s">
        <v>44</v>
      </c>
      <c r="X42" s="7" t="s">
        <v>44</v>
      </c>
      <c r="Y42" s="7" t="s">
        <v>44</v>
      </c>
      <c r="Z42" s="7" t="s">
        <v>44</v>
      </c>
      <c r="AA42" s="7" t="s">
        <v>44</v>
      </c>
      <c r="AB42" s="7" t="s">
        <v>44</v>
      </c>
      <c r="AC42" s="7">
        <v>10.1403</v>
      </c>
      <c r="AD42" s="7" t="s">
        <v>44</v>
      </c>
      <c r="AE42" s="7" t="s">
        <v>44</v>
      </c>
      <c r="AF42" s="7" t="s">
        <v>44</v>
      </c>
      <c r="AG42" s="7" t="s">
        <v>44</v>
      </c>
      <c r="AH42" s="7" t="s">
        <v>44</v>
      </c>
      <c r="AI42" s="7">
        <v>9.1999999999999993</v>
      </c>
      <c r="AJ42" s="7">
        <v>9</v>
      </c>
      <c r="AK42" s="7">
        <v>9.1</v>
      </c>
      <c r="AL42" s="7">
        <v>8.9</v>
      </c>
      <c r="AM42" s="7">
        <v>8.9</v>
      </c>
      <c r="AN42" s="7">
        <v>8.8000000000000007</v>
      </c>
      <c r="AO42" s="7">
        <v>8.9</v>
      </c>
      <c r="AP42" s="7">
        <v>8.3000000000000007</v>
      </c>
      <c r="AQ42" s="7">
        <v>8.6</v>
      </c>
      <c r="AR42" s="7">
        <v>8.1999999999999993</v>
      </c>
      <c r="AS42" s="7">
        <v>8.1999999999999993</v>
      </c>
      <c r="AT42" s="7">
        <v>8</v>
      </c>
      <c r="AU42" s="7">
        <v>7.7</v>
      </c>
      <c r="AV42" s="7">
        <v>7.8</v>
      </c>
      <c r="AW42" s="7">
        <v>7.6</v>
      </c>
      <c r="AX42" s="7">
        <v>7.5</v>
      </c>
      <c r="AY42" s="7">
        <v>7.3</v>
      </c>
      <c r="AZ42" s="7">
        <v>7.1</v>
      </c>
      <c r="BA42" s="7">
        <v>6.8</v>
      </c>
      <c r="BB42" s="7">
        <v>6.8</v>
      </c>
      <c r="BC42" s="7">
        <v>6.8</v>
      </c>
      <c r="BD42" s="7">
        <v>6.8</v>
      </c>
      <c r="BE42" s="7">
        <v>6.8</v>
      </c>
      <c r="BF42" s="7">
        <v>6.9</v>
      </c>
      <c r="BG42" s="7">
        <v>6.9</v>
      </c>
      <c r="BH42" s="7">
        <v>7</v>
      </c>
      <c r="BI42" s="7">
        <v>6.9</v>
      </c>
      <c r="BJ42" s="7">
        <v>6.5</v>
      </c>
      <c r="BK42" s="7">
        <v>6.1</v>
      </c>
      <c r="BL42" s="7">
        <v>5.0999999999999996</v>
      </c>
      <c r="BM42" s="7">
        <v>6</v>
      </c>
      <c r="BN42" s="7">
        <v>6.2</v>
      </c>
      <c r="BO42" s="187"/>
      <c r="BQ42" s="181"/>
      <c r="BR42" s="181"/>
      <c r="BS42" s="181"/>
      <c r="BT42" s="181"/>
      <c r="BU42" s="181"/>
      <c r="BV42" s="181"/>
      <c r="BW42" s="181"/>
      <c r="BX42" s="181"/>
      <c r="BY42" s="181"/>
      <c r="BZ42" s="178"/>
      <c r="CA42" s="178"/>
      <c r="CD42" s="187"/>
    </row>
    <row r="43" spans="1:109" s="50" customFormat="1">
      <c r="A43" s="144" t="s">
        <v>150</v>
      </c>
      <c r="B43" s="2" t="s">
        <v>73</v>
      </c>
      <c r="C43" s="4"/>
      <c r="D43" s="55" t="s">
        <v>44</v>
      </c>
      <c r="E43" s="55" t="s">
        <v>44</v>
      </c>
      <c r="F43" s="55" t="s">
        <v>44</v>
      </c>
      <c r="G43" s="55" t="s">
        <v>44</v>
      </c>
      <c r="H43" s="55" t="s">
        <v>44</v>
      </c>
      <c r="I43" s="55" t="s">
        <v>44</v>
      </c>
      <c r="J43" s="55" t="s">
        <v>44</v>
      </c>
      <c r="K43" s="55" t="s">
        <v>44</v>
      </c>
      <c r="L43" s="55" t="s">
        <v>44</v>
      </c>
      <c r="M43" s="55" t="s">
        <v>44</v>
      </c>
      <c r="N43" s="55" t="s">
        <v>44</v>
      </c>
      <c r="O43" s="55" t="s">
        <v>44</v>
      </c>
      <c r="P43" s="55" t="s">
        <v>44</v>
      </c>
      <c r="Q43" s="55" t="s">
        <v>44</v>
      </c>
      <c r="R43" s="55" t="s">
        <v>44</v>
      </c>
      <c r="S43" s="55" t="s">
        <v>44</v>
      </c>
      <c r="T43" s="55" t="s">
        <v>44</v>
      </c>
      <c r="U43" s="55" t="s">
        <v>44</v>
      </c>
      <c r="V43" s="55" t="s">
        <v>44</v>
      </c>
      <c r="W43" s="55" t="s">
        <v>44</v>
      </c>
      <c r="X43" s="55" t="s">
        <v>44</v>
      </c>
      <c r="Y43" s="55" t="s">
        <v>44</v>
      </c>
      <c r="Z43" s="55" t="s">
        <v>44</v>
      </c>
      <c r="AA43" s="55" t="s">
        <v>44</v>
      </c>
      <c r="AB43" s="55" t="s">
        <v>44</v>
      </c>
      <c r="AC43" s="55" t="s">
        <v>44</v>
      </c>
      <c r="AD43" s="55" t="s">
        <v>44</v>
      </c>
      <c r="AE43" s="55" t="s">
        <v>44</v>
      </c>
      <c r="AF43" s="55" t="s">
        <v>44</v>
      </c>
      <c r="AG43" s="55" t="s">
        <v>44</v>
      </c>
      <c r="AH43" s="55" t="s">
        <v>44</v>
      </c>
      <c r="AI43" s="55" t="s">
        <v>44</v>
      </c>
      <c r="AJ43" s="55" t="s">
        <v>44</v>
      </c>
      <c r="AK43" s="55" t="s">
        <v>44</v>
      </c>
      <c r="AL43" s="55" t="s">
        <v>44</v>
      </c>
      <c r="AM43" s="55" t="s">
        <v>44</v>
      </c>
      <c r="AN43" s="55" t="s">
        <v>44</v>
      </c>
      <c r="AO43" s="55" t="s">
        <v>44</v>
      </c>
      <c r="AP43" s="55" t="s">
        <v>44</v>
      </c>
      <c r="AQ43" s="55" t="s">
        <v>44</v>
      </c>
      <c r="AR43" s="55" t="s">
        <v>44</v>
      </c>
      <c r="AS43" s="55" t="s">
        <v>44</v>
      </c>
      <c r="AT43" s="55" t="s">
        <v>44</v>
      </c>
      <c r="AU43" s="55" t="s">
        <v>44</v>
      </c>
      <c r="AV43" s="55" t="s">
        <v>44</v>
      </c>
      <c r="AW43" s="55" t="s">
        <v>44</v>
      </c>
      <c r="AX43" s="55" t="s">
        <v>44</v>
      </c>
      <c r="AY43" s="55" t="s">
        <v>44</v>
      </c>
      <c r="AZ43" s="55" t="s">
        <v>44</v>
      </c>
      <c r="BA43" s="55" t="s">
        <v>44</v>
      </c>
      <c r="BB43" s="55" t="s">
        <v>44</v>
      </c>
      <c r="BC43" s="55" t="s">
        <v>44</v>
      </c>
      <c r="BD43" s="55" t="s">
        <v>44</v>
      </c>
      <c r="BE43" s="55" t="s">
        <v>44</v>
      </c>
      <c r="BF43" s="55" t="s">
        <v>44</v>
      </c>
      <c r="BG43" s="55" t="s">
        <v>44</v>
      </c>
      <c r="BH43" s="55" t="s">
        <v>44</v>
      </c>
      <c r="BI43" s="55" t="s">
        <v>44</v>
      </c>
      <c r="BJ43" s="55" t="s">
        <v>44</v>
      </c>
      <c r="BK43" s="55" t="s">
        <v>44</v>
      </c>
      <c r="BL43" s="55" t="s">
        <v>44</v>
      </c>
      <c r="BM43" s="55" t="s">
        <v>44</v>
      </c>
      <c r="BN43" s="55"/>
      <c r="BO43" s="3"/>
      <c r="BP43" s="3"/>
      <c r="BQ43" s="181"/>
      <c r="BR43" s="181"/>
      <c r="BS43" s="181"/>
      <c r="BT43" s="181"/>
      <c r="BU43" s="181"/>
      <c r="BV43" s="181"/>
      <c r="BW43" s="181"/>
      <c r="BX43" s="181"/>
      <c r="BY43" s="181"/>
      <c r="BZ43" s="181"/>
      <c r="CA43" s="181"/>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2"/>
    </row>
    <row r="44" spans="1:109" s="50" customFormat="1">
      <c r="A44" s="144" t="s">
        <v>151</v>
      </c>
      <c r="B44" s="132" t="s">
        <v>74</v>
      </c>
      <c r="C44" s="133"/>
      <c r="D44" s="131" t="s">
        <v>44</v>
      </c>
      <c r="E44" s="131" t="s">
        <v>44</v>
      </c>
      <c r="F44" s="131" t="s">
        <v>44</v>
      </c>
      <c r="G44" s="131" t="s">
        <v>44</v>
      </c>
      <c r="H44" s="131" t="s">
        <v>44</v>
      </c>
      <c r="I44" s="131" t="s">
        <v>44</v>
      </c>
      <c r="J44" s="131" t="s">
        <v>44</v>
      </c>
      <c r="K44" s="131" t="s">
        <v>44</v>
      </c>
      <c r="L44" s="131" t="s">
        <v>44</v>
      </c>
      <c r="M44" s="131" t="s">
        <v>44</v>
      </c>
      <c r="N44" s="131" t="s">
        <v>44</v>
      </c>
      <c r="O44" s="131" t="s">
        <v>44</v>
      </c>
      <c r="P44" s="131" t="s">
        <v>44</v>
      </c>
      <c r="Q44" s="131" t="s">
        <v>44</v>
      </c>
      <c r="R44" s="131" t="s">
        <v>44</v>
      </c>
      <c r="S44" s="131" t="s">
        <v>44</v>
      </c>
      <c r="T44" s="131" t="s">
        <v>44</v>
      </c>
      <c r="U44" s="131" t="s">
        <v>44</v>
      </c>
      <c r="V44" s="131" t="s">
        <v>44</v>
      </c>
      <c r="W44" s="131" t="s">
        <v>44</v>
      </c>
      <c r="X44" s="131" t="s">
        <v>44</v>
      </c>
      <c r="Y44" s="131" t="s">
        <v>44</v>
      </c>
      <c r="Z44" s="131" t="s">
        <v>44</v>
      </c>
      <c r="AA44" s="131" t="s">
        <v>44</v>
      </c>
      <c r="AB44" s="131" t="s">
        <v>44</v>
      </c>
      <c r="AC44" s="131" t="s">
        <v>44</v>
      </c>
      <c r="AD44" s="131" t="s">
        <v>44</v>
      </c>
      <c r="AE44" s="131" t="s">
        <v>44</v>
      </c>
      <c r="AF44" s="131" t="s">
        <v>44</v>
      </c>
      <c r="AG44" s="131" t="s">
        <v>44</v>
      </c>
      <c r="AH44" s="131" t="s">
        <v>44</v>
      </c>
      <c r="AI44" s="131" t="s">
        <v>44</v>
      </c>
      <c r="AJ44" s="131" t="s">
        <v>44</v>
      </c>
      <c r="AK44" s="131" t="s">
        <v>44</v>
      </c>
      <c r="AL44" s="131" t="s">
        <v>44</v>
      </c>
      <c r="AM44" s="131" t="s">
        <v>44</v>
      </c>
      <c r="AN44" s="131" t="s">
        <v>44</v>
      </c>
      <c r="AO44" s="131" t="s">
        <v>44</v>
      </c>
      <c r="AP44" s="131" t="s">
        <v>44</v>
      </c>
      <c r="AQ44" s="131" t="s">
        <v>44</v>
      </c>
      <c r="AR44" s="131" t="s">
        <v>44</v>
      </c>
      <c r="AS44" s="131" t="s">
        <v>44</v>
      </c>
      <c r="AT44" s="131" t="s">
        <v>44</v>
      </c>
      <c r="AU44" s="131" t="s">
        <v>44</v>
      </c>
      <c r="AV44" s="131" t="s">
        <v>44</v>
      </c>
      <c r="AW44" s="131" t="s">
        <v>44</v>
      </c>
      <c r="AX44" s="131" t="s">
        <v>44</v>
      </c>
      <c r="AY44" s="131" t="s">
        <v>44</v>
      </c>
      <c r="AZ44" s="131" t="s">
        <v>44</v>
      </c>
      <c r="BA44" s="131" t="s">
        <v>44</v>
      </c>
      <c r="BB44" s="131">
        <v>9.3000000000000007</v>
      </c>
      <c r="BC44" s="131">
        <v>9.3000000000000007</v>
      </c>
      <c r="BD44" s="131">
        <v>9.6</v>
      </c>
      <c r="BE44" s="131" t="s">
        <v>44</v>
      </c>
      <c r="BF44" s="131" t="s">
        <v>44</v>
      </c>
      <c r="BG44" s="131" t="s">
        <v>44</v>
      </c>
      <c r="BH44" s="131" t="s">
        <v>44</v>
      </c>
      <c r="BI44" s="131" t="s">
        <v>44</v>
      </c>
      <c r="BJ44" s="131" t="s">
        <v>44</v>
      </c>
      <c r="BK44" s="131" t="s">
        <v>44</v>
      </c>
      <c r="BL44" s="131" t="s">
        <v>44</v>
      </c>
      <c r="BM44" s="131" t="s">
        <v>44</v>
      </c>
      <c r="BN44" s="131"/>
      <c r="BO44" s="3"/>
      <c r="BP44" s="3"/>
      <c r="BZ44" s="181"/>
      <c r="CA44" s="181"/>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2"/>
    </row>
    <row r="45" spans="1:109" s="50" customFormat="1">
      <c r="A45" s="144" t="s">
        <v>152</v>
      </c>
      <c r="B45" s="2" t="s">
        <v>75</v>
      </c>
      <c r="C45" s="4"/>
      <c r="D45" s="55" t="s">
        <v>44</v>
      </c>
      <c r="E45" s="55" t="s">
        <v>44</v>
      </c>
      <c r="F45" s="55" t="s">
        <v>44</v>
      </c>
      <c r="G45" s="55" t="s">
        <v>44</v>
      </c>
      <c r="H45" s="55" t="s">
        <v>44</v>
      </c>
      <c r="I45" s="55" t="s">
        <v>44</v>
      </c>
      <c r="J45" s="55" t="s">
        <v>44</v>
      </c>
      <c r="K45" s="55" t="s">
        <v>44</v>
      </c>
      <c r="L45" s="55" t="s">
        <v>44</v>
      </c>
      <c r="M45" s="55" t="s">
        <v>44</v>
      </c>
      <c r="N45" s="55" t="s">
        <v>44</v>
      </c>
      <c r="O45" s="55" t="s">
        <v>44</v>
      </c>
      <c r="P45" s="55" t="s">
        <v>44</v>
      </c>
      <c r="Q45" s="55" t="s">
        <v>44</v>
      </c>
      <c r="R45" s="55" t="s">
        <v>44</v>
      </c>
      <c r="S45" s="55" t="s">
        <v>44</v>
      </c>
      <c r="T45" s="55" t="s">
        <v>44</v>
      </c>
      <c r="U45" s="55" t="s">
        <v>44</v>
      </c>
      <c r="V45" s="55" t="s">
        <v>44</v>
      </c>
      <c r="W45" s="55" t="s">
        <v>44</v>
      </c>
      <c r="X45" s="55" t="s">
        <v>44</v>
      </c>
      <c r="Y45" s="55" t="s">
        <v>44</v>
      </c>
      <c r="Z45" s="55" t="s">
        <v>44</v>
      </c>
      <c r="AA45" s="55" t="s">
        <v>44</v>
      </c>
      <c r="AB45" s="55" t="s">
        <v>44</v>
      </c>
      <c r="AC45" s="55" t="s">
        <v>44</v>
      </c>
      <c r="AD45" s="55" t="s">
        <v>44</v>
      </c>
      <c r="AE45" s="55" t="s">
        <v>44</v>
      </c>
      <c r="AF45" s="55" t="s">
        <v>44</v>
      </c>
      <c r="AG45" s="55" t="s">
        <v>44</v>
      </c>
      <c r="AH45" s="55" t="s">
        <v>44</v>
      </c>
      <c r="AI45" s="55" t="s">
        <v>44</v>
      </c>
      <c r="AJ45" s="55" t="s">
        <v>44</v>
      </c>
      <c r="AK45" s="55" t="s">
        <v>44</v>
      </c>
      <c r="AL45" s="55" t="s">
        <v>44</v>
      </c>
      <c r="AM45" s="55" t="s">
        <v>44</v>
      </c>
      <c r="AN45" s="55" t="s">
        <v>44</v>
      </c>
      <c r="AO45" s="55" t="s">
        <v>44</v>
      </c>
      <c r="AP45" s="55" t="s">
        <v>44</v>
      </c>
      <c r="AQ45" s="55" t="s">
        <v>44</v>
      </c>
      <c r="AR45" s="55" t="s">
        <v>44</v>
      </c>
      <c r="AS45" s="55" t="s">
        <v>44</v>
      </c>
      <c r="AT45" s="55" t="s">
        <v>44</v>
      </c>
      <c r="AU45" s="55" t="s">
        <v>44</v>
      </c>
      <c r="AV45" s="55" t="s">
        <v>44</v>
      </c>
      <c r="AW45" s="55" t="s">
        <v>44</v>
      </c>
      <c r="AX45" s="55" t="s">
        <v>44</v>
      </c>
      <c r="AY45" s="55" t="s">
        <v>44</v>
      </c>
      <c r="AZ45" s="55" t="s">
        <v>44</v>
      </c>
      <c r="BA45" s="55" t="s">
        <v>44</v>
      </c>
      <c r="BB45" s="55" t="s">
        <v>44</v>
      </c>
      <c r="BC45" s="55" t="s">
        <v>44</v>
      </c>
      <c r="BD45" s="55" t="s">
        <v>44</v>
      </c>
      <c r="BE45" s="55" t="s">
        <v>44</v>
      </c>
      <c r="BF45" s="55" t="s">
        <v>44</v>
      </c>
      <c r="BG45" s="55" t="s">
        <v>44</v>
      </c>
      <c r="BH45" s="55" t="s">
        <v>44</v>
      </c>
      <c r="BI45" s="55" t="s">
        <v>44</v>
      </c>
      <c r="BJ45" s="55" t="s">
        <v>44</v>
      </c>
      <c r="BK45" s="55" t="s">
        <v>44</v>
      </c>
      <c r="BL45" s="55" t="s">
        <v>44</v>
      </c>
      <c r="BM45" s="55" t="s">
        <v>44</v>
      </c>
      <c r="BN45" s="55"/>
      <c r="BO45" s="3"/>
      <c r="BP45" s="3"/>
      <c r="BZ45" s="181"/>
      <c r="CA45" s="181"/>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2"/>
    </row>
    <row r="46" spans="1:109" s="2" customFormat="1">
      <c r="A46" s="144" t="s">
        <v>153</v>
      </c>
      <c r="B46" s="132" t="s">
        <v>76</v>
      </c>
      <c r="C46" s="133"/>
      <c r="D46" s="131" t="s">
        <v>44</v>
      </c>
      <c r="E46" s="131" t="s">
        <v>44</v>
      </c>
      <c r="F46" s="131" t="s">
        <v>44</v>
      </c>
      <c r="G46" s="131" t="s">
        <v>44</v>
      </c>
      <c r="H46" s="131" t="s">
        <v>44</v>
      </c>
      <c r="I46" s="131" t="s">
        <v>44</v>
      </c>
      <c r="J46" s="131" t="s">
        <v>44</v>
      </c>
      <c r="K46" s="131" t="s">
        <v>44</v>
      </c>
      <c r="L46" s="131" t="s">
        <v>44</v>
      </c>
      <c r="M46" s="131" t="s">
        <v>44</v>
      </c>
      <c r="N46" s="131" t="s">
        <v>44</v>
      </c>
      <c r="O46" s="131" t="s">
        <v>44</v>
      </c>
      <c r="P46" s="131" t="s">
        <v>44</v>
      </c>
      <c r="Q46" s="131" t="s">
        <v>44</v>
      </c>
      <c r="R46" s="131" t="s">
        <v>44</v>
      </c>
      <c r="S46" s="131" t="s">
        <v>44</v>
      </c>
      <c r="T46" s="131" t="s">
        <v>44</v>
      </c>
      <c r="U46" s="131" t="s">
        <v>44</v>
      </c>
      <c r="V46" s="131" t="s">
        <v>44</v>
      </c>
      <c r="W46" s="131" t="s">
        <v>44</v>
      </c>
      <c r="X46" s="131" t="s">
        <v>44</v>
      </c>
      <c r="Y46" s="131" t="s">
        <v>44</v>
      </c>
      <c r="Z46" s="131" t="s">
        <v>44</v>
      </c>
      <c r="AA46" s="131" t="s">
        <v>44</v>
      </c>
      <c r="AB46" s="131" t="s">
        <v>44</v>
      </c>
      <c r="AC46" s="131" t="s">
        <v>44</v>
      </c>
      <c r="AD46" s="131" t="s">
        <v>44</v>
      </c>
      <c r="AE46" s="131" t="s">
        <v>44</v>
      </c>
      <c r="AF46" s="131" t="s">
        <v>44</v>
      </c>
      <c r="AG46" s="131" t="s">
        <v>44</v>
      </c>
      <c r="AH46" s="131" t="s">
        <v>44</v>
      </c>
      <c r="AI46" s="131" t="s">
        <v>44</v>
      </c>
      <c r="AJ46" s="131" t="s">
        <v>44</v>
      </c>
      <c r="AK46" s="131" t="s">
        <v>44</v>
      </c>
      <c r="AL46" s="131" t="s">
        <v>44</v>
      </c>
      <c r="AM46" s="131" t="s">
        <v>44</v>
      </c>
      <c r="AN46" s="131" t="s">
        <v>44</v>
      </c>
      <c r="AO46" s="131" t="s">
        <v>44</v>
      </c>
      <c r="AP46" s="131" t="s">
        <v>44</v>
      </c>
      <c r="AQ46" s="131" t="s">
        <v>44</v>
      </c>
      <c r="AR46" s="131" t="s">
        <v>44</v>
      </c>
      <c r="AS46" s="131" t="s">
        <v>44</v>
      </c>
      <c r="AT46" s="131" t="s">
        <v>44</v>
      </c>
      <c r="AU46" s="131" t="s">
        <v>44</v>
      </c>
      <c r="AV46" s="131" t="s">
        <v>44</v>
      </c>
      <c r="AW46" s="131" t="s">
        <v>44</v>
      </c>
      <c r="AX46" s="131" t="s">
        <v>44</v>
      </c>
      <c r="AY46" s="131" t="s">
        <v>44</v>
      </c>
      <c r="AZ46" s="131" t="s">
        <v>44</v>
      </c>
      <c r="BA46" s="131" t="s">
        <v>44</v>
      </c>
      <c r="BB46" s="131" t="s">
        <v>44</v>
      </c>
      <c r="BC46" s="131" t="s">
        <v>44</v>
      </c>
      <c r="BD46" s="131" t="s">
        <v>44</v>
      </c>
      <c r="BE46" s="131" t="s">
        <v>44</v>
      </c>
      <c r="BF46" s="131" t="s">
        <v>44</v>
      </c>
      <c r="BG46" s="131" t="s">
        <v>44</v>
      </c>
      <c r="BH46" s="131" t="s">
        <v>44</v>
      </c>
      <c r="BI46" s="131" t="s">
        <v>44</v>
      </c>
      <c r="BJ46" s="131" t="s">
        <v>44</v>
      </c>
      <c r="BK46" s="131" t="s">
        <v>44</v>
      </c>
      <c r="BL46" s="131" t="s">
        <v>44</v>
      </c>
      <c r="BM46" s="131" t="s">
        <v>44</v>
      </c>
      <c r="BN46" s="131"/>
      <c r="BO46" s="3"/>
      <c r="BP46" s="3"/>
      <c r="BZ46" s="181"/>
      <c r="CA46" s="181"/>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row>
    <row r="47" spans="1:109" s="2" customFormat="1">
      <c r="A47" s="144" t="s">
        <v>154</v>
      </c>
      <c r="B47" s="2" t="s">
        <v>85</v>
      </c>
      <c r="C47" s="4"/>
      <c r="D47" s="55" t="s">
        <v>44</v>
      </c>
      <c r="E47" s="55" t="s">
        <v>44</v>
      </c>
      <c r="F47" s="55" t="s">
        <v>44</v>
      </c>
      <c r="G47" s="55" t="s">
        <v>44</v>
      </c>
      <c r="H47" s="55" t="s">
        <v>44</v>
      </c>
      <c r="I47" s="55" t="s">
        <v>44</v>
      </c>
      <c r="J47" s="55" t="s">
        <v>44</v>
      </c>
      <c r="K47" s="55" t="s">
        <v>44</v>
      </c>
      <c r="L47" s="55" t="s">
        <v>44</v>
      </c>
      <c r="M47" s="55" t="s">
        <v>44</v>
      </c>
      <c r="N47" s="55" t="s">
        <v>44</v>
      </c>
      <c r="O47" s="55" t="s">
        <v>44</v>
      </c>
      <c r="P47" s="55" t="s">
        <v>44</v>
      </c>
      <c r="Q47" s="55" t="s">
        <v>44</v>
      </c>
      <c r="R47" s="55" t="s">
        <v>44</v>
      </c>
      <c r="S47" s="55" t="s">
        <v>44</v>
      </c>
      <c r="T47" s="55" t="s">
        <v>44</v>
      </c>
      <c r="U47" s="55" t="s">
        <v>44</v>
      </c>
      <c r="V47" s="55" t="s">
        <v>44</v>
      </c>
      <c r="W47" s="55" t="s">
        <v>44</v>
      </c>
      <c r="X47" s="55" t="s">
        <v>44</v>
      </c>
      <c r="Y47" s="55" t="s">
        <v>44</v>
      </c>
      <c r="Z47" s="55" t="s">
        <v>44</v>
      </c>
      <c r="AA47" s="55" t="s">
        <v>44</v>
      </c>
      <c r="AB47" s="55" t="s">
        <v>44</v>
      </c>
      <c r="AC47" s="55" t="s">
        <v>44</v>
      </c>
      <c r="AD47" s="55" t="s">
        <v>44</v>
      </c>
      <c r="AE47" s="55" t="s">
        <v>44</v>
      </c>
      <c r="AF47" s="55" t="s">
        <v>44</v>
      </c>
      <c r="AG47" s="55" t="s">
        <v>44</v>
      </c>
      <c r="AH47" s="55" t="s">
        <v>44</v>
      </c>
      <c r="AI47" s="55" t="s">
        <v>44</v>
      </c>
      <c r="AJ47" s="55" t="s">
        <v>44</v>
      </c>
      <c r="AK47" s="55" t="s">
        <v>44</v>
      </c>
      <c r="AL47" s="55" t="s">
        <v>44</v>
      </c>
      <c r="AM47" s="55" t="s">
        <v>44</v>
      </c>
      <c r="AN47" s="55" t="s">
        <v>44</v>
      </c>
      <c r="AO47" s="55" t="s">
        <v>44</v>
      </c>
      <c r="AP47" s="55" t="s">
        <v>44</v>
      </c>
      <c r="AQ47" s="55" t="s">
        <v>44</v>
      </c>
      <c r="AR47" s="55" t="s">
        <v>44</v>
      </c>
      <c r="AS47" s="55" t="s">
        <v>44</v>
      </c>
      <c r="AT47" s="55" t="s">
        <v>44</v>
      </c>
      <c r="AU47" s="55" t="s">
        <v>44</v>
      </c>
      <c r="AV47" s="55" t="s">
        <v>44</v>
      </c>
      <c r="AW47" s="55" t="s">
        <v>44</v>
      </c>
      <c r="AX47" s="55" t="s">
        <v>44</v>
      </c>
      <c r="AY47" s="55" t="s">
        <v>44</v>
      </c>
      <c r="AZ47" s="55" t="s">
        <v>44</v>
      </c>
      <c r="BA47" s="55" t="s">
        <v>44</v>
      </c>
      <c r="BB47" s="55">
        <v>8.5</v>
      </c>
      <c r="BC47" s="55">
        <v>9.1999999999999993</v>
      </c>
      <c r="BD47" s="55">
        <v>8.5</v>
      </c>
      <c r="BE47" s="55">
        <v>8.5</v>
      </c>
      <c r="BF47" s="55" t="s">
        <v>44</v>
      </c>
      <c r="BG47" s="55" t="s">
        <v>44</v>
      </c>
      <c r="BH47" s="55" t="s">
        <v>44</v>
      </c>
      <c r="BI47" s="55" t="s">
        <v>44</v>
      </c>
      <c r="BJ47" s="55" t="s">
        <v>44</v>
      </c>
      <c r="BK47" s="55" t="s">
        <v>44</v>
      </c>
      <c r="BL47" s="55" t="s">
        <v>44</v>
      </c>
      <c r="BM47" s="55" t="s">
        <v>44</v>
      </c>
      <c r="BN47" s="55"/>
      <c r="BO47" s="3"/>
      <c r="BP47" s="3"/>
      <c r="BZ47" s="181"/>
      <c r="CA47" s="181"/>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row>
    <row r="48" spans="1:109" s="2" customFormat="1">
      <c r="A48" s="144" t="s">
        <v>155</v>
      </c>
      <c r="B48" s="132" t="s">
        <v>78</v>
      </c>
      <c r="C48" s="133"/>
      <c r="D48" s="131" t="s">
        <v>44</v>
      </c>
      <c r="E48" s="131" t="s">
        <v>44</v>
      </c>
      <c r="F48" s="131" t="s">
        <v>44</v>
      </c>
      <c r="G48" s="131" t="s">
        <v>44</v>
      </c>
      <c r="H48" s="131" t="s">
        <v>44</v>
      </c>
      <c r="I48" s="131" t="s">
        <v>44</v>
      </c>
      <c r="J48" s="131" t="s">
        <v>44</v>
      </c>
      <c r="K48" s="131" t="s">
        <v>44</v>
      </c>
      <c r="L48" s="131" t="s">
        <v>44</v>
      </c>
      <c r="M48" s="131" t="s">
        <v>44</v>
      </c>
      <c r="N48" s="131" t="s">
        <v>44</v>
      </c>
      <c r="O48" s="131" t="s">
        <v>44</v>
      </c>
      <c r="P48" s="131" t="s">
        <v>44</v>
      </c>
      <c r="Q48" s="131" t="s">
        <v>44</v>
      </c>
      <c r="R48" s="131" t="s">
        <v>44</v>
      </c>
      <c r="S48" s="131" t="s">
        <v>44</v>
      </c>
      <c r="T48" s="131" t="s">
        <v>44</v>
      </c>
      <c r="U48" s="131" t="s">
        <v>44</v>
      </c>
      <c r="V48" s="131" t="s">
        <v>44</v>
      </c>
      <c r="W48" s="131" t="s">
        <v>44</v>
      </c>
      <c r="X48" s="131" t="s">
        <v>44</v>
      </c>
      <c r="Y48" s="131" t="s">
        <v>44</v>
      </c>
      <c r="Z48" s="131" t="s">
        <v>44</v>
      </c>
      <c r="AA48" s="131" t="s">
        <v>44</v>
      </c>
      <c r="AB48" s="131" t="s">
        <v>44</v>
      </c>
      <c r="AC48" s="131" t="s">
        <v>44</v>
      </c>
      <c r="AD48" s="131" t="s">
        <v>44</v>
      </c>
      <c r="AE48" s="131" t="s">
        <v>44</v>
      </c>
      <c r="AF48" s="131" t="s">
        <v>44</v>
      </c>
      <c r="AG48" s="131" t="s">
        <v>44</v>
      </c>
      <c r="AH48" s="131" t="s">
        <v>44</v>
      </c>
      <c r="AI48" s="131" t="s">
        <v>44</v>
      </c>
      <c r="AJ48" s="131" t="s">
        <v>44</v>
      </c>
      <c r="AK48" s="131" t="s">
        <v>44</v>
      </c>
      <c r="AL48" s="131" t="s">
        <v>44</v>
      </c>
      <c r="AM48" s="131" t="s">
        <v>44</v>
      </c>
      <c r="AN48" s="131" t="s">
        <v>44</v>
      </c>
      <c r="AO48" s="131" t="s">
        <v>44</v>
      </c>
      <c r="AP48" s="131" t="s">
        <v>44</v>
      </c>
      <c r="AQ48" s="131" t="s">
        <v>44</v>
      </c>
      <c r="AR48" s="131" t="s">
        <v>44</v>
      </c>
      <c r="AS48" s="131" t="s">
        <v>44</v>
      </c>
      <c r="AT48" s="131" t="s">
        <v>44</v>
      </c>
      <c r="AU48" s="131" t="s">
        <v>44</v>
      </c>
      <c r="AV48" s="131" t="s">
        <v>44</v>
      </c>
      <c r="AW48" s="131" t="s">
        <v>44</v>
      </c>
      <c r="AX48" s="131" t="s">
        <v>44</v>
      </c>
      <c r="AY48" s="131" t="s">
        <v>44</v>
      </c>
      <c r="AZ48" s="131" t="s">
        <v>44</v>
      </c>
      <c r="BA48" s="131" t="s">
        <v>44</v>
      </c>
      <c r="BB48" s="131" t="s">
        <v>44</v>
      </c>
      <c r="BC48" s="131" t="s">
        <v>44</v>
      </c>
      <c r="BD48" s="131" t="s">
        <v>44</v>
      </c>
      <c r="BE48" s="131" t="s">
        <v>44</v>
      </c>
      <c r="BF48" s="131" t="s">
        <v>44</v>
      </c>
      <c r="BG48" s="131" t="s">
        <v>44</v>
      </c>
      <c r="BH48" s="131" t="s">
        <v>44</v>
      </c>
      <c r="BI48" s="131" t="s">
        <v>44</v>
      </c>
      <c r="BJ48" s="131" t="s">
        <v>44</v>
      </c>
      <c r="BK48" s="131" t="s">
        <v>44</v>
      </c>
      <c r="BL48" s="131" t="s">
        <v>44</v>
      </c>
      <c r="BM48" s="131" t="s">
        <v>44</v>
      </c>
      <c r="BN48" s="131"/>
      <c r="BO48" s="3"/>
      <c r="BP48" s="3"/>
      <c r="BQ48" s="181"/>
      <c r="BR48" s="181"/>
      <c r="BS48" s="181"/>
      <c r="BT48" s="181"/>
      <c r="BU48" s="181"/>
      <c r="BV48" s="181"/>
      <c r="BW48" s="181"/>
      <c r="BX48" s="181"/>
      <c r="BY48" s="181"/>
      <c r="BZ48" s="181"/>
      <c r="CA48" s="181"/>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row>
    <row r="49" spans="1:108" s="50" customFormat="1">
      <c r="A49" s="144" t="s">
        <v>156</v>
      </c>
      <c r="B49" s="2" t="s">
        <v>79</v>
      </c>
      <c r="C49" s="4"/>
      <c r="D49" s="55" t="s">
        <v>44</v>
      </c>
      <c r="E49" s="55" t="s">
        <v>44</v>
      </c>
      <c r="F49" s="55" t="s">
        <v>44</v>
      </c>
      <c r="G49" s="55" t="s">
        <v>44</v>
      </c>
      <c r="H49" s="55" t="s">
        <v>44</v>
      </c>
      <c r="I49" s="55" t="s">
        <v>44</v>
      </c>
      <c r="J49" s="55" t="s">
        <v>44</v>
      </c>
      <c r="K49" s="55" t="s">
        <v>44</v>
      </c>
      <c r="L49" s="55" t="s">
        <v>44</v>
      </c>
      <c r="M49" s="55" t="s">
        <v>44</v>
      </c>
      <c r="N49" s="55" t="s">
        <v>44</v>
      </c>
      <c r="O49" s="55" t="s">
        <v>44</v>
      </c>
      <c r="P49" s="55" t="s">
        <v>44</v>
      </c>
      <c r="Q49" s="55" t="s">
        <v>44</v>
      </c>
      <c r="R49" s="55" t="s">
        <v>44</v>
      </c>
      <c r="S49" s="55" t="s">
        <v>44</v>
      </c>
      <c r="T49" s="55" t="s">
        <v>44</v>
      </c>
      <c r="U49" s="55" t="s">
        <v>44</v>
      </c>
      <c r="V49" s="55" t="s">
        <v>44</v>
      </c>
      <c r="W49" s="55" t="s">
        <v>44</v>
      </c>
      <c r="X49" s="55" t="s">
        <v>44</v>
      </c>
      <c r="Y49" s="55" t="s">
        <v>44</v>
      </c>
      <c r="Z49" s="55" t="s">
        <v>44</v>
      </c>
      <c r="AA49" s="55" t="s">
        <v>44</v>
      </c>
      <c r="AB49" s="55" t="s">
        <v>44</v>
      </c>
      <c r="AC49" s="55" t="s">
        <v>44</v>
      </c>
      <c r="AD49" s="55" t="s">
        <v>44</v>
      </c>
      <c r="AE49" s="55" t="s">
        <v>44</v>
      </c>
      <c r="AF49" s="55" t="s">
        <v>44</v>
      </c>
      <c r="AG49" s="55" t="s">
        <v>44</v>
      </c>
      <c r="AH49" s="55" t="s">
        <v>44</v>
      </c>
      <c r="AI49" s="55" t="s">
        <v>44</v>
      </c>
      <c r="AJ49" s="55" t="s">
        <v>44</v>
      </c>
      <c r="AK49" s="55" t="s">
        <v>44</v>
      </c>
      <c r="AL49" s="55" t="s">
        <v>44</v>
      </c>
      <c r="AM49" s="55" t="s">
        <v>44</v>
      </c>
      <c r="AN49" s="55" t="s">
        <v>44</v>
      </c>
      <c r="AO49" s="55" t="s">
        <v>44</v>
      </c>
      <c r="AP49" s="55" t="s">
        <v>44</v>
      </c>
      <c r="AQ49" s="55" t="s">
        <v>44</v>
      </c>
      <c r="AR49" s="55" t="s">
        <v>44</v>
      </c>
      <c r="AS49" s="55" t="s">
        <v>44</v>
      </c>
      <c r="AT49" s="55" t="s">
        <v>44</v>
      </c>
      <c r="AU49" s="55" t="s">
        <v>44</v>
      </c>
      <c r="AV49" s="55" t="s">
        <v>44</v>
      </c>
      <c r="AW49" s="55" t="s">
        <v>44</v>
      </c>
      <c r="AX49" s="55" t="s">
        <v>44</v>
      </c>
      <c r="AY49" s="55" t="s">
        <v>44</v>
      </c>
      <c r="AZ49" s="55" t="s">
        <v>44</v>
      </c>
      <c r="BA49" s="55" t="s">
        <v>44</v>
      </c>
      <c r="BB49" s="55">
        <v>3</v>
      </c>
      <c r="BC49" s="55">
        <v>3.1</v>
      </c>
      <c r="BD49" s="55">
        <v>3.2</v>
      </c>
      <c r="BE49" s="55">
        <v>2.9</v>
      </c>
      <c r="BF49" s="55">
        <v>2.8</v>
      </c>
      <c r="BG49" s="55">
        <v>2.8</v>
      </c>
      <c r="BH49" s="55">
        <v>2.7</v>
      </c>
      <c r="BI49" s="55">
        <v>2.89</v>
      </c>
      <c r="BJ49" s="55">
        <v>2.79</v>
      </c>
      <c r="BK49" s="55" t="s">
        <v>44</v>
      </c>
      <c r="BL49" s="55" t="s">
        <v>44</v>
      </c>
      <c r="BM49" s="55" t="s">
        <v>44</v>
      </c>
      <c r="BN49" s="55"/>
      <c r="BO49" s="3"/>
      <c r="BP49" s="3"/>
      <c r="BQ49" s="181"/>
      <c r="BR49" s="181"/>
      <c r="BS49" s="181"/>
      <c r="BT49" s="181"/>
      <c r="BU49" s="181"/>
      <c r="BV49" s="181"/>
      <c r="BW49" s="181"/>
      <c r="BX49" s="181"/>
      <c r="BY49" s="181"/>
      <c r="BZ49" s="181"/>
      <c r="CA49" s="181"/>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2"/>
    </row>
    <row r="50" spans="1:108" s="50" customFormat="1">
      <c r="A50" s="144" t="s">
        <v>157</v>
      </c>
      <c r="B50" s="80" t="s">
        <v>80</v>
      </c>
      <c r="C50" s="8"/>
      <c r="D50" s="7" t="s">
        <v>44</v>
      </c>
      <c r="E50" s="7" t="s">
        <v>44</v>
      </c>
      <c r="F50" s="7" t="s">
        <v>44</v>
      </c>
      <c r="G50" s="7" t="s">
        <v>44</v>
      </c>
      <c r="H50" s="7" t="s">
        <v>44</v>
      </c>
      <c r="I50" s="7" t="s">
        <v>44</v>
      </c>
      <c r="J50" s="7" t="s">
        <v>44</v>
      </c>
      <c r="K50" s="7" t="s">
        <v>44</v>
      </c>
      <c r="L50" s="7" t="s">
        <v>44</v>
      </c>
      <c r="M50" s="7" t="s">
        <v>44</v>
      </c>
      <c r="N50" s="7" t="s">
        <v>44</v>
      </c>
      <c r="O50" s="7" t="s">
        <v>44</v>
      </c>
      <c r="P50" s="7" t="s">
        <v>44</v>
      </c>
      <c r="Q50" s="7" t="s">
        <v>44</v>
      </c>
      <c r="R50" s="7" t="s">
        <v>44</v>
      </c>
      <c r="S50" s="7" t="s">
        <v>44</v>
      </c>
      <c r="T50" s="7" t="s">
        <v>44</v>
      </c>
      <c r="U50" s="7" t="s">
        <v>44</v>
      </c>
      <c r="V50" s="7" t="s">
        <v>44</v>
      </c>
      <c r="W50" s="7" t="s">
        <v>44</v>
      </c>
      <c r="X50" s="7" t="s">
        <v>44</v>
      </c>
      <c r="Y50" s="7" t="s">
        <v>44</v>
      </c>
      <c r="Z50" s="7" t="s">
        <v>44</v>
      </c>
      <c r="AA50" s="7" t="s">
        <v>44</v>
      </c>
      <c r="AB50" s="7" t="s">
        <v>44</v>
      </c>
      <c r="AC50" s="7" t="s">
        <v>44</v>
      </c>
      <c r="AD50" s="7" t="s">
        <v>44</v>
      </c>
      <c r="AE50" s="7" t="s">
        <v>44</v>
      </c>
      <c r="AF50" s="7" t="s">
        <v>44</v>
      </c>
      <c r="AG50" s="7" t="s">
        <v>44</v>
      </c>
      <c r="AH50" s="7" t="s">
        <v>44</v>
      </c>
      <c r="AI50" s="7" t="s">
        <v>44</v>
      </c>
      <c r="AJ50" s="7" t="s">
        <v>44</v>
      </c>
      <c r="AK50" s="7" t="s">
        <v>44</v>
      </c>
      <c r="AL50" s="7" t="s">
        <v>44</v>
      </c>
      <c r="AM50" s="7" t="s">
        <v>44</v>
      </c>
      <c r="AN50" s="7" t="s">
        <v>44</v>
      </c>
      <c r="AO50" s="7" t="s">
        <v>44</v>
      </c>
      <c r="AP50" s="7" t="s">
        <v>44</v>
      </c>
      <c r="AQ50" s="7" t="s">
        <v>44</v>
      </c>
      <c r="AR50" s="7" t="s">
        <v>44</v>
      </c>
      <c r="AS50" s="7" t="s">
        <v>44</v>
      </c>
      <c r="AT50" s="7" t="s">
        <v>44</v>
      </c>
      <c r="AU50" s="7" t="s">
        <v>44</v>
      </c>
      <c r="AV50" s="7" t="s">
        <v>44</v>
      </c>
      <c r="AW50" s="7" t="s">
        <v>44</v>
      </c>
      <c r="AX50" s="7" t="s">
        <v>44</v>
      </c>
      <c r="AY50" s="7" t="s">
        <v>44</v>
      </c>
      <c r="AZ50" s="7" t="s">
        <v>44</v>
      </c>
      <c r="BA50" s="7" t="s">
        <v>44</v>
      </c>
      <c r="BB50" s="7" t="s">
        <v>44</v>
      </c>
      <c r="BC50" s="7" t="s">
        <v>44</v>
      </c>
      <c r="BD50" s="7" t="s">
        <v>44</v>
      </c>
      <c r="BE50" s="7" t="s">
        <v>44</v>
      </c>
      <c r="BF50" s="7" t="s">
        <v>44</v>
      </c>
      <c r="BG50" s="7" t="s">
        <v>44</v>
      </c>
      <c r="BH50" s="7" t="s">
        <v>44</v>
      </c>
      <c r="BI50" s="7" t="s">
        <v>44</v>
      </c>
      <c r="BJ50" s="7" t="s">
        <v>44</v>
      </c>
      <c r="BK50" s="7" t="s">
        <v>44</v>
      </c>
      <c r="BL50" s="7" t="s">
        <v>44</v>
      </c>
      <c r="BM50" s="7" t="s">
        <v>44</v>
      </c>
      <c r="BN50" s="7"/>
      <c r="BO50" s="3"/>
      <c r="BP50" s="3"/>
      <c r="BQ50" s="181"/>
      <c r="BR50" s="181"/>
      <c r="BS50" s="181"/>
      <c r="BT50" s="181"/>
      <c r="BU50" s="181"/>
      <c r="BV50" s="181"/>
      <c r="BW50" s="181"/>
      <c r="BX50" s="181"/>
      <c r="BY50" s="181"/>
      <c r="BZ50" s="181"/>
      <c r="CA50" s="181"/>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2"/>
    </row>
    <row r="51" spans="1:108" s="38" customFormat="1">
      <c r="A51" s="144" t="s">
        <v>158</v>
      </c>
      <c r="B51" s="61" t="s">
        <v>7</v>
      </c>
      <c r="C51" s="56"/>
      <c r="D51" s="69">
        <v>8.8000000000000007</v>
      </c>
      <c r="E51" s="69">
        <v>8.4</v>
      </c>
      <c r="F51" s="69">
        <v>8.1</v>
      </c>
      <c r="G51" s="69">
        <v>8.1999999999999993</v>
      </c>
      <c r="H51" s="69">
        <v>8.1</v>
      </c>
      <c r="I51" s="69">
        <v>8</v>
      </c>
      <c r="J51" s="69">
        <v>8.1999999999999993</v>
      </c>
      <c r="K51" s="69">
        <v>8.6999999999999993</v>
      </c>
      <c r="L51" s="69">
        <v>8.9</v>
      </c>
      <c r="M51" s="69">
        <v>8.6999999999999993</v>
      </c>
      <c r="N51" s="69">
        <v>8.6</v>
      </c>
      <c r="O51" s="69">
        <v>8.1999999999999993</v>
      </c>
      <c r="P51" s="69">
        <v>8.1999999999999993</v>
      </c>
      <c r="Q51" s="69">
        <v>8.6</v>
      </c>
      <c r="R51" s="69">
        <v>8.5</v>
      </c>
      <c r="S51" s="69">
        <v>8.6</v>
      </c>
      <c r="T51" s="69">
        <v>8.4</v>
      </c>
      <c r="U51" s="69">
        <v>8.5</v>
      </c>
      <c r="V51" s="69">
        <v>8.1</v>
      </c>
      <c r="W51" s="69">
        <v>7.9</v>
      </c>
      <c r="X51" s="69">
        <v>7.9</v>
      </c>
      <c r="Y51" s="69">
        <v>7.5</v>
      </c>
      <c r="Z51" s="69">
        <v>7.5</v>
      </c>
      <c r="AA51" s="69">
        <v>7.5</v>
      </c>
      <c r="AB51" s="69">
        <v>7.3</v>
      </c>
      <c r="AC51" s="69">
        <v>7.4</v>
      </c>
      <c r="AD51" s="69">
        <v>7.3</v>
      </c>
      <c r="AE51" s="69">
        <v>7.2</v>
      </c>
      <c r="AF51" s="69">
        <v>7</v>
      </c>
      <c r="AG51" s="69">
        <v>7.1</v>
      </c>
      <c r="AH51" s="69">
        <v>6.9</v>
      </c>
      <c r="AI51" s="69">
        <v>5.7</v>
      </c>
      <c r="AJ51" s="69">
        <v>5.2</v>
      </c>
      <c r="AK51" s="69">
        <v>4.7</v>
      </c>
      <c r="AL51" s="69">
        <v>4.5</v>
      </c>
      <c r="AM51" s="69">
        <v>4.4000000000000004</v>
      </c>
      <c r="AN51" s="69">
        <v>4.3</v>
      </c>
      <c r="AO51" s="69">
        <v>4.2</v>
      </c>
      <c r="AP51" s="69">
        <v>4.3</v>
      </c>
      <c r="AQ51" s="69">
        <v>4.0999999999999996</v>
      </c>
      <c r="AR51" s="69">
        <v>4.3</v>
      </c>
      <c r="AS51" s="69">
        <v>4</v>
      </c>
      <c r="AT51" s="69">
        <v>3.7</v>
      </c>
      <c r="AU51" s="69">
        <v>3.9</v>
      </c>
      <c r="AV51" s="69">
        <v>4</v>
      </c>
      <c r="AW51" s="69">
        <v>4.4000000000000004</v>
      </c>
      <c r="AX51" s="69">
        <v>4.3</v>
      </c>
      <c r="AY51" s="69">
        <v>3.9</v>
      </c>
      <c r="AZ51" s="69">
        <v>3.7</v>
      </c>
      <c r="BA51" s="69">
        <v>3.5</v>
      </c>
      <c r="BB51" s="69">
        <v>3.3</v>
      </c>
      <c r="BC51" s="69">
        <v>2.9</v>
      </c>
      <c r="BD51" s="69">
        <v>2.9</v>
      </c>
      <c r="BE51" s="69">
        <v>3</v>
      </c>
      <c r="BF51" s="69">
        <v>3.4</v>
      </c>
      <c r="BG51" s="69">
        <v>3.9</v>
      </c>
      <c r="BH51" s="69">
        <v>3.8</v>
      </c>
      <c r="BI51" s="69">
        <v>4</v>
      </c>
      <c r="BJ51" s="69">
        <v>4.0999999999999996</v>
      </c>
      <c r="BK51" s="69">
        <v>4.2</v>
      </c>
      <c r="BL51" s="69">
        <v>3.2</v>
      </c>
      <c r="BM51" s="69">
        <v>3.9</v>
      </c>
      <c r="BN51" s="69">
        <v>3.9</v>
      </c>
      <c r="BO51" s="29"/>
      <c r="BP51" s="29"/>
      <c r="BQ51" s="180"/>
      <c r="BR51" s="180"/>
      <c r="BS51" s="180"/>
      <c r="BT51" s="180"/>
      <c r="BU51" s="180"/>
      <c r="BV51" s="180"/>
      <c r="BW51" s="180"/>
      <c r="BX51" s="180"/>
      <c r="BY51" s="180"/>
      <c r="BZ51" s="180"/>
      <c r="CA51" s="180"/>
      <c r="CB51" s="29"/>
      <c r="CC51" s="29"/>
      <c r="CD51" s="29"/>
      <c r="CE51" s="29"/>
      <c r="CF51" s="29"/>
      <c r="CG51" s="29"/>
      <c r="CH51" s="29"/>
      <c r="CI51" s="29"/>
      <c r="CJ51" s="29"/>
      <c r="CK51" s="29"/>
      <c r="CL51" s="29"/>
      <c r="CM51" s="29"/>
      <c r="CN51" s="29"/>
      <c r="CO51" s="29"/>
      <c r="CP51" s="29"/>
      <c r="CQ51" s="29"/>
      <c r="CR51" s="29"/>
      <c r="CS51" s="29"/>
      <c r="CT51" s="29"/>
      <c r="CU51" s="29"/>
      <c r="CV51" s="29"/>
      <c r="CW51" s="29"/>
      <c r="CX51" s="29"/>
      <c r="CY51" s="29"/>
      <c r="CZ51" s="29"/>
      <c r="DA51" s="29"/>
    </row>
    <row r="52" spans="1:108" s="73" customFormat="1">
      <c r="A52" s="144" t="s">
        <v>159</v>
      </c>
      <c r="B52" s="79" t="s">
        <v>6</v>
      </c>
      <c r="C52" s="11"/>
      <c r="D52" s="52">
        <v>8.9</v>
      </c>
      <c r="E52" s="52">
        <v>8.8000000000000007</v>
      </c>
      <c r="F52" s="52">
        <v>8.6</v>
      </c>
      <c r="G52" s="52">
        <v>8</v>
      </c>
      <c r="H52" s="52">
        <v>8.5</v>
      </c>
      <c r="I52" s="52">
        <v>9</v>
      </c>
      <c r="J52" s="52">
        <v>8.6</v>
      </c>
      <c r="K52" s="52">
        <v>8.3000000000000007</v>
      </c>
      <c r="L52" s="52">
        <v>8.1</v>
      </c>
      <c r="M52" s="52">
        <v>8.1</v>
      </c>
      <c r="N52" s="52">
        <v>8.5</v>
      </c>
      <c r="O52" s="52">
        <v>8.5</v>
      </c>
      <c r="P52" s="52">
        <v>8.5</v>
      </c>
      <c r="Q52" s="52">
        <v>8.3000000000000007</v>
      </c>
      <c r="R52" s="52">
        <v>8</v>
      </c>
      <c r="S52" s="52">
        <v>8</v>
      </c>
      <c r="T52" s="52">
        <v>7.7</v>
      </c>
      <c r="U52" s="52">
        <v>7.8</v>
      </c>
      <c r="V52" s="52">
        <v>7.8</v>
      </c>
      <c r="W52" s="52">
        <v>7.4</v>
      </c>
      <c r="X52" s="52">
        <v>7.2</v>
      </c>
      <c r="Y52" s="52">
        <v>7.3</v>
      </c>
      <c r="Z52" s="52">
        <v>7.2</v>
      </c>
      <c r="AA52" s="52">
        <v>7.1</v>
      </c>
      <c r="AB52" s="52">
        <v>6.9</v>
      </c>
      <c r="AC52" s="52">
        <v>6.6</v>
      </c>
      <c r="AD52" s="52">
        <v>6.5</v>
      </c>
      <c r="AE52" s="52">
        <v>6.6</v>
      </c>
      <c r="AF52" s="52">
        <v>6.2</v>
      </c>
      <c r="AG52" s="52">
        <v>6.1</v>
      </c>
      <c r="AH52" s="52">
        <v>5.8</v>
      </c>
      <c r="AI52" s="52">
        <v>4.5999999999999996</v>
      </c>
      <c r="AJ52" s="52">
        <v>4.8</v>
      </c>
      <c r="AK52" s="52">
        <v>5</v>
      </c>
      <c r="AL52" s="52">
        <v>5.2</v>
      </c>
      <c r="AM52" s="52">
        <v>5.3</v>
      </c>
      <c r="AN52" s="52">
        <v>5.4</v>
      </c>
      <c r="AO52" s="52">
        <v>5.4</v>
      </c>
      <c r="AP52" s="52">
        <v>5.3</v>
      </c>
      <c r="AQ52" s="52">
        <v>5.3</v>
      </c>
      <c r="AR52" s="52">
        <v>4.9000000000000004</v>
      </c>
      <c r="AS52" s="52">
        <v>5.0999999999999996</v>
      </c>
      <c r="AT52" s="52">
        <v>5.3</v>
      </c>
      <c r="AU52" s="52">
        <v>5.2</v>
      </c>
      <c r="AV52" s="52">
        <v>5.3</v>
      </c>
      <c r="AW52" s="52">
        <v>5.0999999999999996</v>
      </c>
      <c r="AX52" s="52">
        <v>5.0999999999999996</v>
      </c>
      <c r="AY52" s="52">
        <v>5.4</v>
      </c>
      <c r="AZ52" s="52">
        <v>5.4</v>
      </c>
      <c r="BA52" s="52">
        <v>5.2</v>
      </c>
      <c r="BB52" s="52">
        <v>5</v>
      </c>
      <c r="BC52" s="52">
        <v>4.7</v>
      </c>
      <c r="BD52" s="52">
        <v>4.8</v>
      </c>
      <c r="BE52" s="52">
        <v>4.5</v>
      </c>
      <c r="BF52" s="52">
        <v>4.5999999999999996</v>
      </c>
      <c r="BG52" s="52">
        <v>4.7</v>
      </c>
      <c r="BH52" s="52">
        <v>4.9000000000000004</v>
      </c>
      <c r="BI52" s="52">
        <v>4.9000000000000004</v>
      </c>
      <c r="BJ52" s="52">
        <v>4.9000000000000004</v>
      </c>
      <c r="BK52" s="52">
        <v>4.9000000000000004</v>
      </c>
      <c r="BL52" s="52">
        <v>3.8</v>
      </c>
      <c r="BM52" s="52">
        <v>4.5999999999999996</v>
      </c>
      <c r="BN52" s="52">
        <v>4.7</v>
      </c>
      <c r="BO52" s="72"/>
      <c r="BP52" s="72"/>
      <c r="BQ52" s="182"/>
      <c r="BR52" s="182"/>
      <c r="BS52" s="182"/>
      <c r="BT52" s="182"/>
      <c r="BU52" s="182"/>
      <c r="BV52" s="182"/>
      <c r="BW52" s="182"/>
      <c r="BX52" s="182"/>
      <c r="BY52" s="182"/>
      <c r="BZ52" s="182"/>
      <c r="CA52" s="18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row>
    <row r="53" spans="1:108" s="38" customFormat="1">
      <c r="A53" s="144" t="s">
        <v>160</v>
      </c>
      <c r="B53" s="61" t="s">
        <v>5</v>
      </c>
      <c r="C53" s="56"/>
      <c r="D53" s="69" t="s">
        <v>44</v>
      </c>
      <c r="E53" s="69" t="s">
        <v>44</v>
      </c>
      <c r="F53" s="69" t="s">
        <v>44</v>
      </c>
      <c r="G53" s="69" t="s">
        <v>44</v>
      </c>
      <c r="H53" s="69">
        <v>4.4000000000000004</v>
      </c>
      <c r="I53" s="69">
        <v>7.6</v>
      </c>
      <c r="J53" s="69">
        <v>7.3</v>
      </c>
      <c r="K53" s="69">
        <v>8.6999999999999993</v>
      </c>
      <c r="L53" s="69">
        <v>6.1</v>
      </c>
      <c r="M53" s="69">
        <v>8.6</v>
      </c>
      <c r="N53" s="69">
        <v>8.6</v>
      </c>
      <c r="O53" s="69">
        <v>9.6</v>
      </c>
      <c r="P53" s="69">
        <v>6.6</v>
      </c>
      <c r="Q53" s="69">
        <v>8.8000000000000007</v>
      </c>
      <c r="R53" s="69">
        <v>5.4</v>
      </c>
      <c r="S53" s="69">
        <v>11.2</v>
      </c>
      <c r="T53" s="69">
        <v>7.1</v>
      </c>
      <c r="U53" s="69">
        <v>10.1</v>
      </c>
      <c r="V53" s="69">
        <v>10</v>
      </c>
      <c r="W53" s="69">
        <v>12.6</v>
      </c>
      <c r="X53" s="69">
        <v>7.7</v>
      </c>
      <c r="Y53" s="69">
        <v>11.5</v>
      </c>
      <c r="Z53" s="69">
        <v>10.8</v>
      </c>
      <c r="AA53" s="69">
        <v>11.7</v>
      </c>
      <c r="AB53" s="69">
        <v>7.7</v>
      </c>
      <c r="AC53" s="69">
        <v>10.5</v>
      </c>
      <c r="AD53" s="69">
        <v>9.4</v>
      </c>
      <c r="AE53" s="69">
        <v>10.8</v>
      </c>
      <c r="AF53" s="69">
        <v>7</v>
      </c>
      <c r="AG53" s="69">
        <v>9.9</v>
      </c>
      <c r="AH53" s="69">
        <v>9.6999999999999993</v>
      </c>
      <c r="AI53" s="69">
        <v>10.5</v>
      </c>
      <c r="AJ53" s="69">
        <v>8</v>
      </c>
      <c r="AK53" s="69">
        <v>9.6999999999999993</v>
      </c>
      <c r="AL53" s="69">
        <v>9.6999999999999993</v>
      </c>
      <c r="AM53" s="69">
        <v>10.199999999999999</v>
      </c>
      <c r="AN53" s="69">
        <v>8.6999999999999993</v>
      </c>
      <c r="AO53" s="69">
        <v>10.7</v>
      </c>
      <c r="AP53" s="69">
        <v>11.4</v>
      </c>
      <c r="AQ53" s="69">
        <v>13.2</v>
      </c>
      <c r="AR53" s="69">
        <v>13.4</v>
      </c>
      <c r="AS53" s="69">
        <v>15.1</v>
      </c>
      <c r="AT53" s="69">
        <v>14.5</v>
      </c>
      <c r="AU53" s="69">
        <v>7.7</v>
      </c>
      <c r="AV53" s="69">
        <v>7.3</v>
      </c>
      <c r="AW53" s="69">
        <v>8</v>
      </c>
      <c r="AX53" s="69">
        <v>7</v>
      </c>
      <c r="AY53" s="69">
        <v>8.3000000000000007</v>
      </c>
      <c r="AZ53" s="69">
        <v>7.8</v>
      </c>
      <c r="BA53" s="69">
        <v>7.8</v>
      </c>
      <c r="BB53" s="69">
        <v>7.3</v>
      </c>
      <c r="BC53" s="69">
        <v>7.3</v>
      </c>
      <c r="BD53" s="69">
        <v>6.7</v>
      </c>
      <c r="BE53" s="69">
        <v>6.4</v>
      </c>
      <c r="BF53" s="69">
        <v>6.3</v>
      </c>
      <c r="BG53" s="69">
        <v>7.2</v>
      </c>
      <c r="BH53" s="69">
        <v>7.5</v>
      </c>
      <c r="BI53" s="69">
        <v>6.8</v>
      </c>
      <c r="BJ53" s="69">
        <v>7.8</v>
      </c>
      <c r="BK53" s="69">
        <v>8.9</v>
      </c>
      <c r="BL53" s="69"/>
      <c r="BM53" s="69"/>
      <c r="BN53" s="69"/>
      <c r="BO53" s="74"/>
      <c r="BP53" s="74"/>
      <c r="BQ53" s="183"/>
      <c r="BR53" s="183"/>
      <c r="BS53" s="183"/>
      <c r="BT53" s="183"/>
      <c r="BU53" s="179"/>
      <c r="BV53" s="179"/>
      <c r="BW53" s="179"/>
      <c r="BX53" s="179"/>
      <c r="BY53" s="179"/>
      <c r="BZ53" s="179"/>
      <c r="CA53" s="179"/>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row>
    <row r="54" spans="1:108" s="38" customFormat="1">
      <c r="A54" s="144" t="s">
        <v>161</v>
      </c>
      <c r="B54" s="79" t="s">
        <v>2</v>
      </c>
      <c r="C54" s="11"/>
      <c r="D54" s="52">
        <v>6</v>
      </c>
      <c r="E54" s="52">
        <v>6</v>
      </c>
      <c r="F54" s="52">
        <v>5.8</v>
      </c>
      <c r="G54" s="52">
        <v>6.3</v>
      </c>
      <c r="H54" s="52">
        <v>6.4</v>
      </c>
      <c r="I54" s="52">
        <v>6.2</v>
      </c>
      <c r="J54" s="52">
        <v>6.2</v>
      </c>
      <c r="K54" s="52">
        <v>6.5</v>
      </c>
      <c r="L54" s="52">
        <v>7</v>
      </c>
      <c r="M54" s="52">
        <v>7.2</v>
      </c>
      <c r="N54" s="52">
        <v>7.9</v>
      </c>
      <c r="O54" s="52">
        <v>8.9</v>
      </c>
      <c r="P54" s="52">
        <v>9.6999999999999993</v>
      </c>
      <c r="Q54" s="52">
        <v>11</v>
      </c>
      <c r="R54" s="52">
        <v>11.6</v>
      </c>
      <c r="S54" s="52">
        <v>9.1999999999999993</v>
      </c>
      <c r="T54" s="52">
        <v>9.6</v>
      </c>
      <c r="U54" s="52">
        <v>9.9</v>
      </c>
      <c r="V54" s="52">
        <v>9.1999999999999993</v>
      </c>
      <c r="W54" s="52">
        <v>8.6</v>
      </c>
      <c r="X54" s="52">
        <v>8.8000000000000007</v>
      </c>
      <c r="Y54" s="52">
        <v>9</v>
      </c>
      <c r="Z54" s="52">
        <v>8.6</v>
      </c>
      <c r="AA54" s="52">
        <v>8.4</v>
      </c>
      <c r="AB54" s="52">
        <v>8</v>
      </c>
      <c r="AC54" s="52">
        <v>7.6</v>
      </c>
      <c r="AD54" s="52">
        <v>7.7</v>
      </c>
      <c r="AE54" s="52">
        <v>7.1</v>
      </c>
      <c r="AF54" s="52">
        <v>7.3</v>
      </c>
      <c r="AG54" s="52">
        <v>7.1</v>
      </c>
      <c r="AH54" s="52">
        <v>7.1</v>
      </c>
      <c r="AI54" s="52">
        <v>7.1</v>
      </c>
      <c r="AJ54" s="52">
        <v>6.6</v>
      </c>
      <c r="AK54" s="52">
        <v>6.8</v>
      </c>
      <c r="AL54" s="52">
        <v>6.7</v>
      </c>
      <c r="AM54" s="52">
        <v>6.1</v>
      </c>
      <c r="AN54" s="52">
        <v>6.2</v>
      </c>
      <c r="AO54" s="52">
        <v>6.4</v>
      </c>
      <c r="AP54" s="52">
        <v>6.5</v>
      </c>
      <c r="AQ54" s="52">
        <v>6.4</v>
      </c>
      <c r="AR54" s="52">
        <v>6.7</v>
      </c>
      <c r="AS54" s="52">
        <v>5.6</v>
      </c>
      <c r="AT54" s="52">
        <v>5.7</v>
      </c>
      <c r="AU54" s="52">
        <v>5.9</v>
      </c>
      <c r="AV54" s="52">
        <v>6</v>
      </c>
      <c r="AW54" s="52">
        <v>5.9</v>
      </c>
      <c r="AX54" s="52">
        <v>6.3</v>
      </c>
      <c r="AY54" s="52">
        <v>6.1</v>
      </c>
      <c r="AZ54" s="52">
        <v>6.1</v>
      </c>
      <c r="BA54" s="52">
        <v>5.7</v>
      </c>
      <c r="BB54" s="52">
        <v>6.3</v>
      </c>
      <c r="BC54" s="52">
        <v>6.2</v>
      </c>
      <c r="BD54" s="52">
        <v>6.7</v>
      </c>
      <c r="BE54" s="52">
        <v>6.1</v>
      </c>
      <c r="BF54" s="52">
        <v>6.6</v>
      </c>
      <c r="BG54" s="52">
        <v>6.7</v>
      </c>
      <c r="BH54" s="52">
        <v>6.7</v>
      </c>
      <c r="BI54" s="52">
        <v>6.3</v>
      </c>
      <c r="BJ54" s="52">
        <v>5.8</v>
      </c>
      <c r="BK54" s="52">
        <v>5.3</v>
      </c>
      <c r="BL54" s="52">
        <v>2.2000000000000002</v>
      </c>
      <c r="BM54" s="52">
        <v>4.4000000000000004</v>
      </c>
      <c r="BN54" s="52">
        <v>4.8</v>
      </c>
      <c r="BO54" s="29"/>
      <c r="BP54" s="29"/>
      <c r="BQ54" s="180"/>
      <c r="BR54" s="180"/>
      <c r="BS54" s="180"/>
      <c r="BT54" s="180"/>
      <c r="BU54" s="180"/>
      <c r="BV54" s="180"/>
      <c r="BW54" s="180"/>
      <c r="BX54" s="180"/>
      <c r="BY54" s="180"/>
      <c r="BZ54" s="180"/>
      <c r="CA54" s="180"/>
      <c r="CB54" s="29"/>
      <c r="CC54" s="29"/>
      <c r="CD54" s="29"/>
      <c r="CE54" s="29"/>
      <c r="CF54" s="29"/>
      <c r="CG54" s="29"/>
      <c r="CH54" s="29"/>
      <c r="CI54" s="29"/>
      <c r="CJ54" s="29"/>
      <c r="CK54" s="29"/>
      <c r="CL54" s="29"/>
      <c r="CM54" s="29"/>
      <c r="CN54" s="29"/>
      <c r="CO54" s="29"/>
      <c r="CP54" s="29"/>
      <c r="CQ54" s="29"/>
      <c r="CR54" s="29"/>
      <c r="CS54" s="29"/>
      <c r="CT54" s="29"/>
      <c r="CU54" s="29"/>
      <c r="CV54" s="29"/>
      <c r="CW54" s="29"/>
      <c r="CX54" s="29"/>
      <c r="CY54" s="29"/>
      <c r="CZ54" s="29"/>
      <c r="DA54" s="29"/>
      <c r="DB54" s="29"/>
      <c r="DC54" s="29"/>
      <c r="DD54" s="29"/>
    </row>
    <row r="55" spans="1:108" s="38" customFormat="1">
      <c r="A55" s="144" t="s">
        <v>162</v>
      </c>
      <c r="B55" s="62" t="s">
        <v>1</v>
      </c>
      <c r="C55" s="70"/>
      <c r="D55" s="71">
        <v>10.7</v>
      </c>
      <c r="E55" s="71">
        <v>9.6999999999999993</v>
      </c>
      <c r="F55" s="71">
        <v>9.9</v>
      </c>
      <c r="G55" s="71">
        <v>9.3000000000000007</v>
      </c>
      <c r="H55" s="71">
        <v>9</v>
      </c>
      <c r="I55" s="71">
        <v>8.6</v>
      </c>
      <c r="J55" s="71">
        <v>8.9</v>
      </c>
      <c r="K55" s="71">
        <v>7.9</v>
      </c>
      <c r="L55" s="71">
        <v>7.4</v>
      </c>
      <c r="M55" s="71">
        <v>7</v>
      </c>
      <c r="N55" s="71">
        <v>7.2</v>
      </c>
      <c r="O55" s="71">
        <v>7.3</v>
      </c>
      <c r="P55" s="71">
        <v>7.6</v>
      </c>
      <c r="Q55" s="71">
        <v>8.1999999999999993</v>
      </c>
      <c r="R55" s="71">
        <v>8.3000000000000007</v>
      </c>
      <c r="S55" s="71">
        <v>8.8000000000000007</v>
      </c>
      <c r="T55" s="71">
        <v>9.1</v>
      </c>
      <c r="U55" s="71">
        <v>9.1999999999999993</v>
      </c>
      <c r="V55" s="71">
        <v>9.1999999999999993</v>
      </c>
      <c r="W55" s="71">
        <v>9</v>
      </c>
      <c r="X55" s="71">
        <v>8.1999999999999993</v>
      </c>
      <c r="Y55" s="71">
        <v>8.1999999999999993</v>
      </c>
      <c r="Z55" s="71">
        <v>7.7</v>
      </c>
      <c r="AA55" s="71">
        <v>7.3</v>
      </c>
      <c r="AB55" s="71">
        <v>7.2</v>
      </c>
      <c r="AC55" s="71">
        <v>7.1</v>
      </c>
      <c r="AD55" s="71">
        <v>7.3</v>
      </c>
      <c r="AE55" s="71">
        <v>7.3</v>
      </c>
      <c r="AF55" s="71">
        <v>7.5</v>
      </c>
      <c r="AG55" s="71">
        <v>7.7</v>
      </c>
      <c r="AH55" s="71">
        <v>8.3000000000000007</v>
      </c>
      <c r="AI55" s="71">
        <v>8</v>
      </c>
      <c r="AJ55" s="71">
        <v>7.7</v>
      </c>
      <c r="AK55" s="71">
        <v>7.1</v>
      </c>
      <c r="AL55" s="71">
        <v>6.8</v>
      </c>
      <c r="AM55" s="71">
        <v>6.8</v>
      </c>
      <c r="AN55" s="71">
        <v>6.6</v>
      </c>
      <c r="AO55" s="71">
        <v>6.5</v>
      </c>
      <c r="AP55" s="71">
        <v>6.5</v>
      </c>
      <c r="AQ55" s="71">
        <v>6.2</v>
      </c>
      <c r="AR55" s="71">
        <v>6.1</v>
      </c>
      <c r="AS55" s="71">
        <v>5.9</v>
      </c>
      <c r="AT55" s="71">
        <v>5.9</v>
      </c>
      <c r="AU55" s="71">
        <v>6.2</v>
      </c>
      <c r="AV55" s="71">
        <v>6.7</v>
      </c>
      <c r="AW55" s="71">
        <v>6.7</v>
      </c>
      <c r="AX55" s="71">
        <v>6.9</v>
      </c>
      <c r="AY55" s="71">
        <v>9.1</v>
      </c>
      <c r="AZ55" s="71">
        <v>7.3</v>
      </c>
      <c r="BA55" s="71">
        <v>6.6</v>
      </c>
      <c r="BB55" s="71">
        <v>5.7</v>
      </c>
      <c r="BC55" s="71">
        <v>5.2</v>
      </c>
      <c r="BD55" s="71">
        <v>5.4</v>
      </c>
      <c r="BE55" s="71">
        <v>5.4</v>
      </c>
      <c r="BF55" s="71">
        <v>5.9</v>
      </c>
      <c r="BG55" s="71">
        <v>6.3</v>
      </c>
      <c r="BH55" s="71">
        <v>6.8</v>
      </c>
      <c r="BI55" s="71">
        <v>7.3</v>
      </c>
      <c r="BJ55" s="71">
        <v>7.4</v>
      </c>
      <c r="BK55" s="71">
        <v>6.6</v>
      </c>
      <c r="BL55" s="71">
        <v>4.2</v>
      </c>
      <c r="BM55" s="71">
        <v>6</v>
      </c>
      <c r="BN55" s="71">
        <v>6.2</v>
      </c>
      <c r="BO55" s="29"/>
      <c r="BP55" s="29"/>
      <c r="BQ55" s="180"/>
      <c r="BR55" s="180"/>
      <c r="BS55" s="180"/>
      <c r="BT55" s="180"/>
      <c r="BU55" s="180"/>
      <c r="BV55" s="180"/>
      <c r="BW55" s="180"/>
      <c r="BX55" s="180"/>
      <c r="BY55" s="180"/>
      <c r="BZ55" s="180"/>
      <c r="CA55" s="180"/>
      <c r="CB55" s="29"/>
      <c r="CC55" s="29"/>
      <c r="CD55" s="29"/>
      <c r="CE55" s="29"/>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row>
    <row r="56" spans="1:108" s="38" customFormat="1">
      <c r="A56" s="145"/>
      <c r="B56" s="73"/>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29"/>
      <c r="BN56" s="29"/>
      <c r="BO56" s="29"/>
      <c r="BP56" s="29"/>
      <c r="BQ56" s="180"/>
      <c r="BR56" s="180"/>
      <c r="BS56" s="180"/>
      <c r="BT56" s="180"/>
      <c r="BU56" s="180"/>
      <c r="BV56" s="180"/>
      <c r="BW56" s="180"/>
      <c r="BX56" s="180"/>
      <c r="BY56" s="180"/>
      <c r="BZ56" s="180"/>
      <c r="CA56" s="180"/>
      <c r="CB56" s="29"/>
      <c r="CC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row>
    <row r="57" spans="1:108">
      <c r="B57" s="73" t="s">
        <v>0</v>
      </c>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190"/>
      <c r="BH57" s="190"/>
      <c r="BI57" s="190"/>
      <c r="BJ57" s="190"/>
      <c r="BK57" s="190"/>
      <c r="BL57" s="204"/>
      <c r="BO57" s="187"/>
      <c r="BV57" s="180"/>
      <c r="BW57" s="180"/>
      <c r="BX57" s="180"/>
      <c r="BY57" s="180"/>
      <c r="BZ57" s="180"/>
      <c r="CA57" s="180"/>
      <c r="CD57" s="187"/>
    </row>
    <row r="58" spans="1:108" s="38" customFormat="1">
      <c r="A58" s="145"/>
      <c r="B58" s="36" t="s">
        <v>105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117"/>
      <c r="BJ58" s="147"/>
      <c r="BK58" s="147"/>
      <c r="BL58" s="147"/>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row>
    <row r="59" spans="1:108" s="38" customFormat="1">
      <c r="A59" s="145"/>
      <c r="B59" s="36" t="s">
        <v>106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191"/>
      <c r="BI59" s="191"/>
      <c r="BJ59" s="191"/>
      <c r="BK59" s="191"/>
      <c r="BL59" s="191"/>
      <c r="BM59" s="29"/>
      <c r="BN59" s="29"/>
      <c r="BO59" s="29"/>
      <c r="BP59" s="29"/>
      <c r="BQ59" s="29"/>
      <c r="BR59" s="29"/>
      <c r="BS59" s="29"/>
      <c r="BT59" s="29"/>
      <c r="BU59" s="29"/>
      <c r="BV59" s="187"/>
      <c r="BW59" s="187"/>
      <c r="BX59" s="187"/>
      <c r="BY59" s="187"/>
      <c r="BZ59" s="187"/>
      <c r="CA59" s="187"/>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row>
    <row r="60" spans="1:108">
      <c r="B60" s="405" t="s">
        <v>107</v>
      </c>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405"/>
      <c r="AI60" s="405"/>
      <c r="AJ60" s="405"/>
      <c r="AK60" s="405"/>
      <c r="AL60" s="405"/>
      <c r="AM60" s="405"/>
      <c r="AN60" s="405"/>
      <c r="AO60" s="405"/>
      <c r="AP60" s="405"/>
      <c r="AQ60" s="405"/>
      <c r="AR60" s="405"/>
      <c r="AS60" s="405"/>
      <c r="AT60" s="405"/>
      <c r="AU60" s="405"/>
      <c r="AV60" s="405"/>
      <c r="AW60" s="405"/>
      <c r="AX60" s="405"/>
      <c r="AY60" s="405"/>
      <c r="AZ60" s="405"/>
      <c r="BA60" s="405"/>
      <c r="BB60" s="405"/>
      <c r="BC60" s="405"/>
      <c r="BD60" s="405"/>
      <c r="BE60" s="405"/>
      <c r="BF60" s="405"/>
      <c r="BG60" s="405"/>
      <c r="BH60" s="405"/>
    </row>
    <row r="61" spans="1:108">
      <c r="B61" s="185" t="s">
        <v>165</v>
      </c>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CD61" s="187"/>
    </row>
    <row r="62" spans="1:108" s="75" customFormat="1">
      <c r="A62" s="146"/>
      <c r="B62" s="404" t="s">
        <v>219</v>
      </c>
      <c r="C62" s="404"/>
      <c r="D62" s="404"/>
      <c r="E62" s="404"/>
      <c r="F62" s="404"/>
      <c r="G62" s="404"/>
      <c r="H62" s="404"/>
      <c r="I62" s="404"/>
      <c r="J62" s="404"/>
      <c r="K62" s="404"/>
      <c r="L62" s="404"/>
      <c r="M62" s="404"/>
      <c r="N62" s="404"/>
      <c r="O62" s="404"/>
      <c r="P62" s="404"/>
      <c r="Q62" s="404"/>
      <c r="R62" s="404"/>
      <c r="S62" s="404"/>
      <c r="T62" s="404"/>
      <c r="U62" s="404"/>
      <c r="V62" s="404"/>
      <c r="W62" s="404"/>
      <c r="X62" s="404"/>
      <c r="Y62" s="404"/>
      <c r="Z62" s="404"/>
      <c r="AA62" s="404"/>
      <c r="AB62" s="404"/>
      <c r="AC62" s="404"/>
      <c r="AD62" s="404"/>
      <c r="AE62" s="404"/>
      <c r="AF62" s="404"/>
      <c r="AG62" s="404"/>
      <c r="AH62" s="404"/>
      <c r="AI62" s="404"/>
      <c r="AJ62" s="404"/>
      <c r="AK62" s="404"/>
      <c r="AL62" s="404"/>
      <c r="AM62" s="404"/>
      <c r="AN62" s="404"/>
      <c r="AO62" s="404"/>
      <c r="AP62" s="404"/>
      <c r="AQ62" s="404"/>
      <c r="AR62" s="404"/>
      <c r="AS62" s="404"/>
      <c r="AT62" s="404"/>
      <c r="AU62" s="404"/>
      <c r="AV62" s="404"/>
      <c r="AW62" s="404"/>
      <c r="AX62" s="404"/>
      <c r="AY62" s="404"/>
      <c r="AZ62" s="404"/>
      <c r="BA62" s="404"/>
      <c r="BB62" s="404"/>
      <c r="BC62" s="404"/>
      <c r="BD62" s="404"/>
      <c r="BE62" s="404"/>
      <c r="BF62" s="404"/>
      <c r="BG62" s="404"/>
      <c r="BH62" s="404"/>
      <c r="BI62" s="33"/>
      <c r="BJ62" s="33"/>
      <c r="BK62" s="33"/>
      <c r="BL62" s="33"/>
      <c r="BM62" s="33"/>
      <c r="BN62" s="33"/>
      <c r="BO62" s="33"/>
      <c r="BP62" s="33"/>
      <c r="BQ62" s="33"/>
      <c r="BR62" s="33"/>
      <c r="BS62" s="33"/>
      <c r="BT62" s="33"/>
      <c r="BU62" s="33"/>
      <c r="BV62" s="33"/>
      <c r="BW62" s="33"/>
      <c r="BX62" s="33"/>
      <c r="BY62" s="33"/>
      <c r="BZ62" s="33"/>
      <c r="CA62" s="33"/>
      <c r="CB62" s="33"/>
      <c r="CC62" s="33"/>
      <c r="CD62" s="188"/>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row>
    <row r="63" spans="1:108" s="75" customFormat="1" ht="12.75" customHeight="1">
      <c r="A63" s="146"/>
      <c r="B63" s="404" t="s">
        <v>218</v>
      </c>
      <c r="C63" s="404"/>
      <c r="D63" s="404"/>
      <c r="E63" s="404"/>
      <c r="F63" s="404"/>
      <c r="G63" s="404"/>
      <c r="H63" s="404"/>
      <c r="I63" s="404"/>
      <c r="J63" s="404"/>
      <c r="K63" s="404"/>
      <c r="L63" s="404"/>
      <c r="M63" s="404"/>
      <c r="N63" s="404"/>
      <c r="O63" s="404"/>
      <c r="P63" s="404"/>
      <c r="Q63" s="404"/>
      <c r="R63" s="404"/>
      <c r="S63" s="404"/>
      <c r="T63" s="404"/>
      <c r="U63" s="404"/>
      <c r="V63" s="404"/>
      <c r="W63" s="404"/>
      <c r="X63" s="404"/>
      <c r="Y63" s="404"/>
      <c r="Z63" s="404"/>
      <c r="AA63" s="404"/>
      <c r="AB63" s="404"/>
      <c r="AC63" s="404"/>
      <c r="AD63" s="404"/>
      <c r="AE63" s="404"/>
      <c r="AF63" s="404"/>
      <c r="AG63" s="404"/>
      <c r="AH63" s="404"/>
      <c r="AI63" s="404"/>
      <c r="AJ63" s="404"/>
      <c r="AK63" s="404"/>
      <c r="AL63" s="404"/>
      <c r="AM63" s="404"/>
      <c r="AN63" s="404"/>
      <c r="AO63" s="404"/>
      <c r="AP63" s="404"/>
      <c r="AQ63" s="404"/>
      <c r="AR63" s="404"/>
      <c r="AS63" s="404"/>
      <c r="AT63" s="404"/>
      <c r="AU63" s="404"/>
      <c r="AV63" s="404"/>
      <c r="AW63" s="404"/>
      <c r="AX63" s="404"/>
      <c r="AY63" s="404"/>
      <c r="AZ63" s="404"/>
      <c r="BA63" s="404"/>
      <c r="BB63" s="404"/>
      <c r="BC63" s="404"/>
      <c r="BD63" s="404"/>
      <c r="BE63" s="404"/>
      <c r="BF63" s="404"/>
      <c r="BG63" s="404"/>
      <c r="BH63" s="404"/>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row>
    <row r="64" spans="1:108" s="75" customFormat="1" ht="12.75" customHeight="1">
      <c r="A64" s="146"/>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row>
    <row r="65" spans="1:109" s="75" customFormat="1">
      <c r="A65" s="146"/>
      <c r="B65" s="315" t="s">
        <v>104</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117"/>
      <c r="BJ65" s="147"/>
      <c r="BK65" s="147"/>
      <c r="BL65" s="147"/>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c r="CZ65" s="33"/>
      <c r="DA65" s="33"/>
      <c r="DB65" s="33"/>
      <c r="DC65" s="33"/>
    </row>
    <row r="66" spans="1:109" ht="13.5">
      <c r="B66" s="192" t="s">
        <v>59</v>
      </c>
      <c r="C66" s="39"/>
      <c r="D66" s="39"/>
      <c r="E66" s="39"/>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1:109" ht="13.5">
      <c r="B67" s="192" t="s">
        <v>228</v>
      </c>
      <c r="C67" s="39"/>
      <c r="D67" s="39"/>
      <c r="E67" s="39"/>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spans="1:109" ht="13.5">
      <c r="B68" s="237" t="s">
        <v>60</v>
      </c>
      <c r="C68" s="39"/>
      <c r="D68" s="39"/>
      <c r="E68" s="39"/>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row>
    <row r="69" spans="1:109" ht="13.5">
      <c r="B69" s="193" t="s">
        <v>87</v>
      </c>
      <c r="C69" s="39"/>
      <c r="D69" s="39"/>
      <c r="E69" s="39"/>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row>
    <row r="70" spans="1:109">
      <c r="B70" s="237" t="s">
        <v>84</v>
      </c>
      <c r="C70" s="31"/>
      <c r="D70" s="31"/>
      <c r="E70" s="31"/>
      <c r="F70" s="31"/>
      <c r="G70" s="31"/>
      <c r="H70" s="31"/>
      <c r="I70" s="31"/>
      <c r="J70" s="31"/>
      <c r="K70" s="31"/>
      <c r="L70" s="31"/>
      <c r="M70" s="31"/>
      <c r="N70" s="31"/>
      <c r="O70" s="31"/>
      <c r="P70" s="31"/>
      <c r="Q70" s="31"/>
      <c r="R70" s="31"/>
      <c r="S70" s="31"/>
      <c r="T70" s="31"/>
      <c r="U70" s="31"/>
      <c r="V70" s="31"/>
      <c r="W70" s="31"/>
      <c r="X70" s="31"/>
      <c r="Y70" s="31"/>
      <c r="Z70" s="31"/>
      <c r="AA70" s="29"/>
      <c r="AB70" s="29"/>
      <c r="AC70" s="29"/>
      <c r="AD70" s="29"/>
      <c r="AE70" s="29"/>
      <c r="AF70" s="29"/>
      <c r="AG70" s="29"/>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row>
    <row r="71" spans="1:109" ht="13.5">
      <c r="B71" s="193" t="s">
        <v>225</v>
      </c>
      <c r="C71" s="39"/>
      <c r="D71" s="39"/>
      <c r="E71" s="39"/>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row>
    <row r="72" spans="1:109" ht="13.5">
      <c r="B72" s="193" t="s">
        <v>81</v>
      </c>
      <c r="C72" s="76"/>
      <c r="D72" s="76"/>
      <c r="E72" s="77"/>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row>
    <row r="73" spans="1:109" ht="13.5">
      <c r="B73" s="193" t="s">
        <v>82</v>
      </c>
      <c r="C73" s="76"/>
      <c r="D73" s="76"/>
      <c r="E73" s="77"/>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row>
    <row r="74" spans="1:109" ht="13.5">
      <c r="B74" s="151" t="s">
        <v>108</v>
      </c>
      <c r="C74" s="76"/>
      <c r="D74" s="76"/>
      <c r="E74" s="77"/>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row>
    <row r="75" spans="1:109" s="75" customFormat="1" ht="13.5">
      <c r="A75" s="146"/>
      <c r="B75" s="31" t="s">
        <v>65</v>
      </c>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2"/>
      <c r="AM75" s="32"/>
      <c r="AN75" s="32"/>
      <c r="AO75" s="32"/>
      <c r="AP75" s="32"/>
      <c r="AQ75" s="32"/>
      <c r="AR75" s="32"/>
      <c r="AS75" s="32"/>
      <c r="AT75" s="32"/>
      <c r="AU75" s="32"/>
      <c r="AV75" s="32"/>
      <c r="AW75" s="32"/>
      <c r="AX75" s="32"/>
      <c r="AY75" s="32"/>
      <c r="AZ75" s="32"/>
      <c r="BA75" s="32"/>
      <c r="BB75" s="32"/>
      <c r="BC75" s="32"/>
      <c r="BD75" s="32"/>
      <c r="BE75" s="33"/>
      <c r="BF75" s="32"/>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row>
    <row r="76" spans="1:109" s="75" customFormat="1" ht="13.5">
      <c r="A76" s="146"/>
      <c r="B76" s="151" t="s">
        <v>66</v>
      </c>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2"/>
      <c r="AN76" s="32"/>
      <c r="AO76" s="32"/>
      <c r="AP76" s="32"/>
      <c r="AQ76" s="32"/>
      <c r="AR76" s="32"/>
      <c r="AS76" s="32"/>
      <c r="AT76" s="32"/>
      <c r="AU76" s="32"/>
      <c r="AV76" s="32"/>
      <c r="AW76" s="32"/>
      <c r="AX76" s="32"/>
      <c r="AY76" s="32"/>
      <c r="AZ76" s="32"/>
      <c r="BA76" s="32"/>
      <c r="BB76" s="32"/>
      <c r="BC76" s="32"/>
      <c r="BD76" s="32"/>
      <c r="BE76" s="32"/>
      <c r="BF76" s="33"/>
      <c r="BG76" s="32"/>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row>
    <row r="77" spans="1:109">
      <c r="B77" s="31" t="s">
        <v>64</v>
      </c>
      <c r="C77" s="76"/>
      <c r="D77" s="76"/>
      <c r="E77" s="77"/>
    </row>
    <row r="78" spans="1:109">
      <c r="B78" s="151" t="s">
        <v>83</v>
      </c>
      <c r="C78" s="76"/>
      <c r="D78" s="76"/>
      <c r="E78" s="77"/>
    </row>
    <row r="79" spans="1:109">
      <c r="B79" s="281" t="s">
        <v>229</v>
      </c>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row>
    <row r="80" spans="1:109">
      <c r="B80" s="82" t="s">
        <v>230</v>
      </c>
      <c r="C80" s="78"/>
    </row>
  </sheetData>
  <mergeCells count="5">
    <mergeCell ref="B63:BH63"/>
    <mergeCell ref="B60:BH60"/>
    <mergeCell ref="B62:BH62"/>
    <mergeCell ref="B1:BI1"/>
    <mergeCell ref="B2:BI2"/>
  </mergeCells>
  <hyperlinks>
    <hyperlink ref="B68" r:id="rId1" xr:uid="{F10C2E44-86C3-4D25-AC1C-829FEE9504AF}"/>
    <hyperlink ref="B80" r:id="rId2" display="for all countries, United Nations Demographic Yearbook" xr:uid="{4B2E3819-6342-49AD-A437-C50FA5A92913}"/>
    <hyperlink ref="B75" r:id="rId3" xr:uid="{79FDA442-C9C2-42B7-99DF-60FC8AA2A585}"/>
    <hyperlink ref="B76" r:id="rId4" location="Tabulados" xr:uid="{91492CA3-E08E-48B1-83D5-1001475294B9}"/>
    <hyperlink ref="B66" r:id="rId5" xr:uid="{21A75E53-EDFC-4BFE-907A-36CD77849CFE}"/>
    <hyperlink ref="B73" r:id="rId6" xr:uid="{4D661081-B496-4B5D-81CE-7F27A669CF77}"/>
    <hyperlink ref="B72" r:id="rId7" xr:uid="{5CE334F3-43EC-45ED-A5F6-C4ECD1066446}"/>
    <hyperlink ref="B77" r:id="rId8" xr:uid="{875751C0-5446-4E55-AF4C-B78F2C93F7D0}"/>
    <hyperlink ref="B78" r:id="rId9" xr:uid="{37616F94-149D-4787-96C6-A6B8C5F7C843}"/>
    <hyperlink ref="B70" r:id="rId10" xr:uid="{F252E1E3-3E2D-48BC-80B6-1AB64E9E741E}"/>
    <hyperlink ref="B69" r:id="rId11" xr:uid="{CF254A55-9D16-4113-A0FD-568CB8D1AEA8}"/>
    <hyperlink ref="B74" r:id="rId12" xr:uid="{909A27B4-F96C-4800-8C20-602831D31760}"/>
    <hyperlink ref="B79" r:id="rId13" xr:uid="{95456E7A-E87D-4877-98CB-EFCA4038BEA3}"/>
    <hyperlink ref="B67" r:id="rId14" display="for Switzerland" xr:uid="{2DD71E92-1DC1-4620-90A5-98526521285F}"/>
    <hyperlink ref="B71" r:id="rId15" xr:uid="{4560CE57-410B-45C9-AB14-3D2474A9449E}"/>
  </hyperlinks>
  <pageMargins left="0.70866141732283472" right="0.70866141732283472" top="0.74803149606299213" bottom="0.74803149606299213" header="0.31496062992125984" footer="0.31496062992125984"/>
  <pageSetup paperSize="9" scale="42" orientation="landscape" r:id="rId16"/>
  <headerFooter>
    <oddHeader>&amp;LOECD Family database (www.oecd.org/els/social/family/database.htm)</oddHead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A1:CB124"/>
  <sheetViews>
    <sheetView showGridLines="0" zoomScale="70" zoomScaleNormal="70" workbookViewId="0">
      <pane xSplit="3" ySplit="4" topLeftCell="D5" activePane="bottomRight" state="frozen"/>
      <selection activeCell="U28" sqref="U28"/>
      <selection pane="topRight" activeCell="U28" sqref="U28"/>
      <selection pane="bottomLeft" activeCell="U28" sqref="U28"/>
      <selection pane="bottomRight" sqref="A1:AG1"/>
    </sheetView>
  </sheetViews>
  <sheetFormatPr defaultColWidth="9.140625" defaultRowHeight="12.75"/>
  <cols>
    <col min="1" max="1" width="11.85546875" style="1" customWidth="1"/>
    <col min="2" max="2" width="4.28515625" style="4" customWidth="1"/>
    <col min="3" max="3" width="15.7109375" style="4" customWidth="1"/>
    <col min="4" max="4" width="6.7109375" style="3" bestFit="1" customWidth="1"/>
    <col min="5" max="14" width="5" style="3" bestFit="1" customWidth="1"/>
    <col min="15" max="15" width="7.85546875" style="3" customWidth="1"/>
    <col min="16" max="19" width="5" style="3" bestFit="1" customWidth="1"/>
    <col min="20" max="22" width="5" style="3" customWidth="1"/>
    <col min="23" max="31" width="5" style="3" bestFit="1" customWidth="1"/>
    <col min="32" max="32" width="5.7109375" style="3" bestFit="1" customWidth="1"/>
    <col min="33" max="35" width="5" style="137" customWidth="1"/>
    <col min="36" max="48" width="5" style="3" bestFit="1" customWidth="1"/>
    <col min="49" max="50" width="5" style="3" customWidth="1"/>
    <col min="51" max="51" width="10" style="2" customWidth="1"/>
    <col min="52" max="16384" width="9.140625" style="1"/>
  </cols>
  <sheetData>
    <row r="1" spans="1:51">
      <c r="A1" s="409" t="s">
        <v>50</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3"/>
      <c r="AI1" s="3"/>
      <c r="AN1" s="2"/>
      <c r="AO1" s="1"/>
      <c r="AP1" s="1"/>
      <c r="AQ1" s="1"/>
      <c r="AR1" s="1"/>
      <c r="AS1" s="1"/>
      <c r="AT1" s="1"/>
      <c r="AU1" s="1"/>
      <c r="AV1" s="1"/>
      <c r="AW1" s="1"/>
      <c r="AX1" s="1"/>
      <c r="AY1" s="1"/>
    </row>
    <row r="2" spans="1:51" ht="13.5" thickBot="1">
      <c r="A2" s="408" t="s">
        <v>235</v>
      </c>
      <c r="B2" s="408"/>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408"/>
      <c r="AG2" s="408"/>
      <c r="AH2" s="3"/>
      <c r="AI2" s="3"/>
      <c r="AY2" s="3"/>
    </row>
    <row r="3" spans="1:51">
      <c r="A3" s="17"/>
      <c r="B3" s="16"/>
      <c r="C3" s="43"/>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48"/>
      <c r="AG3" s="148"/>
      <c r="AH3" s="148"/>
      <c r="AI3" s="148"/>
      <c r="AJ3" s="1"/>
      <c r="AK3" s="1"/>
      <c r="AL3" s="1"/>
      <c r="AM3" s="1"/>
      <c r="AN3" s="1"/>
      <c r="AO3" s="1"/>
      <c r="AP3" s="1"/>
      <c r="AQ3" s="1"/>
      <c r="AR3" s="1"/>
      <c r="AS3" s="1"/>
      <c r="AT3" s="1"/>
      <c r="AU3" s="1"/>
      <c r="AV3" s="1"/>
      <c r="AW3" s="1"/>
      <c r="AX3" s="1"/>
      <c r="AY3" s="1"/>
    </row>
    <row r="4" spans="1:51" ht="12.75" customHeight="1">
      <c r="A4" s="15" t="s">
        <v>42</v>
      </c>
      <c r="B4" s="14" t="s">
        <v>41</v>
      </c>
      <c r="C4" s="44" t="s">
        <v>58</v>
      </c>
      <c r="D4" s="13">
        <v>1990</v>
      </c>
      <c r="E4" s="13">
        <v>1991</v>
      </c>
      <c r="F4" s="13">
        <v>1992</v>
      </c>
      <c r="G4" s="13">
        <v>1993</v>
      </c>
      <c r="H4" s="13">
        <v>1994</v>
      </c>
      <c r="I4" s="13">
        <v>1995</v>
      </c>
      <c r="J4" s="13">
        <v>1996</v>
      </c>
      <c r="K4" s="13">
        <v>1997</v>
      </c>
      <c r="L4" s="13">
        <v>1998</v>
      </c>
      <c r="M4" s="13">
        <v>1999</v>
      </c>
      <c r="N4" s="13">
        <v>2000</v>
      </c>
      <c r="O4" s="13">
        <v>2001</v>
      </c>
      <c r="P4" s="13">
        <v>2002</v>
      </c>
      <c r="Q4" s="13">
        <v>2003</v>
      </c>
      <c r="R4" s="13">
        <v>2004</v>
      </c>
      <c r="S4" s="13">
        <v>2005</v>
      </c>
      <c r="T4" s="13">
        <v>2006</v>
      </c>
      <c r="U4" s="13">
        <v>2007</v>
      </c>
      <c r="V4" s="13">
        <v>2008</v>
      </c>
      <c r="W4" s="13">
        <v>2009</v>
      </c>
      <c r="X4" s="13">
        <v>2010</v>
      </c>
      <c r="Y4" s="13">
        <v>2011</v>
      </c>
      <c r="Z4" s="13">
        <v>2012</v>
      </c>
      <c r="AA4" s="13">
        <v>2013</v>
      </c>
      <c r="AB4" s="13">
        <v>2014</v>
      </c>
      <c r="AC4" s="13">
        <v>2015</v>
      </c>
      <c r="AD4" s="13">
        <v>2016</v>
      </c>
      <c r="AE4" s="13">
        <v>2017</v>
      </c>
      <c r="AF4" s="13">
        <v>2018</v>
      </c>
      <c r="AG4" s="13">
        <v>2019</v>
      </c>
      <c r="AH4" s="13">
        <v>2020</v>
      </c>
      <c r="AI4" s="13">
        <v>2021</v>
      </c>
      <c r="AJ4" s="1"/>
      <c r="AK4" s="1"/>
      <c r="AL4" s="1"/>
      <c r="AM4" s="1"/>
      <c r="AN4" s="1"/>
      <c r="AO4" s="1"/>
      <c r="AP4" s="1"/>
      <c r="AQ4" s="1"/>
      <c r="AR4" s="1"/>
      <c r="AS4" s="1"/>
      <c r="AT4" s="1"/>
      <c r="AU4" s="1"/>
      <c r="AV4" s="1"/>
      <c r="AW4" s="1"/>
      <c r="AX4" s="1"/>
      <c r="AY4" s="1"/>
    </row>
    <row r="5" spans="1:51" s="50" customFormat="1">
      <c r="A5" s="124" t="s">
        <v>40</v>
      </c>
      <c r="B5" s="119">
        <v>1</v>
      </c>
      <c r="C5" s="22" t="s">
        <v>56</v>
      </c>
      <c r="D5" s="24">
        <v>26.5</v>
      </c>
      <c r="E5" s="24">
        <v>26.7</v>
      </c>
      <c r="F5" s="24">
        <v>26.9</v>
      </c>
      <c r="G5" s="24">
        <v>27</v>
      </c>
      <c r="H5" s="24">
        <v>27.2</v>
      </c>
      <c r="I5" s="24">
        <v>27.3</v>
      </c>
      <c r="J5" s="24">
        <v>27.6</v>
      </c>
      <c r="K5" s="24">
        <v>27.8</v>
      </c>
      <c r="L5" s="24">
        <v>27.9</v>
      </c>
      <c r="M5" s="24">
        <v>28.2</v>
      </c>
      <c r="N5" s="24">
        <v>28.5</v>
      </c>
      <c r="O5" s="24">
        <v>28.7</v>
      </c>
      <c r="P5" s="24">
        <v>29</v>
      </c>
      <c r="Q5" s="24">
        <v>29.2</v>
      </c>
      <c r="R5" s="24">
        <v>29.4</v>
      </c>
      <c r="S5" s="24">
        <v>29.5</v>
      </c>
      <c r="T5" s="24">
        <v>29.6</v>
      </c>
      <c r="U5" s="24">
        <v>29.6</v>
      </c>
      <c r="V5" s="24">
        <v>29.6</v>
      </c>
      <c r="W5" s="24">
        <v>29.6</v>
      </c>
      <c r="X5" s="24">
        <v>29.6</v>
      </c>
      <c r="Y5" s="24">
        <v>29.7</v>
      </c>
      <c r="Z5" s="24">
        <v>29.8</v>
      </c>
      <c r="AA5" s="24">
        <v>29.9</v>
      </c>
      <c r="AB5" s="24">
        <v>30</v>
      </c>
      <c r="AC5" s="53">
        <v>30.1</v>
      </c>
      <c r="AD5" s="53">
        <v>30.3</v>
      </c>
      <c r="AE5" s="53">
        <v>30.4</v>
      </c>
      <c r="AF5" s="53">
        <v>30.7</v>
      </c>
      <c r="AG5" s="53">
        <v>30.7</v>
      </c>
      <c r="AH5" s="53">
        <v>30.6</v>
      </c>
      <c r="AI5" s="53"/>
    </row>
    <row r="6" spans="1:51" s="50" customFormat="1">
      <c r="A6" s="125"/>
      <c r="B6" s="126"/>
      <c r="C6" s="127" t="s">
        <v>57</v>
      </c>
      <c r="D6" s="128">
        <v>24.3</v>
      </c>
      <c r="E6" s="128">
        <v>24.5</v>
      </c>
      <c r="F6" s="128">
        <v>24.7</v>
      </c>
      <c r="G6" s="128">
        <v>24.8</v>
      </c>
      <c r="H6" s="128">
        <v>25.1</v>
      </c>
      <c r="I6" s="128">
        <v>25.3</v>
      </c>
      <c r="J6" s="128">
        <v>25.7</v>
      </c>
      <c r="K6" s="128">
        <v>25.9</v>
      </c>
      <c r="L6" s="128">
        <v>26.2</v>
      </c>
      <c r="M6" s="128">
        <v>26.4</v>
      </c>
      <c r="N6" s="128">
        <v>26.7</v>
      </c>
      <c r="O6" s="128">
        <v>26.9</v>
      </c>
      <c r="P6" s="128">
        <v>27.1</v>
      </c>
      <c r="Q6" s="128">
        <v>27.3</v>
      </c>
      <c r="R6" s="128">
        <v>27.5</v>
      </c>
      <c r="S6" s="128">
        <v>27.6</v>
      </c>
      <c r="T6" s="128">
        <v>27.6</v>
      </c>
      <c r="U6" s="128">
        <v>27.6</v>
      </c>
      <c r="V6" s="128">
        <v>27.7</v>
      </c>
      <c r="W6" s="128">
        <v>27.7</v>
      </c>
      <c r="X6" s="128">
        <v>27.9</v>
      </c>
      <c r="Y6" s="128">
        <v>28</v>
      </c>
      <c r="Z6" s="128">
        <v>28.1</v>
      </c>
      <c r="AA6" s="128">
        <v>28.3</v>
      </c>
      <c r="AB6" s="128">
        <v>28.4</v>
      </c>
      <c r="AC6" s="51">
        <v>28.5</v>
      </c>
      <c r="AD6" s="51">
        <v>28.7</v>
      </c>
      <c r="AE6" s="51">
        <v>28.8</v>
      </c>
      <c r="AF6" s="51">
        <v>29.2</v>
      </c>
      <c r="AG6" s="51">
        <v>29.3</v>
      </c>
      <c r="AH6" s="51">
        <v>29.2</v>
      </c>
      <c r="AI6" s="51"/>
    </row>
    <row r="7" spans="1:51" ht="12.75" customHeight="1">
      <c r="A7" s="58" t="s">
        <v>39</v>
      </c>
      <c r="B7" s="41"/>
      <c r="C7" s="22" t="s">
        <v>56</v>
      </c>
      <c r="D7" s="26">
        <v>27.7</v>
      </c>
      <c r="E7" s="53">
        <v>27.9</v>
      </c>
      <c r="F7" s="53">
        <v>28</v>
      </c>
      <c r="G7" s="53">
        <v>28.4</v>
      </c>
      <c r="H7" s="53">
        <v>28.7</v>
      </c>
      <c r="I7" s="53">
        <v>29</v>
      </c>
      <c r="J7" s="53">
        <v>29.1</v>
      </c>
      <c r="K7" s="53">
        <v>29.3</v>
      </c>
      <c r="L7" s="53">
        <v>29.6</v>
      </c>
      <c r="M7" s="53">
        <v>29.9</v>
      </c>
      <c r="N7" s="53">
        <v>30</v>
      </c>
      <c r="O7" s="53">
        <v>30.2</v>
      </c>
      <c r="P7" s="53">
        <v>30.3</v>
      </c>
      <c r="Q7" s="53">
        <v>30.6</v>
      </c>
      <c r="R7" s="53">
        <v>30.9</v>
      </c>
      <c r="S7" s="53">
        <v>31.2</v>
      </c>
      <c r="T7" s="53">
        <v>31.8</v>
      </c>
      <c r="U7" s="53">
        <v>32</v>
      </c>
      <c r="V7" s="53">
        <v>32.200000000000003</v>
      </c>
      <c r="W7" s="53">
        <v>32.5</v>
      </c>
      <c r="X7" s="53" t="s">
        <v>44</v>
      </c>
      <c r="Y7" s="53">
        <v>32.9</v>
      </c>
      <c r="Z7" s="53">
        <v>33.200000000000003</v>
      </c>
      <c r="AA7" s="53" t="s">
        <v>44</v>
      </c>
      <c r="AB7" s="53" t="s">
        <v>44</v>
      </c>
      <c r="AC7" s="53" t="s">
        <v>44</v>
      </c>
      <c r="AD7" s="53" t="s">
        <v>44</v>
      </c>
      <c r="AE7" s="53">
        <v>34.200000000000003</v>
      </c>
      <c r="AF7" s="53">
        <v>34.299999999999997</v>
      </c>
      <c r="AG7" s="53">
        <v>34.700000000000003</v>
      </c>
      <c r="AH7" s="53" t="s">
        <v>44</v>
      </c>
      <c r="AI7" s="53"/>
      <c r="AJ7" s="1"/>
      <c r="AK7" s="1"/>
      <c r="AL7" s="1"/>
      <c r="AM7" s="1"/>
      <c r="AN7" s="1"/>
      <c r="AO7" s="1"/>
      <c r="AP7" s="1"/>
      <c r="AQ7" s="1"/>
      <c r="AR7" s="1"/>
      <c r="AS7" s="1"/>
      <c r="AT7" s="1"/>
      <c r="AU7" s="1"/>
      <c r="AV7" s="1"/>
      <c r="AW7" s="1"/>
      <c r="AX7" s="1"/>
      <c r="AY7" s="1"/>
    </row>
    <row r="8" spans="1:51">
      <c r="A8" s="57"/>
      <c r="B8" s="42"/>
      <c r="C8" s="48" t="s">
        <v>57</v>
      </c>
      <c r="D8" s="9">
        <v>25.2</v>
      </c>
      <c r="E8" s="51">
        <v>25.4</v>
      </c>
      <c r="F8" s="51">
        <v>25.6</v>
      </c>
      <c r="G8" s="51">
        <v>25.8</v>
      </c>
      <c r="H8" s="51">
        <v>26.1</v>
      </c>
      <c r="I8" s="51">
        <v>26.3</v>
      </c>
      <c r="J8" s="51">
        <v>26.5</v>
      </c>
      <c r="K8" s="51">
        <v>26.8</v>
      </c>
      <c r="L8" s="51">
        <v>26.9</v>
      </c>
      <c r="M8" s="51">
        <v>27.3</v>
      </c>
      <c r="N8" s="51">
        <v>27.4</v>
      </c>
      <c r="O8" s="51">
        <v>27.5</v>
      </c>
      <c r="P8" s="51">
        <v>27.7</v>
      </c>
      <c r="Q8" s="51">
        <v>27.9</v>
      </c>
      <c r="R8" s="51">
        <v>28.2</v>
      </c>
      <c r="S8" s="51">
        <v>28.6</v>
      </c>
      <c r="T8" s="51">
        <v>29.1</v>
      </c>
      <c r="U8" s="51">
        <v>29.3</v>
      </c>
      <c r="V8" s="51">
        <v>29.5</v>
      </c>
      <c r="W8" s="51">
        <v>29.9</v>
      </c>
      <c r="X8" s="51" t="s">
        <v>44</v>
      </c>
      <c r="Y8" s="51">
        <v>30.3</v>
      </c>
      <c r="Z8" s="51">
        <v>30.6</v>
      </c>
      <c r="AA8" s="51" t="s">
        <v>44</v>
      </c>
      <c r="AB8" s="51" t="s">
        <v>44</v>
      </c>
      <c r="AC8" s="51" t="s">
        <v>44</v>
      </c>
      <c r="AD8" s="51" t="s">
        <v>44</v>
      </c>
      <c r="AE8" s="51">
        <v>31.5</v>
      </c>
      <c r="AF8" s="51">
        <v>31.7</v>
      </c>
      <c r="AG8" s="51">
        <v>32</v>
      </c>
      <c r="AH8" s="51" t="s">
        <v>44</v>
      </c>
      <c r="AI8" s="51"/>
      <c r="AJ8" s="1"/>
      <c r="AK8" s="1"/>
      <c r="AL8" s="1"/>
      <c r="AM8" s="1"/>
      <c r="AN8" s="1"/>
      <c r="AO8" s="1"/>
      <c r="AP8" s="1"/>
      <c r="AQ8" s="1"/>
      <c r="AR8" s="1"/>
      <c r="AS8" s="1"/>
      <c r="AT8" s="1"/>
      <c r="AU8" s="1"/>
      <c r="AV8" s="1"/>
      <c r="AW8" s="1"/>
      <c r="AX8" s="1"/>
      <c r="AY8" s="1"/>
    </row>
    <row r="9" spans="1:51" s="2" customFormat="1">
      <c r="A9" s="58" t="s">
        <v>38</v>
      </c>
      <c r="B9" s="41"/>
      <c r="C9" s="22" t="s">
        <v>56</v>
      </c>
      <c r="D9" s="26">
        <v>26.5</v>
      </c>
      <c r="E9" s="26">
        <v>26.7</v>
      </c>
      <c r="F9" s="26">
        <v>27</v>
      </c>
      <c r="G9" s="26">
        <v>27.2</v>
      </c>
      <c r="H9" s="26">
        <v>27.4</v>
      </c>
      <c r="I9" s="26">
        <v>27.8</v>
      </c>
      <c r="J9" s="26">
        <v>28</v>
      </c>
      <c r="K9" s="26">
        <v>28.1</v>
      </c>
      <c r="L9" s="26">
        <v>28.3</v>
      </c>
      <c r="M9" s="26">
        <v>28.6</v>
      </c>
      <c r="N9" s="26">
        <v>29.1</v>
      </c>
      <c r="O9" s="26">
        <v>29</v>
      </c>
      <c r="P9" s="26">
        <v>29.3</v>
      </c>
      <c r="Q9" s="26">
        <v>29.9</v>
      </c>
      <c r="R9" s="26">
        <v>30.2</v>
      </c>
      <c r="S9" s="26">
        <v>30.5</v>
      </c>
      <c r="T9" s="26">
        <v>30.9</v>
      </c>
      <c r="U9" s="26">
        <v>31</v>
      </c>
      <c r="V9" s="26">
        <v>31.4</v>
      </c>
      <c r="W9" s="26">
        <v>31.7</v>
      </c>
      <c r="X9" s="26">
        <v>31.7</v>
      </c>
      <c r="Y9" s="53" t="s">
        <v>44</v>
      </c>
      <c r="Z9" s="53" t="s">
        <v>44</v>
      </c>
      <c r="AA9" s="53" t="s">
        <v>44</v>
      </c>
      <c r="AB9" s="53" t="s">
        <v>44</v>
      </c>
      <c r="AC9" s="53" t="s">
        <v>44</v>
      </c>
      <c r="AD9" s="53" t="s">
        <v>44</v>
      </c>
      <c r="AE9" s="53">
        <v>33.5</v>
      </c>
      <c r="AF9" s="53" t="s">
        <v>44</v>
      </c>
      <c r="AG9" s="53" t="s">
        <v>44</v>
      </c>
      <c r="AH9" s="53">
        <v>34.299999999999997</v>
      </c>
      <c r="AI9" s="53"/>
      <c r="AJ9" s="3"/>
      <c r="AK9" s="3"/>
      <c r="AL9" s="3"/>
      <c r="AM9" s="3"/>
      <c r="AN9" s="3"/>
    </row>
    <row r="10" spans="1:51" s="5" customFormat="1">
      <c r="A10" s="57"/>
      <c r="B10" s="42"/>
      <c r="C10" s="48" t="s">
        <v>57</v>
      </c>
      <c r="D10" s="9">
        <v>24.4</v>
      </c>
      <c r="E10" s="9">
        <v>24</v>
      </c>
      <c r="F10" s="9">
        <v>24.8</v>
      </c>
      <c r="G10" s="9">
        <v>25.1</v>
      </c>
      <c r="H10" s="9">
        <v>25.4</v>
      </c>
      <c r="I10" s="9">
        <v>25.6</v>
      </c>
      <c r="J10" s="9">
        <v>25.7</v>
      </c>
      <c r="K10" s="9">
        <v>25.9</v>
      </c>
      <c r="L10" s="9">
        <v>26</v>
      </c>
      <c r="M10" s="9">
        <v>26.3</v>
      </c>
      <c r="N10" s="9">
        <v>26.9</v>
      </c>
      <c r="O10" s="9">
        <v>26.7</v>
      </c>
      <c r="P10" s="9">
        <v>27</v>
      </c>
      <c r="Q10" s="9">
        <v>27.5</v>
      </c>
      <c r="R10" s="9">
        <v>27.9</v>
      </c>
      <c r="S10" s="9">
        <v>28.1</v>
      </c>
      <c r="T10" s="9">
        <v>28.4</v>
      </c>
      <c r="U10" s="9">
        <v>28.6</v>
      </c>
      <c r="V10" s="9">
        <v>28.9</v>
      </c>
      <c r="W10" s="9">
        <v>29.3</v>
      </c>
      <c r="X10" s="9">
        <v>29.4</v>
      </c>
      <c r="Y10" s="51" t="s">
        <v>44</v>
      </c>
      <c r="Z10" s="51" t="s">
        <v>44</v>
      </c>
      <c r="AA10" s="51" t="s">
        <v>44</v>
      </c>
      <c r="AB10" s="51" t="s">
        <v>44</v>
      </c>
      <c r="AC10" s="51" t="s">
        <v>44</v>
      </c>
      <c r="AD10" s="51" t="s">
        <v>44</v>
      </c>
      <c r="AE10" s="51">
        <v>31.2</v>
      </c>
      <c r="AF10" s="51" t="s">
        <v>44</v>
      </c>
      <c r="AG10" s="51" t="s">
        <v>44</v>
      </c>
      <c r="AH10" s="51">
        <v>32</v>
      </c>
      <c r="AI10" s="51"/>
      <c r="AJ10" s="6"/>
      <c r="AK10" s="6"/>
      <c r="AL10" s="6"/>
      <c r="AM10" s="6"/>
      <c r="AN10" s="6"/>
    </row>
    <row r="11" spans="1:51" s="2" customFormat="1">
      <c r="A11" s="134" t="s">
        <v>37</v>
      </c>
      <c r="B11" s="118">
        <v>6</v>
      </c>
      <c r="C11" s="22" t="s">
        <v>56</v>
      </c>
      <c r="D11" s="53">
        <v>27.6</v>
      </c>
      <c r="E11" s="53">
        <v>27.77</v>
      </c>
      <c r="F11" s="53">
        <v>28</v>
      </c>
      <c r="G11" s="53">
        <v>28.18</v>
      </c>
      <c r="H11" s="53">
        <v>28.25</v>
      </c>
      <c r="I11" s="53">
        <v>28.41</v>
      </c>
      <c r="J11" s="53">
        <v>28.61</v>
      </c>
      <c r="K11" s="53">
        <v>28.76</v>
      </c>
      <c r="L11" s="53">
        <v>28.92</v>
      </c>
      <c r="M11" s="53">
        <v>29.11</v>
      </c>
      <c r="N11" s="53">
        <v>29.5</v>
      </c>
      <c r="O11" s="53">
        <v>29.7</v>
      </c>
      <c r="P11" s="53">
        <v>29.8</v>
      </c>
      <c r="Q11" s="53">
        <v>30.2</v>
      </c>
      <c r="R11" s="53">
        <v>30.5</v>
      </c>
      <c r="S11" s="53">
        <v>30.6</v>
      </c>
      <c r="T11" s="53">
        <v>30.9</v>
      </c>
      <c r="U11" s="53">
        <v>31</v>
      </c>
      <c r="V11" s="53">
        <v>31.1</v>
      </c>
      <c r="W11" s="53" t="s">
        <v>44</v>
      </c>
      <c r="X11" s="53" t="s">
        <v>44</v>
      </c>
      <c r="Y11" s="53" t="s">
        <v>44</v>
      </c>
      <c r="Z11" s="53" t="s">
        <v>44</v>
      </c>
      <c r="AA11" s="53" t="s">
        <v>44</v>
      </c>
      <c r="AB11" s="53" t="s">
        <v>44</v>
      </c>
      <c r="AC11" s="53" t="s">
        <v>44</v>
      </c>
      <c r="AD11" s="53">
        <v>31.2</v>
      </c>
      <c r="AE11" s="53">
        <v>31.3</v>
      </c>
      <c r="AF11" s="53" t="s">
        <v>44</v>
      </c>
      <c r="AG11" s="53" t="s">
        <v>44</v>
      </c>
      <c r="AH11" s="53" t="s">
        <v>44</v>
      </c>
      <c r="AI11" s="53"/>
      <c r="AJ11" s="3"/>
      <c r="AK11" s="3"/>
      <c r="AL11" s="3"/>
      <c r="AM11" s="3"/>
      <c r="AN11" s="3"/>
    </row>
    <row r="12" spans="1:51" s="50" customFormat="1">
      <c r="A12" s="125"/>
      <c r="B12" s="126"/>
      <c r="C12" s="127" t="s">
        <v>57</v>
      </c>
      <c r="D12" s="128">
        <v>25.54</v>
      </c>
      <c r="E12" s="128">
        <v>25.76</v>
      </c>
      <c r="F12" s="128">
        <v>26.02</v>
      </c>
      <c r="G12" s="128">
        <v>26.2</v>
      </c>
      <c r="H12" s="128">
        <v>26.26</v>
      </c>
      <c r="I12" s="128">
        <v>26.47</v>
      </c>
      <c r="J12" s="128">
        <v>26.68</v>
      </c>
      <c r="K12" s="128">
        <v>26.85</v>
      </c>
      <c r="L12" s="128">
        <v>27</v>
      </c>
      <c r="M12" s="128">
        <v>27.21</v>
      </c>
      <c r="N12" s="128">
        <v>27.5</v>
      </c>
      <c r="O12" s="128">
        <v>27.7</v>
      </c>
      <c r="P12" s="128">
        <v>27.8</v>
      </c>
      <c r="Q12" s="128">
        <v>28.2</v>
      </c>
      <c r="R12" s="128">
        <v>28.5</v>
      </c>
      <c r="S12" s="128">
        <v>28.7</v>
      </c>
      <c r="T12" s="128">
        <v>28.9</v>
      </c>
      <c r="U12" s="128">
        <v>29</v>
      </c>
      <c r="V12" s="128">
        <v>29.1</v>
      </c>
      <c r="W12" s="128" t="s">
        <v>44</v>
      </c>
      <c r="X12" s="128" t="s">
        <v>44</v>
      </c>
      <c r="Y12" s="128" t="s">
        <v>44</v>
      </c>
      <c r="Z12" s="128" t="s">
        <v>44</v>
      </c>
      <c r="AA12" s="128" t="s">
        <v>44</v>
      </c>
      <c r="AB12" s="128" t="s">
        <v>44</v>
      </c>
      <c r="AC12" s="51" t="s">
        <v>44</v>
      </c>
      <c r="AD12" s="55">
        <v>28.7</v>
      </c>
      <c r="AE12" s="55">
        <v>28.9</v>
      </c>
      <c r="AF12" s="51" t="s">
        <v>44</v>
      </c>
      <c r="AG12" s="51" t="s">
        <v>44</v>
      </c>
      <c r="AH12" s="51" t="s">
        <v>44</v>
      </c>
      <c r="AI12" s="51"/>
      <c r="AJ12" s="3"/>
      <c r="AK12" s="3"/>
      <c r="AL12" s="3"/>
      <c r="AM12" s="3"/>
      <c r="AN12" s="3"/>
      <c r="AO12" s="3"/>
      <c r="AP12" s="3"/>
      <c r="AQ12" s="3"/>
      <c r="AR12" s="3"/>
      <c r="AS12" s="3"/>
      <c r="AT12" s="3"/>
      <c r="AU12" s="3"/>
      <c r="AV12" s="3"/>
      <c r="AW12" s="3"/>
    </row>
    <row r="13" spans="1:51" s="2" customFormat="1">
      <c r="A13" s="134" t="s">
        <v>36</v>
      </c>
      <c r="B13" s="118"/>
      <c r="C13" s="22" t="s">
        <v>56</v>
      </c>
      <c r="D13" s="53" t="s">
        <v>44</v>
      </c>
      <c r="E13" s="53" t="s">
        <v>44</v>
      </c>
      <c r="F13" s="53" t="s">
        <v>44</v>
      </c>
      <c r="G13" s="53" t="s">
        <v>44</v>
      </c>
      <c r="H13" s="53" t="s">
        <v>44</v>
      </c>
      <c r="I13" s="53" t="s">
        <v>44</v>
      </c>
      <c r="J13" s="53" t="s">
        <v>44</v>
      </c>
      <c r="K13" s="53">
        <v>26.9519006244909</v>
      </c>
      <c r="L13" s="53">
        <v>27.266517179023499</v>
      </c>
      <c r="M13" s="53">
        <v>27.545428134556602</v>
      </c>
      <c r="N13" s="53">
        <v>27.697914830189301</v>
      </c>
      <c r="O13" s="53">
        <v>28.024296888001299</v>
      </c>
      <c r="P13" s="53">
        <v>28.368752861620798</v>
      </c>
      <c r="Q13" s="53">
        <v>28.6537979252954</v>
      </c>
      <c r="R13" s="53">
        <v>28.8799749231516</v>
      </c>
      <c r="S13" s="53">
        <v>29.5523369992145</v>
      </c>
      <c r="T13" s="53">
        <v>29.317610768367899</v>
      </c>
      <c r="U13" s="53">
        <v>29.5261980341913</v>
      </c>
      <c r="V13" s="53">
        <v>29.797933637989299</v>
      </c>
      <c r="W13" s="53">
        <v>30.336501061749701</v>
      </c>
      <c r="X13" s="53">
        <v>31.3</v>
      </c>
      <c r="Y13" s="53">
        <v>31.5</v>
      </c>
      <c r="Z13" s="53">
        <v>31.3</v>
      </c>
      <c r="AA13" s="53">
        <v>30.4</v>
      </c>
      <c r="AB13" s="53">
        <v>31.1</v>
      </c>
      <c r="AC13" s="53">
        <v>32.200000000000003</v>
      </c>
      <c r="AD13" s="53">
        <v>32.700000000000003</v>
      </c>
      <c r="AE13" s="53" t="s">
        <v>44</v>
      </c>
      <c r="AF13" s="53" t="s">
        <v>44</v>
      </c>
      <c r="AG13" s="53" t="s">
        <v>44</v>
      </c>
      <c r="AH13" s="53" t="s">
        <v>44</v>
      </c>
      <c r="AI13" s="53"/>
      <c r="AJ13" s="3"/>
      <c r="AK13" s="3"/>
      <c r="AL13" s="3"/>
      <c r="AM13" s="3"/>
      <c r="AN13" s="3"/>
      <c r="AO13" s="3"/>
      <c r="AP13" s="3"/>
      <c r="AQ13" s="3"/>
      <c r="AR13" s="3"/>
      <c r="AS13" s="3"/>
      <c r="AT13" s="3"/>
      <c r="AU13" s="3"/>
    </row>
    <row r="14" spans="1:51" s="50" customFormat="1">
      <c r="A14" s="125"/>
      <c r="B14" s="126"/>
      <c r="C14" s="127" t="s">
        <v>57</v>
      </c>
      <c r="D14" s="128" t="s">
        <v>44</v>
      </c>
      <c r="E14" s="128" t="s">
        <v>44</v>
      </c>
      <c r="F14" s="128" t="s">
        <v>44</v>
      </c>
      <c r="G14" s="128" t="s">
        <v>44</v>
      </c>
      <c r="H14" s="128" t="s">
        <v>44</v>
      </c>
      <c r="I14" s="128" t="s">
        <v>44</v>
      </c>
      <c r="J14" s="128" t="s">
        <v>44</v>
      </c>
      <c r="K14" s="128">
        <v>24.861083296618201</v>
      </c>
      <c r="L14" s="128">
        <v>25.18025507526</v>
      </c>
      <c r="M14" s="128">
        <v>25.487587323479101</v>
      </c>
      <c r="N14" s="128">
        <v>25.6370500880946</v>
      </c>
      <c r="O14" s="128">
        <v>25.942293549494199</v>
      </c>
      <c r="P14" s="128">
        <v>26.318913238233101</v>
      </c>
      <c r="Q14" s="128">
        <v>26.575056790675202</v>
      </c>
      <c r="R14" s="128">
        <v>26.804841897233199</v>
      </c>
      <c r="S14" s="128">
        <v>27.306484628456701</v>
      </c>
      <c r="T14" s="128">
        <v>27.389270651541601</v>
      </c>
      <c r="U14" s="128">
        <v>27.7405938391964</v>
      </c>
      <c r="V14" s="128">
        <v>28.087989390532201</v>
      </c>
      <c r="W14" s="128">
        <v>29.0049541393924</v>
      </c>
      <c r="X14" s="128">
        <v>29.9</v>
      </c>
      <c r="Y14" s="128">
        <v>30.2</v>
      </c>
      <c r="Z14" s="128">
        <v>30</v>
      </c>
      <c r="AA14" s="128">
        <v>28.5</v>
      </c>
      <c r="AB14" s="128">
        <v>29.7</v>
      </c>
      <c r="AC14" s="51">
        <v>30.9</v>
      </c>
      <c r="AD14" s="51">
        <v>31.5</v>
      </c>
      <c r="AE14" s="51" t="s">
        <v>44</v>
      </c>
      <c r="AF14" s="51" t="s">
        <v>44</v>
      </c>
      <c r="AG14" s="51" t="s">
        <v>44</v>
      </c>
      <c r="AH14" s="51" t="s">
        <v>44</v>
      </c>
      <c r="AI14" s="51"/>
      <c r="AJ14" s="3"/>
      <c r="AK14" s="3"/>
      <c r="AL14" s="3"/>
      <c r="AM14" s="3"/>
      <c r="AN14" s="3"/>
      <c r="AO14" s="3"/>
      <c r="AP14" s="3"/>
      <c r="AQ14" s="3"/>
      <c r="AR14" s="3"/>
      <c r="AS14" s="3"/>
      <c r="AT14" s="3"/>
      <c r="AU14" s="3"/>
    </row>
    <row r="15" spans="1:51" s="2" customFormat="1">
      <c r="A15" s="58" t="s">
        <v>191</v>
      </c>
      <c r="B15" s="41"/>
      <c r="C15" s="22" t="s">
        <v>56</v>
      </c>
      <c r="D15" s="26">
        <v>24.3</v>
      </c>
      <c r="E15" s="26">
        <v>24.3</v>
      </c>
      <c r="F15" s="26">
        <v>24.5</v>
      </c>
      <c r="G15" s="26">
        <v>24.7</v>
      </c>
      <c r="H15" s="26">
        <v>25.1</v>
      </c>
      <c r="I15" s="26">
        <v>25.5</v>
      </c>
      <c r="J15" s="26">
        <v>25.9</v>
      </c>
      <c r="K15" s="26">
        <v>26.5</v>
      </c>
      <c r="L15" s="26">
        <v>26.8</v>
      </c>
      <c r="M15" s="26">
        <v>27.2</v>
      </c>
      <c r="N15" s="26">
        <v>27.6</v>
      </c>
      <c r="O15" s="26">
        <v>27.9</v>
      </c>
      <c r="P15" s="26">
        <v>28.4</v>
      </c>
      <c r="Q15" s="26">
        <v>28.8</v>
      </c>
      <c r="R15" s="26">
        <v>29.1</v>
      </c>
      <c r="S15" s="26">
        <v>29.4</v>
      </c>
      <c r="T15" s="26">
        <v>29.7</v>
      </c>
      <c r="U15" s="26">
        <v>30</v>
      </c>
      <c r="V15" s="26">
        <v>30.2</v>
      </c>
      <c r="W15" s="26">
        <v>30.6</v>
      </c>
      <c r="X15" s="26">
        <v>30.8</v>
      </c>
      <c r="Y15" s="26">
        <v>31</v>
      </c>
      <c r="Z15" s="53">
        <v>31.2</v>
      </c>
      <c r="AA15" s="53">
        <v>31.3</v>
      </c>
      <c r="AB15" s="53">
        <v>31.4</v>
      </c>
      <c r="AC15" s="53">
        <v>31.6</v>
      </c>
      <c r="AD15" s="53">
        <v>31.7</v>
      </c>
      <c r="AE15" s="53">
        <v>31.8</v>
      </c>
      <c r="AF15" s="53">
        <v>31.9</v>
      </c>
      <c r="AG15" s="53">
        <v>32</v>
      </c>
      <c r="AH15" s="53">
        <v>32.4</v>
      </c>
      <c r="AI15" s="53"/>
      <c r="AJ15" s="3"/>
      <c r="AK15" s="3"/>
      <c r="AL15" s="3"/>
      <c r="AM15" s="3"/>
      <c r="AN15" s="3"/>
      <c r="AO15" s="3"/>
      <c r="AP15" s="3"/>
      <c r="AQ15" s="3"/>
      <c r="AR15" s="3"/>
      <c r="AS15" s="3"/>
      <c r="AT15" s="3"/>
      <c r="AU15" s="3"/>
      <c r="AV15" s="3"/>
      <c r="AW15" s="3"/>
    </row>
    <row r="16" spans="1:51" s="5" customFormat="1">
      <c r="A16" s="57"/>
      <c r="B16" s="42"/>
      <c r="C16" s="48" t="s">
        <v>57</v>
      </c>
      <c r="D16" s="9">
        <v>21.6</v>
      </c>
      <c r="E16" s="9">
        <v>21.6</v>
      </c>
      <c r="F16" s="9">
        <v>21.9</v>
      </c>
      <c r="G16" s="9">
        <v>22.1</v>
      </c>
      <c r="H16" s="9">
        <v>22.4</v>
      </c>
      <c r="I16" s="9">
        <v>22.8</v>
      </c>
      <c r="J16" s="9">
        <v>23.1</v>
      </c>
      <c r="K16" s="9">
        <v>23.6</v>
      </c>
      <c r="L16" s="9">
        <v>23.8</v>
      </c>
      <c r="M16" s="9">
        <v>24.2</v>
      </c>
      <c r="N16" s="9">
        <v>24.6</v>
      </c>
      <c r="O16" s="9">
        <v>25</v>
      </c>
      <c r="P16" s="9">
        <v>25.4</v>
      </c>
      <c r="Q16" s="9">
        <v>25.8</v>
      </c>
      <c r="R16" s="9">
        <v>26.1</v>
      </c>
      <c r="S16" s="9">
        <v>26.4</v>
      </c>
      <c r="T16" s="9">
        <v>26.8</v>
      </c>
      <c r="U16" s="9">
        <v>27</v>
      </c>
      <c r="V16" s="9">
        <v>27.2</v>
      </c>
      <c r="W16" s="9">
        <v>27.6</v>
      </c>
      <c r="X16" s="9">
        <v>27.9</v>
      </c>
      <c r="Y16" s="9">
        <v>28.1</v>
      </c>
      <c r="Z16" s="51">
        <v>28.3</v>
      </c>
      <c r="AA16" s="51">
        <v>28.5</v>
      </c>
      <c r="AB16" s="51">
        <v>28.7</v>
      </c>
      <c r="AC16" s="51">
        <v>28.8</v>
      </c>
      <c r="AD16" s="51">
        <v>29</v>
      </c>
      <c r="AE16" s="51">
        <v>29.1</v>
      </c>
      <c r="AF16" s="51">
        <v>29.2</v>
      </c>
      <c r="AG16" s="51">
        <v>29.4</v>
      </c>
      <c r="AH16" s="51">
        <v>29.7</v>
      </c>
      <c r="AI16" s="51"/>
      <c r="AJ16" s="6"/>
      <c r="AK16" s="6"/>
      <c r="AL16" s="6"/>
      <c r="AM16" s="6"/>
      <c r="AN16" s="6"/>
      <c r="AO16" s="6"/>
      <c r="AP16" s="6"/>
      <c r="AQ16" s="6"/>
      <c r="AR16" s="6"/>
      <c r="AS16" s="6"/>
      <c r="AT16" s="6"/>
      <c r="AU16" s="6"/>
      <c r="AV16" s="6"/>
      <c r="AW16" s="6"/>
    </row>
    <row r="17" spans="1:51">
      <c r="A17" s="58" t="s">
        <v>35</v>
      </c>
      <c r="B17" s="41"/>
      <c r="C17" s="22" t="s">
        <v>56</v>
      </c>
      <c r="D17" s="26">
        <v>30.5</v>
      </c>
      <c r="E17" s="26">
        <v>30.6</v>
      </c>
      <c r="F17" s="26">
        <v>31</v>
      </c>
      <c r="G17" s="26">
        <v>31.4</v>
      </c>
      <c r="H17" s="26">
        <v>31.8</v>
      </c>
      <c r="I17" s="26">
        <v>31.9</v>
      </c>
      <c r="J17" s="26">
        <v>32.5</v>
      </c>
      <c r="K17" s="26">
        <v>32.200000000000003</v>
      </c>
      <c r="L17" s="26">
        <v>32.4</v>
      </c>
      <c r="M17" s="26">
        <v>32.5</v>
      </c>
      <c r="N17" s="26">
        <v>32.5</v>
      </c>
      <c r="O17" s="26">
        <v>32.6</v>
      </c>
      <c r="P17" s="26">
        <v>32.700000000000003</v>
      </c>
      <c r="Q17" s="26">
        <v>33.200000000000003</v>
      </c>
      <c r="R17" s="26">
        <v>33.4</v>
      </c>
      <c r="S17" s="26">
        <v>33.4</v>
      </c>
      <c r="T17" s="26">
        <v>33.4</v>
      </c>
      <c r="U17" s="26">
        <v>33.6</v>
      </c>
      <c r="V17" s="26">
        <v>33.799999999999997</v>
      </c>
      <c r="W17" s="26">
        <v>33.5</v>
      </c>
      <c r="X17" s="26">
        <v>33.6</v>
      </c>
      <c r="Y17" s="26">
        <v>33.799999999999997</v>
      </c>
      <c r="Z17" s="26">
        <v>34.299999999999997</v>
      </c>
      <c r="AA17" s="53">
        <v>34.4</v>
      </c>
      <c r="AB17" s="53">
        <v>34.4</v>
      </c>
      <c r="AC17" s="53">
        <v>34.299999999999997</v>
      </c>
      <c r="AD17" s="53">
        <v>34.700000000000003</v>
      </c>
      <c r="AE17" s="53">
        <v>34.799999999999997</v>
      </c>
      <c r="AF17" s="53">
        <v>34.9</v>
      </c>
      <c r="AG17" s="53">
        <v>35.1</v>
      </c>
      <c r="AH17" s="53">
        <v>35.299999999999997</v>
      </c>
      <c r="AI17" s="53"/>
      <c r="AJ17" s="1"/>
      <c r="AK17" s="1"/>
      <c r="AL17" s="1"/>
      <c r="AM17" s="1"/>
      <c r="AN17" s="1"/>
      <c r="AO17" s="1"/>
      <c r="AP17" s="1"/>
      <c r="AQ17" s="1"/>
      <c r="AR17" s="1"/>
      <c r="AS17" s="1"/>
      <c r="AT17" s="1"/>
      <c r="AU17" s="1"/>
      <c r="AV17" s="1"/>
      <c r="AW17" s="1"/>
      <c r="AX17" s="1"/>
      <c r="AY17" s="1"/>
    </row>
    <row r="18" spans="1:51">
      <c r="A18" s="57"/>
      <c r="B18" s="42"/>
      <c r="C18" s="48" t="s">
        <v>57</v>
      </c>
      <c r="D18" s="9">
        <v>27.8</v>
      </c>
      <c r="E18" s="9">
        <v>28</v>
      </c>
      <c r="F18" s="9">
        <v>28.3</v>
      </c>
      <c r="G18" s="9">
        <v>28.8</v>
      </c>
      <c r="H18" s="9">
        <v>29.2</v>
      </c>
      <c r="I18" s="9">
        <v>29.2</v>
      </c>
      <c r="J18" s="9">
        <v>29.9</v>
      </c>
      <c r="K18" s="9">
        <v>30.1</v>
      </c>
      <c r="L18" s="9">
        <v>29.8</v>
      </c>
      <c r="M18" s="9">
        <v>30</v>
      </c>
      <c r="N18" s="9">
        <v>29.9</v>
      </c>
      <c r="O18" s="9">
        <v>29.9</v>
      </c>
      <c r="P18" s="9">
        <v>30.1</v>
      </c>
      <c r="Q18" s="9">
        <v>30.6</v>
      </c>
      <c r="R18" s="9">
        <v>30.9</v>
      </c>
      <c r="S18" s="9">
        <v>30.9</v>
      </c>
      <c r="T18" s="9">
        <v>30.9</v>
      </c>
      <c r="U18" s="9">
        <v>31.3</v>
      </c>
      <c r="V18" s="9">
        <v>31.4</v>
      </c>
      <c r="W18" s="9">
        <v>31.1</v>
      </c>
      <c r="X18" s="9">
        <v>31.2</v>
      </c>
      <c r="Y18" s="9">
        <v>31.4</v>
      </c>
      <c r="Z18" s="9">
        <v>31.8</v>
      </c>
      <c r="AA18" s="51">
        <v>31.9</v>
      </c>
      <c r="AB18" s="51">
        <v>31.9</v>
      </c>
      <c r="AC18" s="51">
        <v>31.9</v>
      </c>
      <c r="AD18" s="51">
        <v>32.200000000000003</v>
      </c>
      <c r="AE18" s="51">
        <v>32.4</v>
      </c>
      <c r="AF18" s="51">
        <v>32.5</v>
      </c>
      <c r="AG18" s="51">
        <v>32.799999999999997</v>
      </c>
      <c r="AH18" s="51">
        <v>33</v>
      </c>
      <c r="AI18" s="51"/>
      <c r="AJ18" s="1"/>
      <c r="AK18" s="1"/>
      <c r="AL18" s="1"/>
      <c r="AM18" s="1"/>
      <c r="AN18" s="1"/>
      <c r="AO18" s="1"/>
      <c r="AP18" s="1"/>
      <c r="AQ18" s="1"/>
      <c r="AR18" s="1"/>
      <c r="AS18" s="1"/>
      <c r="AT18" s="1"/>
      <c r="AU18" s="1"/>
      <c r="AV18" s="1"/>
      <c r="AW18" s="1"/>
      <c r="AX18" s="1"/>
      <c r="AY18" s="1"/>
    </row>
    <row r="19" spans="1:51" s="2" customFormat="1">
      <c r="A19" s="58" t="s">
        <v>34</v>
      </c>
      <c r="B19" s="41"/>
      <c r="C19" s="22" t="s">
        <v>56</v>
      </c>
      <c r="D19" s="53" t="s">
        <v>44</v>
      </c>
      <c r="E19" s="53" t="s">
        <v>44</v>
      </c>
      <c r="F19" s="26">
        <v>25.2</v>
      </c>
      <c r="G19" s="26">
        <v>26</v>
      </c>
      <c r="H19" s="26">
        <v>26.5</v>
      </c>
      <c r="I19" s="26">
        <v>26.5</v>
      </c>
      <c r="J19" s="26">
        <v>26.9</v>
      </c>
      <c r="K19" s="26">
        <v>27.2</v>
      </c>
      <c r="L19" s="26">
        <v>27.4</v>
      </c>
      <c r="M19" s="26">
        <v>27.7</v>
      </c>
      <c r="N19" s="26">
        <v>28.1</v>
      </c>
      <c r="O19" s="26">
        <v>28.2</v>
      </c>
      <c r="P19" s="26">
        <v>28.5</v>
      </c>
      <c r="Q19" s="26">
        <v>28.5</v>
      </c>
      <c r="R19" s="26">
        <v>29</v>
      </c>
      <c r="S19" s="26">
        <v>29.1</v>
      </c>
      <c r="T19" s="26">
        <v>29.3</v>
      </c>
      <c r="U19" s="26">
        <v>29.6</v>
      </c>
      <c r="V19" s="26">
        <v>29.9</v>
      </c>
      <c r="W19" s="26">
        <v>30.2</v>
      </c>
      <c r="X19" s="26">
        <v>30.5</v>
      </c>
      <c r="Y19" s="26">
        <v>31.1</v>
      </c>
      <c r="Z19" s="26">
        <v>31.3</v>
      </c>
      <c r="AA19" s="53">
        <v>31.3</v>
      </c>
      <c r="AB19" s="53">
        <v>31.6</v>
      </c>
      <c r="AC19" s="53">
        <v>31.9</v>
      </c>
      <c r="AD19" s="53">
        <v>32.200000000000003</v>
      </c>
      <c r="AE19" s="53">
        <v>32.6</v>
      </c>
      <c r="AF19" s="53">
        <v>32.799999999999997</v>
      </c>
      <c r="AG19" s="53" t="s">
        <v>44</v>
      </c>
      <c r="AH19" s="53" t="s">
        <v>44</v>
      </c>
      <c r="AI19" s="53"/>
      <c r="AJ19" s="3"/>
      <c r="AK19" s="3"/>
      <c r="AL19" s="3"/>
      <c r="AM19" s="3"/>
      <c r="AN19" s="3"/>
      <c r="AO19" s="3"/>
      <c r="AP19" s="3"/>
      <c r="AQ19" s="3"/>
      <c r="AR19" s="3"/>
      <c r="AS19" s="3"/>
      <c r="AT19" s="3"/>
      <c r="AU19" s="3"/>
      <c r="AV19" s="3"/>
      <c r="AW19" s="3"/>
    </row>
    <row r="20" spans="1:51" s="5" customFormat="1">
      <c r="A20" s="57"/>
      <c r="B20" s="42"/>
      <c r="C20" s="48" t="s">
        <v>57</v>
      </c>
      <c r="D20" s="51" t="s">
        <v>44</v>
      </c>
      <c r="E20" s="51" t="s">
        <v>44</v>
      </c>
      <c r="F20" s="9">
        <v>23</v>
      </c>
      <c r="G20" s="9">
        <v>23.6</v>
      </c>
      <c r="H20" s="9">
        <v>24.1</v>
      </c>
      <c r="I20" s="9">
        <v>24.2</v>
      </c>
      <c r="J20" s="9">
        <v>24.2</v>
      </c>
      <c r="K20" s="9">
        <v>24.4</v>
      </c>
      <c r="L20" s="9">
        <v>24.8</v>
      </c>
      <c r="M20" s="9">
        <v>25</v>
      </c>
      <c r="N20" s="9">
        <v>25.2</v>
      </c>
      <c r="O20" s="9">
        <v>25.5</v>
      </c>
      <c r="P20" s="9">
        <v>25.8</v>
      </c>
      <c r="Q20" s="9">
        <v>25.9</v>
      </c>
      <c r="R20" s="9">
        <v>26.2</v>
      </c>
      <c r="S20" s="9">
        <v>26.4</v>
      </c>
      <c r="T20" s="9">
        <v>26.6</v>
      </c>
      <c r="U20" s="9">
        <v>27.1</v>
      </c>
      <c r="V20" s="9">
        <v>27.4</v>
      </c>
      <c r="W20" s="9">
        <v>27.8</v>
      </c>
      <c r="X20" s="9">
        <v>28</v>
      </c>
      <c r="Y20" s="9">
        <v>28.4</v>
      </c>
      <c r="Z20" s="9">
        <v>28.9</v>
      </c>
      <c r="AA20" s="51">
        <v>28.8</v>
      </c>
      <c r="AB20" s="51">
        <v>29</v>
      </c>
      <c r="AC20" s="51">
        <v>29.3</v>
      </c>
      <c r="AD20" s="51">
        <v>29.7</v>
      </c>
      <c r="AE20" s="51">
        <v>29.9</v>
      </c>
      <c r="AF20" s="51">
        <v>29.9</v>
      </c>
      <c r="AG20" s="51" t="s">
        <v>44</v>
      </c>
      <c r="AH20" s="51" t="s">
        <v>44</v>
      </c>
      <c r="AI20" s="51"/>
      <c r="AJ20" s="6"/>
      <c r="AK20" s="6"/>
      <c r="AL20" s="6"/>
      <c r="AM20" s="6"/>
      <c r="AN20" s="6"/>
      <c r="AO20" s="6"/>
      <c r="AP20" s="6"/>
      <c r="AQ20" s="6"/>
      <c r="AR20" s="6"/>
      <c r="AS20" s="6"/>
      <c r="AT20" s="6"/>
      <c r="AU20" s="6"/>
      <c r="AV20" s="6"/>
      <c r="AW20" s="6"/>
    </row>
    <row r="21" spans="1:51" s="2" customFormat="1">
      <c r="A21" s="58" t="s">
        <v>33</v>
      </c>
      <c r="B21" s="41"/>
      <c r="C21" s="22" t="s">
        <v>56</v>
      </c>
      <c r="D21" s="26">
        <v>28.4</v>
      </c>
      <c r="E21" s="26">
        <v>28.5</v>
      </c>
      <c r="F21" s="26">
        <v>28.6</v>
      </c>
      <c r="G21" s="26">
        <v>28.9</v>
      </c>
      <c r="H21" s="26">
        <v>29</v>
      </c>
      <c r="I21" s="26">
        <v>29.3</v>
      </c>
      <c r="J21" s="53" t="s">
        <v>44</v>
      </c>
      <c r="K21" s="26">
        <v>29.7</v>
      </c>
      <c r="L21" s="26">
        <v>29.9</v>
      </c>
      <c r="M21" s="26">
        <v>30.2</v>
      </c>
      <c r="N21" s="26">
        <v>30.5</v>
      </c>
      <c r="O21" s="26">
        <v>30.6</v>
      </c>
      <c r="P21" s="26">
        <v>31</v>
      </c>
      <c r="Q21" s="26">
        <v>31.2</v>
      </c>
      <c r="R21" s="26">
        <v>31.8</v>
      </c>
      <c r="S21" s="26">
        <v>31.5</v>
      </c>
      <c r="T21" s="26">
        <v>31.8</v>
      </c>
      <c r="U21" s="26">
        <v>32</v>
      </c>
      <c r="V21" s="26">
        <v>32.299999999999997</v>
      </c>
      <c r="W21" s="26">
        <v>32.299999999999997</v>
      </c>
      <c r="X21" s="26">
        <v>32.5</v>
      </c>
      <c r="Y21" s="26">
        <v>32.700000000000003</v>
      </c>
      <c r="Z21" s="26">
        <v>33</v>
      </c>
      <c r="AA21" s="53">
        <v>32.700000000000003</v>
      </c>
      <c r="AB21" s="53">
        <v>32.9</v>
      </c>
      <c r="AC21" s="53">
        <v>33.4</v>
      </c>
      <c r="AD21" s="53">
        <v>33.700000000000003</v>
      </c>
      <c r="AE21" s="53">
        <v>33.9</v>
      </c>
      <c r="AF21" s="53">
        <v>34.299999999999997</v>
      </c>
      <c r="AG21" s="53">
        <v>34.200000000000003</v>
      </c>
      <c r="AH21" s="53" t="s">
        <v>44</v>
      </c>
      <c r="AI21" s="53"/>
      <c r="AJ21" s="3"/>
      <c r="AK21" s="3"/>
      <c r="AL21" s="3"/>
      <c r="AM21" s="3"/>
      <c r="AN21" s="3"/>
      <c r="AO21" s="3"/>
      <c r="AP21" s="3"/>
      <c r="AQ21" s="3"/>
      <c r="AR21" s="3"/>
      <c r="AS21" s="3"/>
      <c r="AT21" s="3"/>
      <c r="AU21" s="3"/>
      <c r="AV21" s="3"/>
      <c r="AW21" s="3"/>
    </row>
    <row r="22" spans="1:51" s="5" customFormat="1">
      <c r="A22" s="57"/>
      <c r="B22" s="42"/>
      <c r="C22" s="48" t="s">
        <v>57</v>
      </c>
      <c r="D22" s="9">
        <v>26.3</v>
      </c>
      <c r="E22" s="9">
        <v>26.3</v>
      </c>
      <c r="F22" s="9">
        <v>26.6</v>
      </c>
      <c r="G22" s="9">
        <v>26.8</v>
      </c>
      <c r="H22" s="9">
        <v>26.9</v>
      </c>
      <c r="I22" s="9">
        <v>27.2</v>
      </c>
      <c r="J22" s="51" t="s">
        <v>44</v>
      </c>
      <c r="K22" s="9">
        <v>27.6</v>
      </c>
      <c r="L22" s="9">
        <v>27.8</v>
      </c>
      <c r="M22" s="9">
        <v>28</v>
      </c>
      <c r="N22" s="9">
        <v>28.3</v>
      </c>
      <c r="O22" s="9">
        <v>28.4</v>
      </c>
      <c r="P22" s="9">
        <v>28.8</v>
      </c>
      <c r="Q22" s="9">
        <v>29</v>
      </c>
      <c r="R22" s="9">
        <v>29.5</v>
      </c>
      <c r="S22" s="9">
        <v>29.4</v>
      </c>
      <c r="T22" s="9">
        <v>29.5</v>
      </c>
      <c r="U22" s="9">
        <v>29.7</v>
      </c>
      <c r="V22" s="9">
        <v>30</v>
      </c>
      <c r="W22" s="9">
        <v>30</v>
      </c>
      <c r="X22" s="9">
        <v>30.2</v>
      </c>
      <c r="Y22" s="9">
        <v>30.4</v>
      </c>
      <c r="Z22" s="9">
        <v>30.7</v>
      </c>
      <c r="AA22" s="51">
        <v>30.4</v>
      </c>
      <c r="AB22" s="51">
        <v>30.6</v>
      </c>
      <c r="AC22" s="51">
        <v>31</v>
      </c>
      <c r="AD22" s="51">
        <v>31.3</v>
      </c>
      <c r="AE22" s="51">
        <v>31.6</v>
      </c>
      <c r="AF22" s="51">
        <v>31.7</v>
      </c>
      <c r="AG22" s="51">
        <v>31.9</v>
      </c>
      <c r="AH22" s="51" t="s">
        <v>44</v>
      </c>
      <c r="AI22" s="51"/>
      <c r="AJ22" s="6"/>
      <c r="AK22" s="6"/>
      <c r="AL22" s="6"/>
      <c r="AM22" s="6"/>
      <c r="AN22" s="6"/>
      <c r="AO22" s="6"/>
      <c r="AP22" s="6"/>
      <c r="AQ22" s="6"/>
      <c r="AR22" s="6"/>
      <c r="AS22" s="6"/>
      <c r="AT22" s="6"/>
      <c r="AU22" s="6"/>
      <c r="AV22" s="6"/>
      <c r="AW22" s="6"/>
    </row>
    <row r="23" spans="1:51" s="2" customFormat="1">
      <c r="A23" s="58" t="s">
        <v>32</v>
      </c>
      <c r="B23" s="41"/>
      <c r="C23" s="22" t="s">
        <v>56</v>
      </c>
      <c r="D23" s="53" t="s">
        <v>44</v>
      </c>
      <c r="E23" s="53" t="s">
        <v>44</v>
      </c>
      <c r="F23" s="53" t="s">
        <v>44</v>
      </c>
      <c r="G23" s="53" t="s">
        <v>44</v>
      </c>
      <c r="H23" s="53" t="s">
        <v>44</v>
      </c>
      <c r="I23" s="53" t="s">
        <v>44</v>
      </c>
      <c r="J23" s="53" t="s">
        <v>44</v>
      </c>
      <c r="K23" s="53" t="s">
        <v>44</v>
      </c>
      <c r="L23" s="26">
        <v>30.3</v>
      </c>
      <c r="M23" s="26">
        <v>30.4</v>
      </c>
      <c r="N23" s="26">
        <v>30.7</v>
      </c>
      <c r="O23" s="26">
        <v>30.7</v>
      </c>
      <c r="P23" s="26">
        <v>30.9</v>
      </c>
      <c r="Q23" s="26">
        <v>31.2</v>
      </c>
      <c r="R23" s="26">
        <v>31.5</v>
      </c>
      <c r="S23" s="26">
        <v>31.8</v>
      </c>
      <c r="T23" s="26">
        <v>32</v>
      </c>
      <c r="U23" s="26">
        <v>32.200000000000003</v>
      </c>
      <c r="V23" s="26">
        <v>32.4</v>
      </c>
      <c r="W23" s="26">
        <v>32.6</v>
      </c>
      <c r="X23" s="26">
        <v>32.799999999999997</v>
      </c>
      <c r="Y23" s="26">
        <v>33</v>
      </c>
      <c r="Z23" s="53" t="s">
        <v>44</v>
      </c>
      <c r="AA23" s="53">
        <v>34.1</v>
      </c>
      <c r="AB23" s="53">
        <v>34.4</v>
      </c>
      <c r="AC23" s="53">
        <v>34.4</v>
      </c>
      <c r="AD23" s="53">
        <v>34.700000000000003</v>
      </c>
      <c r="AE23" s="53">
        <v>34.9</v>
      </c>
      <c r="AF23" s="53">
        <v>35.200000000000003</v>
      </c>
      <c r="AG23" s="53" t="s">
        <v>44</v>
      </c>
      <c r="AH23" s="53" t="s">
        <v>44</v>
      </c>
      <c r="AI23" s="53"/>
      <c r="AJ23" s="3"/>
      <c r="AK23" s="3"/>
      <c r="AL23" s="3"/>
      <c r="AM23" s="3"/>
      <c r="AN23" s="3"/>
      <c r="AO23" s="3"/>
      <c r="AP23" s="3"/>
      <c r="AQ23" s="3"/>
      <c r="AR23" s="3"/>
      <c r="AS23" s="3"/>
      <c r="AT23" s="3"/>
      <c r="AU23" s="3"/>
      <c r="AV23" s="3"/>
      <c r="AW23" s="3"/>
    </row>
    <row r="24" spans="1:51" s="5" customFormat="1">
      <c r="A24" s="57"/>
      <c r="B24" s="42"/>
      <c r="C24" s="48" t="s">
        <v>57</v>
      </c>
      <c r="D24" s="51" t="s">
        <v>44</v>
      </c>
      <c r="E24" s="51" t="s">
        <v>44</v>
      </c>
      <c r="F24" s="51" t="s">
        <v>44</v>
      </c>
      <c r="G24" s="51" t="s">
        <v>44</v>
      </c>
      <c r="H24" s="51" t="s">
        <v>44</v>
      </c>
      <c r="I24" s="51" t="s">
        <v>44</v>
      </c>
      <c r="J24" s="51" t="s">
        <v>44</v>
      </c>
      <c r="K24" s="51" t="s">
        <v>44</v>
      </c>
      <c r="L24" s="9">
        <v>28.1</v>
      </c>
      <c r="M24" s="9">
        <v>28.2</v>
      </c>
      <c r="N24" s="9">
        <v>28.4</v>
      </c>
      <c r="O24" s="9">
        <v>28.5</v>
      </c>
      <c r="P24" s="9">
        <v>28.7</v>
      </c>
      <c r="Q24" s="9">
        <v>28.9</v>
      </c>
      <c r="R24" s="9">
        <v>29.2</v>
      </c>
      <c r="S24" s="9">
        <v>29.6</v>
      </c>
      <c r="T24" s="9">
        <v>29.8</v>
      </c>
      <c r="U24" s="9">
        <v>30</v>
      </c>
      <c r="V24" s="9">
        <v>30.2</v>
      </c>
      <c r="W24" s="9">
        <v>30.4</v>
      </c>
      <c r="X24" s="9">
        <v>30.7</v>
      </c>
      <c r="Y24" s="9">
        <v>30.8</v>
      </c>
      <c r="Z24" s="51" t="s">
        <v>44</v>
      </c>
      <c r="AA24" s="51">
        <v>31.7</v>
      </c>
      <c r="AB24" s="51">
        <v>32.1</v>
      </c>
      <c r="AC24" s="51">
        <v>32.200000000000003</v>
      </c>
      <c r="AD24" s="51">
        <v>32.5</v>
      </c>
      <c r="AE24" s="51">
        <v>32.799999999999997</v>
      </c>
      <c r="AF24" s="51">
        <v>33.1</v>
      </c>
      <c r="AG24" s="51" t="s">
        <v>44</v>
      </c>
      <c r="AH24" s="51" t="s">
        <v>44</v>
      </c>
      <c r="AI24" s="51"/>
      <c r="AJ24" s="6"/>
      <c r="AK24" s="6"/>
      <c r="AL24" s="6"/>
      <c r="AM24" s="6"/>
      <c r="AN24" s="6"/>
      <c r="AO24" s="6"/>
      <c r="AP24" s="6"/>
      <c r="AQ24" s="6"/>
      <c r="AR24" s="6"/>
      <c r="AS24" s="6"/>
      <c r="AT24" s="6"/>
      <c r="AU24" s="6"/>
      <c r="AV24" s="6"/>
      <c r="AW24" s="6"/>
    </row>
    <row r="25" spans="1:51" s="2" customFormat="1">
      <c r="A25" s="58" t="s">
        <v>31</v>
      </c>
      <c r="B25" s="41"/>
      <c r="C25" s="22" t="s">
        <v>56</v>
      </c>
      <c r="D25" s="26">
        <v>28.2</v>
      </c>
      <c r="E25" s="26">
        <v>28.7</v>
      </c>
      <c r="F25" s="26">
        <v>28.9</v>
      </c>
      <c r="G25" s="26">
        <v>29.2</v>
      </c>
      <c r="H25" s="26">
        <v>29.4</v>
      </c>
      <c r="I25" s="26">
        <v>29.5</v>
      </c>
      <c r="J25" s="26">
        <v>29.7</v>
      </c>
      <c r="K25" s="26">
        <v>29.8</v>
      </c>
      <c r="L25" s="26">
        <v>30.1</v>
      </c>
      <c r="M25" s="26">
        <v>30.3</v>
      </c>
      <c r="N25" s="26">
        <v>30.5</v>
      </c>
      <c r="O25" s="26">
        <v>30.9</v>
      </c>
      <c r="P25" s="53" t="s">
        <v>44</v>
      </c>
      <c r="Q25" s="26">
        <v>31.2</v>
      </c>
      <c r="R25" s="26">
        <v>31.6</v>
      </c>
      <c r="S25" s="26">
        <v>31.9</v>
      </c>
      <c r="T25" s="26">
        <v>31.9</v>
      </c>
      <c r="U25" s="26">
        <v>32.1</v>
      </c>
      <c r="V25" s="26">
        <v>32.4</v>
      </c>
      <c r="W25" s="26">
        <v>32.5</v>
      </c>
      <c r="X25" s="53" t="s">
        <v>44</v>
      </c>
      <c r="Y25" s="26">
        <v>32.9</v>
      </c>
      <c r="Z25" s="53" t="s">
        <v>44</v>
      </c>
      <c r="AA25" s="53">
        <v>33.200000000000003</v>
      </c>
      <c r="AB25" s="53">
        <v>33.4</v>
      </c>
      <c r="AC25" s="53">
        <v>33.6</v>
      </c>
      <c r="AD25" s="53">
        <v>33.799999999999997</v>
      </c>
      <c r="AE25" s="53">
        <v>34</v>
      </c>
      <c r="AF25" s="53" t="s">
        <v>44</v>
      </c>
      <c r="AG25" s="53" t="s">
        <v>44</v>
      </c>
      <c r="AH25" s="53" t="s">
        <v>44</v>
      </c>
      <c r="AI25" s="53"/>
      <c r="AJ25" s="3"/>
      <c r="AK25" s="3"/>
      <c r="AL25" s="3"/>
      <c r="AM25" s="3"/>
      <c r="AN25" s="3"/>
      <c r="AO25" s="3"/>
      <c r="AP25" s="3"/>
      <c r="AQ25" s="3"/>
      <c r="AR25" s="3"/>
      <c r="AS25" s="3"/>
      <c r="AT25" s="3"/>
      <c r="AU25" s="3"/>
      <c r="AV25" s="3"/>
      <c r="AW25" s="3"/>
    </row>
    <row r="26" spans="1:51" s="5" customFormat="1">
      <c r="A26" s="57"/>
      <c r="B26" s="42"/>
      <c r="C26" s="48" t="s">
        <v>57</v>
      </c>
      <c r="D26" s="9">
        <v>25.5</v>
      </c>
      <c r="E26" s="9">
        <v>25.9</v>
      </c>
      <c r="F26" s="9">
        <v>26.1</v>
      </c>
      <c r="G26" s="9">
        <v>26.4</v>
      </c>
      <c r="H26" s="9">
        <v>26.6</v>
      </c>
      <c r="I26" s="9">
        <v>26.7</v>
      </c>
      <c r="J26" s="9">
        <v>26.9</v>
      </c>
      <c r="K26" s="9">
        <v>27</v>
      </c>
      <c r="L26" s="9">
        <v>27.2</v>
      </c>
      <c r="M26" s="9">
        <v>27.5</v>
      </c>
      <c r="N26" s="9">
        <v>27.7</v>
      </c>
      <c r="O26" s="9">
        <v>28</v>
      </c>
      <c r="P26" s="51" t="s">
        <v>44</v>
      </c>
      <c r="Q26" s="9">
        <v>28.4</v>
      </c>
      <c r="R26" s="9">
        <v>28.8</v>
      </c>
      <c r="S26" s="9">
        <v>29.1</v>
      </c>
      <c r="T26" s="9">
        <v>29.1</v>
      </c>
      <c r="U26" s="9">
        <v>29.3</v>
      </c>
      <c r="V26" s="9">
        <v>29.6</v>
      </c>
      <c r="W26" s="9">
        <v>29.8</v>
      </c>
      <c r="X26" s="51" t="s">
        <v>44</v>
      </c>
      <c r="Y26" s="9">
        <v>30.2</v>
      </c>
      <c r="Z26" s="51" t="s">
        <v>44</v>
      </c>
      <c r="AA26" s="51">
        <v>30.5</v>
      </c>
      <c r="AB26" s="51">
        <v>30.7</v>
      </c>
      <c r="AC26" s="51">
        <v>30.9</v>
      </c>
      <c r="AD26" s="51">
        <v>31.1</v>
      </c>
      <c r="AE26" s="51">
        <v>31.2</v>
      </c>
      <c r="AF26" s="51" t="s">
        <v>44</v>
      </c>
      <c r="AG26" s="51" t="s">
        <v>44</v>
      </c>
      <c r="AH26" s="51" t="s">
        <v>44</v>
      </c>
      <c r="AI26" s="51"/>
      <c r="AJ26" s="6"/>
      <c r="AK26" s="6"/>
      <c r="AL26" s="6"/>
      <c r="AM26" s="6"/>
      <c r="AN26" s="6"/>
      <c r="AO26" s="6"/>
      <c r="AP26" s="6"/>
      <c r="AQ26" s="6"/>
      <c r="AR26" s="6"/>
      <c r="AS26" s="6"/>
      <c r="AT26" s="6"/>
      <c r="AU26" s="6"/>
      <c r="AV26" s="6"/>
      <c r="AW26" s="6"/>
    </row>
    <row r="27" spans="1:51">
      <c r="A27" s="58" t="s">
        <v>30</v>
      </c>
      <c r="B27" s="41"/>
      <c r="C27" s="22" t="s">
        <v>56</v>
      </c>
      <c r="D27" s="26">
        <v>29</v>
      </c>
      <c r="E27" s="26">
        <v>29.3</v>
      </c>
      <c r="F27" s="26">
        <v>29.6</v>
      </c>
      <c r="G27" s="26">
        <v>29.7</v>
      </c>
      <c r="H27" s="26">
        <v>29.9</v>
      </c>
      <c r="I27" s="26">
        <v>30.1</v>
      </c>
      <c r="J27" s="26">
        <v>30.2</v>
      </c>
      <c r="K27" s="26">
        <v>30.6</v>
      </c>
      <c r="L27" s="26">
        <v>30.8</v>
      </c>
      <c r="M27" s="26">
        <v>31</v>
      </c>
      <c r="N27" s="26">
        <v>31.1</v>
      </c>
      <c r="O27" s="26">
        <v>31.2</v>
      </c>
      <c r="P27" s="26">
        <v>31.5</v>
      </c>
      <c r="Q27" s="26">
        <v>31.7</v>
      </c>
      <c r="R27" s="26">
        <v>31.8</v>
      </c>
      <c r="S27" s="26">
        <v>32</v>
      </c>
      <c r="T27" s="26">
        <v>32.200000000000003</v>
      </c>
      <c r="U27" s="26">
        <v>32.4</v>
      </c>
      <c r="V27" s="26">
        <v>32.4</v>
      </c>
      <c r="W27" s="26">
        <v>32.5</v>
      </c>
      <c r="X27" s="26">
        <v>32.6</v>
      </c>
      <c r="Y27" s="26">
        <v>32.700000000000003</v>
      </c>
      <c r="Z27" s="26">
        <v>32.799999999999997</v>
      </c>
      <c r="AA27" s="53">
        <v>32.9</v>
      </c>
      <c r="AB27" s="53">
        <v>33</v>
      </c>
      <c r="AC27" s="53">
        <v>33.200000000000003</v>
      </c>
      <c r="AD27" s="53">
        <v>33.200000000000003</v>
      </c>
      <c r="AE27" s="53">
        <v>33.299999999999997</v>
      </c>
      <c r="AF27" s="53">
        <v>33.4</v>
      </c>
      <c r="AG27" s="53">
        <v>33.700000000000003</v>
      </c>
      <c r="AH27" s="53">
        <v>33.799999999999997</v>
      </c>
      <c r="AI27" s="53"/>
      <c r="AJ27" s="1"/>
      <c r="AK27" s="1"/>
      <c r="AL27" s="1"/>
      <c r="AM27" s="1"/>
      <c r="AN27" s="1"/>
      <c r="AO27" s="1"/>
      <c r="AP27" s="1"/>
      <c r="AQ27" s="1"/>
      <c r="AR27" s="1"/>
      <c r="AS27" s="1"/>
      <c r="AT27" s="1"/>
      <c r="AU27" s="1"/>
      <c r="AV27" s="1"/>
      <c r="AW27" s="1"/>
      <c r="AX27" s="1"/>
      <c r="AY27" s="1"/>
    </row>
    <row r="28" spans="1:51">
      <c r="A28" s="57"/>
      <c r="B28" s="42"/>
      <c r="C28" s="48" t="s">
        <v>57</v>
      </c>
      <c r="D28" s="9">
        <v>24.9</v>
      </c>
      <c r="E28" s="9">
        <v>25.2</v>
      </c>
      <c r="F28" s="9">
        <v>25.5</v>
      </c>
      <c r="G28" s="9">
        <v>25.5</v>
      </c>
      <c r="H28" s="9">
        <v>25.8</v>
      </c>
      <c r="I28" s="9">
        <v>26</v>
      </c>
      <c r="J28" s="9">
        <v>26.3</v>
      </c>
      <c r="K28" s="9">
        <v>26.6</v>
      </c>
      <c r="L28" s="9">
        <v>26.8</v>
      </c>
      <c r="M28" s="9">
        <v>26.9</v>
      </c>
      <c r="N28" s="9">
        <v>27.2</v>
      </c>
      <c r="O28" s="9">
        <v>27.3</v>
      </c>
      <c r="P28" s="9">
        <v>27.6</v>
      </c>
      <c r="Q28" s="9">
        <v>27.9</v>
      </c>
      <c r="R28" s="9">
        <v>28</v>
      </c>
      <c r="S28" s="9">
        <v>28.3</v>
      </c>
      <c r="T28" s="9">
        <v>28.6</v>
      </c>
      <c r="U28" s="9">
        <v>28.8</v>
      </c>
      <c r="V28" s="9">
        <v>28.9</v>
      </c>
      <c r="W28" s="9">
        <v>29</v>
      </c>
      <c r="X28" s="9">
        <v>29.3</v>
      </c>
      <c r="Y28" s="9">
        <v>29.4</v>
      </c>
      <c r="Z28" s="9">
        <v>29.5</v>
      </c>
      <c r="AA28" s="51">
        <v>29.7</v>
      </c>
      <c r="AB28" s="51">
        <v>29.9</v>
      </c>
      <c r="AC28" s="51">
        <v>30.1</v>
      </c>
      <c r="AD28" s="51">
        <v>30.1</v>
      </c>
      <c r="AE28" s="51">
        <v>30.3</v>
      </c>
      <c r="AF28" s="51">
        <v>30.3</v>
      </c>
      <c r="AG28" s="51">
        <v>30.7</v>
      </c>
      <c r="AH28" s="51">
        <v>30.7</v>
      </c>
      <c r="AI28" s="51"/>
      <c r="AJ28" s="1"/>
      <c r="AK28" s="1"/>
      <c r="AL28" s="1"/>
      <c r="AM28" s="1"/>
      <c r="AN28" s="1"/>
      <c r="AO28" s="1"/>
      <c r="AP28" s="1"/>
      <c r="AQ28" s="1"/>
      <c r="AR28" s="1"/>
      <c r="AS28" s="1"/>
      <c r="AT28" s="1"/>
      <c r="AU28" s="1"/>
      <c r="AV28" s="1"/>
      <c r="AW28" s="1"/>
      <c r="AX28" s="1"/>
      <c r="AY28" s="1"/>
    </row>
    <row r="29" spans="1:51" s="2" customFormat="1">
      <c r="A29" s="58" t="s">
        <v>29</v>
      </c>
      <c r="B29" s="41"/>
      <c r="C29" s="22" t="s">
        <v>56</v>
      </c>
      <c r="D29" s="26">
        <v>24.7</v>
      </c>
      <c r="E29" s="26">
        <v>24.8</v>
      </c>
      <c r="F29" s="26">
        <v>25</v>
      </c>
      <c r="G29" s="26">
        <v>25.1</v>
      </c>
      <c r="H29" s="26">
        <v>25.5</v>
      </c>
      <c r="I29" s="26">
        <v>25.8</v>
      </c>
      <c r="J29" s="26">
        <v>26.1</v>
      </c>
      <c r="K29" s="26">
        <v>26.6</v>
      </c>
      <c r="L29" s="26">
        <v>26.8</v>
      </c>
      <c r="M29" s="26">
        <v>27.3</v>
      </c>
      <c r="N29" s="26">
        <v>27.6</v>
      </c>
      <c r="O29" s="26">
        <v>28.2</v>
      </c>
      <c r="P29" s="26">
        <v>28.5</v>
      </c>
      <c r="Q29" s="26">
        <v>28.9</v>
      </c>
      <c r="R29" s="26">
        <v>29.2</v>
      </c>
      <c r="S29" s="26">
        <v>29.4</v>
      </c>
      <c r="T29" s="26">
        <v>29.8</v>
      </c>
      <c r="U29" s="26">
        <v>30.1</v>
      </c>
      <c r="V29" s="26">
        <v>30.4</v>
      </c>
      <c r="W29" s="26">
        <v>30.8</v>
      </c>
      <c r="X29" s="26">
        <v>31.2</v>
      </c>
      <c r="Y29" s="26">
        <v>31.6</v>
      </c>
      <c r="Z29" s="53" t="s">
        <v>44</v>
      </c>
      <c r="AA29" s="53">
        <v>31.9</v>
      </c>
      <c r="AB29" s="53">
        <v>32.1</v>
      </c>
      <c r="AC29" s="53">
        <v>32</v>
      </c>
      <c r="AD29" s="53">
        <v>32.1</v>
      </c>
      <c r="AE29" s="53">
        <v>32.299999999999997</v>
      </c>
      <c r="AF29" s="53">
        <v>32.4</v>
      </c>
      <c r="AG29" s="53">
        <v>32.4</v>
      </c>
      <c r="AH29" s="53">
        <v>32.299999999999997</v>
      </c>
      <c r="AI29" s="53"/>
      <c r="AJ29" s="3"/>
      <c r="AK29" s="3"/>
      <c r="AL29" s="3"/>
      <c r="AM29" s="3"/>
      <c r="AN29" s="3"/>
      <c r="AO29" s="3"/>
      <c r="AP29" s="3"/>
      <c r="AQ29" s="3"/>
      <c r="AR29" s="3"/>
      <c r="AS29" s="3"/>
      <c r="AT29" s="3"/>
      <c r="AU29" s="3"/>
      <c r="AV29" s="3"/>
      <c r="AW29" s="3"/>
    </row>
    <row r="30" spans="1:51" s="5" customFormat="1">
      <c r="A30" s="57"/>
      <c r="B30" s="42"/>
      <c r="C30" s="48" t="s">
        <v>57</v>
      </c>
      <c r="D30" s="9">
        <v>22</v>
      </c>
      <c r="E30" s="9">
        <v>22.1</v>
      </c>
      <c r="F30" s="9">
        <v>22.3</v>
      </c>
      <c r="G30" s="9">
        <v>22.5</v>
      </c>
      <c r="H30" s="9">
        <v>22.8</v>
      </c>
      <c r="I30" s="9">
        <v>23.1</v>
      </c>
      <c r="J30" s="9">
        <v>23.4</v>
      </c>
      <c r="K30" s="9">
        <v>23.7</v>
      </c>
      <c r="L30" s="9">
        <v>24.1</v>
      </c>
      <c r="M30" s="9">
        <v>24.4</v>
      </c>
      <c r="N30" s="9">
        <v>24.8</v>
      </c>
      <c r="O30" s="9">
        <v>25.2</v>
      </c>
      <c r="P30" s="9">
        <v>25.7</v>
      </c>
      <c r="Q30" s="9">
        <v>26</v>
      </c>
      <c r="R30" s="9">
        <v>26.4</v>
      </c>
      <c r="S30" s="9">
        <v>26.7</v>
      </c>
      <c r="T30" s="9">
        <v>27</v>
      </c>
      <c r="U30" s="9">
        <v>27.2</v>
      </c>
      <c r="V30" s="9">
        <v>27.5</v>
      </c>
      <c r="W30" s="9">
        <v>28</v>
      </c>
      <c r="X30" s="9">
        <v>28.3</v>
      </c>
      <c r="Y30" s="9">
        <v>28.6</v>
      </c>
      <c r="Z30" s="51" t="s">
        <v>44</v>
      </c>
      <c r="AA30" s="51">
        <v>29</v>
      </c>
      <c r="AB30" s="51">
        <v>29.3</v>
      </c>
      <c r="AC30" s="51">
        <v>29.2</v>
      </c>
      <c r="AD30" s="51">
        <v>29.2</v>
      </c>
      <c r="AE30" s="51">
        <v>29.4</v>
      </c>
      <c r="AF30" s="51">
        <v>29.6</v>
      </c>
      <c r="AG30" s="51">
        <v>29.6</v>
      </c>
      <c r="AH30" s="51">
        <v>29.5</v>
      </c>
      <c r="AI30" s="51"/>
      <c r="AJ30" s="6"/>
      <c r="AK30" s="6"/>
      <c r="AL30" s="6"/>
      <c r="AM30" s="6"/>
      <c r="AN30" s="6"/>
      <c r="AO30" s="6"/>
      <c r="AP30" s="6"/>
      <c r="AQ30" s="6"/>
      <c r="AR30" s="6"/>
      <c r="AS30" s="6"/>
      <c r="AT30" s="6"/>
      <c r="AU30" s="6"/>
      <c r="AV30" s="6"/>
      <c r="AW30" s="6"/>
    </row>
    <row r="31" spans="1:51" s="2" customFormat="1">
      <c r="A31" s="58" t="s">
        <v>28</v>
      </c>
      <c r="B31" s="41"/>
      <c r="C31" s="22" t="s">
        <v>56</v>
      </c>
      <c r="D31" s="26">
        <v>29.4</v>
      </c>
      <c r="E31" s="26">
        <v>29.5</v>
      </c>
      <c r="F31" s="26">
        <v>30.6</v>
      </c>
      <c r="G31" s="26">
        <v>30.2</v>
      </c>
      <c r="H31" s="26">
        <v>31.2</v>
      </c>
      <c r="I31" s="26">
        <v>31.7</v>
      </c>
      <c r="J31" s="26">
        <v>31.9</v>
      </c>
      <c r="K31" s="26">
        <v>32.700000000000003</v>
      </c>
      <c r="L31" s="26">
        <v>32.5</v>
      </c>
      <c r="M31" s="26">
        <v>32.5</v>
      </c>
      <c r="N31" s="26">
        <v>33.299999999999997</v>
      </c>
      <c r="O31" s="26">
        <v>32.9</v>
      </c>
      <c r="P31" s="26">
        <v>33.299999999999997</v>
      </c>
      <c r="Q31" s="26">
        <v>33.200000000000003</v>
      </c>
      <c r="R31" s="26">
        <v>33.799999999999997</v>
      </c>
      <c r="S31" s="26">
        <v>33.9</v>
      </c>
      <c r="T31" s="26">
        <v>34.200000000000003</v>
      </c>
      <c r="U31" s="26">
        <v>34.4</v>
      </c>
      <c r="V31" s="26">
        <v>34.799999999999997</v>
      </c>
      <c r="W31" s="26">
        <v>35.1</v>
      </c>
      <c r="X31" s="26">
        <v>34.700000000000003</v>
      </c>
      <c r="Y31" s="53">
        <v>34.4</v>
      </c>
      <c r="Z31" s="53" t="s">
        <v>44</v>
      </c>
      <c r="AA31" s="53" t="s">
        <v>44</v>
      </c>
      <c r="AB31" s="53" t="s">
        <v>44</v>
      </c>
      <c r="AC31" s="53" t="s">
        <v>44</v>
      </c>
      <c r="AD31" s="53" t="s">
        <v>44</v>
      </c>
      <c r="AE31" s="53" t="s">
        <v>44</v>
      </c>
      <c r="AF31" s="53" t="s">
        <v>44</v>
      </c>
      <c r="AG31" s="53" t="s">
        <v>44</v>
      </c>
      <c r="AH31" s="53" t="s">
        <v>44</v>
      </c>
      <c r="AI31" s="53"/>
      <c r="AJ31" s="3"/>
      <c r="AK31" s="3"/>
      <c r="AL31" s="3"/>
      <c r="AM31" s="3"/>
      <c r="AN31" s="3"/>
      <c r="AO31" s="3"/>
      <c r="AP31" s="3"/>
      <c r="AQ31" s="3"/>
      <c r="AR31" s="3"/>
      <c r="AS31" s="3"/>
      <c r="AT31" s="3"/>
      <c r="AU31" s="3"/>
      <c r="AV31" s="3"/>
      <c r="AW31" s="3"/>
    </row>
    <row r="32" spans="1:51" s="5" customFormat="1">
      <c r="A32" s="57"/>
      <c r="B32" s="42"/>
      <c r="C32" s="48" t="s">
        <v>57</v>
      </c>
      <c r="D32" s="9">
        <v>26.9</v>
      </c>
      <c r="E32" s="9">
        <v>27.2</v>
      </c>
      <c r="F32" s="9">
        <v>27.9</v>
      </c>
      <c r="G32" s="9">
        <v>28</v>
      </c>
      <c r="H32" s="9">
        <v>28.8</v>
      </c>
      <c r="I32" s="9">
        <v>28.8</v>
      </c>
      <c r="J32" s="9">
        <v>29.2</v>
      </c>
      <c r="K32" s="9">
        <v>30.6</v>
      </c>
      <c r="L32" s="9">
        <v>30.1</v>
      </c>
      <c r="M32" s="9">
        <v>30.2</v>
      </c>
      <c r="N32" s="9">
        <v>30.6</v>
      </c>
      <c r="O32" s="9">
        <v>30.2</v>
      </c>
      <c r="P32" s="9">
        <v>30.8</v>
      </c>
      <c r="Q32" s="9">
        <v>31</v>
      </c>
      <c r="R32" s="9">
        <v>31.4</v>
      </c>
      <c r="S32" s="9">
        <v>31.5</v>
      </c>
      <c r="T32" s="9">
        <v>31.8</v>
      </c>
      <c r="U32" s="9">
        <v>32.1</v>
      </c>
      <c r="V32" s="9">
        <v>32.4</v>
      </c>
      <c r="W32" s="9">
        <v>32.1</v>
      </c>
      <c r="X32" s="9">
        <v>32.4</v>
      </c>
      <c r="Y32" s="51">
        <v>32.4</v>
      </c>
      <c r="Z32" s="51" t="s">
        <v>44</v>
      </c>
      <c r="AA32" s="51" t="s">
        <v>44</v>
      </c>
      <c r="AB32" s="51" t="s">
        <v>44</v>
      </c>
      <c r="AC32" s="51" t="s">
        <v>44</v>
      </c>
      <c r="AD32" s="51" t="s">
        <v>44</v>
      </c>
      <c r="AE32" s="51" t="s">
        <v>44</v>
      </c>
      <c r="AF32" s="51" t="s">
        <v>44</v>
      </c>
      <c r="AG32" s="51" t="s">
        <v>44</v>
      </c>
      <c r="AH32" s="51" t="s">
        <v>44</v>
      </c>
      <c r="AI32" s="51"/>
      <c r="AJ32" s="6"/>
      <c r="AK32" s="6"/>
      <c r="AL32" s="6"/>
      <c r="AM32" s="6"/>
      <c r="AN32" s="6"/>
      <c r="AO32" s="6"/>
      <c r="AP32" s="6"/>
      <c r="AQ32" s="6"/>
      <c r="AR32" s="6"/>
      <c r="AS32" s="6"/>
      <c r="AT32" s="6"/>
      <c r="AU32" s="6"/>
      <c r="AV32" s="6"/>
      <c r="AW32" s="6"/>
    </row>
    <row r="33" spans="1:51" s="2" customFormat="1">
      <c r="A33" s="58" t="s">
        <v>27</v>
      </c>
      <c r="B33" s="41"/>
      <c r="C33" s="22" t="s">
        <v>56</v>
      </c>
      <c r="D33" s="26">
        <v>28.7</v>
      </c>
      <c r="E33" s="26">
        <v>28.8</v>
      </c>
      <c r="F33" s="26">
        <v>29.1</v>
      </c>
      <c r="G33" s="26">
        <v>29.4</v>
      </c>
      <c r="H33" s="26">
        <v>29.8</v>
      </c>
      <c r="I33" s="26">
        <v>30</v>
      </c>
      <c r="J33" s="26">
        <v>30.4</v>
      </c>
      <c r="K33" s="53" t="s">
        <v>44</v>
      </c>
      <c r="L33" s="53" t="s">
        <v>44</v>
      </c>
      <c r="M33" s="53" t="s">
        <v>44</v>
      </c>
      <c r="N33" s="53" t="s">
        <v>44</v>
      </c>
      <c r="O33" s="53" t="s">
        <v>44</v>
      </c>
      <c r="P33" s="53" t="s">
        <v>44</v>
      </c>
      <c r="Q33" s="53" t="s">
        <v>44</v>
      </c>
      <c r="R33" s="53" t="s">
        <v>44</v>
      </c>
      <c r="S33" s="26">
        <v>32.4</v>
      </c>
      <c r="T33" s="26">
        <v>32.5</v>
      </c>
      <c r="U33" s="26">
        <v>32.700000000000003</v>
      </c>
      <c r="V33" s="53" t="s">
        <v>44</v>
      </c>
      <c r="W33" s="26">
        <v>33.1</v>
      </c>
      <c r="X33" s="26">
        <v>33.1</v>
      </c>
      <c r="Y33" s="53" t="s">
        <v>44</v>
      </c>
      <c r="Z33" s="53" t="s">
        <v>44</v>
      </c>
      <c r="AA33" s="53">
        <v>33.5</v>
      </c>
      <c r="AB33" s="53">
        <v>32.4</v>
      </c>
      <c r="AC33" s="53">
        <v>33.799999999999997</v>
      </c>
      <c r="AD33" s="53">
        <v>33.799999999999997</v>
      </c>
      <c r="AE33" s="53" t="s">
        <v>44</v>
      </c>
      <c r="AF33" s="53" t="s">
        <v>44</v>
      </c>
      <c r="AG33" s="53" t="s">
        <v>44</v>
      </c>
      <c r="AH33" s="53" t="s">
        <v>44</v>
      </c>
      <c r="AI33" s="53"/>
      <c r="AJ33" s="3"/>
      <c r="AK33" s="3"/>
      <c r="AL33" s="3"/>
      <c r="AM33" s="3"/>
      <c r="AN33" s="3"/>
      <c r="AO33" s="3"/>
      <c r="AP33" s="3"/>
      <c r="AQ33" s="3"/>
      <c r="AR33" s="3"/>
      <c r="AS33" s="3"/>
      <c r="AT33" s="3"/>
      <c r="AU33" s="3"/>
      <c r="AV33" s="3"/>
      <c r="AW33" s="3"/>
    </row>
    <row r="34" spans="1:51" s="5" customFormat="1">
      <c r="A34" s="57"/>
      <c r="B34" s="42"/>
      <c r="C34" s="48" t="s">
        <v>57</v>
      </c>
      <c r="D34" s="9">
        <v>26.6</v>
      </c>
      <c r="E34" s="9">
        <v>26.9</v>
      </c>
      <c r="F34" s="9">
        <v>27.1</v>
      </c>
      <c r="G34" s="9">
        <v>27.5</v>
      </c>
      <c r="H34" s="9">
        <v>27.8</v>
      </c>
      <c r="I34" s="9">
        <v>28.1</v>
      </c>
      <c r="J34" s="9">
        <v>28.5</v>
      </c>
      <c r="K34" s="51" t="s">
        <v>44</v>
      </c>
      <c r="L34" s="51" t="s">
        <v>44</v>
      </c>
      <c r="M34" s="51" t="s">
        <v>44</v>
      </c>
      <c r="N34" s="51" t="s">
        <v>44</v>
      </c>
      <c r="O34" s="51" t="s">
        <v>44</v>
      </c>
      <c r="P34" s="51" t="s">
        <v>44</v>
      </c>
      <c r="Q34" s="51" t="s">
        <v>44</v>
      </c>
      <c r="R34" s="51" t="s">
        <v>44</v>
      </c>
      <c r="S34" s="9">
        <v>30.5</v>
      </c>
      <c r="T34" s="9">
        <v>30.7</v>
      </c>
      <c r="U34" s="9">
        <v>30.9</v>
      </c>
      <c r="V34" s="51" t="s">
        <v>44</v>
      </c>
      <c r="W34" s="9">
        <v>31.2</v>
      </c>
      <c r="X34" s="9">
        <v>31.3</v>
      </c>
      <c r="Y34" s="51" t="s">
        <v>44</v>
      </c>
      <c r="Z34" s="51" t="s">
        <v>44</v>
      </c>
      <c r="AA34" s="51">
        <v>31.8</v>
      </c>
      <c r="AB34" s="51">
        <v>30.7</v>
      </c>
      <c r="AC34" s="51">
        <v>32</v>
      </c>
      <c r="AD34" s="51">
        <v>31.9</v>
      </c>
      <c r="AE34" s="51" t="s">
        <v>44</v>
      </c>
      <c r="AF34" s="51" t="s">
        <v>44</v>
      </c>
      <c r="AG34" s="51" t="s">
        <v>44</v>
      </c>
      <c r="AH34" s="51" t="s">
        <v>44</v>
      </c>
      <c r="AI34" s="51"/>
      <c r="AJ34" s="6"/>
      <c r="AK34" s="6"/>
      <c r="AL34" s="6"/>
      <c r="AM34" s="6"/>
      <c r="AN34" s="6"/>
      <c r="AO34" s="6"/>
      <c r="AP34" s="6"/>
      <c r="AQ34" s="6"/>
      <c r="AR34" s="6"/>
      <c r="AS34" s="6"/>
      <c r="AT34" s="6"/>
      <c r="AU34" s="6"/>
      <c r="AV34" s="6"/>
      <c r="AW34" s="6"/>
    </row>
    <row r="35" spans="1:51" s="2" customFormat="1">
      <c r="A35" s="134" t="s">
        <v>26</v>
      </c>
      <c r="B35" s="123">
        <v>6</v>
      </c>
      <c r="C35" s="22" t="s">
        <v>56</v>
      </c>
      <c r="D35" s="53" t="s">
        <v>44</v>
      </c>
      <c r="E35" s="53" t="s">
        <v>44</v>
      </c>
      <c r="F35" s="53" t="s">
        <v>44</v>
      </c>
      <c r="G35" s="53" t="s">
        <v>44</v>
      </c>
      <c r="H35" s="53" t="s">
        <v>44</v>
      </c>
      <c r="I35" s="53" t="s">
        <v>44</v>
      </c>
      <c r="J35" s="53" t="s">
        <v>44</v>
      </c>
      <c r="K35" s="53" t="s">
        <v>44</v>
      </c>
      <c r="L35" s="53" t="s">
        <v>44</v>
      </c>
      <c r="M35" s="53" t="s">
        <v>44</v>
      </c>
      <c r="N35" s="53" t="s">
        <v>44</v>
      </c>
      <c r="O35" s="53" t="s">
        <v>44</v>
      </c>
      <c r="P35" s="53">
        <v>27.1</v>
      </c>
      <c r="Q35" s="53">
        <v>27.2</v>
      </c>
      <c r="R35" s="53">
        <v>27.4</v>
      </c>
      <c r="S35" s="53">
        <v>27.5</v>
      </c>
      <c r="T35" s="53">
        <v>27.6</v>
      </c>
      <c r="U35" s="53">
        <v>27.6</v>
      </c>
      <c r="V35" s="53">
        <v>27.5</v>
      </c>
      <c r="W35" s="53">
        <v>27.6</v>
      </c>
      <c r="X35" s="53">
        <v>27.6</v>
      </c>
      <c r="Y35" s="53">
        <v>27.7</v>
      </c>
      <c r="Z35" s="53">
        <v>27.7</v>
      </c>
      <c r="AA35" s="53">
        <v>27.7</v>
      </c>
      <c r="AB35" s="53">
        <v>27.6</v>
      </c>
      <c r="AC35" s="53">
        <v>27.6</v>
      </c>
      <c r="AD35" s="53">
        <v>27.5</v>
      </c>
      <c r="AE35" s="53">
        <v>27.4</v>
      </c>
      <c r="AF35" s="53">
        <v>27.3</v>
      </c>
      <c r="AG35" s="53">
        <v>27.3</v>
      </c>
      <c r="AH35" s="53" t="s">
        <v>44</v>
      </c>
      <c r="AI35" s="53"/>
      <c r="AJ35" s="3"/>
      <c r="AK35" s="3"/>
      <c r="AL35" s="3"/>
      <c r="AM35" s="3"/>
      <c r="AN35" s="3"/>
      <c r="AO35" s="3"/>
      <c r="AP35" s="3"/>
      <c r="AQ35" s="3"/>
      <c r="AR35" s="3"/>
      <c r="AS35" s="3"/>
      <c r="AT35" s="3"/>
      <c r="AU35" s="3"/>
      <c r="AV35" s="3"/>
      <c r="AW35" s="3"/>
    </row>
    <row r="36" spans="1:51" s="50" customFormat="1">
      <c r="A36" s="125"/>
      <c r="B36" s="135"/>
      <c r="C36" s="127" t="s">
        <v>57</v>
      </c>
      <c r="D36" s="128" t="s">
        <v>44</v>
      </c>
      <c r="E36" s="128" t="s">
        <v>44</v>
      </c>
      <c r="F36" s="128" t="s">
        <v>44</v>
      </c>
      <c r="G36" s="128" t="s">
        <v>44</v>
      </c>
      <c r="H36" s="128" t="s">
        <v>44</v>
      </c>
      <c r="I36" s="128" t="s">
        <v>44</v>
      </c>
      <c r="J36" s="128" t="s">
        <v>44</v>
      </c>
      <c r="K36" s="128" t="s">
        <v>44</v>
      </c>
      <c r="L36" s="128" t="s">
        <v>44</v>
      </c>
      <c r="M36" s="128" t="s">
        <v>44</v>
      </c>
      <c r="N36" s="128" t="s">
        <v>44</v>
      </c>
      <c r="O36" s="128" t="s">
        <v>44</v>
      </c>
      <c r="P36" s="128">
        <v>24.2</v>
      </c>
      <c r="Q36" s="128">
        <v>24.3</v>
      </c>
      <c r="R36" s="128">
        <v>24.5</v>
      </c>
      <c r="S36" s="128">
        <v>24.6</v>
      </c>
      <c r="T36" s="128">
        <v>24.6</v>
      </c>
      <c r="U36" s="128">
        <v>24.8</v>
      </c>
      <c r="V36" s="128">
        <v>24.7</v>
      </c>
      <c r="W36" s="128">
        <v>24.8</v>
      </c>
      <c r="X36" s="128">
        <v>24.8</v>
      </c>
      <c r="Y36" s="51">
        <v>25</v>
      </c>
      <c r="Z36" s="51">
        <v>25</v>
      </c>
      <c r="AA36" s="51">
        <v>25.1</v>
      </c>
      <c r="AB36" s="51">
        <v>25</v>
      </c>
      <c r="AC36" s="51">
        <v>25.2</v>
      </c>
      <c r="AD36" s="51">
        <v>25.1</v>
      </c>
      <c r="AE36" s="51">
        <v>25</v>
      </c>
      <c r="AF36" s="51">
        <v>24.9</v>
      </c>
      <c r="AG36" s="51">
        <v>24.9</v>
      </c>
      <c r="AH36" s="51" t="s">
        <v>44</v>
      </c>
      <c r="AI36" s="51"/>
      <c r="AJ36" s="3"/>
      <c r="AK36" s="3"/>
      <c r="AL36" s="3"/>
      <c r="AM36" s="3"/>
      <c r="AN36" s="3"/>
      <c r="AO36" s="3"/>
      <c r="AP36" s="3"/>
      <c r="AQ36" s="3"/>
      <c r="AR36" s="3"/>
      <c r="AS36" s="3"/>
      <c r="AT36" s="3"/>
      <c r="AU36" s="3"/>
      <c r="AV36" s="3"/>
      <c r="AW36" s="3"/>
    </row>
    <row r="37" spans="1:51" s="2" customFormat="1">
      <c r="A37" s="58" t="s">
        <v>25</v>
      </c>
      <c r="B37" s="41"/>
      <c r="C37" s="22" t="s">
        <v>56</v>
      </c>
      <c r="D37" s="26">
        <v>28.9</v>
      </c>
      <c r="E37" s="26">
        <v>29</v>
      </c>
      <c r="F37" s="26">
        <v>29.2</v>
      </c>
      <c r="G37" s="26">
        <v>29.4</v>
      </c>
      <c r="H37" s="26">
        <v>29.7</v>
      </c>
      <c r="I37" s="26">
        <v>29.9</v>
      </c>
      <c r="J37" s="26">
        <v>30.1</v>
      </c>
      <c r="K37" s="26">
        <v>30.4</v>
      </c>
      <c r="L37" s="26">
        <v>30.3</v>
      </c>
      <c r="M37" s="26">
        <v>30.4</v>
      </c>
      <c r="N37" s="26">
        <v>30.9</v>
      </c>
      <c r="O37" s="26">
        <v>31.2</v>
      </c>
      <c r="P37" s="26">
        <v>31.8</v>
      </c>
      <c r="Q37" s="26">
        <v>31.7</v>
      </c>
      <c r="R37" s="26">
        <v>32</v>
      </c>
      <c r="S37" s="26">
        <v>32.299999999999997</v>
      </c>
      <c r="T37" s="26">
        <v>32.5</v>
      </c>
      <c r="U37" s="26">
        <v>32.6</v>
      </c>
      <c r="V37" s="26">
        <v>32.799999999999997</v>
      </c>
      <c r="W37" s="26">
        <v>33</v>
      </c>
      <c r="X37" s="26">
        <v>33.200000000000003</v>
      </c>
      <c r="Y37" s="53">
        <v>33.5</v>
      </c>
      <c r="Z37" s="53" t="s">
        <v>44</v>
      </c>
      <c r="AA37" s="53">
        <v>34</v>
      </c>
      <c r="AB37" s="53">
        <v>34.200000000000003</v>
      </c>
      <c r="AC37" s="53" t="s">
        <v>44</v>
      </c>
      <c r="AD37" s="53">
        <v>34.700000000000003</v>
      </c>
      <c r="AE37" s="53">
        <v>35</v>
      </c>
      <c r="AF37" s="53">
        <v>35.200000000000003</v>
      </c>
      <c r="AG37" s="53">
        <v>35.5</v>
      </c>
      <c r="AH37" s="53">
        <v>36.4</v>
      </c>
      <c r="AI37" s="53"/>
      <c r="AJ37" s="3"/>
      <c r="AK37" s="3"/>
      <c r="AL37" s="3"/>
      <c r="AM37" s="3"/>
      <c r="AN37" s="3"/>
      <c r="AO37" s="3"/>
      <c r="AP37" s="3"/>
      <c r="AQ37" s="3"/>
      <c r="AR37" s="3"/>
      <c r="AS37" s="3"/>
      <c r="AT37" s="3"/>
      <c r="AU37" s="3"/>
      <c r="AV37" s="3"/>
      <c r="AW37" s="3"/>
    </row>
    <row r="38" spans="1:51" s="5" customFormat="1">
      <c r="A38" s="57"/>
      <c r="B38" s="42"/>
      <c r="C38" s="48" t="s">
        <v>57</v>
      </c>
      <c r="D38" s="9">
        <v>25.9</v>
      </c>
      <c r="E38" s="9">
        <v>26</v>
      </c>
      <c r="F38" s="9">
        <v>26.2</v>
      </c>
      <c r="G38" s="9">
        <v>26.4</v>
      </c>
      <c r="H38" s="9">
        <v>26.6</v>
      </c>
      <c r="I38" s="9">
        <v>26.9</v>
      </c>
      <c r="J38" s="9">
        <v>27.1</v>
      </c>
      <c r="K38" s="9">
        <v>27.3</v>
      </c>
      <c r="L38" s="9">
        <v>27</v>
      </c>
      <c r="M38" s="9">
        <v>27.2</v>
      </c>
      <c r="N38" s="9">
        <v>27.8</v>
      </c>
      <c r="O38" s="9">
        <v>28.1</v>
      </c>
      <c r="P38" s="9">
        <v>28.4</v>
      </c>
      <c r="Q38" s="9">
        <v>28.6</v>
      </c>
      <c r="R38" s="9">
        <v>28.8</v>
      </c>
      <c r="S38" s="9">
        <v>29.1</v>
      </c>
      <c r="T38" s="9">
        <v>29.3</v>
      </c>
      <c r="U38" s="9">
        <v>29.6</v>
      </c>
      <c r="V38" s="9">
        <v>29.8</v>
      </c>
      <c r="W38" s="9">
        <v>30</v>
      </c>
      <c r="X38" s="9">
        <v>30.3</v>
      </c>
      <c r="Y38" s="51">
        <v>30.5</v>
      </c>
      <c r="Z38" s="51" t="s">
        <v>44</v>
      </c>
      <c r="AA38" s="51">
        <v>31.1</v>
      </c>
      <c r="AB38" s="51">
        <v>31.3</v>
      </c>
      <c r="AC38" s="51" t="s">
        <v>44</v>
      </c>
      <c r="AD38" s="51">
        <v>31.9</v>
      </c>
      <c r="AE38" s="51">
        <v>32.200000000000003</v>
      </c>
      <c r="AF38" s="51">
        <v>32.4</v>
      </c>
      <c r="AG38" s="51">
        <v>32.700000000000003</v>
      </c>
      <c r="AH38" s="51">
        <v>33.6</v>
      </c>
      <c r="AI38" s="51"/>
      <c r="AJ38" s="6"/>
      <c r="AK38" s="6"/>
      <c r="AL38" s="6"/>
      <c r="AM38" s="6"/>
      <c r="AN38" s="6"/>
      <c r="AO38" s="6"/>
      <c r="AP38" s="6"/>
      <c r="AQ38" s="6"/>
      <c r="AR38" s="6"/>
      <c r="AS38" s="6"/>
      <c r="AT38" s="6"/>
      <c r="AU38" s="6"/>
      <c r="AV38" s="6"/>
      <c r="AW38" s="6"/>
    </row>
    <row r="39" spans="1:51" s="2" customFormat="1">
      <c r="A39" s="134" t="s">
        <v>24</v>
      </c>
      <c r="B39" s="123"/>
      <c r="C39" s="22" t="s">
        <v>56</v>
      </c>
      <c r="D39" s="53">
        <v>28.4</v>
      </c>
      <c r="E39" s="53">
        <v>28.4</v>
      </c>
      <c r="F39" s="53">
        <v>28.4</v>
      </c>
      <c r="G39" s="53">
        <v>28.4</v>
      </c>
      <c r="H39" s="53">
        <v>28.5</v>
      </c>
      <c r="I39" s="53">
        <v>28.5</v>
      </c>
      <c r="J39" s="53">
        <v>28.5</v>
      </c>
      <c r="K39" s="53">
        <v>28.5</v>
      </c>
      <c r="L39" s="53">
        <v>28.6</v>
      </c>
      <c r="M39" s="53">
        <v>28.7</v>
      </c>
      <c r="N39" s="53">
        <v>28.8</v>
      </c>
      <c r="O39" s="53">
        <v>29</v>
      </c>
      <c r="P39" s="53">
        <v>29.1</v>
      </c>
      <c r="Q39" s="53">
        <v>29.4</v>
      </c>
      <c r="R39" s="53">
        <v>29.6</v>
      </c>
      <c r="S39" s="53">
        <v>29.8</v>
      </c>
      <c r="T39" s="53">
        <v>30</v>
      </c>
      <c r="U39" s="53">
        <v>30.1</v>
      </c>
      <c r="V39" s="53">
        <v>30.2</v>
      </c>
      <c r="W39" s="53">
        <v>30.4</v>
      </c>
      <c r="X39" s="53">
        <v>30.5</v>
      </c>
      <c r="Y39" s="53">
        <v>30.7</v>
      </c>
      <c r="Z39" s="53">
        <v>30.8</v>
      </c>
      <c r="AA39" s="53">
        <v>30.9</v>
      </c>
      <c r="AB39" s="53">
        <v>31.1</v>
      </c>
      <c r="AC39" s="53">
        <v>31.1</v>
      </c>
      <c r="AD39" s="53">
        <v>31.1</v>
      </c>
      <c r="AE39" s="53">
        <v>31.1</v>
      </c>
      <c r="AF39" s="53">
        <v>31.1</v>
      </c>
      <c r="AG39" s="53">
        <v>31.2</v>
      </c>
      <c r="AH39" s="53">
        <v>31</v>
      </c>
      <c r="AI39" s="53"/>
      <c r="AJ39" s="3"/>
      <c r="AK39" s="3"/>
      <c r="AL39" s="3"/>
      <c r="AM39" s="3"/>
      <c r="AN39" s="3"/>
      <c r="AO39" s="3"/>
      <c r="AP39" s="3"/>
      <c r="AQ39" s="3"/>
      <c r="AR39" s="3"/>
      <c r="AS39" s="3"/>
      <c r="AT39" s="3"/>
      <c r="AU39" s="3"/>
      <c r="AV39" s="3"/>
      <c r="AW39" s="3"/>
    </row>
    <row r="40" spans="1:51" s="5" customFormat="1">
      <c r="A40" s="125"/>
      <c r="B40" s="135"/>
      <c r="C40" s="127" t="s">
        <v>57</v>
      </c>
      <c r="D40" s="128">
        <v>25.9</v>
      </c>
      <c r="E40" s="128">
        <v>25.9</v>
      </c>
      <c r="F40" s="128">
        <v>26</v>
      </c>
      <c r="G40" s="128">
        <v>26.1</v>
      </c>
      <c r="H40" s="128">
        <v>26.2</v>
      </c>
      <c r="I40" s="128">
        <v>26.3</v>
      </c>
      <c r="J40" s="128">
        <v>26.4</v>
      </c>
      <c r="K40" s="128">
        <v>26.6</v>
      </c>
      <c r="L40" s="128">
        <v>26.7</v>
      </c>
      <c r="M40" s="128">
        <v>26.8</v>
      </c>
      <c r="N40" s="128">
        <v>27</v>
      </c>
      <c r="O40" s="128">
        <v>27.2</v>
      </c>
      <c r="P40" s="128">
        <v>27.4</v>
      </c>
      <c r="Q40" s="128">
        <v>27.6</v>
      </c>
      <c r="R40" s="128">
        <v>27.8</v>
      </c>
      <c r="S40" s="128">
        <v>28</v>
      </c>
      <c r="T40" s="128">
        <v>28.2</v>
      </c>
      <c r="U40" s="128">
        <v>28.3</v>
      </c>
      <c r="V40" s="128">
        <v>28.5</v>
      </c>
      <c r="W40" s="128">
        <v>28.6</v>
      </c>
      <c r="X40" s="128">
        <v>28.8</v>
      </c>
      <c r="Y40" s="51">
        <v>29</v>
      </c>
      <c r="Z40" s="51">
        <v>29.2</v>
      </c>
      <c r="AA40" s="51">
        <v>29.3</v>
      </c>
      <c r="AB40" s="51">
        <v>29.4</v>
      </c>
      <c r="AC40" s="51">
        <v>29.4</v>
      </c>
      <c r="AD40" s="51">
        <v>29.4</v>
      </c>
      <c r="AE40" s="51">
        <v>29.4</v>
      </c>
      <c r="AF40" s="51">
        <v>29.4</v>
      </c>
      <c r="AG40" s="51">
        <v>29.6</v>
      </c>
      <c r="AH40" s="51">
        <v>29.4</v>
      </c>
      <c r="AI40" s="51"/>
      <c r="AJ40" s="6"/>
      <c r="AK40" s="6"/>
      <c r="AL40" s="6"/>
      <c r="AM40" s="6"/>
      <c r="AN40" s="6"/>
      <c r="AO40" s="6"/>
      <c r="AP40" s="6"/>
      <c r="AQ40" s="6"/>
      <c r="AR40" s="6"/>
      <c r="AS40" s="6"/>
      <c r="AT40" s="6"/>
      <c r="AU40" s="6"/>
      <c r="AV40" s="6"/>
      <c r="AW40" s="6"/>
    </row>
    <row r="41" spans="1:51" s="50" customFormat="1">
      <c r="A41" s="134" t="s">
        <v>23</v>
      </c>
      <c r="B41" s="123"/>
      <c r="C41" s="22" t="s">
        <v>56</v>
      </c>
      <c r="D41" s="53">
        <v>27.79</v>
      </c>
      <c r="E41" s="53">
        <v>27.91</v>
      </c>
      <c r="F41" s="53">
        <v>28.01</v>
      </c>
      <c r="G41" s="53">
        <v>28.09</v>
      </c>
      <c r="H41" s="53">
        <v>28.21</v>
      </c>
      <c r="I41" s="53">
        <v>28.36</v>
      </c>
      <c r="J41" s="53">
        <v>28.4</v>
      </c>
      <c r="K41" s="53">
        <v>28.59</v>
      </c>
      <c r="L41" s="53">
        <v>28.83</v>
      </c>
      <c r="M41" s="53">
        <v>29.07</v>
      </c>
      <c r="N41" s="53">
        <v>29.28</v>
      </c>
      <c r="O41" s="53">
        <v>29.55</v>
      </c>
      <c r="P41" s="53">
        <v>29.77</v>
      </c>
      <c r="Q41" s="53">
        <v>30.14</v>
      </c>
      <c r="R41" s="53">
        <v>30.53</v>
      </c>
      <c r="S41" s="53">
        <v>30.87</v>
      </c>
      <c r="T41" s="53">
        <v>30.96</v>
      </c>
      <c r="U41" s="53">
        <v>31.11</v>
      </c>
      <c r="V41" s="53">
        <v>31.38</v>
      </c>
      <c r="W41" s="53">
        <v>31.61</v>
      </c>
      <c r="X41" s="53">
        <v>31.84</v>
      </c>
      <c r="Y41" s="53">
        <v>31.9</v>
      </c>
      <c r="Z41" s="53">
        <v>32.130000000000003</v>
      </c>
      <c r="AA41" s="53">
        <v>32.21</v>
      </c>
      <c r="AB41" s="53">
        <v>32.42</v>
      </c>
      <c r="AC41" s="53">
        <v>32.57</v>
      </c>
      <c r="AD41" s="53">
        <v>32.79</v>
      </c>
      <c r="AE41" s="53">
        <v>32.94</v>
      </c>
      <c r="AF41" s="53">
        <v>33.15</v>
      </c>
      <c r="AG41" s="53">
        <v>33.369999999999997</v>
      </c>
      <c r="AH41" s="53">
        <v>33.229999999999997</v>
      </c>
      <c r="AI41" s="53"/>
    </row>
    <row r="42" spans="1:51" s="50" customFormat="1">
      <c r="A42" s="125"/>
      <c r="B42" s="135"/>
      <c r="C42" s="127" t="s">
        <v>57</v>
      </c>
      <c r="D42" s="128">
        <v>24.78</v>
      </c>
      <c r="E42" s="128">
        <v>24.84</v>
      </c>
      <c r="F42" s="128">
        <v>24.93</v>
      </c>
      <c r="G42" s="128">
        <v>25.01</v>
      </c>
      <c r="H42" s="128">
        <v>25.14</v>
      </c>
      <c r="I42" s="128">
        <v>25.32</v>
      </c>
      <c r="J42" s="128">
        <v>25.45</v>
      </c>
      <c r="K42" s="128">
        <v>25.71</v>
      </c>
      <c r="L42" s="128">
        <v>26.02</v>
      </c>
      <c r="M42" s="128">
        <v>26.29</v>
      </c>
      <c r="N42" s="128">
        <v>26.49</v>
      </c>
      <c r="O42" s="128">
        <v>26.78</v>
      </c>
      <c r="P42" s="128">
        <v>27.01</v>
      </c>
      <c r="Q42" s="128">
        <v>27.27</v>
      </c>
      <c r="R42" s="128">
        <v>27.52</v>
      </c>
      <c r="S42" s="128">
        <v>27.72</v>
      </c>
      <c r="T42" s="128">
        <v>27.79</v>
      </c>
      <c r="U42" s="128">
        <v>28.09</v>
      </c>
      <c r="V42" s="128">
        <v>28.32</v>
      </c>
      <c r="W42" s="128">
        <v>28.71</v>
      </c>
      <c r="X42" s="128">
        <v>28.91</v>
      </c>
      <c r="Y42" s="51">
        <v>29.14</v>
      </c>
      <c r="Z42" s="51">
        <v>29.41</v>
      </c>
      <c r="AA42" s="51">
        <v>29.59</v>
      </c>
      <c r="AB42" s="51">
        <v>29.81</v>
      </c>
      <c r="AC42" s="51">
        <v>29.96</v>
      </c>
      <c r="AD42" s="51">
        <v>30.11</v>
      </c>
      <c r="AE42" s="51">
        <v>30.24</v>
      </c>
      <c r="AF42" s="51">
        <v>30.4</v>
      </c>
      <c r="AG42" s="51">
        <v>30.59</v>
      </c>
      <c r="AH42" s="51">
        <v>30.78</v>
      </c>
      <c r="AI42" s="51"/>
    </row>
    <row r="43" spans="1:51" s="2" customFormat="1">
      <c r="A43" s="58" t="s">
        <v>4</v>
      </c>
      <c r="B43" s="41"/>
      <c r="C43" s="22" t="s">
        <v>56</v>
      </c>
      <c r="D43" s="53" t="s">
        <v>44</v>
      </c>
      <c r="E43" s="53" t="s">
        <v>44</v>
      </c>
      <c r="F43" s="53" t="s">
        <v>44</v>
      </c>
      <c r="G43" s="53" t="s">
        <v>44</v>
      </c>
      <c r="H43" s="53" t="s">
        <v>44</v>
      </c>
      <c r="I43" s="53" t="s">
        <v>44</v>
      </c>
      <c r="J43" s="53" t="s">
        <v>44</v>
      </c>
      <c r="K43" s="53" t="s">
        <v>44</v>
      </c>
      <c r="L43" s="53" t="s">
        <v>44</v>
      </c>
      <c r="M43" s="53" t="s">
        <v>44</v>
      </c>
      <c r="N43" s="53" t="s">
        <v>44</v>
      </c>
      <c r="O43" s="53" t="s">
        <v>44</v>
      </c>
      <c r="P43" s="26">
        <v>27.2</v>
      </c>
      <c r="Q43" s="26">
        <v>27.3</v>
      </c>
      <c r="R43" s="26">
        <v>27.6</v>
      </c>
      <c r="S43" s="26">
        <v>28</v>
      </c>
      <c r="T43" s="26">
        <v>28.3</v>
      </c>
      <c r="U43" s="26">
        <v>28.5</v>
      </c>
      <c r="V43" s="26">
        <v>28.8</v>
      </c>
      <c r="W43" s="26">
        <v>29.3</v>
      </c>
      <c r="X43" s="26">
        <v>29.4</v>
      </c>
      <c r="Y43" s="53">
        <v>29.6</v>
      </c>
      <c r="Z43" s="53">
        <v>30</v>
      </c>
      <c r="AA43" s="53">
        <v>30.2</v>
      </c>
      <c r="AB43" s="53">
        <v>30.6</v>
      </c>
      <c r="AC43" s="53">
        <v>31</v>
      </c>
      <c r="AD43" s="53">
        <v>31.1</v>
      </c>
      <c r="AE43" s="53">
        <v>31.5</v>
      </c>
      <c r="AF43" s="53">
        <v>31.8</v>
      </c>
      <c r="AG43" s="53">
        <v>32.299999999999997</v>
      </c>
      <c r="AH43" s="53">
        <v>32.299999999999997</v>
      </c>
      <c r="AI43" s="53"/>
      <c r="AJ43" s="3"/>
      <c r="AK43" s="3"/>
      <c r="AL43" s="3"/>
      <c r="AM43" s="3"/>
      <c r="AN43" s="3"/>
      <c r="AO43" s="3"/>
      <c r="AP43" s="3"/>
      <c r="AQ43" s="3"/>
      <c r="AR43" s="3"/>
      <c r="AS43" s="3"/>
      <c r="AT43" s="3"/>
      <c r="AU43" s="3"/>
      <c r="AV43" s="3"/>
      <c r="AW43" s="3"/>
    </row>
    <row r="44" spans="1:51" s="5" customFormat="1">
      <c r="A44" s="57"/>
      <c r="B44" s="42"/>
      <c r="C44" s="48" t="s">
        <v>57</v>
      </c>
      <c r="D44" s="51" t="s">
        <v>44</v>
      </c>
      <c r="E44" s="51" t="s">
        <v>44</v>
      </c>
      <c r="F44" s="51" t="s">
        <v>44</v>
      </c>
      <c r="G44" s="51" t="s">
        <v>44</v>
      </c>
      <c r="H44" s="51" t="s">
        <v>44</v>
      </c>
      <c r="I44" s="51" t="s">
        <v>44</v>
      </c>
      <c r="J44" s="51" t="s">
        <v>44</v>
      </c>
      <c r="K44" s="51" t="s">
        <v>44</v>
      </c>
      <c r="L44" s="51" t="s">
        <v>44</v>
      </c>
      <c r="M44" s="51" t="s">
        <v>44</v>
      </c>
      <c r="N44" s="51" t="s">
        <v>44</v>
      </c>
      <c r="O44" s="51" t="s">
        <v>44</v>
      </c>
      <c r="P44" s="9">
        <v>25</v>
      </c>
      <c r="Q44" s="9">
        <v>25.1</v>
      </c>
      <c r="R44" s="9">
        <v>25.3</v>
      </c>
      <c r="S44" s="9">
        <v>25.8</v>
      </c>
      <c r="T44" s="9">
        <v>26.1</v>
      </c>
      <c r="U44" s="9">
        <v>26.2</v>
      </c>
      <c r="V44" s="9">
        <v>26.5</v>
      </c>
      <c r="W44" s="9">
        <v>26.9</v>
      </c>
      <c r="X44" s="9">
        <v>27.1</v>
      </c>
      <c r="Y44" s="51">
        <v>27.3</v>
      </c>
      <c r="Z44" s="51">
        <v>27.5</v>
      </c>
      <c r="AA44" s="51">
        <v>27.9</v>
      </c>
      <c r="AB44" s="51">
        <v>28.2</v>
      </c>
      <c r="AC44" s="51">
        <v>28.5</v>
      </c>
      <c r="AD44" s="51">
        <v>28.8</v>
      </c>
      <c r="AE44" s="51">
        <v>28.9</v>
      </c>
      <c r="AF44" s="51">
        <v>29.2</v>
      </c>
      <c r="AG44" s="51">
        <v>29.6</v>
      </c>
      <c r="AH44" s="51">
        <v>29.8</v>
      </c>
      <c r="AI44" s="51"/>
      <c r="AJ44" s="6"/>
      <c r="AK44" s="6"/>
      <c r="AL44" s="6"/>
      <c r="AM44" s="6"/>
      <c r="AN44" s="6"/>
      <c r="AO44" s="6"/>
      <c r="AP44" s="6"/>
      <c r="AQ44" s="6"/>
      <c r="AR44" s="6"/>
      <c r="AS44" s="6"/>
      <c r="AT44" s="6"/>
      <c r="AU44" s="6"/>
      <c r="AV44" s="6"/>
      <c r="AW44" s="6"/>
    </row>
    <row r="45" spans="1:51">
      <c r="A45" s="58" t="s">
        <v>3</v>
      </c>
      <c r="B45" s="41"/>
      <c r="C45" s="22" t="s">
        <v>56</v>
      </c>
      <c r="D45" s="26">
        <v>24.6</v>
      </c>
      <c r="E45" s="26">
        <v>24.4</v>
      </c>
      <c r="F45" s="26">
        <v>24.3</v>
      </c>
      <c r="G45" s="26">
        <v>24.4</v>
      </c>
      <c r="H45" s="26">
        <v>24.5</v>
      </c>
      <c r="I45" s="26">
        <v>24.6</v>
      </c>
      <c r="J45" s="26">
        <v>24.9</v>
      </c>
      <c r="K45" s="26">
        <v>25</v>
      </c>
      <c r="L45" s="26">
        <v>25.2</v>
      </c>
      <c r="M45" s="26">
        <v>25.6</v>
      </c>
      <c r="N45" s="26">
        <v>26.1</v>
      </c>
      <c r="O45" s="26">
        <v>26.4</v>
      </c>
      <c r="P45" s="26">
        <v>26.7</v>
      </c>
      <c r="Q45" s="26">
        <v>27</v>
      </c>
      <c r="R45" s="26">
        <v>27.1</v>
      </c>
      <c r="S45" s="26">
        <v>27.3</v>
      </c>
      <c r="T45" s="26">
        <v>27.4</v>
      </c>
      <c r="U45" s="26">
        <v>27.8</v>
      </c>
      <c r="V45" s="26">
        <v>28</v>
      </c>
      <c r="W45" s="26">
        <v>28.6</v>
      </c>
      <c r="X45" s="26">
        <v>28.7</v>
      </c>
      <c r="Y45" s="53">
        <v>29</v>
      </c>
      <c r="Z45" s="53" t="s">
        <v>44</v>
      </c>
      <c r="AA45" s="53">
        <v>29.5</v>
      </c>
      <c r="AB45" s="53">
        <v>29.7</v>
      </c>
      <c r="AC45" s="53">
        <v>28.9</v>
      </c>
      <c r="AD45" s="53">
        <v>30.3</v>
      </c>
      <c r="AE45" s="53">
        <v>30.5</v>
      </c>
      <c r="AF45" s="53">
        <v>30.7</v>
      </c>
      <c r="AG45" s="53">
        <v>31.1</v>
      </c>
      <c r="AH45" s="53">
        <v>30.8</v>
      </c>
      <c r="AI45" s="53"/>
      <c r="AJ45" s="1"/>
      <c r="AK45" s="1"/>
      <c r="AL45" s="1"/>
      <c r="AM45" s="1"/>
      <c r="AN45" s="1"/>
      <c r="AO45" s="1"/>
      <c r="AP45" s="1"/>
      <c r="AQ45" s="1"/>
      <c r="AR45" s="1"/>
      <c r="AS45" s="1"/>
      <c r="AT45" s="1"/>
      <c r="AU45" s="1"/>
      <c r="AV45" s="1"/>
      <c r="AW45" s="1"/>
      <c r="AX45" s="1"/>
      <c r="AY45" s="1"/>
    </row>
    <row r="46" spans="1:51">
      <c r="A46" s="57"/>
      <c r="B46" s="42"/>
      <c r="C46" s="48" t="s">
        <v>57</v>
      </c>
      <c r="D46" s="9">
        <v>22.7</v>
      </c>
      <c r="E46" s="9">
        <v>22.5</v>
      </c>
      <c r="F46" s="9">
        <v>22.4</v>
      </c>
      <c r="G46" s="9">
        <v>22.4</v>
      </c>
      <c r="H46" s="9">
        <v>22.5</v>
      </c>
      <c r="I46" s="9">
        <v>22.6</v>
      </c>
      <c r="J46" s="9">
        <v>22.8</v>
      </c>
      <c r="K46" s="9">
        <v>23</v>
      </c>
      <c r="L46" s="9">
        <v>23.1</v>
      </c>
      <c r="M46" s="9">
        <v>23.4</v>
      </c>
      <c r="N46" s="9">
        <v>23.8</v>
      </c>
      <c r="O46" s="9">
        <v>24.1</v>
      </c>
      <c r="P46" s="9">
        <v>24.3</v>
      </c>
      <c r="Q46" s="9">
        <v>24.6</v>
      </c>
      <c r="R46" s="9">
        <v>24.8</v>
      </c>
      <c r="S46" s="9">
        <v>25</v>
      </c>
      <c r="T46" s="9">
        <v>25.1</v>
      </c>
      <c r="U46" s="9">
        <v>25.5</v>
      </c>
      <c r="V46" s="9">
        <v>25.8</v>
      </c>
      <c r="W46" s="9">
        <v>26.2</v>
      </c>
      <c r="X46" s="9">
        <v>26.5</v>
      </c>
      <c r="Y46" s="51">
        <v>26.7</v>
      </c>
      <c r="Z46" s="51" t="s">
        <v>44</v>
      </c>
      <c r="AA46" s="51">
        <v>27.1</v>
      </c>
      <c r="AB46" s="51">
        <v>27.3</v>
      </c>
      <c r="AC46" s="51">
        <v>27.5</v>
      </c>
      <c r="AD46" s="51">
        <v>27.9</v>
      </c>
      <c r="AE46" s="51">
        <v>27.8</v>
      </c>
      <c r="AF46" s="51">
        <v>28.2</v>
      </c>
      <c r="AG46" s="51">
        <v>28.4</v>
      </c>
      <c r="AH46" s="51">
        <v>28.4</v>
      </c>
      <c r="AI46" s="51"/>
      <c r="AJ46" s="1"/>
      <c r="AK46" s="1"/>
      <c r="AL46" s="1"/>
      <c r="AM46" s="1"/>
      <c r="AN46" s="1"/>
      <c r="AO46" s="1"/>
      <c r="AP46" s="1"/>
      <c r="AQ46" s="1"/>
      <c r="AR46" s="1"/>
      <c r="AS46" s="1"/>
      <c r="AT46" s="1"/>
      <c r="AU46" s="1"/>
      <c r="AV46" s="1"/>
      <c r="AW46" s="1"/>
      <c r="AX46" s="1"/>
      <c r="AY46" s="1"/>
    </row>
    <row r="47" spans="1:51" s="2" customFormat="1">
      <c r="A47" s="58" t="s">
        <v>22</v>
      </c>
      <c r="B47" s="41"/>
      <c r="C47" s="22" t="s">
        <v>56</v>
      </c>
      <c r="D47" s="26">
        <v>27.7</v>
      </c>
      <c r="E47" s="26">
        <v>28.4</v>
      </c>
      <c r="F47" s="26">
        <v>28.5</v>
      </c>
      <c r="G47" s="26">
        <v>28.5</v>
      </c>
      <c r="H47" s="26">
        <v>28.8</v>
      </c>
      <c r="I47" s="26">
        <v>29.2</v>
      </c>
      <c r="J47" s="26">
        <v>29.1</v>
      </c>
      <c r="K47" s="26">
        <v>29.6</v>
      </c>
      <c r="L47" s="26">
        <v>30</v>
      </c>
      <c r="M47" s="26">
        <v>30.2</v>
      </c>
      <c r="N47" s="26">
        <v>30.3</v>
      </c>
      <c r="O47" s="26">
        <v>30.6</v>
      </c>
      <c r="P47" s="26">
        <v>30.5</v>
      </c>
      <c r="Q47" s="26">
        <v>30.8</v>
      </c>
      <c r="R47" s="26">
        <v>31.5</v>
      </c>
      <c r="S47" s="26">
        <v>31.5</v>
      </c>
      <c r="T47" s="26">
        <v>31.8</v>
      </c>
      <c r="U47" s="26">
        <v>32</v>
      </c>
      <c r="V47" s="26">
        <v>32.1</v>
      </c>
      <c r="W47" s="26">
        <v>32.4</v>
      </c>
      <c r="X47" s="26">
        <v>32.799999999999997</v>
      </c>
      <c r="Y47" s="53">
        <v>32.9</v>
      </c>
      <c r="Z47" s="53" t="s">
        <v>44</v>
      </c>
      <c r="AA47" s="53">
        <v>32.700000000000003</v>
      </c>
      <c r="AB47" s="53">
        <v>33</v>
      </c>
      <c r="AC47" s="53">
        <v>34.799999999999997</v>
      </c>
      <c r="AD47" s="53">
        <v>33.799999999999997</v>
      </c>
      <c r="AE47" s="53">
        <v>34</v>
      </c>
      <c r="AF47" s="53" t="s">
        <v>44</v>
      </c>
      <c r="AG47" s="53">
        <v>34.799999999999997</v>
      </c>
      <c r="AH47" s="53" t="s">
        <v>44</v>
      </c>
      <c r="AI47" s="53"/>
      <c r="AJ47" s="3"/>
      <c r="AK47" s="3"/>
      <c r="AL47" s="3"/>
      <c r="AM47" s="3"/>
      <c r="AN47" s="3"/>
      <c r="AO47" s="3"/>
      <c r="AP47" s="3"/>
      <c r="AQ47" s="3"/>
      <c r="AR47" s="3"/>
      <c r="AS47" s="3"/>
      <c r="AT47" s="3"/>
      <c r="AU47" s="3"/>
      <c r="AV47" s="3"/>
      <c r="AW47" s="3"/>
    </row>
    <row r="48" spans="1:51" s="5" customFormat="1">
      <c r="A48" s="57"/>
      <c r="B48" s="42"/>
      <c r="C48" s="48" t="s">
        <v>57</v>
      </c>
      <c r="D48" s="9">
        <v>25.6</v>
      </c>
      <c r="E48" s="9">
        <v>26.1</v>
      </c>
      <c r="F48" s="9">
        <v>26.2</v>
      </c>
      <c r="G48" s="9">
        <v>25.8</v>
      </c>
      <c r="H48" s="9">
        <v>26.4</v>
      </c>
      <c r="I48" s="9">
        <v>26.7</v>
      </c>
      <c r="J48" s="9">
        <v>26.6</v>
      </c>
      <c r="K48" s="9">
        <v>27.2</v>
      </c>
      <c r="L48" s="9">
        <v>27.5</v>
      </c>
      <c r="M48" s="9">
        <v>27.7</v>
      </c>
      <c r="N48" s="9">
        <v>27.4</v>
      </c>
      <c r="O48" s="9">
        <v>27.9</v>
      </c>
      <c r="P48" s="9">
        <v>27.9</v>
      </c>
      <c r="Q48" s="9">
        <v>28.2</v>
      </c>
      <c r="R48" s="9">
        <v>28.5</v>
      </c>
      <c r="S48" s="9">
        <v>28.9</v>
      </c>
      <c r="T48" s="9">
        <v>29.4</v>
      </c>
      <c r="U48" s="9">
        <v>29.5</v>
      </c>
      <c r="V48" s="9">
        <v>29.8</v>
      </c>
      <c r="W48" s="9">
        <v>29.7</v>
      </c>
      <c r="X48" s="9">
        <v>30.2</v>
      </c>
      <c r="Y48" s="51">
        <v>30.3</v>
      </c>
      <c r="Z48" s="51" t="s">
        <v>44</v>
      </c>
      <c r="AA48" s="51">
        <v>29.7</v>
      </c>
      <c r="AB48" s="51">
        <v>30.9</v>
      </c>
      <c r="AC48" s="51">
        <v>32.1</v>
      </c>
      <c r="AD48" s="51">
        <v>31.6</v>
      </c>
      <c r="AE48" s="51">
        <v>31.6</v>
      </c>
      <c r="AF48" s="51" t="s">
        <v>44</v>
      </c>
      <c r="AG48" s="51">
        <v>32.1</v>
      </c>
      <c r="AH48" s="51" t="s">
        <v>44</v>
      </c>
      <c r="AI48" s="51"/>
      <c r="AJ48" s="6"/>
      <c r="AK48" s="6"/>
      <c r="AL48" s="6"/>
      <c r="AM48" s="6"/>
      <c r="AN48" s="6"/>
      <c r="AO48" s="6"/>
      <c r="AP48" s="6"/>
      <c r="AQ48" s="6"/>
      <c r="AR48" s="6"/>
      <c r="AS48" s="6"/>
      <c r="AT48" s="6"/>
      <c r="AU48" s="6"/>
      <c r="AV48" s="6"/>
      <c r="AW48" s="6"/>
    </row>
    <row r="49" spans="1:51" s="2" customFormat="1">
      <c r="A49" s="134" t="s">
        <v>21</v>
      </c>
      <c r="B49" s="123">
        <v>2</v>
      </c>
      <c r="C49" s="22" t="s">
        <v>56</v>
      </c>
      <c r="D49" s="53" t="s">
        <v>44</v>
      </c>
      <c r="E49" s="53" t="s">
        <v>44</v>
      </c>
      <c r="F49" s="53" t="s">
        <v>44</v>
      </c>
      <c r="G49" s="53" t="s">
        <v>44</v>
      </c>
      <c r="H49" s="53" t="s">
        <v>44</v>
      </c>
      <c r="I49" s="53">
        <v>23.2</v>
      </c>
      <c r="J49" s="53" t="s">
        <v>44</v>
      </c>
      <c r="K49" s="53" t="s">
        <v>44</v>
      </c>
      <c r="L49" s="53" t="s">
        <v>44</v>
      </c>
      <c r="M49" s="53" t="s">
        <v>44</v>
      </c>
      <c r="N49" s="53" t="s">
        <v>44</v>
      </c>
      <c r="O49" s="53" t="s">
        <v>44</v>
      </c>
      <c r="P49" s="53" t="s">
        <v>44</v>
      </c>
      <c r="Q49" s="53" t="s">
        <v>44</v>
      </c>
      <c r="R49" s="53" t="s">
        <v>44</v>
      </c>
      <c r="S49" s="53" t="s">
        <v>44</v>
      </c>
      <c r="T49" s="53" t="s">
        <v>44</v>
      </c>
      <c r="U49" s="53" t="s">
        <v>44</v>
      </c>
      <c r="V49" s="53" t="s">
        <v>44</v>
      </c>
      <c r="W49" s="53">
        <v>28.7</v>
      </c>
      <c r="X49" s="53">
        <v>29.1</v>
      </c>
      <c r="Y49" s="53">
        <v>29.2</v>
      </c>
      <c r="Z49" s="53">
        <v>29.4</v>
      </c>
      <c r="AA49" s="53">
        <v>29.8</v>
      </c>
      <c r="AB49" s="53">
        <v>30.4</v>
      </c>
      <c r="AC49" s="53" t="s">
        <v>44</v>
      </c>
      <c r="AD49" s="53" t="s">
        <v>44</v>
      </c>
      <c r="AE49" s="53" t="s">
        <v>44</v>
      </c>
      <c r="AF49" s="53" t="s">
        <v>44</v>
      </c>
      <c r="AG49" s="53" t="s">
        <v>44</v>
      </c>
      <c r="AH49" s="53" t="s">
        <v>44</v>
      </c>
      <c r="AI49" s="53"/>
      <c r="AJ49" s="3"/>
      <c r="AK49" s="3"/>
      <c r="AL49" s="3"/>
      <c r="AM49" s="3"/>
      <c r="AN49" s="3"/>
      <c r="AO49" s="3"/>
      <c r="AP49" s="3"/>
      <c r="AQ49" s="3"/>
      <c r="AR49" s="3"/>
      <c r="AS49" s="3"/>
      <c r="AT49" s="3"/>
      <c r="AU49" s="3"/>
      <c r="AV49" s="3"/>
      <c r="AW49" s="3"/>
      <c r="AX49" s="3"/>
    </row>
    <row r="50" spans="1:51" s="50" customFormat="1">
      <c r="A50" s="125"/>
      <c r="B50" s="135"/>
      <c r="C50" s="127" t="s">
        <v>57</v>
      </c>
      <c r="D50" s="128" t="s">
        <v>44</v>
      </c>
      <c r="E50" s="128" t="s">
        <v>44</v>
      </c>
      <c r="F50" s="128" t="s">
        <v>44</v>
      </c>
      <c r="G50" s="128" t="s">
        <v>44</v>
      </c>
      <c r="H50" s="128" t="s">
        <v>44</v>
      </c>
      <c r="I50" s="128">
        <v>20</v>
      </c>
      <c r="J50" s="128" t="s">
        <v>44</v>
      </c>
      <c r="K50" s="128" t="s">
        <v>44</v>
      </c>
      <c r="L50" s="128" t="s">
        <v>44</v>
      </c>
      <c r="M50" s="128" t="s">
        <v>44</v>
      </c>
      <c r="N50" s="128" t="s">
        <v>44</v>
      </c>
      <c r="O50" s="128" t="s">
        <v>44</v>
      </c>
      <c r="P50" s="128" t="s">
        <v>44</v>
      </c>
      <c r="Q50" s="128" t="s">
        <v>44</v>
      </c>
      <c r="R50" s="128" t="s">
        <v>44</v>
      </c>
      <c r="S50" s="128" t="s">
        <v>44</v>
      </c>
      <c r="T50" s="128" t="s">
        <v>44</v>
      </c>
      <c r="U50" s="128" t="s">
        <v>44</v>
      </c>
      <c r="V50" s="128" t="s">
        <v>44</v>
      </c>
      <c r="W50" s="128">
        <v>25.8</v>
      </c>
      <c r="X50" s="128">
        <v>26.2</v>
      </c>
      <c r="Y50" s="128">
        <v>26.3</v>
      </c>
      <c r="Z50" s="128">
        <v>26.6</v>
      </c>
      <c r="AA50" s="128">
        <v>26.9</v>
      </c>
      <c r="AB50" s="51">
        <v>27.5</v>
      </c>
      <c r="AC50" s="51" t="s">
        <v>44</v>
      </c>
      <c r="AD50" s="51" t="s">
        <v>44</v>
      </c>
      <c r="AE50" s="51" t="s">
        <v>44</v>
      </c>
      <c r="AF50" s="51" t="s">
        <v>44</v>
      </c>
      <c r="AG50" s="51" t="s">
        <v>44</v>
      </c>
      <c r="AH50" s="51" t="s">
        <v>44</v>
      </c>
      <c r="AI50" s="51"/>
      <c r="AJ50" s="3"/>
      <c r="AK50" s="3"/>
      <c r="AL50" s="3"/>
      <c r="AM50" s="3"/>
      <c r="AN50" s="3"/>
      <c r="AO50" s="3"/>
      <c r="AP50" s="3"/>
      <c r="AQ50" s="3"/>
      <c r="AR50" s="3"/>
      <c r="AS50" s="3"/>
      <c r="AT50" s="3"/>
      <c r="AU50" s="3"/>
      <c r="AV50" s="3"/>
      <c r="AW50" s="3"/>
      <c r="AX50" s="3"/>
    </row>
    <row r="51" spans="1:51" s="2" customFormat="1">
      <c r="A51" s="58" t="s">
        <v>20</v>
      </c>
      <c r="B51" s="41"/>
      <c r="C51" s="22" t="s">
        <v>56</v>
      </c>
      <c r="D51" s="26">
        <v>28.5</v>
      </c>
      <c r="E51" s="26">
        <v>28.8</v>
      </c>
      <c r="F51" s="26">
        <v>29.1</v>
      </c>
      <c r="G51" s="26">
        <v>29.3</v>
      </c>
      <c r="H51" s="26">
        <v>29.6</v>
      </c>
      <c r="I51" s="26">
        <v>29.7</v>
      </c>
      <c r="J51" s="26">
        <v>30</v>
      </c>
      <c r="K51" s="26">
        <v>30.2</v>
      </c>
      <c r="L51" s="26">
        <v>30.3</v>
      </c>
      <c r="M51" s="26">
        <v>30.5</v>
      </c>
      <c r="N51" s="26">
        <v>30.7</v>
      </c>
      <c r="O51" s="26">
        <v>30.7</v>
      </c>
      <c r="P51" s="26">
        <v>31.2</v>
      </c>
      <c r="Q51" s="53" t="s">
        <v>44</v>
      </c>
      <c r="R51" s="26">
        <v>31.7</v>
      </c>
      <c r="S51" s="26">
        <v>31.8</v>
      </c>
      <c r="T51" s="26">
        <v>32</v>
      </c>
      <c r="U51" s="26">
        <v>32.299999999999997</v>
      </c>
      <c r="V51" s="26">
        <v>32.4</v>
      </c>
      <c r="W51" s="26">
        <v>32.5</v>
      </c>
      <c r="X51" s="26">
        <v>32.4</v>
      </c>
      <c r="Y51" s="26">
        <v>32.6</v>
      </c>
      <c r="Z51" s="53" t="s">
        <v>44</v>
      </c>
      <c r="AA51" s="53">
        <v>32.9</v>
      </c>
      <c r="AB51" s="53">
        <v>33</v>
      </c>
      <c r="AC51" s="53">
        <v>33.299999999999997</v>
      </c>
      <c r="AD51" s="53">
        <v>33.6</v>
      </c>
      <c r="AE51" s="53">
        <v>33.9</v>
      </c>
      <c r="AF51" s="53">
        <v>34.1</v>
      </c>
      <c r="AG51" s="53">
        <v>34.4</v>
      </c>
      <c r="AH51" s="53">
        <v>34.4</v>
      </c>
      <c r="AI51" s="53"/>
      <c r="AJ51" s="3"/>
      <c r="AK51" s="3"/>
      <c r="AL51" s="3"/>
      <c r="AM51" s="3"/>
      <c r="AN51" s="3"/>
      <c r="AO51" s="3"/>
      <c r="AP51" s="3"/>
      <c r="AQ51" s="3"/>
      <c r="AR51" s="3"/>
      <c r="AS51" s="3"/>
      <c r="AT51" s="3"/>
      <c r="AU51" s="3"/>
      <c r="AV51" s="3"/>
      <c r="AW51" s="3"/>
    </row>
    <row r="52" spans="1:51" s="5" customFormat="1">
      <c r="A52" s="57"/>
      <c r="B52" s="42"/>
      <c r="C52" s="48" t="s">
        <v>57</v>
      </c>
      <c r="D52" s="9">
        <v>26.1</v>
      </c>
      <c r="E52" s="9">
        <v>26.5</v>
      </c>
      <c r="F52" s="9">
        <v>26.7</v>
      </c>
      <c r="G52" s="9">
        <v>26.9</v>
      </c>
      <c r="H52" s="9">
        <v>27.2</v>
      </c>
      <c r="I52" s="9">
        <v>27.3</v>
      </c>
      <c r="J52" s="9">
        <v>27.4</v>
      </c>
      <c r="K52" s="9">
        <v>27.6</v>
      </c>
      <c r="L52" s="9">
        <v>27.8</v>
      </c>
      <c r="M52" s="9">
        <v>27.9</v>
      </c>
      <c r="N52" s="9">
        <v>28</v>
      </c>
      <c r="O52" s="9">
        <v>28.1</v>
      </c>
      <c r="P52" s="9">
        <v>28.5</v>
      </c>
      <c r="Q52" s="51" t="s">
        <v>44</v>
      </c>
      <c r="R52" s="9">
        <v>29</v>
      </c>
      <c r="S52" s="9">
        <v>29.2</v>
      </c>
      <c r="T52" s="9">
        <v>29.4</v>
      </c>
      <c r="U52" s="9">
        <v>29.5</v>
      </c>
      <c r="V52" s="9">
        <v>29.8</v>
      </c>
      <c r="W52" s="9">
        <v>29.9</v>
      </c>
      <c r="X52" s="9">
        <v>29.8</v>
      </c>
      <c r="Y52" s="9">
        <v>30.1</v>
      </c>
      <c r="Z52" s="51" t="s">
        <v>44</v>
      </c>
      <c r="AA52" s="51">
        <v>30.3</v>
      </c>
      <c r="AB52" s="51">
        <v>30.4</v>
      </c>
      <c r="AC52" s="51">
        <v>30.8</v>
      </c>
      <c r="AD52" s="51">
        <v>31.1</v>
      </c>
      <c r="AE52" s="51">
        <v>31.4</v>
      </c>
      <c r="AF52" s="51">
        <v>31.6</v>
      </c>
      <c r="AG52" s="51">
        <v>31.9</v>
      </c>
      <c r="AH52" s="51">
        <v>31.8</v>
      </c>
      <c r="AI52" s="51"/>
      <c r="AJ52" s="6"/>
      <c r="AK52" s="6"/>
      <c r="AL52" s="6"/>
      <c r="AM52" s="6"/>
      <c r="AN52" s="6"/>
      <c r="AO52" s="6"/>
      <c r="AP52" s="6"/>
      <c r="AQ52" s="6"/>
      <c r="AR52" s="6"/>
      <c r="AS52" s="6"/>
      <c r="AT52" s="6"/>
      <c r="AU52" s="6"/>
      <c r="AV52" s="6"/>
      <c r="AW52" s="6"/>
    </row>
    <row r="53" spans="1:51" s="2" customFormat="1">
      <c r="A53" s="58" t="s">
        <v>19</v>
      </c>
      <c r="B53" s="41">
        <v>1</v>
      </c>
      <c r="C53" s="22" t="s">
        <v>56</v>
      </c>
      <c r="D53" s="26">
        <v>26.8</v>
      </c>
      <c r="E53" s="26">
        <v>26.9</v>
      </c>
      <c r="F53" s="26">
        <v>27</v>
      </c>
      <c r="G53" s="26">
        <v>27.3</v>
      </c>
      <c r="H53" s="26">
        <v>27.5</v>
      </c>
      <c r="I53" s="26">
        <v>27.8</v>
      </c>
      <c r="J53" s="26">
        <v>28.1</v>
      </c>
      <c r="K53" s="26">
        <v>28.3</v>
      </c>
      <c r="L53" s="26">
        <v>28.6</v>
      </c>
      <c r="M53" s="26">
        <v>28.9</v>
      </c>
      <c r="N53" s="26">
        <v>29.2</v>
      </c>
      <c r="O53" s="26">
        <v>29.3</v>
      </c>
      <c r="P53" s="26">
        <v>29.4</v>
      </c>
      <c r="Q53" s="26">
        <v>29.5</v>
      </c>
      <c r="R53" s="26">
        <v>29.9</v>
      </c>
      <c r="S53" s="26">
        <v>30.1</v>
      </c>
      <c r="T53" s="26">
        <v>30</v>
      </c>
      <c r="U53" s="26">
        <v>30</v>
      </c>
      <c r="V53" s="26">
        <v>30</v>
      </c>
      <c r="W53" s="26">
        <v>29.8</v>
      </c>
      <c r="X53" s="26">
        <v>29.9</v>
      </c>
      <c r="Y53" s="26">
        <v>29.9</v>
      </c>
      <c r="Z53" s="26">
        <v>30</v>
      </c>
      <c r="AA53" s="53">
        <v>30.1</v>
      </c>
      <c r="AB53" s="53">
        <v>30.2</v>
      </c>
      <c r="AC53" s="53">
        <v>30.2</v>
      </c>
      <c r="AD53" s="53">
        <v>30.3</v>
      </c>
      <c r="AE53" s="53">
        <v>30.2</v>
      </c>
      <c r="AF53" s="53">
        <v>30.4</v>
      </c>
      <c r="AG53" s="53">
        <v>30.6</v>
      </c>
      <c r="AH53" s="53">
        <v>30.6</v>
      </c>
      <c r="AI53" s="53">
        <v>30.7</v>
      </c>
      <c r="AJ53" s="3"/>
      <c r="AK53" s="3"/>
      <c r="AL53" s="3"/>
      <c r="AM53" s="3"/>
      <c r="AN53" s="3"/>
      <c r="AO53" s="3"/>
      <c r="AP53" s="3"/>
      <c r="AQ53" s="3"/>
      <c r="AR53" s="3"/>
      <c r="AS53" s="3"/>
      <c r="AT53" s="3"/>
      <c r="AU53" s="3"/>
      <c r="AV53" s="3"/>
      <c r="AW53" s="3"/>
    </row>
    <row r="54" spans="1:51" s="5" customFormat="1">
      <c r="A54" s="57"/>
      <c r="B54" s="42"/>
      <c r="C54" s="48" t="s">
        <v>57</v>
      </c>
      <c r="D54" s="9">
        <v>24.5</v>
      </c>
      <c r="E54" s="9">
        <v>24.6</v>
      </c>
      <c r="F54" s="9">
        <v>24.9</v>
      </c>
      <c r="G54" s="9">
        <v>25.2</v>
      </c>
      <c r="H54" s="9">
        <v>25.5</v>
      </c>
      <c r="I54" s="9">
        <v>25.8</v>
      </c>
      <c r="J54" s="9">
        <v>26.1</v>
      </c>
      <c r="K54" s="9">
        <v>26.5</v>
      </c>
      <c r="L54" s="9">
        <v>26.7</v>
      </c>
      <c r="M54" s="9">
        <v>27</v>
      </c>
      <c r="N54" s="9">
        <v>27.4</v>
      </c>
      <c r="O54" s="9">
        <v>27.5</v>
      </c>
      <c r="P54" s="9">
        <v>27.6</v>
      </c>
      <c r="Q54" s="9">
        <v>27.7</v>
      </c>
      <c r="R54" s="9">
        <v>28.1</v>
      </c>
      <c r="S54" s="9">
        <v>28.2</v>
      </c>
      <c r="T54" s="9">
        <v>28.3</v>
      </c>
      <c r="U54" s="9">
        <v>28.2</v>
      </c>
      <c r="V54" s="9">
        <v>28.2</v>
      </c>
      <c r="W54" s="9">
        <v>28.2</v>
      </c>
      <c r="X54" s="9">
        <v>28.2</v>
      </c>
      <c r="Y54" s="9">
        <v>28.4</v>
      </c>
      <c r="Z54" s="9">
        <v>28.5</v>
      </c>
      <c r="AA54" s="51">
        <v>28.6</v>
      </c>
      <c r="AB54" s="51">
        <v>28.7</v>
      </c>
      <c r="AC54" s="51">
        <v>28.8</v>
      </c>
      <c r="AD54" s="51">
        <v>29</v>
      </c>
      <c r="AE54" s="51">
        <v>29</v>
      </c>
      <c r="AF54" s="51">
        <v>29.2</v>
      </c>
      <c r="AG54" s="51">
        <v>29.4</v>
      </c>
      <c r="AH54" s="51">
        <v>29.5</v>
      </c>
      <c r="AI54" s="51">
        <v>29.6</v>
      </c>
      <c r="AJ54" s="6"/>
      <c r="AK54" s="6"/>
      <c r="AL54" s="6"/>
      <c r="AM54" s="6"/>
      <c r="AN54" s="6"/>
      <c r="AO54" s="6"/>
      <c r="AP54" s="6"/>
      <c r="AQ54" s="6"/>
      <c r="AR54" s="6"/>
      <c r="AS54" s="6"/>
      <c r="AT54" s="6"/>
      <c r="AU54" s="6"/>
      <c r="AV54" s="6"/>
      <c r="AW54" s="6"/>
    </row>
    <row r="55" spans="1:51">
      <c r="A55" s="58" t="s">
        <v>18</v>
      </c>
      <c r="B55" s="41"/>
      <c r="C55" s="22" t="s">
        <v>56</v>
      </c>
      <c r="D55" s="26">
        <v>29</v>
      </c>
      <c r="E55" s="26">
        <v>29.2</v>
      </c>
      <c r="F55" s="26">
        <v>29.4</v>
      </c>
      <c r="G55" s="26">
        <v>29.7</v>
      </c>
      <c r="H55" s="26">
        <v>30</v>
      </c>
      <c r="I55" s="26">
        <v>30.2</v>
      </c>
      <c r="J55" s="26">
        <v>30.6</v>
      </c>
      <c r="K55" s="26">
        <v>30.8</v>
      </c>
      <c r="L55" s="26">
        <v>31.2</v>
      </c>
      <c r="M55" s="26">
        <v>31.6</v>
      </c>
      <c r="N55" s="26">
        <v>30.9</v>
      </c>
      <c r="O55" s="26">
        <v>31</v>
      </c>
      <c r="P55" s="26">
        <v>31.1</v>
      </c>
      <c r="Q55" s="53" t="s">
        <v>44</v>
      </c>
      <c r="R55" s="53" t="s">
        <v>44</v>
      </c>
      <c r="S55" s="53" t="s">
        <v>44</v>
      </c>
      <c r="T55" s="26">
        <v>33.1</v>
      </c>
      <c r="U55" s="26">
        <v>33.4</v>
      </c>
      <c r="V55" s="26">
        <v>33.799999999999997</v>
      </c>
      <c r="W55" s="26">
        <v>33.5</v>
      </c>
      <c r="X55" s="26">
        <v>33.700000000000003</v>
      </c>
      <c r="Y55" s="26">
        <v>33.9</v>
      </c>
      <c r="Z55" s="26">
        <v>34.1</v>
      </c>
      <c r="AA55" s="53">
        <v>34.299999999999997</v>
      </c>
      <c r="AB55" s="53">
        <v>34.4</v>
      </c>
      <c r="AC55" s="53">
        <v>34.6</v>
      </c>
      <c r="AD55" s="53">
        <v>34.700000000000003</v>
      </c>
      <c r="AE55" s="53">
        <v>35</v>
      </c>
      <c r="AF55" s="53">
        <v>33.1</v>
      </c>
      <c r="AG55" s="53">
        <v>35.700000000000003</v>
      </c>
      <c r="AH55" s="53">
        <v>36.9</v>
      </c>
      <c r="AI55" s="53"/>
      <c r="AJ55" s="1"/>
      <c r="AK55" s="1"/>
      <c r="AL55" s="1"/>
      <c r="AM55" s="1"/>
      <c r="AN55" s="1"/>
      <c r="AO55" s="1"/>
      <c r="AP55" s="1"/>
      <c r="AQ55" s="1"/>
      <c r="AR55" s="1"/>
      <c r="AS55" s="1"/>
      <c r="AT55" s="1"/>
      <c r="AU55" s="1"/>
      <c r="AV55" s="1"/>
      <c r="AW55" s="1"/>
      <c r="AX55" s="1"/>
      <c r="AY55" s="1"/>
    </row>
    <row r="56" spans="1:51">
      <c r="A56" s="57"/>
      <c r="B56" s="42"/>
      <c r="C56" s="48" t="s">
        <v>57</v>
      </c>
      <c r="D56" s="9">
        <v>26.4</v>
      </c>
      <c r="E56" s="9">
        <v>26.6</v>
      </c>
      <c r="F56" s="9">
        <v>26.8</v>
      </c>
      <c r="G56" s="9">
        <v>27</v>
      </c>
      <c r="H56" s="9">
        <v>27.2</v>
      </c>
      <c r="I56" s="9">
        <v>27.5</v>
      </c>
      <c r="J56" s="9">
        <v>27.9</v>
      </c>
      <c r="K56" s="9">
        <v>28.2</v>
      </c>
      <c r="L56" s="9">
        <v>28.4</v>
      </c>
      <c r="M56" s="9">
        <v>28.9</v>
      </c>
      <c r="N56" s="9">
        <v>28.4</v>
      </c>
      <c r="O56" s="9">
        <v>28.6</v>
      </c>
      <c r="P56" s="9">
        <v>28.7</v>
      </c>
      <c r="Q56" s="51" t="s">
        <v>44</v>
      </c>
      <c r="R56" s="51" t="s">
        <v>44</v>
      </c>
      <c r="S56" s="51" t="s">
        <v>44</v>
      </c>
      <c r="T56" s="9">
        <v>30.4</v>
      </c>
      <c r="U56" s="9">
        <v>30.6</v>
      </c>
      <c r="V56" s="9">
        <v>31</v>
      </c>
      <c r="W56" s="9">
        <v>30.9</v>
      </c>
      <c r="X56" s="9">
        <v>30.8</v>
      </c>
      <c r="Y56" s="9">
        <v>31.1</v>
      </c>
      <c r="Z56" s="9">
        <v>31.4</v>
      </c>
      <c r="AA56" s="51">
        <v>31.5</v>
      </c>
      <c r="AB56" s="51">
        <v>31.6</v>
      </c>
      <c r="AC56" s="51">
        <v>31.9</v>
      </c>
      <c r="AD56" s="51">
        <v>31.9</v>
      </c>
      <c r="AE56" s="51">
        <v>32.299999999999997</v>
      </c>
      <c r="AF56" s="51">
        <v>30.5</v>
      </c>
      <c r="AG56" s="51">
        <v>33.1</v>
      </c>
      <c r="AH56" s="51">
        <v>34.1</v>
      </c>
      <c r="AI56" s="51"/>
      <c r="AJ56" s="1"/>
      <c r="AK56" s="1"/>
      <c r="AL56" s="1"/>
      <c r="AM56" s="1"/>
      <c r="AN56" s="1"/>
      <c r="AO56" s="1"/>
      <c r="AP56" s="1"/>
      <c r="AQ56" s="1"/>
      <c r="AR56" s="1"/>
      <c r="AS56" s="1"/>
      <c r="AT56" s="1"/>
      <c r="AU56" s="1"/>
      <c r="AV56" s="1"/>
      <c r="AW56" s="1"/>
      <c r="AX56" s="1"/>
      <c r="AY56" s="1"/>
    </row>
    <row r="57" spans="1:51" s="2" customFormat="1">
      <c r="A57" s="58" t="s">
        <v>17</v>
      </c>
      <c r="B57" s="41"/>
      <c r="C57" s="22" t="s">
        <v>56</v>
      </c>
      <c r="D57" s="53" t="s">
        <v>44</v>
      </c>
      <c r="E57" s="53" t="s">
        <v>44</v>
      </c>
      <c r="F57" s="53" t="s">
        <v>44</v>
      </c>
      <c r="G57" s="26">
        <v>25.3</v>
      </c>
      <c r="H57" s="26">
        <v>25.5</v>
      </c>
      <c r="I57" s="26">
        <v>25.6</v>
      </c>
      <c r="J57" s="26">
        <v>25.7</v>
      </c>
      <c r="K57" s="26">
        <v>26</v>
      </c>
      <c r="L57" s="26">
        <v>26.1</v>
      </c>
      <c r="M57" s="26">
        <v>26.2</v>
      </c>
      <c r="N57" s="26">
        <v>26.5</v>
      </c>
      <c r="O57" s="26">
        <v>26.7</v>
      </c>
      <c r="P57" s="26">
        <v>27</v>
      </c>
      <c r="Q57" s="26">
        <v>27.3</v>
      </c>
      <c r="R57" s="26">
        <v>27.5</v>
      </c>
      <c r="S57" s="26">
        <v>27.7</v>
      </c>
      <c r="T57" s="26">
        <v>27.9</v>
      </c>
      <c r="U57" s="26">
        <v>28.1</v>
      </c>
      <c r="V57" s="26">
        <v>28.2</v>
      </c>
      <c r="W57" s="26">
        <v>28.3</v>
      </c>
      <c r="X57" s="26">
        <v>28.4</v>
      </c>
      <c r="Y57" s="26">
        <v>28.6</v>
      </c>
      <c r="Z57" s="26">
        <v>28.7</v>
      </c>
      <c r="AA57" s="53">
        <v>29</v>
      </c>
      <c r="AB57" s="53">
        <v>29.1</v>
      </c>
      <c r="AC57" s="53">
        <v>29.3</v>
      </c>
      <c r="AD57" s="53">
        <v>29.5</v>
      </c>
      <c r="AE57" s="53">
        <v>29.6</v>
      </c>
      <c r="AF57" s="53">
        <v>29.8</v>
      </c>
      <c r="AG57" s="53">
        <v>30.1</v>
      </c>
      <c r="AH57" s="53">
        <v>30.2</v>
      </c>
      <c r="AI57" s="53"/>
      <c r="AJ57" s="3"/>
      <c r="AK57" s="3"/>
      <c r="AL57" s="3"/>
      <c r="AM57" s="3"/>
      <c r="AN57" s="3"/>
      <c r="AO57" s="3"/>
      <c r="AP57" s="3"/>
      <c r="AQ57" s="3"/>
      <c r="AR57" s="3"/>
      <c r="AS57" s="3"/>
      <c r="AT57" s="3"/>
      <c r="AU57" s="3"/>
      <c r="AV57" s="3"/>
      <c r="AW57" s="3"/>
    </row>
    <row r="58" spans="1:51" s="5" customFormat="1">
      <c r="A58" s="57"/>
      <c r="B58" s="42"/>
      <c r="C58" s="48" t="s">
        <v>57</v>
      </c>
      <c r="D58" s="51" t="s">
        <v>44</v>
      </c>
      <c r="E58" s="51" t="s">
        <v>44</v>
      </c>
      <c r="F58" s="51" t="s">
        <v>44</v>
      </c>
      <c r="G58" s="9">
        <v>23</v>
      </c>
      <c r="H58" s="9">
        <v>23.2</v>
      </c>
      <c r="I58" s="9">
        <v>23.3</v>
      </c>
      <c r="J58" s="9">
        <v>23.4</v>
      </c>
      <c r="K58" s="9">
        <v>23.6</v>
      </c>
      <c r="L58" s="9">
        <v>23.8</v>
      </c>
      <c r="M58" s="9">
        <v>23.9</v>
      </c>
      <c r="N58" s="9">
        <v>24.1</v>
      </c>
      <c r="O58" s="9">
        <v>24.4</v>
      </c>
      <c r="P58" s="9">
        <v>24.6</v>
      </c>
      <c r="Q58" s="9">
        <v>24.9</v>
      </c>
      <c r="R58" s="9">
        <v>25.1</v>
      </c>
      <c r="S58" s="9">
        <v>25.3</v>
      </c>
      <c r="T58" s="9">
        <v>25.5</v>
      </c>
      <c r="U58" s="9">
        <v>25.6</v>
      </c>
      <c r="V58" s="9">
        <v>25.7</v>
      </c>
      <c r="W58" s="9">
        <v>25.9</v>
      </c>
      <c r="X58" s="9">
        <v>26.1</v>
      </c>
      <c r="Y58" s="9">
        <v>26.2</v>
      </c>
      <c r="Z58" s="9">
        <v>26.3</v>
      </c>
      <c r="AA58" s="51">
        <v>26.6</v>
      </c>
      <c r="AB58" s="51">
        <v>26.7</v>
      </c>
      <c r="AC58" s="51">
        <v>26.9</v>
      </c>
      <c r="AD58" s="51">
        <v>27.1</v>
      </c>
      <c r="AE58" s="51">
        <v>27.3</v>
      </c>
      <c r="AF58" s="51">
        <v>27.4</v>
      </c>
      <c r="AG58" s="51">
        <v>27.7</v>
      </c>
      <c r="AH58" s="51">
        <v>27.9</v>
      </c>
      <c r="AI58" s="51"/>
      <c r="AJ58" s="6"/>
      <c r="AK58" s="6"/>
      <c r="AL58" s="6"/>
      <c r="AM58" s="6"/>
      <c r="AN58" s="6"/>
      <c r="AO58" s="6"/>
      <c r="AP58" s="6"/>
      <c r="AQ58" s="6"/>
      <c r="AR58" s="6"/>
      <c r="AS58" s="6"/>
      <c r="AT58" s="6"/>
      <c r="AU58" s="6"/>
      <c r="AV58" s="6"/>
      <c r="AW58" s="6"/>
    </row>
    <row r="59" spans="1:51" s="2" customFormat="1">
      <c r="A59" s="58" t="s">
        <v>16</v>
      </c>
      <c r="B59" s="41"/>
      <c r="C59" s="22" t="s">
        <v>56</v>
      </c>
      <c r="D59" s="53" t="s">
        <v>44</v>
      </c>
      <c r="E59" s="26">
        <v>26.4</v>
      </c>
      <c r="F59" s="26">
        <v>26.6</v>
      </c>
      <c r="G59" s="26">
        <v>26.7</v>
      </c>
      <c r="H59" s="26">
        <v>26.8</v>
      </c>
      <c r="I59" s="26">
        <v>26.9</v>
      </c>
      <c r="J59" s="26">
        <v>27</v>
      </c>
      <c r="K59" s="26">
        <v>27.1</v>
      </c>
      <c r="L59" s="26">
        <v>27.2</v>
      </c>
      <c r="M59" s="26">
        <v>27.3</v>
      </c>
      <c r="N59" s="26">
        <v>27.4</v>
      </c>
      <c r="O59" s="26">
        <v>27.7</v>
      </c>
      <c r="P59" s="26">
        <v>27.9</v>
      </c>
      <c r="Q59" s="26">
        <v>28.1</v>
      </c>
      <c r="R59" s="26">
        <v>28.2</v>
      </c>
      <c r="S59" s="26">
        <v>28.5</v>
      </c>
      <c r="T59" s="26">
        <v>28.5</v>
      </c>
      <c r="U59" s="26">
        <v>28.7</v>
      </c>
      <c r="V59" s="26">
        <v>29</v>
      </c>
      <c r="W59" s="26">
        <v>29.3</v>
      </c>
      <c r="X59" s="26">
        <v>29.9</v>
      </c>
      <c r="Y59" s="26">
        <v>30.1</v>
      </c>
      <c r="Z59" s="26">
        <v>30.4</v>
      </c>
      <c r="AA59" s="53" t="s">
        <v>44</v>
      </c>
      <c r="AB59" s="53">
        <v>31.5</v>
      </c>
      <c r="AC59" s="53">
        <v>31.9</v>
      </c>
      <c r="AD59" s="53">
        <v>32.200000000000003</v>
      </c>
      <c r="AE59" s="53">
        <v>32.5</v>
      </c>
      <c r="AF59" s="53">
        <v>32.9</v>
      </c>
      <c r="AG59" s="53">
        <v>33.200000000000003</v>
      </c>
      <c r="AH59" s="53">
        <v>34</v>
      </c>
      <c r="AI59" s="53"/>
      <c r="AJ59" s="3"/>
      <c r="AK59" s="3"/>
      <c r="AL59" s="3"/>
      <c r="AM59" s="3"/>
      <c r="AN59" s="3"/>
      <c r="AO59" s="3"/>
      <c r="AP59" s="3"/>
      <c r="AQ59" s="3"/>
      <c r="AR59" s="3"/>
      <c r="AS59" s="3"/>
      <c r="AT59" s="3"/>
      <c r="AU59" s="3"/>
      <c r="AV59" s="3"/>
      <c r="AW59" s="3"/>
    </row>
    <row r="60" spans="1:51" s="5" customFormat="1">
      <c r="A60" s="57"/>
      <c r="B60" s="42"/>
      <c r="C60" s="48" t="s">
        <v>57</v>
      </c>
      <c r="D60" s="51" t="s">
        <v>44</v>
      </c>
      <c r="E60" s="9">
        <v>24</v>
      </c>
      <c r="F60" s="9">
        <v>24.1</v>
      </c>
      <c r="G60" s="9">
        <v>24.3</v>
      </c>
      <c r="H60" s="9">
        <v>24.4</v>
      </c>
      <c r="I60" s="9">
        <v>24.5</v>
      </c>
      <c r="J60" s="9">
        <v>24.7</v>
      </c>
      <c r="K60" s="9">
        <v>24.8</v>
      </c>
      <c r="L60" s="9">
        <v>24.9</v>
      </c>
      <c r="M60" s="9">
        <v>25</v>
      </c>
      <c r="N60" s="9">
        <v>25.2</v>
      </c>
      <c r="O60" s="9">
        <v>25.5</v>
      </c>
      <c r="P60" s="9">
        <v>25.7</v>
      </c>
      <c r="Q60" s="9">
        <v>25.9</v>
      </c>
      <c r="R60" s="9">
        <v>26</v>
      </c>
      <c r="S60" s="9">
        <v>26.3</v>
      </c>
      <c r="T60" s="9">
        <v>26.4</v>
      </c>
      <c r="U60" s="9">
        <v>26.6</v>
      </c>
      <c r="V60" s="9">
        <v>26.8</v>
      </c>
      <c r="W60" s="9">
        <v>27.2</v>
      </c>
      <c r="X60" s="9">
        <v>27.7</v>
      </c>
      <c r="Y60" s="9">
        <v>28</v>
      </c>
      <c r="Z60" s="9">
        <v>28.4</v>
      </c>
      <c r="AA60" s="51" t="s">
        <v>44</v>
      </c>
      <c r="AB60" s="51">
        <v>29.8</v>
      </c>
      <c r="AC60" s="51">
        <v>30.2</v>
      </c>
      <c r="AD60" s="51">
        <v>30.4</v>
      </c>
      <c r="AE60" s="51">
        <v>30.7</v>
      </c>
      <c r="AF60" s="51">
        <v>31.1</v>
      </c>
      <c r="AG60" s="51">
        <v>31.5</v>
      </c>
      <c r="AH60" s="51">
        <v>32.299999999999997</v>
      </c>
      <c r="AI60" s="51"/>
      <c r="AJ60" s="6"/>
      <c r="AK60" s="6"/>
      <c r="AL60" s="6"/>
      <c r="AM60" s="6"/>
      <c r="AN60" s="6"/>
      <c r="AO60" s="6"/>
      <c r="AP60" s="6"/>
      <c r="AQ60" s="6"/>
      <c r="AR60" s="6"/>
      <c r="AS60" s="6"/>
      <c r="AT60" s="6"/>
      <c r="AU60" s="6"/>
      <c r="AV60" s="6"/>
      <c r="AW60" s="6"/>
    </row>
    <row r="61" spans="1:51" s="2" customFormat="1">
      <c r="A61" s="58" t="s">
        <v>15</v>
      </c>
      <c r="B61" s="41"/>
      <c r="C61" s="22" t="s">
        <v>56</v>
      </c>
      <c r="D61" s="53" t="s">
        <v>44</v>
      </c>
      <c r="E61" s="53" t="s">
        <v>44</v>
      </c>
      <c r="F61" s="53" t="s">
        <v>44</v>
      </c>
      <c r="G61" s="53" t="s">
        <v>44</v>
      </c>
      <c r="H61" s="53" t="s">
        <v>44</v>
      </c>
      <c r="I61" s="53" t="s">
        <v>44</v>
      </c>
      <c r="J61" s="53" t="s">
        <v>44</v>
      </c>
      <c r="K61" s="53" t="s">
        <v>44</v>
      </c>
      <c r="L61" s="53" t="s">
        <v>44</v>
      </c>
      <c r="M61" s="26">
        <v>25.9</v>
      </c>
      <c r="N61" s="26">
        <v>26.9</v>
      </c>
      <c r="O61" s="26">
        <v>27.1</v>
      </c>
      <c r="P61" s="26">
        <v>27.6</v>
      </c>
      <c r="Q61" s="26">
        <v>27.9</v>
      </c>
      <c r="R61" s="26">
        <v>28.3</v>
      </c>
      <c r="S61" s="53" t="s">
        <v>44</v>
      </c>
      <c r="T61" s="26">
        <v>29.2</v>
      </c>
      <c r="U61" s="26">
        <v>29.3</v>
      </c>
      <c r="V61" s="26">
        <v>29.5</v>
      </c>
      <c r="W61" s="26">
        <v>29.7</v>
      </c>
      <c r="X61" s="26">
        <v>30</v>
      </c>
      <c r="Y61" s="53" t="s">
        <v>44</v>
      </c>
      <c r="Z61" s="26">
        <v>30.1</v>
      </c>
      <c r="AA61" s="53">
        <v>30.6</v>
      </c>
      <c r="AB61" s="53">
        <v>30.8</v>
      </c>
      <c r="AC61" s="26">
        <v>31.1</v>
      </c>
      <c r="AD61" s="26">
        <v>31.1</v>
      </c>
      <c r="AE61" s="53">
        <v>31.2</v>
      </c>
      <c r="AF61" s="53">
        <v>29.2</v>
      </c>
      <c r="AG61" s="53">
        <v>29.2</v>
      </c>
      <c r="AH61" s="53">
        <v>31.5</v>
      </c>
      <c r="AI61" s="53"/>
      <c r="AJ61" s="3"/>
      <c r="AK61" s="3"/>
      <c r="AL61" s="3"/>
      <c r="AM61" s="3"/>
      <c r="AN61" s="3"/>
      <c r="AO61" s="3"/>
      <c r="AP61" s="3"/>
      <c r="AQ61" s="3"/>
      <c r="AR61" s="3"/>
      <c r="AS61" s="3"/>
      <c r="AT61" s="3"/>
      <c r="AU61" s="3"/>
      <c r="AV61" s="3"/>
      <c r="AW61" s="3"/>
    </row>
    <row r="62" spans="1:51" s="5" customFormat="1">
      <c r="A62" s="57"/>
      <c r="B62" s="42"/>
      <c r="C62" s="48" t="s">
        <v>57</v>
      </c>
      <c r="D62" s="51" t="s">
        <v>44</v>
      </c>
      <c r="E62" s="51" t="s">
        <v>44</v>
      </c>
      <c r="F62" s="51" t="s">
        <v>44</v>
      </c>
      <c r="G62" s="51" t="s">
        <v>44</v>
      </c>
      <c r="H62" s="51" t="s">
        <v>44</v>
      </c>
      <c r="I62" s="51" t="s">
        <v>44</v>
      </c>
      <c r="J62" s="51" t="s">
        <v>44</v>
      </c>
      <c r="K62" s="51" t="s">
        <v>44</v>
      </c>
      <c r="L62" s="51" t="s">
        <v>44</v>
      </c>
      <c r="M62" s="9">
        <v>23.3</v>
      </c>
      <c r="N62" s="9">
        <v>24.1</v>
      </c>
      <c r="O62" s="9">
        <v>24.3</v>
      </c>
      <c r="P62" s="9">
        <v>24.7</v>
      </c>
      <c r="Q62" s="9">
        <v>25.1</v>
      </c>
      <c r="R62" s="9">
        <v>25.4</v>
      </c>
      <c r="S62" s="51" t="s">
        <v>44</v>
      </c>
      <c r="T62" s="9">
        <v>26.3</v>
      </c>
      <c r="U62" s="9">
        <v>26.5</v>
      </c>
      <c r="V62" s="9">
        <v>26.7</v>
      </c>
      <c r="W62" s="9">
        <v>26.9</v>
      </c>
      <c r="X62" s="9">
        <v>27.2</v>
      </c>
      <c r="Y62" s="51" t="s">
        <v>44</v>
      </c>
      <c r="Z62" s="9">
        <v>27.6</v>
      </c>
      <c r="AA62" s="51">
        <v>27.8</v>
      </c>
      <c r="AB62" s="51">
        <v>28.1</v>
      </c>
      <c r="AC62" s="9">
        <v>28.2</v>
      </c>
      <c r="AD62" s="9">
        <v>28.3</v>
      </c>
      <c r="AE62" s="51">
        <v>28.6</v>
      </c>
      <c r="AF62" s="51">
        <v>26.5</v>
      </c>
      <c r="AG62" s="51">
        <v>26.6</v>
      </c>
      <c r="AH62" s="51">
        <v>28.8</v>
      </c>
      <c r="AI62" s="51"/>
      <c r="AJ62" s="6"/>
      <c r="AK62" s="6"/>
      <c r="AL62" s="6"/>
      <c r="AM62" s="6"/>
      <c r="AN62" s="6"/>
      <c r="AO62" s="6"/>
      <c r="AP62" s="6"/>
      <c r="AQ62" s="6"/>
      <c r="AR62" s="6"/>
      <c r="AS62" s="6"/>
      <c r="AT62" s="6"/>
      <c r="AU62" s="6"/>
      <c r="AV62" s="6"/>
      <c r="AW62" s="6"/>
    </row>
    <row r="63" spans="1:51" s="2" customFormat="1">
      <c r="A63" s="58" t="s">
        <v>14</v>
      </c>
      <c r="B63" s="41"/>
      <c r="C63" s="22" t="s">
        <v>56</v>
      </c>
      <c r="D63" s="26">
        <v>26.9</v>
      </c>
      <c r="E63" s="26">
        <v>26.9</v>
      </c>
      <c r="F63" s="26">
        <v>27.4</v>
      </c>
      <c r="G63" s="26">
        <v>27.8</v>
      </c>
      <c r="H63" s="26">
        <v>28</v>
      </c>
      <c r="I63" s="26">
        <v>28.1</v>
      </c>
      <c r="J63" s="26">
        <v>28.4</v>
      </c>
      <c r="K63" s="26">
        <v>28.8</v>
      </c>
      <c r="L63" s="26">
        <v>29.2</v>
      </c>
      <c r="M63" s="26">
        <v>29.6</v>
      </c>
      <c r="N63" s="26">
        <v>29.9</v>
      </c>
      <c r="O63" s="26">
        <v>30.3</v>
      </c>
      <c r="P63" s="26">
        <v>30.7</v>
      </c>
      <c r="Q63" s="26">
        <v>30.7</v>
      </c>
      <c r="R63" s="26">
        <v>30.9</v>
      </c>
      <c r="S63" s="26">
        <v>31.5</v>
      </c>
      <c r="T63" s="26">
        <v>31.1</v>
      </c>
      <c r="U63" s="26">
        <v>31.2</v>
      </c>
      <c r="V63" s="26">
        <v>31.3</v>
      </c>
      <c r="W63" s="26">
        <v>31.2</v>
      </c>
      <c r="X63" s="26">
        <v>31.7</v>
      </c>
      <c r="Y63" s="26">
        <v>32</v>
      </c>
      <c r="Z63" s="26">
        <v>32.1</v>
      </c>
      <c r="AA63" s="53">
        <v>32.299999999999997</v>
      </c>
      <c r="AB63" s="53">
        <v>32.200000000000003</v>
      </c>
      <c r="AC63" s="26">
        <v>32.299999999999997</v>
      </c>
      <c r="AD63" s="26">
        <v>32.6</v>
      </c>
      <c r="AE63" s="53">
        <v>32.9</v>
      </c>
      <c r="AF63" s="53">
        <v>33.700000000000003</v>
      </c>
      <c r="AG63" s="53">
        <v>33.9</v>
      </c>
      <c r="AH63" s="53">
        <v>33.6</v>
      </c>
      <c r="AI63" s="53"/>
      <c r="AJ63" s="3"/>
      <c r="AK63" s="3"/>
      <c r="AL63" s="3"/>
      <c r="AM63" s="3"/>
      <c r="AN63" s="3"/>
      <c r="AO63" s="3"/>
      <c r="AP63" s="3"/>
      <c r="AQ63" s="3"/>
      <c r="AR63" s="3"/>
      <c r="AS63" s="3"/>
      <c r="AT63" s="3"/>
      <c r="AU63" s="3"/>
      <c r="AV63" s="3"/>
      <c r="AW63" s="3"/>
    </row>
    <row r="64" spans="1:51" s="5" customFormat="1">
      <c r="A64" s="57"/>
      <c r="B64" s="42"/>
      <c r="C64" s="48" t="s">
        <v>57</v>
      </c>
      <c r="D64" s="9">
        <v>23.9</v>
      </c>
      <c r="E64" s="9">
        <v>24.1</v>
      </c>
      <c r="F64" s="9">
        <v>24.4</v>
      </c>
      <c r="G64" s="9">
        <v>24.8</v>
      </c>
      <c r="H64" s="9">
        <v>25.1</v>
      </c>
      <c r="I64" s="9">
        <v>25.3</v>
      </c>
      <c r="J64" s="9">
        <v>25.6</v>
      </c>
      <c r="K64" s="9">
        <v>25.9</v>
      </c>
      <c r="L64" s="9">
        <v>26.2</v>
      </c>
      <c r="M64" s="9">
        <v>26.5</v>
      </c>
      <c r="N64" s="9">
        <v>27</v>
      </c>
      <c r="O64" s="9">
        <v>27.3</v>
      </c>
      <c r="P64" s="9">
        <v>27.7</v>
      </c>
      <c r="Q64" s="9">
        <v>27.8</v>
      </c>
      <c r="R64" s="9">
        <v>28.1</v>
      </c>
      <c r="S64" s="9">
        <v>28.7</v>
      </c>
      <c r="T64" s="9">
        <v>28.4</v>
      </c>
      <c r="U64" s="9">
        <v>28.6</v>
      </c>
      <c r="V64" s="9">
        <v>28.6</v>
      </c>
      <c r="W64" s="9">
        <v>28.5</v>
      </c>
      <c r="X64" s="9">
        <v>29</v>
      </c>
      <c r="Y64" s="9">
        <v>29.4</v>
      </c>
      <c r="Z64" s="9">
        <v>29.4</v>
      </c>
      <c r="AA64" s="51">
        <v>29.6</v>
      </c>
      <c r="AB64" s="51">
        <v>29.7</v>
      </c>
      <c r="AC64" s="9">
        <v>30</v>
      </c>
      <c r="AD64" s="9">
        <v>30.3</v>
      </c>
      <c r="AE64" s="51">
        <v>30.4</v>
      </c>
      <c r="AF64" s="51">
        <v>31.2</v>
      </c>
      <c r="AG64" s="51">
        <v>31.2</v>
      </c>
      <c r="AH64" s="51">
        <v>31.1</v>
      </c>
      <c r="AI64" s="51"/>
      <c r="AJ64" s="6"/>
      <c r="AK64" s="6"/>
      <c r="AL64" s="6"/>
      <c r="AM64" s="6"/>
      <c r="AN64" s="6"/>
      <c r="AO64" s="6"/>
      <c r="AP64" s="6"/>
      <c r="AQ64" s="6"/>
      <c r="AR64" s="6"/>
      <c r="AS64" s="6"/>
      <c r="AT64" s="6"/>
      <c r="AU64" s="6"/>
      <c r="AV64" s="6"/>
      <c r="AW64" s="6"/>
    </row>
    <row r="65" spans="1:51">
      <c r="A65" s="58" t="s">
        <v>13</v>
      </c>
      <c r="B65" s="41"/>
      <c r="C65" s="22" t="s">
        <v>56</v>
      </c>
      <c r="D65" s="26">
        <v>27.8</v>
      </c>
      <c r="E65" s="26">
        <v>28.1</v>
      </c>
      <c r="F65" s="26">
        <v>28.4</v>
      </c>
      <c r="G65" s="26">
        <v>28.7</v>
      </c>
      <c r="H65" s="26">
        <v>28.9</v>
      </c>
      <c r="I65" s="26">
        <v>29.2</v>
      </c>
      <c r="J65" s="26">
        <v>29.5</v>
      </c>
      <c r="K65" s="26">
        <v>29.7</v>
      </c>
      <c r="L65" s="26">
        <v>29.8</v>
      </c>
      <c r="M65" s="26">
        <v>30</v>
      </c>
      <c r="N65" s="26">
        <v>30.2</v>
      </c>
      <c r="O65" s="53" t="s">
        <v>44</v>
      </c>
      <c r="P65" s="26">
        <v>30.7</v>
      </c>
      <c r="Q65" s="26">
        <v>30.9</v>
      </c>
      <c r="R65" s="26">
        <v>31.3</v>
      </c>
      <c r="S65" s="26">
        <v>31.6</v>
      </c>
      <c r="T65" s="26">
        <v>31.8</v>
      </c>
      <c r="U65" s="26">
        <v>32</v>
      </c>
      <c r="V65" s="26">
        <v>32.299999999999997</v>
      </c>
      <c r="W65" s="26">
        <v>32.700000000000003</v>
      </c>
      <c r="X65" s="26">
        <v>33.1</v>
      </c>
      <c r="Y65" s="26">
        <v>33.4</v>
      </c>
      <c r="Z65" s="26">
        <v>33.700000000000003</v>
      </c>
      <c r="AA65" s="53">
        <v>34.4</v>
      </c>
      <c r="AB65" s="53">
        <v>34.5</v>
      </c>
      <c r="AC65" s="26">
        <v>34.9</v>
      </c>
      <c r="AD65" s="26">
        <v>35.1</v>
      </c>
      <c r="AE65" s="53">
        <v>35.4</v>
      </c>
      <c r="AF65" s="53">
        <v>35.6</v>
      </c>
      <c r="AG65" s="53">
        <v>36.1</v>
      </c>
      <c r="AH65" s="53">
        <v>37.200000000000003</v>
      </c>
      <c r="AI65" s="53"/>
      <c r="AJ65" s="1"/>
      <c r="AK65" s="1"/>
      <c r="AL65" s="1"/>
      <c r="AM65" s="1"/>
      <c r="AN65" s="1"/>
      <c r="AO65" s="1"/>
      <c r="AP65" s="1"/>
      <c r="AQ65" s="1"/>
      <c r="AR65" s="1"/>
      <c r="AS65" s="1"/>
      <c r="AT65" s="1"/>
      <c r="AU65" s="1"/>
      <c r="AV65" s="1"/>
      <c r="AW65" s="1"/>
      <c r="AX65" s="1"/>
      <c r="AY65" s="1"/>
    </row>
    <row r="66" spans="1:51">
      <c r="A66" s="57"/>
      <c r="B66" s="42"/>
      <c r="C66" s="48" t="s">
        <v>57</v>
      </c>
      <c r="D66" s="9">
        <v>25.6</v>
      </c>
      <c r="E66" s="9">
        <v>25.9</v>
      </c>
      <c r="F66" s="9">
        <v>26.2</v>
      </c>
      <c r="G66" s="9">
        <v>26.6</v>
      </c>
      <c r="H66" s="9">
        <v>26.9</v>
      </c>
      <c r="I66" s="9">
        <v>27.1</v>
      </c>
      <c r="J66" s="9">
        <v>27.4</v>
      </c>
      <c r="K66" s="9">
        <v>27.6</v>
      </c>
      <c r="L66" s="9">
        <v>27.8</v>
      </c>
      <c r="M66" s="9">
        <v>28</v>
      </c>
      <c r="N66" s="9">
        <v>28.1</v>
      </c>
      <c r="O66" s="51" t="s">
        <v>44</v>
      </c>
      <c r="P66" s="9">
        <v>28.6</v>
      </c>
      <c r="Q66" s="9">
        <v>28.9</v>
      </c>
      <c r="R66" s="9">
        <v>29.2</v>
      </c>
      <c r="S66" s="9">
        <v>29.4</v>
      </c>
      <c r="T66" s="9">
        <v>29.6</v>
      </c>
      <c r="U66" s="9">
        <v>29.8</v>
      </c>
      <c r="V66" s="9">
        <v>30.1</v>
      </c>
      <c r="W66" s="9">
        <v>30.5</v>
      </c>
      <c r="X66" s="9">
        <v>30.9</v>
      </c>
      <c r="Y66" s="9">
        <v>31.3</v>
      </c>
      <c r="Z66" s="9">
        <v>31.6</v>
      </c>
      <c r="AA66" s="51">
        <v>32.200000000000003</v>
      </c>
      <c r="AB66" s="51">
        <v>32.299999999999997</v>
      </c>
      <c r="AC66" s="9">
        <v>32.700000000000003</v>
      </c>
      <c r="AD66" s="9">
        <v>33</v>
      </c>
      <c r="AE66" s="51">
        <v>33.200000000000003</v>
      </c>
      <c r="AF66" s="51">
        <v>33.5</v>
      </c>
      <c r="AG66" s="51">
        <v>33.9</v>
      </c>
      <c r="AH66" s="51">
        <v>34.9</v>
      </c>
      <c r="AI66" s="51"/>
      <c r="AJ66" s="1"/>
      <c r="AK66" s="1"/>
      <c r="AL66" s="1"/>
      <c r="AM66" s="1"/>
      <c r="AN66" s="1"/>
      <c r="AO66" s="1"/>
      <c r="AP66" s="1"/>
      <c r="AQ66" s="1"/>
      <c r="AR66" s="1"/>
      <c r="AS66" s="1"/>
      <c r="AT66" s="1"/>
      <c r="AU66" s="1"/>
      <c r="AV66" s="1"/>
      <c r="AW66" s="1"/>
      <c r="AX66" s="1"/>
      <c r="AY66" s="1"/>
    </row>
    <row r="67" spans="1:51" s="2" customFormat="1">
      <c r="A67" s="58" t="s">
        <v>12</v>
      </c>
      <c r="B67" s="41"/>
      <c r="C67" s="22" t="s">
        <v>56</v>
      </c>
      <c r="D67" s="26">
        <v>30.3</v>
      </c>
      <c r="E67" s="26">
        <v>30.6</v>
      </c>
      <c r="F67" s="26">
        <v>30.9</v>
      </c>
      <c r="G67" s="26">
        <v>31.1</v>
      </c>
      <c r="H67" s="26">
        <v>31.3</v>
      </c>
      <c r="I67" s="53" t="s">
        <v>44</v>
      </c>
      <c r="J67" s="26">
        <v>31.8</v>
      </c>
      <c r="K67" s="26">
        <v>32.200000000000003</v>
      </c>
      <c r="L67" s="26">
        <v>32.4</v>
      </c>
      <c r="M67" s="26">
        <v>32.9</v>
      </c>
      <c r="N67" s="26">
        <v>33</v>
      </c>
      <c r="O67" s="26">
        <v>33</v>
      </c>
      <c r="P67" s="26">
        <v>33.299999999999997</v>
      </c>
      <c r="Q67" s="26">
        <v>33.799999999999997</v>
      </c>
      <c r="R67" s="26">
        <v>34.1</v>
      </c>
      <c r="S67" s="26">
        <v>34.6</v>
      </c>
      <c r="T67" s="26">
        <v>34.4</v>
      </c>
      <c r="U67" s="53" t="s">
        <v>44</v>
      </c>
      <c r="V67" s="26">
        <v>35.200000000000003</v>
      </c>
      <c r="W67" s="26">
        <v>35.200000000000003</v>
      </c>
      <c r="X67" s="26">
        <v>35.6</v>
      </c>
      <c r="Y67" s="26">
        <v>35.5</v>
      </c>
      <c r="Z67" s="26">
        <v>35.9</v>
      </c>
      <c r="AA67" s="53">
        <v>35.700000000000003</v>
      </c>
      <c r="AB67" s="53">
        <v>35.799999999999997</v>
      </c>
      <c r="AC67" s="26">
        <v>36.200000000000003</v>
      </c>
      <c r="AD67" s="26">
        <v>36.5</v>
      </c>
      <c r="AE67" s="53">
        <v>36.6</v>
      </c>
      <c r="AF67" s="53">
        <v>36.700000000000003</v>
      </c>
      <c r="AG67" s="53">
        <v>36.700000000000003</v>
      </c>
      <c r="AH67" s="53">
        <v>37.5</v>
      </c>
      <c r="AI67" s="53"/>
      <c r="AJ67" s="3"/>
      <c r="AK67" s="3"/>
      <c r="AL67" s="3"/>
      <c r="AM67" s="3"/>
      <c r="AN67" s="3"/>
      <c r="AO67" s="3"/>
      <c r="AP67" s="3"/>
      <c r="AQ67" s="3"/>
      <c r="AR67" s="3"/>
      <c r="AS67" s="3"/>
      <c r="AT67" s="3"/>
      <c r="AU67" s="3"/>
      <c r="AV67" s="3"/>
      <c r="AW67" s="3"/>
    </row>
    <row r="68" spans="1:51" s="5" customFormat="1">
      <c r="A68" s="57"/>
      <c r="B68" s="42"/>
      <c r="C68" s="48" t="s">
        <v>57</v>
      </c>
      <c r="D68" s="9">
        <v>27.7</v>
      </c>
      <c r="E68" s="9">
        <v>27.9</v>
      </c>
      <c r="F68" s="9">
        <v>28.2</v>
      </c>
      <c r="G68" s="9">
        <v>28.3</v>
      </c>
      <c r="H68" s="9">
        <v>28.7</v>
      </c>
      <c r="I68" s="51" t="s">
        <v>44</v>
      </c>
      <c r="J68" s="9">
        <v>29.2</v>
      </c>
      <c r="K68" s="9">
        <v>29.5</v>
      </c>
      <c r="L68" s="9">
        <v>29.7</v>
      </c>
      <c r="M68" s="9">
        <v>30.2</v>
      </c>
      <c r="N68" s="9">
        <v>30.4</v>
      </c>
      <c r="O68" s="9">
        <v>30.3</v>
      </c>
      <c r="P68" s="9">
        <v>30.6</v>
      </c>
      <c r="Q68" s="9">
        <v>31</v>
      </c>
      <c r="R68" s="9">
        <v>31.3</v>
      </c>
      <c r="S68" s="9">
        <v>31.7</v>
      </c>
      <c r="T68" s="9">
        <v>31.5</v>
      </c>
      <c r="U68" s="51" t="s">
        <v>44</v>
      </c>
      <c r="V68" s="9">
        <v>32.299999999999997</v>
      </c>
      <c r="W68" s="9">
        <v>32.299999999999997</v>
      </c>
      <c r="X68" s="9">
        <v>32.700000000000003</v>
      </c>
      <c r="Y68" s="9">
        <v>33</v>
      </c>
      <c r="Z68" s="9">
        <v>33.299999999999997</v>
      </c>
      <c r="AA68" s="51">
        <v>33</v>
      </c>
      <c r="AB68" s="51">
        <v>33.299999999999997</v>
      </c>
      <c r="AC68" s="9">
        <v>33.6</v>
      </c>
      <c r="AD68" s="9">
        <v>33.799999999999997</v>
      </c>
      <c r="AE68" s="51">
        <v>33.799999999999997</v>
      </c>
      <c r="AF68" s="51">
        <v>34</v>
      </c>
      <c r="AG68" s="51">
        <v>34.1</v>
      </c>
      <c r="AH68" s="51">
        <v>34.799999999999997</v>
      </c>
      <c r="AI68" s="51"/>
      <c r="AJ68" s="6"/>
      <c r="AK68" s="6"/>
      <c r="AL68" s="6"/>
      <c r="AM68" s="6"/>
      <c r="AN68" s="6"/>
      <c r="AO68" s="6"/>
      <c r="AP68" s="6"/>
      <c r="AQ68" s="6"/>
      <c r="AR68" s="6"/>
      <c r="AS68" s="6"/>
      <c r="AT68" s="6"/>
      <c r="AU68" s="6"/>
      <c r="AV68" s="6"/>
      <c r="AW68" s="6"/>
    </row>
    <row r="69" spans="1:51" s="2" customFormat="1">
      <c r="A69" s="58" t="s">
        <v>11</v>
      </c>
      <c r="B69" s="41"/>
      <c r="C69" s="22" t="s">
        <v>56</v>
      </c>
      <c r="D69" s="26">
        <v>29.4</v>
      </c>
      <c r="E69" s="26">
        <v>29.5</v>
      </c>
      <c r="F69" s="26">
        <v>29.5</v>
      </c>
      <c r="G69" s="53" t="s">
        <v>44</v>
      </c>
      <c r="H69" s="26">
        <v>29.9</v>
      </c>
      <c r="I69" s="26">
        <v>30.1</v>
      </c>
      <c r="J69" s="53" t="s">
        <v>44</v>
      </c>
      <c r="K69" s="53" t="s">
        <v>44</v>
      </c>
      <c r="L69" s="26">
        <v>30.4</v>
      </c>
      <c r="M69" s="53" t="s">
        <v>44</v>
      </c>
      <c r="N69" s="26">
        <v>30.8</v>
      </c>
      <c r="O69" s="26">
        <v>31.1</v>
      </c>
      <c r="P69" s="53" t="s">
        <v>44</v>
      </c>
      <c r="Q69" s="26">
        <v>31.2</v>
      </c>
      <c r="R69" s="26">
        <v>31.4</v>
      </c>
      <c r="S69" s="26">
        <v>31.5</v>
      </c>
      <c r="T69" s="26">
        <v>31.6</v>
      </c>
      <c r="U69" s="26">
        <v>31.7</v>
      </c>
      <c r="V69" s="26">
        <v>32.1</v>
      </c>
      <c r="W69" s="26">
        <v>32.1</v>
      </c>
      <c r="X69" s="26">
        <v>32.200000000000003</v>
      </c>
      <c r="Y69" s="26">
        <v>32.4</v>
      </c>
      <c r="Z69" s="26">
        <v>32.4</v>
      </c>
      <c r="AA69" s="53">
        <v>32.5</v>
      </c>
      <c r="AB69" s="53">
        <v>32.5</v>
      </c>
      <c r="AC69" s="26">
        <v>32.6</v>
      </c>
      <c r="AD69" s="26">
        <v>32.700000000000003</v>
      </c>
      <c r="AE69" s="53">
        <v>32.799999999999997</v>
      </c>
      <c r="AF69" s="53">
        <v>32.9</v>
      </c>
      <c r="AG69" s="53">
        <v>33.1</v>
      </c>
      <c r="AH69" s="53">
        <v>33.299999999999997</v>
      </c>
      <c r="AI69" s="53"/>
      <c r="AJ69" s="3"/>
      <c r="AK69" s="3"/>
      <c r="AL69" s="3"/>
      <c r="AM69" s="3"/>
      <c r="AN69" s="3"/>
      <c r="AO69" s="3"/>
      <c r="AP69" s="3"/>
      <c r="AQ69" s="3"/>
      <c r="AR69" s="3"/>
      <c r="AS69" s="3"/>
      <c r="AT69" s="3"/>
      <c r="AU69" s="3"/>
      <c r="AV69" s="3"/>
      <c r="AW69" s="3"/>
    </row>
    <row r="70" spans="1:51" s="5" customFormat="1">
      <c r="A70" s="57"/>
      <c r="B70" s="42"/>
      <c r="C70" s="48" t="s">
        <v>57</v>
      </c>
      <c r="D70" s="9">
        <v>27</v>
      </c>
      <c r="E70" s="9">
        <v>27.1</v>
      </c>
      <c r="F70" s="9">
        <v>27.1</v>
      </c>
      <c r="G70" s="9">
        <v>27.2</v>
      </c>
      <c r="H70" s="9">
        <v>27.4</v>
      </c>
      <c r="I70" s="9">
        <v>27.5</v>
      </c>
      <c r="J70" s="51" t="s">
        <v>44</v>
      </c>
      <c r="K70" s="9">
        <v>27.8</v>
      </c>
      <c r="L70" s="9">
        <v>27.9</v>
      </c>
      <c r="M70" s="9">
        <v>28</v>
      </c>
      <c r="N70" s="9">
        <v>28.2</v>
      </c>
      <c r="O70" s="9">
        <v>28.4</v>
      </c>
      <c r="P70" s="51" t="s">
        <v>44</v>
      </c>
      <c r="Q70" s="9">
        <v>28.7</v>
      </c>
      <c r="R70" s="9">
        <v>29</v>
      </c>
      <c r="S70" s="9">
        <v>29.1</v>
      </c>
      <c r="T70" s="9">
        <v>29.1</v>
      </c>
      <c r="U70" s="9">
        <v>29.3</v>
      </c>
      <c r="V70" s="9">
        <v>29.6</v>
      </c>
      <c r="W70" s="9">
        <v>29.6</v>
      </c>
      <c r="X70" s="9">
        <v>29.8</v>
      </c>
      <c r="Y70" s="9">
        <v>29.9</v>
      </c>
      <c r="Z70" s="9">
        <v>29.9</v>
      </c>
      <c r="AA70" s="51">
        <v>30.1</v>
      </c>
      <c r="AB70" s="51">
        <v>30.1</v>
      </c>
      <c r="AC70" s="9">
        <v>30.2</v>
      </c>
      <c r="AD70" s="9">
        <v>30.4</v>
      </c>
      <c r="AE70" s="51">
        <v>30.4</v>
      </c>
      <c r="AF70" s="51">
        <v>30.5</v>
      </c>
      <c r="AG70" s="51">
        <v>30.7</v>
      </c>
      <c r="AH70" s="51">
        <v>30.9</v>
      </c>
      <c r="AI70" s="51"/>
      <c r="AJ70" s="6"/>
      <c r="AK70" s="6"/>
      <c r="AL70" s="6"/>
      <c r="AM70" s="6"/>
      <c r="AN70" s="6"/>
      <c r="AO70" s="6"/>
      <c r="AP70" s="6"/>
      <c r="AQ70" s="6"/>
      <c r="AR70" s="6"/>
      <c r="AS70" s="6"/>
      <c r="AT70" s="6"/>
      <c r="AU70" s="6"/>
      <c r="AV70" s="6"/>
      <c r="AW70" s="6"/>
    </row>
    <row r="71" spans="1:51" s="2" customFormat="1">
      <c r="A71" s="58" t="s">
        <v>10</v>
      </c>
      <c r="B71" s="41"/>
      <c r="C71" s="22" t="s">
        <v>56</v>
      </c>
      <c r="D71" s="53" t="s">
        <v>44</v>
      </c>
      <c r="E71" s="53" t="s">
        <v>44</v>
      </c>
      <c r="F71" s="53" t="s">
        <v>44</v>
      </c>
      <c r="G71" s="53" t="s">
        <v>44</v>
      </c>
      <c r="H71" s="53" t="s">
        <v>44</v>
      </c>
      <c r="I71" s="53" t="s">
        <v>44</v>
      </c>
      <c r="J71" s="53" t="s">
        <v>44</v>
      </c>
      <c r="K71" s="53" t="s">
        <v>44</v>
      </c>
      <c r="L71" s="53" t="s">
        <v>44</v>
      </c>
      <c r="M71" s="53" t="s">
        <v>44</v>
      </c>
      <c r="N71" s="53" t="s">
        <v>44</v>
      </c>
      <c r="O71" s="53" t="s">
        <v>44</v>
      </c>
      <c r="P71" s="53" t="s">
        <v>44</v>
      </c>
      <c r="Q71" s="26">
        <v>27.5</v>
      </c>
      <c r="R71" s="53" t="s">
        <v>44</v>
      </c>
      <c r="S71" s="53" t="s">
        <v>44</v>
      </c>
      <c r="T71" s="26">
        <v>26.9</v>
      </c>
      <c r="U71" s="26">
        <v>26.8</v>
      </c>
      <c r="V71" s="26">
        <v>26.9</v>
      </c>
      <c r="W71" s="26">
        <v>27</v>
      </c>
      <c r="X71" s="26">
        <v>27.1</v>
      </c>
      <c r="Y71" s="26">
        <v>27.2</v>
      </c>
      <c r="Z71" s="53" t="s">
        <v>44</v>
      </c>
      <c r="AA71" s="53">
        <v>27.3</v>
      </c>
      <c r="AB71" s="53">
        <v>27.4</v>
      </c>
      <c r="AC71" s="26">
        <v>27.5</v>
      </c>
      <c r="AD71" s="26">
        <v>27.7</v>
      </c>
      <c r="AE71" s="53">
        <v>27.8</v>
      </c>
      <c r="AF71" s="53">
        <v>27.9</v>
      </c>
      <c r="AG71" s="53">
        <v>28</v>
      </c>
      <c r="AH71" s="53">
        <v>28</v>
      </c>
      <c r="AI71" s="53"/>
      <c r="AJ71" s="3"/>
      <c r="AK71" s="3"/>
      <c r="AL71" s="3"/>
      <c r="AM71" s="3"/>
      <c r="AN71" s="3"/>
      <c r="AO71" s="3"/>
      <c r="AP71" s="3"/>
      <c r="AQ71" s="3"/>
      <c r="AR71" s="3"/>
      <c r="AS71" s="3"/>
      <c r="AT71" s="3"/>
      <c r="AU71" s="3"/>
      <c r="AV71" s="3"/>
      <c r="AW71" s="3"/>
    </row>
    <row r="72" spans="1:51" s="5" customFormat="1">
      <c r="A72" s="57"/>
      <c r="B72" s="42"/>
      <c r="C72" s="48" t="s">
        <v>57</v>
      </c>
      <c r="D72" s="51" t="s">
        <v>44</v>
      </c>
      <c r="E72" s="51" t="s">
        <v>44</v>
      </c>
      <c r="F72" s="51" t="s">
        <v>44</v>
      </c>
      <c r="G72" s="51" t="s">
        <v>44</v>
      </c>
      <c r="H72" s="51" t="s">
        <v>44</v>
      </c>
      <c r="I72" s="51" t="s">
        <v>44</v>
      </c>
      <c r="J72" s="51" t="s">
        <v>44</v>
      </c>
      <c r="K72" s="51" t="s">
        <v>44</v>
      </c>
      <c r="L72" s="51" t="s">
        <v>44</v>
      </c>
      <c r="M72" s="51" t="s">
        <v>44</v>
      </c>
      <c r="N72" s="51" t="s">
        <v>44</v>
      </c>
      <c r="O72" s="51" t="s">
        <v>44</v>
      </c>
      <c r="P72" s="51" t="s">
        <v>44</v>
      </c>
      <c r="Q72" s="9">
        <v>24.1</v>
      </c>
      <c r="R72" s="51" t="s">
        <v>44</v>
      </c>
      <c r="S72" s="51" t="s">
        <v>44</v>
      </c>
      <c r="T72" s="9">
        <v>23.5</v>
      </c>
      <c r="U72" s="9">
        <v>23.5</v>
      </c>
      <c r="V72" s="9">
        <v>23.6</v>
      </c>
      <c r="W72" s="9">
        <v>23.7</v>
      </c>
      <c r="X72" s="9">
        <v>23.8</v>
      </c>
      <c r="Y72" s="9">
        <v>23.9</v>
      </c>
      <c r="Z72" s="51" t="s">
        <v>44</v>
      </c>
      <c r="AA72" s="51">
        <v>24.2</v>
      </c>
      <c r="AB72" s="51">
        <v>24.3</v>
      </c>
      <c r="AC72" s="9">
        <v>24.5</v>
      </c>
      <c r="AD72" s="9">
        <v>24.7</v>
      </c>
      <c r="AE72" s="51">
        <v>24.8</v>
      </c>
      <c r="AF72" s="51">
        <v>24.9</v>
      </c>
      <c r="AG72" s="51">
        <v>25.1</v>
      </c>
      <c r="AH72" s="51">
        <v>25.2</v>
      </c>
      <c r="AI72" s="51"/>
      <c r="AJ72" s="6"/>
      <c r="AK72" s="6"/>
      <c r="AL72" s="6"/>
      <c r="AM72" s="6"/>
      <c r="AN72" s="6"/>
      <c r="AO72" s="6"/>
      <c r="AP72" s="6"/>
      <c r="AQ72" s="6"/>
      <c r="AR72" s="6"/>
      <c r="AS72" s="6"/>
      <c r="AT72" s="6"/>
      <c r="AU72" s="6"/>
      <c r="AV72" s="6"/>
      <c r="AW72" s="6"/>
    </row>
    <row r="73" spans="1:51" s="2" customFormat="1">
      <c r="A73" s="58" t="s">
        <v>9</v>
      </c>
      <c r="B73" s="41"/>
      <c r="C73" s="22" t="s">
        <v>56</v>
      </c>
      <c r="D73" s="26">
        <v>27.2</v>
      </c>
      <c r="E73" s="26">
        <v>27.51</v>
      </c>
      <c r="F73" s="26">
        <v>27.86</v>
      </c>
      <c r="G73" s="26">
        <v>28.18</v>
      </c>
      <c r="H73" s="26">
        <v>28.5</v>
      </c>
      <c r="I73" s="26">
        <v>28.86</v>
      </c>
      <c r="J73" s="26">
        <v>29.25</v>
      </c>
      <c r="K73" s="26">
        <v>29.57</v>
      </c>
      <c r="L73" s="26">
        <v>29.84</v>
      </c>
      <c r="M73" s="26">
        <v>30.1</v>
      </c>
      <c r="N73" s="26">
        <v>30.5</v>
      </c>
      <c r="O73" s="26">
        <v>30.6</v>
      </c>
      <c r="P73" s="26">
        <v>30.9</v>
      </c>
      <c r="Q73" s="26">
        <v>31.2</v>
      </c>
      <c r="R73" s="26">
        <v>31.4</v>
      </c>
      <c r="S73" s="26">
        <v>31.7</v>
      </c>
      <c r="T73" s="26">
        <v>31.8</v>
      </c>
      <c r="U73" s="26">
        <v>32</v>
      </c>
      <c r="V73" s="26">
        <v>32.1</v>
      </c>
      <c r="W73" s="26">
        <v>32.1</v>
      </c>
      <c r="X73" s="26">
        <v>32.1</v>
      </c>
      <c r="Y73" s="26">
        <v>32.200000000000003</v>
      </c>
      <c r="Z73" s="26">
        <v>32.4</v>
      </c>
      <c r="AA73" s="53">
        <v>32.5</v>
      </c>
      <c r="AB73" s="53">
        <v>32.700000000000003</v>
      </c>
      <c r="AC73" s="53">
        <v>33.200000000000003</v>
      </c>
      <c r="AD73" s="53">
        <v>33.4</v>
      </c>
      <c r="AE73" s="53">
        <v>33.6</v>
      </c>
      <c r="AF73" s="53">
        <v>33.700000000000003</v>
      </c>
      <c r="AG73" s="53">
        <v>33.9</v>
      </c>
      <c r="AH73" s="53" t="s">
        <v>44</v>
      </c>
      <c r="AI73" s="53"/>
      <c r="AJ73" s="3"/>
      <c r="AK73" s="3"/>
      <c r="AL73" s="3"/>
      <c r="AM73" s="3"/>
      <c r="AN73" s="3"/>
      <c r="AO73" s="3"/>
      <c r="AP73" s="3"/>
      <c r="AQ73" s="3"/>
      <c r="AR73" s="3"/>
      <c r="AS73" s="3"/>
      <c r="AT73" s="3"/>
      <c r="AU73" s="3"/>
      <c r="AV73" s="3"/>
      <c r="AW73" s="3"/>
    </row>
    <row r="74" spans="1:51" s="5" customFormat="1">
      <c r="A74" s="57"/>
      <c r="B74" s="42"/>
      <c r="C74" s="48" t="s">
        <v>57</v>
      </c>
      <c r="D74" s="9">
        <v>25.15</v>
      </c>
      <c r="E74" s="9">
        <v>25.5</v>
      </c>
      <c r="F74" s="9">
        <v>25.86</v>
      </c>
      <c r="G74" s="9">
        <v>26.17</v>
      </c>
      <c r="H74" s="9">
        <v>26.51</v>
      </c>
      <c r="I74" s="9">
        <v>26.83</v>
      </c>
      <c r="J74" s="9">
        <v>27.2</v>
      </c>
      <c r="K74" s="9">
        <v>27.47</v>
      </c>
      <c r="L74" s="9">
        <v>27.7</v>
      </c>
      <c r="M74" s="9">
        <v>28</v>
      </c>
      <c r="N74" s="9">
        <v>28.2</v>
      </c>
      <c r="O74" s="9">
        <v>28.4</v>
      </c>
      <c r="P74" s="9">
        <v>28.7</v>
      </c>
      <c r="Q74" s="9">
        <v>28.9</v>
      </c>
      <c r="R74" s="9">
        <v>29.1</v>
      </c>
      <c r="S74" s="9">
        <v>29.5</v>
      </c>
      <c r="T74" s="9">
        <v>29.7</v>
      </c>
      <c r="U74" s="9">
        <v>29.8</v>
      </c>
      <c r="V74" s="9">
        <v>29.9</v>
      </c>
      <c r="W74" s="9">
        <v>29.9</v>
      </c>
      <c r="X74" s="9">
        <v>30</v>
      </c>
      <c r="Y74" s="9">
        <v>30.2</v>
      </c>
      <c r="Z74" s="9">
        <v>30.3</v>
      </c>
      <c r="AA74" s="51">
        <v>30.6</v>
      </c>
      <c r="AB74" s="51">
        <v>30.8</v>
      </c>
      <c r="AC74" s="51">
        <v>31.2</v>
      </c>
      <c r="AD74" s="51">
        <v>31.5</v>
      </c>
      <c r="AE74" s="51">
        <v>31.7</v>
      </c>
      <c r="AF74" s="51">
        <v>31.8</v>
      </c>
      <c r="AG74" s="51">
        <v>32.1</v>
      </c>
      <c r="AH74" s="51" t="s">
        <v>44</v>
      </c>
      <c r="AI74" s="51"/>
      <c r="AJ74" s="6"/>
      <c r="AK74" s="6"/>
      <c r="AL74" s="6"/>
      <c r="AM74" s="6"/>
      <c r="AN74" s="6"/>
      <c r="AO74" s="6"/>
      <c r="AP74" s="6"/>
      <c r="AQ74" s="6"/>
      <c r="AR74" s="6"/>
      <c r="AS74" s="6"/>
      <c r="AT74" s="6"/>
      <c r="AU74" s="6"/>
      <c r="AV74" s="6"/>
      <c r="AW74" s="6"/>
    </row>
    <row r="75" spans="1:51">
      <c r="A75" s="134" t="s">
        <v>8</v>
      </c>
      <c r="B75" s="123">
        <v>1</v>
      </c>
      <c r="C75" s="22" t="s">
        <v>56</v>
      </c>
      <c r="D75" s="53">
        <v>26.1</v>
      </c>
      <c r="E75" s="53">
        <v>26.3</v>
      </c>
      <c r="F75" s="53">
        <v>26.5</v>
      </c>
      <c r="G75" s="53">
        <v>26.5</v>
      </c>
      <c r="H75" s="53">
        <v>26.7</v>
      </c>
      <c r="I75" s="53">
        <v>26.9</v>
      </c>
      <c r="J75" s="53">
        <v>27.1</v>
      </c>
      <c r="K75" s="53">
        <v>26.8</v>
      </c>
      <c r="L75" s="53">
        <v>26.7</v>
      </c>
      <c r="M75" s="53">
        <v>26.9</v>
      </c>
      <c r="N75" s="53">
        <v>26.8</v>
      </c>
      <c r="O75" s="53">
        <v>26.9</v>
      </c>
      <c r="P75" s="53">
        <v>26.9</v>
      </c>
      <c r="Q75" s="53">
        <v>27.1</v>
      </c>
      <c r="R75" s="53">
        <v>27.4</v>
      </c>
      <c r="S75" s="53">
        <v>27.1</v>
      </c>
      <c r="T75" s="53">
        <v>27.5</v>
      </c>
      <c r="U75" s="53">
        <v>27.5</v>
      </c>
      <c r="V75" s="53">
        <v>27.6</v>
      </c>
      <c r="W75" s="53">
        <v>28.1</v>
      </c>
      <c r="X75" s="53">
        <v>28.2</v>
      </c>
      <c r="Y75" s="53">
        <v>28.4</v>
      </c>
      <c r="Z75" s="53">
        <v>28.6</v>
      </c>
      <c r="AA75" s="53">
        <v>29</v>
      </c>
      <c r="AB75" s="53">
        <v>29.3</v>
      </c>
      <c r="AC75" s="53">
        <v>29.2</v>
      </c>
      <c r="AD75" s="53">
        <v>29.5</v>
      </c>
      <c r="AE75" s="53">
        <v>29.5</v>
      </c>
      <c r="AF75" s="53">
        <v>29.8</v>
      </c>
      <c r="AG75" s="53">
        <v>29.8</v>
      </c>
      <c r="AH75" s="53">
        <v>30.5</v>
      </c>
      <c r="AI75" s="53">
        <v>30.4</v>
      </c>
      <c r="AJ75" s="1"/>
      <c r="AK75" s="1"/>
      <c r="AL75" s="1"/>
      <c r="AM75" s="1"/>
      <c r="AN75" s="1"/>
      <c r="AO75" s="1"/>
      <c r="AP75" s="1"/>
      <c r="AQ75" s="1"/>
      <c r="AR75" s="1"/>
      <c r="AS75" s="1"/>
      <c r="AT75" s="1"/>
      <c r="AU75" s="1"/>
      <c r="AV75" s="1"/>
      <c r="AW75" s="1"/>
      <c r="AX75" s="1"/>
      <c r="AY75" s="1"/>
    </row>
    <row r="76" spans="1:51">
      <c r="A76" s="136"/>
      <c r="B76" s="45"/>
      <c r="C76" s="60" t="s">
        <v>57</v>
      </c>
      <c r="D76" s="12">
        <v>23.9</v>
      </c>
      <c r="E76" s="12">
        <v>24.1</v>
      </c>
      <c r="F76" s="12">
        <v>24.4</v>
      </c>
      <c r="G76" s="12">
        <v>24.5</v>
      </c>
      <c r="H76" s="12">
        <v>24.5</v>
      </c>
      <c r="I76" s="12">
        <v>24.5</v>
      </c>
      <c r="J76" s="12">
        <v>24.8</v>
      </c>
      <c r="K76" s="12">
        <v>25</v>
      </c>
      <c r="L76" s="12">
        <v>25</v>
      </c>
      <c r="M76" s="12">
        <v>25.1</v>
      </c>
      <c r="N76" s="12">
        <v>25.1</v>
      </c>
      <c r="O76" s="12">
        <v>25.1</v>
      </c>
      <c r="P76" s="12">
        <v>25.3</v>
      </c>
      <c r="Q76" s="12">
        <v>25.3</v>
      </c>
      <c r="R76" s="12">
        <v>25.3</v>
      </c>
      <c r="S76" s="12">
        <v>25.3</v>
      </c>
      <c r="T76" s="12">
        <v>25.5</v>
      </c>
      <c r="U76" s="12">
        <v>25.6</v>
      </c>
      <c r="V76" s="12">
        <v>25.9</v>
      </c>
      <c r="W76" s="12">
        <v>25.9</v>
      </c>
      <c r="X76" s="12">
        <v>26.1</v>
      </c>
      <c r="Y76" s="12">
        <v>26.4</v>
      </c>
      <c r="Z76" s="12">
        <v>26.6</v>
      </c>
      <c r="AA76" s="12">
        <v>26.6</v>
      </c>
      <c r="AB76" s="12">
        <v>27</v>
      </c>
      <c r="AC76" s="12">
        <v>27.1</v>
      </c>
      <c r="AD76" s="12">
        <v>27.4</v>
      </c>
      <c r="AE76" s="12">
        <v>27.4</v>
      </c>
      <c r="AF76" s="51">
        <v>27.8</v>
      </c>
      <c r="AG76" s="12">
        <v>28</v>
      </c>
      <c r="AH76" s="12">
        <v>28.1</v>
      </c>
      <c r="AI76" s="12">
        <v>28.6</v>
      </c>
      <c r="AJ76" s="1"/>
      <c r="AK76" s="1"/>
      <c r="AL76" s="1"/>
      <c r="AM76" s="1"/>
      <c r="AN76" s="1"/>
      <c r="AO76" s="1"/>
      <c r="AP76" s="1"/>
      <c r="AQ76" s="1"/>
      <c r="AR76" s="1"/>
      <c r="AS76" s="1"/>
      <c r="AT76" s="1"/>
      <c r="AU76" s="1"/>
      <c r="AV76" s="1"/>
      <c r="AW76" s="1"/>
      <c r="AX76" s="1"/>
      <c r="AY76" s="1"/>
    </row>
    <row r="77" spans="1:51" s="2" customFormat="1">
      <c r="A77" s="57" t="s">
        <v>7</v>
      </c>
      <c r="B77" s="42"/>
      <c r="C77" s="11" t="s">
        <v>56</v>
      </c>
      <c r="D77" s="10">
        <v>24.6</v>
      </c>
      <c r="E77" s="10">
        <v>24.6</v>
      </c>
      <c r="F77" s="10">
        <v>24.9</v>
      </c>
      <c r="G77" s="10">
        <v>25.2</v>
      </c>
      <c r="H77" s="10">
        <v>25.7</v>
      </c>
      <c r="I77" s="10">
        <v>26.2</v>
      </c>
      <c r="J77" s="10">
        <v>26.4</v>
      </c>
      <c r="K77" s="10">
        <v>26.8</v>
      </c>
      <c r="L77" s="10">
        <v>26.9</v>
      </c>
      <c r="M77" s="10">
        <v>27.3</v>
      </c>
      <c r="N77" s="10">
        <v>28.5</v>
      </c>
      <c r="O77" s="10">
        <v>28.4</v>
      </c>
      <c r="P77" s="10">
        <v>28.2</v>
      </c>
      <c r="Q77" s="10">
        <v>28.5</v>
      </c>
      <c r="R77" s="10">
        <v>28.8</v>
      </c>
      <c r="S77" s="10">
        <v>29.1</v>
      </c>
      <c r="T77" s="10">
        <v>29.2</v>
      </c>
      <c r="U77" s="10">
        <v>29.1</v>
      </c>
      <c r="V77" s="10">
        <v>29.2</v>
      </c>
      <c r="W77" s="10">
        <v>29.4</v>
      </c>
      <c r="X77" s="10">
        <v>29.8</v>
      </c>
      <c r="Y77" s="10">
        <v>29.9</v>
      </c>
      <c r="Z77" s="52" t="s">
        <v>44</v>
      </c>
      <c r="AA77" s="52">
        <v>30</v>
      </c>
      <c r="AB77" s="52">
        <v>30.3</v>
      </c>
      <c r="AC77" s="10">
        <v>30.4</v>
      </c>
      <c r="AD77" s="10">
        <v>30.5</v>
      </c>
      <c r="AE77" s="52">
        <v>30.6</v>
      </c>
      <c r="AF77" s="53">
        <v>30.8</v>
      </c>
      <c r="AG77" s="52">
        <v>31</v>
      </c>
      <c r="AH77" s="52">
        <v>31.2</v>
      </c>
      <c r="AI77" s="52"/>
      <c r="AJ77" s="3"/>
      <c r="AK77" s="3"/>
      <c r="AL77" s="3"/>
      <c r="AM77" s="3"/>
      <c r="AN77" s="3"/>
      <c r="AO77" s="3"/>
      <c r="AP77" s="3"/>
      <c r="AQ77" s="3"/>
      <c r="AR77" s="3"/>
      <c r="AS77" s="3"/>
      <c r="AT77" s="3"/>
      <c r="AU77" s="3"/>
      <c r="AV77" s="3"/>
      <c r="AW77" s="3"/>
    </row>
    <row r="78" spans="1:51" s="5" customFormat="1">
      <c r="A78" s="57"/>
      <c r="B78" s="42"/>
      <c r="C78" s="48" t="s">
        <v>57</v>
      </c>
      <c r="D78" s="9">
        <v>21.5</v>
      </c>
      <c r="E78" s="9">
        <v>21.5</v>
      </c>
      <c r="F78" s="9">
        <v>21.7</v>
      </c>
      <c r="G78" s="9">
        <v>22</v>
      </c>
      <c r="H78" s="9">
        <v>22.4</v>
      </c>
      <c r="I78" s="9">
        <v>22.7</v>
      </c>
      <c r="J78" s="9">
        <v>23</v>
      </c>
      <c r="K78" s="9">
        <v>23.3</v>
      </c>
      <c r="L78" s="9">
        <v>23.4</v>
      </c>
      <c r="M78" s="9">
        <v>23.7</v>
      </c>
      <c r="N78" s="9">
        <v>24.7</v>
      </c>
      <c r="O78" s="9">
        <v>24.7</v>
      </c>
      <c r="P78" s="9">
        <v>24.6</v>
      </c>
      <c r="Q78" s="9">
        <v>25</v>
      </c>
      <c r="R78" s="9">
        <v>25.3</v>
      </c>
      <c r="S78" s="9">
        <v>25.6</v>
      </c>
      <c r="T78" s="9">
        <v>25.7</v>
      </c>
      <c r="U78" s="9">
        <v>25.8</v>
      </c>
      <c r="V78" s="9">
        <v>25.9</v>
      </c>
      <c r="W78" s="9">
        <v>26.2</v>
      </c>
      <c r="X78" s="9">
        <v>26.6</v>
      </c>
      <c r="Y78" s="9">
        <v>26.6</v>
      </c>
      <c r="Z78" s="51" t="s">
        <v>44</v>
      </c>
      <c r="AA78" s="51">
        <v>26.7</v>
      </c>
      <c r="AB78" s="51">
        <v>26.9</v>
      </c>
      <c r="AC78" s="9">
        <v>27</v>
      </c>
      <c r="AD78" s="9">
        <v>27.1</v>
      </c>
      <c r="AE78" s="51">
        <v>27.3</v>
      </c>
      <c r="AF78" s="51">
        <v>27.5</v>
      </c>
      <c r="AG78" s="51">
        <v>27.8</v>
      </c>
      <c r="AH78" s="51">
        <v>28.1</v>
      </c>
      <c r="AI78" s="51"/>
      <c r="AJ78" s="6"/>
      <c r="AK78" s="6"/>
      <c r="AL78" s="6"/>
      <c r="AM78" s="6"/>
      <c r="AN78" s="6"/>
      <c r="AO78" s="6"/>
      <c r="AP78" s="6"/>
      <c r="AQ78" s="6"/>
      <c r="AR78" s="6"/>
      <c r="AS78" s="6"/>
      <c r="AT78" s="6"/>
      <c r="AU78" s="6"/>
      <c r="AV78" s="6"/>
      <c r="AW78" s="6"/>
    </row>
    <row r="79" spans="1:51" s="2" customFormat="1">
      <c r="A79" s="58" t="s">
        <v>6</v>
      </c>
      <c r="B79" s="41"/>
      <c r="C79" s="22" t="s">
        <v>56</v>
      </c>
      <c r="D79" s="53" t="s">
        <v>44</v>
      </c>
      <c r="E79" s="53" t="s">
        <v>44</v>
      </c>
      <c r="F79" s="53" t="s">
        <v>44</v>
      </c>
      <c r="G79" s="53" t="s">
        <v>44</v>
      </c>
      <c r="H79" s="53" t="s">
        <v>44</v>
      </c>
      <c r="I79" s="53" t="s">
        <v>44</v>
      </c>
      <c r="J79" s="53" t="s">
        <v>44</v>
      </c>
      <c r="K79" s="53" t="s">
        <v>44</v>
      </c>
      <c r="L79" s="53" t="s">
        <v>44</v>
      </c>
      <c r="M79" s="53" t="s">
        <v>44</v>
      </c>
      <c r="N79" s="53" t="s">
        <v>44</v>
      </c>
      <c r="O79" s="26">
        <v>28.5</v>
      </c>
      <c r="P79" s="26">
        <v>28.8</v>
      </c>
      <c r="Q79" s="26">
        <v>29</v>
      </c>
      <c r="R79" s="26">
        <v>29.1</v>
      </c>
      <c r="S79" s="26">
        <v>29.4</v>
      </c>
      <c r="T79" s="26">
        <v>29.5</v>
      </c>
      <c r="U79" s="26">
        <v>29.7</v>
      </c>
      <c r="V79" s="26">
        <v>29.7</v>
      </c>
      <c r="W79" s="26">
        <v>29.8</v>
      </c>
      <c r="X79" s="26">
        <v>30</v>
      </c>
      <c r="Y79" s="26">
        <v>30.2</v>
      </c>
      <c r="Z79" s="26">
        <v>30.3</v>
      </c>
      <c r="AA79" s="53">
        <v>30.5</v>
      </c>
      <c r="AB79" s="53">
        <v>30.6</v>
      </c>
      <c r="AC79" s="26">
        <v>30.7</v>
      </c>
      <c r="AD79" s="26">
        <v>30.8</v>
      </c>
      <c r="AE79" s="53">
        <v>31</v>
      </c>
      <c r="AF79" s="53">
        <v>31</v>
      </c>
      <c r="AG79" s="53">
        <v>31.1</v>
      </c>
      <c r="AH79" s="53">
        <v>31.3</v>
      </c>
      <c r="AI79" s="53"/>
      <c r="AJ79" s="3"/>
      <c r="AK79" s="3"/>
      <c r="AL79" s="3"/>
      <c r="AM79" s="3"/>
      <c r="AN79" s="3"/>
      <c r="AO79" s="3"/>
      <c r="AP79" s="3"/>
      <c r="AQ79" s="3"/>
      <c r="AR79" s="3"/>
      <c r="AS79" s="3"/>
      <c r="AT79" s="3"/>
      <c r="AU79" s="3"/>
      <c r="AV79" s="3"/>
      <c r="AW79" s="3"/>
    </row>
    <row r="80" spans="1:51" s="5" customFormat="1">
      <c r="A80" s="57"/>
      <c r="B80" s="42"/>
      <c r="C80" s="48" t="s">
        <v>57</v>
      </c>
      <c r="D80" s="51" t="s">
        <v>44</v>
      </c>
      <c r="E80" s="51" t="s">
        <v>44</v>
      </c>
      <c r="F80" s="51" t="s">
        <v>44</v>
      </c>
      <c r="G80" s="51" t="s">
        <v>44</v>
      </c>
      <c r="H80" s="51" t="s">
        <v>44</v>
      </c>
      <c r="I80" s="51" t="s">
        <v>44</v>
      </c>
      <c r="J80" s="51" t="s">
        <v>44</v>
      </c>
      <c r="K80" s="51" t="s">
        <v>44</v>
      </c>
      <c r="L80" s="51" t="s">
        <v>44</v>
      </c>
      <c r="M80" s="51" t="s">
        <v>44</v>
      </c>
      <c r="N80" s="51" t="s">
        <v>44</v>
      </c>
      <c r="O80" s="9">
        <v>25.4</v>
      </c>
      <c r="P80" s="9">
        <v>25.6</v>
      </c>
      <c r="Q80" s="9">
        <v>25.8</v>
      </c>
      <c r="R80" s="9">
        <v>26</v>
      </c>
      <c r="S80" s="9">
        <v>26.2</v>
      </c>
      <c r="T80" s="9">
        <v>26.3</v>
      </c>
      <c r="U80" s="9">
        <v>26.6</v>
      </c>
      <c r="V80" s="9">
        <v>26.6</v>
      </c>
      <c r="W80" s="9">
        <v>26.9</v>
      </c>
      <c r="X80" s="9">
        <v>27.1</v>
      </c>
      <c r="Y80" s="9">
        <v>27.3</v>
      </c>
      <c r="Z80" s="9">
        <v>27.3</v>
      </c>
      <c r="AA80" s="51">
        <v>27.6</v>
      </c>
      <c r="AB80" s="51">
        <v>27.8</v>
      </c>
      <c r="AC80" s="9">
        <v>27.9</v>
      </c>
      <c r="AD80" s="9">
        <v>28</v>
      </c>
      <c r="AE80" s="51">
        <v>28.2</v>
      </c>
      <c r="AF80" s="51">
        <v>28.3</v>
      </c>
      <c r="AG80" s="51">
        <v>28.5</v>
      </c>
      <c r="AH80" s="51">
        <v>28.7</v>
      </c>
      <c r="AI80" s="51"/>
      <c r="AJ80" s="6"/>
      <c r="AK80" s="6"/>
      <c r="AL80" s="6"/>
      <c r="AM80" s="6"/>
      <c r="AN80" s="6"/>
      <c r="AO80" s="6"/>
      <c r="AP80" s="6"/>
      <c r="AQ80" s="6"/>
      <c r="AR80" s="6"/>
      <c r="AS80" s="6"/>
      <c r="AT80" s="6"/>
      <c r="AU80" s="6"/>
      <c r="AV80" s="6"/>
      <c r="AW80" s="6"/>
    </row>
    <row r="81" spans="1:79" s="2" customFormat="1">
      <c r="A81" s="58" t="s">
        <v>5</v>
      </c>
      <c r="B81" s="41" t="s">
        <v>88</v>
      </c>
      <c r="C81" s="22" t="s">
        <v>56</v>
      </c>
      <c r="D81" s="26">
        <v>27.9</v>
      </c>
      <c r="E81" s="26">
        <v>27.5</v>
      </c>
      <c r="F81" s="26">
        <v>27.9</v>
      </c>
      <c r="G81" s="26">
        <v>27.9</v>
      </c>
      <c r="H81" s="26">
        <v>28.4</v>
      </c>
      <c r="I81" s="26">
        <v>28.2</v>
      </c>
      <c r="J81" s="26">
        <v>28.6</v>
      </c>
      <c r="K81" s="26">
        <v>28.7</v>
      </c>
      <c r="L81" s="26">
        <v>28.9</v>
      </c>
      <c r="M81" s="26">
        <v>29</v>
      </c>
      <c r="N81" s="26">
        <v>29.3</v>
      </c>
      <c r="O81" s="26">
        <v>29.7</v>
      </c>
      <c r="P81" s="26">
        <v>30.1</v>
      </c>
      <c r="Q81" s="26">
        <v>30.5</v>
      </c>
      <c r="R81" s="26">
        <v>30.1</v>
      </c>
      <c r="S81" s="26">
        <v>29.9</v>
      </c>
      <c r="T81" s="26">
        <v>30.4</v>
      </c>
      <c r="U81" s="53" t="s">
        <v>44</v>
      </c>
      <c r="V81" s="53" t="s">
        <v>44</v>
      </c>
      <c r="W81" s="53" t="s">
        <v>44</v>
      </c>
      <c r="X81" s="53" t="s">
        <v>44</v>
      </c>
      <c r="Y81" s="53" t="s">
        <v>44</v>
      </c>
      <c r="Z81" s="53" t="s">
        <v>44</v>
      </c>
      <c r="AA81" s="53" t="s">
        <v>44</v>
      </c>
      <c r="AB81" s="53" t="s">
        <v>44</v>
      </c>
      <c r="AC81" s="53" t="s">
        <v>44</v>
      </c>
      <c r="AD81" s="53" t="s">
        <v>44</v>
      </c>
      <c r="AE81" s="53" t="s">
        <v>44</v>
      </c>
      <c r="AF81" s="53" t="s">
        <v>44</v>
      </c>
      <c r="AG81" s="53" t="s">
        <v>44</v>
      </c>
      <c r="AH81" s="53" t="s">
        <v>44</v>
      </c>
      <c r="AI81" s="53"/>
      <c r="AJ81" s="3"/>
      <c r="AK81" s="3"/>
      <c r="AL81" s="3"/>
      <c r="AM81" s="3"/>
      <c r="AN81" s="3"/>
      <c r="AO81" s="3"/>
      <c r="AP81" s="3"/>
      <c r="AQ81" s="3"/>
      <c r="AR81" s="3"/>
      <c r="AS81" s="3"/>
      <c r="AT81" s="3"/>
      <c r="AU81" s="3"/>
      <c r="AV81" s="3"/>
      <c r="AW81" s="3"/>
    </row>
    <row r="82" spans="1:79" s="5" customFormat="1">
      <c r="A82" s="57"/>
      <c r="B82" s="42"/>
      <c r="C82" s="48" t="s">
        <v>57</v>
      </c>
      <c r="D82" s="9">
        <v>24.9</v>
      </c>
      <c r="E82" s="9">
        <v>24.6</v>
      </c>
      <c r="F82" s="9">
        <v>25.4</v>
      </c>
      <c r="G82" s="9">
        <v>25.2</v>
      </c>
      <c r="H82" s="9">
        <v>25.8</v>
      </c>
      <c r="I82" s="9">
        <v>25.7</v>
      </c>
      <c r="J82" s="9">
        <v>26</v>
      </c>
      <c r="K82" s="9">
        <v>26.2</v>
      </c>
      <c r="L82" s="9">
        <v>26.4</v>
      </c>
      <c r="M82" s="9">
        <v>26.4</v>
      </c>
      <c r="N82" s="9">
        <v>26.9</v>
      </c>
      <c r="O82" s="9">
        <v>27.2</v>
      </c>
      <c r="P82" s="9">
        <v>27.3</v>
      </c>
      <c r="Q82" s="9">
        <v>27.8</v>
      </c>
      <c r="R82" s="9">
        <v>27.3</v>
      </c>
      <c r="S82" s="9">
        <v>27.3</v>
      </c>
      <c r="T82" s="9">
        <v>27.7</v>
      </c>
      <c r="U82" s="51" t="s">
        <v>44</v>
      </c>
      <c r="V82" s="51" t="s">
        <v>44</v>
      </c>
      <c r="W82" s="51" t="s">
        <v>44</v>
      </c>
      <c r="X82" s="51" t="s">
        <v>44</v>
      </c>
      <c r="Y82" s="51" t="s">
        <v>44</v>
      </c>
      <c r="Z82" s="51" t="s">
        <v>44</v>
      </c>
      <c r="AA82" s="51" t="s">
        <v>44</v>
      </c>
      <c r="AB82" s="51" t="s">
        <v>44</v>
      </c>
      <c r="AC82" s="51" t="s">
        <v>44</v>
      </c>
      <c r="AD82" s="51" t="s">
        <v>44</v>
      </c>
      <c r="AE82" s="51" t="s">
        <v>44</v>
      </c>
      <c r="AF82" s="51" t="s">
        <v>44</v>
      </c>
      <c r="AG82" s="51" t="s">
        <v>44</v>
      </c>
      <c r="AH82" s="51" t="s">
        <v>44</v>
      </c>
      <c r="AI82" s="51"/>
      <c r="AJ82" s="6"/>
      <c r="AK82" s="6"/>
      <c r="AL82" s="6"/>
      <c r="AM82" s="6"/>
      <c r="AN82" s="6"/>
      <c r="AO82" s="6"/>
      <c r="AP82" s="6"/>
      <c r="AQ82" s="6"/>
      <c r="AR82" s="6"/>
      <c r="AS82" s="6"/>
      <c r="AT82" s="6"/>
      <c r="AU82" s="6"/>
      <c r="AV82" s="6"/>
      <c r="AW82" s="6"/>
    </row>
    <row r="83" spans="1:79" s="2" customFormat="1">
      <c r="A83" s="58" t="s">
        <v>2</v>
      </c>
      <c r="B83" s="41"/>
      <c r="C83" s="22" t="s">
        <v>56</v>
      </c>
      <c r="D83" s="26">
        <v>27.2</v>
      </c>
      <c r="E83" s="26">
        <v>27.6</v>
      </c>
      <c r="F83" s="26">
        <v>27.7</v>
      </c>
      <c r="G83" s="26">
        <v>27.5</v>
      </c>
      <c r="H83" s="26">
        <v>27.7</v>
      </c>
      <c r="I83" s="26">
        <v>28.1</v>
      </c>
      <c r="J83" s="26">
        <v>27.9</v>
      </c>
      <c r="K83" s="53" t="s">
        <v>44</v>
      </c>
      <c r="L83" s="53" t="s">
        <v>44</v>
      </c>
      <c r="M83" s="53" t="s">
        <v>44</v>
      </c>
      <c r="N83" s="53" t="s">
        <v>44</v>
      </c>
      <c r="O83" s="53" t="s">
        <v>44</v>
      </c>
      <c r="P83" s="53" t="s">
        <v>44</v>
      </c>
      <c r="Q83" s="26">
        <v>29.3</v>
      </c>
      <c r="R83" s="26">
        <v>29.7</v>
      </c>
      <c r="S83" s="53" t="s">
        <v>44</v>
      </c>
      <c r="T83" s="26">
        <v>30.4</v>
      </c>
      <c r="U83" s="26">
        <v>30.2</v>
      </c>
      <c r="V83" s="26">
        <v>30.8</v>
      </c>
      <c r="W83" s="26">
        <v>31.1</v>
      </c>
      <c r="X83" s="26">
        <v>31.3</v>
      </c>
      <c r="Y83" s="53">
        <v>31.6</v>
      </c>
      <c r="Z83" s="53" t="s">
        <v>44</v>
      </c>
      <c r="AA83" s="53" t="s">
        <v>44</v>
      </c>
      <c r="AB83" s="53" t="s">
        <v>44</v>
      </c>
      <c r="AC83" s="53" t="s">
        <v>44</v>
      </c>
      <c r="AD83" s="53" t="s">
        <v>44</v>
      </c>
      <c r="AE83" s="53" t="s">
        <v>44</v>
      </c>
      <c r="AF83" s="53" t="s">
        <v>44</v>
      </c>
      <c r="AG83" s="53" t="s">
        <v>44</v>
      </c>
      <c r="AH83" s="53" t="s">
        <v>44</v>
      </c>
      <c r="AI83" s="53"/>
      <c r="AJ83" s="3"/>
      <c r="AK83" s="3"/>
      <c r="AL83" s="3"/>
      <c r="AM83" s="3"/>
      <c r="AN83" s="3"/>
      <c r="AO83" s="3"/>
      <c r="AP83" s="3"/>
      <c r="AQ83" s="3"/>
      <c r="AR83" s="3"/>
      <c r="AS83" s="3"/>
      <c r="AT83" s="3"/>
      <c r="AU83" s="3"/>
      <c r="AV83" s="3"/>
      <c r="AW83" s="3"/>
    </row>
    <row r="84" spans="1:79" s="5" customFormat="1">
      <c r="A84" s="57"/>
      <c r="B84" s="42"/>
      <c r="C84" s="48" t="s">
        <v>57</v>
      </c>
      <c r="D84" s="9">
        <v>24.6</v>
      </c>
      <c r="E84" s="9">
        <v>24.9</v>
      </c>
      <c r="F84" s="9">
        <v>25.1</v>
      </c>
      <c r="G84" s="9">
        <v>25</v>
      </c>
      <c r="H84" s="9">
        <v>25.3</v>
      </c>
      <c r="I84" s="9">
        <v>25.6</v>
      </c>
      <c r="J84" s="9">
        <v>25.6</v>
      </c>
      <c r="K84" s="51" t="s">
        <v>44</v>
      </c>
      <c r="L84" s="51" t="s">
        <v>44</v>
      </c>
      <c r="M84" s="51" t="s">
        <v>44</v>
      </c>
      <c r="N84" s="51" t="s">
        <v>44</v>
      </c>
      <c r="O84" s="51" t="s">
        <v>44</v>
      </c>
      <c r="P84" s="51" t="s">
        <v>44</v>
      </c>
      <c r="Q84" s="9">
        <v>26.8</v>
      </c>
      <c r="R84" s="9">
        <v>27.3</v>
      </c>
      <c r="S84" s="51" t="s">
        <v>44</v>
      </c>
      <c r="T84" s="9">
        <v>27.8</v>
      </c>
      <c r="U84" s="9">
        <v>28.1</v>
      </c>
      <c r="V84" s="9">
        <v>28.5</v>
      </c>
      <c r="W84" s="9">
        <v>28.7</v>
      </c>
      <c r="X84" s="9">
        <v>28.6</v>
      </c>
      <c r="Y84" s="51">
        <v>29.2</v>
      </c>
      <c r="Z84" s="51" t="s">
        <v>44</v>
      </c>
      <c r="AA84" s="51" t="s">
        <v>44</v>
      </c>
      <c r="AB84" s="51" t="s">
        <v>44</v>
      </c>
      <c r="AC84" s="51" t="s">
        <v>44</v>
      </c>
      <c r="AD84" s="51" t="s">
        <v>44</v>
      </c>
      <c r="AE84" s="51" t="s">
        <v>44</v>
      </c>
      <c r="AF84" s="51" t="s">
        <v>44</v>
      </c>
      <c r="AG84" s="51" t="s">
        <v>44</v>
      </c>
      <c r="AH84" s="51" t="s">
        <v>44</v>
      </c>
      <c r="AI84" s="51"/>
      <c r="AJ84" s="6"/>
      <c r="AK84" s="6"/>
      <c r="AL84" s="6"/>
      <c r="AM84" s="6"/>
      <c r="AN84" s="6"/>
      <c r="AO84" s="6"/>
      <c r="AP84" s="6"/>
      <c r="AQ84" s="6"/>
      <c r="AR84" s="6"/>
      <c r="AS84" s="6"/>
      <c r="AT84" s="6"/>
      <c r="AU84" s="6"/>
      <c r="AV84" s="6"/>
      <c r="AW84" s="6"/>
    </row>
    <row r="85" spans="1:79" s="2" customFormat="1">
      <c r="A85" s="58" t="s">
        <v>1</v>
      </c>
      <c r="B85" s="41"/>
      <c r="C85" s="22" t="s">
        <v>56</v>
      </c>
      <c r="D85" s="26">
        <v>25.6</v>
      </c>
      <c r="E85" s="26">
        <v>25.6</v>
      </c>
      <c r="F85" s="26">
        <v>25.7</v>
      </c>
      <c r="G85" s="26">
        <v>25.8</v>
      </c>
      <c r="H85" s="26">
        <v>26</v>
      </c>
      <c r="I85" s="26">
        <v>26.5</v>
      </c>
      <c r="J85" s="26">
        <v>26.5</v>
      </c>
      <c r="K85" s="26">
        <v>26.6</v>
      </c>
      <c r="L85" s="26">
        <v>26.9</v>
      </c>
      <c r="M85" s="26">
        <v>27</v>
      </c>
      <c r="N85" s="26">
        <v>27.3</v>
      </c>
      <c r="O85" s="26">
        <v>27.6</v>
      </c>
      <c r="P85" s="26">
        <v>27.7</v>
      </c>
      <c r="Q85" s="26">
        <v>28</v>
      </c>
      <c r="R85" s="26">
        <v>28.7</v>
      </c>
      <c r="S85" s="26">
        <v>28.8</v>
      </c>
      <c r="T85" s="26">
        <v>28.8</v>
      </c>
      <c r="U85" s="26">
        <v>30</v>
      </c>
      <c r="V85" s="26">
        <v>29.1</v>
      </c>
      <c r="W85" s="26">
        <v>28.9</v>
      </c>
      <c r="X85" s="26">
        <v>29</v>
      </c>
      <c r="Y85" s="26">
        <v>29.2</v>
      </c>
      <c r="Z85" s="53" t="s">
        <v>44</v>
      </c>
      <c r="AA85" s="53">
        <v>29.7</v>
      </c>
      <c r="AB85" s="53">
        <v>30.2</v>
      </c>
      <c r="AC85" s="26">
        <v>30.3</v>
      </c>
      <c r="AD85" s="26">
        <v>30.4</v>
      </c>
      <c r="AE85" s="53">
        <v>31</v>
      </c>
      <c r="AF85" s="53">
        <v>31.8</v>
      </c>
      <c r="AG85" s="53">
        <v>31.7</v>
      </c>
      <c r="AH85" s="53">
        <v>30.6</v>
      </c>
      <c r="AI85" s="53"/>
      <c r="AJ85" s="3"/>
      <c r="AK85" s="3"/>
      <c r="AL85" s="3"/>
      <c r="AM85" s="3"/>
      <c r="AN85" s="3"/>
      <c r="AO85" s="3"/>
      <c r="AP85" s="3"/>
      <c r="AQ85" s="3"/>
      <c r="AR85" s="3"/>
      <c r="AS85" s="3"/>
      <c r="AT85" s="3"/>
      <c r="AU85" s="3"/>
      <c r="AV85" s="3"/>
      <c r="AW85" s="3"/>
    </row>
    <row r="86" spans="1:79" s="5" customFormat="1">
      <c r="A86" s="59"/>
      <c r="B86" s="46"/>
      <c r="C86" s="60" t="s">
        <v>57</v>
      </c>
      <c r="D86" s="35">
        <v>22.4</v>
      </c>
      <c r="E86" s="35">
        <v>22.3</v>
      </c>
      <c r="F86" s="35">
        <v>22.4</v>
      </c>
      <c r="G86" s="35">
        <v>22.5</v>
      </c>
      <c r="H86" s="35">
        <v>22.7</v>
      </c>
      <c r="I86" s="35">
        <v>23.1</v>
      </c>
      <c r="J86" s="35">
        <v>23.1</v>
      </c>
      <c r="K86" s="35">
        <v>23.2</v>
      </c>
      <c r="L86" s="35">
        <v>23.4</v>
      </c>
      <c r="M86" s="35">
        <v>23.4</v>
      </c>
      <c r="N86" s="35">
        <v>23.7</v>
      </c>
      <c r="O86" s="35">
        <v>23.9</v>
      </c>
      <c r="P86" s="35">
        <v>24.1</v>
      </c>
      <c r="Q86" s="35">
        <v>24.4</v>
      </c>
      <c r="R86" s="35">
        <v>25</v>
      </c>
      <c r="S86" s="35">
        <v>25.1</v>
      </c>
      <c r="T86" s="35">
        <v>25.2</v>
      </c>
      <c r="U86" s="35">
        <v>26.2</v>
      </c>
      <c r="V86" s="35">
        <v>25.6</v>
      </c>
      <c r="W86" s="35">
        <v>25.5</v>
      </c>
      <c r="X86" s="35">
        <v>25.6</v>
      </c>
      <c r="Y86" s="35">
        <v>25.8</v>
      </c>
      <c r="Z86" s="35" t="s">
        <v>44</v>
      </c>
      <c r="AA86" s="35">
        <v>26.3</v>
      </c>
      <c r="AB86" s="35">
        <v>26.7</v>
      </c>
      <c r="AC86" s="35">
        <v>26.8</v>
      </c>
      <c r="AD86" s="35">
        <v>27</v>
      </c>
      <c r="AE86" s="35">
        <v>27.5</v>
      </c>
      <c r="AF86" s="35">
        <v>28.4</v>
      </c>
      <c r="AG86" s="35">
        <v>28.3</v>
      </c>
      <c r="AH86" s="35">
        <v>27.3</v>
      </c>
      <c r="AI86" s="35"/>
      <c r="AJ86" s="6"/>
      <c r="AK86" s="6"/>
      <c r="AL86" s="6"/>
      <c r="AM86" s="6"/>
      <c r="AN86" s="6"/>
      <c r="AO86" s="6"/>
      <c r="AP86" s="6"/>
      <c r="AQ86" s="6"/>
      <c r="AR86" s="6"/>
      <c r="AS86" s="6"/>
      <c r="AT86" s="6"/>
      <c r="AU86" s="6"/>
      <c r="AV86" s="6"/>
      <c r="AW86" s="6"/>
    </row>
    <row r="87" spans="1:79" s="38" customFormat="1">
      <c r="A87" s="73"/>
      <c r="B87" s="115"/>
      <c r="C87" s="115"/>
      <c r="D87" s="72"/>
      <c r="E87" s="72"/>
      <c r="F87" s="72"/>
      <c r="G87" s="72"/>
      <c r="H87" s="72"/>
      <c r="I87" s="72"/>
      <c r="J87" s="72"/>
      <c r="K87" s="72"/>
      <c r="L87" s="72"/>
      <c r="M87" s="72"/>
      <c r="N87" s="72"/>
      <c r="O87" s="72"/>
      <c r="P87" s="72"/>
      <c r="Q87" s="72"/>
      <c r="R87" s="72"/>
      <c r="S87" s="72"/>
      <c r="T87" s="72"/>
      <c r="U87" s="72"/>
      <c r="V87" s="72"/>
      <c r="W87" s="72"/>
      <c r="X87" s="72"/>
      <c r="Y87" s="72"/>
      <c r="Z87" s="29"/>
      <c r="AA87" s="29"/>
      <c r="AB87" s="29"/>
      <c r="AC87" s="29"/>
      <c r="AD87" s="29"/>
      <c r="AE87" s="29"/>
      <c r="AF87" s="29"/>
      <c r="AG87" s="137"/>
      <c r="AH87" s="137"/>
      <c r="AI87" s="137"/>
      <c r="AJ87" s="29"/>
      <c r="AK87" s="29"/>
      <c r="AL87" s="29"/>
      <c r="AM87" s="29"/>
      <c r="AN87" s="29"/>
      <c r="AO87" s="29"/>
      <c r="AP87" s="29"/>
      <c r="AQ87" s="29"/>
      <c r="AR87" s="29"/>
      <c r="AS87" s="29"/>
      <c r="AT87" s="29"/>
      <c r="AU87" s="29"/>
      <c r="AV87" s="29"/>
      <c r="AW87" s="29"/>
    </row>
    <row r="88" spans="1:79" s="38" customFormat="1">
      <c r="A88" s="73" t="s">
        <v>0</v>
      </c>
      <c r="B88" s="115"/>
      <c r="C88" s="115"/>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29"/>
      <c r="AG88" s="137"/>
      <c r="AH88" s="137"/>
      <c r="AI88" s="137"/>
      <c r="AJ88" s="29"/>
      <c r="AK88" s="29"/>
      <c r="AL88" s="29"/>
      <c r="AM88" s="29"/>
      <c r="AN88" s="29"/>
      <c r="AO88" s="29"/>
      <c r="AP88" s="29"/>
      <c r="AQ88" s="29"/>
      <c r="AR88" s="29"/>
      <c r="AS88" s="29"/>
      <c r="AT88" s="29"/>
      <c r="AU88" s="29"/>
      <c r="AV88" s="29"/>
      <c r="AW88" s="29"/>
    </row>
    <row r="89" spans="1:79" s="38" customFormat="1">
      <c r="A89" s="411" t="s">
        <v>93</v>
      </c>
      <c r="B89" s="411"/>
      <c r="C89" s="411"/>
      <c r="D89" s="411"/>
      <c r="E89" s="411"/>
      <c r="F89" s="411"/>
      <c r="G89" s="411"/>
      <c r="H89" s="411"/>
      <c r="I89" s="411"/>
      <c r="J89" s="411"/>
      <c r="K89" s="411"/>
      <c r="L89" s="411"/>
      <c r="M89" s="411"/>
      <c r="N89" s="411"/>
      <c r="O89" s="411"/>
      <c r="P89" s="411"/>
      <c r="Q89" s="411"/>
      <c r="R89" s="411"/>
      <c r="S89" s="411"/>
      <c r="T89" s="411"/>
      <c r="U89" s="411"/>
      <c r="V89" s="411"/>
      <c r="W89" s="411"/>
      <c r="X89" s="411"/>
      <c r="Y89" s="411"/>
      <c r="Z89" s="411"/>
      <c r="AA89" s="411"/>
      <c r="AB89" s="411"/>
      <c r="AC89" s="411"/>
      <c r="AD89" s="411"/>
      <c r="AE89" s="29"/>
      <c r="AF89" s="29"/>
      <c r="AG89" s="138"/>
      <c r="AH89" s="138"/>
      <c r="AI89" s="138"/>
      <c r="AJ89" s="29"/>
      <c r="AK89" s="29"/>
      <c r="AL89" s="29"/>
      <c r="AM89" s="29"/>
      <c r="AN89" s="29"/>
      <c r="AO89" s="29"/>
      <c r="AP89" s="29"/>
      <c r="AQ89" s="29"/>
      <c r="AR89" s="29"/>
      <c r="AS89" s="29"/>
      <c r="AT89" s="29"/>
      <c r="AU89" s="29"/>
      <c r="AV89" s="29"/>
      <c r="AW89" s="29"/>
    </row>
    <row r="90" spans="1:79" s="38" customFormat="1">
      <c r="A90" s="411" t="s">
        <v>94</v>
      </c>
      <c r="B90" s="411"/>
      <c r="C90" s="411"/>
      <c r="D90" s="411"/>
      <c r="E90" s="411"/>
      <c r="F90" s="411"/>
      <c r="G90" s="411"/>
      <c r="H90" s="411"/>
      <c r="I90" s="411"/>
      <c r="J90" s="411"/>
      <c r="K90" s="411"/>
      <c r="L90" s="411"/>
      <c r="M90" s="411"/>
      <c r="N90" s="411"/>
      <c r="O90" s="411"/>
      <c r="P90" s="411"/>
      <c r="Q90" s="411"/>
      <c r="R90" s="411"/>
      <c r="S90" s="411"/>
      <c r="T90" s="411"/>
      <c r="U90" s="411"/>
      <c r="V90" s="411"/>
      <c r="W90" s="411"/>
      <c r="X90" s="411"/>
      <c r="Y90" s="411"/>
      <c r="Z90" s="411"/>
      <c r="AA90" s="411"/>
      <c r="AB90" s="411"/>
      <c r="AC90" s="411"/>
      <c r="AD90" s="411"/>
      <c r="AE90" s="29"/>
      <c r="AF90" s="29"/>
      <c r="AG90" s="138"/>
      <c r="AH90" s="138"/>
      <c r="AI90" s="138"/>
      <c r="AJ90" s="29"/>
      <c r="AK90" s="29"/>
      <c r="AL90" s="29"/>
      <c r="AM90" s="29"/>
      <c r="AN90" s="29"/>
      <c r="AO90" s="29"/>
      <c r="AP90" s="29"/>
      <c r="AQ90" s="29"/>
      <c r="AR90" s="29"/>
      <c r="AS90" s="29"/>
      <c r="AT90" s="29"/>
      <c r="AU90" s="29"/>
      <c r="AV90" s="29"/>
    </row>
    <row r="91" spans="1:79" s="38" customFormat="1">
      <c r="A91" s="410" t="s">
        <v>95</v>
      </c>
      <c r="B91" s="410"/>
      <c r="C91" s="410"/>
      <c r="D91" s="410"/>
      <c r="E91" s="410"/>
      <c r="F91" s="410"/>
      <c r="G91" s="410"/>
      <c r="H91" s="410"/>
      <c r="I91" s="410"/>
      <c r="J91" s="410"/>
      <c r="K91" s="410"/>
      <c r="L91" s="410"/>
      <c r="M91" s="410"/>
      <c r="N91" s="410"/>
      <c r="O91" s="410"/>
      <c r="P91" s="410"/>
      <c r="Q91" s="410"/>
      <c r="R91" s="410"/>
      <c r="S91" s="410"/>
      <c r="T91" s="410"/>
      <c r="U91" s="410"/>
      <c r="V91" s="410"/>
      <c r="W91" s="410"/>
      <c r="X91" s="410"/>
      <c r="Y91" s="410"/>
      <c r="Z91" s="410"/>
      <c r="AA91" s="410"/>
      <c r="AB91" s="410"/>
      <c r="AC91" s="410"/>
      <c r="AD91" s="410"/>
      <c r="AE91" s="114"/>
      <c r="AF91" s="29"/>
      <c r="AG91" s="138"/>
      <c r="AH91" s="138"/>
      <c r="AI91" s="138"/>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row>
    <row r="92" spans="1:79" s="38" customFormat="1">
      <c r="A92" s="410" t="s">
        <v>96</v>
      </c>
      <c r="B92" s="410"/>
      <c r="C92" s="410"/>
      <c r="D92" s="410"/>
      <c r="E92" s="410"/>
      <c r="F92" s="410"/>
      <c r="G92" s="410"/>
      <c r="H92" s="410"/>
      <c r="I92" s="410"/>
      <c r="J92" s="410"/>
      <c r="K92" s="410"/>
      <c r="L92" s="410"/>
      <c r="M92" s="410"/>
      <c r="N92" s="410"/>
      <c r="O92" s="410"/>
      <c r="P92" s="410"/>
      <c r="Q92" s="410"/>
      <c r="R92" s="410"/>
      <c r="S92" s="410"/>
      <c r="T92" s="410"/>
      <c r="U92" s="410"/>
      <c r="V92" s="410"/>
      <c r="W92" s="410"/>
      <c r="X92" s="410"/>
      <c r="Y92" s="410"/>
      <c r="Z92" s="410"/>
      <c r="AA92" s="410"/>
      <c r="AB92" s="410"/>
      <c r="AC92" s="410"/>
      <c r="AD92" s="410"/>
      <c r="AE92" s="114"/>
      <c r="AF92" s="29"/>
      <c r="AG92" s="138"/>
      <c r="AH92" s="138"/>
      <c r="AI92" s="138"/>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row>
    <row r="93" spans="1:79" s="38" customFormat="1">
      <c r="A93" s="410"/>
      <c r="B93" s="410"/>
      <c r="C93" s="410"/>
      <c r="D93" s="410"/>
      <c r="E93" s="410"/>
      <c r="F93" s="410"/>
      <c r="G93" s="410"/>
      <c r="H93" s="410"/>
      <c r="I93" s="410"/>
      <c r="J93" s="410"/>
      <c r="K93" s="410"/>
      <c r="L93" s="410"/>
      <c r="M93" s="410"/>
      <c r="N93" s="410"/>
      <c r="O93" s="410"/>
      <c r="P93" s="410"/>
      <c r="Q93" s="410"/>
      <c r="R93" s="410"/>
      <c r="S93" s="410"/>
      <c r="T93" s="410"/>
      <c r="U93" s="410"/>
      <c r="V93" s="410"/>
      <c r="W93" s="410"/>
      <c r="X93" s="410"/>
      <c r="Y93" s="410"/>
      <c r="Z93" s="410"/>
      <c r="AA93" s="410"/>
      <c r="AB93" s="410"/>
      <c r="AC93" s="410"/>
      <c r="AD93" s="410"/>
      <c r="AE93" s="114"/>
      <c r="AF93" s="29"/>
      <c r="AG93" s="138"/>
      <c r="AH93" s="138"/>
      <c r="AI93" s="138"/>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row>
    <row r="94" spans="1:79" s="38" customFormat="1" ht="12.75" customHeight="1">
      <c r="A94" s="405" t="s">
        <v>97</v>
      </c>
      <c r="B94" s="405"/>
      <c r="C94" s="405"/>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29"/>
      <c r="AF94" s="29"/>
      <c r="AG94" s="138"/>
      <c r="AH94" s="138"/>
      <c r="AI94" s="138"/>
      <c r="AJ94" s="29"/>
      <c r="AK94" s="29"/>
      <c r="AL94" s="29"/>
      <c r="AM94" s="29"/>
      <c r="AN94" s="29"/>
      <c r="AO94" s="29"/>
      <c r="AP94" s="29"/>
      <c r="AQ94" s="29"/>
      <c r="AR94" s="29"/>
      <c r="AS94" s="29"/>
      <c r="AT94" s="29"/>
      <c r="AU94" s="29"/>
      <c r="AV94" s="29"/>
      <c r="AW94" s="29"/>
    </row>
    <row r="95" spans="1:79" s="38" customFormat="1">
      <c r="A95" s="405"/>
      <c r="B95" s="405"/>
      <c r="C95" s="405"/>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29"/>
      <c r="AF95" s="29"/>
      <c r="AG95" s="138"/>
      <c r="AH95" s="138"/>
      <c r="AI95" s="138"/>
      <c r="AJ95" s="29"/>
      <c r="AK95" s="29"/>
      <c r="AL95" s="29"/>
      <c r="AM95" s="29"/>
      <c r="AN95" s="29"/>
      <c r="AO95" s="29"/>
      <c r="AP95" s="29"/>
      <c r="AQ95" s="29"/>
      <c r="AR95" s="29"/>
      <c r="AS95" s="29"/>
      <c r="AT95" s="29"/>
      <c r="AU95" s="29"/>
      <c r="AV95" s="29"/>
      <c r="AW95" s="29"/>
    </row>
    <row r="96" spans="1:79" s="38" customFormat="1" ht="12.75" customHeight="1">
      <c r="A96" s="404" t="s">
        <v>98</v>
      </c>
      <c r="B96" s="404"/>
      <c r="C96" s="404"/>
      <c r="D96" s="404"/>
      <c r="E96" s="404"/>
      <c r="F96" s="404"/>
      <c r="G96" s="404"/>
      <c r="H96" s="404"/>
      <c r="I96" s="404"/>
      <c r="J96" s="404"/>
      <c r="K96" s="404"/>
      <c r="L96" s="404"/>
      <c r="M96" s="404"/>
      <c r="N96" s="404"/>
      <c r="O96" s="404"/>
      <c r="P96" s="404"/>
      <c r="Q96" s="404"/>
      <c r="R96" s="404"/>
      <c r="S96" s="404"/>
      <c r="T96" s="404"/>
      <c r="U96" s="404"/>
      <c r="V96" s="404"/>
      <c r="W96" s="404"/>
      <c r="X96" s="404"/>
      <c r="Y96" s="404"/>
      <c r="Z96" s="404"/>
      <c r="AA96" s="404"/>
      <c r="AB96" s="404"/>
      <c r="AC96" s="404"/>
      <c r="AD96" s="404"/>
      <c r="AE96" s="29"/>
      <c r="AF96" s="29"/>
      <c r="AG96" s="138"/>
      <c r="AH96" s="138"/>
      <c r="AI96" s="138"/>
      <c r="AJ96" s="29"/>
      <c r="AK96" s="29"/>
      <c r="AL96" s="29"/>
      <c r="AM96" s="29"/>
      <c r="AN96" s="29"/>
      <c r="AO96" s="29"/>
      <c r="AP96" s="29"/>
      <c r="AQ96" s="29"/>
      <c r="AR96" s="29"/>
      <c r="AS96" s="29"/>
      <c r="AT96" s="29"/>
      <c r="AU96" s="29"/>
      <c r="AV96" s="29"/>
      <c r="AW96" s="29"/>
    </row>
    <row r="97" spans="1:80" s="38" customFormat="1">
      <c r="A97" s="404"/>
      <c r="B97" s="404"/>
      <c r="C97" s="404"/>
      <c r="D97" s="404"/>
      <c r="E97" s="404"/>
      <c r="F97" s="404"/>
      <c r="G97" s="404"/>
      <c r="H97" s="404"/>
      <c r="I97" s="404"/>
      <c r="J97" s="404"/>
      <c r="K97" s="404"/>
      <c r="L97" s="404"/>
      <c r="M97" s="404"/>
      <c r="N97" s="404"/>
      <c r="O97" s="404"/>
      <c r="P97" s="404"/>
      <c r="Q97" s="404"/>
      <c r="R97" s="404"/>
      <c r="S97" s="404"/>
      <c r="T97" s="404"/>
      <c r="U97" s="404"/>
      <c r="V97" s="404"/>
      <c r="W97" s="404"/>
      <c r="X97" s="404"/>
      <c r="Y97" s="404"/>
      <c r="Z97" s="404"/>
      <c r="AA97" s="404"/>
      <c r="AB97" s="404"/>
      <c r="AC97" s="404"/>
      <c r="AD97" s="404"/>
      <c r="AE97" s="29"/>
      <c r="AF97" s="29"/>
      <c r="AG97" s="138"/>
      <c r="AH97" s="138"/>
      <c r="AI97" s="138"/>
      <c r="AJ97" s="29"/>
      <c r="AK97" s="29"/>
      <c r="AL97" s="29"/>
      <c r="AM97" s="29"/>
      <c r="AN97" s="29"/>
      <c r="AO97" s="29"/>
      <c r="AP97" s="29"/>
      <c r="AQ97" s="29"/>
      <c r="AR97" s="29"/>
      <c r="AS97" s="29"/>
      <c r="AT97" s="29"/>
      <c r="AU97" s="29"/>
      <c r="AV97" s="29"/>
      <c r="AW97" s="29"/>
    </row>
    <row r="98" spans="1:80" s="40" customFormat="1" ht="12.75" customHeight="1">
      <c r="A98" s="404" t="s">
        <v>99</v>
      </c>
      <c r="B98" s="404"/>
      <c r="C98" s="404"/>
      <c r="D98" s="404"/>
      <c r="E98" s="404"/>
      <c r="F98" s="404"/>
      <c r="G98" s="404"/>
      <c r="H98" s="404"/>
      <c r="I98" s="404"/>
      <c r="J98" s="404"/>
      <c r="K98" s="404"/>
      <c r="L98" s="404"/>
      <c r="M98" s="404"/>
      <c r="N98" s="404"/>
      <c r="O98" s="404"/>
      <c r="P98" s="404"/>
      <c r="Q98" s="404"/>
      <c r="R98" s="404"/>
      <c r="S98" s="404"/>
      <c r="T98" s="404"/>
      <c r="U98" s="404"/>
      <c r="V98" s="404"/>
      <c r="W98" s="404"/>
      <c r="X98" s="404"/>
      <c r="Y98" s="404"/>
      <c r="Z98" s="404"/>
      <c r="AA98" s="404"/>
      <c r="AB98" s="404"/>
      <c r="AC98" s="404"/>
      <c r="AD98" s="404"/>
      <c r="AE98" s="29"/>
      <c r="AF98" s="29"/>
      <c r="AG98" s="138"/>
      <c r="AH98" s="138"/>
      <c r="AI98" s="138"/>
      <c r="AJ98" s="29"/>
      <c r="AK98" s="29"/>
      <c r="AL98" s="29"/>
      <c r="AM98" s="29"/>
      <c r="AN98" s="29"/>
      <c r="AO98" s="29"/>
      <c r="AP98" s="29"/>
      <c r="AQ98" s="29"/>
      <c r="AR98" s="29"/>
      <c r="AS98" s="29"/>
      <c r="AT98" s="29"/>
      <c r="AU98" s="29"/>
      <c r="AV98" s="29"/>
      <c r="AW98" s="29"/>
      <c r="AX98" s="38"/>
    </row>
    <row r="99" spans="1:80" s="40" customFormat="1">
      <c r="A99" s="404"/>
      <c r="B99" s="404"/>
      <c r="C99" s="404"/>
      <c r="D99" s="404"/>
      <c r="E99" s="404"/>
      <c r="F99" s="404"/>
      <c r="G99" s="404"/>
      <c r="H99" s="404"/>
      <c r="I99" s="404"/>
      <c r="J99" s="404"/>
      <c r="K99" s="404"/>
      <c r="L99" s="404"/>
      <c r="M99" s="404"/>
      <c r="N99" s="404"/>
      <c r="O99" s="404"/>
      <c r="P99" s="404"/>
      <c r="Q99" s="404"/>
      <c r="R99" s="404"/>
      <c r="S99" s="404"/>
      <c r="T99" s="404"/>
      <c r="U99" s="404"/>
      <c r="V99" s="404"/>
      <c r="W99" s="404"/>
      <c r="X99" s="404"/>
      <c r="Y99" s="404"/>
      <c r="Z99" s="404"/>
      <c r="AA99" s="404"/>
      <c r="AB99" s="404"/>
      <c r="AC99" s="404"/>
      <c r="AD99" s="404"/>
      <c r="AE99" s="29"/>
      <c r="AF99" s="29"/>
      <c r="AG99" s="138"/>
      <c r="AH99" s="138"/>
      <c r="AI99" s="138"/>
      <c r="AJ99" s="29"/>
      <c r="AK99" s="29"/>
      <c r="AL99" s="29"/>
      <c r="AM99" s="29"/>
      <c r="AN99" s="29"/>
      <c r="AO99" s="29"/>
      <c r="AP99" s="29"/>
      <c r="AQ99" s="29"/>
      <c r="AR99" s="29"/>
      <c r="AS99" s="29"/>
      <c r="AT99" s="29"/>
      <c r="AU99" s="29"/>
      <c r="AV99" s="29"/>
      <c r="AW99" s="29"/>
      <c r="AX99" s="38"/>
    </row>
    <row r="100" spans="1:80" s="40" customFormat="1">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29"/>
      <c r="AF100" s="29"/>
      <c r="AG100" s="138"/>
      <c r="AH100" s="138"/>
      <c r="AI100" s="138"/>
      <c r="AJ100" s="29"/>
      <c r="AK100" s="29"/>
      <c r="AL100" s="29"/>
      <c r="AM100" s="29"/>
      <c r="AN100" s="29"/>
      <c r="AO100" s="29"/>
      <c r="AP100" s="29"/>
      <c r="AQ100" s="29"/>
      <c r="AR100" s="29"/>
      <c r="AS100" s="29"/>
      <c r="AT100" s="29"/>
      <c r="AU100" s="29"/>
      <c r="AV100" s="29"/>
      <c r="AW100" s="29"/>
      <c r="AX100" s="38"/>
    </row>
    <row r="101" spans="1:80" s="40" customFormat="1">
      <c r="A101" s="122" t="s">
        <v>92</v>
      </c>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9"/>
      <c r="AA101" s="29"/>
      <c r="AB101" s="29"/>
      <c r="AC101" s="29"/>
      <c r="AD101" s="29"/>
      <c r="AE101" s="29"/>
      <c r="AF101" s="29"/>
      <c r="AG101" s="138"/>
      <c r="AH101" s="138"/>
      <c r="AI101" s="138"/>
      <c r="AJ101" s="29"/>
      <c r="AK101" s="29"/>
      <c r="AL101" s="29"/>
      <c r="AM101" s="29"/>
      <c r="AN101" s="29"/>
      <c r="AO101" s="29"/>
      <c r="AP101" s="29"/>
      <c r="AQ101" s="29"/>
      <c r="AR101" s="29"/>
      <c r="AS101" s="29"/>
      <c r="AT101" s="29"/>
      <c r="AU101" s="29"/>
      <c r="AV101" s="29"/>
      <c r="AW101" s="29"/>
      <c r="AX101" s="38"/>
    </row>
    <row r="102" spans="1:80" s="40" customFormat="1">
      <c r="A102" s="30" t="s">
        <v>59</v>
      </c>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29"/>
      <c r="AA102" s="29"/>
      <c r="AB102" s="29"/>
      <c r="AC102" s="29"/>
      <c r="AD102" s="29"/>
      <c r="AE102" s="29"/>
      <c r="AF102" s="29"/>
      <c r="AG102" s="138"/>
      <c r="AH102" s="138"/>
      <c r="AI102" s="138"/>
      <c r="AJ102" s="29"/>
      <c r="AK102" s="29"/>
      <c r="AL102" s="29"/>
      <c r="AM102" s="29"/>
      <c r="AN102" s="29"/>
      <c r="AO102" s="29"/>
      <c r="AP102" s="29"/>
      <c r="AQ102" s="29"/>
      <c r="AR102" s="29"/>
      <c r="AS102" s="29"/>
      <c r="AT102" s="29"/>
      <c r="AU102" s="29"/>
      <c r="AV102" s="29"/>
      <c r="AW102" s="29"/>
      <c r="AX102" s="29"/>
      <c r="AY102" s="38"/>
    </row>
    <row r="103" spans="1:80" s="40" customFormat="1">
      <c r="A103" s="116" t="s">
        <v>60</v>
      </c>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29"/>
      <c r="AA103" s="29"/>
      <c r="AB103" s="29"/>
      <c r="AC103" s="29"/>
      <c r="AD103" s="29"/>
      <c r="AE103" s="29"/>
      <c r="AF103" s="29"/>
      <c r="AG103" s="138"/>
      <c r="AH103" s="138"/>
      <c r="AI103" s="138"/>
      <c r="AJ103" s="29"/>
      <c r="AK103" s="29"/>
      <c r="AL103" s="29"/>
      <c r="AM103" s="29"/>
      <c r="AN103" s="29"/>
      <c r="AO103" s="29"/>
      <c r="AP103" s="29"/>
      <c r="AQ103" s="29"/>
      <c r="AR103" s="29"/>
      <c r="AS103" s="29"/>
      <c r="AT103" s="29"/>
      <c r="AU103" s="29"/>
      <c r="AV103" s="29"/>
      <c r="AW103" s="29"/>
      <c r="AX103" s="29"/>
      <c r="AY103" s="38"/>
    </row>
    <row r="104" spans="1:80" s="40" customFormat="1" ht="13.5">
      <c r="A104" s="116" t="s">
        <v>87</v>
      </c>
      <c r="B104" s="39"/>
      <c r="C104" s="39"/>
      <c r="D104" s="39"/>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29"/>
      <c r="AG104" s="138"/>
      <c r="AH104" s="138"/>
      <c r="AI104" s="138"/>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38"/>
    </row>
    <row r="105" spans="1:80" s="40" customFormat="1">
      <c r="A105" s="116" t="s">
        <v>84</v>
      </c>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29"/>
      <c r="AA105" s="29"/>
      <c r="AB105" s="29"/>
      <c r="AC105" s="29"/>
      <c r="AD105" s="29"/>
      <c r="AE105" s="29"/>
      <c r="AF105" s="29"/>
      <c r="AG105" s="138"/>
      <c r="AH105" s="138"/>
      <c r="AI105" s="138"/>
      <c r="AJ105" s="29"/>
      <c r="AK105" s="29"/>
      <c r="AL105" s="29"/>
      <c r="AM105" s="29"/>
      <c r="AN105" s="29"/>
      <c r="AO105" s="29"/>
      <c r="AP105" s="29"/>
      <c r="AQ105" s="29"/>
      <c r="AR105" s="29"/>
      <c r="AS105" s="29"/>
      <c r="AT105" s="29"/>
      <c r="AU105" s="29"/>
      <c r="AV105" s="29"/>
      <c r="AW105" s="29"/>
      <c r="AX105" s="38"/>
    </row>
    <row r="106" spans="1:80" s="40" customFormat="1">
      <c r="A106" s="116" t="s">
        <v>82</v>
      </c>
      <c r="B106" s="30"/>
      <c r="C106" s="30"/>
      <c r="D106" s="30"/>
      <c r="E106" s="30"/>
      <c r="F106" s="30"/>
      <c r="G106" s="30"/>
      <c r="H106" s="30"/>
      <c r="I106" s="30"/>
      <c r="J106" s="30"/>
      <c r="K106" s="30"/>
      <c r="L106" s="29"/>
      <c r="M106" s="29"/>
      <c r="N106" s="29"/>
      <c r="O106" s="29"/>
      <c r="P106" s="30"/>
      <c r="Q106" s="30"/>
      <c r="R106" s="30"/>
      <c r="S106" s="30"/>
      <c r="T106" s="30"/>
      <c r="U106" s="30"/>
      <c r="V106" s="30"/>
      <c r="W106" s="30"/>
      <c r="X106" s="30"/>
      <c r="Y106" s="30"/>
      <c r="Z106" s="30"/>
      <c r="AA106" s="30"/>
      <c r="AB106" s="30"/>
      <c r="AC106" s="30"/>
      <c r="AD106" s="30"/>
      <c r="AE106" s="30"/>
      <c r="AF106" s="149"/>
      <c r="AG106" s="138"/>
      <c r="AH106" s="138"/>
      <c r="AI106" s="138"/>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38"/>
    </row>
    <row r="107" spans="1:80" s="75" customFormat="1" ht="13.5">
      <c r="A107" s="151" t="s">
        <v>47</v>
      </c>
      <c r="B107" s="31"/>
      <c r="C107" s="31"/>
      <c r="D107" s="31"/>
      <c r="E107" s="31"/>
      <c r="F107" s="31"/>
      <c r="G107" s="31"/>
      <c r="H107" s="31"/>
      <c r="I107" s="31"/>
      <c r="J107" s="31"/>
      <c r="K107" s="31"/>
      <c r="L107" s="29"/>
      <c r="M107" s="29"/>
      <c r="N107" s="29"/>
      <c r="O107" s="29"/>
      <c r="P107" s="31"/>
      <c r="Q107" s="31"/>
      <c r="R107" s="32"/>
      <c r="S107" s="32"/>
      <c r="T107" s="32"/>
      <c r="U107" s="32"/>
      <c r="V107" s="32"/>
      <c r="W107" s="32"/>
      <c r="X107" s="32"/>
      <c r="Y107" s="32"/>
      <c r="Z107" s="32"/>
      <c r="AA107" s="32"/>
      <c r="AB107" s="32"/>
      <c r="AC107" s="32"/>
      <c r="AD107" s="32"/>
      <c r="AE107" s="32"/>
      <c r="AF107" s="150"/>
      <c r="AG107" s="138"/>
      <c r="AH107" s="138"/>
      <c r="AI107" s="138"/>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row>
    <row r="108" spans="1:80" s="75" customFormat="1" ht="13.5">
      <c r="A108" s="31" t="s">
        <v>65</v>
      </c>
      <c r="B108" s="31"/>
      <c r="C108" s="31"/>
      <c r="D108" s="31"/>
      <c r="E108" s="31"/>
      <c r="F108" s="31"/>
      <c r="G108" s="31"/>
      <c r="H108" s="31"/>
      <c r="I108" s="31"/>
      <c r="J108" s="31"/>
      <c r="K108" s="31"/>
      <c r="L108" s="29"/>
      <c r="M108" s="29"/>
      <c r="N108" s="29"/>
      <c r="O108" s="29"/>
      <c r="P108" s="31"/>
      <c r="Q108" s="31"/>
      <c r="R108" s="32"/>
      <c r="S108" s="32"/>
      <c r="T108" s="32"/>
      <c r="U108" s="32"/>
      <c r="V108" s="32"/>
      <c r="W108" s="32"/>
      <c r="X108" s="32"/>
      <c r="Y108" s="32"/>
      <c r="Z108" s="32"/>
      <c r="AA108" s="32"/>
      <c r="AB108" s="32"/>
      <c r="AC108" s="32"/>
      <c r="AD108" s="32"/>
      <c r="AE108" s="32"/>
      <c r="AF108" s="150"/>
      <c r="AG108" s="140"/>
      <c r="AH108" s="140"/>
      <c r="AI108" s="140"/>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row>
    <row r="109" spans="1:80" s="75" customFormat="1" ht="13.5">
      <c r="A109" s="31" t="s">
        <v>66</v>
      </c>
      <c r="B109" s="31"/>
      <c r="C109" s="31"/>
      <c r="D109" s="31"/>
      <c r="E109" s="31"/>
      <c r="F109" s="31"/>
      <c r="G109" s="31"/>
      <c r="H109" s="31"/>
      <c r="I109" s="31"/>
      <c r="J109" s="31"/>
      <c r="K109" s="31"/>
      <c r="L109" s="29"/>
      <c r="M109" s="29"/>
      <c r="N109" s="29"/>
      <c r="O109" s="29"/>
      <c r="P109" s="31"/>
      <c r="Q109" s="32"/>
      <c r="R109" s="32"/>
      <c r="S109" s="32"/>
      <c r="T109" s="32"/>
      <c r="U109" s="32"/>
      <c r="V109" s="32"/>
      <c r="W109" s="32"/>
      <c r="X109" s="32"/>
      <c r="Y109" s="32"/>
      <c r="Z109" s="32"/>
      <c r="AA109" s="32"/>
      <c r="AB109" s="32"/>
      <c r="AC109" s="32"/>
      <c r="AD109" s="32"/>
      <c r="AE109" s="32"/>
      <c r="AF109" s="150"/>
      <c r="AG109" s="141"/>
      <c r="AH109" s="141"/>
      <c r="AI109" s="141"/>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row>
    <row r="110" spans="1:80" s="75" customFormat="1" ht="13.5">
      <c r="A110" s="31" t="s">
        <v>64</v>
      </c>
      <c r="B110" s="31"/>
      <c r="C110" s="31"/>
      <c r="D110" s="31"/>
      <c r="E110" s="31"/>
      <c r="F110" s="31"/>
      <c r="G110" s="31"/>
      <c r="H110" s="29"/>
      <c r="I110" s="31"/>
      <c r="J110" s="31"/>
      <c r="K110" s="32"/>
      <c r="L110" s="32"/>
      <c r="M110" s="32"/>
      <c r="N110" s="32"/>
      <c r="O110" s="32"/>
      <c r="P110" s="32"/>
      <c r="Q110" s="32"/>
      <c r="R110" s="32"/>
      <c r="S110" s="32"/>
      <c r="T110" s="32"/>
      <c r="U110" s="32"/>
      <c r="V110" s="32"/>
      <c r="W110" s="32"/>
      <c r="X110" s="32"/>
      <c r="Y110" s="32"/>
      <c r="Z110" s="32"/>
      <c r="AA110" s="32"/>
      <c r="AB110" s="32"/>
      <c r="AC110" s="32"/>
      <c r="AD110" s="33"/>
      <c r="AE110" s="33"/>
      <c r="AF110" s="33"/>
      <c r="AG110" s="141"/>
      <c r="AH110" s="141"/>
      <c r="AI110" s="141"/>
      <c r="AJ110" s="33"/>
      <c r="AK110" s="33"/>
      <c r="AL110" s="33"/>
      <c r="AM110" s="33"/>
      <c r="AN110" s="33"/>
      <c r="AO110" s="33"/>
      <c r="AP110" s="33"/>
      <c r="AQ110" s="33"/>
      <c r="AR110" s="33"/>
      <c r="AS110" s="33"/>
      <c r="AT110" s="33"/>
      <c r="AU110" s="33"/>
      <c r="AV110" s="33"/>
      <c r="AW110" s="33"/>
      <c r="AX110" s="33"/>
      <c r="AY110" s="33"/>
    </row>
    <row r="111" spans="1:80" s="40" customFormat="1">
      <c r="A111" s="81" t="s">
        <v>46</v>
      </c>
      <c r="B111" s="34"/>
      <c r="C111" s="34"/>
      <c r="D111" s="34"/>
      <c r="E111" s="34"/>
      <c r="F111" s="34"/>
      <c r="G111" s="34"/>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141"/>
      <c r="AH111" s="141"/>
      <c r="AI111" s="141"/>
      <c r="AJ111" s="29"/>
      <c r="AK111" s="29"/>
      <c r="AL111" s="29"/>
      <c r="AM111" s="29"/>
      <c r="AN111" s="29"/>
      <c r="AO111" s="29"/>
      <c r="AP111" s="29"/>
      <c r="AQ111" s="29"/>
      <c r="AR111" s="29"/>
      <c r="AS111" s="29"/>
      <c r="AT111" s="29"/>
      <c r="AU111" s="29"/>
      <c r="AV111" s="29"/>
      <c r="AW111" s="29"/>
      <c r="AX111" s="29"/>
      <c r="AY111" s="29"/>
      <c r="AZ111" s="29"/>
      <c r="BA111" s="38"/>
    </row>
    <row r="112" spans="1:80" s="29" customFormat="1">
      <c r="A112" s="186" t="s">
        <v>63</v>
      </c>
      <c r="B112" s="120"/>
      <c r="C112" s="120"/>
      <c r="D112" s="120"/>
      <c r="E112" s="120"/>
      <c r="F112" s="120"/>
      <c r="G112" s="120"/>
      <c r="AG112" s="139"/>
      <c r="AH112" s="139"/>
      <c r="AI112" s="139"/>
    </row>
    <row r="113" spans="1:51" s="29" customFormat="1">
      <c r="A113" s="40"/>
      <c r="B113" s="34"/>
      <c r="C113" s="34"/>
      <c r="AG113" s="138"/>
      <c r="AH113" s="138"/>
      <c r="AI113" s="138"/>
    </row>
    <row r="114" spans="1:51" s="40" customFormat="1">
      <c r="B114" s="34"/>
      <c r="C114" s="34"/>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138"/>
      <c r="AH114" s="138"/>
      <c r="AI114" s="138"/>
    </row>
    <row r="115" spans="1:51" s="40" customFormat="1">
      <c r="B115" s="34"/>
      <c r="C115" s="34"/>
      <c r="D115" s="121"/>
      <c r="E115" s="121"/>
      <c r="F115" s="121"/>
      <c r="G115" s="121"/>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138"/>
      <c r="AH115" s="138"/>
      <c r="AI115" s="138"/>
    </row>
    <row r="116" spans="1:51" s="40" customFormat="1">
      <c r="B116" s="34"/>
      <c r="C116" s="34"/>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138"/>
      <c r="AH116" s="138"/>
      <c r="AI116" s="138"/>
    </row>
    <row r="117" spans="1:51" s="40" customFormat="1">
      <c r="B117" s="34"/>
      <c r="C117" s="34"/>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138"/>
      <c r="AH117" s="138"/>
      <c r="AI117" s="138"/>
    </row>
    <row r="118" spans="1:51" s="40" customForma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38"/>
      <c r="AF118" s="29"/>
      <c r="AG118" s="138"/>
      <c r="AH118" s="138"/>
      <c r="AI118" s="138"/>
    </row>
    <row r="119" spans="1:51" s="40" customFormat="1">
      <c r="A119" s="107"/>
      <c r="B119" s="107"/>
      <c r="C119" s="107"/>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138"/>
      <c r="AH119" s="138"/>
      <c r="AI119" s="138"/>
    </row>
    <row r="120" spans="1:51" s="40" customFormat="1">
      <c r="B120" s="34"/>
      <c r="C120" s="34"/>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138"/>
      <c r="AH120" s="138"/>
      <c r="AI120" s="138"/>
      <c r="AJ120" s="29"/>
      <c r="AK120" s="29"/>
      <c r="AL120" s="29"/>
      <c r="AM120" s="29"/>
      <c r="AN120" s="29"/>
      <c r="AO120" s="29"/>
      <c r="AP120" s="29"/>
      <c r="AQ120" s="29"/>
      <c r="AR120" s="29"/>
      <c r="AS120" s="29"/>
      <c r="AT120" s="29"/>
      <c r="AU120" s="29"/>
      <c r="AV120" s="29"/>
      <c r="AW120" s="29"/>
      <c r="AX120" s="29"/>
      <c r="AY120" s="38"/>
    </row>
    <row r="121" spans="1:51" s="40" customFormat="1">
      <c r="B121" s="34"/>
      <c r="C121" s="34"/>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138"/>
      <c r="AH121" s="138"/>
      <c r="AI121" s="138"/>
      <c r="AJ121" s="29"/>
      <c r="AK121" s="29"/>
      <c r="AL121" s="29"/>
      <c r="AM121" s="29"/>
      <c r="AN121" s="29"/>
      <c r="AO121" s="29"/>
      <c r="AP121" s="29"/>
      <c r="AQ121" s="29"/>
      <c r="AR121" s="29"/>
      <c r="AS121" s="29"/>
      <c r="AT121" s="29"/>
      <c r="AU121" s="29"/>
      <c r="AV121" s="29"/>
      <c r="AW121" s="29"/>
      <c r="AX121" s="29"/>
      <c r="AY121" s="38"/>
    </row>
    <row r="122" spans="1:51" s="40" customFormat="1">
      <c r="B122" s="34"/>
      <c r="C122" s="34"/>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138"/>
      <c r="AH122" s="138"/>
      <c r="AI122" s="138"/>
      <c r="AJ122" s="29"/>
      <c r="AK122" s="29"/>
      <c r="AL122" s="29"/>
      <c r="AM122" s="29"/>
      <c r="AN122" s="29"/>
      <c r="AO122" s="29"/>
      <c r="AP122" s="29"/>
      <c r="AQ122" s="29"/>
      <c r="AR122" s="29"/>
      <c r="AS122" s="29"/>
      <c r="AT122" s="29"/>
      <c r="AU122" s="29"/>
      <c r="AV122" s="29"/>
      <c r="AW122" s="29"/>
      <c r="AX122" s="29"/>
      <c r="AY122" s="38"/>
    </row>
    <row r="123" spans="1:51">
      <c r="AG123" s="138"/>
      <c r="AH123" s="138"/>
      <c r="AI123" s="138"/>
    </row>
    <row r="124" spans="1:51">
      <c r="AG124" s="138"/>
      <c r="AH124" s="138"/>
      <c r="AI124" s="138"/>
    </row>
  </sheetData>
  <sortState xmlns:xlrd2="http://schemas.microsoft.com/office/spreadsheetml/2017/richdata2" ref="AG10:AN51">
    <sortCondition ref="AG10:AG51"/>
  </sortState>
  <mergeCells count="10">
    <mergeCell ref="A2:AG2"/>
    <mergeCell ref="A1:AG1"/>
    <mergeCell ref="A93:AD93"/>
    <mergeCell ref="A98:AD99"/>
    <mergeCell ref="A91:AD91"/>
    <mergeCell ref="A92:AD92"/>
    <mergeCell ref="A89:AD89"/>
    <mergeCell ref="A90:AD90"/>
    <mergeCell ref="A94:AD95"/>
    <mergeCell ref="A96:AD97"/>
  </mergeCells>
  <phoneticPr fontId="7" type="noConversion"/>
  <hyperlinks>
    <hyperlink ref="A102" r:id="rId1" display="Source: for EU countries: Eurostat Demographic Statistics; " xr:uid="{00000000-0004-0000-0600-000000000000}"/>
    <hyperlink ref="A103" r:id="rId2" xr:uid="{00000000-0004-0000-0600-000001000000}"/>
    <hyperlink ref="A112:G112" r:id="rId3" display="for the United States, US Census Bureau" xr:uid="{00000000-0004-0000-0600-000002000000}"/>
    <hyperlink ref="A110" r:id="rId4" xr:uid="{00000000-0004-0000-0600-000003000000}"/>
    <hyperlink ref="A107" r:id="rId5" xr:uid="{00000000-0004-0000-0600-000004000000}"/>
    <hyperlink ref="A108" r:id="rId6" xr:uid="{00000000-0004-0000-0600-000005000000}"/>
    <hyperlink ref="A111" r:id="rId7" xr:uid="{00000000-0004-0000-0600-000006000000}"/>
    <hyperlink ref="A105" r:id="rId8" xr:uid="{00000000-0004-0000-0600-000007000000}"/>
    <hyperlink ref="A106" r:id="rId9" xr:uid="{00000000-0004-0000-0600-000008000000}"/>
    <hyperlink ref="A109" r:id="rId10" xr:uid="{00000000-0004-0000-0600-000009000000}"/>
    <hyperlink ref="A104" r:id="rId11" display="for Canada, Statistics Canda" xr:uid="{00000000-0004-0000-0600-00000A000000}"/>
    <hyperlink ref="A112" r:id="rId12" xr:uid="{00000000-0004-0000-0600-00000B000000}"/>
  </hyperlinks>
  <pageMargins left="0.70866141732283472" right="0.70866141732283472" top="0.74803149606299213" bottom="0.74803149606299213" header="0.31496062992125984" footer="0.31496062992125984"/>
  <pageSetup paperSize="9" scale="64" fitToHeight="2" orientation="landscape" r:id="rId13"/>
  <headerFooter>
    <oddHeader>&amp;LOECD Family database (www.oecd.org/els/social/family/database.htm)</oddHead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pageSetUpPr fitToPage="1"/>
  </sheetPr>
  <dimension ref="A1:CI86"/>
  <sheetViews>
    <sheetView showGridLines="0" zoomScale="70" zoomScaleNormal="70" workbookViewId="0">
      <pane xSplit="3" ySplit="4" topLeftCell="D5" activePane="bottomRight" state="frozen"/>
      <selection pane="topRight" activeCell="C1" sqref="C1"/>
      <selection pane="bottomLeft" activeCell="A5" sqref="A5"/>
      <selection pane="bottomRight" activeCell="B2" sqref="B2:BI2"/>
    </sheetView>
  </sheetViews>
  <sheetFormatPr defaultColWidth="9.140625" defaultRowHeight="12.75"/>
  <cols>
    <col min="1" max="1" width="0" style="144" hidden="1" customWidth="1"/>
    <col min="2" max="2" width="16.85546875" style="1" customWidth="1"/>
    <col min="3" max="33" width="4.140625" style="4" customWidth="1"/>
    <col min="34" max="63" width="4.140625" style="3" customWidth="1"/>
    <col min="64" max="66" width="5.140625" style="3" bestFit="1" customWidth="1"/>
    <col min="67" max="67" width="7.42578125" style="3" bestFit="1" customWidth="1"/>
    <col min="68" max="68" width="5" style="3" customWidth="1"/>
    <col min="69" max="82" width="5" style="3" bestFit="1" customWidth="1"/>
    <col min="83" max="84" width="5" style="3" customWidth="1"/>
    <col min="85" max="85" width="10" style="2" customWidth="1"/>
    <col min="86" max="16384" width="9.140625" style="1"/>
  </cols>
  <sheetData>
    <row r="1" spans="1:85">
      <c r="B1" s="406" t="s">
        <v>49</v>
      </c>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c r="AW1" s="406"/>
      <c r="AX1" s="406"/>
      <c r="AY1" s="406"/>
      <c r="AZ1" s="406"/>
      <c r="BA1" s="406"/>
      <c r="BB1" s="406"/>
      <c r="BC1" s="406"/>
      <c r="BD1" s="406"/>
      <c r="BE1" s="406"/>
      <c r="BF1" s="406"/>
      <c r="BG1" s="406"/>
      <c r="BH1" s="406"/>
      <c r="BI1" s="406"/>
      <c r="BV1" s="2"/>
      <c r="BW1" s="1"/>
      <c r="BX1" s="1"/>
      <c r="BY1" s="1"/>
      <c r="BZ1" s="1"/>
      <c r="CA1" s="1"/>
      <c r="CB1" s="1"/>
      <c r="CC1" s="1"/>
      <c r="CD1" s="1"/>
      <c r="CE1" s="1"/>
      <c r="CF1" s="1"/>
      <c r="CG1" s="1"/>
    </row>
    <row r="2" spans="1:85" ht="13.5" thickBot="1">
      <c r="B2" s="407" t="s">
        <v>236</v>
      </c>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CG2" s="3"/>
    </row>
    <row r="3" spans="1:85">
      <c r="B3" s="63"/>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5" t="s">
        <v>43</v>
      </c>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50"/>
      <c r="BP3" s="50"/>
      <c r="BQ3" s="1"/>
      <c r="BR3" s="1"/>
      <c r="BS3" s="1"/>
      <c r="BT3" s="1"/>
      <c r="BU3" s="1"/>
      <c r="BV3" s="1"/>
      <c r="BW3" s="1"/>
      <c r="BX3" s="1"/>
      <c r="BY3" s="1"/>
      <c r="BZ3" s="1"/>
      <c r="CA3" s="1"/>
      <c r="CB3" s="1"/>
      <c r="CC3" s="1"/>
      <c r="CD3" s="1"/>
      <c r="CE3" s="1"/>
      <c r="CF3" s="1"/>
      <c r="CG3" s="1"/>
    </row>
    <row r="4" spans="1:85" ht="12.75" customHeight="1">
      <c r="B4" s="66" t="s">
        <v>42</v>
      </c>
      <c r="C4" s="67" t="s">
        <v>41</v>
      </c>
      <c r="D4" s="68">
        <v>1960</v>
      </c>
      <c r="E4" s="68">
        <v>1961</v>
      </c>
      <c r="F4" s="68">
        <v>1962</v>
      </c>
      <c r="G4" s="68">
        <v>1963</v>
      </c>
      <c r="H4" s="68">
        <v>1964</v>
      </c>
      <c r="I4" s="68">
        <v>1965</v>
      </c>
      <c r="J4" s="68">
        <v>1966</v>
      </c>
      <c r="K4" s="68">
        <v>1967</v>
      </c>
      <c r="L4" s="68">
        <v>1968</v>
      </c>
      <c r="M4" s="68">
        <v>1969</v>
      </c>
      <c r="N4" s="68">
        <v>1970</v>
      </c>
      <c r="O4" s="68">
        <v>1971</v>
      </c>
      <c r="P4" s="68">
        <v>1972</v>
      </c>
      <c r="Q4" s="68">
        <v>1973</v>
      </c>
      <c r="R4" s="68">
        <v>1974</v>
      </c>
      <c r="S4" s="68">
        <v>1975</v>
      </c>
      <c r="T4" s="68">
        <v>1976</v>
      </c>
      <c r="U4" s="68">
        <v>1977</v>
      </c>
      <c r="V4" s="68">
        <v>1978</v>
      </c>
      <c r="W4" s="68">
        <v>1979</v>
      </c>
      <c r="X4" s="68">
        <v>1980</v>
      </c>
      <c r="Y4" s="68">
        <v>1981</v>
      </c>
      <c r="Z4" s="68">
        <v>1982</v>
      </c>
      <c r="AA4" s="68">
        <v>1983</v>
      </c>
      <c r="AB4" s="68">
        <v>1984</v>
      </c>
      <c r="AC4" s="68">
        <v>1985</v>
      </c>
      <c r="AD4" s="68">
        <v>1986</v>
      </c>
      <c r="AE4" s="68">
        <v>1987</v>
      </c>
      <c r="AF4" s="68">
        <v>1988</v>
      </c>
      <c r="AG4" s="68">
        <v>1989</v>
      </c>
      <c r="AH4" s="68">
        <v>1990</v>
      </c>
      <c r="AI4" s="68">
        <v>1991</v>
      </c>
      <c r="AJ4" s="68">
        <v>1992</v>
      </c>
      <c r="AK4" s="68">
        <v>1993</v>
      </c>
      <c r="AL4" s="68">
        <v>1994</v>
      </c>
      <c r="AM4" s="68">
        <v>1995</v>
      </c>
      <c r="AN4" s="68">
        <v>1996</v>
      </c>
      <c r="AO4" s="68">
        <v>1997</v>
      </c>
      <c r="AP4" s="68">
        <v>1998</v>
      </c>
      <c r="AQ4" s="68">
        <v>1999</v>
      </c>
      <c r="AR4" s="68">
        <v>2000</v>
      </c>
      <c r="AS4" s="68">
        <v>2001</v>
      </c>
      <c r="AT4" s="68">
        <v>2002</v>
      </c>
      <c r="AU4" s="68">
        <v>2003</v>
      </c>
      <c r="AV4" s="68">
        <v>2004</v>
      </c>
      <c r="AW4" s="68">
        <v>2005</v>
      </c>
      <c r="AX4" s="68">
        <v>2006</v>
      </c>
      <c r="AY4" s="68">
        <v>2007</v>
      </c>
      <c r="AZ4" s="68">
        <v>2008</v>
      </c>
      <c r="BA4" s="68">
        <v>2009</v>
      </c>
      <c r="BB4" s="68">
        <v>2010</v>
      </c>
      <c r="BC4" s="68">
        <v>2011</v>
      </c>
      <c r="BD4" s="68">
        <v>2012</v>
      </c>
      <c r="BE4" s="68">
        <v>2013</v>
      </c>
      <c r="BF4" s="68">
        <v>2014</v>
      </c>
      <c r="BG4" s="68">
        <v>2015</v>
      </c>
      <c r="BH4" s="68">
        <v>2016</v>
      </c>
      <c r="BI4" s="68">
        <v>2017</v>
      </c>
      <c r="BJ4" s="68">
        <v>2018</v>
      </c>
      <c r="BK4" s="68">
        <v>2019</v>
      </c>
      <c r="BL4" s="68">
        <v>2020</v>
      </c>
      <c r="BM4" s="68">
        <v>2021</v>
      </c>
      <c r="BN4" s="68">
        <v>2022</v>
      </c>
      <c r="BO4" s="29"/>
      <c r="BP4" s="50"/>
      <c r="BQ4" s="1"/>
      <c r="BR4" s="1"/>
      <c r="BS4" s="1"/>
      <c r="BT4" s="1"/>
      <c r="BU4" s="1"/>
      <c r="BV4" s="1"/>
      <c r="BW4" s="1"/>
      <c r="BX4" s="1"/>
      <c r="BY4" s="1"/>
      <c r="BZ4" s="1"/>
      <c r="CA4" s="1"/>
      <c r="CB4" s="1"/>
      <c r="CC4" s="1"/>
      <c r="CD4" s="1"/>
      <c r="CE4" s="1"/>
      <c r="CF4" s="1"/>
      <c r="CG4" s="1"/>
    </row>
    <row r="5" spans="1:85" s="50" customFormat="1">
      <c r="A5" s="144" t="s">
        <v>112</v>
      </c>
      <c r="B5" s="2" t="s">
        <v>40</v>
      </c>
      <c r="C5" s="4"/>
      <c r="D5" s="55" t="s">
        <v>44</v>
      </c>
      <c r="E5" s="55" t="s">
        <v>44</v>
      </c>
      <c r="F5" s="55" t="s">
        <v>44</v>
      </c>
      <c r="G5" s="55" t="s">
        <v>44</v>
      </c>
      <c r="H5" s="55" t="s">
        <v>44</v>
      </c>
      <c r="I5" s="55" t="s">
        <v>44</v>
      </c>
      <c r="J5" s="55" t="s">
        <v>44</v>
      </c>
      <c r="K5" s="55" t="s">
        <v>44</v>
      </c>
      <c r="L5" s="55" t="s">
        <v>44</v>
      </c>
      <c r="M5" s="55" t="s">
        <v>44</v>
      </c>
      <c r="N5" s="55">
        <v>0.97529999999999994</v>
      </c>
      <c r="O5" s="55" t="s">
        <v>44</v>
      </c>
      <c r="P5" s="55" t="s">
        <v>44</v>
      </c>
      <c r="Q5" s="55" t="s">
        <v>44</v>
      </c>
      <c r="R5" s="55" t="s">
        <v>44</v>
      </c>
      <c r="S5" s="55" t="s">
        <v>44</v>
      </c>
      <c r="T5" s="55" t="s">
        <v>44</v>
      </c>
      <c r="U5" s="55" t="s">
        <v>44</v>
      </c>
      <c r="V5" s="55" t="s">
        <v>44</v>
      </c>
      <c r="W5" s="55" t="s">
        <v>44</v>
      </c>
      <c r="X5" s="55">
        <v>2.7</v>
      </c>
      <c r="Y5" s="55">
        <v>2.8</v>
      </c>
      <c r="Z5" s="55">
        <v>2.9</v>
      </c>
      <c r="AA5" s="55">
        <v>2.8</v>
      </c>
      <c r="AB5" s="55">
        <v>2.8</v>
      </c>
      <c r="AC5" s="55">
        <v>2.5</v>
      </c>
      <c r="AD5" s="55">
        <v>2.5</v>
      </c>
      <c r="AE5" s="55">
        <v>2.4</v>
      </c>
      <c r="AF5" s="55">
        <v>2.5</v>
      </c>
      <c r="AG5" s="55">
        <v>2.5</v>
      </c>
      <c r="AH5" s="55">
        <v>2.5</v>
      </c>
      <c r="AI5" s="55">
        <v>2.6</v>
      </c>
      <c r="AJ5" s="55">
        <v>2.6</v>
      </c>
      <c r="AK5" s="55">
        <v>2.7</v>
      </c>
      <c r="AL5" s="55">
        <v>2.7</v>
      </c>
      <c r="AM5" s="55">
        <v>2.8</v>
      </c>
      <c r="AN5" s="55">
        <v>2.9</v>
      </c>
      <c r="AO5" s="55">
        <v>2.8</v>
      </c>
      <c r="AP5" s="55">
        <v>2.7</v>
      </c>
      <c r="AQ5" s="55">
        <v>2.8</v>
      </c>
      <c r="AR5" s="55">
        <v>2.6</v>
      </c>
      <c r="AS5" s="55">
        <v>2.8</v>
      </c>
      <c r="AT5" s="55">
        <v>2.7</v>
      </c>
      <c r="AU5" s="55">
        <v>2.7</v>
      </c>
      <c r="AV5" s="55">
        <v>2.6</v>
      </c>
      <c r="AW5" s="55">
        <v>2.6</v>
      </c>
      <c r="AX5" s="55">
        <v>2.5</v>
      </c>
      <c r="AY5" s="55">
        <v>2.2999999999999998</v>
      </c>
      <c r="AZ5" s="55">
        <v>2.2000000000000002</v>
      </c>
      <c r="BA5" s="55">
        <v>2.2999999999999998</v>
      </c>
      <c r="BB5" s="55">
        <v>2.2999999999999998</v>
      </c>
      <c r="BC5" s="55">
        <v>2.2000000000000002</v>
      </c>
      <c r="BD5" s="55">
        <v>2.2000000000000002</v>
      </c>
      <c r="BE5" s="55">
        <v>2.1</v>
      </c>
      <c r="BF5" s="55">
        <v>2</v>
      </c>
      <c r="BG5" s="55">
        <v>2</v>
      </c>
      <c r="BH5" s="55">
        <v>1.931599157613211</v>
      </c>
      <c r="BI5" s="55">
        <v>2</v>
      </c>
      <c r="BJ5" s="55">
        <v>2</v>
      </c>
      <c r="BK5" s="55">
        <v>1.9</v>
      </c>
      <c r="BL5" s="55">
        <v>1.9</v>
      </c>
      <c r="BM5" s="55">
        <v>2.2000000000000002</v>
      </c>
      <c r="BN5" s="55">
        <v>1.89</v>
      </c>
      <c r="BO5" s="187"/>
    </row>
    <row r="6" spans="1:85">
      <c r="A6" s="144" t="s">
        <v>113</v>
      </c>
      <c r="B6" s="79" t="s">
        <v>39</v>
      </c>
      <c r="C6" s="11"/>
      <c r="D6" s="52">
        <v>1.1000000000000001</v>
      </c>
      <c r="E6" s="52">
        <v>1.1000000000000001</v>
      </c>
      <c r="F6" s="52">
        <v>1.1000000000000001</v>
      </c>
      <c r="G6" s="52">
        <v>1.1000000000000001</v>
      </c>
      <c r="H6" s="52">
        <v>1.2</v>
      </c>
      <c r="I6" s="52">
        <v>1.2</v>
      </c>
      <c r="J6" s="52">
        <v>1.2</v>
      </c>
      <c r="K6" s="52">
        <v>1.2</v>
      </c>
      <c r="L6" s="52">
        <v>1.3</v>
      </c>
      <c r="M6" s="52">
        <v>1.3</v>
      </c>
      <c r="N6" s="52">
        <v>1.4</v>
      </c>
      <c r="O6" s="52">
        <v>1.3</v>
      </c>
      <c r="P6" s="52">
        <v>1.3</v>
      </c>
      <c r="Q6" s="52">
        <v>1.3</v>
      </c>
      <c r="R6" s="52">
        <v>1.4</v>
      </c>
      <c r="S6" s="52">
        <v>1.4</v>
      </c>
      <c r="T6" s="52">
        <v>1.5</v>
      </c>
      <c r="U6" s="52">
        <v>1.5</v>
      </c>
      <c r="V6" s="52">
        <v>1.6</v>
      </c>
      <c r="W6" s="52">
        <v>1.7</v>
      </c>
      <c r="X6" s="52">
        <v>1.8</v>
      </c>
      <c r="Y6" s="52">
        <v>1.8</v>
      </c>
      <c r="Z6" s="52">
        <v>1.9</v>
      </c>
      <c r="AA6" s="52">
        <v>1.9</v>
      </c>
      <c r="AB6" s="52">
        <v>2</v>
      </c>
      <c r="AC6" s="52">
        <v>2</v>
      </c>
      <c r="AD6" s="52">
        <v>1.9</v>
      </c>
      <c r="AE6" s="52">
        <v>1.9</v>
      </c>
      <c r="AF6" s="52">
        <v>2</v>
      </c>
      <c r="AG6" s="52">
        <v>2</v>
      </c>
      <c r="AH6" s="52">
        <v>2.1</v>
      </c>
      <c r="AI6" s="52">
        <v>2.1</v>
      </c>
      <c r="AJ6" s="52">
        <v>2.1</v>
      </c>
      <c r="AK6" s="52">
        <v>2.1</v>
      </c>
      <c r="AL6" s="52">
        <v>2.1</v>
      </c>
      <c r="AM6" s="52">
        <v>2.2999999999999998</v>
      </c>
      <c r="AN6" s="52">
        <v>2.2999999999999998</v>
      </c>
      <c r="AO6" s="52">
        <v>2.2999999999999998</v>
      </c>
      <c r="AP6" s="52">
        <v>2.2000000000000002</v>
      </c>
      <c r="AQ6" s="52">
        <v>2.2999999999999998</v>
      </c>
      <c r="AR6" s="52">
        <v>2.4</v>
      </c>
      <c r="AS6" s="52">
        <v>2.6</v>
      </c>
      <c r="AT6" s="52">
        <v>2.5</v>
      </c>
      <c r="AU6" s="52">
        <v>2.2999999999999998</v>
      </c>
      <c r="AV6" s="52">
        <v>2.4</v>
      </c>
      <c r="AW6" s="52">
        <v>2.4</v>
      </c>
      <c r="AX6" s="52">
        <v>2.5</v>
      </c>
      <c r="AY6" s="52">
        <v>2.5</v>
      </c>
      <c r="AZ6" s="52">
        <v>2.4</v>
      </c>
      <c r="BA6" s="52">
        <v>2.2999999999999998</v>
      </c>
      <c r="BB6" s="52">
        <v>2.1</v>
      </c>
      <c r="BC6" s="52">
        <v>2.1</v>
      </c>
      <c r="BD6" s="52">
        <v>2</v>
      </c>
      <c r="BE6" s="52">
        <v>1.9</v>
      </c>
      <c r="BF6" s="52">
        <v>1.9</v>
      </c>
      <c r="BG6" s="52">
        <v>1.9</v>
      </c>
      <c r="BH6" s="52">
        <v>1.8</v>
      </c>
      <c r="BI6" s="52">
        <v>1.8</v>
      </c>
      <c r="BJ6" s="52">
        <v>1.8</v>
      </c>
      <c r="BK6" s="52">
        <v>1.8</v>
      </c>
      <c r="BL6" s="52">
        <v>1.7</v>
      </c>
      <c r="BM6" s="52">
        <v>1.62</v>
      </c>
      <c r="BN6" s="52">
        <v>1.54</v>
      </c>
      <c r="BO6" s="187"/>
      <c r="BP6" s="50"/>
      <c r="BQ6" s="1"/>
      <c r="BR6" s="1"/>
      <c r="BS6" s="1"/>
      <c r="BT6" s="1"/>
      <c r="BU6" s="1"/>
      <c r="BV6" s="1"/>
      <c r="BW6" s="1"/>
      <c r="BX6" s="1"/>
      <c r="BY6" s="1"/>
      <c r="BZ6" s="1"/>
      <c r="CA6" s="1"/>
      <c r="CB6" s="1"/>
      <c r="CC6" s="1"/>
      <c r="CD6" s="1"/>
      <c r="CE6" s="1"/>
      <c r="CF6" s="1"/>
      <c r="CG6" s="1"/>
    </row>
    <row r="7" spans="1:85">
      <c r="A7" s="144" t="s">
        <v>114</v>
      </c>
      <c r="B7" s="61" t="s">
        <v>38</v>
      </c>
      <c r="C7" s="56"/>
      <c r="D7" s="69">
        <v>0.5</v>
      </c>
      <c r="E7" s="69">
        <v>0.5</v>
      </c>
      <c r="F7" s="69">
        <v>0.5</v>
      </c>
      <c r="G7" s="69">
        <v>0.6</v>
      </c>
      <c r="H7" s="69">
        <v>0.6</v>
      </c>
      <c r="I7" s="69">
        <v>0.6</v>
      </c>
      <c r="J7" s="69">
        <v>0.6</v>
      </c>
      <c r="K7" s="69">
        <v>0.6</v>
      </c>
      <c r="L7" s="69">
        <v>0.6</v>
      </c>
      <c r="M7" s="69">
        <v>0.7</v>
      </c>
      <c r="N7" s="69">
        <v>0.7</v>
      </c>
      <c r="O7" s="69">
        <v>0.7</v>
      </c>
      <c r="P7" s="69">
        <v>0.8</v>
      </c>
      <c r="Q7" s="69">
        <v>0.9</v>
      </c>
      <c r="R7" s="69">
        <v>1</v>
      </c>
      <c r="S7" s="69">
        <v>1.1000000000000001</v>
      </c>
      <c r="T7" s="69">
        <v>1.3</v>
      </c>
      <c r="U7" s="69">
        <v>1.3</v>
      </c>
      <c r="V7" s="69">
        <v>1.4</v>
      </c>
      <c r="W7" s="69">
        <v>1.4</v>
      </c>
      <c r="X7" s="69">
        <v>1.5</v>
      </c>
      <c r="Y7" s="69">
        <v>1.6</v>
      </c>
      <c r="Z7" s="69">
        <v>1.6</v>
      </c>
      <c r="AA7" s="69">
        <v>1.7</v>
      </c>
      <c r="AB7" s="69">
        <v>1.9</v>
      </c>
      <c r="AC7" s="69">
        <v>1.9</v>
      </c>
      <c r="AD7" s="69">
        <v>1.9</v>
      </c>
      <c r="AE7" s="69">
        <v>2</v>
      </c>
      <c r="AF7" s="69">
        <v>2.1</v>
      </c>
      <c r="AG7" s="69">
        <v>2</v>
      </c>
      <c r="AH7" s="69">
        <v>2</v>
      </c>
      <c r="AI7" s="69">
        <v>2.1</v>
      </c>
      <c r="AJ7" s="69">
        <v>2.2000000000000002</v>
      </c>
      <c r="AK7" s="69">
        <v>2.1</v>
      </c>
      <c r="AL7" s="69">
        <v>2.2000000000000002</v>
      </c>
      <c r="AM7" s="69">
        <v>3.5</v>
      </c>
      <c r="AN7" s="69">
        <v>2.8</v>
      </c>
      <c r="AO7" s="69">
        <v>2.6</v>
      </c>
      <c r="AP7" s="69">
        <v>2.6</v>
      </c>
      <c r="AQ7" s="69">
        <v>2.6</v>
      </c>
      <c r="AR7" s="69">
        <v>2.6</v>
      </c>
      <c r="AS7" s="69">
        <v>2.8</v>
      </c>
      <c r="AT7" s="69">
        <v>3</v>
      </c>
      <c r="AU7" s="69">
        <v>3</v>
      </c>
      <c r="AV7" s="69">
        <v>3</v>
      </c>
      <c r="AW7" s="69">
        <v>2.9</v>
      </c>
      <c r="AX7" s="69">
        <v>2.8</v>
      </c>
      <c r="AY7" s="69">
        <v>2.8</v>
      </c>
      <c r="AZ7" s="69">
        <v>3.3</v>
      </c>
      <c r="BA7" s="69">
        <v>3</v>
      </c>
      <c r="BB7" s="69">
        <v>2.7</v>
      </c>
      <c r="BC7" s="69">
        <v>2.5</v>
      </c>
      <c r="BD7" s="69">
        <v>2.2999999999999998</v>
      </c>
      <c r="BE7" s="69">
        <v>2.2000000000000002</v>
      </c>
      <c r="BF7" s="69">
        <v>2.2000000000000002</v>
      </c>
      <c r="BG7" s="69">
        <v>2.2000000000000002</v>
      </c>
      <c r="BH7" s="69">
        <v>2.1</v>
      </c>
      <c r="BI7" s="69">
        <v>2</v>
      </c>
      <c r="BJ7" s="69">
        <v>2</v>
      </c>
      <c r="BK7" s="69">
        <v>2</v>
      </c>
      <c r="BL7" s="69">
        <v>1.8</v>
      </c>
      <c r="BM7" s="69">
        <v>1.9</v>
      </c>
      <c r="BN7" s="69">
        <v>1.7</v>
      </c>
      <c r="BO7" s="187"/>
      <c r="BP7" s="50"/>
      <c r="BQ7" s="1"/>
      <c r="BR7" s="1"/>
      <c r="BS7" s="1"/>
      <c r="BT7" s="1"/>
      <c r="BU7" s="1"/>
      <c r="BV7" s="1"/>
      <c r="BW7" s="1"/>
      <c r="BX7" s="1"/>
      <c r="BY7" s="1"/>
      <c r="BZ7" s="1"/>
      <c r="CA7" s="1"/>
      <c r="CB7" s="1"/>
      <c r="CC7" s="1"/>
      <c r="CD7" s="1"/>
      <c r="CE7" s="1"/>
      <c r="CF7" s="1"/>
      <c r="CG7" s="1"/>
    </row>
    <row r="8" spans="1:85" s="50" customFormat="1">
      <c r="A8" s="144" t="s">
        <v>115</v>
      </c>
      <c r="B8" s="132" t="s">
        <v>37</v>
      </c>
      <c r="C8" s="133"/>
      <c r="D8" s="131" t="s">
        <v>44</v>
      </c>
      <c r="E8" s="131" t="s">
        <v>44</v>
      </c>
      <c r="F8" s="131" t="s">
        <v>44</v>
      </c>
      <c r="G8" s="131" t="s">
        <v>44</v>
      </c>
      <c r="H8" s="131" t="s">
        <v>44</v>
      </c>
      <c r="I8" s="131" t="s">
        <v>44</v>
      </c>
      <c r="J8" s="131" t="s">
        <v>44</v>
      </c>
      <c r="K8" s="131" t="s">
        <v>44</v>
      </c>
      <c r="L8" s="131" t="s">
        <v>44</v>
      </c>
      <c r="M8" s="131" t="s">
        <v>44</v>
      </c>
      <c r="N8" s="131">
        <v>1.3729</v>
      </c>
      <c r="O8" s="131" t="s">
        <v>44</v>
      </c>
      <c r="P8" s="131" t="s">
        <v>44</v>
      </c>
      <c r="Q8" s="131" t="s">
        <v>44</v>
      </c>
      <c r="R8" s="131" t="s">
        <v>44</v>
      </c>
      <c r="S8" s="131" t="s">
        <v>44</v>
      </c>
      <c r="T8" s="131" t="s">
        <v>44</v>
      </c>
      <c r="U8" s="131" t="s">
        <v>44</v>
      </c>
      <c r="V8" s="131" t="s">
        <v>44</v>
      </c>
      <c r="W8" s="131" t="s">
        <v>44</v>
      </c>
      <c r="X8" s="131">
        <v>2.5299999999999998</v>
      </c>
      <c r="Y8" s="131">
        <v>2.73</v>
      </c>
      <c r="Z8" s="131">
        <v>2.8</v>
      </c>
      <c r="AA8" s="131">
        <v>2.7</v>
      </c>
      <c r="AB8" s="131">
        <v>2.5499999999999998</v>
      </c>
      <c r="AC8" s="131">
        <v>2.39</v>
      </c>
      <c r="AD8" s="131">
        <v>3</v>
      </c>
      <c r="AE8" s="131">
        <v>3.63</v>
      </c>
      <c r="AF8" s="131">
        <v>3.12</v>
      </c>
      <c r="AG8" s="131">
        <v>2.97</v>
      </c>
      <c r="AH8" s="131">
        <v>2.83</v>
      </c>
      <c r="AI8" s="131">
        <v>2.75</v>
      </c>
      <c r="AJ8" s="131">
        <v>2.79</v>
      </c>
      <c r="AK8" s="131">
        <v>2.73</v>
      </c>
      <c r="AL8" s="131">
        <v>2.72</v>
      </c>
      <c r="AM8" s="131">
        <v>2.65</v>
      </c>
      <c r="AN8" s="131">
        <v>2.41</v>
      </c>
      <c r="AO8" s="131">
        <v>2.25</v>
      </c>
      <c r="AP8" s="131">
        <v>2.2799999999999998</v>
      </c>
      <c r="AQ8" s="131">
        <v>2.33</v>
      </c>
      <c r="AR8" s="131">
        <v>2.3199999999999998</v>
      </c>
      <c r="AS8" s="131">
        <v>2.29</v>
      </c>
      <c r="AT8" s="131">
        <v>2.2399999999999998</v>
      </c>
      <c r="AU8" s="131">
        <v>2.2399999999999998</v>
      </c>
      <c r="AV8" s="131">
        <v>2.1800000000000002</v>
      </c>
      <c r="AW8" s="131">
        <v>2.21</v>
      </c>
      <c r="AX8" s="131">
        <v>2.29</v>
      </c>
      <c r="AY8" s="131">
        <v>2.2199999999999998</v>
      </c>
      <c r="AZ8" s="131">
        <v>2.1100000000000003</v>
      </c>
      <c r="BA8" s="131">
        <v>2.069</v>
      </c>
      <c r="BB8" s="131">
        <v>2.0489999999999999</v>
      </c>
      <c r="BC8" s="131">
        <v>1.996</v>
      </c>
      <c r="BD8" s="131">
        <v>1.974</v>
      </c>
      <c r="BE8" s="131">
        <v>1.8759999999999999</v>
      </c>
      <c r="BF8" s="131">
        <v>1.77</v>
      </c>
      <c r="BG8" s="131">
        <v>1.708</v>
      </c>
      <c r="BH8" s="131">
        <v>1.728</v>
      </c>
      <c r="BI8" s="131">
        <v>1.7</v>
      </c>
      <c r="BJ8" s="131">
        <v>1.7</v>
      </c>
      <c r="BK8" s="131">
        <v>1.5</v>
      </c>
      <c r="BL8" s="131">
        <v>1.1000000000000001</v>
      </c>
      <c r="BM8" s="131"/>
      <c r="BN8" s="131"/>
      <c r="BO8" s="187"/>
    </row>
    <row r="9" spans="1:85" s="50" customFormat="1">
      <c r="A9" s="144" t="s">
        <v>116</v>
      </c>
      <c r="B9" s="2" t="s">
        <v>36</v>
      </c>
      <c r="C9" s="4"/>
      <c r="D9" s="55" t="s">
        <v>44</v>
      </c>
      <c r="E9" s="55" t="s">
        <v>44</v>
      </c>
      <c r="F9" s="55" t="s">
        <v>44</v>
      </c>
      <c r="G9" s="55" t="s">
        <v>44</v>
      </c>
      <c r="H9" s="55" t="s">
        <v>44</v>
      </c>
      <c r="I9" s="55" t="s">
        <v>44</v>
      </c>
      <c r="J9" s="55" t="s">
        <v>44</v>
      </c>
      <c r="K9" s="55" t="s">
        <v>44</v>
      </c>
      <c r="L9" s="55" t="s">
        <v>44</v>
      </c>
      <c r="M9" s="55" t="s">
        <v>44</v>
      </c>
      <c r="N9" s="55" t="s">
        <v>44</v>
      </c>
      <c r="O9" s="55" t="s">
        <v>44</v>
      </c>
      <c r="P9" s="55" t="s">
        <v>44</v>
      </c>
      <c r="Q9" s="55" t="s">
        <v>44</v>
      </c>
      <c r="R9" s="55" t="s">
        <v>44</v>
      </c>
      <c r="S9" s="55" t="s">
        <v>44</v>
      </c>
      <c r="T9" s="55" t="s">
        <v>44</v>
      </c>
      <c r="U9" s="55" t="s">
        <v>44</v>
      </c>
      <c r="V9" s="55" t="s">
        <v>44</v>
      </c>
      <c r="W9" s="55" t="s">
        <v>44</v>
      </c>
      <c r="X9" s="55" t="s">
        <v>44</v>
      </c>
      <c r="Y9" s="55" t="s">
        <v>44</v>
      </c>
      <c r="Z9" s="55" t="s">
        <v>44</v>
      </c>
      <c r="AA9" s="55" t="s">
        <v>44</v>
      </c>
      <c r="AB9" s="55" t="s">
        <v>44</v>
      </c>
      <c r="AC9" s="55" t="s">
        <v>44</v>
      </c>
      <c r="AD9" s="55" t="s">
        <v>44</v>
      </c>
      <c r="AE9" s="55" t="s">
        <v>44</v>
      </c>
      <c r="AF9" s="55" t="s">
        <v>44</v>
      </c>
      <c r="AG9" s="55" t="s">
        <v>44</v>
      </c>
      <c r="AH9" s="55" t="s">
        <v>44</v>
      </c>
      <c r="AI9" s="55" t="s">
        <v>44</v>
      </c>
      <c r="AJ9" s="55" t="s">
        <v>44</v>
      </c>
      <c r="AK9" s="55" t="s">
        <v>44</v>
      </c>
      <c r="AL9" s="55" t="s">
        <v>44</v>
      </c>
      <c r="AM9" s="55" t="s">
        <v>44</v>
      </c>
      <c r="AN9" s="55" t="s">
        <v>44</v>
      </c>
      <c r="AO9" s="55" t="s">
        <v>44</v>
      </c>
      <c r="AP9" s="55" t="s">
        <v>44</v>
      </c>
      <c r="AQ9" s="55" t="s">
        <v>44</v>
      </c>
      <c r="AR9" s="55" t="s">
        <v>44</v>
      </c>
      <c r="AS9" s="55" t="s">
        <v>44</v>
      </c>
      <c r="AT9" s="55" t="s">
        <v>44</v>
      </c>
      <c r="AU9" s="55" t="s">
        <v>44</v>
      </c>
      <c r="AV9" s="55" t="s">
        <v>44</v>
      </c>
      <c r="AW9" s="55" t="s">
        <v>44</v>
      </c>
      <c r="AX9" s="55" t="s">
        <v>44</v>
      </c>
      <c r="AY9" s="55" t="s">
        <v>44</v>
      </c>
      <c r="AZ9" s="55" t="s">
        <v>44</v>
      </c>
      <c r="BA9" s="55" t="s">
        <v>44</v>
      </c>
      <c r="BB9" s="55" t="s">
        <v>44</v>
      </c>
      <c r="BC9" s="55" t="s">
        <v>44</v>
      </c>
      <c r="BD9" s="55" t="s">
        <v>44</v>
      </c>
      <c r="BE9" s="55">
        <v>3.6199951600911704</v>
      </c>
      <c r="BF9" s="55">
        <v>3.3011167263158412</v>
      </c>
      <c r="BG9" s="55">
        <v>3.3074175595332655</v>
      </c>
      <c r="BH9" s="55">
        <v>3.0714233775947317</v>
      </c>
      <c r="BI9" s="55">
        <v>3.1542643130056955</v>
      </c>
      <c r="BJ9" s="55">
        <v>3.3169247851027692</v>
      </c>
      <c r="BK9" s="55">
        <v>3.2235465386480167</v>
      </c>
      <c r="BL9" s="55">
        <v>2.2400000000000002</v>
      </c>
      <c r="BM9" s="55">
        <v>3.63</v>
      </c>
      <c r="BN9" s="55"/>
      <c r="BO9" s="187"/>
    </row>
    <row r="10" spans="1:85" s="50" customFormat="1">
      <c r="A10" s="144" t="s">
        <v>117</v>
      </c>
      <c r="B10" s="132" t="s">
        <v>71</v>
      </c>
      <c r="C10" s="133"/>
      <c r="D10" s="131" t="s">
        <v>44</v>
      </c>
      <c r="E10" s="131" t="s">
        <v>44</v>
      </c>
      <c r="F10" s="131" t="s">
        <v>44</v>
      </c>
      <c r="G10" s="131" t="s">
        <v>44</v>
      </c>
      <c r="H10" s="131" t="s">
        <v>44</v>
      </c>
      <c r="I10" s="131" t="s">
        <v>44</v>
      </c>
      <c r="J10" s="131" t="s">
        <v>44</v>
      </c>
      <c r="K10" s="131" t="s">
        <v>44</v>
      </c>
      <c r="L10" s="131" t="s">
        <v>44</v>
      </c>
      <c r="M10" s="131" t="s">
        <v>44</v>
      </c>
      <c r="N10" s="131" t="s">
        <v>44</v>
      </c>
      <c r="O10" s="131" t="s">
        <v>44</v>
      </c>
      <c r="P10" s="131" t="s">
        <v>44</v>
      </c>
      <c r="Q10" s="131" t="s">
        <v>44</v>
      </c>
      <c r="R10" s="131" t="s">
        <v>44</v>
      </c>
      <c r="S10" s="131" t="s">
        <v>44</v>
      </c>
      <c r="T10" s="131" t="s">
        <v>44</v>
      </c>
      <c r="U10" s="131" t="s">
        <v>44</v>
      </c>
      <c r="V10" s="131" t="s">
        <v>44</v>
      </c>
      <c r="W10" s="131" t="s">
        <v>44</v>
      </c>
      <c r="X10" s="131" t="s">
        <v>44</v>
      </c>
      <c r="Y10" s="131" t="s">
        <v>44</v>
      </c>
      <c r="Z10" s="131" t="s">
        <v>44</v>
      </c>
      <c r="AA10" s="131" t="s">
        <v>44</v>
      </c>
      <c r="AB10" s="131" t="s">
        <v>44</v>
      </c>
      <c r="AC10" s="131" t="s">
        <v>44</v>
      </c>
      <c r="AD10" s="131" t="s">
        <v>44</v>
      </c>
      <c r="AE10" s="131" t="s">
        <v>44</v>
      </c>
      <c r="AF10" s="131" t="s">
        <v>44</v>
      </c>
      <c r="AG10" s="131" t="s">
        <v>44</v>
      </c>
      <c r="AH10" s="131" t="s">
        <v>44</v>
      </c>
      <c r="AI10" s="131" t="s">
        <v>44</v>
      </c>
      <c r="AJ10" s="131" t="s">
        <v>44</v>
      </c>
      <c r="AK10" s="131" t="s">
        <v>44</v>
      </c>
      <c r="AL10" s="131" t="s">
        <v>44</v>
      </c>
      <c r="AM10" s="131" t="s">
        <v>44</v>
      </c>
      <c r="AN10" s="131" t="s">
        <v>44</v>
      </c>
      <c r="AO10" s="131" t="s">
        <v>44</v>
      </c>
      <c r="AP10" s="131" t="s">
        <v>44</v>
      </c>
      <c r="AQ10" s="131" t="s">
        <v>44</v>
      </c>
      <c r="AR10" s="131" t="s">
        <v>44</v>
      </c>
      <c r="AS10" s="131" t="s">
        <v>44</v>
      </c>
      <c r="AT10" s="131" t="s">
        <v>44</v>
      </c>
      <c r="AU10" s="131" t="s">
        <v>44</v>
      </c>
      <c r="AV10" s="131" t="s">
        <v>44</v>
      </c>
      <c r="AW10" s="131" t="s">
        <v>44</v>
      </c>
      <c r="AX10" s="131" t="s">
        <v>44</v>
      </c>
      <c r="AY10" s="131" t="s">
        <v>44</v>
      </c>
      <c r="AZ10" s="131" t="s">
        <v>44</v>
      </c>
      <c r="BA10" s="131" t="s">
        <v>44</v>
      </c>
      <c r="BB10" s="131" t="s">
        <v>44</v>
      </c>
      <c r="BC10" s="131">
        <v>0.20076186565282647</v>
      </c>
      <c r="BD10" s="131">
        <v>0.39010924926660773</v>
      </c>
      <c r="BE10" s="131">
        <v>0.37407879092098234</v>
      </c>
      <c r="BF10" s="131">
        <v>0.37747220850112062</v>
      </c>
      <c r="BG10" s="131">
        <v>0.41851815240022983</v>
      </c>
      <c r="BH10" s="131">
        <v>0.47719166611894859</v>
      </c>
      <c r="BI10" s="131">
        <v>0.46792954151689387</v>
      </c>
      <c r="BJ10" s="131">
        <v>0.48270024786171112</v>
      </c>
      <c r="BK10" s="131">
        <v>0.48193055221336489</v>
      </c>
      <c r="BL10" s="131">
        <v>0.37563040215453614</v>
      </c>
      <c r="BM10" s="131">
        <v>0.51047292591361992</v>
      </c>
      <c r="BN10" s="131">
        <v>0.55000000000000004</v>
      </c>
      <c r="BO10" s="187"/>
    </row>
    <row r="11" spans="1:85" s="50" customFormat="1">
      <c r="A11" s="144" t="s">
        <v>118</v>
      </c>
      <c r="B11" s="2" t="s">
        <v>72</v>
      </c>
      <c r="C11" s="4"/>
      <c r="D11" s="55" t="s">
        <v>44</v>
      </c>
      <c r="E11" s="55" t="s">
        <v>44</v>
      </c>
      <c r="F11" s="55" t="s">
        <v>44</v>
      </c>
      <c r="G11" s="55" t="s">
        <v>44</v>
      </c>
      <c r="H11" s="55" t="s">
        <v>44</v>
      </c>
      <c r="I11" s="55" t="s">
        <v>44</v>
      </c>
      <c r="J11" s="55" t="s">
        <v>44</v>
      </c>
      <c r="K11" s="55" t="s">
        <v>44</v>
      </c>
      <c r="L11" s="55" t="s">
        <v>44</v>
      </c>
      <c r="M11" s="55" t="s">
        <v>44</v>
      </c>
      <c r="N11" s="55" t="s">
        <v>44</v>
      </c>
      <c r="O11" s="55" t="s">
        <v>44</v>
      </c>
      <c r="P11" s="55" t="s">
        <v>44</v>
      </c>
      <c r="Q11" s="55" t="s">
        <v>44</v>
      </c>
      <c r="R11" s="55" t="s">
        <v>44</v>
      </c>
      <c r="S11" s="55" t="s">
        <v>44</v>
      </c>
      <c r="T11" s="55" t="s">
        <v>44</v>
      </c>
      <c r="U11" s="55" t="s">
        <v>44</v>
      </c>
      <c r="V11" s="55" t="s">
        <v>44</v>
      </c>
      <c r="W11" s="55" t="s">
        <v>44</v>
      </c>
      <c r="X11" s="55" t="s">
        <v>44</v>
      </c>
      <c r="Y11" s="55" t="s">
        <v>44</v>
      </c>
      <c r="Z11" s="55" t="s">
        <v>44</v>
      </c>
      <c r="AA11" s="55" t="s">
        <v>44</v>
      </c>
      <c r="AB11" s="55" t="s">
        <v>44</v>
      </c>
      <c r="AC11" s="55" t="s">
        <v>44</v>
      </c>
      <c r="AD11" s="55" t="s">
        <v>44</v>
      </c>
      <c r="AE11" s="55" t="s">
        <v>44</v>
      </c>
      <c r="AF11" s="55" t="s">
        <v>44</v>
      </c>
      <c r="AG11" s="55" t="s">
        <v>44</v>
      </c>
      <c r="AH11" s="55" t="s">
        <v>44</v>
      </c>
      <c r="AI11" s="55" t="s">
        <v>44</v>
      </c>
      <c r="AJ11" s="55" t="s">
        <v>44</v>
      </c>
      <c r="AK11" s="55" t="s">
        <v>44</v>
      </c>
      <c r="AL11" s="55" t="s">
        <v>44</v>
      </c>
      <c r="AM11" s="55" t="s">
        <v>44</v>
      </c>
      <c r="AN11" s="55" t="s">
        <v>44</v>
      </c>
      <c r="AO11" s="55" t="s">
        <v>44</v>
      </c>
      <c r="AP11" s="55" t="s">
        <v>44</v>
      </c>
      <c r="AQ11" s="55" t="s">
        <v>44</v>
      </c>
      <c r="AR11" s="55" t="s">
        <v>44</v>
      </c>
      <c r="AS11" s="55" t="s">
        <v>44</v>
      </c>
      <c r="AT11" s="55" t="s">
        <v>44</v>
      </c>
      <c r="AU11" s="55" t="s">
        <v>44</v>
      </c>
      <c r="AV11" s="55" t="s">
        <v>44</v>
      </c>
      <c r="AW11" s="55" t="s">
        <v>44</v>
      </c>
      <c r="AX11" s="55" t="s">
        <v>44</v>
      </c>
      <c r="AY11" s="55" t="s">
        <v>44</v>
      </c>
      <c r="AZ11" s="55" t="s">
        <v>44</v>
      </c>
      <c r="BA11" s="55" t="s">
        <v>44</v>
      </c>
      <c r="BB11" s="55">
        <v>2.5</v>
      </c>
      <c r="BC11" s="55" t="s">
        <v>44</v>
      </c>
      <c r="BD11" s="55">
        <v>2.5</v>
      </c>
      <c r="BE11" s="55">
        <v>2.8</v>
      </c>
      <c r="BF11" s="55">
        <v>2.2999999999999998</v>
      </c>
      <c r="BG11" s="55">
        <v>2.1</v>
      </c>
      <c r="BH11" s="55">
        <v>2.7</v>
      </c>
      <c r="BI11" s="55">
        <v>2.6</v>
      </c>
      <c r="BJ11" s="55">
        <v>2.1989846259000001</v>
      </c>
      <c r="BK11" s="55">
        <v>2.7687248134</v>
      </c>
      <c r="BL11" s="55">
        <v>2.2999999999999998</v>
      </c>
      <c r="BM11" s="55">
        <v>2.8</v>
      </c>
      <c r="BN11" s="55"/>
      <c r="BO11" s="187"/>
    </row>
    <row r="12" spans="1:85">
      <c r="A12" s="144" t="s">
        <v>119</v>
      </c>
      <c r="B12" s="79" t="s">
        <v>191</v>
      </c>
      <c r="C12" s="11"/>
      <c r="D12" s="52">
        <v>1.4</v>
      </c>
      <c r="E12" s="52">
        <v>1.5</v>
      </c>
      <c r="F12" s="52">
        <v>1.5</v>
      </c>
      <c r="G12" s="52">
        <v>1.5</v>
      </c>
      <c r="H12" s="52">
        <v>1.5</v>
      </c>
      <c r="I12" s="52">
        <v>1.7</v>
      </c>
      <c r="J12" s="52">
        <v>1.8</v>
      </c>
      <c r="K12" s="52">
        <v>1.8</v>
      </c>
      <c r="L12" s="52">
        <v>1.9</v>
      </c>
      <c r="M12" s="52">
        <v>2.1</v>
      </c>
      <c r="N12" s="52">
        <v>2.2000000000000002</v>
      </c>
      <c r="O12" s="52">
        <v>2.4</v>
      </c>
      <c r="P12" s="52">
        <v>2.2999999999999998</v>
      </c>
      <c r="Q12" s="52">
        <v>2.5</v>
      </c>
      <c r="R12" s="52">
        <v>2.5</v>
      </c>
      <c r="S12" s="52">
        <v>2.6</v>
      </c>
      <c r="T12" s="52">
        <v>2.5</v>
      </c>
      <c r="U12" s="52">
        <v>2.5</v>
      </c>
      <c r="V12" s="52">
        <v>2.6</v>
      </c>
      <c r="W12" s="52">
        <v>2.5</v>
      </c>
      <c r="X12" s="52">
        <v>2.6</v>
      </c>
      <c r="Y12" s="52">
        <v>2.7</v>
      </c>
      <c r="Z12" s="52">
        <v>2.7</v>
      </c>
      <c r="AA12" s="52">
        <v>2.8</v>
      </c>
      <c r="AB12" s="52">
        <v>3</v>
      </c>
      <c r="AC12" s="52">
        <v>2.9</v>
      </c>
      <c r="AD12" s="52">
        <v>2.9</v>
      </c>
      <c r="AE12" s="52">
        <v>3</v>
      </c>
      <c r="AF12" s="52">
        <v>3</v>
      </c>
      <c r="AG12" s="52">
        <v>3</v>
      </c>
      <c r="AH12" s="52">
        <v>3.1</v>
      </c>
      <c r="AI12" s="52">
        <v>2.8</v>
      </c>
      <c r="AJ12" s="52">
        <v>2.8</v>
      </c>
      <c r="AK12" s="52">
        <v>2.9</v>
      </c>
      <c r="AL12" s="52">
        <v>3</v>
      </c>
      <c r="AM12" s="52">
        <v>3</v>
      </c>
      <c r="AN12" s="52">
        <v>3.2</v>
      </c>
      <c r="AO12" s="52">
        <v>3.2</v>
      </c>
      <c r="AP12" s="52">
        <v>3.1</v>
      </c>
      <c r="AQ12" s="52">
        <v>2.2999999999999998</v>
      </c>
      <c r="AR12" s="52">
        <v>2.9</v>
      </c>
      <c r="AS12" s="52">
        <v>3.1</v>
      </c>
      <c r="AT12" s="52">
        <v>3.1</v>
      </c>
      <c r="AU12" s="52">
        <v>3.8</v>
      </c>
      <c r="AV12" s="52">
        <v>3.2</v>
      </c>
      <c r="AW12" s="52">
        <v>3.1</v>
      </c>
      <c r="AX12" s="52">
        <v>3.1</v>
      </c>
      <c r="AY12" s="52">
        <v>3</v>
      </c>
      <c r="AZ12" s="52">
        <v>3</v>
      </c>
      <c r="BA12" s="52">
        <v>2.8</v>
      </c>
      <c r="BB12" s="52">
        <v>2.9</v>
      </c>
      <c r="BC12" s="52">
        <v>2.7</v>
      </c>
      <c r="BD12" s="52">
        <v>2.5</v>
      </c>
      <c r="BE12" s="52">
        <v>2.7</v>
      </c>
      <c r="BF12" s="52">
        <v>2.5</v>
      </c>
      <c r="BG12" s="52">
        <v>2.5</v>
      </c>
      <c r="BH12" s="52">
        <v>2.4</v>
      </c>
      <c r="BI12" s="52">
        <v>2.4</v>
      </c>
      <c r="BJ12" s="52">
        <v>2.2999999999999998</v>
      </c>
      <c r="BK12" s="52">
        <v>2.2999999999999998</v>
      </c>
      <c r="BL12" s="52">
        <v>2</v>
      </c>
      <c r="BM12" s="52">
        <v>2</v>
      </c>
      <c r="BN12" s="52">
        <v>1.9</v>
      </c>
      <c r="BO12" s="187"/>
      <c r="BP12" s="50"/>
      <c r="BQ12" s="1"/>
      <c r="BR12" s="1"/>
      <c r="BS12" s="1"/>
      <c r="BT12" s="1"/>
      <c r="BU12" s="1"/>
      <c r="BV12" s="1"/>
      <c r="BW12" s="1"/>
      <c r="BX12" s="1"/>
      <c r="BY12" s="1"/>
      <c r="BZ12" s="1"/>
      <c r="CA12" s="1"/>
      <c r="CB12" s="1"/>
      <c r="CC12" s="1"/>
      <c r="CD12" s="1"/>
      <c r="CE12" s="1"/>
      <c r="CF12" s="1"/>
      <c r="CG12" s="1"/>
    </row>
    <row r="13" spans="1:85">
      <c r="A13" s="144" t="s">
        <v>120</v>
      </c>
      <c r="B13" s="61" t="s">
        <v>35</v>
      </c>
      <c r="C13" s="56"/>
      <c r="D13" s="69">
        <v>1.5</v>
      </c>
      <c r="E13" s="69">
        <v>1.4</v>
      </c>
      <c r="F13" s="69">
        <v>1.4</v>
      </c>
      <c r="G13" s="69">
        <v>1.4</v>
      </c>
      <c r="H13" s="69">
        <v>1.4</v>
      </c>
      <c r="I13" s="69">
        <v>1.4</v>
      </c>
      <c r="J13" s="69">
        <v>1.4</v>
      </c>
      <c r="K13" s="69">
        <v>1.4</v>
      </c>
      <c r="L13" s="69">
        <v>1.6</v>
      </c>
      <c r="M13" s="69">
        <v>1.8</v>
      </c>
      <c r="N13" s="69">
        <v>1.9</v>
      </c>
      <c r="O13" s="69">
        <v>2.7</v>
      </c>
      <c r="P13" s="69">
        <v>2.6</v>
      </c>
      <c r="Q13" s="69">
        <v>2.5</v>
      </c>
      <c r="R13" s="69">
        <v>2.6</v>
      </c>
      <c r="S13" s="69">
        <v>2.6</v>
      </c>
      <c r="T13" s="69">
        <v>2.6</v>
      </c>
      <c r="U13" s="69">
        <v>2.6</v>
      </c>
      <c r="V13" s="69">
        <v>2.6</v>
      </c>
      <c r="W13" s="69">
        <v>2.5</v>
      </c>
      <c r="X13" s="69">
        <v>2.7</v>
      </c>
      <c r="Y13" s="69">
        <v>2.8</v>
      </c>
      <c r="Z13" s="69">
        <v>2.9</v>
      </c>
      <c r="AA13" s="69">
        <v>2.9</v>
      </c>
      <c r="AB13" s="69">
        <v>2.8</v>
      </c>
      <c r="AC13" s="69">
        <v>2.8</v>
      </c>
      <c r="AD13" s="69">
        <v>2.8</v>
      </c>
      <c r="AE13" s="69">
        <v>2.8</v>
      </c>
      <c r="AF13" s="69">
        <v>2.9</v>
      </c>
      <c r="AG13" s="69">
        <v>3</v>
      </c>
      <c r="AH13" s="69">
        <v>2.7</v>
      </c>
      <c r="AI13" s="69">
        <v>2.5</v>
      </c>
      <c r="AJ13" s="69">
        <v>2.5</v>
      </c>
      <c r="AK13" s="69">
        <v>2.5</v>
      </c>
      <c r="AL13" s="69">
        <v>2.6</v>
      </c>
      <c r="AM13" s="69">
        <v>2.5</v>
      </c>
      <c r="AN13" s="69">
        <v>2.4</v>
      </c>
      <c r="AO13" s="69">
        <v>2.4</v>
      </c>
      <c r="AP13" s="69">
        <v>2.5</v>
      </c>
      <c r="AQ13" s="69">
        <v>2.5</v>
      </c>
      <c r="AR13" s="69">
        <v>2.7</v>
      </c>
      <c r="AS13" s="69">
        <v>2.7</v>
      </c>
      <c r="AT13" s="69">
        <v>2.8</v>
      </c>
      <c r="AU13" s="69">
        <v>2.9</v>
      </c>
      <c r="AV13" s="69">
        <v>2.9</v>
      </c>
      <c r="AW13" s="69">
        <v>2.8</v>
      </c>
      <c r="AX13" s="69">
        <v>2.6</v>
      </c>
      <c r="AY13" s="69">
        <v>2.6</v>
      </c>
      <c r="AZ13" s="69">
        <v>2.7</v>
      </c>
      <c r="BA13" s="69">
        <v>2.7</v>
      </c>
      <c r="BB13" s="69">
        <v>2.6</v>
      </c>
      <c r="BC13" s="69">
        <v>2.6</v>
      </c>
      <c r="BD13" s="69">
        <v>2.8</v>
      </c>
      <c r="BE13" s="69">
        <v>3.4</v>
      </c>
      <c r="BF13" s="69">
        <v>3.4</v>
      </c>
      <c r="BG13" s="69">
        <v>2.9</v>
      </c>
      <c r="BH13" s="69">
        <v>3</v>
      </c>
      <c r="BI13" s="69">
        <v>2.6</v>
      </c>
      <c r="BJ13" s="69">
        <v>2.6</v>
      </c>
      <c r="BK13" s="69">
        <v>1.8</v>
      </c>
      <c r="BL13" s="69">
        <v>2.7</v>
      </c>
      <c r="BM13" s="69">
        <v>2.2000000000000002</v>
      </c>
      <c r="BN13" s="69">
        <v>2.08</v>
      </c>
      <c r="BO13" s="187"/>
      <c r="BP13" s="50"/>
      <c r="BQ13" s="184"/>
      <c r="BR13" s="1"/>
      <c r="BS13" s="1"/>
      <c r="BT13" s="1"/>
      <c r="BU13" s="1"/>
      <c r="BV13" s="1"/>
      <c r="BW13" s="1"/>
      <c r="BX13" s="1"/>
      <c r="BY13" s="1"/>
      <c r="BZ13" s="1"/>
      <c r="CA13" s="1"/>
      <c r="CB13" s="1"/>
      <c r="CC13" s="1"/>
      <c r="CD13" s="1"/>
      <c r="CE13" s="1"/>
      <c r="CF13" s="1"/>
      <c r="CG13" s="1"/>
    </row>
    <row r="14" spans="1:85">
      <c r="A14" s="144" t="s">
        <v>121</v>
      </c>
      <c r="B14" s="79" t="s">
        <v>34</v>
      </c>
      <c r="C14" s="11"/>
      <c r="D14" s="52">
        <v>2.1</v>
      </c>
      <c r="E14" s="52">
        <v>2.1</v>
      </c>
      <c r="F14" s="52">
        <v>2</v>
      </c>
      <c r="G14" s="52">
        <v>2.2000000000000002</v>
      </c>
      <c r="H14" s="52">
        <v>2.5</v>
      </c>
      <c r="I14" s="52">
        <v>2.2999999999999998</v>
      </c>
      <c r="J14" s="52">
        <v>3.2</v>
      </c>
      <c r="K14" s="52">
        <v>3.2</v>
      </c>
      <c r="L14" s="52">
        <v>3.1</v>
      </c>
      <c r="M14" s="52">
        <v>3.3</v>
      </c>
      <c r="N14" s="52">
        <v>3.2</v>
      </c>
      <c r="O14" s="52">
        <v>3.2</v>
      </c>
      <c r="P14" s="52">
        <v>3.3</v>
      </c>
      <c r="Q14" s="52">
        <v>3.2</v>
      </c>
      <c r="R14" s="52">
        <v>3.3</v>
      </c>
      <c r="S14" s="52">
        <v>3.4</v>
      </c>
      <c r="T14" s="52">
        <v>3.6</v>
      </c>
      <c r="U14" s="52">
        <v>3.9</v>
      </c>
      <c r="V14" s="52">
        <v>3.8</v>
      </c>
      <c r="W14" s="52">
        <v>4.0999999999999996</v>
      </c>
      <c r="X14" s="52">
        <v>4.0999999999999996</v>
      </c>
      <c r="Y14" s="52">
        <v>4.0999999999999996</v>
      </c>
      <c r="Z14" s="52">
        <v>3.9</v>
      </c>
      <c r="AA14" s="52">
        <v>4.2</v>
      </c>
      <c r="AB14" s="52">
        <v>4.0999999999999996</v>
      </c>
      <c r="AC14" s="52">
        <v>4</v>
      </c>
      <c r="AD14" s="52">
        <v>3.9</v>
      </c>
      <c r="AE14" s="52">
        <v>3.9</v>
      </c>
      <c r="AF14" s="52">
        <v>3.8</v>
      </c>
      <c r="AG14" s="52">
        <v>3.8</v>
      </c>
      <c r="AH14" s="52">
        <v>3.7</v>
      </c>
      <c r="AI14" s="52">
        <v>3.7</v>
      </c>
      <c r="AJ14" s="52">
        <v>4.3</v>
      </c>
      <c r="AK14" s="52">
        <v>3.9</v>
      </c>
      <c r="AL14" s="52">
        <v>3.8</v>
      </c>
      <c r="AM14" s="52">
        <v>5.2</v>
      </c>
      <c r="AN14" s="52">
        <v>4</v>
      </c>
      <c r="AO14" s="52">
        <v>3.8</v>
      </c>
      <c r="AP14" s="52">
        <v>3.2</v>
      </c>
      <c r="AQ14" s="52">
        <v>3.3</v>
      </c>
      <c r="AR14" s="52">
        <v>3</v>
      </c>
      <c r="AS14" s="52">
        <v>3.1</v>
      </c>
      <c r="AT14" s="52">
        <v>3</v>
      </c>
      <c r="AU14" s="52">
        <v>2.9</v>
      </c>
      <c r="AV14" s="52">
        <v>3.1</v>
      </c>
      <c r="AW14" s="52">
        <v>3</v>
      </c>
      <c r="AX14" s="52">
        <v>2.8</v>
      </c>
      <c r="AY14" s="52">
        <v>2.8</v>
      </c>
      <c r="AZ14" s="52">
        <v>2.6</v>
      </c>
      <c r="BA14" s="52">
        <v>2.4</v>
      </c>
      <c r="BB14" s="52">
        <v>2.2000000000000002</v>
      </c>
      <c r="BC14" s="52">
        <v>2.2999999999999998</v>
      </c>
      <c r="BD14" s="52">
        <v>2.4</v>
      </c>
      <c r="BE14" s="52">
        <v>2.5</v>
      </c>
      <c r="BF14" s="52">
        <v>2.4</v>
      </c>
      <c r="BG14" s="52">
        <v>2.6</v>
      </c>
      <c r="BH14" s="52">
        <v>2.5</v>
      </c>
      <c r="BI14" s="52">
        <v>2.5</v>
      </c>
      <c r="BJ14" s="52">
        <v>2.4</v>
      </c>
      <c r="BK14" s="52">
        <v>2.1</v>
      </c>
      <c r="BL14" s="52">
        <v>1.9</v>
      </c>
      <c r="BM14" s="52"/>
      <c r="BN14" s="52">
        <v>1.9</v>
      </c>
      <c r="BO14" s="187"/>
      <c r="BP14" s="50"/>
      <c r="BQ14" s="1"/>
      <c r="BR14" s="1"/>
      <c r="BS14" s="1"/>
      <c r="BT14" s="1"/>
      <c r="BU14" s="1"/>
      <c r="BV14" s="1"/>
      <c r="BW14" s="1"/>
      <c r="BX14" s="1"/>
      <c r="BY14" s="1"/>
      <c r="BZ14" s="1"/>
      <c r="CA14" s="1"/>
      <c r="CB14" s="1"/>
      <c r="CC14" s="1"/>
      <c r="CD14" s="1"/>
      <c r="CE14" s="1"/>
      <c r="CF14" s="1"/>
      <c r="CG14" s="1"/>
    </row>
    <row r="15" spans="1:85">
      <c r="A15" s="144" t="s">
        <v>122</v>
      </c>
      <c r="B15" s="61" t="s">
        <v>33</v>
      </c>
      <c r="C15" s="56"/>
      <c r="D15" s="69">
        <v>0.8</v>
      </c>
      <c r="E15" s="69">
        <v>0.9</v>
      </c>
      <c r="F15" s="69">
        <v>0.9</v>
      </c>
      <c r="G15" s="69">
        <v>0.9</v>
      </c>
      <c r="H15" s="69">
        <v>1</v>
      </c>
      <c r="I15" s="69">
        <v>1</v>
      </c>
      <c r="J15" s="69">
        <v>1.1000000000000001</v>
      </c>
      <c r="K15" s="69">
        <v>1.1000000000000001</v>
      </c>
      <c r="L15" s="69">
        <v>1.2</v>
      </c>
      <c r="M15" s="69">
        <v>1.3</v>
      </c>
      <c r="N15" s="69">
        <v>1.3</v>
      </c>
      <c r="O15" s="69">
        <v>1.6</v>
      </c>
      <c r="P15" s="69">
        <v>1.8</v>
      </c>
      <c r="Q15" s="69">
        <v>1.9</v>
      </c>
      <c r="R15" s="69">
        <v>2.1</v>
      </c>
      <c r="S15" s="69">
        <v>2</v>
      </c>
      <c r="T15" s="69">
        <v>2.1</v>
      </c>
      <c r="U15" s="69">
        <v>2.1</v>
      </c>
      <c r="V15" s="69">
        <v>2.2000000000000002</v>
      </c>
      <c r="W15" s="69">
        <v>2.1</v>
      </c>
      <c r="X15" s="69">
        <v>2</v>
      </c>
      <c r="Y15" s="69">
        <v>2</v>
      </c>
      <c r="Z15" s="69">
        <v>2</v>
      </c>
      <c r="AA15" s="69">
        <v>2</v>
      </c>
      <c r="AB15" s="69">
        <v>2</v>
      </c>
      <c r="AC15" s="69">
        <v>1.8</v>
      </c>
      <c r="AD15" s="69">
        <v>2</v>
      </c>
      <c r="AE15" s="69">
        <v>2</v>
      </c>
      <c r="AF15" s="69">
        <v>2.5</v>
      </c>
      <c r="AG15" s="69">
        <v>2.9</v>
      </c>
      <c r="AH15" s="69">
        <v>2.6</v>
      </c>
      <c r="AI15" s="69">
        <v>2.6</v>
      </c>
      <c r="AJ15" s="69">
        <v>2.6</v>
      </c>
      <c r="AK15" s="69">
        <v>2.5</v>
      </c>
      <c r="AL15" s="69">
        <v>2.7</v>
      </c>
      <c r="AM15" s="69">
        <v>2.7</v>
      </c>
      <c r="AN15" s="69">
        <v>2.7</v>
      </c>
      <c r="AO15" s="69">
        <v>2.6</v>
      </c>
      <c r="AP15" s="69">
        <v>2.7</v>
      </c>
      <c r="AQ15" s="69">
        <v>2.7</v>
      </c>
      <c r="AR15" s="69">
        <v>2.7</v>
      </c>
      <c r="AS15" s="69">
        <v>2.6</v>
      </c>
      <c r="AT15" s="69">
        <v>2.6</v>
      </c>
      <c r="AU15" s="69">
        <v>2.6</v>
      </c>
      <c r="AV15" s="69">
        <v>2.5</v>
      </c>
      <c r="AW15" s="69">
        <v>2.6</v>
      </c>
      <c r="AX15" s="69">
        <v>2.5</v>
      </c>
      <c r="AY15" s="69">
        <v>2.5</v>
      </c>
      <c r="AZ15" s="69">
        <v>2.5</v>
      </c>
      <c r="BA15" s="69">
        <v>2.5</v>
      </c>
      <c r="BB15" s="69">
        <v>2.5</v>
      </c>
      <c r="BC15" s="69">
        <v>2.5</v>
      </c>
      <c r="BD15" s="69">
        <v>2.4</v>
      </c>
      <c r="BE15" s="69">
        <v>2.5</v>
      </c>
      <c r="BF15" s="69">
        <v>2.5</v>
      </c>
      <c r="BG15" s="69">
        <v>2.5</v>
      </c>
      <c r="BH15" s="69">
        <v>2.5</v>
      </c>
      <c r="BI15" s="69">
        <v>2.4</v>
      </c>
      <c r="BJ15" s="69">
        <v>2.4</v>
      </c>
      <c r="BK15" s="69">
        <v>2.4</v>
      </c>
      <c r="BL15" s="69">
        <v>2.4</v>
      </c>
      <c r="BM15" s="69">
        <v>2.2000000000000002</v>
      </c>
      <c r="BN15" s="69">
        <v>2</v>
      </c>
      <c r="BO15" s="187"/>
      <c r="BP15" s="50"/>
      <c r="BQ15" s="1"/>
      <c r="BR15" s="1"/>
      <c r="BS15" s="1"/>
      <c r="BT15" s="1"/>
      <c r="BU15" s="1"/>
      <c r="BV15" s="1"/>
      <c r="BW15" s="1"/>
      <c r="BX15" s="1"/>
      <c r="BY15" s="1"/>
      <c r="BZ15" s="1"/>
      <c r="CA15" s="1"/>
      <c r="CB15" s="1"/>
      <c r="CC15" s="1"/>
      <c r="CD15" s="1"/>
      <c r="CE15" s="1"/>
      <c r="CF15" s="1"/>
      <c r="CG15" s="1"/>
    </row>
    <row r="16" spans="1:85">
      <c r="A16" s="144" t="s">
        <v>123</v>
      </c>
      <c r="B16" s="79" t="s">
        <v>32</v>
      </c>
      <c r="C16" s="11"/>
      <c r="D16" s="52" t="s">
        <v>44</v>
      </c>
      <c r="E16" s="52" t="s">
        <v>44</v>
      </c>
      <c r="F16" s="52" t="s">
        <v>44</v>
      </c>
      <c r="G16" s="52" t="s">
        <v>44</v>
      </c>
      <c r="H16" s="52" t="s">
        <v>44</v>
      </c>
      <c r="I16" s="52" t="s">
        <v>44</v>
      </c>
      <c r="J16" s="52" t="s">
        <v>44</v>
      </c>
      <c r="K16" s="52" t="s">
        <v>44</v>
      </c>
      <c r="L16" s="52" t="s">
        <v>44</v>
      </c>
      <c r="M16" s="52" t="s">
        <v>44</v>
      </c>
      <c r="N16" s="52" t="s">
        <v>44</v>
      </c>
      <c r="O16" s="52" t="s">
        <v>44</v>
      </c>
      <c r="P16" s="52" t="s">
        <v>44</v>
      </c>
      <c r="Q16" s="52" t="s">
        <v>44</v>
      </c>
      <c r="R16" s="52" t="s">
        <v>44</v>
      </c>
      <c r="S16" s="52" t="s">
        <v>44</v>
      </c>
      <c r="T16" s="52" t="s">
        <v>44</v>
      </c>
      <c r="U16" s="52" t="s">
        <v>44</v>
      </c>
      <c r="V16" s="52" t="s">
        <v>44</v>
      </c>
      <c r="W16" s="52" t="s">
        <v>44</v>
      </c>
      <c r="X16" s="52" t="s">
        <v>44</v>
      </c>
      <c r="Y16" s="52" t="s">
        <v>44</v>
      </c>
      <c r="Z16" s="52" t="s">
        <v>44</v>
      </c>
      <c r="AA16" s="52" t="s">
        <v>44</v>
      </c>
      <c r="AB16" s="52" t="s">
        <v>44</v>
      </c>
      <c r="AC16" s="52" t="s">
        <v>44</v>
      </c>
      <c r="AD16" s="52" t="s">
        <v>44</v>
      </c>
      <c r="AE16" s="52" t="s">
        <v>44</v>
      </c>
      <c r="AF16" s="52" t="s">
        <v>44</v>
      </c>
      <c r="AG16" s="52" t="s">
        <v>44</v>
      </c>
      <c r="AH16" s="52" t="s">
        <v>44</v>
      </c>
      <c r="AI16" s="52" t="s">
        <v>44</v>
      </c>
      <c r="AJ16" s="52" t="s">
        <v>44</v>
      </c>
      <c r="AK16" s="52" t="s">
        <v>44</v>
      </c>
      <c r="AL16" s="52" t="s">
        <v>44</v>
      </c>
      <c r="AM16" s="52">
        <v>2.1</v>
      </c>
      <c r="AN16" s="52">
        <v>2</v>
      </c>
      <c r="AO16" s="52">
        <v>2</v>
      </c>
      <c r="AP16" s="52">
        <v>2</v>
      </c>
      <c r="AQ16" s="52">
        <v>2</v>
      </c>
      <c r="AR16" s="52">
        <v>1.9</v>
      </c>
      <c r="AS16" s="52">
        <v>1.9</v>
      </c>
      <c r="AT16" s="52">
        <v>1.9</v>
      </c>
      <c r="AU16" s="52">
        <v>2.1</v>
      </c>
      <c r="AV16" s="52">
        <v>2.2000000000000002</v>
      </c>
      <c r="AW16" s="52">
        <v>2.5</v>
      </c>
      <c r="AX16" s="52">
        <v>2.2000000000000002</v>
      </c>
      <c r="AY16" s="52">
        <v>2.1</v>
      </c>
      <c r="AZ16" s="52">
        <v>2.1</v>
      </c>
      <c r="BA16" s="52">
        <v>2</v>
      </c>
      <c r="BB16" s="52">
        <v>2.1</v>
      </c>
      <c r="BC16" s="52">
        <v>2</v>
      </c>
      <c r="BD16" s="52">
        <v>2</v>
      </c>
      <c r="BE16" s="52">
        <v>1.9</v>
      </c>
      <c r="BF16" s="52">
        <v>1.9</v>
      </c>
      <c r="BG16" s="52">
        <v>1.9</v>
      </c>
      <c r="BH16" s="52">
        <v>1.9</v>
      </c>
      <c r="BI16" s="52"/>
      <c r="BJ16" s="52"/>
      <c r="BK16" s="52"/>
      <c r="BL16" s="52"/>
      <c r="BM16" s="52"/>
      <c r="BN16" s="52"/>
      <c r="BO16" s="187"/>
      <c r="BP16" s="50"/>
      <c r="BQ16" s="1"/>
      <c r="BR16" s="1"/>
      <c r="BS16" s="1"/>
      <c r="BT16" s="1"/>
      <c r="BU16" s="1"/>
      <c r="BV16" s="1"/>
      <c r="BW16" s="1"/>
      <c r="BX16" s="1"/>
      <c r="BY16" s="1"/>
      <c r="BZ16" s="1"/>
      <c r="CA16" s="1"/>
      <c r="CB16" s="1"/>
      <c r="CC16" s="1"/>
      <c r="CD16" s="1"/>
      <c r="CE16" s="1"/>
      <c r="CF16" s="1"/>
      <c r="CG16" s="1"/>
    </row>
    <row r="17" spans="1:86">
      <c r="A17" s="144" t="s">
        <v>124</v>
      </c>
      <c r="B17" s="61" t="s">
        <v>31</v>
      </c>
      <c r="C17" s="56"/>
      <c r="D17" s="69">
        <v>1</v>
      </c>
      <c r="E17" s="69">
        <v>1</v>
      </c>
      <c r="F17" s="69">
        <v>1</v>
      </c>
      <c r="G17" s="69">
        <v>1</v>
      </c>
      <c r="H17" s="69">
        <v>1.1000000000000001</v>
      </c>
      <c r="I17" s="69">
        <v>1.1000000000000001</v>
      </c>
      <c r="J17" s="69">
        <v>1.1000000000000001</v>
      </c>
      <c r="K17" s="69">
        <v>1.2</v>
      </c>
      <c r="L17" s="69">
        <v>1.2</v>
      </c>
      <c r="M17" s="69">
        <v>1.3</v>
      </c>
      <c r="N17" s="69">
        <v>1.3</v>
      </c>
      <c r="O17" s="69">
        <v>1.4</v>
      </c>
      <c r="P17" s="69">
        <v>1.5</v>
      </c>
      <c r="Q17" s="69">
        <v>1.6</v>
      </c>
      <c r="R17" s="69">
        <v>1.8</v>
      </c>
      <c r="S17" s="69">
        <v>1.9</v>
      </c>
      <c r="T17" s="69">
        <v>2</v>
      </c>
      <c r="U17" s="69">
        <v>1.5</v>
      </c>
      <c r="V17" s="69">
        <v>1</v>
      </c>
      <c r="W17" s="69">
        <v>1.6</v>
      </c>
      <c r="X17" s="69">
        <v>1.8</v>
      </c>
      <c r="Y17" s="69">
        <v>2</v>
      </c>
      <c r="Z17" s="69">
        <v>2.1</v>
      </c>
      <c r="AA17" s="69">
        <v>2.2000000000000002</v>
      </c>
      <c r="AB17" s="69">
        <v>2.2999999999999998</v>
      </c>
      <c r="AC17" s="69">
        <v>2.2999999999999998</v>
      </c>
      <c r="AD17" s="69">
        <v>2.2999999999999998</v>
      </c>
      <c r="AE17" s="69">
        <v>2.2999999999999998</v>
      </c>
      <c r="AF17" s="69">
        <v>2.2999999999999998</v>
      </c>
      <c r="AG17" s="69">
        <v>2.2000000000000002</v>
      </c>
      <c r="AH17" s="69">
        <v>1.9</v>
      </c>
      <c r="AI17" s="69">
        <v>1.7</v>
      </c>
      <c r="AJ17" s="69">
        <v>1.7</v>
      </c>
      <c r="AK17" s="69">
        <v>1.9</v>
      </c>
      <c r="AL17" s="69">
        <v>2</v>
      </c>
      <c r="AM17" s="69">
        <v>2.1</v>
      </c>
      <c r="AN17" s="69">
        <v>2.1</v>
      </c>
      <c r="AO17" s="69">
        <v>2.2999999999999998</v>
      </c>
      <c r="AP17" s="69">
        <v>2.2999999999999998</v>
      </c>
      <c r="AQ17" s="69">
        <v>2.2999999999999998</v>
      </c>
      <c r="AR17" s="69">
        <v>2.4</v>
      </c>
      <c r="AS17" s="69">
        <v>2.4</v>
      </c>
      <c r="AT17" s="69">
        <v>2.5</v>
      </c>
      <c r="AU17" s="69">
        <v>2.6</v>
      </c>
      <c r="AV17" s="69">
        <v>2.6</v>
      </c>
      <c r="AW17" s="69">
        <v>2.4</v>
      </c>
      <c r="AX17" s="69">
        <v>2.2999999999999998</v>
      </c>
      <c r="AY17" s="69">
        <v>2.2999999999999998</v>
      </c>
      <c r="AZ17" s="69">
        <v>2.2999999999999998</v>
      </c>
      <c r="BA17" s="69">
        <v>2.2999999999999998</v>
      </c>
      <c r="BB17" s="69">
        <v>2.2999999999999998</v>
      </c>
      <c r="BC17" s="69">
        <v>2.2999999999999998</v>
      </c>
      <c r="BD17" s="69">
        <v>2.2000000000000002</v>
      </c>
      <c r="BE17" s="69">
        <v>2.1</v>
      </c>
      <c r="BF17" s="69">
        <v>2.1</v>
      </c>
      <c r="BG17" s="69">
        <v>2</v>
      </c>
      <c r="BH17" s="69">
        <v>2</v>
      </c>
      <c r="BI17" s="69">
        <v>1.9</v>
      </c>
      <c r="BJ17" s="69">
        <v>1.8</v>
      </c>
      <c r="BK17" s="69">
        <v>1.8</v>
      </c>
      <c r="BL17" s="69">
        <v>1.7</v>
      </c>
      <c r="BM17" s="69">
        <v>1.7</v>
      </c>
      <c r="BN17" s="69">
        <v>1.63</v>
      </c>
      <c r="BO17" s="187"/>
      <c r="BP17" s="50"/>
      <c r="BQ17" s="1"/>
      <c r="BR17" s="1"/>
      <c r="BS17" s="1"/>
      <c r="BT17" s="1"/>
      <c r="BU17" s="1"/>
      <c r="BV17" s="1"/>
      <c r="BW17" s="1"/>
      <c r="BX17" s="1"/>
      <c r="BY17" s="1"/>
      <c r="BZ17" s="1"/>
      <c r="CA17" s="1"/>
      <c r="CB17" s="1"/>
      <c r="CC17" s="1"/>
      <c r="CD17" s="1"/>
      <c r="CE17" s="1"/>
      <c r="CF17" s="1"/>
      <c r="CG17" s="1"/>
    </row>
    <row r="18" spans="1:86">
      <c r="A18" s="144" t="s">
        <v>125</v>
      </c>
      <c r="B18" s="79" t="s">
        <v>30</v>
      </c>
      <c r="C18" s="11"/>
      <c r="D18" s="52">
        <v>0.3</v>
      </c>
      <c r="E18" s="52">
        <v>0.3</v>
      </c>
      <c r="F18" s="52">
        <v>0.4</v>
      </c>
      <c r="G18" s="52">
        <v>0.4</v>
      </c>
      <c r="H18" s="52">
        <v>0.4</v>
      </c>
      <c r="I18" s="52">
        <v>0.4</v>
      </c>
      <c r="J18" s="52">
        <v>0.4</v>
      </c>
      <c r="K18" s="52">
        <v>0.4</v>
      </c>
      <c r="L18" s="52">
        <v>0.4</v>
      </c>
      <c r="M18" s="52">
        <v>0.4</v>
      </c>
      <c r="N18" s="52">
        <v>0.4</v>
      </c>
      <c r="O18" s="52">
        <v>0.4</v>
      </c>
      <c r="P18" s="52">
        <v>0.4</v>
      </c>
      <c r="Q18" s="52">
        <v>0.5</v>
      </c>
      <c r="R18" s="52">
        <v>0.4</v>
      </c>
      <c r="S18" s="52">
        <v>0.4</v>
      </c>
      <c r="T18" s="52">
        <v>0.4</v>
      </c>
      <c r="U18" s="52">
        <v>0.5</v>
      </c>
      <c r="V18" s="52">
        <v>0.5</v>
      </c>
      <c r="W18" s="52">
        <v>0.5</v>
      </c>
      <c r="X18" s="52">
        <v>0.7</v>
      </c>
      <c r="Y18" s="52">
        <v>0.7</v>
      </c>
      <c r="Z18" s="52">
        <v>0.6</v>
      </c>
      <c r="AA18" s="52">
        <v>0.6</v>
      </c>
      <c r="AB18" s="52">
        <v>0.9</v>
      </c>
      <c r="AC18" s="52">
        <v>0.8</v>
      </c>
      <c r="AD18" s="52">
        <v>0.9</v>
      </c>
      <c r="AE18" s="52">
        <v>0.9</v>
      </c>
      <c r="AF18" s="52">
        <v>0.8</v>
      </c>
      <c r="AG18" s="52">
        <v>0.6</v>
      </c>
      <c r="AH18" s="52">
        <v>0.6</v>
      </c>
      <c r="AI18" s="52">
        <v>0.6</v>
      </c>
      <c r="AJ18" s="52">
        <v>0.6</v>
      </c>
      <c r="AK18" s="52">
        <v>0.7</v>
      </c>
      <c r="AL18" s="52">
        <v>0.7</v>
      </c>
      <c r="AM18" s="52">
        <v>1</v>
      </c>
      <c r="AN18" s="52">
        <v>0.9</v>
      </c>
      <c r="AO18" s="52">
        <v>0.9</v>
      </c>
      <c r="AP18" s="52">
        <v>0.7</v>
      </c>
      <c r="AQ18" s="52">
        <v>0.9</v>
      </c>
      <c r="AR18" s="52">
        <v>1</v>
      </c>
      <c r="AS18" s="52">
        <v>1</v>
      </c>
      <c r="AT18" s="52">
        <v>1</v>
      </c>
      <c r="AU18" s="52">
        <v>1.1000000000000001</v>
      </c>
      <c r="AV18" s="52">
        <v>1.1000000000000001</v>
      </c>
      <c r="AW18" s="52">
        <v>1.2</v>
      </c>
      <c r="AX18" s="52">
        <v>1.2</v>
      </c>
      <c r="AY18" s="52">
        <v>1.2</v>
      </c>
      <c r="AZ18" s="52">
        <v>1.2</v>
      </c>
      <c r="BA18" s="52">
        <v>1.2</v>
      </c>
      <c r="BB18" s="52">
        <v>1.2</v>
      </c>
      <c r="BC18" s="52">
        <v>1.1000000000000001</v>
      </c>
      <c r="BD18" s="52">
        <v>1.3</v>
      </c>
      <c r="BE18" s="52">
        <v>1.5</v>
      </c>
      <c r="BF18" s="52">
        <v>1.3</v>
      </c>
      <c r="BG18" s="52">
        <v>1.4</v>
      </c>
      <c r="BH18" s="52">
        <v>1</v>
      </c>
      <c r="BI18" s="52">
        <v>1.8</v>
      </c>
      <c r="BJ18" s="52"/>
      <c r="BK18" s="52"/>
      <c r="BL18" s="52"/>
      <c r="BM18" s="52"/>
      <c r="BN18" s="52"/>
      <c r="BO18" s="187"/>
      <c r="BP18" s="50"/>
      <c r="BQ18" s="1"/>
      <c r="BR18" s="1"/>
      <c r="BS18" s="1"/>
      <c r="BT18" s="1"/>
      <c r="BU18" s="1"/>
      <c r="BV18" s="1"/>
      <c r="BW18" s="1"/>
      <c r="BX18" s="1"/>
      <c r="BY18" s="1"/>
      <c r="BZ18" s="1"/>
      <c r="CA18" s="1"/>
      <c r="CB18" s="1"/>
      <c r="CC18" s="1"/>
      <c r="CD18" s="1"/>
      <c r="CE18" s="1"/>
      <c r="CF18" s="1"/>
      <c r="CG18" s="1"/>
    </row>
    <row r="19" spans="1:86">
      <c r="A19" s="144" t="s">
        <v>126</v>
      </c>
      <c r="B19" s="61" t="s">
        <v>29</v>
      </c>
      <c r="C19" s="56"/>
      <c r="D19" s="69">
        <v>1.7</v>
      </c>
      <c r="E19" s="69">
        <v>1.7</v>
      </c>
      <c r="F19" s="69">
        <v>1.7</v>
      </c>
      <c r="G19" s="69">
        <v>1.8</v>
      </c>
      <c r="H19" s="69">
        <v>1.9</v>
      </c>
      <c r="I19" s="69">
        <v>2</v>
      </c>
      <c r="J19" s="69">
        <v>2</v>
      </c>
      <c r="K19" s="69">
        <v>2.1</v>
      </c>
      <c r="L19" s="69">
        <v>2.1</v>
      </c>
      <c r="M19" s="69">
        <v>2.1</v>
      </c>
      <c r="N19" s="69">
        <v>2.2000000000000002</v>
      </c>
      <c r="O19" s="69">
        <v>2.2999999999999998</v>
      </c>
      <c r="P19" s="69">
        <v>2.2999999999999998</v>
      </c>
      <c r="Q19" s="69">
        <v>2.4</v>
      </c>
      <c r="R19" s="69">
        <v>2.2999999999999998</v>
      </c>
      <c r="S19" s="69">
        <v>2.5</v>
      </c>
      <c r="T19" s="69">
        <v>2.6</v>
      </c>
      <c r="U19" s="69">
        <v>2.6</v>
      </c>
      <c r="V19" s="69">
        <v>2.7</v>
      </c>
      <c r="W19" s="69">
        <v>2.6</v>
      </c>
      <c r="X19" s="69">
        <v>2.6</v>
      </c>
      <c r="Y19" s="69">
        <v>2.6</v>
      </c>
      <c r="Z19" s="69">
        <v>2.7</v>
      </c>
      <c r="AA19" s="69">
        <v>2.7</v>
      </c>
      <c r="AB19" s="69">
        <v>2.7</v>
      </c>
      <c r="AC19" s="69">
        <v>2.8</v>
      </c>
      <c r="AD19" s="69">
        <v>2.8</v>
      </c>
      <c r="AE19" s="69">
        <v>2.8</v>
      </c>
      <c r="AF19" s="69">
        <v>2.2999999999999998</v>
      </c>
      <c r="AG19" s="69">
        <v>2.4</v>
      </c>
      <c r="AH19" s="69">
        <v>2.4</v>
      </c>
      <c r="AI19" s="69">
        <v>2.4</v>
      </c>
      <c r="AJ19" s="69">
        <v>2.1</v>
      </c>
      <c r="AK19" s="69">
        <v>2.2000000000000002</v>
      </c>
      <c r="AL19" s="69">
        <v>2.2999999999999998</v>
      </c>
      <c r="AM19" s="69">
        <v>2.4</v>
      </c>
      <c r="AN19" s="69">
        <v>2.2000000000000002</v>
      </c>
      <c r="AO19" s="69">
        <v>2.4</v>
      </c>
      <c r="AP19" s="69">
        <v>2.5</v>
      </c>
      <c r="AQ19" s="69">
        <v>2.5</v>
      </c>
      <c r="AR19" s="69">
        <v>2.2999999999999998</v>
      </c>
      <c r="AS19" s="69">
        <v>2.4</v>
      </c>
      <c r="AT19" s="69">
        <v>2.5</v>
      </c>
      <c r="AU19" s="69">
        <v>2.5</v>
      </c>
      <c r="AV19" s="69">
        <v>2.4</v>
      </c>
      <c r="AW19" s="69">
        <v>2.5</v>
      </c>
      <c r="AX19" s="69">
        <v>2.5</v>
      </c>
      <c r="AY19" s="69">
        <v>2.5</v>
      </c>
      <c r="AZ19" s="69">
        <v>2.5</v>
      </c>
      <c r="BA19" s="69">
        <v>2.4</v>
      </c>
      <c r="BB19" s="69">
        <v>2.4</v>
      </c>
      <c r="BC19" s="69">
        <v>2.2999999999999998</v>
      </c>
      <c r="BD19" s="69">
        <v>2.2000000000000002</v>
      </c>
      <c r="BE19" s="69">
        <v>2</v>
      </c>
      <c r="BF19" s="69">
        <v>2</v>
      </c>
      <c r="BG19" s="69">
        <v>2.1</v>
      </c>
      <c r="BH19" s="69">
        <v>2</v>
      </c>
      <c r="BI19" s="69">
        <v>1.9</v>
      </c>
      <c r="BJ19" s="69">
        <v>1.7</v>
      </c>
      <c r="BK19" s="69">
        <v>1.8</v>
      </c>
      <c r="BL19" s="69">
        <v>1.5</v>
      </c>
      <c r="BM19" s="69">
        <v>1.9</v>
      </c>
      <c r="BN19" s="69">
        <v>1.8</v>
      </c>
      <c r="BO19" s="187"/>
      <c r="BP19" s="50"/>
      <c r="BQ19" s="1"/>
      <c r="BR19" s="1"/>
      <c r="BS19" s="1"/>
      <c r="BT19" s="1"/>
      <c r="BU19" s="1"/>
      <c r="BV19" s="1"/>
      <c r="BW19" s="1"/>
      <c r="BX19" s="1"/>
      <c r="BY19" s="1"/>
      <c r="BZ19" s="1"/>
      <c r="CA19" s="1"/>
      <c r="CB19" s="1"/>
      <c r="CC19" s="1"/>
      <c r="CD19" s="1"/>
      <c r="CE19" s="1"/>
      <c r="CF19" s="1"/>
      <c r="CG19" s="1"/>
    </row>
    <row r="20" spans="1:86">
      <c r="A20" s="144" t="s">
        <v>127</v>
      </c>
      <c r="B20" s="79" t="s">
        <v>28</v>
      </c>
      <c r="C20" s="11"/>
      <c r="D20" s="52">
        <v>0.7</v>
      </c>
      <c r="E20" s="52">
        <v>0.9</v>
      </c>
      <c r="F20" s="52">
        <v>0.7</v>
      </c>
      <c r="G20" s="52">
        <v>1.1000000000000001</v>
      </c>
      <c r="H20" s="52">
        <v>0.9</v>
      </c>
      <c r="I20" s="52">
        <v>0.9</v>
      </c>
      <c r="J20" s="52">
        <v>1</v>
      </c>
      <c r="K20" s="52">
        <v>0.9</v>
      </c>
      <c r="L20" s="52">
        <v>1</v>
      </c>
      <c r="M20" s="52">
        <v>1.3</v>
      </c>
      <c r="N20" s="52">
        <v>1.2</v>
      </c>
      <c r="O20" s="52">
        <v>1.5</v>
      </c>
      <c r="P20" s="52">
        <v>1.5</v>
      </c>
      <c r="Q20" s="52">
        <v>1.6</v>
      </c>
      <c r="R20" s="52">
        <v>1.7</v>
      </c>
      <c r="S20" s="52">
        <v>1.8</v>
      </c>
      <c r="T20" s="52">
        <v>1.7</v>
      </c>
      <c r="U20" s="52">
        <v>1.8</v>
      </c>
      <c r="V20" s="52">
        <v>1.8</v>
      </c>
      <c r="W20" s="52">
        <v>1.7</v>
      </c>
      <c r="X20" s="52">
        <v>1.9</v>
      </c>
      <c r="Y20" s="52">
        <v>2</v>
      </c>
      <c r="Z20" s="52">
        <v>1.8</v>
      </c>
      <c r="AA20" s="52">
        <v>2.1</v>
      </c>
      <c r="AB20" s="52">
        <v>1.9</v>
      </c>
      <c r="AC20" s="52">
        <v>2.2000000000000002</v>
      </c>
      <c r="AD20" s="52">
        <v>2</v>
      </c>
      <c r="AE20" s="52">
        <v>1.9</v>
      </c>
      <c r="AF20" s="52">
        <v>1.8</v>
      </c>
      <c r="AG20" s="52">
        <v>2.1</v>
      </c>
      <c r="AH20" s="52">
        <v>1.9</v>
      </c>
      <c r="AI20" s="52">
        <v>2.1</v>
      </c>
      <c r="AJ20" s="52">
        <v>2</v>
      </c>
      <c r="AK20" s="52">
        <v>2</v>
      </c>
      <c r="AL20" s="52">
        <v>1.8</v>
      </c>
      <c r="AM20" s="52">
        <v>1.8</v>
      </c>
      <c r="AN20" s="52">
        <v>2</v>
      </c>
      <c r="AO20" s="52">
        <v>1.9</v>
      </c>
      <c r="AP20" s="52">
        <v>1.8</v>
      </c>
      <c r="AQ20" s="52">
        <v>1.7</v>
      </c>
      <c r="AR20" s="52">
        <v>1.9</v>
      </c>
      <c r="AS20" s="52">
        <v>1.9</v>
      </c>
      <c r="AT20" s="52">
        <v>1.8</v>
      </c>
      <c r="AU20" s="52">
        <v>1.8</v>
      </c>
      <c r="AV20" s="52">
        <v>1.9</v>
      </c>
      <c r="AW20" s="52">
        <v>1.9</v>
      </c>
      <c r="AX20" s="52">
        <v>1.6</v>
      </c>
      <c r="AY20" s="52">
        <v>1.7</v>
      </c>
      <c r="AZ20" s="52">
        <v>1.7</v>
      </c>
      <c r="BA20" s="52">
        <v>1.7</v>
      </c>
      <c r="BB20" s="52">
        <v>1.8</v>
      </c>
      <c r="BC20" s="52">
        <v>1.6</v>
      </c>
      <c r="BD20" s="131" t="s">
        <v>44</v>
      </c>
      <c r="BE20" s="131" t="s">
        <v>44</v>
      </c>
      <c r="BF20" s="131" t="s">
        <v>44</v>
      </c>
      <c r="BG20" s="131" t="s">
        <v>44</v>
      </c>
      <c r="BH20" s="131" t="s">
        <v>44</v>
      </c>
      <c r="BI20" s="131" t="s">
        <v>44</v>
      </c>
      <c r="BJ20" s="131" t="s">
        <v>44</v>
      </c>
      <c r="BK20" s="131" t="s">
        <v>44</v>
      </c>
      <c r="BL20" s="131">
        <v>1.9</v>
      </c>
      <c r="BM20" s="131"/>
      <c r="BN20" s="131"/>
      <c r="BO20" s="187"/>
      <c r="BP20" s="50"/>
      <c r="BQ20" s="1"/>
      <c r="BR20" s="1"/>
      <c r="BS20" s="1"/>
      <c r="BT20" s="1"/>
      <c r="BU20" s="1"/>
      <c r="BV20" s="1"/>
      <c r="BW20" s="1"/>
      <c r="BX20" s="1"/>
      <c r="BY20" s="1"/>
      <c r="BZ20" s="1"/>
      <c r="CA20" s="1"/>
      <c r="CB20" s="1"/>
      <c r="CC20" s="1"/>
      <c r="CD20" s="1"/>
      <c r="CE20" s="1"/>
      <c r="CF20" s="1"/>
      <c r="CG20" s="1"/>
    </row>
    <row r="21" spans="1:86">
      <c r="A21" s="144" t="s">
        <v>128</v>
      </c>
      <c r="B21" s="61" t="s">
        <v>27</v>
      </c>
      <c r="C21" s="56"/>
      <c r="D21" s="69" t="s">
        <v>44</v>
      </c>
      <c r="E21" s="69" t="s">
        <v>44</v>
      </c>
      <c r="F21" s="69" t="s">
        <v>44</v>
      </c>
      <c r="G21" s="69" t="s">
        <v>44</v>
      </c>
      <c r="H21" s="69" t="s">
        <v>44</v>
      </c>
      <c r="I21" s="69" t="s">
        <v>44</v>
      </c>
      <c r="J21" s="69" t="s">
        <v>44</v>
      </c>
      <c r="K21" s="69" t="s">
        <v>44</v>
      </c>
      <c r="L21" s="69" t="s">
        <v>44</v>
      </c>
      <c r="M21" s="69" t="s">
        <v>44</v>
      </c>
      <c r="N21" s="69" t="s">
        <v>44</v>
      </c>
      <c r="O21" s="69" t="s">
        <v>44</v>
      </c>
      <c r="P21" s="69" t="s">
        <v>44</v>
      </c>
      <c r="Q21" s="69" t="s">
        <v>44</v>
      </c>
      <c r="R21" s="69" t="s">
        <v>44</v>
      </c>
      <c r="S21" s="69" t="s">
        <v>44</v>
      </c>
      <c r="T21" s="69" t="s">
        <v>44</v>
      </c>
      <c r="U21" s="69" t="s">
        <v>44</v>
      </c>
      <c r="V21" s="69" t="s">
        <v>44</v>
      </c>
      <c r="W21" s="69" t="s">
        <v>44</v>
      </c>
      <c r="X21" s="69" t="s">
        <v>44</v>
      </c>
      <c r="Y21" s="69" t="s">
        <v>44</v>
      </c>
      <c r="Z21" s="69" t="s">
        <v>44</v>
      </c>
      <c r="AA21" s="69" t="s">
        <v>44</v>
      </c>
      <c r="AB21" s="69" t="s">
        <v>44</v>
      </c>
      <c r="AC21" s="69" t="s">
        <v>44</v>
      </c>
      <c r="AD21" s="69" t="s">
        <v>44</v>
      </c>
      <c r="AE21" s="69" t="s">
        <v>44</v>
      </c>
      <c r="AF21" s="69" t="s">
        <v>44</v>
      </c>
      <c r="AG21" s="69" t="s">
        <v>44</v>
      </c>
      <c r="AH21" s="69" t="s">
        <v>44</v>
      </c>
      <c r="AI21" s="69" t="s">
        <v>44</v>
      </c>
      <c r="AJ21" s="69" t="s">
        <v>44</v>
      </c>
      <c r="AK21" s="69" t="s">
        <v>44</v>
      </c>
      <c r="AL21" s="69" t="s">
        <v>44</v>
      </c>
      <c r="AM21" s="69" t="s">
        <v>44</v>
      </c>
      <c r="AN21" s="69" t="s">
        <v>44</v>
      </c>
      <c r="AO21" s="69">
        <v>0</v>
      </c>
      <c r="AP21" s="69">
        <v>0.4</v>
      </c>
      <c r="AQ21" s="69">
        <v>0.6</v>
      </c>
      <c r="AR21" s="69">
        <v>0.7</v>
      </c>
      <c r="AS21" s="69">
        <v>0.7</v>
      </c>
      <c r="AT21" s="69">
        <v>0.7</v>
      </c>
      <c r="AU21" s="69">
        <v>0.7</v>
      </c>
      <c r="AV21" s="69">
        <v>0.8</v>
      </c>
      <c r="AW21" s="69">
        <v>0.8</v>
      </c>
      <c r="AX21" s="69">
        <v>0.9</v>
      </c>
      <c r="AY21" s="69">
        <v>0.8</v>
      </c>
      <c r="AZ21" s="69">
        <v>0.8</v>
      </c>
      <c r="BA21" s="69">
        <v>0.7</v>
      </c>
      <c r="BB21" s="69">
        <v>0.7</v>
      </c>
      <c r="BC21" s="69">
        <v>0.6</v>
      </c>
      <c r="BD21" s="69">
        <v>0.6</v>
      </c>
      <c r="BE21" s="69">
        <v>0.6</v>
      </c>
      <c r="BF21" s="69">
        <v>0.6</v>
      </c>
      <c r="BG21" s="69">
        <v>0.7</v>
      </c>
      <c r="BH21" s="69">
        <v>0.7</v>
      </c>
      <c r="BI21" s="69">
        <v>0.7</v>
      </c>
      <c r="BJ21" s="69"/>
      <c r="BK21" s="69"/>
      <c r="BL21" s="69"/>
      <c r="BM21" s="69"/>
      <c r="BN21" s="69"/>
      <c r="BO21" s="187"/>
      <c r="BP21" s="50"/>
      <c r="BQ21" s="1"/>
      <c r="BR21" s="1"/>
      <c r="BS21" s="1"/>
      <c r="BT21" s="1"/>
      <c r="BU21" s="1"/>
      <c r="BV21" s="1"/>
      <c r="BW21" s="1"/>
      <c r="BX21" s="1"/>
      <c r="BY21" s="1"/>
      <c r="BZ21" s="1"/>
      <c r="CA21" s="1"/>
      <c r="CB21" s="1"/>
      <c r="CC21" s="1"/>
      <c r="CD21" s="1"/>
      <c r="CE21" s="1"/>
      <c r="CF21" s="1"/>
      <c r="CG21" s="1"/>
    </row>
    <row r="22" spans="1:86" s="50" customFormat="1">
      <c r="A22" s="144" t="s">
        <v>129</v>
      </c>
      <c r="B22" s="132" t="s">
        <v>26</v>
      </c>
      <c r="C22" s="133">
        <v>2</v>
      </c>
      <c r="D22" s="131" t="s">
        <v>44</v>
      </c>
      <c r="E22" s="131" t="s">
        <v>44</v>
      </c>
      <c r="F22" s="131" t="s">
        <v>44</v>
      </c>
      <c r="G22" s="131" t="s">
        <v>44</v>
      </c>
      <c r="H22" s="131" t="s">
        <v>44</v>
      </c>
      <c r="I22" s="131" t="s">
        <v>44</v>
      </c>
      <c r="J22" s="131" t="s">
        <v>44</v>
      </c>
      <c r="K22" s="131" t="s">
        <v>44</v>
      </c>
      <c r="L22" s="131" t="s">
        <v>44</v>
      </c>
      <c r="M22" s="131" t="s">
        <v>44</v>
      </c>
      <c r="N22" s="131">
        <v>0.82110000000000005</v>
      </c>
      <c r="O22" s="131" t="s">
        <v>44</v>
      </c>
      <c r="P22" s="131" t="s">
        <v>44</v>
      </c>
      <c r="Q22" s="131" t="s">
        <v>44</v>
      </c>
      <c r="R22" s="131" t="s">
        <v>44</v>
      </c>
      <c r="S22" s="131" t="s">
        <v>44</v>
      </c>
      <c r="T22" s="131" t="s">
        <v>44</v>
      </c>
      <c r="U22" s="131" t="s">
        <v>44</v>
      </c>
      <c r="V22" s="131" t="s">
        <v>44</v>
      </c>
      <c r="W22" s="131" t="s">
        <v>44</v>
      </c>
      <c r="X22" s="131" t="s">
        <v>44</v>
      </c>
      <c r="Y22" s="131" t="s">
        <v>44</v>
      </c>
      <c r="Z22" s="131" t="s">
        <v>44</v>
      </c>
      <c r="AA22" s="131" t="s">
        <v>44</v>
      </c>
      <c r="AB22" s="131" t="s">
        <v>44</v>
      </c>
      <c r="AC22" s="131">
        <v>1.2</v>
      </c>
      <c r="AD22" s="131">
        <v>1.2</v>
      </c>
      <c r="AE22" s="131">
        <v>1.2</v>
      </c>
      <c r="AF22" s="131">
        <v>1.3</v>
      </c>
      <c r="AG22" s="131">
        <v>1.3</v>
      </c>
      <c r="AH22" s="131">
        <v>1.4</v>
      </c>
      <c r="AI22" s="131">
        <v>1.3</v>
      </c>
      <c r="AJ22" s="131">
        <v>1.4</v>
      </c>
      <c r="AK22" s="131">
        <v>1.4</v>
      </c>
      <c r="AL22" s="131">
        <v>1.5</v>
      </c>
      <c r="AM22" s="131">
        <v>1.6</v>
      </c>
      <c r="AN22" s="131">
        <v>1.5</v>
      </c>
      <c r="AO22" s="131">
        <v>1.6</v>
      </c>
      <c r="AP22" s="131">
        <v>1.7</v>
      </c>
      <c r="AQ22" s="131">
        <v>1.7</v>
      </c>
      <c r="AR22" s="131">
        <v>1.7572926909210096</v>
      </c>
      <c r="AS22" s="131">
        <v>1.7950573215635199</v>
      </c>
      <c r="AT22" s="131">
        <v>1.7</v>
      </c>
      <c r="AU22" s="131">
        <v>1.7</v>
      </c>
      <c r="AV22" s="131">
        <v>1.6</v>
      </c>
      <c r="AW22" s="131">
        <v>1.6</v>
      </c>
      <c r="AX22" s="131">
        <v>1.9</v>
      </c>
      <c r="AY22" s="131">
        <v>1.8</v>
      </c>
      <c r="AZ22" s="131">
        <v>1.8</v>
      </c>
      <c r="BA22" s="131">
        <v>1.8</v>
      </c>
      <c r="BB22" s="131">
        <v>1.7</v>
      </c>
      <c r="BC22" s="131">
        <v>1.7</v>
      </c>
      <c r="BD22" s="131">
        <v>1.7</v>
      </c>
      <c r="BE22" s="131">
        <v>1.8</v>
      </c>
      <c r="BF22" s="131">
        <v>1.8</v>
      </c>
      <c r="BG22" s="131">
        <v>1.7</v>
      </c>
      <c r="BH22" s="131">
        <v>1.7</v>
      </c>
      <c r="BI22" s="131">
        <v>1.7</v>
      </c>
      <c r="BJ22" s="131">
        <v>1.8</v>
      </c>
      <c r="BK22" s="131">
        <v>1.8</v>
      </c>
      <c r="BL22" s="131">
        <v>1.65</v>
      </c>
      <c r="BM22" s="131">
        <v>1.72</v>
      </c>
      <c r="BN22" s="131"/>
      <c r="BO22" s="187"/>
    </row>
    <row r="23" spans="1:86">
      <c r="A23" s="144" t="s">
        <v>130</v>
      </c>
      <c r="B23" s="61" t="s">
        <v>25</v>
      </c>
      <c r="C23" s="56"/>
      <c r="D23" s="69" t="s">
        <v>44</v>
      </c>
      <c r="E23" s="69" t="s">
        <v>44</v>
      </c>
      <c r="F23" s="69" t="s">
        <v>44</v>
      </c>
      <c r="G23" s="69" t="s">
        <v>44</v>
      </c>
      <c r="H23" s="69" t="s">
        <v>44</v>
      </c>
      <c r="I23" s="69" t="s">
        <v>44</v>
      </c>
      <c r="J23" s="69" t="s">
        <v>44</v>
      </c>
      <c r="K23" s="69" t="s">
        <v>44</v>
      </c>
      <c r="L23" s="69" t="s">
        <v>44</v>
      </c>
      <c r="M23" s="69" t="s">
        <v>44</v>
      </c>
      <c r="N23" s="69" t="s">
        <v>44</v>
      </c>
      <c r="O23" s="69">
        <v>0.3</v>
      </c>
      <c r="P23" s="69">
        <v>0.6</v>
      </c>
      <c r="Q23" s="69">
        <v>0.3</v>
      </c>
      <c r="R23" s="69">
        <v>0.3</v>
      </c>
      <c r="S23" s="69">
        <v>0.2</v>
      </c>
      <c r="T23" s="69">
        <v>0.2</v>
      </c>
      <c r="U23" s="69">
        <v>0.2</v>
      </c>
      <c r="V23" s="69">
        <v>0.2</v>
      </c>
      <c r="W23" s="69">
        <v>0.2</v>
      </c>
      <c r="X23" s="69">
        <v>0.2</v>
      </c>
      <c r="Y23" s="69">
        <v>0.2</v>
      </c>
      <c r="Z23" s="69">
        <v>0.3</v>
      </c>
      <c r="AA23" s="69">
        <v>0.2</v>
      </c>
      <c r="AB23" s="69">
        <v>0.3</v>
      </c>
      <c r="AC23" s="69">
        <v>0.3</v>
      </c>
      <c r="AD23" s="69">
        <v>0.3</v>
      </c>
      <c r="AE23" s="69">
        <v>0.5</v>
      </c>
      <c r="AF23" s="69">
        <v>0.5</v>
      </c>
      <c r="AG23" s="69">
        <v>0.5</v>
      </c>
      <c r="AH23" s="69">
        <v>0.5</v>
      </c>
      <c r="AI23" s="69">
        <v>0.5</v>
      </c>
      <c r="AJ23" s="69">
        <v>0.5</v>
      </c>
      <c r="AK23" s="69">
        <v>0.4</v>
      </c>
      <c r="AL23" s="69">
        <v>0.5</v>
      </c>
      <c r="AM23" s="69">
        <v>0.5</v>
      </c>
      <c r="AN23" s="69">
        <v>0.6</v>
      </c>
      <c r="AO23" s="69">
        <v>0.6</v>
      </c>
      <c r="AP23" s="69">
        <v>0.6</v>
      </c>
      <c r="AQ23" s="69">
        <v>0.6</v>
      </c>
      <c r="AR23" s="69">
        <v>0.7</v>
      </c>
      <c r="AS23" s="69">
        <v>0.7</v>
      </c>
      <c r="AT23" s="69">
        <v>0.7</v>
      </c>
      <c r="AU23" s="69">
        <v>0.8</v>
      </c>
      <c r="AV23" s="69">
        <v>0.8</v>
      </c>
      <c r="AW23" s="69">
        <v>0.8</v>
      </c>
      <c r="AX23" s="69">
        <v>0.9</v>
      </c>
      <c r="AY23" s="69">
        <v>0.9</v>
      </c>
      <c r="AZ23" s="69">
        <v>0.9</v>
      </c>
      <c r="BA23" s="69">
        <v>0.9</v>
      </c>
      <c r="BB23" s="69">
        <v>0.9</v>
      </c>
      <c r="BC23" s="69">
        <v>0.9</v>
      </c>
      <c r="BD23" s="69">
        <v>0.9</v>
      </c>
      <c r="BE23" s="69">
        <v>0.9</v>
      </c>
      <c r="BF23" s="69">
        <v>0.9</v>
      </c>
      <c r="BG23" s="69">
        <v>1.4</v>
      </c>
      <c r="BH23" s="69">
        <v>1.6</v>
      </c>
      <c r="BI23" s="69">
        <v>1.5</v>
      </c>
      <c r="BJ23" s="69">
        <v>1.5</v>
      </c>
      <c r="BK23" s="69">
        <v>1.4</v>
      </c>
      <c r="BL23" s="69">
        <v>1.1000000000000001</v>
      </c>
      <c r="BM23" s="69">
        <v>1.4</v>
      </c>
      <c r="BN23" s="69">
        <v>1.4</v>
      </c>
      <c r="BO23" s="187"/>
      <c r="BP23" s="50"/>
      <c r="BQ23" s="1"/>
      <c r="BR23" s="1"/>
      <c r="BS23" s="1"/>
      <c r="BT23" s="1"/>
      <c r="BU23" s="1"/>
      <c r="BV23" s="1"/>
      <c r="BW23" s="1"/>
      <c r="BX23" s="1"/>
      <c r="BY23" s="1"/>
      <c r="BZ23" s="1"/>
      <c r="CA23" s="1"/>
      <c r="CB23" s="1"/>
      <c r="CC23" s="1"/>
      <c r="CD23" s="1"/>
      <c r="CE23" s="1"/>
      <c r="CF23" s="1"/>
      <c r="CG23" s="1"/>
    </row>
    <row r="24" spans="1:86" s="50" customFormat="1">
      <c r="A24" s="144" t="s">
        <v>131</v>
      </c>
      <c r="B24" s="132" t="s">
        <v>24</v>
      </c>
      <c r="C24" s="133"/>
      <c r="D24" s="131">
        <v>0.74</v>
      </c>
      <c r="E24" s="131" t="s">
        <v>44</v>
      </c>
      <c r="F24" s="131" t="s">
        <v>44</v>
      </c>
      <c r="G24" s="131">
        <v>0.73</v>
      </c>
      <c r="H24" s="131">
        <v>0.74</v>
      </c>
      <c r="I24" s="131">
        <v>0.79</v>
      </c>
      <c r="J24" s="131">
        <v>0.8</v>
      </c>
      <c r="K24" s="131">
        <v>0.84</v>
      </c>
      <c r="L24" s="131">
        <v>0.87</v>
      </c>
      <c r="M24" s="131">
        <v>0.89</v>
      </c>
      <c r="N24" s="131">
        <v>0.93</v>
      </c>
      <c r="O24" s="131">
        <v>0.99</v>
      </c>
      <c r="P24" s="131">
        <v>1.02</v>
      </c>
      <c r="Q24" s="131">
        <v>1.04</v>
      </c>
      <c r="R24" s="131">
        <v>1.04</v>
      </c>
      <c r="S24" s="131">
        <v>1.07</v>
      </c>
      <c r="T24" s="131">
        <v>1.1100000000000001</v>
      </c>
      <c r="U24" s="131">
        <v>1.1399999999999999</v>
      </c>
      <c r="V24" s="131">
        <v>1.1499999999999999</v>
      </c>
      <c r="W24" s="131">
        <v>1.17</v>
      </c>
      <c r="X24" s="131">
        <v>1.22</v>
      </c>
      <c r="Y24" s="131">
        <v>1.32</v>
      </c>
      <c r="Z24" s="131">
        <v>1.39</v>
      </c>
      <c r="AA24" s="131">
        <v>1.51</v>
      </c>
      <c r="AB24" s="131">
        <v>1.5</v>
      </c>
      <c r="AC24" s="131">
        <v>1.39</v>
      </c>
      <c r="AD24" s="131">
        <v>1.37</v>
      </c>
      <c r="AE24" s="131">
        <v>1.3</v>
      </c>
      <c r="AF24" s="131">
        <v>1.26</v>
      </c>
      <c r="AG24" s="131">
        <v>1.29</v>
      </c>
      <c r="AH24" s="131">
        <v>1.28</v>
      </c>
      <c r="AI24" s="131">
        <v>1.37</v>
      </c>
      <c r="AJ24" s="131">
        <v>1.45</v>
      </c>
      <c r="AK24" s="131">
        <v>1.52</v>
      </c>
      <c r="AL24" s="131">
        <v>1.57</v>
      </c>
      <c r="AM24" s="131">
        <v>1.6</v>
      </c>
      <c r="AN24" s="131">
        <v>1.66</v>
      </c>
      <c r="AO24" s="131">
        <v>1.78</v>
      </c>
      <c r="AP24" s="131">
        <v>1.94</v>
      </c>
      <c r="AQ24" s="131">
        <v>2</v>
      </c>
      <c r="AR24" s="131">
        <v>2.1</v>
      </c>
      <c r="AS24" s="131">
        <v>2.27</v>
      </c>
      <c r="AT24" s="131">
        <v>2.2999999999999998</v>
      </c>
      <c r="AU24" s="131">
        <v>2.25</v>
      </c>
      <c r="AV24" s="131">
        <v>2.15</v>
      </c>
      <c r="AW24" s="131">
        <v>2.08</v>
      </c>
      <c r="AX24" s="131">
        <v>2.04</v>
      </c>
      <c r="AY24" s="131">
        <v>2.02</v>
      </c>
      <c r="AZ24" s="131">
        <v>1.99</v>
      </c>
      <c r="BA24" s="131">
        <v>2.0099999999999998</v>
      </c>
      <c r="BB24" s="131">
        <v>1.99</v>
      </c>
      <c r="BC24" s="131">
        <v>1.87</v>
      </c>
      <c r="BD24" s="131">
        <v>1.87</v>
      </c>
      <c r="BE24" s="131">
        <v>1.84</v>
      </c>
      <c r="BF24" s="131">
        <v>1.77</v>
      </c>
      <c r="BG24" s="131">
        <v>1.81</v>
      </c>
      <c r="BH24" s="131">
        <v>1.73</v>
      </c>
      <c r="BI24" s="131">
        <v>1.7</v>
      </c>
      <c r="BJ24" s="131">
        <v>1.68</v>
      </c>
      <c r="BK24" s="131">
        <v>1.69</v>
      </c>
      <c r="BL24" s="131">
        <v>1.57</v>
      </c>
      <c r="BM24" s="388">
        <v>1.47</v>
      </c>
      <c r="BN24" s="388">
        <v>1.52</v>
      </c>
      <c r="BO24" s="187"/>
    </row>
    <row r="25" spans="1:86">
      <c r="A25" s="144" t="s">
        <v>132</v>
      </c>
      <c r="B25" s="61" t="s">
        <v>23</v>
      </c>
      <c r="C25" s="56"/>
      <c r="D25" s="69" t="s">
        <v>44</v>
      </c>
      <c r="E25" s="69" t="s">
        <v>44</v>
      </c>
      <c r="F25" s="69" t="s">
        <v>44</v>
      </c>
      <c r="G25" s="69" t="s">
        <v>44</v>
      </c>
      <c r="H25" s="69" t="s">
        <v>44</v>
      </c>
      <c r="I25" s="69" t="s">
        <v>44</v>
      </c>
      <c r="J25" s="69" t="s">
        <v>44</v>
      </c>
      <c r="K25" s="69" t="s">
        <v>44</v>
      </c>
      <c r="L25" s="69" t="s">
        <v>44</v>
      </c>
      <c r="M25" s="69" t="s">
        <v>44</v>
      </c>
      <c r="N25" s="69">
        <v>0.4</v>
      </c>
      <c r="O25" s="69">
        <v>0.3</v>
      </c>
      <c r="P25" s="69">
        <v>0.4</v>
      </c>
      <c r="Q25" s="69">
        <v>0.4</v>
      </c>
      <c r="R25" s="69">
        <v>0.4</v>
      </c>
      <c r="S25" s="69">
        <v>0.5</v>
      </c>
      <c r="T25" s="69">
        <v>0.5</v>
      </c>
      <c r="U25" s="69">
        <v>0.6</v>
      </c>
      <c r="V25" s="69">
        <v>0.5</v>
      </c>
      <c r="W25" s="69">
        <v>0.5</v>
      </c>
      <c r="X25" s="69">
        <v>0.6</v>
      </c>
      <c r="Y25" s="69">
        <v>0.6</v>
      </c>
      <c r="Z25" s="69">
        <v>0.7</v>
      </c>
      <c r="AA25" s="69">
        <v>0.7</v>
      </c>
      <c r="AB25" s="69">
        <v>0.9</v>
      </c>
      <c r="AC25" s="69">
        <v>0.9</v>
      </c>
      <c r="AD25" s="69">
        <v>0.9</v>
      </c>
      <c r="AE25" s="69">
        <v>1</v>
      </c>
      <c r="AF25" s="69">
        <v>1</v>
      </c>
      <c r="AG25" s="69">
        <v>1</v>
      </c>
      <c r="AH25" s="69">
        <v>1.1000000000000001</v>
      </c>
      <c r="AI25" s="69">
        <v>1.1000000000000001</v>
      </c>
      <c r="AJ25" s="69">
        <v>1.2</v>
      </c>
      <c r="AK25" s="69">
        <v>1.3</v>
      </c>
      <c r="AL25" s="69">
        <v>1.4</v>
      </c>
      <c r="AM25" s="69">
        <v>1.5</v>
      </c>
      <c r="AN25" s="69">
        <v>1.7</v>
      </c>
      <c r="AO25" s="69">
        <v>2</v>
      </c>
      <c r="AP25" s="69">
        <v>2.5</v>
      </c>
      <c r="AQ25" s="69">
        <v>2.5</v>
      </c>
      <c r="AR25" s="69">
        <v>2.5</v>
      </c>
      <c r="AS25" s="69">
        <v>2.8</v>
      </c>
      <c r="AT25" s="69">
        <v>3</v>
      </c>
      <c r="AU25" s="69">
        <v>3.4</v>
      </c>
      <c r="AV25" s="69">
        <v>2.9</v>
      </c>
      <c r="AW25" s="69">
        <v>2.6</v>
      </c>
      <c r="AX25" s="69">
        <v>2.5</v>
      </c>
      <c r="AY25" s="69">
        <v>2.5</v>
      </c>
      <c r="AZ25" s="69">
        <v>2.4</v>
      </c>
      <c r="BA25" s="69">
        <v>2.5</v>
      </c>
      <c r="BB25" s="69">
        <v>2.2999999999999998</v>
      </c>
      <c r="BC25" s="69">
        <v>2.2999999999999998</v>
      </c>
      <c r="BD25" s="69">
        <v>2.2999999999999998</v>
      </c>
      <c r="BE25" s="69">
        <v>2.2999999999999998</v>
      </c>
      <c r="BF25" s="69">
        <v>2.2999999999999998</v>
      </c>
      <c r="BG25" s="69">
        <v>2.1</v>
      </c>
      <c r="BH25" s="69">
        <v>2.1</v>
      </c>
      <c r="BI25" s="69">
        <v>2.1</v>
      </c>
      <c r="BJ25" s="69">
        <v>2.1</v>
      </c>
      <c r="BK25" s="69">
        <v>2.2000000000000002</v>
      </c>
      <c r="BL25" s="69">
        <v>2.1</v>
      </c>
      <c r="BM25" s="69">
        <v>2</v>
      </c>
      <c r="BN25" s="69">
        <v>1.8</v>
      </c>
      <c r="BO25" s="187"/>
      <c r="BP25" s="50"/>
      <c r="BQ25" s="1"/>
      <c r="BR25" s="1"/>
      <c r="BS25" s="1"/>
      <c r="BT25" s="1"/>
      <c r="BU25" s="1"/>
      <c r="BV25" s="1"/>
      <c r="BW25" s="1"/>
      <c r="BX25" s="1"/>
      <c r="BY25" s="1"/>
      <c r="BZ25" s="1"/>
      <c r="CA25" s="1"/>
      <c r="CB25" s="1"/>
      <c r="CC25" s="1"/>
      <c r="CD25" s="1"/>
      <c r="CE25" s="1"/>
      <c r="CF25" s="1"/>
      <c r="CG25" s="1"/>
    </row>
    <row r="26" spans="1:86">
      <c r="A26" s="144" t="s">
        <v>133</v>
      </c>
      <c r="B26" s="79" t="s">
        <v>4</v>
      </c>
      <c r="C26" s="11"/>
      <c r="D26" s="52">
        <v>2.4</v>
      </c>
      <c r="E26" s="52">
        <v>2.4</v>
      </c>
      <c r="F26" s="52">
        <v>2.5</v>
      </c>
      <c r="G26" s="52">
        <v>2.2999999999999998</v>
      </c>
      <c r="H26" s="52">
        <v>2.2999999999999998</v>
      </c>
      <c r="I26" s="52">
        <v>2.8</v>
      </c>
      <c r="J26" s="52">
        <v>4.8</v>
      </c>
      <c r="K26" s="52">
        <v>4.2</v>
      </c>
      <c r="L26" s="52">
        <v>4.3</v>
      </c>
      <c r="M26" s="52">
        <v>4.4000000000000004</v>
      </c>
      <c r="N26" s="52">
        <v>4.5999999999999996</v>
      </c>
      <c r="O26" s="52">
        <v>4.5999999999999996</v>
      </c>
      <c r="P26" s="52">
        <v>4.5</v>
      </c>
      <c r="Q26" s="52">
        <v>4.8</v>
      </c>
      <c r="R26" s="52">
        <v>4.9000000000000004</v>
      </c>
      <c r="S26" s="52">
        <v>4.8</v>
      </c>
      <c r="T26" s="52">
        <v>5</v>
      </c>
      <c r="U26" s="52">
        <v>5.0999999999999996</v>
      </c>
      <c r="V26" s="52">
        <v>5.0999999999999996</v>
      </c>
      <c r="W26" s="52">
        <v>5.5</v>
      </c>
      <c r="X26" s="52">
        <v>5</v>
      </c>
      <c r="Y26" s="52">
        <v>4.9000000000000004</v>
      </c>
      <c r="Z26" s="52">
        <v>4.8</v>
      </c>
      <c r="AA26" s="52">
        <v>4.9000000000000004</v>
      </c>
      <c r="AB26" s="52">
        <v>4.7</v>
      </c>
      <c r="AC26" s="52">
        <v>4.5</v>
      </c>
      <c r="AD26" s="52">
        <v>4.3</v>
      </c>
      <c r="AE26" s="52">
        <v>4.0999999999999996</v>
      </c>
      <c r="AF26" s="52">
        <v>4.0999999999999996</v>
      </c>
      <c r="AG26" s="52">
        <v>4.2</v>
      </c>
      <c r="AH26" s="52">
        <v>4</v>
      </c>
      <c r="AI26" s="52">
        <v>4.2</v>
      </c>
      <c r="AJ26" s="52">
        <v>5.6</v>
      </c>
      <c r="AK26" s="52">
        <v>4</v>
      </c>
      <c r="AL26" s="52">
        <v>3.3</v>
      </c>
      <c r="AM26" s="52">
        <v>3.1</v>
      </c>
      <c r="AN26" s="52">
        <v>2.5</v>
      </c>
      <c r="AO26" s="52">
        <v>2.5</v>
      </c>
      <c r="AP26" s="52">
        <v>2.6</v>
      </c>
      <c r="AQ26" s="52">
        <v>2.5</v>
      </c>
      <c r="AR26" s="52">
        <v>2.6</v>
      </c>
      <c r="AS26" s="52">
        <v>2.5</v>
      </c>
      <c r="AT26" s="52">
        <v>2.6</v>
      </c>
      <c r="AU26" s="52">
        <v>2.1</v>
      </c>
      <c r="AV26" s="52">
        <v>2.2999999999999998</v>
      </c>
      <c r="AW26" s="52">
        <v>2.8</v>
      </c>
      <c r="AX26" s="52">
        <v>3.3</v>
      </c>
      <c r="AY26" s="52">
        <v>3.4</v>
      </c>
      <c r="AZ26" s="52">
        <v>2.9</v>
      </c>
      <c r="BA26" s="52">
        <v>2.4</v>
      </c>
      <c r="BB26" s="52">
        <v>2.4</v>
      </c>
      <c r="BC26" s="52">
        <v>4</v>
      </c>
      <c r="BD26" s="52">
        <v>3.6</v>
      </c>
      <c r="BE26" s="52">
        <v>3.5</v>
      </c>
      <c r="BF26" s="52">
        <v>3.1</v>
      </c>
      <c r="BG26" s="52">
        <v>2.6</v>
      </c>
      <c r="BH26" s="52">
        <v>3.1</v>
      </c>
      <c r="BI26" s="52">
        <v>3.1</v>
      </c>
      <c r="BJ26" s="52">
        <v>3.1</v>
      </c>
      <c r="BK26" s="52">
        <v>3.1</v>
      </c>
      <c r="BL26" s="52">
        <v>2.7</v>
      </c>
      <c r="BM26" s="52">
        <v>2.5</v>
      </c>
      <c r="BN26" s="52">
        <v>2.9</v>
      </c>
      <c r="BO26" s="187"/>
      <c r="BQ26" s="2"/>
      <c r="BR26" s="1"/>
      <c r="BS26" s="1"/>
      <c r="BT26" s="1"/>
      <c r="BU26" s="1"/>
      <c r="BV26" s="1"/>
      <c r="BW26" s="1"/>
      <c r="BX26" s="1"/>
      <c r="BY26" s="1"/>
      <c r="BZ26" s="1"/>
      <c r="CA26" s="1"/>
      <c r="CB26" s="1"/>
      <c r="CC26" s="1"/>
      <c r="CD26" s="1"/>
      <c r="CE26" s="1"/>
      <c r="CF26" s="1"/>
      <c r="CG26" s="1"/>
    </row>
    <row r="27" spans="1:86" s="2" customFormat="1">
      <c r="A27" s="144" t="s">
        <v>134</v>
      </c>
      <c r="B27" s="61" t="s">
        <v>3</v>
      </c>
      <c r="C27" s="56"/>
      <c r="D27" s="69">
        <v>0.9</v>
      </c>
      <c r="E27" s="69">
        <v>0.9</v>
      </c>
      <c r="F27" s="69">
        <v>0.9</v>
      </c>
      <c r="G27" s="69">
        <v>0.8</v>
      </c>
      <c r="H27" s="69">
        <v>0.9</v>
      </c>
      <c r="I27" s="69">
        <v>0.9</v>
      </c>
      <c r="J27" s="69">
        <v>1.8</v>
      </c>
      <c r="K27" s="69">
        <v>1.8</v>
      </c>
      <c r="L27" s="69">
        <v>2</v>
      </c>
      <c r="M27" s="69">
        <v>2.1</v>
      </c>
      <c r="N27" s="69">
        <v>2.2000000000000002</v>
      </c>
      <c r="O27" s="69">
        <v>2.2000000000000002</v>
      </c>
      <c r="P27" s="69">
        <v>2.2999999999999998</v>
      </c>
      <c r="Q27" s="69">
        <v>2.5</v>
      </c>
      <c r="R27" s="69">
        <v>2.5</v>
      </c>
      <c r="S27" s="69">
        <v>2.7</v>
      </c>
      <c r="T27" s="69">
        <v>2.9</v>
      </c>
      <c r="U27" s="69">
        <v>3.1</v>
      </c>
      <c r="V27" s="69">
        <v>3</v>
      </c>
      <c r="W27" s="69">
        <v>3.2</v>
      </c>
      <c r="X27" s="69">
        <v>3.2</v>
      </c>
      <c r="Y27" s="69">
        <v>3.2</v>
      </c>
      <c r="Z27" s="69">
        <v>3.1</v>
      </c>
      <c r="AA27" s="69">
        <v>3.2</v>
      </c>
      <c r="AB27" s="69">
        <v>3.2</v>
      </c>
      <c r="AC27" s="69">
        <v>3.2</v>
      </c>
      <c r="AD27" s="69">
        <v>3.3</v>
      </c>
      <c r="AE27" s="69">
        <v>3.2</v>
      </c>
      <c r="AF27" s="69">
        <v>3.2</v>
      </c>
      <c r="AG27" s="69">
        <v>3.3</v>
      </c>
      <c r="AH27" s="69">
        <v>3.4</v>
      </c>
      <c r="AI27" s="69">
        <v>4.0999999999999996</v>
      </c>
      <c r="AJ27" s="69">
        <v>3.8</v>
      </c>
      <c r="AK27" s="69">
        <v>3.8</v>
      </c>
      <c r="AL27" s="69">
        <v>3</v>
      </c>
      <c r="AM27" s="69">
        <v>2.8</v>
      </c>
      <c r="AN27" s="69">
        <v>3.1</v>
      </c>
      <c r="AO27" s="69">
        <v>3.2</v>
      </c>
      <c r="AP27" s="69">
        <v>3.3</v>
      </c>
      <c r="AQ27" s="69">
        <v>3.2</v>
      </c>
      <c r="AR27" s="69">
        <v>3.1</v>
      </c>
      <c r="AS27" s="69">
        <v>3.2</v>
      </c>
      <c r="AT27" s="69">
        <v>3.1</v>
      </c>
      <c r="AU27" s="69">
        <v>3.1</v>
      </c>
      <c r="AV27" s="69">
        <v>3.3</v>
      </c>
      <c r="AW27" s="69">
        <v>3.3</v>
      </c>
      <c r="AX27" s="69">
        <v>3.4</v>
      </c>
      <c r="AY27" s="69">
        <v>3.5</v>
      </c>
      <c r="AZ27" s="69">
        <v>3.2</v>
      </c>
      <c r="BA27" s="69">
        <v>2.9</v>
      </c>
      <c r="BB27" s="69">
        <v>3.2</v>
      </c>
      <c r="BC27" s="69">
        <v>3.4</v>
      </c>
      <c r="BD27" s="69">
        <v>3.5</v>
      </c>
      <c r="BE27" s="69">
        <v>3.4</v>
      </c>
      <c r="BF27" s="69">
        <v>3.3</v>
      </c>
      <c r="BG27" s="69">
        <v>3.2</v>
      </c>
      <c r="BH27" s="69">
        <v>3.1</v>
      </c>
      <c r="BI27" s="69">
        <v>3</v>
      </c>
      <c r="BJ27" s="69">
        <v>3.1</v>
      </c>
      <c r="BK27" s="69">
        <v>3.1</v>
      </c>
      <c r="BL27" s="69">
        <v>2.7</v>
      </c>
      <c r="BM27" s="69">
        <v>2.8</v>
      </c>
      <c r="BN27" s="69">
        <v>2.6</v>
      </c>
      <c r="BO27" s="187"/>
      <c r="BP27" s="3"/>
      <c r="BQ27" s="3"/>
      <c r="BR27" s="3"/>
      <c r="BS27" s="3"/>
      <c r="BT27" s="3"/>
      <c r="BU27" s="3"/>
      <c r="BV27" s="3"/>
      <c r="BW27" s="3"/>
      <c r="BX27" s="3"/>
      <c r="BY27" s="3"/>
      <c r="BZ27" s="3"/>
      <c r="CA27" s="3"/>
      <c r="CB27" s="3"/>
      <c r="CC27" s="3"/>
      <c r="CD27" s="3"/>
      <c r="CE27" s="3"/>
      <c r="CF27" s="3"/>
      <c r="CG27" s="3"/>
      <c r="CH27" s="3"/>
    </row>
    <row r="28" spans="1:86">
      <c r="A28" s="144" t="s">
        <v>135</v>
      </c>
      <c r="B28" s="79" t="s">
        <v>22</v>
      </c>
      <c r="C28" s="11"/>
      <c r="D28" s="52">
        <v>0.5</v>
      </c>
      <c r="E28" s="52">
        <v>0.4</v>
      </c>
      <c r="F28" s="52">
        <v>0.4</v>
      </c>
      <c r="G28" s="52">
        <v>0.4</v>
      </c>
      <c r="H28" s="52">
        <v>0.4</v>
      </c>
      <c r="I28" s="52">
        <v>0.4</v>
      </c>
      <c r="J28" s="52">
        <v>0.6</v>
      </c>
      <c r="K28" s="52">
        <v>0.6</v>
      </c>
      <c r="L28" s="52">
        <v>0.6</v>
      </c>
      <c r="M28" s="52">
        <v>0.6</v>
      </c>
      <c r="N28" s="52">
        <v>0.6</v>
      </c>
      <c r="O28" s="52">
        <v>0.7</v>
      </c>
      <c r="P28" s="52">
        <v>0.8</v>
      </c>
      <c r="Q28" s="52">
        <v>0.8</v>
      </c>
      <c r="R28" s="52">
        <v>0.8</v>
      </c>
      <c r="S28" s="52">
        <v>0.6</v>
      </c>
      <c r="T28" s="52">
        <v>1</v>
      </c>
      <c r="U28" s="52">
        <v>1.1000000000000001</v>
      </c>
      <c r="V28" s="52">
        <v>1.5</v>
      </c>
      <c r="W28" s="52">
        <v>1.2</v>
      </c>
      <c r="X28" s="52">
        <v>1.6</v>
      </c>
      <c r="Y28" s="52">
        <v>1.4</v>
      </c>
      <c r="Z28" s="52">
        <v>1.7</v>
      </c>
      <c r="AA28" s="52">
        <v>1.6</v>
      </c>
      <c r="AB28" s="52">
        <v>1.7</v>
      </c>
      <c r="AC28" s="52">
        <v>1.8</v>
      </c>
      <c r="AD28" s="52">
        <v>1.8</v>
      </c>
      <c r="AE28" s="52">
        <v>2</v>
      </c>
      <c r="AF28" s="52">
        <v>2.1</v>
      </c>
      <c r="AG28" s="52">
        <v>2.2999999999999998</v>
      </c>
      <c r="AH28" s="52">
        <v>2</v>
      </c>
      <c r="AI28" s="52">
        <v>2</v>
      </c>
      <c r="AJ28" s="52">
        <v>1.8</v>
      </c>
      <c r="AK28" s="52">
        <v>1.9</v>
      </c>
      <c r="AL28" s="52">
        <v>1.7</v>
      </c>
      <c r="AM28" s="52">
        <v>1.8</v>
      </c>
      <c r="AN28" s="52">
        <v>2</v>
      </c>
      <c r="AO28" s="52">
        <v>2.4</v>
      </c>
      <c r="AP28" s="52">
        <v>2.4</v>
      </c>
      <c r="AQ28" s="52">
        <v>2.4</v>
      </c>
      <c r="AR28" s="52">
        <v>2.4</v>
      </c>
      <c r="AS28" s="52">
        <v>2.2999999999999998</v>
      </c>
      <c r="AT28" s="52">
        <v>2.4</v>
      </c>
      <c r="AU28" s="52">
        <v>2.2999999999999998</v>
      </c>
      <c r="AV28" s="52">
        <v>2.2999999999999998</v>
      </c>
      <c r="AW28" s="52">
        <v>2.2000000000000002</v>
      </c>
      <c r="AX28" s="52">
        <v>2.5</v>
      </c>
      <c r="AY28" s="52">
        <v>2.2999999999999998</v>
      </c>
      <c r="AZ28" s="52">
        <v>2</v>
      </c>
      <c r="BA28" s="52">
        <v>2.1</v>
      </c>
      <c r="BB28" s="52">
        <v>2.1</v>
      </c>
      <c r="BC28" s="52">
        <v>2.2999999999999998</v>
      </c>
      <c r="BD28" s="52">
        <v>2</v>
      </c>
      <c r="BE28" s="52">
        <v>2.1</v>
      </c>
      <c r="BF28" s="52">
        <v>2.6</v>
      </c>
      <c r="BG28" s="52">
        <v>2.4</v>
      </c>
      <c r="BH28" s="52">
        <v>2.1</v>
      </c>
      <c r="BI28" s="52">
        <v>2</v>
      </c>
      <c r="BJ28" s="52">
        <v>2</v>
      </c>
      <c r="BK28" s="52">
        <v>3.1</v>
      </c>
      <c r="BL28" s="52">
        <v>2.2999999999999998</v>
      </c>
      <c r="BM28" s="52">
        <v>2.2000000000000002</v>
      </c>
      <c r="BN28" s="52">
        <v>1.9</v>
      </c>
      <c r="BO28" s="187"/>
      <c r="BP28" s="50"/>
      <c r="BQ28" s="1"/>
      <c r="BR28" s="1"/>
      <c r="BS28" s="1"/>
      <c r="BT28" s="1"/>
      <c r="BU28" s="1"/>
      <c r="BV28" s="1"/>
      <c r="BW28" s="1"/>
      <c r="BX28" s="1"/>
      <c r="BY28" s="1"/>
      <c r="BZ28" s="1"/>
      <c r="CA28" s="1"/>
      <c r="CB28" s="1"/>
      <c r="CC28" s="1"/>
      <c r="CD28" s="1"/>
      <c r="CE28" s="1"/>
      <c r="CF28" s="1"/>
      <c r="CG28" s="1"/>
    </row>
    <row r="29" spans="1:86" s="50" customFormat="1">
      <c r="A29" s="144" t="s">
        <v>136</v>
      </c>
      <c r="B29" s="2" t="s">
        <v>21</v>
      </c>
      <c r="C29" s="4"/>
      <c r="D29" s="55" t="s">
        <v>44</v>
      </c>
      <c r="E29" s="55" t="s">
        <v>44</v>
      </c>
      <c r="F29" s="55" t="s">
        <v>44</v>
      </c>
      <c r="G29" s="55" t="s">
        <v>44</v>
      </c>
      <c r="H29" s="55" t="s">
        <v>44</v>
      </c>
      <c r="I29" s="55" t="s">
        <v>44</v>
      </c>
      <c r="J29" s="55" t="s">
        <v>44</v>
      </c>
      <c r="K29" s="55" t="s">
        <v>44</v>
      </c>
      <c r="L29" s="55" t="s">
        <v>44</v>
      </c>
      <c r="M29" s="55" t="s">
        <v>44</v>
      </c>
      <c r="N29" s="55">
        <v>0.5968</v>
      </c>
      <c r="O29" s="55" t="s">
        <v>44</v>
      </c>
      <c r="P29" s="55" t="s">
        <v>44</v>
      </c>
      <c r="Q29" s="55" t="s">
        <v>44</v>
      </c>
      <c r="R29" s="55" t="s">
        <v>44</v>
      </c>
      <c r="S29" s="55" t="s">
        <v>44</v>
      </c>
      <c r="T29" s="55" t="s">
        <v>44</v>
      </c>
      <c r="U29" s="55" t="s">
        <v>44</v>
      </c>
      <c r="V29" s="55" t="s">
        <v>44</v>
      </c>
      <c r="W29" s="55" t="s">
        <v>44</v>
      </c>
      <c r="X29" s="55" t="s">
        <v>44</v>
      </c>
      <c r="Y29" s="55" t="s">
        <v>44</v>
      </c>
      <c r="Z29" s="55" t="s">
        <v>44</v>
      </c>
      <c r="AA29" s="55" t="s">
        <v>44</v>
      </c>
      <c r="AB29" s="55" t="s">
        <v>44</v>
      </c>
      <c r="AC29" s="55">
        <v>0.44400000000000001</v>
      </c>
      <c r="AD29" s="55" t="s">
        <v>44</v>
      </c>
      <c r="AE29" s="55" t="s">
        <v>44</v>
      </c>
      <c r="AF29" s="55" t="s">
        <v>44</v>
      </c>
      <c r="AG29" s="55" t="s">
        <v>44</v>
      </c>
      <c r="AH29" s="55" t="s">
        <v>44</v>
      </c>
      <c r="AI29" s="55" t="s">
        <v>44</v>
      </c>
      <c r="AJ29" s="55">
        <v>0.57999999999999996</v>
      </c>
      <c r="AK29" s="55">
        <v>0.36</v>
      </c>
      <c r="AL29" s="55">
        <v>0.35</v>
      </c>
      <c r="AM29" s="55">
        <v>0.41089999999999999</v>
      </c>
      <c r="AN29" s="55">
        <v>0.42</v>
      </c>
      <c r="AO29" s="55">
        <v>0.43</v>
      </c>
      <c r="AP29" s="55">
        <v>0.47</v>
      </c>
      <c r="AQ29" s="55">
        <v>0.5</v>
      </c>
      <c r="AR29" s="55">
        <v>0.52</v>
      </c>
      <c r="AS29" s="55">
        <v>0.57999999999999996</v>
      </c>
      <c r="AT29" s="55">
        <v>0.6</v>
      </c>
      <c r="AU29" s="55">
        <v>0.63</v>
      </c>
      <c r="AV29" s="55">
        <v>0.66</v>
      </c>
      <c r="AW29" s="55">
        <v>0.68720000000000003</v>
      </c>
      <c r="AX29" s="55">
        <v>0.69031223500000005</v>
      </c>
      <c r="AY29" s="55">
        <v>0.73026250650000002</v>
      </c>
      <c r="AZ29" s="55">
        <v>0.76723910849999999</v>
      </c>
      <c r="BA29" s="55">
        <v>0.78383499459999995</v>
      </c>
      <c r="BB29" s="55">
        <v>0.75306622649999999</v>
      </c>
      <c r="BC29" s="55">
        <v>0.78909696669999996</v>
      </c>
      <c r="BD29" s="55">
        <v>0.85011373199999996</v>
      </c>
      <c r="BE29" s="55">
        <v>0.9</v>
      </c>
      <c r="BF29" s="55">
        <v>0.9</v>
      </c>
      <c r="BG29" s="55">
        <v>1</v>
      </c>
      <c r="BH29" s="55">
        <v>1.1000000000000001</v>
      </c>
      <c r="BI29" s="55">
        <v>1.2</v>
      </c>
      <c r="BJ29" s="55">
        <v>1.2</v>
      </c>
      <c r="BK29" s="55">
        <v>1.3</v>
      </c>
      <c r="BL29" s="55">
        <v>0.7</v>
      </c>
      <c r="BM29" s="55">
        <v>1.1599999999999999</v>
      </c>
      <c r="BN29" s="55">
        <v>1.28</v>
      </c>
      <c r="BO29" s="187"/>
    </row>
    <row r="30" spans="1:86">
      <c r="A30" s="144" t="s">
        <v>137</v>
      </c>
      <c r="B30" s="79" t="s">
        <v>20</v>
      </c>
      <c r="C30" s="11"/>
      <c r="D30" s="52">
        <v>0.5</v>
      </c>
      <c r="E30" s="52">
        <v>0.5</v>
      </c>
      <c r="F30" s="52">
        <v>0.5</v>
      </c>
      <c r="G30" s="52">
        <v>0.5</v>
      </c>
      <c r="H30" s="52">
        <v>0.5</v>
      </c>
      <c r="I30" s="52">
        <v>0.5</v>
      </c>
      <c r="J30" s="52">
        <v>0.5</v>
      </c>
      <c r="K30" s="52">
        <v>0.6</v>
      </c>
      <c r="L30" s="52">
        <v>0.6</v>
      </c>
      <c r="M30" s="52">
        <v>0.7</v>
      </c>
      <c r="N30" s="52">
        <v>0.8</v>
      </c>
      <c r="O30" s="52">
        <v>0.9</v>
      </c>
      <c r="P30" s="52">
        <v>1.1000000000000001</v>
      </c>
      <c r="Q30" s="52">
        <v>1.3</v>
      </c>
      <c r="R30" s="52">
        <v>1.4</v>
      </c>
      <c r="S30" s="52">
        <v>1.5</v>
      </c>
      <c r="T30" s="52">
        <v>1.5</v>
      </c>
      <c r="U30" s="52">
        <v>1.6</v>
      </c>
      <c r="V30" s="52">
        <v>1.6</v>
      </c>
      <c r="W30" s="52">
        <v>1.7</v>
      </c>
      <c r="X30" s="52">
        <v>1.8</v>
      </c>
      <c r="Y30" s="52">
        <v>2</v>
      </c>
      <c r="Z30" s="52">
        <v>2.2000000000000002</v>
      </c>
      <c r="AA30" s="52">
        <v>2.2999999999999998</v>
      </c>
      <c r="AB30" s="52">
        <v>2.4</v>
      </c>
      <c r="AC30" s="52">
        <v>2.2999999999999998</v>
      </c>
      <c r="AD30" s="52">
        <v>2</v>
      </c>
      <c r="AE30" s="52">
        <v>1.9</v>
      </c>
      <c r="AF30" s="52">
        <v>1.9</v>
      </c>
      <c r="AG30" s="52">
        <v>1.9</v>
      </c>
      <c r="AH30" s="52">
        <v>1.9</v>
      </c>
      <c r="AI30" s="52">
        <v>1.9</v>
      </c>
      <c r="AJ30" s="52">
        <v>2</v>
      </c>
      <c r="AK30" s="52">
        <v>2</v>
      </c>
      <c r="AL30" s="52">
        <v>2.4</v>
      </c>
      <c r="AM30" s="52">
        <v>2.2000000000000002</v>
      </c>
      <c r="AN30" s="52">
        <v>2.2000000000000002</v>
      </c>
      <c r="AO30" s="52">
        <v>2.2000000000000002</v>
      </c>
      <c r="AP30" s="52">
        <v>2.1</v>
      </c>
      <c r="AQ30" s="52">
        <v>2.1</v>
      </c>
      <c r="AR30" s="52">
        <v>2.2000000000000002</v>
      </c>
      <c r="AS30" s="52">
        <v>2.2999999999999998</v>
      </c>
      <c r="AT30" s="52">
        <v>2.1</v>
      </c>
      <c r="AU30" s="52">
        <v>1.9</v>
      </c>
      <c r="AV30" s="52">
        <v>1.9</v>
      </c>
      <c r="AW30" s="52">
        <v>2</v>
      </c>
      <c r="AX30" s="52">
        <v>1.9</v>
      </c>
      <c r="AY30" s="52">
        <v>2</v>
      </c>
      <c r="AZ30" s="52">
        <v>2</v>
      </c>
      <c r="BA30" s="52">
        <v>1.9</v>
      </c>
      <c r="BB30" s="52">
        <v>2</v>
      </c>
      <c r="BC30" s="52">
        <v>2</v>
      </c>
      <c r="BD30" s="52">
        <v>2.1</v>
      </c>
      <c r="BE30" s="52">
        <v>2</v>
      </c>
      <c r="BF30" s="52">
        <v>2.1</v>
      </c>
      <c r="BG30" s="52">
        <v>2</v>
      </c>
      <c r="BH30" s="52">
        <v>2</v>
      </c>
      <c r="BI30" s="52">
        <v>1.9</v>
      </c>
      <c r="BJ30" s="52">
        <v>1.8</v>
      </c>
      <c r="BK30" s="52">
        <v>1.7</v>
      </c>
      <c r="BL30" s="52">
        <v>1.7</v>
      </c>
      <c r="BM30" s="52">
        <v>1.5</v>
      </c>
      <c r="BN30" s="52">
        <v>1.3</v>
      </c>
      <c r="BO30" s="187"/>
      <c r="BP30" s="50"/>
      <c r="BQ30" s="1"/>
      <c r="BR30" s="1"/>
      <c r="BS30" s="1"/>
      <c r="BT30" s="1"/>
      <c r="BU30" s="1"/>
      <c r="BV30" s="1"/>
      <c r="BW30" s="1"/>
      <c r="BX30" s="1"/>
      <c r="BY30" s="1"/>
      <c r="BZ30" s="1"/>
      <c r="CA30" s="1"/>
      <c r="CB30" s="1"/>
      <c r="CC30" s="1"/>
      <c r="CD30" s="1"/>
      <c r="CE30" s="1"/>
      <c r="CF30" s="1"/>
      <c r="CG30" s="1"/>
    </row>
    <row r="31" spans="1:86">
      <c r="A31" s="144" t="s">
        <v>138</v>
      </c>
      <c r="B31" s="61" t="s">
        <v>19</v>
      </c>
      <c r="C31" s="56"/>
      <c r="D31" s="69" t="s">
        <v>44</v>
      </c>
      <c r="E31" s="69" t="s">
        <v>44</v>
      </c>
      <c r="F31" s="69" t="s">
        <v>44</v>
      </c>
      <c r="G31" s="69" t="s">
        <v>44</v>
      </c>
      <c r="H31" s="69" t="s">
        <v>44</v>
      </c>
      <c r="I31" s="69" t="s">
        <v>44</v>
      </c>
      <c r="J31" s="69" t="s">
        <v>44</v>
      </c>
      <c r="K31" s="69" t="s">
        <v>44</v>
      </c>
      <c r="L31" s="69" t="s">
        <v>44</v>
      </c>
      <c r="M31" s="69" t="s">
        <v>44</v>
      </c>
      <c r="N31" s="69">
        <v>1.1156999999999999</v>
      </c>
      <c r="O31" s="69" t="s">
        <v>44</v>
      </c>
      <c r="P31" s="69" t="s">
        <v>44</v>
      </c>
      <c r="Q31" s="69" t="s">
        <v>44</v>
      </c>
      <c r="R31" s="69" t="s">
        <v>44</v>
      </c>
      <c r="S31" s="69" t="s">
        <v>44</v>
      </c>
      <c r="T31" s="69" t="s">
        <v>44</v>
      </c>
      <c r="U31" s="69" t="s">
        <v>44</v>
      </c>
      <c r="V31" s="69" t="s">
        <v>44</v>
      </c>
      <c r="W31" s="69" t="s">
        <v>44</v>
      </c>
      <c r="X31" s="69" t="s">
        <v>44</v>
      </c>
      <c r="Y31" s="69" t="s">
        <v>44</v>
      </c>
      <c r="Z31" s="69" t="s">
        <v>44</v>
      </c>
      <c r="AA31" s="69" t="s">
        <v>44</v>
      </c>
      <c r="AB31" s="69" t="s">
        <v>44</v>
      </c>
      <c r="AC31" s="69">
        <v>2.6334</v>
      </c>
      <c r="AD31" s="69" t="s">
        <v>44</v>
      </c>
      <c r="AE31" s="69" t="s">
        <v>44</v>
      </c>
      <c r="AF31" s="69" t="s">
        <v>44</v>
      </c>
      <c r="AG31" s="69" t="s">
        <v>44</v>
      </c>
      <c r="AH31" s="69" t="s">
        <v>44</v>
      </c>
      <c r="AI31" s="69" t="s">
        <v>44</v>
      </c>
      <c r="AJ31" s="69">
        <v>2.65</v>
      </c>
      <c r="AK31" s="69" t="s">
        <v>44</v>
      </c>
      <c r="AL31" s="69" t="s">
        <v>44</v>
      </c>
      <c r="AM31" s="69">
        <v>2.6063000000000001</v>
      </c>
      <c r="AN31" s="69">
        <v>2.69</v>
      </c>
      <c r="AO31" s="69">
        <v>2.59</v>
      </c>
      <c r="AP31" s="69">
        <v>2.64</v>
      </c>
      <c r="AQ31" s="69">
        <v>2.59</v>
      </c>
      <c r="AR31" s="69">
        <v>2.5099999999999998</v>
      </c>
      <c r="AS31" s="69">
        <v>2.5</v>
      </c>
      <c r="AT31" s="69">
        <v>2.61</v>
      </c>
      <c r="AU31" s="69">
        <v>2.62</v>
      </c>
      <c r="AV31" s="69">
        <v>2.61</v>
      </c>
      <c r="AW31" s="69">
        <v>2.4327999999999999</v>
      </c>
      <c r="AX31" s="69">
        <v>2.4291999999999998</v>
      </c>
      <c r="AY31" s="69">
        <v>2.2822410897999998</v>
      </c>
      <c r="AZ31" s="69">
        <v>2.2752934010999999</v>
      </c>
      <c r="BA31" s="69">
        <v>2.0244218916999999</v>
      </c>
      <c r="BB31" s="69">
        <v>2.0316864324999999</v>
      </c>
      <c r="BC31" s="69">
        <v>1.9411150458999999</v>
      </c>
      <c r="BD31" s="69">
        <v>1.9817279495</v>
      </c>
      <c r="BE31" s="69">
        <v>1.9</v>
      </c>
      <c r="BF31" s="69">
        <v>1.8</v>
      </c>
      <c r="BG31" s="69">
        <v>1.8268756566674529</v>
      </c>
      <c r="BH31" s="69">
        <v>1.7134407248930279</v>
      </c>
      <c r="BI31" s="69">
        <v>1.646465685770141</v>
      </c>
      <c r="BJ31" s="69">
        <v>1.5087428155104023</v>
      </c>
      <c r="BK31" s="69">
        <v>1.6641536386001112</v>
      </c>
      <c r="BL31" s="69">
        <v>1.5092824690584363</v>
      </c>
      <c r="BM31" s="69">
        <v>1.24</v>
      </c>
      <c r="BN31" s="69">
        <v>1.48</v>
      </c>
      <c r="BO31" s="187"/>
      <c r="BP31" s="50"/>
      <c r="BQ31" s="1"/>
      <c r="BR31" s="1"/>
      <c r="BS31" s="1"/>
      <c r="BT31" s="1"/>
      <c r="BU31" s="1"/>
      <c r="BV31" s="1"/>
      <c r="BW31" s="1"/>
      <c r="BX31" s="1"/>
      <c r="BY31" s="1"/>
      <c r="BZ31" s="1"/>
      <c r="CA31" s="1"/>
      <c r="CB31" s="1"/>
      <c r="CC31" s="1"/>
      <c r="CD31" s="1"/>
      <c r="CE31" s="1"/>
      <c r="CF31" s="1"/>
      <c r="CG31" s="1"/>
    </row>
    <row r="32" spans="1:86">
      <c r="A32" s="144" t="s">
        <v>139</v>
      </c>
      <c r="B32" s="79" t="s">
        <v>18</v>
      </c>
      <c r="C32" s="11"/>
      <c r="D32" s="52">
        <v>0.7</v>
      </c>
      <c r="E32" s="52">
        <v>0.7</v>
      </c>
      <c r="F32" s="52">
        <v>0.7</v>
      </c>
      <c r="G32" s="52">
        <v>0.7</v>
      </c>
      <c r="H32" s="52">
        <v>0.7</v>
      </c>
      <c r="I32" s="52">
        <v>0.7</v>
      </c>
      <c r="J32" s="52">
        <v>0.7</v>
      </c>
      <c r="K32" s="52">
        <v>0.8</v>
      </c>
      <c r="L32" s="52">
        <v>0.8</v>
      </c>
      <c r="M32" s="52">
        <v>0.8</v>
      </c>
      <c r="N32" s="52">
        <v>0.9</v>
      </c>
      <c r="O32" s="52">
        <v>1</v>
      </c>
      <c r="P32" s="52">
        <v>1</v>
      </c>
      <c r="Q32" s="52">
        <v>1.2</v>
      </c>
      <c r="R32" s="52">
        <v>1.3</v>
      </c>
      <c r="S32" s="52">
        <v>1.4</v>
      </c>
      <c r="T32" s="52">
        <v>1.4</v>
      </c>
      <c r="U32" s="52">
        <v>1.5</v>
      </c>
      <c r="V32" s="52">
        <v>1.5</v>
      </c>
      <c r="W32" s="52">
        <v>1.6</v>
      </c>
      <c r="X32" s="52">
        <v>1.6</v>
      </c>
      <c r="Y32" s="52">
        <v>1.7</v>
      </c>
      <c r="Z32" s="52">
        <v>1.7</v>
      </c>
      <c r="AA32" s="52">
        <v>1.9</v>
      </c>
      <c r="AB32" s="52">
        <v>1.9</v>
      </c>
      <c r="AC32" s="52">
        <v>2</v>
      </c>
      <c r="AD32" s="52">
        <v>1.9</v>
      </c>
      <c r="AE32" s="52">
        <v>2</v>
      </c>
      <c r="AF32" s="52">
        <v>2.1</v>
      </c>
      <c r="AG32" s="52">
        <v>2.2000000000000002</v>
      </c>
      <c r="AH32" s="52">
        <v>2.4</v>
      </c>
      <c r="AI32" s="52">
        <v>2.4</v>
      </c>
      <c r="AJ32" s="52">
        <v>2.4</v>
      </c>
      <c r="AK32" s="52">
        <v>2.5</v>
      </c>
      <c r="AL32" s="52">
        <v>2.5</v>
      </c>
      <c r="AM32" s="52">
        <v>2.4</v>
      </c>
      <c r="AN32" s="52">
        <v>2.2999999999999998</v>
      </c>
      <c r="AO32" s="52">
        <v>2.2999999999999998</v>
      </c>
      <c r="AP32" s="52">
        <v>2.1</v>
      </c>
      <c r="AQ32" s="52">
        <v>2</v>
      </c>
      <c r="AR32" s="52">
        <v>2.2000000000000002</v>
      </c>
      <c r="AS32" s="52">
        <v>2.2999999999999998</v>
      </c>
      <c r="AT32" s="52">
        <v>2.2999999999999998</v>
      </c>
      <c r="AU32" s="52">
        <v>2.4</v>
      </c>
      <c r="AV32" s="52">
        <v>2.4</v>
      </c>
      <c r="AW32" s="52">
        <v>2.4</v>
      </c>
      <c r="AX32" s="52">
        <v>2.2999999999999998</v>
      </c>
      <c r="AY32" s="52">
        <v>2.2000000000000002</v>
      </c>
      <c r="AZ32" s="52">
        <v>2.1</v>
      </c>
      <c r="BA32" s="52">
        <v>2.1</v>
      </c>
      <c r="BB32" s="52">
        <v>2.1</v>
      </c>
      <c r="BC32" s="52">
        <v>2.1</v>
      </c>
      <c r="BD32" s="52">
        <v>2</v>
      </c>
      <c r="BE32" s="52">
        <v>2</v>
      </c>
      <c r="BF32" s="52">
        <v>1.9</v>
      </c>
      <c r="BG32" s="52">
        <v>1.9</v>
      </c>
      <c r="BH32" s="52">
        <v>1.9</v>
      </c>
      <c r="BI32" s="52">
        <v>2</v>
      </c>
      <c r="BJ32" s="52">
        <v>1.9</v>
      </c>
      <c r="BK32" s="52">
        <v>1.9</v>
      </c>
      <c r="BL32" s="52">
        <v>1.8</v>
      </c>
      <c r="BM32" s="52">
        <v>1.64</v>
      </c>
      <c r="BN32" s="52">
        <v>1.5</v>
      </c>
      <c r="BO32" s="187"/>
      <c r="BP32" s="50"/>
      <c r="BQ32" s="1"/>
      <c r="BR32" s="1"/>
      <c r="BS32" s="1"/>
      <c r="BT32" s="1"/>
      <c r="BU32" s="1"/>
      <c r="BV32" s="1"/>
      <c r="BW32" s="1"/>
      <c r="BX32" s="1"/>
      <c r="BY32" s="1"/>
      <c r="BZ32" s="1"/>
      <c r="CA32" s="1"/>
      <c r="CB32" s="1"/>
      <c r="CC32" s="1"/>
      <c r="CD32" s="1"/>
      <c r="CE32" s="1"/>
      <c r="CF32" s="1"/>
      <c r="CG32" s="1"/>
    </row>
    <row r="33" spans="1:85">
      <c r="A33" s="144" t="s">
        <v>140</v>
      </c>
      <c r="B33" s="61" t="s">
        <v>17</v>
      </c>
      <c r="C33" s="56"/>
      <c r="D33" s="69">
        <v>0.5</v>
      </c>
      <c r="E33" s="69">
        <v>0.6</v>
      </c>
      <c r="F33" s="69">
        <v>0.6</v>
      </c>
      <c r="G33" s="69">
        <v>0.6</v>
      </c>
      <c r="H33" s="69">
        <v>0.7</v>
      </c>
      <c r="I33" s="69">
        <v>0.7</v>
      </c>
      <c r="J33" s="69">
        <v>0.8</v>
      </c>
      <c r="K33" s="69">
        <v>0.8</v>
      </c>
      <c r="L33" s="69">
        <v>0.9</v>
      </c>
      <c r="M33" s="69">
        <v>1</v>
      </c>
      <c r="N33" s="69">
        <v>1.1000000000000001</v>
      </c>
      <c r="O33" s="69">
        <v>1.1000000000000001</v>
      </c>
      <c r="P33" s="69">
        <v>1.1000000000000001</v>
      </c>
      <c r="Q33" s="69">
        <v>1.2</v>
      </c>
      <c r="R33" s="69">
        <v>1.2</v>
      </c>
      <c r="S33" s="69">
        <v>1.2</v>
      </c>
      <c r="T33" s="69">
        <v>1.1000000000000001</v>
      </c>
      <c r="U33" s="69">
        <v>1.2</v>
      </c>
      <c r="V33" s="69">
        <v>1</v>
      </c>
      <c r="W33" s="69">
        <v>1.1000000000000001</v>
      </c>
      <c r="X33" s="69">
        <v>1.1000000000000001</v>
      </c>
      <c r="Y33" s="69">
        <v>1.1000000000000001</v>
      </c>
      <c r="Z33" s="69">
        <v>1.3</v>
      </c>
      <c r="AA33" s="69">
        <v>1.3</v>
      </c>
      <c r="AB33" s="69">
        <v>1.4</v>
      </c>
      <c r="AC33" s="69">
        <v>1.3</v>
      </c>
      <c r="AD33" s="69">
        <v>1.4</v>
      </c>
      <c r="AE33" s="69">
        <v>1.3</v>
      </c>
      <c r="AF33" s="69">
        <v>1.3</v>
      </c>
      <c r="AG33" s="69">
        <v>1.2</v>
      </c>
      <c r="AH33" s="69">
        <v>1.1000000000000001</v>
      </c>
      <c r="AI33" s="69">
        <v>0.9</v>
      </c>
      <c r="AJ33" s="69">
        <v>0.8</v>
      </c>
      <c r="AK33" s="69">
        <v>0.7</v>
      </c>
      <c r="AL33" s="69">
        <v>0.8</v>
      </c>
      <c r="AM33" s="69">
        <v>1</v>
      </c>
      <c r="AN33" s="69">
        <v>1</v>
      </c>
      <c r="AO33" s="69">
        <v>1.1000000000000001</v>
      </c>
      <c r="AP33" s="69">
        <v>1.2</v>
      </c>
      <c r="AQ33" s="69">
        <v>1.1000000000000001</v>
      </c>
      <c r="AR33" s="69">
        <v>1.1000000000000001</v>
      </c>
      <c r="AS33" s="69">
        <v>1.2</v>
      </c>
      <c r="AT33" s="69">
        <v>1.2</v>
      </c>
      <c r="AU33" s="69">
        <v>1.3</v>
      </c>
      <c r="AV33" s="69">
        <v>1.5</v>
      </c>
      <c r="AW33" s="69">
        <v>1.8</v>
      </c>
      <c r="AX33" s="69">
        <v>1.9</v>
      </c>
      <c r="AY33" s="69">
        <v>1.7</v>
      </c>
      <c r="AZ33" s="69">
        <v>1.7</v>
      </c>
      <c r="BA33" s="69">
        <v>1.7</v>
      </c>
      <c r="BB33" s="69">
        <v>1.6</v>
      </c>
      <c r="BC33" s="69">
        <v>1.7</v>
      </c>
      <c r="BD33" s="69">
        <v>1.7</v>
      </c>
      <c r="BE33" s="69">
        <v>1.7</v>
      </c>
      <c r="BF33" s="69">
        <v>1.7</v>
      </c>
      <c r="BG33" s="69">
        <v>1.8</v>
      </c>
      <c r="BH33" s="69">
        <v>1.7</v>
      </c>
      <c r="BI33" s="69">
        <v>1.7</v>
      </c>
      <c r="BJ33" s="69">
        <v>1.7</v>
      </c>
      <c r="BK33" s="69">
        <v>1.7</v>
      </c>
      <c r="BL33" s="69">
        <v>1.4</v>
      </c>
      <c r="BM33" s="69">
        <v>1.7</v>
      </c>
      <c r="BN33" s="69">
        <v>1.6</v>
      </c>
      <c r="BO33" s="187"/>
      <c r="BP33" s="50"/>
      <c r="BQ33" s="1"/>
      <c r="BR33" s="1"/>
      <c r="BS33" s="1"/>
      <c r="BT33" s="1"/>
      <c r="BU33" s="1"/>
      <c r="BV33" s="1"/>
      <c r="BW33" s="1"/>
      <c r="BX33" s="1"/>
      <c r="BY33" s="1"/>
      <c r="BZ33" s="1"/>
      <c r="CA33" s="1"/>
      <c r="CB33" s="1"/>
      <c r="CC33" s="1"/>
      <c r="CD33" s="1"/>
      <c r="CE33" s="1"/>
      <c r="CF33" s="1"/>
      <c r="CG33" s="1"/>
    </row>
    <row r="34" spans="1:85">
      <c r="A34" s="144" t="s">
        <v>141</v>
      </c>
      <c r="B34" s="79" t="s">
        <v>16</v>
      </c>
      <c r="C34" s="11"/>
      <c r="D34" s="52">
        <v>0.1</v>
      </c>
      <c r="E34" s="52">
        <v>0.1</v>
      </c>
      <c r="F34" s="52">
        <v>0.1</v>
      </c>
      <c r="G34" s="52">
        <v>0.1</v>
      </c>
      <c r="H34" s="52">
        <v>0.1</v>
      </c>
      <c r="I34" s="52">
        <v>0.1</v>
      </c>
      <c r="J34" s="52">
        <v>0.1</v>
      </c>
      <c r="K34" s="52">
        <v>0.1</v>
      </c>
      <c r="L34" s="52">
        <v>0.1</v>
      </c>
      <c r="M34" s="52">
        <v>0.1</v>
      </c>
      <c r="N34" s="52">
        <v>0.1</v>
      </c>
      <c r="O34" s="52">
        <v>0.1</v>
      </c>
      <c r="P34" s="52">
        <v>0.1</v>
      </c>
      <c r="Q34" s="52">
        <v>0.1</v>
      </c>
      <c r="R34" s="52">
        <v>0.1</v>
      </c>
      <c r="S34" s="52">
        <v>0.2</v>
      </c>
      <c r="T34" s="52">
        <v>0.5</v>
      </c>
      <c r="U34" s="52">
        <v>0.8</v>
      </c>
      <c r="V34" s="52">
        <v>0.7</v>
      </c>
      <c r="W34" s="52">
        <v>0.6</v>
      </c>
      <c r="X34" s="52">
        <v>0.6</v>
      </c>
      <c r="Y34" s="52">
        <v>0.7</v>
      </c>
      <c r="Z34" s="52">
        <v>0.7</v>
      </c>
      <c r="AA34" s="52">
        <v>0.8</v>
      </c>
      <c r="AB34" s="52">
        <v>0.7</v>
      </c>
      <c r="AC34" s="52">
        <v>0.9</v>
      </c>
      <c r="AD34" s="52">
        <v>0.8</v>
      </c>
      <c r="AE34" s="52">
        <v>0.9</v>
      </c>
      <c r="AF34" s="52">
        <v>0.9</v>
      </c>
      <c r="AG34" s="52">
        <v>1</v>
      </c>
      <c r="AH34" s="52">
        <v>0.9</v>
      </c>
      <c r="AI34" s="52">
        <v>1.1000000000000001</v>
      </c>
      <c r="AJ34" s="52">
        <v>1.2</v>
      </c>
      <c r="AK34" s="52">
        <v>1.2</v>
      </c>
      <c r="AL34" s="52">
        <v>1.4</v>
      </c>
      <c r="AM34" s="52">
        <v>1.2</v>
      </c>
      <c r="AN34" s="52">
        <v>1.3</v>
      </c>
      <c r="AO34" s="52">
        <v>1.4</v>
      </c>
      <c r="AP34" s="52">
        <v>1.5</v>
      </c>
      <c r="AQ34" s="52">
        <v>1.7</v>
      </c>
      <c r="AR34" s="52">
        <v>1.9</v>
      </c>
      <c r="AS34" s="52">
        <v>1.8</v>
      </c>
      <c r="AT34" s="52">
        <v>2.7</v>
      </c>
      <c r="AU34" s="52">
        <v>2.2000000000000002</v>
      </c>
      <c r="AV34" s="52">
        <v>2.2000000000000002</v>
      </c>
      <c r="AW34" s="52">
        <v>2.2000000000000002</v>
      </c>
      <c r="AX34" s="52">
        <v>2.2999999999999998</v>
      </c>
      <c r="AY34" s="52">
        <v>2.4</v>
      </c>
      <c r="AZ34" s="52">
        <v>2.5</v>
      </c>
      <c r="BA34" s="52">
        <v>2.5</v>
      </c>
      <c r="BB34" s="52">
        <v>2.6</v>
      </c>
      <c r="BC34" s="52">
        <v>2.5</v>
      </c>
      <c r="BD34" s="52">
        <v>2.4</v>
      </c>
      <c r="BE34" s="52">
        <v>2.2000000000000002</v>
      </c>
      <c r="BF34" s="52">
        <v>2.1</v>
      </c>
      <c r="BG34" s="52">
        <v>2.2999999999999998</v>
      </c>
      <c r="BH34" s="52">
        <v>2.2000000000000002</v>
      </c>
      <c r="BI34" s="52">
        <v>2.1</v>
      </c>
      <c r="BJ34" s="52">
        <v>2</v>
      </c>
      <c r="BK34" s="52">
        <v>2</v>
      </c>
      <c r="BL34" s="52">
        <v>1.7</v>
      </c>
      <c r="BM34" s="52">
        <v>1.7</v>
      </c>
      <c r="BN34" s="52">
        <v>1.8</v>
      </c>
      <c r="BO34" s="187"/>
      <c r="BP34" s="50"/>
      <c r="BQ34" s="1"/>
      <c r="BR34" s="1"/>
      <c r="BS34" s="1"/>
      <c r="BT34" s="1"/>
      <c r="BU34" s="1"/>
      <c r="BV34" s="1"/>
      <c r="BW34" s="1"/>
      <c r="BX34" s="1"/>
      <c r="BY34" s="1"/>
      <c r="BZ34" s="1"/>
      <c r="CA34" s="1"/>
      <c r="CB34" s="1"/>
      <c r="CC34" s="1"/>
      <c r="CD34" s="1"/>
      <c r="CE34" s="1"/>
      <c r="CF34" s="1"/>
      <c r="CG34" s="1"/>
    </row>
    <row r="35" spans="1:85">
      <c r="A35" s="144" t="s">
        <v>142</v>
      </c>
      <c r="B35" s="61" t="s">
        <v>190</v>
      </c>
      <c r="C35" s="56"/>
      <c r="D35" s="69">
        <v>0.6</v>
      </c>
      <c r="E35" s="69">
        <v>0.6</v>
      </c>
      <c r="F35" s="69">
        <v>0.6</v>
      </c>
      <c r="G35" s="69">
        <v>0.5</v>
      </c>
      <c r="H35" s="69">
        <v>0.5</v>
      </c>
      <c r="I35" s="69">
        <v>0.6</v>
      </c>
      <c r="J35" s="69">
        <v>0.6</v>
      </c>
      <c r="K35" s="69">
        <v>0.6</v>
      </c>
      <c r="L35" s="69">
        <v>0.7</v>
      </c>
      <c r="M35" s="69">
        <v>0.7</v>
      </c>
      <c r="N35" s="69">
        <v>0.8</v>
      </c>
      <c r="O35" s="69">
        <v>1</v>
      </c>
      <c r="P35" s="69">
        <v>0.9</v>
      </c>
      <c r="Q35" s="69">
        <v>0.9</v>
      </c>
      <c r="R35" s="69">
        <v>1.2</v>
      </c>
      <c r="S35" s="69">
        <v>1.3</v>
      </c>
      <c r="T35" s="69">
        <v>1.3</v>
      </c>
      <c r="U35" s="69">
        <v>1.2</v>
      </c>
      <c r="V35" s="69">
        <v>1.3</v>
      </c>
      <c r="W35" s="69">
        <v>1.2</v>
      </c>
      <c r="X35" s="69">
        <v>1.3</v>
      </c>
      <c r="Y35" s="69">
        <v>1.4</v>
      </c>
      <c r="Z35" s="69">
        <v>1.3</v>
      </c>
      <c r="AA35" s="69">
        <v>1.4</v>
      </c>
      <c r="AB35" s="69">
        <v>1.3</v>
      </c>
      <c r="AC35" s="69">
        <v>1.5</v>
      </c>
      <c r="AD35" s="69">
        <v>1.6</v>
      </c>
      <c r="AE35" s="69">
        <v>1.6</v>
      </c>
      <c r="AF35" s="69">
        <v>1.6</v>
      </c>
      <c r="AG35" s="69">
        <v>1.6</v>
      </c>
      <c r="AH35" s="69">
        <v>1.7</v>
      </c>
      <c r="AI35" s="69">
        <v>1.5</v>
      </c>
      <c r="AJ35" s="69">
        <v>1.5</v>
      </c>
      <c r="AK35" s="69">
        <v>1.5</v>
      </c>
      <c r="AL35" s="69">
        <v>1.6</v>
      </c>
      <c r="AM35" s="69">
        <v>1.7</v>
      </c>
      <c r="AN35" s="69">
        <v>1.7</v>
      </c>
      <c r="AO35" s="69">
        <v>1.7</v>
      </c>
      <c r="AP35" s="69">
        <v>1.7</v>
      </c>
      <c r="AQ35" s="69">
        <v>1.8</v>
      </c>
      <c r="AR35" s="69">
        <v>1.7</v>
      </c>
      <c r="AS35" s="69">
        <v>1.8</v>
      </c>
      <c r="AT35" s="69">
        <v>2</v>
      </c>
      <c r="AU35" s="69">
        <v>2</v>
      </c>
      <c r="AV35" s="69">
        <v>2</v>
      </c>
      <c r="AW35" s="69">
        <v>2.2000000000000002</v>
      </c>
      <c r="AX35" s="69">
        <v>2.4</v>
      </c>
      <c r="AY35" s="69">
        <v>2.2999999999999998</v>
      </c>
      <c r="AZ35" s="69">
        <v>2.4</v>
      </c>
      <c r="BA35" s="69">
        <v>2.4</v>
      </c>
      <c r="BB35" s="69">
        <v>2.2000000000000002</v>
      </c>
      <c r="BC35" s="69">
        <v>2.1</v>
      </c>
      <c r="BD35" s="69">
        <v>2</v>
      </c>
      <c r="BE35" s="69">
        <v>2</v>
      </c>
      <c r="BF35" s="69">
        <v>1.9</v>
      </c>
      <c r="BG35" s="69">
        <v>1.8</v>
      </c>
      <c r="BH35" s="69">
        <v>1.7</v>
      </c>
      <c r="BI35" s="69">
        <v>1.8</v>
      </c>
      <c r="BJ35" s="69">
        <v>1.8</v>
      </c>
      <c r="BK35" s="69">
        <v>1.7</v>
      </c>
      <c r="BL35" s="69">
        <v>1.5</v>
      </c>
      <c r="BM35" s="69">
        <v>1.5</v>
      </c>
      <c r="BN35" s="69">
        <v>1.5</v>
      </c>
      <c r="BO35" s="187"/>
      <c r="BP35" s="50"/>
      <c r="BQ35" s="1"/>
      <c r="BR35" s="1"/>
      <c r="BS35" s="1"/>
      <c r="BT35" s="1"/>
      <c r="BU35" s="1"/>
      <c r="BV35" s="1"/>
      <c r="BW35" s="1"/>
      <c r="BX35" s="1"/>
      <c r="BY35" s="1"/>
      <c r="BZ35" s="1"/>
      <c r="CA35" s="1"/>
      <c r="CB35" s="1"/>
      <c r="CC35" s="1"/>
      <c r="CD35" s="1"/>
      <c r="CE35" s="1"/>
      <c r="CF35" s="1"/>
      <c r="CG35" s="1"/>
    </row>
    <row r="36" spans="1:85">
      <c r="A36" s="144" t="s">
        <v>143</v>
      </c>
      <c r="B36" s="79" t="s">
        <v>14</v>
      </c>
      <c r="C36" s="11"/>
      <c r="D36" s="52">
        <v>1</v>
      </c>
      <c r="E36" s="52">
        <v>1</v>
      </c>
      <c r="F36" s="52">
        <v>1</v>
      </c>
      <c r="G36" s="52">
        <v>1</v>
      </c>
      <c r="H36" s="52">
        <v>1</v>
      </c>
      <c r="I36" s="52">
        <v>1.1000000000000001</v>
      </c>
      <c r="J36" s="52">
        <v>1.1000000000000001</v>
      </c>
      <c r="K36" s="52">
        <v>1.2</v>
      </c>
      <c r="L36" s="52">
        <v>1.2</v>
      </c>
      <c r="M36" s="52">
        <v>1.2</v>
      </c>
      <c r="N36" s="52">
        <v>1.1000000000000001</v>
      </c>
      <c r="O36" s="52">
        <v>1.1000000000000001</v>
      </c>
      <c r="P36" s="52">
        <v>1.1000000000000001</v>
      </c>
      <c r="Q36" s="52">
        <v>1.2</v>
      </c>
      <c r="R36" s="52">
        <v>1.2</v>
      </c>
      <c r="S36" s="52">
        <v>1.2</v>
      </c>
      <c r="T36" s="52">
        <v>1.2</v>
      </c>
      <c r="U36" s="52">
        <v>1.3</v>
      </c>
      <c r="V36" s="52">
        <v>1.4</v>
      </c>
      <c r="W36" s="52">
        <v>1.2</v>
      </c>
      <c r="X36" s="52">
        <v>1.2</v>
      </c>
      <c r="Y36" s="52">
        <v>1.3</v>
      </c>
      <c r="Z36" s="52">
        <v>1.3</v>
      </c>
      <c r="AA36" s="52">
        <v>1.4</v>
      </c>
      <c r="AB36" s="52">
        <v>1.3</v>
      </c>
      <c r="AC36" s="52">
        <v>1.3</v>
      </c>
      <c r="AD36" s="52">
        <v>1.2</v>
      </c>
      <c r="AE36" s="52">
        <v>1.1000000000000001</v>
      </c>
      <c r="AF36" s="52">
        <v>1</v>
      </c>
      <c r="AG36" s="52">
        <v>1.1000000000000001</v>
      </c>
      <c r="AH36" s="52">
        <v>0.9</v>
      </c>
      <c r="AI36" s="52">
        <v>0.9</v>
      </c>
      <c r="AJ36" s="52">
        <v>1</v>
      </c>
      <c r="AK36" s="52">
        <v>1</v>
      </c>
      <c r="AL36" s="52">
        <v>1</v>
      </c>
      <c r="AM36" s="52">
        <v>0.8</v>
      </c>
      <c r="AN36" s="52">
        <v>1</v>
      </c>
      <c r="AO36" s="52">
        <v>1</v>
      </c>
      <c r="AP36" s="52">
        <v>1</v>
      </c>
      <c r="AQ36" s="52">
        <v>1</v>
      </c>
      <c r="AR36" s="52">
        <v>1.1000000000000001</v>
      </c>
      <c r="AS36" s="52">
        <v>1.1000000000000001</v>
      </c>
      <c r="AT36" s="52">
        <v>1.2</v>
      </c>
      <c r="AU36" s="52">
        <v>1.2</v>
      </c>
      <c r="AV36" s="52">
        <v>1.2</v>
      </c>
      <c r="AW36" s="52">
        <v>1.3</v>
      </c>
      <c r="AX36" s="52">
        <v>1.2</v>
      </c>
      <c r="AY36" s="52">
        <v>1.3</v>
      </c>
      <c r="AZ36" s="52">
        <v>1.1000000000000001</v>
      </c>
      <c r="BA36" s="52">
        <v>1.1000000000000001</v>
      </c>
      <c r="BB36" s="52">
        <v>1.2</v>
      </c>
      <c r="BC36" s="52">
        <v>1.1000000000000001</v>
      </c>
      <c r="BD36" s="52">
        <v>1.2</v>
      </c>
      <c r="BE36" s="52">
        <v>1.1000000000000001</v>
      </c>
      <c r="BF36" s="52">
        <v>1.2</v>
      </c>
      <c r="BG36" s="52">
        <v>1.2</v>
      </c>
      <c r="BH36" s="52">
        <v>1.2</v>
      </c>
      <c r="BI36" s="52">
        <v>1.2</v>
      </c>
      <c r="BJ36" s="52">
        <v>1.1000000000000001</v>
      </c>
      <c r="BK36" s="52">
        <v>1.2</v>
      </c>
      <c r="BL36" s="52">
        <v>0.8</v>
      </c>
      <c r="BM36" s="52">
        <v>1.1000000000000001</v>
      </c>
      <c r="BN36" s="52">
        <v>1</v>
      </c>
      <c r="BO36" s="187"/>
      <c r="BP36" s="50"/>
      <c r="BQ36" s="1"/>
      <c r="BR36" s="1"/>
      <c r="BS36" s="1"/>
      <c r="BT36" s="1"/>
      <c r="BU36" s="1"/>
      <c r="BV36" s="1"/>
      <c r="BW36" s="1"/>
      <c r="BX36" s="1"/>
      <c r="BY36" s="1"/>
      <c r="BZ36" s="1"/>
      <c r="CA36" s="1"/>
      <c r="CB36" s="1"/>
      <c r="CC36" s="1"/>
      <c r="CD36" s="1"/>
      <c r="CE36" s="1"/>
      <c r="CF36" s="1"/>
      <c r="CG36" s="1"/>
    </row>
    <row r="37" spans="1:85">
      <c r="A37" s="144" t="s">
        <v>144</v>
      </c>
      <c r="B37" s="61" t="s">
        <v>13</v>
      </c>
      <c r="C37" s="56"/>
      <c r="D37" s="69" t="s">
        <v>44</v>
      </c>
      <c r="E37" s="69" t="s">
        <v>44</v>
      </c>
      <c r="F37" s="69" t="s">
        <v>44</v>
      </c>
      <c r="G37" s="69" t="s">
        <v>44</v>
      </c>
      <c r="H37" s="69" t="s">
        <v>44</v>
      </c>
      <c r="I37" s="69" t="s">
        <v>44</v>
      </c>
      <c r="J37" s="69" t="s">
        <v>44</v>
      </c>
      <c r="K37" s="69" t="s">
        <v>44</v>
      </c>
      <c r="L37" s="69" t="s">
        <v>44</v>
      </c>
      <c r="M37" s="69" t="s">
        <v>44</v>
      </c>
      <c r="N37" s="69" t="s">
        <v>44</v>
      </c>
      <c r="O37" s="69" t="s">
        <v>44</v>
      </c>
      <c r="P37" s="69" t="s">
        <v>44</v>
      </c>
      <c r="Q37" s="69" t="s">
        <v>44</v>
      </c>
      <c r="R37" s="69" t="s">
        <v>44</v>
      </c>
      <c r="S37" s="69" t="s">
        <v>44</v>
      </c>
      <c r="T37" s="69" t="s">
        <v>44</v>
      </c>
      <c r="U37" s="69" t="s">
        <v>44</v>
      </c>
      <c r="V37" s="69" t="s">
        <v>44</v>
      </c>
      <c r="W37" s="69" t="s">
        <v>44</v>
      </c>
      <c r="X37" s="69" t="s">
        <v>44</v>
      </c>
      <c r="Y37" s="69">
        <v>0.3</v>
      </c>
      <c r="Z37" s="69">
        <v>0.6</v>
      </c>
      <c r="AA37" s="69">
        <v>0.5</v>
      </c>
      <c r="AB37" s="69">
        <v>0.5</v>
      </c>
      <c r="AC37" s="69">
        <v>0.5</v>
      </c>
      <c r="AD37" s="69">
        <v>0.5</v>
      </c>
      <c r="AE37" s="69">
        <v>0.5</v>
      </c>
      <c r="AF37" s="69">
        <v>0.6</v>
      </c>
      <c r="AG37" s="69">
        <v>0.6</v>
      </c>
      <c r="AH37" s="69">
        <v>0.6</v>
      </c>
      <c r="AI37" s="69">
        <v>0.7</v>
      </c>
      <c r="AJ37" s="69">
        <v>0.7</v>
      </c>
      <c r="AK37" s="69">
        <v>0.7</v>
      </c>
      <c r="AL37" s="69">
        <v>0.8</v>
      </c>
      <c r="AM37" s="69">
        <v>0.8</v>
      </c>
      <c r="AN37" s="69">
        <v>0.8</v>
      </c>
      <c r="AO37" s="69">
        <v>0.9</v>
      </c>
      <c r="AP37" s="69">
        <v>0.9</v>
      </c>
      <c r="AQ37" s="69">
        <v>0.9</v>
      </c>
      <c r="AR37" s="69">
        <v>0.9</v>
      </c>
      <c r="AS37" s="69">
        <v>1</v>
      </c>
      <c r="AT37" s="69">
        <v>1</v>
      </c>
      <c r="AU37" s="69">
        <v>1.1000000000000001</v>
      </c>
      <c r="AV37" s="69">
        <v>1.2</v>
      </c>
      <c r="AW37" s="69">
        <v>1.7</v>
      </c>
      <c r="AX37" s="69">
        <v>2.9</v>
      </c>
      <c r="AY37" s="69">
        <v>2.8</v>
      </c>
      <c r="AZ37" s="69">
        <v>2.4</v>
      </c>
      <c r="BA37" s="69">
        <v>2.1</v>
      </c>
      <c r="BB37" s="69">
        <v>2.2000000000000002</v>
      </c>
      <c r="BC37" s="69">
        <v>2.2000000000000002</v>
      </c>
      <c r="BD37" s="69">
        <v>2.2000000000000002</v>
      </c>
      <c r="BE37" s="69">
        <v>2</v>
      </c>
      <c r="BF37" s="69">
        <v>2.2000000000000002</v>
      </c>
      <c r="BG37" s="69">
        <v>2.1</v>
      </c>
      <c r="BH37" s="69">
        <v>2.1</v>
      </c>
      <c r="BI37" s="69">
        <v>2.1</v>
      </c>
      <c r="BJ37" s="69">
        <v>2</v>
      </c>
      <c r="BK37" s="69">
        <v>1.9</v>
      </c>
      <c r="BL37" s="69">
        <v>1.6</v>
      </c>
      <c r="BM37" s="69">
        <v>1.8</v>
      </c>
      <c r="BN37" s="69">
        <v>1.7</v>
      </c>
      <c r="BO37" s="187"/>
      <c r="BP37" s="50"/>
      <c r="BQ37" s="1"/>
      <c r="BR37" s="1"/>
      <c r="BS37" s="1"/>
      <c r="BT37" s="1"/>
      <c r="BU37" s="1"/>
      <c r="BV37" s="1"/>
      <c r="BW37" s="1"/>
      <c r="BX37" s="1"/>
      <c r="BY37" s="1"/>
      <c r="BZ37" s="1"/>
      <c r="CA37" s="1"/>
      <c r="CB37" s="1"/>
      <c r="CC37" s="1"/>
      <c r="CD37" s="1"/>
      <c r="CE37" s="1"/>
      <c r="CF37" s="1"/>
      <c r="CG37" s="1"/>
    </row>
    <row r="38" spans="1:85">
      <c r="A38" s="144" t="s">
        <v>145</v>
      </c>
      <c r="B38" s="79" t="s">
        <v>12</v>
      </c>
      <c r="C38" s="11"/>
      <c r="D38" s="52">
        <v>1.2</v>
      </c>
      <c r="E38" s="52">
        <v>1.2</v>
      </c>
      <c r="F38" s="52">
        <v>1.2</v>
      </c>
      <c r="G38" s="52">
        <v>1.1000000000000001</v>
      </c>
      <c r="H38" s="52">
        <v>1.2</v>
      </c>
      <c r="I38" s="52">
        <v>1.2</v>
      </c>
      <c r="J38" s="52">
        <v>1.3</v>
      </c>
      <c r="K38" s="52">
        <v>1.4</v>
      </c>
      <c r="L38" s="52">
        <v>1.4</v>
      </c>
      <c r="M38" s="52">
        <v>1.5</v>
      </c>
      <c r="N38" s="52">
        <v>1.6</v>
      </c>
      <c r="O38" s="52">
        <v>1.7</v>
      </c>
      <c r="P38" s="52">
        <v>1.9</v>
      </c>
      <c r="Q38" s="52">
        <v>2</v>
      </c>
      <c r="R38" s="52">
        <v>3.3</v>
      </c>
      <c r="S38" s="52">
        <v>3.1</v>
      </c>
      <c r="T38" s="52">
        <v>2.6</v>
      </c>
      <c r="U38" s="52">
        <v>2.5</v>
      </c>
      <c r="V38" s="52">
        <v>2.5</v>
      </c>
      <c r="W38" s="52">
        <v>2.5</v>
      </c>
      <c r="X38" s="52">
        <v>2.4</v>
      </c>
      <c r="Y38" s="52">
        <v>2.4</v>
      </c>
      <c r="Z38" s="52">
        <v>2.5</v>
      </c>
      <c r="AA38" s="52">
        <v>2.5</v>
      </c>
      <c r="AB38" s="52">
        <v>2.4</v>
      </c>
      <c r="AC38" s="52">
        <v>2.4</v>
      </c>
      <c r="AD38" s="52">
        <v>2.2999999999999998</v>
      </c>
      <c r="AE38" s="52">
        <v>2.2000000000000002</v>
      </c>
      <c r="AF38" s="52">
        <v>2.1</v>
      </c>
      <c r="AG38" s="52">
        <v>2.2000000000000002</v>
      </c>
      <c r="AH38" s="52">
        <v>2.2999999999999998</v>
      </c>
      <c r="AI38" s="52">
        <v>2.2999999999999998</v>
      </c>
      <c r="AJ38" s="52">
        <v>2.5</v>
      </c>
      <c r="AK38" s="52">
        <v>2.5</v>
      </c>
      <c r="AL38" s="52">
        <v>2.5</v>
      </c>
      <c r="AM38" s="52">
        <v>2.6</v>
      </c>
      <c r="AN38" s="52">
        <v>2.4</v>
      </c>
      <c r="AO38" s="52">
        <v>2.4</v>
      </c>
      <c r="AP38" s="52">
        <v>2.2999999999999998</v>
      </c>
      <c r="AQ38" s="52">
        <v>2.4</v>
      </c>
      <c r="AR38" s="52">
        <v>2.4</v>
      </c>
      <c r="AS38" s="52">
        <v>2.4</v>
      </c>
      <c r="AT38" s="52">
        <v>2.4</v>
      </c>
      <c r="AU38" s="52">
        <v>2.4</v>
      </c>
      <c r="AV38" s="52">
        <v>2.2000000000000002</v>
      </c>
      <c r="AW38" s="52">
        <v>2.2000000000000002</v>
      </c>
      <c r="AX38" s="52">
        <v>2.2000000000000002</v>
      </c>
      <c r="AY38" s="52">
        <v>2.2999999999999998</v>
      </c>
      <c r="AZ38" s="52">
        <v>2.2999999999999998</v>
      </c>
      <c r="BA38" s="52">
        <v>2.4</v>
      </c>
      <c r="BB38" s="52">
        <v>2.5</v>
      </c>
      <c r="BC38" s="52">
        <v>2.5</v>
      </c>
      <c r="BD38" s="52">
        <v>2.5</v>
      </c>
      <c r="BE38" s="52">
        <v>2.8</v>
      </c>
      <c r="BF38" s="52">
        <v>2.7</v>
      </c>
      <c r="BG38" s="52">
        <v>2.5</v>
      </c>
      <c r="BH38" s="52">
        <v>2.4</v>
      </c>
      <c r="BI38" s="52">
        <v>2.4</v>
      </c>
      <c r="BJ38" s="52">
        <v>2.5</v>
      </c>
      <c r="BK38" s="52">
        <v>2.5</v>
      </c>
      <c r="BL38" s="52">
        <v>2.5</v>
      </c>
      <c r="BM38" s="52">
        <v>2.2999999999999998</v>
      </c>
      <c r="BN38" s="52">
        <v>2.1</v>
      </c>
      <c r="BO38" s="187"/>
      <c r="BP38" s="50"/>
      <c r="BQ38" s="1"/>
      <c r="BR38" s="1"/>
      <c r="BS38" s="1"/>
      <c r="BT38" s="1"/>
      <c r="BU38" s="1"/>
      <c r="BV38" s="1"/>
      <c r="BW38" s="1"/>
      <c r="BX38" s="1"/>
      <c r="BY38" s="1"/>
      <c r="BZ38" s="1"/>
      <c r="CA38" s="1"/>
      <c r="CB38" s="1"/>
      <c r="CC38" s="1"/>
      <c r="CD38" s="1"/>
      <c r="CE38" s="1"/>
      <c r="CF38" s="1"/>
      <c r="CG38" s="1"/>
    </row>
    <row r="39" spans="1:85">
      <c r="A39" s="144" t="s">
        <v>146</v>
      </c>
      <c r="B39" s="61" t="s">
        <v>11</v>
      </c>
      <c r="C39" s="56"/>
      <c r="D39" s="69">
        <v>0.9</v>
      </c>
      <c r="E39" s="69">
        <v>0.9</v>
      </c>
      <c r="F39" s="69">
        <v>0.8</v>
      </c>
      <c r="G39" s="69">
        <v>0.8</v>
      </c>
      <c r="H39" s="69">
        <v>0.8</v>
      </c>
      <c r="I39" s="69">
        <v>0.8</v>
      </c>
      <c r="J39" s="69">
        <v>0.8</v>
      </c>
      <c r="K39" s="69">
        <v>0.9</v>
      </c>
      <c r="L39" s="69">
        <v>0.9</v>
      </c>
      <c r="M39" s="69">
        <v>1</v>
      </c>
      <c r="N39" s="69">
        <v>1</v>
      </c>
      <c r="O39" s="69">
        <v>1.1000000000000001</v>
      </c>
      <c r="P39" s="69">
        <v>1.2</v>
      </c>
      <c r="Q39" s="69">
        <v>1.3</v>
      </c>
      <c r="R39" s="69">
        <v>1.3</v>
      </c>
      <c r="S39" s="69">
        <v>1.4</v>
      </c>
      <c r="T39" s="69">
        <v>1.5</v>
      </c>
      <c r="U39" s="69">
        <v>1.7</v>
      </c>
      <c r="V39" s="69">
        <v>1.7</v>
      </c>
      <c r="W39" s="69">
        <v>1.7</v>
      </c>
      <c r="X39" s="69">
        <v>1.7</v>
      </c>
      <c r="Y39" s="69">
        <v>1.8</v>
      </c>
      <c r="Z39" s="69">
        <v>1.8</v>
      </c>
      <c r="AA39" s="69">
        <v>1.8</v>
      </c>
      <c r="AB39" s="69">
        <v>1.7</v>
      </c>
      <c r="AC39" s="69">
        <v>1.8</v>
      </c>
      <c r="AD39" s="69">
        <v>1.8</v>
      </c>
      <c r="AE39" s="69">
        <v>1.8</v>
      </c>
      <c r="AF39" s="69">
        <v>1.9</v>
      </c>
      <c r="AG39" s="69">
        <v>1.9</v>
      </c>
      <c r="AH39" s="69">
        <v>2</v>
      </c>
      <c r="AI39" s="69">
        <v>2</v>
      </c>
      <c r="AJ39" s="69">
        <v>2.1</v>
      </c>
      <c r="AK39" s="69">
        <v>2.2000000000000002</v>
      </c>
      <c r="AL39" s="69">
        <v>2.2000000000000002</v>
      </c>
      <c r="AM39" s="69">
        <v>2.2000000000000002</v>
      </c>
      <c r="AN39" s="69">
        <v>2.2999999999999998</v>
      </c>
      <c r="AO39" s="69">
        <v>2.4</v>
      </c>
      <c r="AP39" s="69">
        <v>2.5</v>
      </c>
      <c r="AQ39" s="69">
        <v>2.9</v>
      </c>
      <c r="AR39" s="69">
        <v>1.5</v>
      </c>
      <c r="AS39" s="69">
        <v>2.2000000000000002</v>
      </c>
      <c r="AT39" s="69">
        <v>2.2000000000000002</v>
      </c>
      <c r="AU39" s="69">
        <v>2.2999999999999998</v>
      </c>
      <c r="AV39" s="69">
        <v>2.4</v>
      </c>
      <c r="AW39" s="69">
        <v>2.9</v>
      </c>
      <c r="AX39" s="69">
        <v>2.8</v>
      </c>
      <c r="AY39" s="69">
        <v>2.6</v>
      </c>
      <c r="AZ39" s="69">
        <v>2.6</v>
      </c>
      <c r="BA39" s="69">
        <v>2.5</v>
      </c>
      <c r="BB39" s="69">
        <v>2.8</v>
      </c>
      <c r="BC39" s="69">
        <v>2.2000000000000002</v>
      </c>
      <c r="BD39" s="69">
        <v>2.2000000000000002</v>
      </c>
      <c r="BE39" s="69">
        <v>2.1</v>
      </c>
      <c r="BF39" s="69">
        <v>2</v>
      </c>
      <c r="BG39" s="69">
        <v>2.1</v>
      </c>
      <c r="BH39" s="69">
        <v>2</v>
      </c>
      <c r="BI39" s="69">
        <v>1.9</v>
      </c>
      <c r="BJ39" s="69">
        <v>1.9</v>
      </c>
      <c r="BK39" s="69">
        <v>2</v>
      </c>
      <c r="BL39" s="69">
        <v>1.9</v>
      </c>
      <c r="BM39" s="69">
        <v>2</v>
      </c>
      <c r="BN39" s="69">
        <v>1.8</v>
      </c>
      <c r="BO39" s="187"/>
      <c r="BP39" s="50"/>
      <c r="BQ39" s="1"/>
      <c r="BR39" s="1"/>
      <c r="BS39" s="1"/>
      <c r="BT39" s="1"/>
      <c r="BU39" s="1"/>
      <c r="BV39" s="1"/>
      <c r="BW39" s="1"/>
      <c r="BX39" s="1"/>
      <c r="BY39" s="1"/>
      <c r="BZ39" s="1"/>
      <c r="CA39" s="1"/>
      <c r="CB39" s="1"/>
      <c r="CC39" s="1"/>
      <c r="CD39" s="1"/>
      <c r="CE39" s="1"/>
      <c r="CF39" s="1"/>
      <c r="CG39" s="1"/>
    </row>
    <row r="40" spans="1:85">
      <c r="A40" s="144" t="s">
        <v>147</v>
      </c>
      <c r="B40" s="79" t="s">
        <v>189</v>
      </c>
      <c r="C40" s="11"/>
      <c r="D40" s="52" t="s">
        <v>44</v>
      </c>
      <c r="E40" s="52" t="s">
        <v>44</v>
      </c>
      <c r="F40" s="52" t="s">
        <v>44</v>
      </c>
      <c r="G40" s="52" t="s">
        <v>44</v>
      </c>
      <c r="H40" s="52" t="s">
        <v>44</v>
      </c>
      <c r="I40" s="52" t="s">
        <v>44</v>
      </c>
      <c r="J40" s="52" t="s">
        <v>44</v>
      </c>
      <c r="K40" s="52" t="s">
        <v>44</v>
      </c>
      <c r="L40" s="52" t="s">
        <v>44</v>
      </c>
      <c r="M40" s="52" t="s">
        <v>44</v>
      </c>
      <c r="N40" s="52" t="s">
        <v>44</v>
      </c>
      <c r="O40" s="52" t="s">
        <v>44</v>
      </c>
      <c r="P40" s="52" t="s">
        <v>44</v>
      </c>
      <c r="Q40" s="52" t="s">
        <v>44</v>
      </c>
      <c r="R40" s="52" t="s">
        <v>44</v>
      </c>
      <c r="S40" s="52" t="s">
        <v>44</v>
      </c>
      <c r="T40" s="52" t="s">
        <v>44</v>
      </c>
      <c r="U40" s="52" t="s">
        <v>44</v>
      </c>
      <c r="V40" s="52" t="s">
        <v>44</v>
      </c>
      <c r="W40" s="52" t="s">
        <v>44</v>
      </c>
      <c r="X40" s="52" t="s">
        <v>44</v>
      </c>
      <c r="Y40" s="52" t="s">
        <v>44</v>
      </c>
      <c r="Z40" s="52" t="s">
        <v>44</v>
      </c>
      <c r="AA40" s="52" t="s">
        <v>44</v>
      </c>
      <c r="AB40" s="52" t="s">
        <v>44</v>
      </c>
      <c r="AC40" s="52" t="s">
        <v>44</v>
      </c>
      <c r="AD40" s="52" t="s">
        <v>44</v>
      </c>
      <c r="AE40" s="52" t="s">
        <v>44</v>
      </c>
      <c r="AF40" s="52" t="s">
        <v>44</v>
      </c>
      <c r="AG40" s="52" t="s">
        <v>44</v>
      </c>
      <c r="AH40" s="52" t="s">
        <v>44</v>
      </c>
      <c r="AI40" s="52" t="s">
        <v>44</v>
      </c>
      <c r="AJ40" s="52" t="s">
        <v>44</v>
      </c>
      <c r="AK40" s="52" t="s">
        <v>44</v>
      </c>
      <c r="AL40" s="52" t="s">
        <v>44</v>
      </c>
      <c r="AM40" s="52" t="s">
        <v>44</v>
      </c>
      <c r="AN40" s="52" t="s">
        <v>44</v>
      </c>
      <c r="AO40" s="52" t="s">
        <v>44</v>
      </c>
      <c r="AP40" s="52" t="s">
        <v>44</v>
      </c>
      <c r="AQ40" s="52" t="s">
        <v>44</v>
      </c>
      <c r="AR40" s="52" t="s">
        <v>44</v>
      </c>
      <c r="AS40" s="52" t="s">
        <v>44</v>
      </c>
      <c r="AT40" s="52" t="s">
        <v>44</v>
      </c>
      <c r="AU40" s="52">
        <v>0.8</v>
      </c>
      <c r="AV40" s="52">
        <v>1.3</v>
      </c>
      <c r="AW40" s="52">
        <v>1.4</v>
      </c>
      <c r="AX40" s="52">
        <v>1.3</v>
      </c>
      <c r="AY40" s="52">
        <v>1.3</v>
      </c>
      <c r="AZ40" s="52">
        <v>1.4</v>
      </c>
      <c r="BA40" s="52">
        <v>1.6</v>
      </c>
      <c r="BB40" s="52">
        <v>1.6</v>
      </c>
      <c r="BC40" s="52">
        <v>1.6</v>
      </c>
      <c r="BD40" s="52">
        <v>1.6</v>
      </c>
      <c r="BE40" s="52">
        <v>1.6</v>
      </c>
      <c r="BF40" s="52">
        <v>1.7</v>
      </c>
      <c r="BG40" s="52">
        <v>1.7</v>
      </c>
      <c r="BH40" s="52">
        <v>1.6</v>
      </c>
      <c r="BI40" s="52">
        <v>1.6</v>
      </c>
      <c r="BJ40" s="52">
        <v>1.7</v>
      </c>
      <c r="BK40" s="52">
        <v>1.9</v>
      </c>
      <c r="BL40" s="52">
        <v>1.62</v>
      </c>
      <c r="BM40" s="52"/>
      <c r="BN40" s="52">
        <v>2.1</v>
      </c>
      <c r="BO40" s="187"/>
      <c r="BP40" s="50"/>
      <c r="BQ40" s="1"/>
      <c r="BR40" s="1"/>
      <c r="BS40" s="1"/>
      <c r="BT40" s="1"/>
      <c r="BU40" s="1"/>
      <c r="BV40" s="1"/>
      <c r="BW40" s="1"/>
      <c r="BX40" s="1"/>
      <c r="BY40" s="1"/>
      <c r="BZ40" s="1"/>
      <c r="CA40" s="1"/>
      <c r="CB40" s="1"/>
      <c r="CC40" s="1"/>
      <c r="CD40" s="1"/>
      <c r="CE40" s="1"/>
      <c r="CF40" s="1"/>
      <c r="CG40" s="1"/>
    </row>
    <row r="41" spans="1:85">
      <c r="A41" s="144" t="s">
        <v>148</v>
      </c>
      <c r="B41" s="61" t="s">
        <v>9</v>
      </c>
      <c r="C41" s="56" t="s">
        <v>220</v>
      </c>
      <c r="D41" s="69" t="s">
        <v>44</v>
      </c>
      <c r="E41" s="69" t="s">
        <v>44</v>
      </c>
      <c r="F41" s="69" t="s">
        <v>44</v>
      </c>
      <c r="G41" s="69" t="s">
        <v>44</v>
      </c>
      <c r="H41" s="69" t="s">
        <v>44</v>
      </c>
      <c r="I41" s="69">
        <v>0.7</v>
      </c>
      <c r="J41" s="69">
        <v>0.7</v>
      </c>
      <c r="K41" s="69">
        <v>0.8</v>
      </c>
      <c r="L41" s="69">
        <v>0.8</v>
      </c>
      <c r="M41" s="69">
        <v>0.9</v>
      </c>
      <c r="N41" s="69">
        <v>1</v>
      </c>
      <c r="O41" s="69">
        <v>1.3</v>
      </c>
      <c r="P41" s="69">
        <v>2.1</v>
      </c>
      <c r="Q41" s="69">
        <v>1.9</v>
      </c>
      <c r="R41" s="69">
        <v>2</v>
      </c>
      <c r="S41" s="69">
        <v>2.1</v>
      </c>
      <c r="T41" s="69">
        <v>2.2999999999999998</v>
      </c>
      <c r="U41" s="69">
        <v>2.2999999999999998</v>
      </c>
      <c r="V41" s="69">
        <v>2.6</v>
      </c>
      <c r="W41" s="69">
        <v>2.5</v>
      </c>
      <c r="X41" s="69">
        <v>2.6</v>
      </c>
      <c r="Y41" s="69">
        <v>2.6</v>
      </c>
      <c r="Z41" s="69">
        <v>2.6</v>
      </c>
      <c r="AA41" s="69">
        <v>2.6</v>
      </c>
      <c r="AB41" s="69">
        <v>2.6</v>
      </c>
      <c r="AC41" s="69">
        <v>2.8</v>
      </c>
      <c r="AD41" s="69">
        <v>2.7</v>
      </c>
      <c r="AE41" s="69">
        <v>2.7</v>
      </c>
      <c r="AF41" s="69">
        <v>2.7</v>
      </c>
      <c r="AG41" s="69">
        <v>2.6</v>
      </c>
      <c r="AH41" s="69">
        <v>2.7</v>
      </c>
      <c r="AI41" s="69">
        <v>2.8</v>
      </c>
      <c r="AJ41" s="69">
        <v>2.8</v>
      </c>
      <c r="AK41" s="69">
        <v>2.9</v>
      </c>
      <c r="AL41" s="69">
        <v>2.7</v>
      </c>
      <c r="AM41" s="69">
        <v>2.9</v>
      </c>
      <c r="AN41" s="69">
        <v>3</v>
      </c>
      <c r="AO41" s="69">
        <v>2.8</v>
      </c>
      <c r="AP41" s="69">
        <v>2.7</v>
      </c>
      <c r="AQ41" s="69">
        <v>2.7</v>
      </c>
      <c r="AR41" s="69">
        <v>2.6</v>
      </c>
      <c r="AS41" s="69">
        <v>2.7</v>
      </c>
      <c r="AT41" s="69">
        <v>2.7</v>
      </c>
      <c r="AU41" s="69">
        <v>2.8</v>
      </c>
      <c r="AV41" s="69">
        <v>2.8</v>
      </c>
      <c r="AW41" s="69">
        <v>2.6</v>
      </c>
      <c r="AX41" s="69">
        <v>2.4</v>
      </c>
      <c r="AY41" s="69">
        <v>2.2999999999999998</v>
      </c>
      <c r="AZ41" s="69">
        <v>2.2000000000000002</v>
      </c>
      <c r="BA41" s="69">
        <v>2</v>
      </c>
      <c r="BB41" s="69">
        <v>2.1</v>
      </c>
      <c r="BC41" s="69">
        <v>2.1</v>
      </c>
      <c r="BD41" s="69">
        <v>2.1</v>
      </c>
      <c r="BE41" s="69">
        <v>2</v>
      </c>
      <c r="BF41" s="69">
        <v>1.9</v>
      </c>
      <c r="BG41" s="69">
        <v>1.7</v>
      </c>
      <c r="BH41" s="69">
        <v>1.8</v>
      </c>
      <c r="BI41" s="69">
        <v>1.7</v>
      </c>
      <c r="BJ41" s="69">
        <v>1.5</v>
      </c>
      <c r="BK41" s="69">
        <v>1.8</v>
      </c>
      <c r="BL41" s="69">
        <v>1.7</v>
      </c>
      <c r="BM41" s="69"/>
      <c r="BN41" s="69"/>
      <c r="BO41" s="187"/>
      <c r="BP41" s="50"/>
      <c r="BQ41" s="1"/>
      <c r="BR41" s="1"/>
      <c r="BS41" s="1"/>
      <c r="BT41" s="1"/>
      <c r="BU41" s="1"/>
      <c r="BV41" s="1"/>
      <c r="BW41" s="1"/>
      <c r="BX41" s="1"/>
      <c r="BY41" s="1"/>
      <c r="BZ41" s="1"/>
      <c r="CA41" s="1"/>
      <c r="CB41" s="1"/>
      <c r="CC41" s="1"/>
      <c r="CD41" s="1"/>
      <c r="CE41" s="1"/>
      <c r="CF41" s="1"/>
      <c r="CG41" s="1"/>
    </row>
    <row r="42" spans="1:85">
      <c r="A42" s="144" t="s">
        <v>149</v>
      </c>
      <c r="B42" s="80" t="s">
        <v>8</v>
      </c>
      <c r="C42" s="8">
        <v>1</v>
      </c>
      <c r="D42" s="7" t="s">
        <v>44</v>
      </c>
      <c r="E42" s="7" t="s">
        <v>44</v>
      </c>
      <c r="F42" s="7" t="s">
        <v>44</v>
      </c>
      <c r="G42" s="7" t="s">
        <v>44</v>
      </c>
      <c r="H42" s="7" t="s">
        <v>44</v>
      </c>
      <c r="I42" s="7" t="s">
        <v>44</v>
      </c>
      <c r="J42" s="7" t="s">
        <v>44</v>
      </c>
      <c r="K42" s="7" t="s">
        <v>44</v>
      </c>
      <c r="L42" s="7" t="s">
        <v>44</v>
      </c>
      <c r="M42" s="7" t="s">
        <v>44</v>
      </c>
      <c r="N42" s="7">
        <v>3.4836</v>
      </c>
      <c r="O42" s="7" t="s">
        <v>44</v>
      </c>
      <c r="P42" s="7" t="s">
        <v>44</v>
      </c>
      <c r="Q42" s="7" t="s">
        <v>44</v>
      </c>
      <c r="R42" s="7" t="s">
        <v>44</v>
      </c>
      <c r="S42" s="7" t="s">
        <v>44</v>
      </c>
      <c r="T42" s="7" t="s">
        <v>44</v>
      </c>
      <c r="U42" s="7" t="s">
        <v>44</v>
      </c>
      <c r="V42" s="7" t="s">
        <v>44</v>
      </c>
      <c r="W42" s="7" t="s">
        <v>44</v>
      </c>
      <c r="X42" s="7" t="s">
        <v>44</v>
      </c>
      <c r="Y42" s="7" t="s">
        <v>44</v>
      </c>
      <c r="Z42" s="7" t="s">
        <v>44</v>
      </c>
      <c r="AA42" s="7" t="s">
        <v>44</v>
      </c>
      <c r="AB42" s="7" t="s">
        <v>44</v>
      </c>
      <c r="AC42" s="7">
        <v>5.0015999999999998</v>
      </c>
      <c r="AD42" s="7" t="s">
        <v>44</v>
      </c>
      <c r="AE42" s="7" t="s">
        <v>44</v>
      </c>
      <c r="AF42" s="7" t="s">
        <v>44</v>
      </c>
      <c r="AG42" s="7" t="s">
        <v>44</v>
      </c>
      <c r="AH42" s="7" t="s">
        <v>44</v>
      </c>
      <c r="AI42" s="7" t="s">
        <v>44</v>
      </c>
      <c r="AJ42" s="7">
        <v>4.76</v>
      </c>
      <c r="AK42" s="7">
        <v>4.5999999999999996</v>
      </c>
      <c r="AL42" s="7">
        <v>4.57</v>
      </c>
      <c r="AM42" s="7">
        <v>4.3901000000000003</v>
      </c>
      <c r="AN42" s="7">
        <v>4.33</v>
      </c>
      <c r="AO42" s="7">
        <v>4.34</v>
      </c>
      <c r="AP42" s="7">
        <v>4.1900000000000004</v>
      </c>
      <c r="AQ42" s="7" t="s">
        <v>44</v>
      </c>
      <c r="AR42" s="7">
        <v>4</v>
      </c>
      <c r="AS42" s="7">
        <v>4</v>
      </c>
      <c r="AT42" s="7">
        <v>3.9</v>
      </c>
      <c r="AU42" s="7">
        <v>3.8</v>
      </c>
      <c r="AV42" s="7">
        <v>3.7</v>
      </c>
      <c r="AW42" s="7">
        <v>3.6</v>
      </c>
      <c r="AX42" s="7">
        <v>3.7</v>
      </c>
      <c r="AY42" s="7">
        <v>3.6</v>
      </c>
      <c r="AZ42" s="7">
        <v>3.5</v>
      </c>
      <c r="BA42" s="7">
        <v>3.5</v>
      </c>
      <c r="BB42" s="7">
        <v>3.6</v>
      </c>
      <c r="BC42" s="7">
        <v>3.6</v>
      </c>
      <c r="BD42" s="7">
        <v>3.4</v>
      </c>
      <c r="BE42" s="7">
        <v>3.3</v>
      </c>
      <c r="BF42" s="7">
        <v>3.2</v>
      </c>
      <c r="BG42" s="7">
        <v>3.1</v>
      </c>
      <c r="BH42" s="7">
        <v>3</v>
      </c>
      <c r="BI42" s="7">
        <v>2.9</v>
      </c>
      <c r="BJ42" s="7">
        <v>2.9</v>
      </c>
      <c r="BK42" s="7">
        <v>2.7</v>
      </c>
      <c r="BL42" s="7">
        <v>2.2989999999999999</v>
      </c>
      <c r="BM42" s="7">
        <v>2.5</v>
      </c>
      <c r="BN42" s="7"/>
      <c r="BO42" s="187"/>
      <c r="BP42" s="50"/>
      <c r="BQ42" s="1"/>
      <c r="BR42" s="1"/>
      <c r="BS42" s="1"/>
      <c r="BT42" s="1"/>
      <c r="BU42" s="1"/>
      <c r="BV42" s="1"/>
      <c r="BW42" s="1"/>
      <c r="BX42" s="1"/>
      <c r="BY42" s="1"/>
      <c r="BZ42" s="1"/>
      <c r="CA42" s="1"/>
      <c r="CB42" s="1"/>
      <c r="CC42" s="1"/>
      <c r="CD42" s="1"/>
      <c r="CE42" s="1"/>
      <c r="CF42" s="1"/>
      <c r="CG42" s="1"/>
    </row>
    <row r="43" spans="1:85">
      <c r="A43" s="144" t="s">
        <v>150</v>
      </c>
      <c r="B43" s="2" t="s">
        <v>73</v>
      </c>
      <c r="D43" s="55" t="s">
        <v>44</v>
      </c>
      <c r="E43" s="55" t="s">
        <v>44</v>
      </c>
      <c r="F43" s="55" t="s">
        <v>44</v>
      </c>
      <c r="G43" s="55" t="s">
        <v>44</v>
      </c>
      <c r="H43" s="55" t="s">
        <v>44</v>
      </c>
      <c r="I43" s="55" t="s">
        <v>44</v>
      </c>
      <c r="J43" s="55" t="s">
        <v>44</v>
      </c>
      <c r="K43" s="55" t="s">
        <v>44</v>
      </c>
      <c r="L43" s="55" t="s">
        <v>44</v>
      </c>
      <c r="M43" s="55" t="s">
        <v>44</v>
      </c>
      <c r="N43" s="55" t="s">
        <v>44</v>
      </c>
      <c r="O43" s="55" t="s">
        <v>44</v>
      </c>
      <c r="P43" s="55" t="s">
        <v>44</v>
      </c>
      <c r="Q43" s="55" t="s">
        <v>44</v>
      </c>
      <c r="R43" s="55" t="s">
        <v>44</v>
      </c>
      <c r="S43" s="55" t="s">
        <v>44</v>
      </c>
      <c r="T43" s="55" t="s">
        <v>44</v>
      </c>
      <c r="U43" s="55" t="s">
        <v>44</v>
      </c>
      <c r="V43" s="55" t="s">
        <v>44</v>
      </c>
      <c r="W43" s="55" t="s">
        <v>44</v>
      </c>
      <c r="X43" s="55" t="s">
        <v>44</v>
      </c>
      <c r="Y43" s="55" t="s">
        <v>44</v>
      </c>
      <c r="Z43" s="55" t="s">
        <v>44</v>
      </c>
      <c r="AA43" s="55" t="s">
        <v>44</v>
      </c>
      <c r="AB43" s="55" t="s">
        <v>44</v>
      </c>
      <c r="AC43" s="55" t="s">
        <v>44</v>
      </c>
      <c r="AD43" s="55" t="s">
        <v>44</v>
      </c>
      <c r="AE43" s="55" t="s">
        <v>44</v>
      </c>
      <c r="AF43" s="55" t="s">
        <v>44</v>
      </c>
      <c r="AG43" s="55" t="s">
        <v>44</v>
      </c>
      <c r="AH43" s="55" t="s">
        <v>44</v>
      </c>
      <c r="AI43" s="55" t="s">
        <v>44</v>
      </c>
      <c r="AJ43" s="55" t="s">
        <v>44</v>
      </c>
      <c r="AK43" s="55" t="s">
        <v>44</v>
      </c>
      <c r="AL43" s="55" t="s">
        <v>44</v>
      </c>
      <c r="AM43" s="55" t="s">
        <v>44</v>
      </c>
      <c r="AN43" s="55" t="s">
        <v>44</v>
      </c>
      <c r="AO43" s="55" t="s">
        <v>44</v>
      </c>
      <c r="AP43" s="55" t="s">
        <v>44</v>
      </c>
      <c r="AQ43" s="55" t="s">
        <v>44</v>
      </c>
      <c r="AR43" s="55" t="s">
        <v>44</v>
      </c>
      <c r="AS43" s="55" t="s">
        <v>44</v>
      </c>
      <c r="AT43" s="55" t="s">
        <v>44</v>
      </c>
      <c r="AU43" s="55" t="s">
        <v>44</v>
      </c>
      <c r="AV43" s="55" t="s">
        <v>44</v>
      </c>
      <c r="AW43" s="55" t="s">
        <v>44</v>
      </c>
      <c r="AX43" s="55" t="s">
        <v>44</v>
      </c>
      <c r="AY43" s="55" t="s">
        <v>44</v>
      </c>
      <c r="AZ43" s="55" t="s">
        <v>44</v>
      </c>
      <c r="BA43" s="55" t="s">
        <v>44</v>
      </c>
      <c r="BB43" s="55" t="s">
        <v>44</v>
      </c>
      <c r="BC43" s="55" t="s">
        <v>44</v>
      </c>
      <c r="BD43" s="55" t="s">
        <v>44</v>
      </c>
      <c r="BE43" s="55" t="s">
        <v>44</v>
      </c>
      <c r="BF43" s="55" t="s">
        <v>44</v>
      </c>
      <c r="BG43" s="55" t="s">
        <v>44</v>
      </c>
      <c r="BH43" s="55" t="s">
        <v>44</v>
      </c>
      <c r="BI43" s="55" t="s">
        <v>44</v>
      </c>
      <c r="BJ43" s="55" t="s">
        <v>44</v>
      </c>
      <c r="BK43" s="55" t="s">
        <v>44</v>
      </c>
      <c r="BL43" s="55" t="s">
        <v>44</v>
      </c>
      <c r="BM43" s="55" t="s">
        <v>44</v>
      </c>
      <c r="BN43" s="55"/>
      <c r="CF43" s="2"/>
      <c r="CG43" s="1"/>
    </row>
    <row r="44" spans="1:85">
      <c r="A44" s="144" t="s">
        <v>151</v>
      </c>
      <c r="B44" s="132" t="s">
        <v>74</v>
      </c>
      <c r="C44" s="133"/>
      <c r="D44" s="131" t="s">
        <v>44</v>
      </c>
      <c r="E44" s="131" t="s">
        <v>44</v>
      </c>
      <c r="F44" s="131" t="s">
        <v>44</v>
      </c>
      <c r="G44" s="131" t="s">
        <v>44</v>
      </c>
      <c r="H44" s="131" t="s">
        <v>44</v>
      </c>
      <c r="I44" s="131" t="s">
        <v>44</v>
      </c>
      <c r="J44" s="131" t="s">
        <v>44</v>
      </c>
      <c r="K44" s="131" t="s">
        <v>44</v>
      </c>
      <c r="L44" s="131" t="s">
        <v>44</v>
      </c>
      <c r="M44" s="131" t="s">
        <v>44</v>
      </c>
      <c r="N44" s="131" t="s">
        <v>44</v>
      </c>
      <c r="O44" s="131" t="s">
        <v>44</v>
      </c>
      <c r="P44" s="131" t="s">
        <v>44</v>
      </c>
      <c r="Q44" s="131" t="s">
        <v>44</v>
      </c>
      <c r="R44" s="131" t="s">
        <v>44</v>
      </c>
      <c r="S44" s="131" t="s">
        <v>44</v>
      </c>
      <c r="T44" s="131" t="s">
        <v>44</v>
      </c>
      <c r="U44" s="131" t="s">
        <v>44</v>
      </c>
      <c r="V44" s="131" t="s">
        <v>44</v>
      </c>
      <c r="W44" s="131" t="s">
        <v>44</v>
      </c>
      <c r="X44" s="131" t="s">
        <v>44</v>
      </c>
      <c r="Y44" s="131" t="s">
        <v>44</v>
      </c>
      <c r="Z44" s="131" t="s">
        <v>44</v>
      </c>
      <c r="AA44" s="131" t="s">
        <v>44</v>
      </c>
      <c r="AB44" s="131" t="s">
        <v>44</v>
      </c>
      <c r="AC44" s="131" t="s">
        <v>44</v>
      </c>
      <c r="AD44" s="131" t="s">
        <v>44</v>
      </c>
      <c r="AE44" s="131" t="s">
        <v>44</v>
      </c>
      <c r="AF44" s="131" t="s">
        <v>44</v>
      </c>
      <c r="AG44" s="131" t="s">
        <v>44</v>
      </c>
      <c r="AH44" s="131" t="s">
        <v>44</v>
      </c>
      <c r="AI44" s="131" t="s">
        <v>44</v>
      </c>
      <c r="AJ44" s="131" t="s">
        <v>44</v>
      </c>
      <c r="AK44" s="131" t="s">
        <v>44</v>
      </c>
      <c r="AL44" s="131" t="s">
        <v>44</v>
      </c>
      <c r="AM44" s="131" t="s">
        <v>44</v>
      </c>
      <c r="AN44" s="131" t="s">
        <v>44</v>
      </c>
      <c r="AO44" s="131" t="s">
        <v>44</v>
      </c>
      <c r="AP44" s="131" t="s">
        <v>44</v>
      </c>
      <c r="AQ44" s="131" t="s">
        <v>44</v>
      </c>
      <c r="AR44" s="131" t="s">
        <v>44</v>
      </c>
      <c r="AS44" s="131" t="s">
        <v>44</v>
      </c>
      <c r="AT44" s="131" t="s">
        <v>44</v>
      </c>
      <c r="AU44" s="131" t="s">
        <v>44</v>
      </c>
      <c r="AV44" s="131" t="s">
        <v>44</v>
      </c>
      <c r="AW44" s="131" t="s">
        <v>44</v>
      </c>
      <c r="AX44" s="131" t="s">
        <v>44</v>
      </c>
      <c r="AY44" s="131" t="s">
        <v>44</v>
      </c>
      <c r="AZ44" s="131" t="s">
        <v>44</v>
      </c>
      <c r="BA44" s="131" t="s">
        <v>44</v>
      </c>
      <c r="BB44" s="131">
        <v>2</v>
      </c>
      <c r="BC44" s="131">
        <v>1.6</v>
      </c>
      <c r="BD44" s="131">
        <v>1.8</v>
      </c>
      <c r="BE44" s="131" t="s">
        <v>44</v>
      </c>
      <c r="BF44" s="131" t="s">
        <v>44</v>
      </c>
      <c r="BG44" s="131" t="s">
        <v>44</v>
      </c>
      <c r="BH44" s="131" t="s">
        <v>44</v>
      </c>
      <c r="BI44" s="131" t="s">
        <v>44</v>
      </c>
      <c r="BJ44" s="131" t="s">
        <v>44</v>
      </c>
      <c r="BK44" s="131" t="s">
        <v>44</v>
      </c>
      <c r="BL44" s="131" t="s">
        <v>44</v>
      </c>
      <c r="BM44" s="131"/>
      <c r="BN44" s="131"/>
      <c r="CF44" s="2"/>
      <c r="CG44" s="1"/>
    </row>
    <row r="45" spans="1:85">
      <c r="A45" s="144" t="s">
        <v>152</v>
      </c>
      <c r="B45" s="2" t="s">
        <v>75</v>
      </c>
      <c r="D45" s="55" t="s">
        <v>44</v>
      </c>
      <c r="E45" s="55" t="s">
        <v>44</v>
      </c>
      <c r="F45" s="55" t="s">
        <v>44</v>
      </c>
      <c r="G45" s="55" t="s">
        <v>44</v>
      </c>
      <c r="H45" s="55" t="s">
        <v>44</v>
      </c>
      <c r="I45" s="55" t="s">
        <v>44</v>
      </c>
      <c r="J45" s="55" t="s">
        <v>44</v>
      </c>
      <c r="K45" s="55" t="s">
        <v>44</v>
      </c>
      <c r="L45" s="55" t="s">
        <v>44</v>
      </c>
      <c r="M45" s="55" t="s">
        <v>44</v>
      </c>
      <c r="N45" s="55" t="s">
        <v>44</v>
      </c>
      <c r="O45" s="55" t="s">
        <v>44</v>
      </c>
      <c r="P45" s="55" t="s">
        <v>44</v>
      </c>
      <c r="Q45" s="55" t="s">
        <v>44</v>
      </c>
      <c r="R45" s="55" t="s">
        <v>44</v>
      </c>
      <c r="S45" s="55" t="s">
        <v>44</v>
      </c>
      <c r="T45" s="55" t="s">
        <v>44</v>
      </c>
      <c r="U45" s="55" t="s">
        <v>44</v>
      </c>
      <c r="V45" s="55" t="s">
        <v>44</v>
      </c>
      <c r="W45" s="55" t="s">
        <v>44</v>
      </c>
      <c r="X45" s="55" t="s">
        <v>44</v>
      </c>
      <c r="Y45" s="55" t="s">
        <v>44</v>
      </c>
      <c r="Z45" s="55" t="s">
        <v>44</v>
      </c>
      <c r="AA45" s="55" t="s">
        <v>44</v>
      </c>
      <c r="AB45" s="55" t="s">
        <v>44</v>
      </c>
      <c r="AC45" s="55" t="s">
        <v>44</v>
      </c>
      <c r="AD45" s="55" t="s">
        <v>44</v>
      </c>
      <c r="AE45" s="55" t="s">
        <v>44</v>
      </c>
      <c r="AF45" s="55" t="s">
        <v>44</v>
      </c>
      <c r="AG45" s="55" t="s">
        <v>44</v>
      </c>
      <c r="AH45" s="55" t="s">
        <v>44</v>
      </c>
      <c r="AI45" s="55" t="s">
        <v>44</v>
      </c>
      <c r="AJ45" s="55" t="s">
        <v>44</v>
      </c>
      <c r="AK45" s="55" t="s">
        <v>44</v>
      </c>
      <c r="AL45" s="55" t="s">
        <v>44</v>
      </c>
      <c r="AM45" s="55" t="s">
        <v>44</v>
      </c>
      <c r="AN45" s="55" t="s">
        <v>44</v>
      </c>
      <c r="AO45" s="55" t="s">
        <v>44</v>
      </c>
      <c r="AP45" s="55" t="s">
        <v>44</v>
      </c>
      <c r="AQ45" s="55" t="s">
        <v>44</v>
      </c>
      <c r="AR45" s="55" t="s">
        <v>44</v>
      </c>
      <c r="AS45" s="55" t="s">
        <v>44</v>
      </c>
      <c r="AT45" s="55" t="s">
        <v>44</v>
      </c>
      <c r="AU45" s="55" t="s">
        <v>44</v>
      </c>
      <c r="AV45" s="55" t="s">
        <v>44</v>
      </c>
      <c r="AW45" s="55" t="s">
        <v>44</v>
      </c>
      <c r="AX45" s="55" t="s">
        <v>44</v>
      </c>
      <c r="AY45" s="55" t="s">
        <v>44</v>
      </c>
      <c r="AZ45" s="55" t="s">
        <v>44</v>
      </c>
      <c r="BA45" s="55" t="s">
        <v>44</v>
      </c>
      <c r="BB45" s="55" t="s">
        <v>44</v>
      </c>
      <c r="BC45" s="55" t="s">
        <v>44</v>
      </c>
      <c r="BD45" s="55" t="s">
        <v>44</v>
      </c>
      <c r="BE45" s="55" t="s">
        <v>44</v>
      </c>
      <c r="BF45" s="55" t="s">
        <v>44</v>
      </c>
      <c r="BG45" s="55" t="s">
        <v>44</v>
      </c>
      <c r="BH45" s="55" t="s">
        <v>44</v>
      </c>
      <c r="BI45" s="55" t="s">
        <v>44</v>
      </c>
      <c r="BJ45" s="55" t="s">
        <v>44</v>
      </c>
      <c r="BK45" s="55" t="s">
        <v>44</v>
      </c>
      <c r="BL45" s="55" t="s">
        <v>44</v>
      </c>
      <c r="BM45" s="55"/>
      <c r="BN45" s="55"/>
      <c r="CF45" s="2"/>
      <c r="CG45" s="1"/>
    </row>
    <row r="46" spans="1:85" s="2" customFormat="1">
      <c r="A46" s="144" t="s">
        <v>153</v>
      </c>
      <c r="B46" s="132" t="s">
        <v>76</v>
      </c>
      <c r="C46" s="133"/>
      <c r="D46" s="131" t="s">
        <v>44</v>
      </c>
      <c r="E46" s="131" t="s">
        <v>44</v>
      </c>
      <c r="F46" s="131" t="s">
        <v>44</v>
      </c>
      <c r="G46" s="131" t="s">
        <v>44</v>
      </c>
      <c r="H46" s="131" t="s">
        <v>44</v>
      </c>
      <c r="I46" s="131" t="s">
        <v>44</v>
      </c>
      <c r="J46" s="131" t="s">
        <v>44</v>
      </c>
      <c r="K46" s="131" t="s">
        <v>44</v>
      </c>
      <c r="L46" s="131" t="s">
        <v>44</v>
      </c>
      <c r="M46" s="131" t="s">
        <v>44</v>
      </c>
      <c r="N46" s="131" t="s">
        <v>44</v>
      </c>
      <c r="O46" s="131" t="s">
        <v>44</v>
      </c>
      <c r="P46" s="131" t="s">
        <v>44</v>
      </c>
      <c r="Q46" s="131" t="s">
        <v>44</v>
      </c>
      <c r="R46" s="131" t="s">
        <v>44</v>
      </c>
      <c r="S46" s="131" t="s">
        <v>44</v>
      </c>
      <c r="T46" s="131" t="s">
        <v>44</v>
      </c>
      <c r="U46" s="131" t="s">
        <v>44</v>
      </c>
      <c r="V46" s="131" t="s">
        <v>44</v>
      </c>
      <c r="W46" s="131" t="s">
        <v>44</v>
      </c>
      <c r="X46" s="131" t="s">
        <v>44</v>
      </c>
      <c r="Y46" s="131" t="s">
        <v>44</v>
      </c>
      <c r="Z46" s="131" t="s">
        <v>44</v>
      </c>
      <c r="AA46" s="131" t="s">
        <v>44</v>
      </c>
      <c r="AB46" s="131" t="s">
        <v>44</v>
      </c>
      <c r="AC46" s="131" t="s">
        <v>44</v>
      </c>
      <c r="AD46" s="131" t="s">
        <v>44</v>
      </c>
      <c r="AE46" s="131" t="s">
        <v>44</v>
      </c>
      <c r="AF46" s="131" t="s">
        <v>44</v>
      </c>
      <c r="AG46" s="131" t="s">
        <v>44</v>
      </c>
      <c r="AH46" s="131" t="s">
        <v>44</v>
      </c>
      <c r="AI46" s="131" t="s">
        <v>44</v>
      </c>
      <c r="AJ46" s="131" t="s">
        <v>44</v>
      </c>
      <c r="AK46" s="131" t="s">
        <v>44</v>
      </c>
      <c r="AL46" s="131" t="s">
        <v>44</v>
      </c>
      <c r="AM46" s="131" t="s">
        <v>44</v>
      </c>
      <c r="AN46" s="131" t="s">
        <v>44</v>
      </c>
      <c r="AO46" s="131" t="s">
        <v>44</v>
      </c>
      <c r="AP46" s="131" t="s">
        <v>44</v>
      </c>
      <c r="AQ46" s="131" t="s">
        <v>44</v>
      </c>
      <c r="AR46" s="131" t="s">
        <v>44</v>
      </c>
      <c r="AS46" s="131" t="s">
        <v>44</v>
      </c>
      <c r="AT46" s="131" t="s">
        <v>44</v>
      </c>
      <c r="AU46" s="131" t="s">
        <v>44</v>
      </c>
      <c r="AV46" s="131" t="s">
        <v>44</v>
      </c>
      <c r="AW46" s="131" t="s">
        <v>44</v>
      </c>
      <c r="AX46" s="131" t="s">
        <v>44</v>
      </c>
      <c r="AY46" s="131" t="s">
        <v>44</v>
      </c>
      <c r="AZ46" s="131" t="s">
        <v>44</v>
      </c>
      <c r="BA46" s="131" t="s">
        <v>44</v>
      </c>
      <c r="BB46" s="131" t="s">
        <v>44</v>
      </c>
      <c r="BC46" s="131" t="s">
        <v>44</v>
      </c>
      <c r="BD46" s="131" t="s">
        <v>44</v>
      </c>
      <c r="BE46" s="131" t="s">
        <v>44</v>
      </c>
      <c r="BF46" s="131" t="s">
        <v>44</v>
      </c>
      <c r="BG46" s="131" t="s">
        <v>44</v>
      </c>
      <c r="BH46" s="131" t="s">
        <v>44</v>
      </c>
      <c r="BI46" s="131" t="s">
        <v>44</v>
      </c>
      <c r="BJ46" s="131" t="s">
        <v>44</v>
      </c>
      <c r="BK46" s="131" t="s">
        <v>44</v>
      </c>
      <c r="BL46" s="131" t="s">
        <v>44</v>
      </c>
      <c r="BM46" s="131"/>
      <c r="BN46" s="131"/>
      <c r="BO46" s="3"/>
      <c r="BP46" s="3"/>
      <c r="BQ46" s="3"/>
      <c r="BR46" s="3"/>
      <c r="BS46" s="3"/>
      <c r="BT46" s="3"/>
      <c r="BU46" s="3"/>
      <c r="BV46" s="3"/>
      <c r="BW46" s="3"/>
      <c r="BX46" s="3"/>
      <c r="BY46" s="3"/>
      <c r="BZ46" s="3"/>
      <c r="CA46" s="3"/>
      <c r="CB46" s="3"/>
      <c r="CC46" s="3"/>
      <c r="CD46" s="3"/>
      <c r="CE46" s="3"/>
    </row>
    <row r="47" spans="1:85" s="2" customFormat="1">
      <c r="A47" s="144" t="s">
        <v>154</v>
      </c>
      <c r="B47" s="2" t="s">
        <v>77</v>
      </c>
      <c r="C47" s="4"/>
      <c r="D47" s="55" t="s">
        <v>44</v>
      </c>
      <c r="E47" s="55" t="s">
        <v>44</v>
      </c>
      <c r="F47" s="55" t="s">
        <v>44</v>
      </c>
      <c r="G47" s="55" t="s">
        <v>44</v>
      </c>
      <c r="H47" s="55" t="s">
        <v>44</v>
      </c>
      <c r="I47" s="55" t="s">
        <v>44</v>
      </c>
      <c r="J47" s="55" t="s">
        <v>44</v>
      </c>
      <c r="K47" s="55" t="s">
        <v>44</v>
      </c>
      <c r="L47" s="55" t="s">
        <v>44</v>
      </c>
      <c r="M47" s="55" t="s">
        <v>44</v>
      </c>
      <c r="N47" s="55" t="s">
        <v>44</v>
      </c>
      <c r="O47" s="55" t="s">
        <v>44</v>
      </c>
      <c r="P47" s="55" t="s">
        <v>44</v>
      </c>
      <c r="Q47" s="55" t="s">
        <v>44</v>
      </c>
      <c r="R47" s="55" t="s">
        <v>44</v>
      </c>
      <c r="S47" s="55" t="s">
        <v>44</v>
      </c>
      <c r="T47" s="55" t="s">
        <v>44</v>
      </c>
      <c r="U47" s="55" t="s">
        <v>44</v>
      </c>
      <c r="V47" s="55" t="s">
        <v>44</v>
      </c>
      <c r="W47" s="55" t="s">
        <v>44</v>
      </c>
      <c r="X47" s="55" t="s">
        <v>44</v>
      </c>
      <c r="Y47" s="55" t="s">
        <v>44</v>
      </c>
      <c r="Z47" s="55" t="s">
        <v>44</v>
      </c>
      <c r="AA47" s="55" t="s">
        <v>44</v>
      </c>
      <c r="AB47" s="55" t="s">
        <v>44</v>
      </c>
      <c r="AC47" s="55" t="s">
        <v>44</v>
      </c>
      <c r="AD47" s="55" t="s">
        <v>44</v>
      </c>
      <c r="AE47" s="55" t="s">
        <v>44</v>
      </c>
      <c r="AF47" s="55" t="s">
        <v>44</v>
      </c>
      <c r="AG47" s="55" t="s">
        <v>44</v>
      </c>
      <c r="AH47" s="55" t="s">
        <v>44</v>
      </c>
      <c r="AI47" s="55" t="s">
        <v>44</v>
      </c>
      <c r="AJ47" s="55" t="s">
        <v>44</v>
      </c>
      <c r="AK47" s="55" t="s">
        <v>44</v>
      </c>
      <c r="AL47" s="55" t="s">
        <v>44</v>
      </c>
      <c r="AM47" s="55" t="s">
        <v>44</v>
      </c>
      <c r="AN47" s="55" t="s">
        <v>44</v>
      </c>
      <c r="AO47" s="55" t="s">
        <v>44</v>
      </c>
      <c r="AP47" s="55" t="s">
        <v>44</v>
      </c>
      <c r="AQ47" s="55" t="s">
        <v>44</v>
      </c>
      <c r="AR47" s="55" t="s">
        <v>44</v>
      </c>
      <c r="AS47" s="55" t="s">
        <v>44</v>
      </c>
      <c r="AT47" s="55" t="s">
        <v>44</v>
      </c>
      <c r="AU47" s="55" t="s">
        <v>44</v>
      </c>
      <c r="AV47" s="55" t="s">
        <v>44</v>
      </c>
      <c r="AW47" s="55" t="s">
        <v>44</v>
      </c>
      <c r="AX47" s="55" t="s">
        <v>44</v>
      </c>
      <c r="AY47" s="55" t="s">
        <v>44</v>
      </c>
      <c r="AZ47" s="55" t="s">
        <v>44</v>
      </c>
      <c r="BA47" s="55" t="s">
        <v>44</v>
      </c>
      <c r="BB47" s="55">
        <v>4.5</v>
      </c>
      <c r="BC47" s="55">
        <v>4.7</v>
      </c>
      <c r="BD47" s="55">
        <v>4.5</v>
      </c>
      <c r="BE47" s="55">
        <v>4.7</v>
      </c>
      <c r="BF47" s="55" t="s">
        <v>44</v>
      </c>
      <c r="BG47" s="55" t="s">
        <v>44</v>
      </c>
      <c r="BH47" s="55" t="s">
        <v>44</v>
      </c>
      <c r="BI47" s="55" t="s">
        <v>44</v>
      </c>
      <c r="BJ47" s="55" t="s">
        <v>44</v>
      </c>
      <c r="BK47" s="55" t="s">
        <v>44</v>
      </c>
      <c r="BL47" s="55" t="s">
        <v>44</v>
      </c>
      <c r="BM47" s="55"/>
      <c r="BN47" s="55"/>
      <c r="BO47" s="3"/>
      <c r="BP47" s="3"/>
      <c r="BQ47" s="3"/>
      <c r="BR47" s="3"/>
      <c r="BS47" s="3"/>
      <c r="BT47" s="3"/>
      <c r="BU47" s="3"/>
      <c r="BV47" s="3"/>
      <c r="BW47" s="3"/>
      <c r="BX47" s="3"/>
      <c r="BY47" s="3"/>
      <c r="BZ47" s="3"/>
      <c r="CA47" s="3"/>
      <c r="CB47" s="3"/>
      <c r="CC47" s="3"/>
      <c r="CD47" s="3"/>
      <c r="CE47" s="3"/>
    </row>
    <row r="48" spans="1:85" s="2" customFormat="1">
      <c r="A48" s="144" t="s">
        <v>155</v>
      </c>
      <c r="B48" s="132" t="s">
        <v>78</v>
      </c>
      <c r="C48" s="133"/>
      <c r="D48" s="131" t="s">
        <v>44</v>
      </c>
      <c r="E48" s="131" t="s">
        <v>44</v>
      </c>
      <c r="F48" s="131" t="s">
        <v>44</v>
      </c>
      <c r="G48" s="131" t="s">
        <v>44</v>
      </c>
      <c r="H48" s="131" t="s">
        <v>44</v>
      </c>
      <c r="I48" s="131" t="s">
        <v>44</v>
      </c>
      <c r="J48" s="131" t="s">
        <v>44</v>
      </c>
      <c r="K48" s="131" t="s">
        <v>44</v>
      </c>
      <c r="L48" s="131" t="s">
        <v>44</v>
      </c>
      <c r="M48" s="131" t="s">
        <v>44</v>
      </c>
      <c r="N48" s="131" t="s">
        <v>44</v>
      </c>
      <c r="O48" s="131" t="s">
        <v>44</v>
      </c>
      <c r="P48" s="131" t="s">
        <v>44</v>
      </c>
      <c r="Q48" s="131" t="s">
        <v>44</v>
      </c>
      <c r="R48" s="131" t="s">
        <v>44</v>
      </c>
      <c r="S48" s="131" t="s">
        <v>44</v>
      </c>
      <c r="T48" s="131" t="s">
        <v>44</v>
      </c>
      <c r="U48" s="131" t="s">
        <v>44</v>
      </c>
      <c r="V48" s="131" t="s">
        <v>44</v>
      </c>
      <c r="W48" s="131" t="s">
        <v>44</v>
      </c>
      <c r="X48" s="131" t="s">
        <v>44</v>
      </c>
      <c r="Y48" s="131" t="s">
        <v>44</v>
      </c>
      <c r="Z48" s="131" t="s">
        <v>44</v>
      </c>
      <c r="AA48" s="131" t="s">
        <v>44</v>
      </c>
      <c r="AB48" s="131" t="s">
        <v>44</v>
      </c>
      <c r="AC48" s="131" t="s">
        <v>44</v>
      </c>
      <c r="AD48" s="131" t="s">
        <v>44</v>
      </c>
      <c r="AE48" s="131" t="s">
        <v>44</v>
      </c>
      <c r="AF48" s="131" t="s">
        <v>44</v>
      </c>
      <c r="AG48" s="131" t="s">
        <v>44</v>
      </c>
      <c r="AH48" s="131" t="s">
        <v>44</v>
      </c>
      <c r="AI48" s="131" t="s">
        <v>44</v>
      </c>
      <c r="AJ48" s="131" t="s">
        <v>44</v>
      </c>
      <c r="AK48" s="131" t="s">
        <v>44</v>
      </c>
      <c r="AL48" s="131" t="s">
        <v>44</v>
      </c>
      <c r="AM48" s="131" t="s">
        <v>44</v>
      </c>
      <c r="AN48" s="131" t="s">
        <v>44</v>
      </c>
      <c r="AO48" s="131" t="s">
        <v>44</v>
      </c>
      <c r="AP48" s="131" t="s">
        <v>44</v>
      </c>
      <c r="AQ48" s="131" t="s">
        <v>44</v>
      </c>
      <c r="AR48" s="131" t="s">
        <v>44</v>
      </c>
      <c r="AS48" s="131" t="s">
        <v>44</v>
      </c>
      <c r="AT48" s="131" t="s">
        <v>44</v>
      </c>
      <c r="AU48" s="131" t="s">
        <v>44</v>
      </c>
      <c r="AV48" s="131" t="s">
        <v>44</v>
      </c>
      <c r="AW48" s="131" t="s">
        <v>44</v>
      </c>
      <c r="AX48" s="131" t="s">
        <v>44</v>
      </c>
      <c r="AY48" s="131" t="s">
        <v>44</v>
      </c>
      <c r="AZ48" s="131" t="s">
        <v>44</v>
      </c>
      <c r="BA48" s="131" t="s">
        <v>44</v>
      </c>
      <c r="BB48" s="131" t="s">
        <v>44</v>
      </c>
      <c r="BC48" s="131" t="s">
        <v>44</v>
      </c>
      <c r="BD48" s="131" t="s">
        <v>44</v>
      </c>
      <c r="BE48" s="131" t="s">
        <v>44</v>
      </c>
      <c r="BF48" s="131" t="s">
        <v>44</v>
      </c>
      <c r="BG48" s="131" t="s">
        <v>44</v>
      </c>
      <c r="BH48" s="131" t="s">
        <v>44</v>
      </c>
      <c r="BI48" s="131" t="s">
        <v>44</v>
      </c>
      <c r="BJ48" s="131" t="s">
        <v>44</v>
      </c>
      <c r="BK48" s="131" t="s">
        <v>44</v>
      </c>
      <c r="BL48" s="131" t="s">
        <v>44</v>
      </c>
      <c r="BM48" s="131" t="s">
        <v>44</v>
      </c>
      <c r="BN48" s="131"/>
      <c r="BO48" s="3"/>
      <c r="BP48" s="3"/>
      <c r="BQ48" s="3"/>
      <c r="BR48" s="3"/>
      <c r="BS48" s="3"/>
      <c r="BT48" s="3"/>
      <c r="BU48" s="3"/>
      <c r="BV48" s="3"/>
      <c r="BW48" s="3"/>
      <c r="BX48" s="3"/>
      <c r="BY48" s="3"/>
      <c r="BZ48" s="3"/>
      <c r="CA48" s="3"/>
      <c r="CB48" s="3"/>
      <c r="CC48" s="3"/>
      <c r="CD48" s="3"/>
      <c r="CE48" s="3"/>
    </row>
    <row r="49" spans="1:86">
      <c r="A49" s="144" t="s">
        <v>156</v>
      </c>
      <c r="B49" s="2" t="s">
        <v>79</v>
      </c>
      <c r="D49" s="55" t="s">
        <v>44</v>
      </c>
      <c r="E49" s="55" t="s">
        <v>44</v>
      </c>
      <c r="F49" s="55" t="s">
        <v>44</v>
      </c>
      <c r="G49" s="55" t="s">
        <v>44</v>
      </c>
      <c r="H49" s="55" t="s">
        <v>44</v>
      </c>
      <c r="I49" s="55" t="s">
        <v>44</v>
      </c>
      <c r="J49" s="55" t="s">
        <v>44</v>
      </c>
      <c r="K49" s="55" t="s">
        <v>44</v>
      </c>
      <c r="L49" s="55" t="s">
        <v>44</v>
      </c>
      <c r="M49" s="55" t="s">
        <v>44</v>
      </c>
      <c r="N49" s="55" t="s">
        <v>44</v>
      </c>
      <c r="O49" s="55" t="s">
        <v>44</v>
      </c>
      <c r="P49" s="55" t="s">
        <v>44</v>
      </c>
      <c r="Q49" s="55" t="s">
        <v>44</v>
      </c>
      <c r="R49" s="55" t="s">
        <v>44</v>
      </c>
      <c r="S49" s="55" t="s">
        <v>44</v>
      </c>
      <c r="T49" s="55" t="s">
        <v>44</v>
      </c>
      <c r="U49" s="55" t="s">
        <v>44</v>
      </c>
      <c r="V49" s="55" t="s">
        <v>44</v>
      </c>
      <c r="W49" s="55" t="s">
        <v>44</v>
      </c>
      <c r="X49" s="55" t="s">
        <v>44</v>
      </c>
      <c r="Y49" s="55" t="s">
        <v>44</v>
      </c>
      <c r="Z49" s="55" t="s">
        <v>44</v>
      </c>
      <c r="AA49" s="55" t="s">
        <v>44</v>
      </c>
      <c r="AB49" s="55" t="s">
        <v>44</v>
      </c>
      <c r="AC49" s="55" t="s">
        <v>44</v>
      </c>
      <c r="AD49" s="55" t="s">
        <v>44</v>
      </c>
      <c r="AE49" s="55" t="s">
        <v>44</v>
      </c>
      <c r="AF49" s="55" t="s">
        <v>44</v>
      </c>
      <c r="AG49" s="55" t="s">
        <v>44</v>
      </c>
      <c r="AH49" s="55" t="s">
        <v>44</v>
      </c>
      <c r="AI49" s="55" t="s">
        <v>44</v>
      </c>
      <c r="AJ49" s="55" t="s">
        <v>44</v>
      </c>
      <c r="AK49" s="55" t="s">
        <v>44</v>
      </c>
      <c r="AL49" s="55" t="s">
        <v>44</v>
      </c>
      <c r="AM49" s="55" t="s">
        <v>44</v>
      </c>
      <c r="AN49" s="55" t="s">
        <v>44</v>
      </c>
      <c r="AO49" s="55" t="s">
        <v>44</v>
      </c>
      <c r="AP49" s="55" t="s">
        <v>44</v>
      </c>
      <c r="AQ49" s="55" t="s">
        <v>44</v>
      </c>
      <c r="AR49" s="55" t="s">
        <v>44</v>
      </c>
      <c r="AS49" s="55" t="s">
        <v>44</v>
      </c>
      <c r="AT49" s="55" t="s">
        <v>44</v>
      </c>
      <c r="AU49" s="55" t="s">
        <v>44</v>
      </c>
      <c r="AV49" s="55" t="s">
        <v>44</v>
      </c>
      <c r="AW49" s="55" t="s">
        <v>44</v>
      </c>
      <c r="AX49" s="55" t="s">
        <v>44</v>
      </c>
      <c r="AY49" s="55" t="s">
        <v>44</v>
      </c>
      <c r="AZ49" s="55" t="s">
        <v>44</v>
      </c>
      <c r="BA49" s="55" t="s">
        <v>44</v>
      </c>
      <c r="BB49" s="55" t="s">
        <v>44</v>
      </c>
      <c r="BC49" s="55" t="s">
        <v>44</v>
      </c>
      <c r="BD49" s="55" t="s">
        <v>44</v>
      </c>
      <c r="BE49" s="55" t="s">
        <v>44</v>
      </c>
      <c r="BF49" s="55" t="s">
        <v>44</v>
      </c>
      <c r="BG49" s="55" t="s">
        <v>44</v>
      </c>
      <c r="BH49" s="55" t="s">
        <v>44</v>
      </c>
      <c r="BI49" s="55" t="s">
        <v>44</v>
      </c>
      <c r="BJ49" s="55" t="s">
        <v>44</v>
      </c>
      <c r="BK49" s="55" t="s">
        <v>44</v>
      </c>
      <c r="BL49" s="55" t="s">
        <v>44</v>
      </c>
      <c r="BM49" s="55"/>
      <c r="BN49" s="55"/>
      <c r="CF49" s="2"/>
      <c r="CG49" s="1"/>
    </row>
    <row r="50" spans="1:86">
      <c r="A50" s="144" t="s">
        <v>157</v>
      </c>
      <c r="B50" s="80" t="s">
        <v>80</v>
      </c>
      <c r="C50" s="8"/>
      <c r="D50" s="7" t="s">
        <v>44</v>
      </c>
      <c r="E50" s="7" t="s">
        <v>44</v>
      </c>
      <c r="F50" s="7" t="s">
        <v>44</v>
      </c>
      <c r="G50" s="7" t="s">
        <v>44</v>
      </c>
      <c r="H50" s="7" t="s">
        <v>44</v>
      </c>
      <c r="I50" s="7" t="s">
        <v>44</v>
      </c>
      <c r="J50" s="7" t="s">
        <v>44</v>
      </c>
      <c r="K50" s="7" t="s">
        <v>44</v>
      </c>
      <c r="L50" s="7" t="s">
        <v>44</v>
      </c>
      <c r="M50" s="7" t="s">
        <v>44</v>
      </c>
      <c r="N50" s="7" t="s">
        <v>44</v>
      </c>
      <c r="O50" s="7" t="s">
        <v>44</v>
      </c>
      <c r="P50" s="7" t="s">
        <v>44</v>
      </c>
      <c r="Q50" s="7" t="s">
        <v>44</v>
      </c>
      <c r="R50" s="7" t="s">
        <v>44</v>
      </c>
      <c r="S50" s="7" t="s">
        <v>44</v>
      </c>
      <c r="T50" s="7" t="s">
        <v>44</v>
      </c>
      <c r="U50" s="7" t="s">
        <v>44</v>
      </c>
      <c r="V50" s="7" t="s">
        <v>44</v>
      </c>
      <c r="W50" s="7" t="s">
        <v>44</v>
      </c>
      <c r="X50" s="7" t="s">
        <v>44</v>
      </c>
      <c r="Y50" s="7" t="s">
        <v>44</v>
      </c>
      <c r="Z50" s="7" t="s">
        <v>44</v>
      </c>
      <c r="AA50" s="7" t="s">
        <v>44</v>
      </c>
      <c r="AB50" s="7" t="s">
        <v>44</v>
      </c>
      <c r="AC50" s="7" t="s">
        <v>44</v>
      </c>
      <c r="AD50" s="7" t="s">
        <v>44</v>
      </c>
      <c r="AE50" s="7" t="s">
        <v>44</v>
      </c>
      <c r="AF50" s="7" t="s">
        <v>44</v>
      </c>
      <c r="AG50" s="7" t="s">
        <v>44</v>
      </c>
      <c r="AH50" s="7" t="s">
        <v>44</v>
      </c>
      <c r="AI50" s="7" t="s">
        <v>44</v>
      </c>
      <c r="AJ50" s="7" t="s">
        <v>44</v>
      </c>
      <c r="AK50" s="7" t="s">
        <v>44</v>
      </c>
      <c r="AL50" s="7" t="s">
        <v>44</v>
      </c>
      <c r="AM50" s="7" t="s">
        <v>44</v>
      </c>
      <c r="AN50" s="7" t="s">
        <v>44</v>
      </c>
      <c r="AO50" s="7" t="s">
        <v>44</v>
      </c>
      <c r="AP50" s="7" t="s">
        <v>44</v>
      </c>
      <c r="AQ50" s="7" t="s">
        <v>44</v>
      </c>
      <c r="AR50" s="7" t="s">
        <v>44</v>
      </c>
      <c r="AS50" s="7" t="s">
        <v>44</v>
      </c>
      <c r="AT50" s="7" t="s">
        <v>44</v>
      </c>
      <c r="AU50" s="7" t="s">
        <v>44</v>
      </c>
      <c r="AV50" s="7" t="s">
        <v>44</v>
      </c>
      <c r="AW50" s="7" t="s">
        <v>44</v>
      </c>
      <c r="AX50" s="7" t="s">
        <v>44</v>
      </c>
      <c r="AY50" s="7" t="s">
        <v>44</v>
      </c>
      <c r="AZ50" s="7" t="s">
        <v>44</v>
      </c>
      <c r="BA50" s="7" t="s">
        <v>44</v>
      </c>
      <c r="BB50" s="7" t="s">
        <v>44</v>
      </c>
      <c r="BC50" s="7" t="s">
        <v>44</v>
      </c>
      <c r="BD50" s="7" t="s">
        <v>44</v>
      </c>
      <c r="BE50" s="7" t="s">
        <v>44</v>
      </c>
      <c r="BF50" s="7" t="s">
        <v>44</v>
      </c>
      <c r="BG50" s="7" t="s">
        <v>44</v>
      </c>
      <c r="BH50" s="7" t="s">
        <v>44</v>
      </c>
      <c r="BI50" s="7" t="s">
        <v>44</v>
      </c>
      <c r="BJ50" s="7" t="s">
        <v>44</v>
      </c>
      <c r="BK50" s="7" t="s">
        <v>44</v>
      </c>
      <c r="BL50" s="7" t="s">
        <v>44</v>
      </c>
      <c r="BM50" s="7" t="s">
        <v>44</v>
      </c>
      <c r="BN50" s="7"/>
      <c r="CF50" s="2"/>
      <c r="CG50" s="1"/>
    </row>
    <row r="51" spans="1:86" s="2" customFormat="1">
      <c r="A51" s="144" t="s">
        <v>158</v>
      </c>
      <c r="B51" s="61" t="s">
        <v>7</v>
      </c>
      <c r="C51" s="56"/>
      <c r="D51" s="69" t="s">
        <v>44</v>
      </c>
      <c r="E51" s="69">
        <v>1.1000000000000001</v>
      </c>
      <c r="F51" s="69">
        <v>1</v>
      </c>
      <c r="G51" s="69">
        <v>1</v>
      </c>
      <c r="H51" s="69">
        <v>1.1000000000000001</v>
      </c>
      <c r="I51" s="69">
        <v>1.1000000000000001</v>
      </c>
      <c r="J51" s="69">
        <v>1</v>
      </c>
      <c r="K51" s="69">
        <v>1.2</v>
      </c>
      <c r="L51" s="69">
        <v>1.2</v>
      </c>
      <c r="M51" s="69">
        <v>1.1000000000000001</v>
      </c>
      <c r="N51" s="69">
        <v>1.2</v>
      </c>
      <c r="O51" s="69">
        <v>1.1000000000000001</v>
      </c>
      <c r="P51" s="69">
        <v>1.2</v>
      </c>
      <c r="Q51" s="69">
        <v>1.3</v>
      </c>
      <c r="R51" s="69">
        <v>1.3</v>
      </c>
      <c r="S51" s="69">
        <v>1.3</v>
      </c>
      <c r="T51" s="69">
        <v>1.3</v>
      </c>
      <c r="U51" s="69">
        <v>1.5</v>
      </c>
      <c r="V51" s="69">
        <v>1.4</v>
      </c>
      <c r="W51" s="69">
        <v>1.4</v>
      </c>
      <c r="X51" s="69">
        <v>1.5</v>
      </c>
      <c r="Y51" s="69">
        <v>1.5</v>
      </c>
      <c r="Z51" s="69">
        <v>1.5</v>
      </c>
      <c r="AA51" s="69">
        <v>1.6</v>
      </c>
      <c r="AB51" s="69">
        <v>1.5</v>
      </c>
      <c r="AC51" s="69">
        <v>1.6</v>
      </c>
      <c r="AD51" s="69">
        <v>1.1000000000000001</v>
      </c>
      <c r="AE51" s="69">
        <v>1.3</v>
      </c>
      <c r="AF51" s="69">
        <v>1.4</v>
      </c>
      <c r="AG51" s="69">
        <v>1.4</v>
      </c>
      <c r="AH51" s="69">
        <v>1.3</v>
      </c>
      <c r="AI51" s="69">
        <v>1.3</v>
      </c>
      <c r="AJ51" s="69">
        <v>1.1000000000000001</v>
      </c>
      <c r="AK51" s="69">
        <v>0.9</v>
      </c>
      <c r="AL51" s="69">
        <v>0.9</v>
      </c>
      <c r="AM51" s="69">
        <v>1.3</v>
      </c>
      <c r="AN51" s="69">
        <v>1.2</v>
      </c>
      <c r="AO51" s="69">
        <v>1.1000000000000001</v>
      </c>
      <c r="AP51" s="69">
        <v>1.3</v>
      </c>
      <c r="AQ51" s="69">
        <v>1.2</v>
      </c>
      <c r="AR51" s="69">
        <v>1.3</v>
      </c>
      <c r="AS51" s="69">
        <v>1.3</v>
      </c>
      <c r="AT51" s="69">
        <v>1.3</v>
      </c>
      <c r="AU51" s="69">
        <v>1.5</v>
      </c>
      <c r="AV51" s="69">
        <v>1.9</v>
      </c>
      <c r="AW51" s="69">
        <v>1.9</v>
      </c>
      <c r="AX51" s="69">
        <v>2</v>
      </c>
      <c r="AY51" s="69">
        <v>2.2000000000000002</v>
      </c>
      <c r="AZ51" s="69">
        <v>1.9</v>
      </c>
      <c r="BA51" s="69">
        <v>1.6</v>
      </c>
      <c r="BB51" s="69">
        <v>1.5</v>
      </c>
      <c r="BC51" s="69">
        <v>1.4</v>
      </c>
      <c r="BD51" s="69">
        <v>1.6</v>
      </c>
      <c r="BE51" s="69">
        <v>1.5</v>
      </c>
      <c r="BF51" s="69">
        <v>1.5</v>
      </c>
      <c r="BG51" s="69">
        <v>1.5</v>
      </c>
      <c r="BH51" s="69">
        <v>1.5</v>
      </c>
      <c r="BI51" s="69">
        <v>1.5</v>
      </c>
      <c r="BJ51" s="69">
        <v>1.5</v>
      </c>
      <c r="BK51" s="69">
        <v>1.6</v>
      </c>
      <c r="BL51" s="69">
        <v>1.3</v>
      </c>
      <c r="BM51" s="69">
        <v>1.5</v>
      </c>
      <c r="BN51" s="69">
        <v>1.4</v>
      </c>
      <c r="BO51" s="3"/>
      <c r="BP51" s="3"/>
      <c r="BQ51" s="3"/>
      <c r="BR51" s="3"/>
      <c r="BS51" s="3"/>
      <c r="BT51" s="3"/>
      <c r="BU51" s="3"/>
      <c r="BV51" s="3"/>
      <c r="BW51" s="3"/>
      <c r="BX51" s="3"/>
      <c r="BY51" s="3"/>
      <c r="BZ51" s="3"/>
      <c r="CA51" s="3"/>
      <c r="CB51" s="3"/>
      <c r="CC51" s="3"/>
      <c r="CD51" s="3"/>
      <c r="CE51" s="3"/>
    </row>
    <row r="52" spans="1:86" s="5" customFormat="1">
      <c r="A52" s="144" t="s">
        <v>159</v>
      </c>
      <c r="B52" s="79" t="s">
        <v>6</v>
      </c>
      <c r="C52" s="11"/>
      <c r="D52" s="52">
        <v>1.2</v>
      </c>
      <c r="E52" s="52">
        <v>1.2</v>
      </c>
      <c r="F52" s="52">
        <v>1.2</v>
      </c>
      <c r="G52" s="52">
        <v>1.2</v>
      </c>
      <c r="H52" s="52">
        <v>1.2</v>
      </c>
      <c r="I52" s="52">
        <v>1.3</v>
      </c>
      <c r="J52" s="52">
        <v>1.3</v>
      </c>
      <c r="K52" s="52">
        <v>1.1000000000000001</v>
      </c>
      <c r="L52" s="52">
        <v>1.1000000000000001</v>
      </c>
      <c r="M52" s="52">
        <v>1.2</v>
      </c>
      <c r="N52" s="52">
        <v>1.2</v>
      </c>
      <c r="O52" s="52">
        <v>1.2</v>
      </c>
      <c r="P52" s="52">
        <v>1.3</v>
      </c>
      <c r="Q52" s="52">
        <v>1.3</v>
      </c>
      <c r="R52" s="52">
        <v>1.4</v>
      </c>
      <c r="S52" s="52">
        <v>1.3</v>
      </c>
      <c r="T52" s="52">
        <v>1.3</v>
      </c>
      <c r="U52" s="52">
        <v>1.2</v>
      </c>
      <c r="V52" s="52">
        <v>1.3</v>
      </c>
      <c r="W52" s="52">
        <v>1.1000000000000001</v>
      </c>
      <c r="X52" s="52">
        <v>1.2</v>
      </c>
      <c r="Y52" s="52">
        <v>1.2</v>
      </c>
      <c r="Z52" s="52">
        <v>1.2</v>
      </c>
      <c r="AA52" s="52">
        <v>1.1000000000000001</v>
      </c>
      <c r="AB52" s="52">
        <v>1.1000000000000001</v>
      </c>
      <c r="AC52" s="52">
        <v>1.1000000000000001</v>
      </c>
      <c r="AD52" s="52">
        <v>1.3</v>
      </c>
      <c r="AE52" s="52">
        <v>1.2</v>
      </c>
      <c r="AF52" s="52">
        <v>1.2</v>
      </c>
      <c r="AG52" s="52">
        <v>1.1000000000000001</v>
      </c>
      <c r="AH52" s="52">
        <v>1.1000000000000001</v>
      </c>
      <c r="AI52" s="52">
        <v>1</v>
      </c>
      <c r="AJ52" s="52">
        <v>0.8</v>
      </c>
      <c r="AK52" s="52">
        <v>1</v>
      </c>
      <c r="AL52" s="52">
        <v>1</v>
      </c>
      <c r="AM52" s="52">
        <v>0.9</v>
      </c>
      <c r="AN52" s="52">
        <v>0.8</v>
      </c>
      <c r="AO52" s="52">
        <v>0.9</v>
      </c>
      <c r="AP52" s="52">
        <v>0.9</v>
      </c>
      <c r="AQ52" s="52">
        <v>0.8</v>
      </c>
      <c r="AR52" s="52">
        <v>1</v>
      </c>
      <c r="AS52" s="52">
        <v>1.1000000000000001</v>
      </c>
      <c r="AT52" s="52">
        <v>1</v>
      </c>
      <c r="AU52" s="52">
        <v>1.1000000000000001</v>
      </c>
      <c r="AV52" s="52">
        <v>1.2</v>
      </c>
      <c r="AW52" s="52">
        <v>1.1000000000000001</v>
      </c>
      <c r="AX52" s="52">
        <v>1.1000000000000001</v>
      </c>
      <c r="AY52" s="52">
        <v>1.1000000000000001</v>
      </c>
      <c r="AZ52" s="52">
        <v>1.2</v>
      </c>
      <c r="BA52" s="52">
        <v>1.2</v>
      </c>
      <c r="BB52" s="52">
        <v>1.2</v>
      </c>
      <c r="BC52" s="52">
        <v>1.3</v>
      </c>
      <c r="BD52" s="52">
        <v>1.3</v>
      </c>
      <c r="BE52" s="52">
        <v>1.4</v>
      </c>
      <c r="BF52" s="52">
        <v>1.4</v>
      </c>
      <c r="BG52" s="52">
        <v>1.4</v>
      </c>
      <c r="BH52" s="52">
        <v>1.7</v>
      </c>
      <c r="BI52" s="52">
        <v>1.5</v>
      </c>
      <c r="BJ52" s="52">
        <v>1.5</v>
      </c>
      <c r="BK52" s="52">
        <v>1.5</v>
      </c>
      <c r="BL52" s="52">
        <v>1.3</v>
      </c>
      <c r="BM52" s="52">
        <v>1.3</v>
      </c>
      <c r="BN52" s="52">
        <v>1.2</v>
      </c>
      <c r="BO52" s="6"/>
      <c r="BP52" s="6"/>
      <c r="BQ52" s="6"/>
      <c r="BR52" s="6"/>
      <c r="BS52" s="6"/>
      <c r="BT52" s="6"/>
      <c r="BU52" s="6"/>
      <c r="BV52" s="6"/>
      <c r="BW52" s="6"/>
      <c r="BX52" s="6"/>
      <c r="BY52" s="6"/>
      <c r="BZ52" s="6"/>
      <c r="CA52" s="6"/>
      <c r="CB52" s="6"/>
      <c r="CC52" s="6"/>
      <c r="CD52" s="6"/>
      <c r="CE52" s="6"/>
    </row>
    <row r="53" spans="1:86" s="2" customFormat="1">
      <c r="A53" s="144" t="s">
        <v>160</v>
      </c>
      <c r="B53" s="61" t="s">
        <v>5</v>
      </c>
      <c r="C53" s="56" t="s">
        <v>89</v>
      </c>
      <c r="D53" s="69" t="s">
        <v>44</v>
      </c>
      <c r="E53" s="69" t="s">
        <v>44</v>
      </c>
      <c r="F53" s="69" t="s">
        <v>44</v>
      </c>
      <c r="G53" s="69" t="s">
        <v>44</v>
      </c>
      <c r="H53" s="69">
        <v>0.2</v>
      </c>
      <c r="I53" s="69">
        <v>0.2</v>
      </c>
      <c r="J53" s="69">
        <v>0.2</v>
      </c>
      <c r="K53" s="69">
        <v>0.2</v>
      </c>
      <c r="L53" s="69">
        <v>0.2</v>
      </c>
      <c r="M53" s="69">
        <v>0.2</v>
      </c>
      <c r="N53" s="69">
        <v>0.2</v>
      </c>
      <c r="O53" s="69">
        <v>0.3</v>
      </c>
      <c r="P53" s="69">
        <v>0.2</v>
      </c>
      <c r="Q53" s="69">
        <v>0.2</v>
      </c>
      <c r="R53" s="69">
        <v>0.2</v>
      </c>
      <c r="S53" s="69">
        <v>0.2</v>
      </c>
      <c r="T53" s="69">
        <v>0.2</v>
      </c>
      <c r="U53" s="69">
        <v>0.3</v>
      </c>
      <c r="V53" s="69">
        <v>0.3</v>
      </c>
      <c r="W53" s="69">
        <v>0.3</v>
      </c>
      <c r="X53" s="69">
        <v>0.3</v>
      </c>
      <c r="Y53" s="69">
        <v>0.3</v>
      </c>
      <c r="Z53" s="69">
        <v>0.4</v>
      </c>
      <c r="AA53" s="69">
        <v>0.5</v>
      </c>
      <c r="AB53" s="69">
        <v>0.5</v>
      </c>
      <c r="AC53" s="69">
        <v>0.5</v>
      </c>
      <c r="AD53" s="69">
        <v>0.5</v>
      </c>
      <c r="AE53" s="69">
        <v>0.6</v>
      </c>
      <c r="AF53" s="69">
        <v>0.6</v>
      </c>
      <c r="AG53" s="69">
        <v>0.6</v>
      </c>
      <c r="AH53" s="69">
        <v>0.6</v>
      </c>
      <c r="AI53" s="69">
        <v>0.5</v>
      </c>
      <c r="AJ53" s="69">
        <v>0.7</v>
      </c>
      <c r="AK53" s="69">
        <v>0.8</v>
      </c>
      <c r="AL53" s="69">
        <v>0.9</v>
      </c>
      <c r="AM53" s="69">
        <v>1.2</v>
      </c>
      <c r="AN53" s="69">
        <v>1.1000000000000001</v>
      </c>
      <c r="AO53" s="69">
        <v>1.3</v>
      </c>
      <c r="AP53" s="69">
        <v>1.3</v>
      </c>
      <c r="AQ53" s="69">
        <v>1.7</v>
      </c>
      <c r="AR53" s="69">
        <v>1.7</v>
      </c>
      <c r="AS53" s="69">
        <v>1.7</v>
      </c>
      <c r="AT53" s="69">
        <v>1.9</v>
      </c>
      <c r="AU53" s="69">
        <v>2</v>
      </c>
      <c r="AV53" s="69">
        <v>2.2000000000000002</v>
      </c>
      <c r="AW53" s="69">
        <v>2</v>
      </c>
      <c r="AX53" s="69">
        <v>2.2999999999999998</v>
      </c>
      <c r="AY53" s="69">
        <v>2.1</v>
      </c>
      <c r="AZ53" s="69">
        <v>2.1</v>
      </c>
      <c r="BA53" s="69">
        <v>2.2000000000000002</v>
      </c>
      <c r="BB53" s="69">
        <v>2.2999999999999998</v>
      </c>
      <c r="BC53" s="69">
        <v>2.2999999999999998</v>
      </c>
      <c r="BD53" s="69">
        <v>2.4</v>
      </c>
      <c r="BE53" s="69">
        <v>2.2000000000000002</v>
      </c>
      <c r="BF53" s="69">
        <v>2.2000000000000002</v>
      </c>
      <c r="BG53" s="69">
        <v>2.1</v>
      </c>
      <c r="BH53" s="69">
        <v>2.2999999999999998</v>
      </c>
      <c r="BI53" s="69">
        <v>2.2000000000000002</v>
      </c>
      <c r="BJ53" s="69">
        <v>2.4</v>
      </c>
      <c r="BK53" s="69">
        <v>2.6</v>
      </c>
      <c r="BL53" s="69" t="s">
        <v>44</v>
      </c>
      <c r="BM53" s="69" t="s">
        <v>44</v>
      </c>
      <c r="BN53" s="69" t="s">
        <v>221</v>
      </c>
      <c r="BO53" s="50"/>
      <c r="BP53" s="50"/>
      <c r="BQ53" s="1"/>
      <c r="BR53" s="1"/>
      <c r="BS53" s="1"/>
      <c r="BT53" s="1"/>
      <c r="BU53" s="1"/>
      <c r="BV53" s="1"/>
      <c r="BW53" s="1"/>
      <c r="BX53" s="1"/>
      <c r="BY53" s="1"/>
      <c r="BZ53" s="1"/>
      <c r="CA53" s="1"/>
      <c r="CB53" s="1"/>
      <c r="CC53" s="1"/>
      <c r="CD53" s="1"/>
      <c r="CE53" s="1"/>
    </row>
    <row r="54" spans="1:86" s="2" customFormat="1">
      <c r="A54" s="144" t="s">
        <v>161</v>
      </c>
      <c r="B54" s="79" t="s">
        <v>2</v>
      </c>
      <c r="C54" s="11"/>
      <c r="D54" s="52" t="s">
        <v>44</v>
      </c>
      <c r="E54" s="52" t="s">
        <v>44</v>
      </c>
      <c r="F54" s="52" t="s">
        <v>44</v>
      </c>
      <c r="G54" s="52" t="s">
        <v>44</v>
      </c>
      <c r="H54" s="52" t="s">
        <v>44</v>
      </c>
      <c r="I54" s="52" t="s">
        <v>44</v>
      </c>
      <c r="J54" s="52" t="s">
        <v>44</v>
      </c>
      <c r="K54" s="52" t="s">
        <v>44</v>
      </c>
      <c r="L54" s="52" t="s">
        <v>44</v>
      </c>
      <c r="M54" s="52" t="s">
        <v>44</v>
      </c>
      <c r="N54" s="52" t="s">
        <v>44</v>
      </c>
      <c r="O54" s="52" t="s">
        <v>44</v>
      </c>
      <c r="P54" s="52" t="s">
        <v>44</v>
      </c>
      <c r="Q54" s="52" t="s">
        <v>44</v>
      </c>
      <c r="R54" s="52" t="s">
        <v>44</v>
      </c>
      <c r="S54" s="52" t="s">
        <v>44</v>
      </c>
      <c r="T54" s="52" t="s">
        <v>44</v>
      </c>
      <c r="U54" s="52" t="s">
        <v>44</v>
      </c>
      <c r="V54" s="52" t="s">
        <v>44</v>
      </c>
      <c r="W54" s="52" t="s">
        <v>44</v>
      </c>
      <c r="X54" s="52" t="s">
        <v>44</v>
      </c>
      <c r="Y54" s="52" t="s">
        <v>44</v>
      </c>
      <c r="Z54" s="52" t="s">
        <v>44</v>
      </c>
      <c r="AA54" s="52" t="s">
        <v>44</v>
      </c>
      <c r="AB54" s="52" t="s">
        <v>44</v>
      </c>
      <c r="AC54" s="52" t="s">
        <v>44</v>
      </c>
      <c r="AD54" s="52" t="s">
        <v>44</v>
      </c>
      <c r="AE54" s="52" t="s">
        <v>44</v>
      </c>
      <c r="AF54" s="52" t="s">
        <v>44</v>
      </c>
      <c r="AG54" s="52" t="s">
        <v>44</v>
      </c>
      <c r="AH54" s="52" t="s">
        <v>44</v>
      </c>
      <c r="AI54" s="52" t="s">
        <v>44</v>
      </c>
      <c r="AJ54" s="52" t="s">
        <v>44</v>
      </c>
      <c r="AK54" s="52" t="s">
        <v>44</v>
      </c>
      <c r="AL54" s="52" t="s">
        <v>44</v>
      </c>
      <c r="AM54" s="52" t="s">
        <v>44</v>
      </c>
      <c r="AN54" s="52" t="s">
        <v>44</v>
      </c>
      <c r="AO54" s="52" t="s">
        <v>44</v>
      </c>
      <c r="AP54" s="52" t="s">
        <v>44</v>
      </c>
      <c r="AQ54" s="52" t="s">
        <v>44</v>
      </c>
      <c r="AR54" s="52" t="s">
        <v>44</v>
      </c>
      <c r="AS54" s="52" t="s">
        <v>44</v>
      </c>
      <c r="AT54" s="52" t="s">
        <v>44</v>
      </c>
      <c r="AU54" s="52" t="s">
        <v>44</v>
      </c>
      <c r="AV54" s="52" t="s">
        <v>44</v>
      </c>
      <c r="AW54" s="52" t="s">
        <v>44</v>
      </c>
      <c r="AX54" s="52" t="s">
        <v>44</v>
      </c>
      <c r="AY54" s="52" t="s">
        <v>44</v>
      </c>
      <c r="AZ54" s="52" t="s">
        <v>44</v>
      </c>
      <c r="BA54" s="52" t="s">
        <v>44</v>
      </c>
      <c r="BB54" s="52" t="s">
        <v>44</v>
      </c>
      <c r="BC54" s="52">
        <v>0.1</v>
      </c>
      <c r="BD54" s="52">
        <v>1.1000000000000001</v>
      </c>
      <c r="BE54" s="52">
        <v>0.8</v>
      </c>
      <c r="BF54" s="52">
        <v>0.7</v>
      </c>
      <c r="BG54" s="52">
        <v>0.8</v>
      </c>
      <c r="BH54" s="52">
        <v>0.8</v>
      </c>
      <c r="BI54" s="52">
        <v>0.7</v>
      </c>
      <c r="BJ54" s="52">
        <v>0.7</v>
      </c>
      <c r="BK54" s="52">
        <v>0.7</v>
      </c>
      <c r="BL54" s="52">
        <v>0.5</v>
      </c>
      <c r="BM54" s="52">
        <v>0.6</v>
      </c>
      <c r="BN54" s="52">
        <v>0.9</v>
      </c>
      <c r="BO54" s="3"/>
      <c r="BP54" s="3"/>
      <c r="BQ54" s="3"/>
      <c r="BR54" s="3"/>
      <c r="BS54" s="3"/>
      <c r="BT54" s="3"/>
      <c r="BU54" s="3"/>
      <c r="BV54" s="3"/>
      <c r="BW54" s="3"/>
      <c r="BX54" s="3"/>
      <c r="BY54" s="3"/>
      <c r="BZ54" s="3"/>
      <c r="CA54" s="3"/>
      <c r="CB54" s="3"/>
      <c r="CC54" s="3"/>
      <c r="CD54" s="3"/>
      <c r="CE54" s="3"/>
      <c r="CF54" s="3"/>
      <c r="CG54" s="3"/>
      <c r="CH54" s="3"/>
    </row>
    <row r="55" spans="1:86" s="2" customFormat="1">
      <c r="A55" s="144" t="s">
        <v>162</v>
      </c>
      <c r="B55" s="62" t="s">
        <v>1</v>
      </c>
      <c r="C55" s="70"/>
      <c r="D55" s="71">
        <v>2</v>
      </c>
      <c r="E55" s="71">
        <v>1.8</v>
      </c>
      <c r="F55" s="71">
        <v>2</v>
      </c>
      <c r="G55" s="71">
        <v>1.9</v>
      </c>
      <c r="H55" s="71">
        <v>1.9</v>
      </c>
      <c r="I55" s="71">
        <v>1.9</v>
      </c>
      <c r="J55" s="71">
        <v>1.3</v>
      </c>
      <c r="K55" s="71" t="s">
        <v>44</v>
      </c>
      <c r="L55" s="71">
        <v>0.2</v>
      </c>
      <c r="M55" s="71">
        <v>0.3</v>
      </c>
      <c r="N55" s="71">
        <v>0.4</v>
      </c>
      <c r="O55" s="71">
        <v>0.5</v>
      </c>
      <c r="P55" s="71">
        <v>0.5</v>
      </c>
      <c r="Q55" s="71">
        <v>0.7</v>
      </c>
      <c r="R55" s="71">
        <v>0.9</v>
      </c>
      <c r="S55" s="71">
        <v>1.6</v>
      </c>
      <c r="T55" s="71">
        <v>1.7</v>
      </c>
      <c r="U55" s="71">
        <v>1.2</v>
      </c>
      <c r="V55" s="71">
        <v>1.5</v>
      </c>
      <c r="W55" s="71">
        <v>1.6</v>
      </c>
      <c r="X55" s="71">
        <v>1.5</v>
      </c>
      <c r="Y55" s="71">
        <v>1.5</v>
      </c>
      <c r="Z55" s="71">
        <v>1.5</v>
      </c>
      <c r="AA55" s="71">
        <v>1.5</v>
      </c>
      <c r="AB55" s="71">
        <v>1.5</v>
      </c>
      <c r="AC55" s="71">
        <v>1.4</v>
      </c>
      <c r="AD55" s="71">
        <v>1.5</v>
      </c>
      <c r="AE55" s="71">
        <v>1.5</v>
      </c>
      <c r="AF55" s="71">
        <v>1.6</v>
      </c>
      <c r="AG55" s="71">
        <v>1.6</v>
      </c>
      <c r="AH55" s="71">
        <v>1.4</v>
      </c>
      <c r="AI55" s="71">
        <v>1.6</v>
      </c>
      <c r="AJ55" s="71">
        <v>1.3</v>
      </c>
      <c r="AK55" s="71">
        <v>1.4</v>
      </c>
      <c r="AL55" s="71">
        <v>1.7</v>
      </c>
      <c r="AM55" s="71">
        <v>1.5</v>
      </c>
      <c r="AN55" s="71">
        <v>1.6</v>
      </c>
      <c r="AO55" s="71">
        <v>1.5</v>
      </c>
      <c r="AP55" s="71">
        <v>1.8</v>
      </c>
      <c r="AQ55" s="71">
        <v>1.5</v>
      </c>
      <c r="AR55" s="71">
        <v>1.4</v>
      </c>
      <c r="AS55" s="71">
        <v>1.4</v>
      </c>
      <c r="AT55" s="71">
        <v>1.5</v>
      </c>
      <c r="AU55" s="71">
        <v>1.5</v>
      </c>
      <c r="AV55" s="71">
        <v>1.6</v>
      </c>
      <c r="AW55" s="71">
        <v>1.6</v>
      </c>
      <c r="AX55" s="71">
        <v>1.5</v>
      </c>
      <c r="AY55" s="71">
        <v>1.7</v>
      </c>
      <c r="AZ55" s="71">
        <v>1.7</v>
      </c>
      <c r="BA55" s="71">
        <v>1.6</v>
      </c>
      <c r="BB55" s="71">
        <v>1.6</v>
      </c>
      <c r="BC55" s="71">
        <v>1.8</v>
      </c>
      <c r="BD55" s="71">
        <v>1.6</v>
      </c>
      <c r="BE55" s="71">
        <v>1.4</v>
      </c>
      <c r="BF55" s="71">
        <v>1.4</v>
      </c>
      <c r="BG55" s="71">
        <v>1.6</v>
      </c>
      <c r="BH55" s="71">
        <v>1.5</v>
      </c>
      <c r="BI55" s="71">
        <v>1.6</v>
      </c>
      <c r="BJ55" s="71">
        <v>1.6</v>
      </c>
      <c r="BK55" s="71">
        <v>1.6</v>
      </c>
      <c r="BL55" s="71">
        <v>1.2</v>
      </c>
      <c r="BM55" s="71">
        <v>1.4</v>
      </c>
      <c r="BN55" s="71">
        <v>1.2</v>
      </c>
      <c r="BO55" s="3"/>
      <c r="BP55" s="3"/>
      <c r="BQ55" s="3"/>
      <c r="BR55" s="3"/>
      <c r="BS55" s="3"/>
      <c r="BT55" s="3"/>
      <c r="BU55" s="3"/>
      <c r="BV55" s="3"/>
      <c r="BW55" s="3"/>
      <c r="BX55" s="3"/>
      <c r="BY55" s="3"/>
      <c r="BZ55" s="3"/>
      <c r="CA55" s="3"/>
      <c r="CB55" s="3"/>
      <c r="CC55" s="3"/>
      <c r="CD55" s="3"/>
      <c r="CE55" s="3"/>
      <c r="CF55" s="3"/>
      <c r="CG55" s="3"/>
      <c r="CH55" s="3"/>
    </row>
    <row r="56" spans="1:86" s="38" customFormat="1">
      <c r="A56" s="145"/>
      <c r="B56" s="73"/>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29"/>
      <c r="BP56" s="29"/>
      <c r="BQ56" s="29"/>
      <c r="BR56" s="29"/>
      <c r="BS56" s="29"/>
      <c r="BT56" s="29"/>
      <c r="BU56" s="29"/>
      <c r="BV56" s="29"/>
      <c r="BW56" s="29"/>
      <c r="BX56" s="29"/>
      <c r="BY56" s="29"/>
      <c r="BZ56" s="29"/>
      <c r="CA56" s="29"/>
      <c r="CB56" s="29"/>
      <c r="CC56" s="29"/>
      <c r="CD56" s="29"/>
      <c r="CE56" s="29"/>
      <c r="CF56" s="29"/>
    </row>
    <row r="57" spans="1:86" s="73" customFormat="1">
      <c r="A57" s="144"/>
      <c r="B57" s="50" t="s">
        <v>0</v>
      </c>
      <c r="C57" s="4"/>
      <c r="D57" s="4"/>
      <c r="E57" s="4"/>
      <c r="F57" s="4"/>
      <c r="G57" s="4"/>
      <c r="H57" s="4"/>
      <c r="I57" s="4"/>
      <c r="J57" s="4"/>
      <c r="K57" s="4"/>
      <c r="L57" s="4"/>
      <c r="M57" s="4"/>
      <c r="N57" s="4"/>
      <c r="O57" s="4"/>
      <c r="P57" s="4"/>
      <c r="Q57" s="4"/>
      <c r="R57" s="4"/>
      <c r="S57" s="4"/>
      <c r="T57" s="4"/>
      <c r="U57" s="4"/>
      <c r="V57" s="4"/>
      <c r="W57" s="4"/>
      <c r="X57" s="312"/>
      <c r="Y57" s="312"/>
      <c r="Z57" s="312"/>
      <c r="AA57" s="312"/>
      <c r="AB57" s="312"/>
      <c r="AC57" s="312"/>
      <c r="AD57" s="312"/>
      <c r="AE57" s="312"/>
      <c r="AF57" s="312"/>
      <c r="AG57" s="312"/>
      <c r="AH57" s="313"/>
      <c r="AI57" s="313"/>
      <c r="AJ57" s="313"/>
      <c r="AK57" s="313"/>
      <c r="AL57" s="313"/>
      <c r="AM57" s="313"/>
      <c r="AN57" s="313"/>
      <c r="AO57" s="313"/>
      <c r="AP57" s="313"/>
      <c r="AQ57" s="313"/>
      <c r="AR57" s="313"/>
      <c r="AS57" s="313"/>
      <c r="AT57" s="3"/>
      <c r="AU57" s="3"/>
      <c r="AV57" s="3"/>
      <c r="AW57" s="3"/>
      <c r="AX57" s="3"/>
      <c r="AY57" s="3"/>
      <c r="AZ57" s="3"/>
      <c r="BA57" s="3"/>
      <c r="BB57" s="3"/>
      <c r="BC57" s="3"/>
      <c r="BD57" s="3"/>
      <c r="BE57" s="3"/>
      <c r="BF57" s="3"/>
      <c r="BG57" s="3"/>
      <c r="BH57" s="3"/>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row>
    <row r="58" spans="1:86" s="38" customFormat="1">
      <c r="A58" s="145"/>
      <c r="B58" s="314" t="s">
        <v>103</v>
      </c>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315"/>
      <c r="AA58" s="315"/>
      <c r="AB58" s="315"/>
      <c r="AC58" s="315"/>
      <c r="AD58" s="315"/>
      <c r="AE58" s="315"/>
      <c r="AF58" s="315"/>
      <c r="AG58" s="315"/>
      <c r="AH58" s="315"/>
      <c r="AI58" s="315"/>
      <c r="AJ58" s="315"/>
      <c r="AK58" s="315"/>
      <c r="AL58" s="315"/>
      <c r="AM58" s="315"/>
      <c r="AN58" s="315"/>
      <c r="AO58" s="315"/>
      <c r="AP58" s="315"/>
      <c r="AQ58" s="315"/>
      <c r="AR58" s="315"/>
      <c r="AS58" s="315"/>
      <c r="AT58" s="315"/>
      <c r="AU58" s="315"/>
      <c r="AV58" s="315"/>
      <c r="AW58" s="315"/>
      <c r="AX58" s="315"/>
      <c r="AY58" s="315"/>
      <c r="AZ58" s="315"/>
      <c r="BA58" s="315"/>
      <c r="BB58" s="315"/>
      <c r="BC58" s="315"/>
      <c r="BD58" s="315"/>
      <c r="BE58" s="315"/>
      <c r="BF58" s="315"/>
      <c r="BG58" s="315"/>
      <c r="BH58" s="315"/>
      <c r="BI58" s="117"/>
      <c r="BJ58" s="147"/>
      <c r="BK58" s="147"/>
      <c r="BL58" s="147"/>
      <c r="BM58" s="233"/>
      <c r="BN58" s="320"/>
      <c r="BO58" s="29"/>
      <c r="BP58" s="29"/>
      <c r="BQ58" s="29"/>
      <c r="BR58" s="29"/>
      <c r="BS58" s="29"/>
      <c r="BT58" s="29"/>
      <c r="BU58" s="29"/>
      <c r="BV58" s="29"/>
      <c r="BW58" s="29"/>
      <c r="BX58" s="29"/>
      <c r="BY58" s="29"/>
      <c r="BZ58" s="29"/>
      <c r="CA58" s="29"/>
      <c r="CB58" s="29"/>
      <c r="CC58" s="29"/>
      <c r="CD58" s="29"/>
      <c r="CE58" s="29"/>
      <c r="CF58" s="29"/>
    </row>
    <row r="59" spans="1:86" s="38" customFormat="1" ht="12.75" customHeight="1">
      <c r="A59" s="145"/>
      <c r="B59" s="314" t="s">
        <v>222</v>
      </c>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c r="AO59" s="315"/>
      <c r="AP59" s="315"/>
      <c r="AQ59" s="315"/>
      <c r="AR59" s="315"/>
      <c r="AS59" s="315"/>
      <c r="AT59" s="315"/>
      <c r="AU59" s="315"/>
      <c r="AV59" s="315"/>
      <c r="AW59" s="315"/>
      <c r="AX59" s="315"/>
      <c r="AY59" s="315"/>
      <c r="AZ59" s="315"/>
      <c r="BA59" s="315"/>
      <c r="BB59" s="315"/>
      <c r="BC59" s="315"/>
      <c r="BD59" s="315"/>
      <c r="BE59" s="315"/>
      <c r="BF59" s="315"/>
      <c r="BG59" s="315"/>
      <c r="BH59" s="315"/>
      <c r="BI59" s="194"/>
      <c r="BJ59" s="194"/>
      <c r="BK59" s="194"/>
      <c r="BL59" s="194"/>
      <c r="BM59" s="194"/>
      <c r="BN59" s="194"/>
      <c r="BO59" s="187"/>
      <c r="BP59" s="40"/>
      <c r="BQ59" s="40"/>
      <c r="BR59" s="40"/>
      <c r="BS59" s="40"/>
      <c r="BT59" s="40"/>
      <c r="BU59" s="40"/>
      <c r="BV59" s="40"/>
      <c r="BW59" s="40"/>
      <c r="BX59" s="40"/>
      <c r="BY59" s="40"/>
      <c r="BZ59" s="40"/>
      <c r="CA59" s="40"/>
      <c r="CB59" s="40"/>
      <c r="CC59" s="40"/>
      <c r="CD59" s="40"/>
      <c r="CE59" s="40"/>
      <c r="CF59" s="40"/>
    </row>
    <row r="60" spans="1:86" s="38" customFormat="1" ht="24" customHeight="1">
      <c r="A60" s="144"/>
      <c r="B60" s="316" t="s">
        <v>107</v>
      </c>
      <c r="C60" s="317"/>
      <c r="D60" s="317"/>
      <c r="E60" s="317"/>
      <c r="F60" s="317"/>
      <c r="G60" s="317"/>
      <c r="H60" s="317"/>
      <c r="I60" s="317"/>
      <c r="J60" s="317"/>
      <c r="K60" s="317"/>
      <c r="L60" s="317"/>
      <c r="M60" s="317"/>
      <c r="N60" s="317"/>
      <c r="O60" s="317"/>
      <c r="P60" s="317"/>
      <c r="Q60" s="317"/>
      <c r="R60" s="317"/>
      <c r="S60" s="317"/>
      <c r="T60" s="317"/>
      <c r="U60" s="317"/>
      <c r="V60" s="317"/>
      <c r="W60" s="317"/>
      <c r="X60" s="318"/>
      <c r="Y60" s="318"/>
      <c r="Z60" s="318"/>
      <c r="AA60" s="318"/>
      <c r="AB60" s="318"/>
      <c r="AC60" s="318"/>
      <c r="AD60" s="318"/>
      <c r="AE60" s="318"/>
      <c r="AF60" s="318"/>
      <c r="AG60" s="318"/>
      <c r="AH60" s="318"/>
      <c r="AI60" s="318"/>
      <c r="AJ60" s="318"/>
      <c r="AK60" s="318"/>
      <c r="AL60" s="318"/>
      <c r="AM60" s="318"/>
      <c r="AN60" s="318"/>
      <c r="AO60" s="318"/>
      <c r="AP60" s="318"/>
      <c r="AQ60" s="318"/>
      <c r="AR60" s="318"/>
      <c r="AS60" s="318"/>
      <c r="AT60" s="317"/>
      <c r="AU60" s="317"/>
      <c r="AV60" s="317"/>
      <c r="AW60" s="317"/>
      <c r="AX60" s="317"/>
      <c r="AY60" s="317"/>
      <c r="AZ60" s="317"/>
      <c r="BA60" s="317"/>
      <c r="BB60" s="317"/>
      <c r="BC60" s="317"/>
      <c r="BD60" s="317"/>
      <c r="BE60" s="317"/>
      <c r="BF60" s="317"/>
      <c r="BG60" s="317"/>
      <c r="BH60" s="194"/>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row>
    <row r="61" spans="1:86" s="38" customFormat="1" ht="13.5" customHeight="1">
      <c r="A61" s="146"/>
      <c r="B61" s="412" t="s">
        <v>231</v>
      </c>
      <c r="C61" s="412"/>
      <c r="D61" s="412"/>
      <c r="E61" s="412"/>
      <c r="F61" s="412"/>
      <c r="G61" s="412"/>
      <c r="H61" s="412"/>
      <c r="I61" s="412"/>
      <c r="J61" s="412"/>
      <c r="K61" s="412"/>
      <c r="L61" s="412"/>
      <c r="M61" s="412"/>
      <c r="N61" s="412"/>
      <c r="O61" s="412"/>
      <c r="P61" s="412"/>
      <c r="Q61" s="412"/>
      <c r="R61" s="412"/>
      <c r="S61" s="412"/>
      <c r="T61" s="412"/>
      <c r="U61" s="412"/>
      <c r="V61" s="412"/>
      <c r="W61" s="412"/>
      <c r="X61" s="412"/>
      <c r="Y61" s="412"/>
      <c r="Z61" s="412"/>
      <c r="AA61" s="412"/>
      <c r="AB61" s="412"/>
      <c r="AC61" s="412"/>
      <c r="AD61" s="412"/>
      <c r="AE61" s="412"/>
      <c r="AF61" s="412"/>
      <c r="AG61" s="412"/>
      <c r="AH61" s="412"/>
      <c r="AI61" s="412"/>
      <c r="AJ61" s="412"/>
      <c r="AK61" s="412"/>
      <c r="AL61" s="412"/>
      <c r="AM61" s="412"/>
      <c r="AN61" s="412"/>
      <c r="AO61" s="412"/>
      <c r="AP61" s="412"/>
      <c r="AQ61" s="412"/>
      <c r="AR61" s="412"/>
      <c r="AS61" s="412"/>
      <c r="AT61" s="412"/>
      <c r="AU61" s="412"/>
      <c r="AV61" s="412"/>
      <c r="AW61" s="412"/>
      <c r="AX61" s="412"/>
      <c r="AY61" s="412"/>
      <c r="AZ61" s="412"/>
      <c r="BA61" s="412"/>
      <c r="BB61" s="412"/>
      <c r="BC61" s="412"/>
      <c r="BD61" s="412"/>
      <c r="BE61" s="412"/>
      <c r="BF61" s="412"/>
      <c r="BG61" s="412"/>
      <c r="BH61" s="412"/>
      <c r="BI61" s="188"/>
      <c r="BJ61" s="188"/>
      <c r="BK61" s="188"/>
      <c r="BL61" s="188"/>
      <c r="BM61" s="188"/>
      <c r="BN61" s="188"/>
      <c r="BO61" s="187"/>
      <c r="BP61" s="29"/>
      <c r="BQ61" s="29"/>
      <c r="BR61" s="29"/>
      <c r="BS61" s="29"/>
      <c r="BT61" s="29"/>
      <c r="BU61" s="29"/>
      <c r="BV61" s="29"/>
      <c r="BW61" s="29"/>
      <c r="BX61" s="29"/>
      <c r="BY61" s="29"/>
      <c r="BZ61" s="29"/>
      <c r="CA61" s="29"/>
      <c r="CB61" s="29"/>
      <c r="CC61" s="29"/>
      <c r="CD61" s="29"/>
      <c r="CE61" s="29"/>
      <c r="CF61" s="29"/>
    </row>
    <row r="62" spans="1:86" s="38" customFormat="1" ht="13.5">
      <c r="A62" s="146"/>
      <c r="B62" s="412" t="s">
        <v>232</v>
      </c>
      <c r="C62" s="412"/>
      <c r="D62" s="412"/>
      <c r="E62" s="412"/>
      <c r="F62" s="412"/>
      <c r="G62" s="412"/>
      <c r="H62" s="412"/>
      <c r="I62" s="412"/>
      <c r="J62" s="412"/>
      <c r="K62" s="412"/>
      <c r="L62" s="412"/>
      <c r="M62" s="412"/>
      <c r="N62" s="412"/>
      <c r="O62" s="412"/>
      <c r="P62" s="412"/>
      <c r="Q62" s="412"/>
      <c r="R62" s="412"/>
      <c r="S62" s="412"/>
      <c r="T62" s="412"/>
      <c r="U62" s="412"/>
      <c r="V62" s="412"/>
      <c r="W62" s="412"/>
      <c r="X62" s="412"/>
      <c r="Y62" s="412"/>
      <c r="Z62" s="412"/>
      <c r="AA62" s="412"/>
      <c r="AB62" s="412"/>
      <c r="AC62" s="412"/>
      <c r="AD62" s="412"/>
      <c r="AE62" s="412"/>
      <c r="AF62" s="412"/>
      <c r="AG62" s="412"/>
      <c r="AH62" s="412"/>
      <c r="AI62" s="412"/>
      <c r="AJ62" s="412"/>
      <c r="AK62" s="412"/>
      <c r="AL62" s="412"/>
      <c r="AM62" s="412"/>
      <c r="AN62" s="412"/>
      <c r="AO62" s="412"/>
      <c r="AP62" s="412"/>
      <c r="AQ62" s="412"/>
      <c r="AR62" s="412"/>
      <c r="AS62" s="412"/>
      <c r="AT62" s="412"/>
      <c r="AU62" s="412"/>
      <c r="AV62" s="412"/>
      <c r="AW62" s="412"/>
      <c r="AX62" s="412"/>
      <c r="AY62" s="412"/>
      <c r="AZ62" s="412"/>
      <c r="BA62" s="412"/>
      <c r="BB62" s="412"/>
      <c r="BC62" s="412"/>
      <c r="BD62" s="412"/>
      <c r="BE62" s="412"/>
      <c r="BF62" s="412"/>
      <c r="BG62" s="412"/>
      <c r="BH62" s="412"/>
      <c r="BI62" s="29"/>
      <c r="BJ62" s="29"/>
      <c r="BK62" s="29"/>
      <c r="BL62" s="29"/>
      <c r="BM62" s="29"/>
      <c r="BN62" s="29"/>
      <c r="BO62" s="29"/>
      <c r="BP62" s="29"/>
      <c r="BQ62" s="29"/>
      <c r="BR62" s="29"/>
      <c r="BS62" s="29"/>
      <c r="BT62" s="29"/>
      <c r="BU62" s="29"/>
      <c r="BV62" s="29"/>
      <c r="BW62" s="29"/>
      <c r="BX62" s="29"/>
      <c r="BY62" s="29"/>
      <c r="BZ62" s="29"/>
      <c r="CA62" s="29"/>
      <c r="CB62" s="29"/>
      <c r="CC62" s="29"/>
      <c r="CD62" s="29"/>
      <c r="CE62" s="29"/>
      <c r="CF62" s="29"/>
    </row>
    <row r="63" spans="1:86" s="38" customFormat="1" ht="13.5">
      <c r="A63" s="146"/>
      <c r="B63" s="314" t="s">
        <v>223</v>
      </c>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315"/>
      <c r="AA63" s="315"/>
      <c r="AB63" s="315"/>
      <c r="AC63" s="315"/>
      <c r="AD63" s="315"/>
      <c r="AE63" s="315"/>
      <c r="AF63" s="315"/>
      <c r="AG63" s="315"/>
      <c r="AH63" s="315"/>
      <c r="AI63" s="315"/>
      <c r="AJ63" s="315"/>
      <c r="AK63" s="315"/>
      <c r="AL63" s="315"/>
      <c r="AM63" s="315"/>
      <c r="AN63" s="315"/>
      <c r="AO63" s="315"/>
      <c r="AP63" s="315"/>
      <c r="AQ63" s="315"/>
      <c r="AR63" s="315"/>
      <c r="AS63" s="315"/>
      <c r="AT63" s="315"/>
      <c r="AU63" s="315"/>
      <c r="AV63" s="315"/>
      <c r="AW63" s="315"/>
      <c r="AX63" s="315"/>
      <c r="AY63" s="315"/>
      <c r="AZ63" s="315"/>
      <c r="BA63" s="315"/>
      <c r="BB63" s="315"/>
      <c r="BC63" s="315"/>
      <c r="BD63" s="315"/>
      <c r="BE63" s="315"/>
      <c r="BF63" s="315"/>
      <c r="BG63" s="315"/>
      <c r="BH63" s="315"/>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row>
    <row r="64" spans="1:86" s="38" customFormat="1" ht="13.5">
      <c r="A64" s="146"/>
      <c r="B64" s="314" t="s">
        <v>224</v>
      </c>
      <c r="C64" s="315"/>
      <c r="D64" s="315"/>
      <c r="E64" s="315"/>
      <c r="F64" s="315"/>
      <c r="G64" s="315"/>
      <c r="H64" s="315"/>
      <c r="I64" s="315"/>
      <c r="J64" s="315"/>
      <c r="K64" s="315"/>
      <c r="L64" s="315"/>
      <c r="M64" s="315"/>
      <c r="N64" s="315"/>
      <c r="O64" s="315"/>
      <c r="P64" s="315"/>
      <c r="Q64" s="315"/>
      <c r="R64" s="315"/>
      <c r="S64" s="315"/>
      <c r="T64" s="315"/>
      <c r="U64" s="315"/>
      <c r="V64" s="315"/>
      <c r="W64" s="315"/>
      <c r="X64" s="315"/>
      <c r="Y64" s="315"/>
      <c r="Z64" s="315"/>
      <c r="AA64" s="315"/>
      <c r="AB64" s="315"/>
      <c r="AC64" s="315"/>
      <c r="AD64" s="315"/>
      <c r="AE64" s="315"/>
      <c r="AF64" s="315"/>
      <c r="AG64" s="315"/>
      <c r="AH64" s="315"/>
      <c r="AI64" s="315"/>
      <c r="AJ64" s="315"/>
      <c r="AK64" s="315"/>
      <c r="AL64" s="315"/>
      <c r="AM64" s="315"/>
      <c r="AN64" s="315"/>
      <c r="AO64" s="315"/>
      <c r="AP64" s="315"/>
      <c r="AQ64" s="315"/>
      <c r="AR64" s="315"/>
      <c r="AS64" s="315"/>
      <c r="AT64" s="315"/>
      <c r="AU64" s="315"/>
      <c r="AV64" s="315"/>
      <c r="AW64" s="315"/>
      <c r="AX64" s="315"/>
      <c r="AY64" s="315"/>
      <c r="AZ64" s="315"/>
      <c r="BA64" s="315"/>
      <c r="BB64" s="315"/>
      <c r="BC64" s="315"/>
      <c r="BD64" s="315"/>
      <c r="BE64" s="315"/>
      <c r="BF64" s="315"/>
      <c r="BG64" s="315"/>
      <c r="BH64" s="315"/>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row>
    <row r="65" spans="1:87" s="38" customFormat="1" ht="13.5">
      <c r="A65" s="146"/>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7"/>
      <c r="BJ65" s="147"/>
      <c r="BK65" s="147"/>
      <c r="BL65" s="147"/>
      <c r="BM65" s="233"/>
      <c r="BN65" s="320"/>
      <c r="BO65" s="29"/>
      <c r="BP65" s="29"/>
      <c r="BQ65" s="29"/>
      <c r="BR65" s="29"/>
      <c r="BS65" s="29"/>
      <c r="BT65" s="29"/>
      <c r="BU65" s="29"/>
      <c r="BV65" s="29"/>
      <c r="BW65" s="29"/>
      <c r="BX65" s="29"/>
      <c r="BY65" s="29"/>
      <c r="BZ65" s="29"/>
      <c r="CA65" s="29"/>
      <c r="CB65" s="29"/>
      <c r="CC65" s="29"/>
      <c r="CD65" s="29"/>
      <c r="CE65" s="29"/>
      <c r="CF65" s="29"/>
    </row>
    <row r="66" spans="1:87" s="38" customFormat="1" ht="13.5">
      <c r="A66" s="146"/>
      <c r="B66" s="315" t="s">
        <v>45</v>
      </c>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c r="BC66" s="114"/>
      <c r="BD66" s="114"/>
      <c r="BE66" s="114"/>
      <c r="BF66" s="114"/>
      <c r="BG66" s="114"/>
      <c r="BH66" s="114"/>
      <c r="BI66" s="117"/>
      <c r="BJ66" s="147"/>
      <c r="BK66" s="147"/>
      <c r="BL66" s="147"/>
      <c r="BM66" s="233"/>
      <c r="BN66" s="320"/>
      <c r="BO66" s="29"/>
      <c r="BP66" s="29"/>
      <c r="BQ66" s="29"/>
      <c r="BR66" s="29"/>
      <c r="BS66" s="29"/>
      <c r="BT66" s="29"/>
      <c r="BU66" s="29"/>
      <c r="BV66" s="29"/>
      <c r="BW66" s="29"/>
      <c r="BX66" s="29"/>
      <c r="BY66" s="29"/>
      <c r="BZ66" s="29"/>
      <c r="CA66" s="29"/>
      <c r="CB66" s="29"/>
      <c r="CC66" s="29"/>
      <c r="CD66" s="29"/>
      <c r="CE66" s="29"/>
      <c r="CF66" s="29"/>
    </row>
    <row r="67" spans="1:87" s="38" customFormat="1" ht="13.5">
      <c r="A67" s="146"/>
      <c r="B67" s="192" t="s">
        <v>59</v>
      </c>
      <c r="C67" s="39"/>
      <c r="D67" s="39"/>
      <c r="E67" s="39"/>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29"/>
      <c r="BP67" s="29"/>
      <c r="BQ67" s="29"/>
      <c r="BR67" s="29"/>
      <c r="BS67" s="29"/>
      <c r="BT67" s="29"/>
      <c r="BU67" s="29"/>
      <c r="BV67" s="29"/>
      <c r="BW67" s="29"/>
      <c r="BX67" s="29"/>
      <c r="BY67" s="29"/>
      <c r="BZ67" s="29"/>
      <c r="CA67" s="29"/>
      <c r="CB67" s="29"/>
      <c r="CC67" s="29"/>
      <c r="CD67" s="29"/>
      <c r="CE67" s="29"/>
      <c r="CF67" s="29"/>
    </row>
    <row r="68" spans="1:87" s="40" customFormat="1" ht="13.5">
      <c r="A68" s="144"/>
      <c r="B68" s="237" t="s">
        <v>60</v>
      </c>
      <c r="C68" s="39"/>
      <c r="D68" s="39"/>
      <c r="E68" s="39"/>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29"/>
      <c r="BP68" s="29"/>
      <c r="BQ68" s="29"/>
      <c r="BR68" s="29"/>
      <c r="BS68" s="29"/>
      <c r="BT68" s="29"/>
      <c r="BU68" s="29"/>
      <c r="BV68" s="29"/>
      <c r="BW68" s="29"/>
      <c r="BX68" s="29"/>
      <c r="BY68" s="29"/>
      <c r="BZ68" s="29"/>
      <c r="CA68" s="29"/>
      <c r="CB68" s="29"/>
      <c r="CC68" s="29"/>
      <c r="CD68" s="29"/>
      <c r="CE68" s="29"/>
      <c r="CF68" s="29"/>
      <c r="CG68" s="38"/>
    </row>
    <row r="69" spans="1:87" s="40" customFormat="1" ht="13.5">
      <c r="A69" s="144"/>
      <c r="B69" s="193" t="s">
        <v>87</v>
      </c>
      <c r="C69" s="39"/>
      <c r="D69" s="39"/>
      <c r="E69" s="39"/>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29"/>
      <c r="BP69" s="29"/>
      <c r="BQ69" s="29"/>
      <c r="BR69" s="29"/>
      <c r="BS69" s="29"/>
      <c r="BT69" s="29"/>
      <c r="BU69" s="29"/>
      <c r="BV69" s="29"/>
      <c r="BW69" s="29"/>
      <c r="BX69" s="29"/>
      <c r="BY69" s="29"/>
      <c r="BZ69" s="29"/>
      <c r="CA69" s="29"/>
      <c r="CB69" s="29"/>
      <c r="CC69" s="29"/>
      <c r="CD69" s="29"/>
      <c r="CE69" s="29"/>
      <c r="CF69" s="29"/>
      <c r="CG69" s="38"/>
    </row>
    <row r="70" spans="1:87" s="40" customFormat="1" ht="13.5">
      <c r="A70" s="144"/>
      <c r="B70" s="193" t="s">
        <v>225</v>
      </c>
      <c r="C70" s="39"/>
      <c r="D70" s="39"/>
      <c r="E70" s="39"/>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29"/>
      <c r="BP70" s="29"/>
      <c r="BQ70" s="29"/>
      <c r="BR70" s="29"/>
      <c r="BS70" s="29"/>
      <c r="BT70" s="29"/>
      <c r="BU70" s="29"/>
      <c r="BV70" s="29"/>
      <c r="BW70" s="29"/>
      <c r="BX70" s="29"/>
      <c r="BY70" s="29"/>
      <c r="BZ70" s="29"/>
      <c r="CA70" s="29"/>
      <c r="CB70" s="29"/>
      <c r="CC70" s="29"/>
      <c r="CD70" s="29"/>
      <c r="CE70" s="29"/>
      <c r="CF70" s="29"/>
      <c r="CG70" s="38"/>
    </row>
    <row r="71" spans="1:87" s="40" customFormat="1" ht="13.5">
      <c r="A71" s="144"/>
      <c r="B71" s="237" t="s">
        <v>163</v>
      </c>
      <c r="C71" s="39"/>
      <c r="D71" s="39"/>
      <c r="E71" s="39"/>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29"/>
      <c r="BP71" s="29"/>
      <c r="BQ71" s="29"/>
      <c r="BR71" s="29"/>
      <c r="BS71" s="29"/>
      <c r="BT71" s="29"/>
      <c r="BU71" s="29"/>
      <c r="BV71" s="29"/>
      <c r="BW71" s="29"/>
      <c r="BX71" s="29"/>
      <c r="BY71" s="29"/>
      <c r="BZ71" s="29"/>
      <c r="CA71" s="29"/>
      <c r="CB71" s="29"/>
      <c r="CC71" s="29"/>
      <c r="CD71" s="29"/>
      <c r="CE71" s="29"/>
      <c r="CF71" s="29"/>
      <c r="CG71" s="29"/>
      <c r="CH71" s="29"/>
      <c r="CI71" s="38"/>
    </row>
    <row r="72" spans="1:87" s="75" customFormat="1" ht="13.5">
      <c r="A72" s="144"/>
      <c r="B72" s="237" t="s">
        <v>82</v>
      </c>
      <c r="C72" s="76"/>
      <c r="D72" s="76"/>
      <c r="E72" s="77"/>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3"/>
      <c r="BP72" s="33"/>
      <c r="BQ72" s="33"/>
      <c r="BR72" s="33"/>
      <c r="BS72" s="33"/>
      <c r="BT72" s="33"/>
      <c r="BU72" s="33"/>
      <c r="BV72" s="33"/>
      <c r="BW72" s="33"/>
      <c r="BX72" s="33"/>
      <c r="BY72" s="33"/>
      <c r="BZ72" s="33"/>
      <c r="CA72" s="33"/>
      <c r="CB72" s="33"/>
      <c r="CC72" s="33"/>
      <c r="CD72" s="33"/>
      <c r="CE72" s="33"/>
    </row>
    <row r="73" spans="1:87" s="75" customFormat="1" ht="13.5">
      <c r="A73" s="144"/>
      <c r="B73" s="151" t="s">
        <v>108</v>
      </c>
      <c r="C73" s="76"/>
      <c r="D73" s="76"/>
      <c r="E73" s="77"/>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3"/>
      <c r="BP73" s="33"/>
      <c r="BQ73" s="33"/>
      <c r="BR73" s="33"/>
      <c r="BS73" s="33"/>
      <c r="BT73" s="33"/>
      <c r="BU73" s="33"/>
      <c r="BV73" s="33"/>
      <c r="BW73" s="33"/>
      <c r="BX73" s="33"/>
      <c r="BY73" s="33"/>
      <c r="BZ73" s="33"/>
      <c r="CA73" s="33"/>
      <c r="CB73" s="33"/>
      <c r="CC73" s="33"/>
      <c r="CD73" s="33"/>
      <c r="CE73" s="33"/>
    </row>
    <row r="74" spans="1:87" s="75" customFormat="1" ht="13.5">
      <c r="A74" s="144"/>
      <c r="B74" s="31" t="s">
        <v>65</v>
      </c>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2"/>
      <c r="AN74" s="32"/>
      <c r="AO74" s="32"/>
      <c r="AP74" s="32"/>
      <c r="AQ74" s="32"/>
      <c r="AR74" s="32"/>
      <c r="AS74" s="32"/>
      <c r="AT74" s="32"/>
      <c r="AU74" s="32"/>
      <c r="AV74" s="32"/>
      <c r="AW74" s="32"/>
      <c r="AX74" s="32"/>
      <c r="AY74" s="32"/>
      <c r="AZ74" s="32"/>
      <c r="BA74" s="32"/>
      <c r="BB74" s="32"/>
      <c r="BC74" s="32"/>
      <c r="BD74" s="32"/>
      <c r="BE74" s="32"/>
      <c r="BF74" s="33"/>
      <c r="BG74" s="32"/>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row>
    <row r="75" spans="1:87" s="40" customFormat="1">
      <c r="A75" s="144"/>
      <c r="B75" s="151" t="s">
        <v>226</v>
      </c>
      <c r="C75" s="76"/>
      <c r="D75" s="76"/>
      <c r="E75" s="77"/>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c r="CE75" s="29"/>
      <c r="CF75" s="29"/>
      <c r="CG75" s="38"/>
    </row>
    <row r="76" spans="1:87" s="40" customFormat="1">
      <c r="A76" s="144"/>
      <c r="B76" s="151" t="s">
        <v>83</v>
      </c>
      <c r="C76" s="76"/>
      <c r="D76" s="76"/>
      <c r="E76" s="77"/>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38"/>
    </row>
    <row r="77" spans="1:87" s="40" customFormat="1">
      <c r="A77" s="144"/>
      <c r="B77" s="237" t="s">
        <v>61</v>
      </c>
      <c r="C77" s="34"/>
      <c r="D77" s="34"/>
      <c r="E77" s="34"/>
      <c r="F77" s="34"/>
      <c r="G77" s="34"/>
      <c r="H77" s="34"/>
      <c r="I77" s="34"/>
      <c r="J77" s="34"/>
      <c r="K77" s="34"/>
      <c r="L77" s="34"/>
      <c r="M77" s="34"/>
      <c r="N77" s="34"/>
      <c r="O77" s="34"/>
      <c r="P77" s="34"/>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29"/>
      <c r="BP77" s="29"/>
      <c r="BQ77" s="29"/>
      <c r="BR77" s="29"/>
      <c r="BS77" s="29"/>
      <c r="BT77" s="29"/>
      <c r="BU77" s="29"/>
      <c r="BV77" s="29"/>
      <c r="BW77" s="29"/>
      <c r="BX77" s="29"/>
      <c r="BY77" s="29"/>
      <c r="BZ77" s="29"/>
      <c r="CA77" s="29"/>
      <c r="CB77" s="29"/>
      <c r="CC77" s="29"/>
      <c r="CD77" s="29"/>
      <c r="CE77" s="29"/>
      <c r="CF77" s="29"/>
      <c r="CG77" s="38"/>
    </row>
    <row r="78" spans="1:87" s="40" customFormat="1" ht="13.5">
      <c r="A78" s="146"/>
      <c r="B78" s="319" t="s">
        <v>227</v>
      </c>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c r="CF78" s="29"/>
      <c r="CG78" s="38"/>
    </row>
    <row r="79" spans="1:87" s="40" customFormat="1" ht="13.5">
      <c r="A79" s="146"/>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38"/>
    </row>
    <row r="80" spans="1:87" s="40" customFormat="1">
      <c r="A80" s="14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38"/>
    </row>
    <row r="81" spans="1:85" s="40" customFormat="1">
      <c r="A81" s="14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38"/>
    </row>
    <row r="82" spans="1:85" s="40" customFormat="1">
      <c r="A82" s="14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38"/>
    </row>
    <row r="83" spans="1:85" s="40" customFormat="1">
      <c r="A83" s="14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38"/>
    </row>
    <row r="84" spans="1:85" s="40" customFormat="1">
      <c r="A84" s="14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38"/>
    </row>
    <row r="85" spans="1:85" s="40" customFormat="1">
      <c r="A85" s="14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38"/>
    </row>
    <row r="86" spans="1:85" s="40" customFormat="1">
      <c r="A86" s="14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38"/>
    </row>
  </sheetData>
  <mergeCells count="4">
    <mergeCell ref="B61:BH61"/>
    <mergeCell ref="B1:BI1"/>
    <mergeCell ref="B2:BI2"/>
    <mergeCell ref="B62:BH62"/>
  </mergeCells>
  <hyperlinks>
    <hyperlink ref="B68" r:id="rId1" xr:uid="{86E8A9B1-ACD4-4D5F-8CEF-9DB94736A149}"/>
    <hyperlink ref="B77" r:id="rId2" xr:uid="{04CEB7F7-91E7-4A2C-91E7-14CED185E77E}"/>
    <hyperlink ref="B73" r:id="rId3" display="for Japan, Statistics Japan" xr:uid="{A5486EF0-F978-46A6-B880-84B0F77C2D66}"/>
    <hyperlink ref="B74" r:id="rId4" xr:uid="{44B903BF-A010-4077-ADFF-6A3FF371409A}"/>
    <hyperlink ref="B67" r:id="rId5" xr:uid="{434C1503-744C-4745-A142-11D1E73E9306}"/>
    <hyperlink ref="B72" r:id="rId6" xr:uid="{1221F4FA-75A7-4E16-8767-1DBEBF8A7EBA}"/>
    <hyperlink ref="B76" r:id="rId7" xr:uid="{9AB0BC93-7D83-424C-B203-E6455D30579C}"/>
    <hyperlink ref="B69" r:id="rId8" xr:uid="{387D334F-7152-4F44-ABD3-51DFB0247C2B}"/>
    <hyperlink ref="B78" r:id="rId9" display="for all countries, United Nations Demographic Yearbook" xr:uid="{9ED1155B-1FD6-42AC-95E8-4265997F0287}"/>
    <hyperlink ref="B71" r:id="rId10" display="for Chile, INE" xr:uid="{251902C1-D93F-4357-9887-972EA80B2177}"/>
    <hyperlink ref="B70" r:id="rId11" xr:uid="{FB13B6C7-83CD-49C7-9B01-9B5C2286E2DC}"/>
    <hyperlink ref="B75" r:id="rId12" xr:uid="{F3601A2B-6CD8-4936-9AD3-D4E9FEBA87FA}"/>
  </hyperlinks>
  <pageMargins left="0.70866141732283472" right="0.70866141732283472" top="0.74803149606299213" bottom="0.74803149606299213" header="0.31496062992125984" footer="0.31496062992125984"/>
  <pageSetup paperSize="9" scale="48" orientation="landscape" r:id="rId13"/>
  <headerFooter>
    <oddHeader>&amp;LOECD Family database (www.oecd.org/els/social/family/database.htm)</oddHead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E4FB-36D8-42C7-8ED0-810BD7A76A22}">
  <sheetPr>
    <pageSetUpPr fitToPage="1"/>
  </sheetPr>
  <dimension ref="A1:CY141"/>
  <sheetViews>
    <sheetView zoomScale="60" zoomScaleNormal="60" workbookViewId="0">
      <selection sqref="A1:BI1"/>
    </sheetView>
  </sheetViews>
  <sheetFormatPr defaultColWidth="9.140625" defaultRowHeight="12.75"/>
  <cols>
    <col min="1" max="1" width="11.85546875" style="50" customWidth="1"/>
    <col min="2" max="2" width="4.140625" style="4" customWidth="1"/>
    <col min="3" max="3" width="15.85546875" style="4" customWidth="1"/>
    <col min="4" max="33" width="4.140625" style="4" customWidth="1"/>
    <col min="34" max="61" width="4.140625" style="3" customWidth="1"/>
    <col min="62" max="76" width="5" style="3" bestFit="1" customWidth="1"/>
    <col min="77" max="77" width="5" style="3" customWidth="1"/>
    <col min="78" max="100" width="5" style="3" bestFit="1" customWidth="1"/>
    <col min="101" max="102" width="5" style="3" customWidth="1"/>
    <col min="103" max="103" width="10" style="2" customWidth="1"/>
    <col min="104" max="16384" width="9.140625" style="50"/>
  </cols>
  <sheetData>
    <row r="1" spans="1:103">
      <c r="A1" s="422" t="s">
        <v>51</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c r="AY1" s="422"/>
      <c r="AZ1" s="422"/>
      <c r="BA1" s="422"/>
      <c r="BB1" s="422"/>
      <c r="BC1" s="422"/>
      <c r="BD1" s="422"/>
      <c r="BE1" s="422"/>
      <c r="BF1" s="422"/>
      <c r="BG1" s="422"/>
      <c r="BH1" s="422"/>
      <c r="BI1" s="422"/>
      <c r="CN1" s="2"/>
      <c r="CO1" s="50"/>
      <c r="CP1" s="50"/>
      <c r="CQ1" s="50"/>
      <c r="CR1" s="50"/>
      <c r="CS1" s="50"/>
      <c r="CT1" s="50"/>
      <c r="CU1" s="50"/>
      <c r="CV1" s="50"/>
      <c r="CW1" s="50"/>
      <c r="CX1" s="50"/>
      <c r="CY1" s="50"/>
    </row>
    <row r="2" spans="1:103" ht="13.5" thickBot="1">
      <c r="A2" s="423" t="s">
        <v>237</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3"/>
      <c r="AV2" s="423"/>
      <c r="AW2" s="423"/>
      <c r="AX2" s="423"/>
      <c r="AY2" s="423"/>
      <c r="AZ2" s="423"/>
      <c r="BA2" s="423"/>
      <c r="BB2" s="423"/>
      <c r="BC2" s="423"/>
      <c r="BD2" s="423"/>
      <c r="BE2" s="423"/>
      <c r="BF2" s="423"/>
      <c r="BG2" s="423"/>
      <c r="BH2" s="423"/>
      <c r="BI2" s="423"/>
      <c r="CY2" s="3"/>
    </row>
    <row r="3" spans="1:103">
      <c r="A3" s="386"/>
      <c r="B3" s="385"/>
      <c r="C3" s="420" t="s">
        <v>54</v>
      </c>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4" t="s">
        <v>43</v>
      </c>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row>
    <row r="4" spans="1:103" ht="12.75" customHeight="1">
      <c r="A4" s="383" t="s">
        <v>42</v>
      </c>
      <c r="B4" s="14" t="s">
        <v>41</v>
      </c>
      <c r="C4" s="421"/>
      <c r="D4" s="13">
        <v>1960</v>
      </c>
      <c r="E4" s="13">
        <v>1961</v>
      </c>
      <c r="F4" s="13">
        <v>1962</v>
      </c>
      <c r="G4" s="13">
        <v>1963</v>
      </c>
      <c r="H4" s="13">
        <v>1964</v>
      </c>
      <c r="I4" s="13">
        <v>1965</v>
      </c>
      <c r="J4" s="13">
        <v>1966</v>
      </c>
      <c r="K4" s="13">
        <v>1967</v>
      </c>
      <c r="L4" s="13">
        <v>1968</v>
      </c>
      <c r="M4" s="13">
        <v>1969</v>
      </c>
      <c r="N4" s="13">
        <v>1970</v>
      </c>
      <c r="O4" s="13">
        <v>1971</v>
      </c>
      <c r="P4" s="13">
        <v>1972</v>
      </c>
      <c r="Q4" s="13">
        <v>1973</v>
      </c>
      <c r="R4" s="13">
        <v>1974</v>
      </c>
      <c r="S4" s="13">
        <v>1975</v>
      </c>
      <c r="T4" s="13">
        <v>1976</v>
      </c>
      <c r="U4" s="13">
        <v>1977</v>
      </c>
      <c r="V4" s="13">
        <v>1978</v>
      </c>
      <c r="W4" s="13">
        <v>1979</v>
      </c>
      <c r="X4" s="13">
        <v>1980</v>
      </c>
      <c r="Y4" s="13">
        <v>1981</v>
      </c>
      <c r="Z4" s="13">
        <v>1982</v>
      </c>
      <c r="AA4" s="13">
        <v>1983</v>
      </c>
      <c r="AB4" s="13">
        <v>1984</v>
      </c>
      <c r="AC4" s="13">
        <v>1985</v>
      </c>
      <c r="AD4" s="13">
        <v>1986</v>
      </c>
      <c r="AE4" s="13">
        <v>1987</v>
      </c>
      <c r="AF4" s="13">
        <v>1988</v>
      </c>
      <c r="AG4" s="13">
        <v>1989</v>
      </c>
      <c r="AH4" s="13">
        <v>1990</v>
      </c>
      <c r="AI4" s="13">
        <v>1991</v>
      </c>
      <c r="AJ4" s="13">
        <v>1992</v>
      </c>
      <c r="AK4" s="13">
        <v>1993</v>
      </c>
      <c r="AL4" s="13">
        <v>1994</v>
      </c>
      <c r="AM4" s="13">
        <v>1995</v>
      </c>
      <c r="AN4" s="13">
        <v>1996</v>
      </c>
      <c r="AO4" s="13">
        <v>1997</v>
      </c>
      <c r="AP4" s="13">
        <v>1998</v>
      </c>
      <c r="AQ4" s="13">
        <v>1999</v>
      </c>
      <c r="AR4" s="13">
        <v>2000</v>
      </c>
      <c r="AS4" s="13">
        <v>2001</v>
      </c>
      <c r="AT4" s="13">
        <v>2002</v>
      </c>
      <c r="AU4" s="13">
        <v>2003</v>
      </c>
      <c r="AV4" s="13">
        <v>2004</v>
      </c>
      <c r="AW4" s="13">
        <v>2005</v>
      </c>
      <c r="AX4" s="13">
        <v>2006</v>
      </c>
      <c r="AY4" s="13">
        <v>2007</v>
      </c>
      <c r="AZ4" s="13">
        <v>2008</v>
      </c>
      <c r="BA4" s="13">
        <v>2009</v>
      </c>
      <c r="BB4" s="13">
        <v>2010</v>
      </c>
      <c r="BC4" s="13">
        <v>2011</v>
      </c>
      <c r="BD4" s="13">
        <v>2012</v>
      </c>
      <c r="BE4" s="13">
        <v>2013</v>
      </c>
      <c r="BF4" s="13">
        <v>2014</v>
      </c>
      <c r="BG4" s="13">
        <v>2015</v>
      </c>
      <c r="BH4" s="13">
        <v>2016</v>
      </c>
      <c r="BI4" s="13">
        <v>2017</v>
      </c>
      <c r="BJ4" s="13">
        <v>2018</v>
      </c>
      <c r="BK4" s="13">
        <v>2019</v>
      </c>
      <c r="BL4" s="13">
        <v>2020</v>
      </c>
      <c r="BM4" s="13">
        <f>+BL4+1</f>
        <v>2021</v>
      </c>
      <c r="BN4" s="13">
        <f>+BM4+1</f>
        <v>2022</v>
      </c>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row>
    <row r="5" spans="1:103">
      <c r="A5" s="424" t="s">
        <v>40</v>
      </c>
      <c r="B5" s="425"/>
      <c r="C5" s="22" t="s">
        <v>52</v>
      </c>
      <c r="D5" s="23" t="s">
        <v>44</v>
      </c>
      <c r="E5" s="23" t="s">
        <v>44</v>
      </c>
      <c r="F5" s="23" t="s">
        <v>44</v>
      </c>
      <c r="G5" s="23" t="s">
        <v>44</v>
      </c>
      <c r="H5" s="23" t="s">
        <v>44</v>
      </c>
      <c r="I5" s="23" t="s">
        <v>44</v>
      </c>
      <c r="J5" s="23" t="s">
        <v>44</v>
      </c>
      <c r="K5" s="23" t="s">
        <v>44</v>
      </c>
      <c r="L5" s="23" t="s">
        <v>44</v>
      </c>
      <c r="M5" s="23" t="s">
        <v>44</v>
      </c>
      <c r="N5" s="23" t="s">
        <v>44</v>
      </c>
      <c r="O5" s="23" t="s">
        <v>44</v>
      </c>
      <c r="P5" s="23" t="s">
        <v>44</v>
      </c>
      <c r="Q5" s="23" t="s">
        <v>44</v>
      </c>
      <c r="R5" s="23" t="s">
        <v>44</v>
      </c>
      <c r="S5" s="23" t="s">
        <v>44</v>
      </c>
      <c r="T5" s="23" t="s">
        <v>44</v>
      </c>
      <c r="U5" s="23" t="s">
        <v>44</v>
      </c>
      <c r="V5" s="23" t="s">
        <v>44</v>
      </c>
      <c r="W5" s="23" t="s">
        <v>44</v>
      </c>
      <c r="X5" s="23">
        <v>77.224459904796788</v>
      </c>
      <c r="Y5" s="23">
        <v>77.155524340459152</v>
      </c>
      <c r="Z5" s="23">
        <v>77.041799546361517</v>
      </c>
      <c r="AA5" s="23" t="s">
        <v>44</v>
      </c>
      <c r="AB5" s="23" t="s">
        <v>44</v>
      </c>
      <c r="AC5" s="23">
        <v>76.350947676482562</v>
      </c>
      <c r="AD5" s="23">
        <v>76.034043145684123</v>
      </c>
      <c r="AE5" s="23">
        <v>76.471361469433546</v>
      </c>
      <c r="AF5" s="23">
        <v>76.481817559238465</v>
      </c>
      <c r="AG5" s="23">
        <v>76.680378234450743</v>
      </c>
      <c r="AH5" s="24">
        <v>76.591369625253293</v>
      </c>
      <c r="AI5" s="24">
        <v>76.719739349603486</v>
      </c>
      <c r="AJ5" s="24">
        <v>76.430476157278306</v>
      </c>
      <c r="AK5" s="24">
        <v>76.402366341441876</v>
      </c>
      <c r="AL5" s="24">
        <v>76.568712108946329</v>
      </c>
      <c r="AM5" s="24">
        <v>76.604867167644855</v>
      </c>
      <c r="AN5" s="24">
        <v>75.649604629463823</v>
      </c>
      <c r="AO5" s="24">
        <v>75.911837728954893</v>
      </c>
      <c r="AP5" s="24">
        <v>76.037089278287127</v>
      </c>
      <c r="AQ5" s="24">
        <v>76.22117638825712</v>
      </c>
      <c r="AR5" s="24">
        <v>75.90254696770667</v>
      </c>
      <c r="AS5" s="24">
        <v>76.051100552700476</v>
      </c>
      <c r="AT5" s="24">
        <v>75.489163939868163</v>
      </c>
      <c r="AU5" s="24">
        <v>75.646183055435458</v>
      </c>
      <c r="AV5" s="24">
        <v>76.225688999441232</v>
      </c>
      <c r="AW5" s="24">
        <v>76.918397775399512</v>
      </c>
      <c r="AX5" s="24">
        <v>77.25219309765194</v>
      </c>
      <c r="AY5" s="24">
        <v>77.679630680352815</v>
      </c>
      <c r="AZ5" s="24">
        <v>78.169945097510862</v>
      </c>
      <c r="BA5" s="24">
        <v>78.950282222481221</v>
      </c>
      <c r="BB5" s="24">
        <v>79.550724996492619</v>
      </c>
      <c r="BC5" s="24">
        <v>79.723869441661051</v>
      </c>
      <c r="BD5" s="24">
        <v>79.996835520070107</v>
      </c>
      <c r="BE5" s="24">
        <v>80.485713565177917</v>
      </c>
      <c r="BF5" s="24">
        <v>80.473939123905708</v>
      </c>
      <c r="BG5" s="24">
        <v>80.099036049121892</v>
      </c>
      <c r="BH5" s="24">
        <v>80.252700568407363</v>
      </c>
      <c r="BI5" s="24">
        <v>80.113586061582595</v>
      </c>
      <c r="BJ5" s="24">
        <v>80.330572735549254</v>
      </c>
      <c r="BK5" s="24">
        <v>80.692701339548051</v>
      </c>
      <c r="BL5" s="24">
        <v>79.843295038121312</v>
      </c>
      <c r="BM5" s="24">
        <v>81.8</v>
      </c>
      <c r="BN5" s="24"/>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row>
    <row r="6" spans="1:103">
      <c r="A6" s="415"/>
      <c r="B6" s="417"/>
      <c r="C6" s="127" t="s">
        <v>53</v>
      </c>
      <c r="D6" s="129" t="s">
        <v>44</v>
      </c>
      <c r="E6" s="129" t="s">
        <v>44</v>
      </c>
      <c r="F6" s="129" t="s">
        <v>44</v>
      </c>
      <c r="G6" s="129" t="s">
        <v>44</v>
      </c>
      <c r="H6" s="129" t="s">
        <v>44</v>
      </c>
      <c r="I6" s="129" t="s">
        <v>44</v>
      </c>
      <c r="J6" s="129" t="s">
        <v>44</v>
      </c>
      <c r="K6" s="129" t="s">
        <v>44</v>
      </c>
      <c r="L6" s="129" t="s">
        <v>44</v>
      </c>
      <c r="M6" s="129" t="s">
        <v>44</v>
      </c>
      <c r="N6" s="129" t="s">
        <v>44</v>
      </c>
      <c r="O6" s="129" t="s">
        <v>44</v>
      </c>
      <c r="P6" s="129" t="s">
        <v>44</v>
      </c>
      <c r="Q6" s="129" t="s">
        <v>44</v>
      </c>
      <c r="R6" s="129" t="s">
        <v>44</v>
      </c>
      <c r="S6" s="129" t="s">
        <v>44</v>
      </c>
      <c r="T6" s="129" t="s">
        <v>44</v>
      </c>
      <c r="U6" s="129" t="s">
        <v>44</v>
      </c>
      <c r="V6" s="129" t="s">
        <v>44</v>
      </c>
      <c r="W6" s="129" t="s">
        <v>44</v>
      </c>
      <c r="X6" s="129">
        <v>19.487367264738193</v>
      </c>
      <c r="Y6" s="129">
        <v>19.824854045037533</v>
      </c>
      <c r="Z6" s="129">
        <v>20.15834711871344</v>
      </c>
      <c r="AA6" s="129" t="s">
        <v>44</v>
      </c>
      <c r="AB6" s="129" t="s">
        <v>44</v>
      </c>
      <c r="AC6" s="129">
        <v>20.940230143818241</v>
      </c>
      <c r="AD6" s="129">
        <v>21.130768494426221</v>
      </c>
      <c r="AE6" s="129">
        <v>20.7624964946719</v>
      </c>
      <c r="AF6" s="129">
        <v>20.877705108889195</v>
      </c>
      <c r="AG6" s="129">
        <v>20.668908308868712</v>
      </c>
      <c r="AH6" s="128">
        <v>20.880393984216692</v>
      </c>
      <c r="AI6" s="128">
        <v>20.745330160096252</v>
      </c>
      <c r="AJ6" s="128">
        <v>21.17000139431121</v>
      </c>
      <c r="AK6" s="128">
        <v>21.02953511986226</v>
      </c>
      <c r="AL6" s="128">
        <v>20.925306276647419</v>
      </c>
      <c r="AM6" s="128">
        <v>21.076737425264657</v>
      </c>
      <c r="AN6" s="128">
        <v>21.940944176884724</v>
      </c>
      <c r="AO6" s="128">
        <v>21.817585609219094</v>
      </c>
      <c r="AP6" s="128">
        <v>21.697046962874555</v>
      </c>
      <c r="AQ6" s="128">
        <v>21.592777913852828</v>
      </c>
      <c r="AR6" s="128">
        <v>21.962637420765414</v>
      </c>
      <c r="AS6" s="128">
        <v>21.805973043731214</v>
      </c>
      <c r="AT6" s="128">
        <v>22.409541423625932</v>
      </c>
      <c r="AU6" s="128">
        <v>22.263473504144969</v>
      </c>
      <c r="AV6" s="128">
        <v>21.844301447394511</v>
      </c>
      <c r="AW6" s="128">
        <v>21.25536254950925</v>
      </c>
      <c r="AX6" s="128">
        <v>20.948241144438022</v>
      </c>
      <c r="AY6" s="128">
        <v>20.587249187599937</v>
      </c>
      <c r="AZ6" s="128">
        <v>20.157718346862474</v>
      </c>
      <c r="BA6" s="128">
        <v>19.480011322199836</v>
      </c>
      <c r="BB6" s="128">
        <v>18.956368167826167</v>
      </c>
      <c r="BC6" s="128">
        <v>18.785419780869621</v>
      </c>
      <c r="BD6" s="128">
        <v>18.589291075355195</v>
      </c>
      <c r="BE6" s="128">
        <v>18.187778982674704</v>
      </c>
      <c r="BF6" s="128">
        <v>18.142363259816662</v>
      </c>
      <c r="BG6" s="128">
        <v>18.514899423390112</v>
      </c>
      <c r="BH6" s="128">
        <v>18.336416077566913</v>
      </c>
      <c r="BI6" s="128">
        <v>18.514173911503796</v>
      </c>
      <c r="BJ6" s="128">
        <v>18.318283212318939</v>
      </c>
      <c r="BK6" s="128">
        <v>17.981107780284656</v>
      </c>
      <c r="BL6" s="128">
        <v>18.738011674423927</v>
      </c>
      <c r="BM6" s="128">
        <v>17.100000000000001</v>
      </c>
      <c r="BN6" s="128"/>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row>
    <row r="7" spans="1:103">
      <c r="A7" s="415"/>
      <c r="B7" s="417"/>
      <c r="C7" s="133" t="s">
        <v>55</v>
      </c>
      <c r="D7" s="130" t="s">
        <v>44</v>
      </c>
      <c r="E7" s="130" t="s">
        <v>44</v>
      </c>
      <c r="F7" s="130" t="s">
        <v>44</v>
      </c>
      <c r="G7" s="130" t="s">
        <v>44</v>
      </c>
      <c r="H7" s="130" t="s">
        <v>44</v>
      </c>
      <c r="I7" s="130" t="s">
        <v>44</v>
      </c>
      <c r="J7" s="130" t="s">
        <v>44</v>
      </c>
      <c r="K7" s="130" t="s">
        <v>44</v>
      </c>
      <c r="L7" s="130" t="s">
        <v>44</v>
      </c>
      <c r="M7" s="130" t="s">
        <v>44</v>
      </c>
      <c r="N7" s="130" t="s">
        <v>44</v>
      </c>
      <c r="O7" s="130" t="s">
        <v>44</v>
      </c>
      <c r="P7" s="130" t="s">
        <v>44</v>
      </c>
      <c r="Q7" s="130" t="s">
        <v>44</v>
      </c>
      <c r="R7" s="130" t="s">
        <v>44</v>
      </c>
      <c r="S7" s="130" t="s">
        <v>44</v>
      </c>
      <c r="T7" s="130" t="s">
        <v>44</v>
      </c>
      <c r="U7" s="130" t="s">
        <v>44</v>
      </c>
      <c r="V7" s="130" t="s">
        <v>44</v>
      </c>
      <c r="W7" s="130" t="s">
        <v>44</v>
      </c>
      <c r="X7" s="130">
        <v>3.2881728304650313</v>
      </c>
      <c r="Y7" s="130">
        <v>3.0196216145033143</v>
      </c>
      <c r="Z7" s="130">
        <v>2.7998533349250474</v>
      </c>
      <c r="AA7" s="130" t="s">
        <v>44</v>
      </c>
      <c r="AB7" s="130" t="s">
        <v>44</v>
      </c>
      <c r="AC7" s="130">
        <v>2.7088221796992027</v>
      </c>
      <c r="AD7" s="130">
        <v>2.8351883598896555</v>
      </c>
      <c r="AE7" s="130">
        <v>2.7661420358945596</v>
      </c>
      <c r="AF7" s="130">
        <v>2.6404773318723462</v>
      </c>
      <c r="AG7" s="130">
        <v>2.650713456680549</v>
      </c>
      <c r="AH7" s="131">
        <v>2.5282363905300151</v>
      </c>
      <c r="AI7" s="131">
        <v>2.534930490300257</v>
      </c>
      <c r="AJ7" s="131">
        <v>2.3995224484104853</v>
      </c>
      <c r="AK7" s="131">
        <v>2.568098538695863</v>
      </c>
      <c r="AL7" s="131">
        <v>2.5059816144062461</v>
      </c>
      <c r="AM7" s="131">
        <v>2.3183954070904869</v>
      </c>
      <c r="AN7" s="131">
        <v>2.409451193651452</v>
      </c>
      <c r="AO7" s="131">
        <v>2.2705766618260177</v>
      </c>
      <c r="AP7" s="131">
        <v>2.2658637588383153</v>
      </c>
      <c r="AQ7" s="131">
        <v>2.1860456978900591</v>
      </c>
      <c r="AR7" s="131">
        <v>2.134815611527916</v>
      </c>
      <c r="AS7" s="131">
        <v>2.1429264035683118</v>
      </c>
      <c r="AT7" s="131">
        <v>2.1012946365059038</v>
      </c>
      <c r="AU7" s="131">
        <v>2.0903434404195722</v>
      </c>
      <c r="AV7" s="131">
        <v>1.9295589322085835</v>
      </c>
      <c r="AW7" s="131">
        <v>1.8262396750912433</v>
      </c>
      <c r="AX7" s="131">
        <v>1.799565757910035</v>
      </c>
      <c r="AY7" s="131">
        <v>1.7331201320472482</v>
      </c>
      <c r="AZ7" s="131">
        <v>1.6723365556266629</v>
      </c>
      <c r="BA7" s="131">
        <v>1.5697064553189362</v>
      </c>
      <c r="BB7" s="131">
        <v>1.4990963333415861</v>
      </c>
      <c r="BC7" s="131">
        <v>1.4870148003351018</v>
      </c>
      <c r="BD7" s="131">
        <v>1.4118448917991286</v>
      </c>
      <c r="BE7" s="131">
        <v>1.3311308938373725</v>
      </c>
      <c r="BF7" s="131">
        <v>1.3836976162776307</v>
      </c>
      <c r="BG7" s="131">
        <v>1.3900259694528809</v>
      </c>
      <c r="BH7" s="131">
        <v>1.4159508787932535</v>
      </c>
      <c r="BI7" s="131">
        <v>1.3700267365476211</v>
      </c>
      <c r="BJ7" s="131">
        <v>1.3485965711965449</v>
      </c>
      <c r="BK7" s="131">
        <v>1.3248604442277918</v>
      </c>
      <c r="BL7" s="131">
        <v>1.4193536036624006</v>
      </c>
      <c r="BM7" s="131">
        <v>1.2</v>
      </c>
      <c r="BN7" s="131"/>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c r="CO7" s="50"/>
      <c r="CP7" s="50"/>
      <c r="CQ7" s="50"/>
      <c r="CR7" s="50"/>
      <c r="CS7" s="50"/>
      <c r="CT7" s="50"/>
      <c r="CU7" s="50"/>
      <c r="CV7" s="50"/>
      <c r="CW7" s="50"/>
      <c r="CX7" s="50"/>
      <c r="CY7" s="50"/>
    </row>
    <row r="8" spans="1:103">
      <c r="A8" s="414" t="s">
        <v>39</v>
      </c>
      <c r="B8" s="416"/>
      <c r="C8" s="22" t="s">
        <v>52</v>
      </c>
      <c r="D8" s="25">
        <v>85.417378819990432</v>
      </c>
      <c r="E8" s="25">
        <v>86.09356510724821</v>
      </c>
      <c r="F8" s="25">
        <v>86.909806548865248</v>
      </c>
      <c r="G8" s="25">
        <v>86.868954891723021</v>
      </c>
      <c r="H8" s="25">
        <v>86.451254062885653</v>
      </c>
      <c r="I8" s="25">
        <v>86.339842786139798</v>
      </c>
      <c r="J8" s="25">
        <v>86.468037838612588</v>
      </c>
      <c r="K8" s="25">
        <v>86.285678629370139</v>
      </c>
      <c r="L8" s="25">
        <v>86.411849788396637</v>
      </c>
      <c r="M8" s="25">
        <v>85.887754540955669</v>
      </c>
      <c r="N8" s="25">
        <v>85.592064123699615</v>
      </c>
      <c r="O8" s="25">
        <v>84.890794336253791</v>
      </c>
      <c r="P8" s="25">
        <v>86.486439378093849</v>
      </c>
      <c r="Q8" s="25">
        <v>84.950434958527211</v>
      </c>
      <c r="R8" s="25">
        <v>84.814183706588778</v>
      </c>
      <c r="S8" s="25">
        <v>84.353916892269339</v>
      </c>
      <c r="T8" s="25">
        <v>83.81366486769943</v>
      </c>
      <c r="U8" s="25">
        <v>84.265503107232576</v>
      </c>
      <c r="V8" s="25">
        <v>83.584232607183722</v>
      </c>
      <c r="W8" s="25">
        <v>83.406315326218504</v>
      </c>
      <c r="X8" s="25">
        <v>84.052977280068916</v>
      </c>
      <c r="Y8" s="25">
        <v>83.834366102830344</v>
      </c>
      <c r="Z8" s="25">
        <v>84.506643158491272</v>
      </c>
      <c r="AA8" s="25">
        <v>85.712378273486323</v>
      </c>
      <c r="AB8" s="25">
        <v>83.218034611439677</v>
      </c>
      <c r="AC8" s="25">
        <v>82.14166313771814</v>
      </c>
      <c r="AD8" s="25">
        <v>82.520023569978832</v>
      </c>
      <c r="AE8" s="25">
        <v>87.54740502591693</v>
      </c>
      <c r="AF8" s="25">
        <v>77.398829218630695</v>
      </c>
      <c r="AG8" s="25">
        <v>79.489923100439768</v>
      </c>
      <c r="AH8" s="53">
        <v>80.244182960276035</v>
      </c>
      <c r="AI8" s="53">
        <v>79.506189634063389</v>
      </c>
      <c r="AJ8" s="53">
        <v>79.452309577470942</v>
      </c>
      <c r="AK8" s="53">
        <v>79.549695650242143</v>
      </c>
      <c r="AL8" s="53">
        <v>79.836660197763607</v>
      </c>
      <c r="AM8" s="53">
        <v>79.492851487915061</v>
      </c>
      <c r="AN8" s="53">
        <v>79.065204028559265</v>
      </c>
      <c r="AO8" s="53">
        <v>78.219065565057733</v>
      </c>
      <c r="AP8" s="53">
        <v>78.190225583118306</v>
      </c>
      <c r="AQ8" s="53">
        <v>76.508800810434337</v>
      </c>
      <c r="AR8" s="53">
        <v>76.612368716223102</v>
      </c>
      <c r="AS8" s="53">
        <v>74.676292637301614</v>
      </c>
      <c r="AT8" s="53">
        <v>74.107191687175273</v>
      </c>
      <c r="AU8" s="53">
        <v>73.728995832773222</v>
      </c>
      <c r="AV8" s="53">
        <v>72.926183554817285</v>
      </c>
      <c r="AW8" s="53">
        <v>73.11572548719127</v>
      </c>
      <c r="AX8" s="53">
        <v>73.920049833437147</v>
      </c>
      <c r="AY8" s="53">
        <v>84.99659265598504</v>
      </c>
      <c r="AZ8" s="53">
        <v>74.757970644181356</v>
      </c>
      <c r="BA8" s="53">
        <v>75.557529109926975</v>
      </c>
      <c r="BB8" s="53">
        <v>75.484085763750159</v>
      </c>
      <c r="BC8" s="53">
        <v>75.69044089386702</v>
      </c>
      <c r="BD8" s="53">
        <v>76.693356135986733</v>
      </c>
      <c r="BE8" s="53">
        <v>77.082180409518543</v>
      </c>
      <c r="BF8" s="53">
        <v>77.496128997810885</v>
      </c>
      <c r="BG8" s="53">
        <v>77.688643207046866</v>
      </c>
      <c r="BH8" s="53">
        <v>78.149922031632883</v>
      </c>
      <c r="BI8" s="53">
        <v>78.140770547564529</v>
      </c>
      <c r="BJ8" s="53">
        <v>78.163467332357754</v>
      </c>
      <c r="BK8" s="53">
        <v>78.01407655211365</v>
      </c>
      <c r="BL8" s="53" t="s">
        <v>44</v>
      </c>
      <c r="BM8" s="53" t="s">
        <v>44</v>
      </c>
      <c r="BN8" s="53"/>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row>
    <row r="9" spans="1:103">
      <c r="A9" s="415"/>
      <c r="B9" s="417"/>
      <c r="C9" s="127" t="s">
        <v>53</v>
      </c>
      <c r="D9" s="129">
        <v>10.281499965816639</v>
      </c>
      <c r="E9" s="129">
        <v>10.05816569723838</v>
      </c>
      <c r="F9" s="129">
        <v>9.5770873461184145</v>
      </c>
      <c r="G9" s="129">
        <v>9.5335102285371907</v>
      </c>
      <c r="H9" s="129">
        <v>10.035110284532356</v>
      </c>
      <c r="I9" s="129">
        <v>10.351968698226937</v>
      </c>
      <c r="J9" s="129">
        <v>10.297226601691271</v>
      </c>
      <c r="K9" s="129">
        <v>10.564083364532635</v>
      </c>
      <c r="L9" s="129">
        <v>10.493562614953305</v>
      </c>
      <c r="M9" s="129">
        <v>11.031177257647684</v>
      </c>
      <c r="N9" s="129">
        <v>11.521990411763591</v>
      </c>
      <c r="O9" s="129">
        <v>12.161067973259145</v>
      </c>
      <c r="P9" s="129">
        <v>11.09600501987032</v>
      </c>
      <c r="Q9" s="129">
        <v>12.475217479263605</v>
      </c>
      <c r="R9" s="129">
        <v>12.682570593963</v>
      </c>
      <c r="S9" s="129">
        <v>13.162305014825318</v>
      </c>
      <c r="T9" s="129">
        <v>13.732602093211266</v>
      </c>
      <c r="U9" s="129">
        <v>13.418396579840453</v>
      </c>
      <c r="V9" s="129">
        <v>14.140847598321853</v>
      </c>
      <c r="W9" s="129">
        <v>14.413026735614478</v>
      </c>
      <c r="X9" s="129">
        <v>14.00129212878217</v>
      </c>
      <c r="Y9" s="129">
        <v>14.037640261262771</v>
      </c>
      <c r="Z9" s="129">
        <v>13.950632831685661</v>
      </c>
      <c r="AA9" s="129">
        <v>12.899894963593313</v>
      </c>
      <c r="AB9" s="129">
        <v>15.300176767125679</v>
      </c>
      <c r="AC9" s="129">
        <v>16.251365145875589</v>
      </c>
      <c r="AD9" s="129">
        <v>16.01121756399904</v>
      </c>
      <c r="AE9" s="129">
        <v>11.424447214749689</v>
      </c>
      <c r="AF9" s="129">
        <v>20.997709340799187</v>
      </c>
      <c r="AG9" s="129">
        <v>19.141405827434564</v>
      </c>
      <c r="AH9" s="128">
        <v>18.514996018756083</v>
      </c>
      <c r="AI9" s="128">
        <v>19.241146329297599</v>
      </c>
      <c r="AJ9" s="128">
        <v>19.336557186932453</v>
      </c>
      <c r="AK9" s="128">
        <v>19.250677566979164</v>
      </c>
      <c r="AL9" s="128">
        <v>19.017419831808521</v>
      </c>
      <c r="AM9" s="128">
        <v>19.351045498998744</v>
      </c>
      <c r="AN9" s="128">
        <v>19.765709962645989</v>
      </c>
      <c r="AO9" s="128">
        <v>20.598395902787843</v>
      </c>
      <c r="AP9" s="128">
        <v>20.693355133740386</v>
      </c>
      <c r="AQ9" s="128">
        <v>22.304672660503989</v>
      </c>
      <c r="AR9" s="128">
        <v>22.179310696441316</v>
      </c>
      <c r="AS9" s="128">
        <v>24.201326980972144</v>
      </c>
      <c r="AT9" s="128">
        <v>24.70467596390484</v>
      </c>
      <c r="AU9" s="128">
        <v>25.16601693776045</v>
      </c>
      <c r="AV9" s="128">
        <v>25.91362126245847</v>
      </c>
      <c r="AW9" s="128">
        <v>25.733660255919087</v>
      </c>
      <c r="AX9" s="128">
        <v>24.932968610351271</v>
      </c>
      <c r="AY9" s="128" t="s">
        <v>44</v>
      </c>
      <c r="AZ9" s="128">
        <v>24.245521392272096</v>
      </c>
      <c r="BA9" s="128">
        <v>23.516310017198116</v>
      </c>
      <c r="BB9" s="128">
        <v>23.511785856971635</v>
      </c>
      <c r="BC9" s="128">
        <v>23.40498544995333</v>
      </c>
      <c r="BD9" s="128">
        <v>22.345304726368159</v>
      </c>
      <c r="BE9" s="128">
        <v>21.98256779192031</v>
      </c>
      <c r="BF9" s="128">
        <v>21.513428373111218</v>
      </c>
      <c r="BG9" s="128">
        <v>21.476562851107815</v>
      </c>
      <c r="BH9" s="128">
        <v>20.901091557139676</v>
      </c>
      <c r="BI9" s="128">
        <v>20.973299837709256</v>
      </c>
      <c r="BJ9" s="128">
        <v>21.005853490574157</v>
      </c>
      <c r="BK9" s="128">
        <v>21.604683494808185</v>
      </c>
      <c r="BL9" s="128"/>
      <c r="BM9" s="128"/>
      <c r="BN9" s="128"/>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row>
    <row r="10" spans="1:103">
      <c r="A10" s="415"/>
      <c r="B10" s="417"/>
      <c r="C10" s="133" t="s">
        <v>55</v>
      </c>
      <c r="D10" s="130">
        <v>4.3011212141929311</v>
      </c>
      <c r="E10" s="130">
        <v>3.8482691955134083</v>
      </c>
      <c r="F10" s="130">
        <v>3.5131061050163304</v>
      </c>
      <c r="G10" s="130">
        <v>3.597534879739793</v>
      </c>
      <c r="H10" s="130">
        <v>3.5136356525819963</v>
      </c>
      <c r="I10" s="130">
        <v>3.3081885156332618</v>
      </c>
      <c r="J10" s="130">
        <v>3.2347355596961447</v>
      </c>
      <c r="K10" s="130">
        <v>3.150238006097235</v>
      </c>
      <c r="L10" s="130">
        <v>3.0945875966500598</v>
      </c>
      <c r="M10" s="130">
        <v>3.0810682013966533</v>
      </c>
      <c r="N10" s="130">
        <v>2.8859454645367899</v>
      </c>
      <c r="O10" s="130">
        <v>2.9481376904870653</v>
      </c>
      <c r="P10" s="130">
        <v>2.417555602035836</v>
      </c>
      <c r="Q10" s="130">
        <v>2.5743475622091849</v>
      </c>
      <c r="R10" s="130">
        <v>2.5032456994482311</v>
      </c>
      <c r="S10" s="130">
        <v>2.4837780929053328</v>
      </c>
      <c r="T10" s="130">
        <v>2.4537330390893</v>
      </c>
      <c r="U10" s="130">
        <v>2.3161003129269693</v>
      </c>
      <c r="V10" s="130">
        <v>2.2749197944944251</v>
      </c>
      <c r="W10" s="130">
        <v>2.1806579381670148</v>
      </c>
      <c r="X10" s="130">
        <v>1.9457305911489178</v>
      </c>
      <c r="Y10" s="130">
        <v>2.1279936359068832</v>
      </c>
      <c r="Z10" s="130">
        <v>1.542724009823059</v>
      </c>
      <c r="AA10" s="130">
        <v>1.387726762920368</v>
      </c>
      <c r="AB10" s="130">
        <v>1.4817886214346507</v>
      </c>
      <c r="AC10" s="130">
        <v>1.6069717164062673</v>
      </c>
      <c r="AD10" s="130">
        <v>1.4687588660221296</v>
      </c>
      <c r="AE10" s="130">
        <v>1.028147759333377</v>
      </c>
      <c r="AF10" s="130">
        <v>1.6034614405701197</v>
      </c>
      <c r="AG10" s="130">
        <v>1.3686710721256732</v>
      </c>
      <c r="AH10" s="131">
        <v>1.2408210209678847</v>
      </c>
      <c r="AI10" s="131">
        <v>1.2526640366390061</v>
      </c>
      <c r="AJ10" s="131">
        <v>1.2111332355965951</v>
      </c>
      <c r="AK10" s="131">
        <v>1.1996267827786911</v>
      </c>
      <c r="AL10" s="131">
        <v>1.1459199704278717</v>
      </c>
      <c r="AM10" s="131">
        <v>1.1561030130862011</v>
      </c>
      <c r="AN10" s="131">
        <v>1.1690860087947421</v>
      </c>
      <c r="AO10" s="131">
        <v>1.1825385321544184</v>
      </c>
      <c r="AP10" s="131">
        <v>1.1164192831413022</v>
      </c>
      <c r="AQ10" s="131">
        <v>1.1865265290616691</v>
      </c>
      <c r="AR10" s="131">
        <v>1.2083205873355767</v>
      </c>
      <c r="AS10" s="131">
        <v>1.1223803817262445</v>
      </c>
      <c r="AT10" s="131">
        <v>1.1881323489198796</v>
      </c>
      <c r="AU10" s="131">
        <v>1.1049872294663261</v>
      </c>
      <c r="AV10" s="131">
        <v>1.1601951827242525</v>
      </c>
      <c r="AW10" s="131">
        <v>1.150614256889638</v>
      </c>
      <c r="AX10" s="131">
        <v>1.1469815562115755</v>
      </c>
      <c r="AY10" s="131" t="s">
        <v>44</v>
      </c>
      <c r="AZ10" s="131">
        <v>0.99650796354654636</v>
      </c>
      <c r="BA10" s="131">
        <v>0.92616087287490478</v>
      </c>
      <c r="BB10" s="131">
        <v>1.0041283792781994</v>
      </c>
      <c r="BC10" s="131">
        <v>0.90457365617965191</v>
      </c>
      <c r="BD10" s="131">
        <v>0.9613391376451077</v>
      </c>
      <c r="BE10" s="131">
        <v>0.93525179856115104</v>
      </c>
      <c r="BF10" s="131">
        <v>0.99044262907790059</v>
      </c>
      <c r="BG10" s="131">
        <v>0.83479394184531019</v>
      </c>
      <c r="BH10" s="131">
        <v>0.94898641122744487</v>
      </c>
      <c r="BI10" s="131">
        <v>0.88592961472621767</v>
      </c>
      <c r="BJ10" s="131">
        <v>0.8306791770680898</v>
      </c>
      <c r="BK10" s="131">
        <v>0.38123995307815961</v>
      </c>
      <c r="BL10" s="131"/>
      <c r="BM10" s="131"/>
      <c r="BN10" s="131"/>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row>
    <row r="11" spans="1:103" s="2" customFormat="1">
      <c r="A11" s="414" t="s">
        <v>38</v>
      </c>
      <c r="B11" s="416"/>
      <c r="C11" s="22" t="s">
        <v>52</v>
      </c>
      <c r="D11" s="25">
        <v>90.771235817233972</v>
      </c>
      <c r="E11" s="25">
        <v>90.841897676804933</v>
      </c>
      <c r="F11" s="25">
        <v>90.658119382791611</v>
      </c>
      <c r="G11" s="25">
        <v>90.818107575781838</v>
      </c>
      <c r="H11" s="25">
        <v>90.76036795471326</v>
      </c>
      <c r="I11" s="25">
        <v>90.800330653039751</v>
      </c>
      <c r="J11" s="25">
        <v>91.00614664129958</v>
      </c>
      <c r="K11" s="25">
        <v>91.212724531174516</v>
      </c>
      <c r="L11" s="25">
        <v>91.655071507466317</v>
      </c>
      <c r="M11" s="25">
        <v>91.643163279413798</v>
      </c>
      <c r="N11" s="25">
        <v>92.16977655232661</v>
      </c>
      <c r="O11" s="25">
        <v>92.097794796589</v>
      </c>
      <c r="P11" s="25">
        <v>91.65926942113191</v>
      </c>
      <c r="Q11" s="25">
        <v>91.284752389226767</v>
      </c>
      <c r="R11" s="25">
        <v>91.095192137779165</v>
      </c>
      <c r="S11" s="25">
        <v>90.743838519014162</v>
      </c>
      <c r="T11" s="25">
        <v>89.617947204183181</v>
      </c>
      <c r="U11" s="25">
        <v>89.708713969278875</v>
      </c>
      <c r="V11" s="25">
        <v>89.542211032818386</v>
      </c>
      <c r="W11" s="25">
        <v>89.459566858732359</v>
      </c>
      <c r="X11" s="25">
        <v>89.508656149708443</v>
      </c>
      <c r="Y11" s="25">
        <v>88.929015222118664</v>
      </c>
      <c r="Z11" s="25">
        <v>88.28860621420894</v>
      </c>
      <c r="AA11" s="25">
        <v>87.661205118314911</v>
      </c>
      <c r="AB11" s="25">
        <v>86.692276381398187</v>
      </c>
      <c r="AC11" s="25">
        <v>86.696259490262165</v>
      </c>
      <c r="AD11" s="25">
        <v>86.515498414934839</v>
      </c>
      <c r="AE11" s="25">
        <v>85.28278203065608</v>
      </c>
      <c r="AF11" s="25">
        <v>84.506982649174773</v>
      </c>
      <c r="AG11" s="25">
        <v>82.466029506699627</v>
      </c>
      <c r="AH11" s="53">
        <v>82.350435294482139</v>
      </c>
      <c r="AI11" s="53">
        <v>81.675172867961805</v>
      </c>
      <c r="AJ11" s="53">
        <v>81.0200151317147</v>
      </c>
      <c r="AK11" s="53">
        <v>80.438719692489641</v>
      </c>
      <c r="AL11" s="53">
        <v>79.834301989915716</v>
      </c>
      <c r="AM11" s="53">
        <v>77.291739621026423</v>
      </c>
      <c r="AN11" s="53" t="s">
        <v>44</v>
      </c>
      <c r="AO11" s="53" t="s">
        <v>44</v>
      </c>
      <c r="AP11" s="53" t="s">
        <v>44</v>
      </c>
      <c r="AQ11" s="53">
        <v>76.309413283213701</v>
      </c>
      <c r="AR11" s="53">
        <v>75.292786797977101</v>
      </c>
      <c r="AS11" s="53">
        <v>75.068486624264509</v>
      </c>
      <c r="AT11" s="53">
        <v>74.856100828660743</v>
      </c>
      <c r="AU11" s="53">
        <v>73.899261571711591</v>
      </c>
      <c r="AV11" s="53">
        <v>73.11024763672215</v>
      </c>
      <c r="AW11" s="53">
        <v>72.693709746922423</v>
      </c>
      <c r="AX11" s="53">
        <v>72.078016647435106</v>
      </c>
      <c r="AY11" s="53">
        <v>72.462508389538655</v>
      </c>
      <c r="AZ11" s="53">
        <v>73.465719893267462</v>
      </c>
      <c r="BA11" s="53">
        <v>73.850367928689153</v>
      </c>
      <c r="BB11" s="53">
        <v>73.480365788058094</v>
      </c>
      <c r="BC11" s="53" t="s">
        <v>44</v>
      </c>
      <c r="BD11" s="53" t="s">
        <v>44</v>
      </c>
      <c r="BE11" s="53" t="s">
        <v>44</v>
      </c>
      <c r="BF11" s="53" t="s">
        <v>44</v>
      </c>
      <c r="BG11" s="53" t="s">
        <v>44</v>
      </c>
      <c r="BH11" s="53" t="s">
        <v>44</v>
      </c>
      <c r="BI11" s="53">
        <v>75.410311570907169</v>
      </c>
      <c r="BJ11" s="53" t="s">
        <v>44</v>
      </c>
      <c r="BK11" s="53" t="s">
        <v>44</v>
      </c>
      <c r="BL11" s="53">
        <v>75.099999999999994</v>
      </c>
      <c r="BM11" s="53">
        <v>77.341896040865038</v>
      </c>
      <c r="BN11" s="5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row>
    <row r="12" spans="1:103">
      <c r="A12" s="415"/>
      <c r="B12" s="417"/>
      <c r="C12" s="127" t="s">
        <v>53</v>
      </c>
      <c r="D12" s="129">
        <v>4.8382398037411836</v>
      </c>
      <c r="E12" s="129">
        <v>4.8740600599637656</v>
      </c>
      <c r="F12" s="129">
        <v>5.0776342492671453</v>
      </c>
      <c r="G12" s="129">
        <v>5.1105702253038485</v>
      </c>
      <c r="H12" s="129">
        <v>5.3262675363032246</v>
      </c>
      <c r="I12" s="129">
        <v>5.385135642894717</v>
      </c>
      <c r="J12" s="129">
        <v>5.2165959315088539</v>
      </c>
      <c r="K12" s="129">
        <v>5.311159583656619</v>
      </c>
      <c r="L12" s="129">
        <v>5.1977393025691052</v>
      </c>
      <c r="M12" s="129">
        <v>5.3242084888704548</v>
      </c>
      <c r="N12" s="129">
        <v>5.0831956975744257</v>
      </c>
      <c r="O12" s="129">
        <v>5.285562978654065</v>
      </c>
      <c r="P12" s="129">
        <v>5.9944587906176032</v>
      </c>
      <c r="Q12" s="129">
        <v>6.4454821894005212</v>
      </c>
      <c r="R12" s="129">
        <v>6.843421642856172</v>
      </c>
      <c r="S12" s="129">
        <v>7.2941061670569862</v>
      </c>
      <c r="T12" s="129">
        <v>8.5364482302999622</v>
      </c>
      <c r="U12" s="129">
        <v>8.4693005950226574</v>
      </c>
      <c r="V12" s="129">
        <v>8.7394044125314707</v>
      </c>
      <c r="W12" s="129">
        <v>8.7805101713307554</v>
      </c>
      <c r="X12" s="129">
        <v>8.8889391131401716</v>
      </c>
      <c r="Y12" s="129">
        <v>9.5091643367505441</v>
      </c>
      <c r="Z12" s="129">
        <v>10.249274153446368</v>
      </c>
      <c r="AA12" s="129">
        <v>11.008066544802025</v>
      </c>
      <c r="AB12" s="129">
        <v>11.885621247583188</v>
      </c>
      <c r="AC12" s="129">
        <v>11.998123664413905</v>
      </c>
      <c r="AD12" s="129">
        <v>12.175942233180697</v>
      </c>
      <c r="AE12" s="129">
        <v>13.391262839665504</v>
      </c>
      <c r="AF12" s="129">
        <v>14.15911976301312</v>
      </c>
      <c r="AG12" s="129">
        <v>16.179087087276219</v>
      </c>
      <c r="AH12" s="128">
        <v>16.295659447904079</v>
      </c>
      <c r="AI12" s="128">
        <v>17.04148831083306</v>
      </c>
      <c r="AJ12" s="128">
        <v>17.6112524932939</v>
      </c>
      <c r="AK12" s="128">
        <v>18.130913660555883</v>
      </c>
      <c r="AL12" s="128">
        <v>18.730995727647127</v>
      </c>
      <c r="AM12" s="128">
        <v>21.269600404653517</v>
      </c>
      <c r="AN12" s="128" t="s">
        <v>44</v>
      </c>
      <c r="AO12" s="128" t="s">
        <v>44</v>
      </c>
      <c r="AP12" s="128" t="s">
        <v>44</v>
      </c>
      <c r="AQ12" s="128">
        <v>22.259459704263943</v>
      </c>
      <c r="AR12" s="128">
        <v>23.191154289770207</v>
      </c>
      <c r="AS12" s="128">
        <v>23.487934443412183</v>
      </c>
      <c r="AT12" s="128">
        <v>23.706147968044462</v>
      </c>
      <c r="AU12" s="128">
        <v>24.67311040403434</v>
      </c>
      <c r="AV12" s="128">
        <v>25.480484834425564</v>
      </c>
      <c r="AW12" s="128">
        <v>25.877269603903891</v>
      </c>
      <c r="AX12" s="128">
        <v>26.49922140192465</v>
      </c>
      <c r="AY12" s="128">
        <v>26.163257671614204</v>
      </c>
      <c r="AZ12" s="128">
        <v>25.345667850133413</v>
      </c>
      <c r="BA12" s="128">
        <v>24.856658696812833</v>
      </c>
      <c r="BB12" s="128">
        <v>25.344569959954576</v>
      </c>
      <c r="BC12" s="128" t="s">
        <v>44</v>
      </c>
      <c r="BD12" s="128" t="s">
        <v>44</v>
      </c>
      <c r="BE12" s="128" t="s">
        <v>44</v>
      </c>
      <c r="BF12" s="128" t="s">
        <v>44</v>
      </c>
      <c r="BG12" s="128" t="s">
        <v>44</v>
      </c>
      <c r="BH12" s="128" t="s">
        <v>44</v>
      </c>
      <c r="BI12" s="128">
        <v>23.474172729689879</v>
      </c>
      <c r="BJ12" s="128" t="s">
        <v>44</v>
      </c>
      <c r="BK12" s="128" t="s">
        <v>44</v>
      </c>
      <c r="BL12" s="128"/>
      <c r="BM12" s="128"/>
      <c r="BN12" s="128"/>
      <c r="CX12" s="50"/>
      <c r="CY12" s="50"/>
    </row>
    <row r="13" spans="1:103" s="2" customFormat="1">
      <c r="A13" s="415"/>
      <c r="B13" s="417"/>
      <c r="C13" s="133" t="s">
        <v>55</v>
      </c>
      <c r="D13" s="130">
        <v>4.3905243790248392</v>
      </c>
      <c r="E13" s="130">
        <v>4.2840422632313091</v>
      </c>
      <c r="F13" s="130">
        <v>4.2642463679412428</v>
      </c>
      <c r="G13" s="130">
        <v>4.0713221989143147</v>
      </c>
      <c r="H13" s="130">
        <v>3.9133645089835101</v>
      </c>
      <c r="I13" s="130">
        <v>3.8145337040655294</v>
      </c>
      <c r="J13" s="130">
        <v>3.7772574271915702</v>
      </c>
      <c r="K13" s="130">
        <v>3.4761158851688649</v>
      </c>
      <c r="L13" s="130">
        <v>3.1471891899645694</v>
      </c>
      <c r="M13" s="130">
        <v>3.0326282317157474</v>
      </c>
      <c r="N13" s="130">
        <v>2.7470277500989613</v>
      </c>
      <c r="O13" s="130">
        <v>2.6166422247569385</v>
      </c>
      <c r="P13" s="130">
        <v>2.3462717882504842</v>
      </c>
      <c r="Q13" s="130">
        <v>2.2697654213727194</v>
      </c>
      <c r="R13" s="130">
        <v>2.0613862193646608</v>
      </c>
      <c r="S13" s="130">
        <v>1.9620553139288504</v>
      </c>
      <c r="T13" s="130">
        <v>1.8456045655168536</v>
      </c>
      <c r="U13" s="130">
        <v>1.8219854356984639</v>
      </c>
      <c r="V13" s="130">
        <v>1.7183845546501406</v>
      </c>
      <c r="W13" s="130">
        <v>1.7599229699368784</v>
      </c>
      <c r="X13" s="130">
        <v>1.602404737151381</v>
      </c>
      <c r="Y13" s="130">
        <v>1.5618204411307859</v>
      </c>
      <c r="Z13" s="130">
        <v>1.4621196323446848</v>
      </c>
      <c r="AA13" s="130">
        <v>1.3307283368830602</v>
      </c>
      <c r="AB13" s="130">
        <v>1.4221023710186222</v>
      </c>
      <c r="AC13" s="130">
        <v>1.3056168453239285</v>
      </c>
      <c r="AD13" s="130">
        <v>1.3085593518844663</v>
      </c>
      <c r="AE13" s="130">
        <v>1.3259551296784116</v>
      </c>
      <c r="AF13" s="130">
        <v>1.3338975878121031</v>
      </c>
      <c r="AG13" s="130">
        <v>1.3548834060241532</v>
      </c>
      <c r="AH13" s="131">
        <v>1.3539052576137807</v>
      </c>
      <c r="AI13" s="131">
        <v>1.2833388212051366</v>
      </c>
      <c r="AJ13" s="131">
        <v>1.3687323749914024</v>
      </c>
      <c r="AK13" s="131">
        <v>1.4303666469544647</v>
      </c>
      <c r="AL13" s="131">
        <v>1.4347022824371658</v>
      </c>
      <c r="AM13" s="131">
        <v>1.4386599743200654</v>
      </c>
      <c r="AN13" s="131" t="s">
        <v>44</v>
      </c>
      <c r="AO13" s="131" t="s">
        <v>44</v>
      </c>
      <c r="AP13" s="131" t="s">
        <v>44</v>
      </c>
      <c r="AQ13" s="131">
        <v>1.3960281696519554</v>
      </c>
      <c r="AR13" s="131">
        <v>1.5160589122526837</v>
      </c>
      <c r="AS13" s="131">
        <v>1.4435789323233046</v>
      </c>
      <c r="AT13" s="131">
        <v>1.4377512032947948</v>
      </c>
      <c r="AU13" s="131">
        <v>1.4276280242540673</v>
      </c>
      <c r="AV13" s="131">
        <v>1.4092675288522878</v>
      </c>
      <c r="AW13" s="131">
        <v>1.4290206491736837</v>
      </c>
      <c r="AX13" s="131">
        <v>1.4227619506402429</v>
      </c>
      <c r="AY13" s="131">
        <v>1.3742339388471398</v>
      </c>
      <c r="AZ13" s="131">
        <v>1.1886122565991135</v>
      </c>
      <c r="BA13" s="131">
        <v>1.2929733744980152</v>
      </c>
      <c r="BB13" s="131">
        <v>1.1750642519873289</v>
      </c>
      <c r="BC13" s="131" t="s">
        <v>44</v>
      </c>
      <c r="BD13" s="131" t="s">
        <v>44</v>
      </c>
      <c r="BE13" s="131" t="s">
        <v>44</v>
      </c>
      <c r="BF13" s="131" t="s">
        <v>44</v>
      </c>
      <c r="BG13" s="131" t="s">
        <v>44</v>
      </c>
      <c r="BH13" s="131" t="s">
        <v>44</v>
      </c>
      <c r="BI13" s="131">
        <v>1.1155156994029634</v>
      </c>
      <c r="BJ13" s="131" t="s">
        <v>44</v>
      </c>
      <c r="BK13" s="131" t="s">
        <v>44</v>
      </c>
      <c r="BL13" s="131"/>
      <c r="BM13" s="131"/>
      <c r="BN13" s="131"/>
      <c r="BO13" s="382"/>
      <c r="BP13" s="382"/>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row>
    <row r="14" spans="1:103" s="2" customFormat="1">
      <c r="A14" s="414" t="s">
        <v>37</v>
      </c>
      <c r="B14" s="416"/>
      <c r="C14" s="22" t="s">
        <v>52</v>
      </c>
      <c r="D14" s="25" t="s">
        <v>44</v>
      </c>
      <c r="E14" s="25" t="s">
        <v>44</v>
      </c>
      <c r="F14" s="25" t="s">
        <v>44</v>
      </c>
      <c r="G14" s="25" t="s">
        <v>44</v>
      </c>
      <c r="H14" s="25" t="s">
        <v>44</v>
      </c>
      <c r="I14" s="25" t="s">
        <v>44</v>
      </c>
      <c r="J14" s="25" t="s">
        <v>44</v>
      </c>
      <c r="K14" s="25" t="s">
        <v>44</v>
      </c>
      <c r="L14" s="25" t="s">
        <v>44</v>
      </c>
      <c r="M14" s="25" t="s">
        <v>44</v>
      </c>
      <c r="N14" s="25" t="s">
        <v>44</v>
      </c>
      <c r="O14" s="25" t="s">
        <v>44</v>
      </c>
      <c r="P14" s="25" t="s">
        <v>44</v>
      </c>
      <c r="Q14" s="25" t="s">
        <v>44</v>
      </c>
      <c r="R14" s="25" t="s">
        <v>44</v>
      </c>
      <c r="S14" s="25" t="s">
        <v>44</v>
      </c>
      <c r="T14" s="25" t="s">
        <v>44</v>
      </c>
      <c r="U14" s="25" t="s">
        <v>44</v>
      </c>
      <c r="V14" s="25" t="s">
        <v>44</v>
      </c>
      <c r="W14" s="25" t="s">
        <v>44</v>
      </c>
      <c r="X14" s="25" t="s">
        <v>44</v>
      </c>
      <c r="Y14" s="25" t="s">
        <v>44</v>
      </c>
      <c r="Z14" s="25" t="s">
        <v>44</v>
      </c>
      <c r="AA14" s="25" t="s">
        <v>44</v>
      </c>
      <c r="AB14" s="25" t="s">
        <v>44</v>
      </c>
      <c r="AC14" s="25" t="s">
        <v>44</v>
      </c>
      <c r="AD14" s="25" t="s">
        <v>44</v>
      </c>
      <c r="AE14" s="25" t="s">
        <v>44</v>
      </c>
      <c r="AF14" s="25" t="s">
        <v>44</v>
      </c>
      <c r="AG14" s="25" t="s">
        <v>44</v>
      </c>
      <c r="AH14" s="53" t="s">
        <v>44</v>
      </c>
      <c r="AI14" s="53" t="s">
        <v>44</v>
      </c>
      <c r="AJ14" s="53" t="s">
        <v>44</v>
      </c>
      <c r="AK14" s="53" t="s">
        <v>44</v>
      </c>
      <c r="AL14" s="53" t="s">
        <v>44</v>
      </c>
      <c r="AM14" s="53" t="s">
        <v>44</v>
      </c>
      <c r="AN14" s="53" t="s">
        <v>44</v>
      </c>
      <c r="AO14" s="53" t="s">
        <v>44</v>
      </c>
      <c r="AP14" s="53" t="s">
        <v>44</v>
      </c>
      <c r="AQ14" s="53" t="s">
        <v>44</v>
      </c>
      <c r="AR14" s="53">
        <v>74.755868992026436</v>
      </c>
      <c r="AS14" s="53">
        <v>75.092417029286992</v>
      </c>
      <c r="AT14" s="53">
        <v>75.265779825266804</v>
      </c>
      <c r="AU14" s="53" t="s">
        <v>44</v>
      </c>
      <c r="AV14" s="53" t="s">
        <v>44</v>
      </c>
      <c r="AW14" s="53" t="s">
        <v>44</v>
      </c>
      <c r="AX14" s="53" t="s">
        <v>44</v>
      </c>
      <c r="AY14" s="53" t="s">
        <v>44</v>
      </c>
      <c r="AZ14" s="53" t="s">
        <v>44</v>
      </c>
      <c r="BA14" s="53" t="s">
        <v>44</v>
      </c>
      <c r="BB14" s="53" t="s">
        <v>44</v>
      </c>
      <c r="BC14" s="53" t="s">
        <v>44</v>
      </c>
      <c r="BD14" s="53" t="s">
        <v>44</v>
      </c>
      <c r="BE14" s="53" t="s">
        <v>44</v>
      </c>
      <c r="BF14" s="53" t="s">
        <v>44</v>
      </c>
      <c r="BG14" s="53" t="s">
        <v>44</v>
      </c>
      <c r="BH14" s="53" t="s">
        <v>44</v>
      </c>
      <c r="BI14" s="53" t="s">
        <v>44</v>
      </c>
      <c r="BJ14" s="53" t="s">
        <v>44</v>
      </c>
      <c r="BK14" s="53" t="s">
        <v>44</v>
      </c>
      <c r="BL14" s="53"/>
      <c r="BM14" s="53"/>
      <c r="BN14" s="5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row>
    <row r="15" spans="1:103">
      <c r="A15" s="415"/>
      <c r="B15" s="417"/>
      <c r="C15" s="127" t="s">
        <v>53</v>
      </c>
      <c r="D15" s="129" t="s">
        <v>44</v>
      </c>
      <c r="E15" s="129" t="s">
        <v>44</v>
      </c>
      <c r="F15" s="129" t="s">
        <v>44</v>
      </c>
      <c r="G15" s="129" t="s">
        <v>44</v>
      </c>
      <c r="H15" s="129" t="s">
        <v>44</v>
      </c>
      <c r="I15" s="129" t="s">
        <v>44</v>
      </c>
      <c r="J15" s="129" t="s">
        <v>44</v>
      </c>
      <c r="K15" s="129" t="s">
        <v>44</v>
      </c>
      <c r="L15" s="129" t="s">
        <v>44</v>
      </c>
      <c r="M15" s="129" t="s">
        <v>44</v>
      </c>
      <c r="N15" s="129" t="s">
        <v>44</v>
      </c>
      <c r="O15" s="129" t="s">
        <v>44</v>
      </c>
      <c r="P15" s="129" t="s">
        <v>44</v>
      </c>
      <c r="Q15" s="129" t="s">
        <v>44</v>
      </c>
      <c r="R15" s="129" t="s">
        <v>44</v>
      </c>
      <c r="S15" s="129" t="s">
        <v>44</v>
      </c>
      <c r="T15" s="129" t="s">
        <v>44</v>
      </c>
      <c r="U15" s="129" t="s">
        <v>44</v>
      </c>
      <c r="V15" s="129" t="s">
        <v>44</v>
      </c>
      <c r="W15" s="129" t="s">
        <v>44</v>
      </c>
      <c r="X15" s="129" t="s">
        <v>44</v>
      </c>
      <c r="Y15" s="129" t="s">
        <v>44</v>
      </c>
      <c r="Z15" s="129" t="s">
        <v>44</v>
      </c>
      <c r="AA15" s="129" t="s">
        <v>44</v>
      </c>
      <c r="AB15" s="129" t="s">
        <v>44</v>
      </c>
      <c r="AC15" s="129" t="s">
        <v>44</v>
      </c>
      <c r="AD15" s="129" t="s">
        <v>44</v>
      </c>
      <c r="AE15" s="129" t="s">
        <v>44</v>
      </c>
      <c r="AF15" s="129" t="s">
        <v>44</v>
      </c>
      <c r="AG15" s="129" t="s">
        <v>44</v>
      </c>
      <c r="AH15" s="128" t="s">
        <v>44</v>
      </c>
      <c r="AI15" s="128" t="s">
        <v>44</v>
      </c>
      <c r="AJ15" s="128" t="s">
        <v>44</v>
      </c>
      <c r="AK15" s="128" t="s">
        <v>44</v>
      </c>
      <c r="AL15" s="128" t="s">
        <v>44</v>
      </c>
      <c r="AM15" s="128" t="s">
        <v>44</v>
      </c>
      <c r="AN15" s="128" t="s">
        <v>44</v>
      </c>
      <c r="AO15" s="128" t="s">
        <v>44</v>
      </c>
      <c r="AP15" s="128" t="s">
        <v>44</v>
      </c>
      <c r="AQ15" s="128" t="s">
        <v>44</v>
      </c>
      <c r="AR15" s="128">
        <v>22.384129101940978</v>
      </c>
      <c r="AS15" s="128">
        <v>21.99422990355891</v>
      </c>
      <c r="AT15" s="128">
        <v>21.905368752470388</v>
      </c>
      <c r="AU15" s="128" t="s">
        <v>44</v>
      </c>
      <c r="AV15" s="128" t="s">
        <v>44</v>
      </c>
      <c r="AW15" s="128" t="s">
        <v>44</v>
      </c>
      <c r="AX15" s="128" t="s">
        <v>44</v>
      </c>
      <c r="AY15" s="128" t="s">
        <v>44</v>
      </c>
      <c r="AZ15" s="128" t="s">
        <v>44</v>
      </c>
      <c r="BA15" s="128" t="s">
        <v>44</v>
      </c>
      <c r="BB15" s="128" t="s">
        <v>44</v>
      </c>
      <c r="BC15" s="128" t="s">
        <v>44</v>
      </c>
      <c r="BD15" s="128" t="s">
        <v>44</v>
      </c>
      <c r="BE15" s="128" t="s">
        <v>44</v>
      </c>
      <c r="BF15" s="128" t="s">
        <v>44</v>
      </c>
      <c r="BG15" s="128" t="s">
        <v>44</v>
      </c>
      <c r="BH15" s="128" t="s">
        <v>44</v>
      </c>
      <c r="BI15" s="128" t="s">
        <v>44</v>
      </c>
      <c r="BJ15" s="128" t="s">
        <v>44</v>
      </c>
      <c r="BK15" s="128" t="s">
        <v>44</v>
      </c>
      <c r="BL15" s="128"/>
      <c r="BM15" s="128"/>
      <c r="BN15" s="128"/>
      <c r="CX15" s="50"/>
      <c r="CY15" s="50"/>
    </row>
    <row r="16" spans="1:103" s="2" customFormat="1">
      <c r="A16" s="415"/>
      <c r="B16" s="417"/>
      <c r="C16" s="133" t="s">
        <v>55</v>
      </c>
      <c r="D16" s="130" t="s">
        <v>44</v>
      </c>
      <c r="E16" s="130" t="s">
        <v>44</v>
      </c>
      <c r="F16" s="130" t="s">
        <v>44</v>
      </c>
      <c r="G16" s="130" t="s">
        <v>44</v>
      </c>
      <c r="H16" s="130" t="s">
        <v>44</v>
      </c>
      <c r="I16" s="130" t="s">
        <v>44</v>
      </c>
      <c r="J16" s="130" t="s">
        <v>44</v>
      </c>
      <c r="K16" s="130" t="s">
        <v>44</v>
      </c>
      <c r="L16" s="130" t="s">
        <v>44</v>
      </c>
      <c r="M16" s="130" t="s">
        <v>44</v>
      </c>
      <c r="N16" s="130" t="s">
        <v>44</v>
      </c>
      <c r="O16" s="130" t="s">
        <v>44</v>
      </c>
      <c r="P16" s="130" t="s">
        <v>44</v>
      </c>
      <c r="Q16" s="130" t="s">
        <v>44</v>
      </c>
      <c r="R16" s="130" t="s">
        <v>44</v>
      </c>
      <c r="S16" s="130" t="s">
        <v>44</v>
      </c>
      <c r="T16" s="130" t="s">
        <v>44</v>
      </c>
      <c r="U16" s="130" t="s">
        <v>44</v>
      </c>
      <c r="V16" s="130" t="s">
        <v>44</v>
      </c>
      <c r="W16" s="130" t="s">
        <v>44</v>
      </c>
      <c r="X16" s="130" t="s">
        <v>44</v>
      </c>
      <c r="Y16" s="130" t="s">
        <v>44</v>
      </c>
      <c r="Z16" s="130" t="s">
        <v>44</v>
      </c>
      <c r="AA16" s="130" t="s">
        <v>44</v>
      </c>
      <c r="AB16" s="130" t="s">
        <v>44</v>
      </c>
      <c r="AC16" s="130" t="s">
        <v>44</v>
      </c>
      <c r="AD16" s="130" t="s">
        <v>44</v>
      </c>
      <c r="AE16" s="130" t="s">
        <v>44</v>
      </c>
      <c r="AF16" s="130" t="s">
        <v>44</v>
      </c>
      <c r="AG16" s="130" t="s">
        <v>44</v>
      </c>
      <c r="AH16" s="131" t="s">
        <v>44</v>
      </c>
      <c r="AI16" s="131" t="s">
        <v>44</v>
      </c>
      <c r="AJ16" s="131" t="s">
        <v>44</v>
      </c>
      <c r="AK16" s="131" t="s">
        <v>44</v>
      </c>
      <c r="AL16" s="131" t="s">
        <v>44</v>
      </c>
      <c r="AM16" s="131" t="s">
        <v>44</v>
      </c>
      <c r="AN16" s="131" t="s">
        <v>44</v>
      </c>
      <c r="AO16" s="131" t="s">
        <v>44</v>
      </c>
      <c r="AP16" s="131" t="s">
        <v>44</v>
      </c>
      <c r="AQ16" s="131" t="s">
        <v>44</v>
      </c>
      <c r="AR16" s="131">
        <v>2.8600019060325934</v>
      </c>
      <c r="AS16" s="131">
        <v>2.9133530671541013</v>
      </c>
      <c r="AT16" s="131">
        <v>2.8288514222628085</v>
      </c>
      <c r="AU16" s="131" t="s">
        <v>44</v>
      </c>
      <c r="AV16" s="131" t="s">
        <v>44</v>
      </c>
      <c r="AW16" s="131" t="s">
        <v>44</v>
      </c>
      <c r="AX16" s="131" t="s">
        <v>44</v>
      </c>
      <c r="AY16" s="131" t="s">
        <v>44</v>
      </c>
      <c r="AZ16" s="131" t="s">
        <v>44</v>
      </c>
      <c r="BA16" s="131" t="s">
        <v>44</v>
      </c>
      <c r="BB16" s="131" t="s">
        <v>44</v>
      </c>
      <c r="BC16" s="131" t="s">
        <v>44</v>
      </c>
      <c r="BD16" s="131" t="s">
        <v>44</v>
      </c>
      <c r="BE16" s="131" t="s">
        <v>44</v>
      </c>
      <c r="BF16" s="131" t="s">
        <v>44</v>
      </c>
      <c r="BG16" s="131" t="s">
        <v>44</v>
      </c>
      <c r="BH16" s="131" t="s">
        <v>44</v>
      </c>
      <c r="BI16" s="131" t="s">
        <v>44</v>
      </c>
      <c r="BJ16" s="131" t="s">
        <v>44</v>
      </c>
      <c r="BK16" s="131" t="s">
        <v>44</v>
      </c>
      <c r="BL16" s="131"/>
      <c r="BM16" s="131"/>
      <c r="BN16" s="131"/>
      <c r="BO16" s="382"/>
      <c r="BP16" s="382"/>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row>
    <row r="17" spans="1:103" s="2" customFormat="1">
      <c r="A17" s="414" t="s">
        <v>36</v>
      </c>
      <c r="B17" s="416"/>
      <c r="C17" s="22" t="s">
        <v>52</v>
      </c>
      <c r="D17" s="25" t="s">
        <v>44</v>
      </c>
      <c r="E17" s="25" t="s">
        <v>44</v>
      </c>
      <c r="F17" s="25" t="s">
        <v>44</v>
      </c>
      <c r="G17" s="25" t="s">
        <v>44</v>
      </c>
      <c r="H17" s="25" t="s">
        <v>44</v>
      </c>
      <c r="I17" s="25" t="s">
        <v>44</v>
      </c>
      <c r="J17" s="25" t="s">
        <v>44</v>
      </c>
      <c r="K17" s="25" t="s">
        <v>44</v>
      </c>
      <c r="L17" s="25" t="s">
        <v>44</v>
      </c>
      <c r="M17" s="25" t="s">
        <v>44</v>
      </c>
      <c r="N17" s="25" t="s">
        <v>44</v>
      </c>
      <c r="O17" s="25" t="s">
        <v>44</v>
      </c>
      <c r="P17" s="25" t="s">
        <v>44</v>
      </c>
      <c r="Q17" s="25" t="s">
        <v>44</v>
      </c>
      <c r="R17" s="25" t="s">
        <v>44</v>
      </c>
      <c r="S17" s="25" t="s">
        <v>44</v>
      </c>
      <c r="T17" s="25" t="s">
        <v>44</v>
      </c>
      <c r="U17" s="25" t="s">
        <v>44</v>
      </c>
      <c r="V17" s="25" t="s">
        <v>44</v>
      </c>
      <c r="W17" s="25" t="s">
        <v>44</v>
      </c>
      <c r="X17" s="25" t="s">
        <v>44</v>
      </c>
      <c r="Y17" s="25" t="s">
        <v>44</v>
      </c>
      <c r="Z17" s="25" t="s">
        <v>44</v>
      </c>
      <c r="AA17" s="25" t="s">
        <v>44</v>
      </c>
      <c r="AB17" s="25" t="s">
        <v>44</v>
      </c>
      <c r="AC17" s="25" t="s">
        <v>44</v>
      </c>
      <c r="AD17" s="25" t="s">
        <v>44</v>
      </c>
      <c r="AE17" s="25" t="s">
        <v>44</v>
      </c>
      <c r="AF17" s="25" t="s">
        <v>44</v>
      </c>
      <c r="AG17" s="25" t="s">
        <v>44</v>
      </c>
      <c r="AH17" s="53" t="s">
        <v>44</v>
      </c>
      <c r="AI17" s="53" t="s">
        <v>44</v>
      </c>
      <c r="AJ17" s="53" t="s">
        <v>44</v>
      </c>
      <c r="AK17" s="53" t="s">
        <v>44</v>
      </c>
      <c r="AL17" s="53" t="s">
        <v>44</v>
      </c>
      <c r="AM17" s="53" t="s">
        <v>44</v>
      </c>
      <c r="AN17" s="53" t="s">
        <v>44</v>
      </c>
      <c r="AO17" s="53" t="s">
        <v>44</v>
      </c>
      <c r="AP17" s="53" t="s">
        <v>44</v>
      </c>
      <c r="AQ17" s="53" t="s">
        <v>44</v>
      </c>
      <c r="AR17" s="53" t="s">
        <v>44</v>
      </c>
      <c r="AS17" s="53" t="s">
        <v>44</v>
      </c>
      <c r="AT17" s="53" t="s">
        <v>44</v>
      </c>
      <c r="AU17" s="53" t="s">
        <v>44</v>
      </c>
      <c r="AV17" s="53" t="s">
        <v>44</v>
      </c>
      <c r="AW17" s="53" t="s">
        <v>44</v>
      </c>
      <c r="AX17" s="53" t="s">
        <v>44</v>
      </c>
      <c r="AY17" s="53" t="s">
        <v>44</v>
      </c>
      <c r="AZ17" s="53" t="s">
        <v>44</v>
      </c>
      <c r="BA17" s="53" t="s">
        <v>44</v>
      </c>
      <c r="BB17" s="53" t="s">
        <v>44</v>
      </c>
      <c r="BC17" s="53" t="s">
        <v>44</v>
      </c>
      <c r="BD17" s="53" t="s">
        <v>44</v>
      </c>
      <c r="BE17" s="53" t="s">
        <v>44</v>
      </c>
      <c r="BF17" s="53" t="s">
        <v>44</v>
      </c>
      <c r="BG17" s="53" t="s">
        <v>44</v>
      </c>
      <c r="BH17" s="53">
        <v>84.521102330000005</v>
      </c>
      <c r="BI17" s="53" t="s">
        <v>44</v>
      </c>
      <c r="BJ17" s="53" t="s">
        <v>44</v>
      </c>
      <c r="BK17" s="53" t="s">
        <v>44</v>
      </c>
      <c r="BL17" s="53"/>
      <c r="BM17" s="53"/>
      <c r="BN17" s="5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row>
    <row r="18" spans="1:103">
      <c r="A18" s="415"/>
      <c r="B18" s="417"/>
      <c r="C18" s="127" t="s">
        <v>53</v>
      </c>
      <c r="D18" s="129" t="s">
        <v>44</v>
      </c>
      <c r="E18" s="129" t="s">
        <v>44</v>
      </c>
      <c r="F18" s="129" t="s">
        <v>44</v>
      </c>
      <c r="G18" s="129" t="s">
        <v>44</v>
      </c>
      <c r="H18" s="129" t="s">
        <v>44</v>
      </c>
      <c r="I18" s="129" t="s">
        <v>44</v>
      </c>
      <c r="J18" s="129" t="s">
        <v>44</v>
      </c>
      <c r="K18" s="129" t="s">
        <v>44</v>
      </c>
      <c r="L18" s="129" t="s">
        <v>44</v>
      </c>
      <c r="M18" s="129" t="s">
        <v>44</v>
      </c>
      <c r="N18" s="129" t="s">
        <v>44</v>
      </c>
      <c r="O18" s="129" t="s">
        <v>44</v>
      </c>
      <c r="P18" s="129" t="s">
        <v>44</v>
      </c>
      <c r="Q18" s="129" t="s">
        <v>44</v>
      </c>
      <c r="R18" s="129" t="s">
        <v>44</v>
      </c>
      <c r="S18" s="129" t="s">
        <v>44</v>
      </c>
      <c r="T18" s="129" t="s">
        <v>44</v>
      </c>
      <c r="U18" s="129" t="s">
        <v>44</v>
      </c>
      <c r="V18" s="129" t="s">
        <v>44</v>
      </c>
      <c r="W18" s="129" t="s">
        <v>44</v>
      </c>
      <c r="X18" s="129" t="s">
        <v>44</v>
      </c>
      <c r="Y18" s="129" t="s">
        <v>44</v>
      </c>
      <c r="Z18" s="129" t="s">
        <v>44</v>
      </c>
      <c r="AA18" s="129" t="s">
        <v>44</v>
      </c>
      <c r="AB18" s="129" t="s">
        <v>44</v>
      </c>
      <c r="AC18" s="129" t="s">
        <v>44</v>
      </c>
      <c r="AD18" s="129" t="s">
        <v>44</v>
      </c>
      <c r="AE18" s="129" t="s">
        <v>44</v>
      </c>
      <c r="AF18" s="129" t="s">
        <v>44</v>
      </c>
      <c r="AG18" s="129" t="s">
        <v>44</v>
      </c>
      <c r="AH18" s="128" t="s">
        <v>44</v>
      </c>
      <c r="AI18" s="128" t="s">
        <v>44</v>
      </c>
      <c r="AJ18" s="128" t="s">
        <v>44</v>
      </c>
      <c r="AK18" s="128" t="s">
        <v>44</v>
      </c>
      <c r="AL18" s="128" t="s">
        <v>44</v>
      </c>
      <c r="AM18" s="128" t="s">
        <v>44</v>
      </c>
      <c r="AN18" s="128" t="s">
        <v>44</v>
      </c>
      <c r="AO18" s="128" t="s">
        <v>44</v>
      </c>
      <c r="AP18" s="128" t="s">
        <v>44</v>
      </c>
      <c r="AQ18" s="128" t="s">
        <v>44</v>
      </c>
      <c r="AR18" s="128" t="s">
        <v>44</v>
      </c>
      <c r="AS18" s="128" t="s">
        <v>44</v>
      </c>
      <c r="AT18" s="128" t="s">
        <v>44</v>
      </c>
      <c r="AU18" s="128" t="s">
        <v>44</v>
      </c>
      <c r="AV18" s="128" t="s">
        <v>44</v>
      </c>
      <c r="AW18" s="128" t="s">
        <v>44</v>
      </c>
      <c r="AX18" s="128" t="s">
        <v>44</v>
      </c>
      <c r="AY18" s="128" t="s">
        <v>44</v>
      </c>
      <c r="AZ18" s="128" t="s">
        <v>44</v>
      </c>
      <c r="BA18" s="128" t="s">
        <v>44</v>
      </c>
      <c r="BB18" s="128" t="s">
        <v>44</v>
      </c>
      <c r="BC18" s="128" t="s">
        <v>44</v>
      </c>
      <c r="BD18" s="128" t="s">
        <v>44</v>
      </c>
      <c r="BE18" s="128" t="s">
        <v>44</v>
      </c>
      <c r="BF18" s="128" t="s">
        <v>44</v>
      </c>
      <c r="BG18" s="128" t="s">
        <v>44</v>
      </c>
      <c r="BH18" s="128">
        <v>14.20312199</v>
      </c>
      <c r="BI18" s="128" t="s">
        <v>44</v>
      </c>
      <c r="BJ18" s="128" t="s">
        <v>44</v>
      </c>
      <c r="BK18" s="128" t="s">
        <v>44</v>
      </c>
      <c r="BL18" s="128"/>
      <c r="BM18" s="128"/>
      <c r="BN18" s="128"/>
      <c r="CX18" s="50"/>
      <c r="CY18" s="50"/>
    </row>
    <row r="19" spans="1:103" s="2" customFormat="1">
      <c r="A19" s="415"/>
      <c r="B19" s="417"/>
      <c r="C19" s="133" t="s">
        <v>55</v>
      </c>
      <c r="D19" s="130" t="s">
        <v>44</v>
      </c>
      <c r="E19" s="130" t="s">
        <v>44</v>
      </c>
      <c r="F19" s="130" t="s">
        <v>44</v>
      </c>
      <c r="G19" s="130" t="s">
        <v>44</v>
      </c>
      <c r="H19" s="130" t="s">
        <v>44</v>
      </c>
      <c r="I19" s="130" t="s">
        <v>44</v>
      </c>
      <c r="J19" s="130" t="s">
        <v>44</v>
      </c>
      <c r="K19" s="130" t="s">
        <v>44</v>
      </c>
      <c r="L19" s="130" t="s">
        <v>44</v>
      </c>
      <c r="M19" s="130" t="s">
        <v>44</v>
      </c>
      <c r="N19" s="130" t="s">
        <v>44</v>
      </c>
      <c r="O19" s="130" t="s">
        <v>44</v>
      </c>
      <c r="P19" s="130" t="s">
        <v>44</v>
      </c>
      <c r="Q19" s="130" t="s">
        <v>44</v>
      </c>
      <c r="R19" s="130" t="s">
        <v>44</v>
      </c>
      <c r="S19" s="130" t="s">
        <v>44</v>
      </c>
      <c r="T19" s="130" t="s">
        <v>44</v>
      </c>
      <c r="U19" s="130" t="s">
        <v>44</v>
      </c>
      <c r="V19" s="130" t="s">
        <v>44</v>
      </c>
      <c r="W19" s="130" t="s">
        <v>44</v>
      </c>
      <c r="X19" s="130" t="s">
        <v>44</v>
      </c>
      <c r="Y19" s="130" t="s">
        <v>44</v>
      </c>
      <c r="Z19" s="130" t="s">
        <v>44</v>
      </c>
      <c r="AA19" s="130" t="s">
        <v>44</v>
      </c>
      <c r="AB19" s="130" t="s">
        <v>44</v>
      </c>
      <c r="AC19" s="130" t="s">
        <v>44</v>
      </c>
      <c r="AD19" s="130" t="s">
        <v>44</v>
      </c>
      <c r="AE19" s="130" t="s">
        <v>44</v>
      </c>
      <c r="AF19" s="130" t="s">
        <v>44</v>
      </c>
      <c r="AG19" s="130" t="s">
        <v>44</v>
      </c>
      <c r="AH19" s="131" t="s">
        <v>44</v>
      </c>
      <c r="AI19" s="131" t="s">
        <v>44</v>
      </c>
      <c r="AJ19" s="131" t="s">
        <v>44</v>
      </c>
      <c r="AK19" s="131" t="s">
        <v>44</v>
      </c>
      <c r="AL19" s="131" t="s">
        <v>44</v>
      </c>
      <c r="AM19" s="131" t="s">
        <v>44</v>
      </c>
      <c r="AN19" s="131" t="s">
        <v>44</v>
      </c>
      <c r="AO19" s="131" t="s">
        <v>44</v>
      </c>
      <c r="AP19" s="131" t="s">
        <v>44</v>
      </c>
      <c r="AQ19" s="131" t="s">
        <v>44</v>
      </c>
      <c r="AR19" s="131" t="s">
        <v>44</v>
      </c>
      <c r="AS19" s="131" t="s">
        <v>44</v>
      </c>
      <c r="AT19" s="131" t="s">
        <v>44</v>
      </c>
      <c r="AU19" s="131" t="s">
        <v>44</v>
      </c>
      <c r="AV19" s="131" t="s">
        <v>44</v>
      </c>
      <c r="AW19" s="131" t="s">
        <v>44</v>
      </c>
      <c r="AX19" s="131" t="s">
        <v>44</v>
      </c>
      <c r="AY19" s="131" t="s">
        <v>44</v>
      </c>
      <c r="AZ19" s="131" t="s">
        <v>44</v>
      </c>
      <c r="BA19" s="131" t="s">
        <v>44</v>
      </c>
      <c r="BB19" s="131" t="s">
        <v>44</v>
      </c>
      <c r="BC19" s="131" t="s">
        <v>44</v>
      </c>
      <c r="BD19" s="131" t="s">
        <v>44</v>
      </c>
      <c r="BE19" s="131" t="s">
        <v>44</v>
      </c>
      <c r="BF19" s="131" t="s">
        <v>44</v>
      </c>
      <c r="BG19" s="131" t="s">
        <v>44</v>
      </c>
      <c r="BH19" s="131">
        <v>1.2757756790000001</v>
      </c>
      <c r="BI19" s="131" t="s">
        <v>44</v>
      </c>
      <c r="BJ19" s="131" t="s">
        <v>44</v>
      </c>
      <c r="BK19" s="131" t="s">
        <v>44</v>
      </c>
      <c r="BL19" s="131"/>
      <c r="BM19" s="131"/>
      <c r="BN19" s="131"/>
      <c r="BO19" s="382"/>
      <c r="BP19" s="382"/>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row>
    <row r="20" spans="1:103" s="2" customFormat="1">
      <c r="A20" s="414" t="s">
        <v>191</v>
      </c>
      <c r="B20" s="416"/>
      <c r="C20" s="22" t="s">
        <v>52</v>
      </c>
      <c r="D20" s="25" t="s">
        <v>44</v>
      </c>
      <c r="E20" s="25" t="s">
        <v>44</v>
      </c>
      <c r="F20" s="25" t="s">
        <v>44</v>
      </c>
      <c r="G20" s="25" t="s">
        <v>44</v>
      </c>
      <c r="H20" s="25" t="s">
        <v>44</v>
      </c>
      <c r="I20" s="25" t="s">
        <v>44</v>
      </c>
      <c r="J20" s="25" t="s">
        <v>44</v>
      </c>
      <c r="K20" s="25" t="s">
        <v>44</v>
      </c>
      <c r="L20" s="25" t="s">
        <v>44</v>
      </c>
      <c r="M20" s="25" t="s">
        <v>44</v>
      </c>
      <c r="N20" s="25" t="s">
        <v>44</v>
      </c>
      <c r="O20" s="25" t="s">
        <v>44</v>
      </c>
      <c r="P20" s="25" t="s">
        <v>44</v>
      </c>
      <c r="Q20" s="25" t="s">
        <v>44</v>
      </c>
      <c r="R20" s="25" t="s">
        <v>44</v>
      </c>
      <c r="S20" s="25" t="s">
        <v>44</v>
      </c>
      <c r="T20" s="25" t="s">
        <v>44</v>
      </c>
      <c r="U20" s="25" t="s">
        <v>44</v>
      </c>
      <c r="V20" s="25" t="s">
        <v>44</v>
      </c>
      <c r="W20" s="25" t="s">
        <v>44</v>
      </c>
      <c r="X20" s="25" t="s">
        <v>44</v>
      </c>
      <c r="Y20" s="25" t="s">
        <v>44</v>
      </c>
      <c r="Z20" s="25" t="s">
        <v>44</v>
      </c>
      <c r="AA20" s="25" t="s">
        <v>44</v>
      </c>
      <c r="AB20" s="25" t="s">
        <v>44</v>
      </c>
      <c r="AC20" s="25" t="s">
        <v>44</v>
      </c>
      <c r="AD20" s="25" t="s">
        <v>44</v>
      </c>
      <c r="AE20" s="25" t="s">
        <v>44</v>
      </c>
      <c r="AF20" s="25" t="s">
        <v>44</v>
      </c>
      <c r="AG20" s="25" t="s">
        <v>44</v>
      </c>
      <c r="AH20" s="53" t="s">
        <v>44</v>
      </c>
      <c r="AI20" s="53" t="s">
        <v>44</v>
      </c>
      <c r="AJ20" s="53" t="s">
        <v>44</v>
      </c>
      <c r="AK20" s="53" t="s">
        <v>44</v>
      </c>
      <c r="AL20" s="53" t="s">
        <v>44</v>
      </c>
      <c r="AM20" s="53">
        <v>75.684183710604842</v>
      </c>
      <c r="AN20" s="53">
        <v>75.176265400029678</v>
      </c>
      <c r="AO20" s="53">
        <v>73.38332987336517</v>
      </c>
      <c r="AP20" s="53">
        <v>74.622458066040309</v>
      </c>
      <c r="AQ20" s="53">
        <v>74.673504848382947</v>
      </c>
      <c r="AR20" s="53">
        <v>74.915493212342511</v>
      </c>
      <c r="AS20" s="53">
        <v>74.520754572879682</v>
      </c>
      <c r="AT20" s="53">
        <v>74.301183342183123</v>
      </c>
      <c r="AU20" s="53">
        <v>73.950309543754983</v>
      </c>
      <c r="AV20" s="53">
        <v>73.946974556339526</v>
      </c>
      <c r="AW20" s="53">
        <v>74.236431341526938</v>
      </c>
      <c r="AX20" s="53">
        <v>74.458948164964056</v>
      </c>
      <c r="AY20" s="53">
        <v>84.751333313169809</v>
      </c>
      <c r="AZ20" s="53">
        <v>72.588024477190842</v>
      </c>
      <c r="BA20" s="53">
        <v>73.197944089256623</v>
      </c>
      <c r="BB20" s="53">
        <v>73.961408462756168</v>
      </c>
      <c r="BC20" s="53">
        <v>74.012450982564189</v>
      </c>
      <c r="BD20" s="53">
        <v>75.201300712294824</v>
      </c>
      <c r="BE20" s="53">
        <v>75.601737970987841</v>
      </c>
      <c r="BF20" s="53">
        <v>76.62753702687877</v>
      </c>
      <c r="BG20" s="53">
        <v>76.679255462638253</v>
      </c>
      <c r="BH20" s="53">
        <v>76.411322092656803</v>
      </c>
      <c r="BI20" s="53">
        <v>76.449103049441675</v>
      </c>
      <c r="BJ20" s="53">
        <v>76.104277583991191</v>
      </c>
      <c r="BK20" s="53">
        <v>75.934025879351196</v>
      </c>
      <c r="BL20" s="53">
        <v>74.599999999999994</v>
      </c>
      <c r="BM20" s="53">
        <v>74.592757279062809</v>
      </c>
      <c r="BN20" s="5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row>
    <row r="21" spans="1:103">
      <c r="A21" s="415"/>
      <c r="B21" s="417"/>
      <c r="C21" s="127" t="s">
        <v>53</v>
      </c>
      <c r="D21" s="129" t="s">
        <v>44</v>
      </c>
      <c r="E21" s="129" t="s">
        <v>44</v>
      </c>
      <c r="F21" s="129" t="s">
        <v>44</v>
      </c>
      <c r="G21" s="129" t="s">
        <v>44</v>
      </c>
      <c r="H21" s="129" t="s">
        <v>44</v>
      </c>
      <c r="I21" s="129" t="s">
        <v>44</v>
      </c>
      <c r="J21" s="129" t="s">
        <v>44</v>
      </c>
      <c r="K21" s="129" t="s">
        <v>44</v>
      </c>
      <c r="L21" s="129" t="s">
        <v>44</v>
      </c>
      <c r="M21" s="129" t="s">
        <v>44</v>
      </c>
      <c r="N21" s="129" t="s">
        <v>44</v>
      </c>
      <c r="O21" s="129" t="s">
        <v>44</v>
      </c>
      <c r="P21" s="129" t="s">
        <v>44</v>
      </c>
      <c r="Q21" s="129" t="s">
        <v>44</v>
      </c>
      <c r="R21" s="129" t="s">
        <v>44</v>
      </c>
      <c r="S21" s="129" t="s">
        <v>44</v>
      </c>
      <c r="T21" s="129" t="s">
        <v>44</v>
      </c>
      <c r="U21" s="129" t="s">
        <v>44</v>
      </c>
      <c r="V21" s="129" t="s">
        <v>44</v>
      </c>
      <c r="W21" s="129" t="s">
        <v>44</v>
      </c>
      <c r="X21" s="129" t="s">
        <v>44</v>
      </c>
      <c r="Y21" s="129" t="s">
        <v>44</v>
      </c>
      <c r="Z21" s="129" t="s">
        <v>44</v>
      </c>
      <c r="AA21" s="129" t="s">
        <v>44</v>
      </c>
      <c r="AB21" s="129" t="s">
        <v>44</v>
      </c>
      <c r="AC21" s="129" t="s">
        <v>44</v>
      </c>
      <c r="AD21" s="129" t="s">
        <v>44</v>
      </c>
      <c r="AE21" s="129" t="s">
        <v>44</v>
      </c>
      <c r="AF21" s="129" t="s">
        <v>44</v>
      </c>
      <c r="AG21" s="129" t="s">
        <v>44</v>
      </c>
      <c r="AH21" s="128" t="s">
        <v>44</v>
      </c>
      <c r="AI21" s="128" t="s">
        <v>44</v>
      </c>
      <c r="AJ21" s="128" t="s">
        <v>44</v>
      </c>
      <c r="AK21" s="128" t="s">
        <v>44</v>
      </c>
      <c r="AL21" s="128" t="s">
        <v>44</v>
      </c>
      <c r="AM21" s="128">
        <v>22.707256714462478</v>
      </c>
      <c r="AN21" s="128">
        <v>23.383924595517293</v>
      </c>
      <c r="AO21" s="128">
        <v>25.133208774479275</v>
      </c>
      <c r="AP21" s="128">
        <v>24.041834008759334</v>
      </c>
      <c r="AQ21" s="128">
        <v>23.91682080600863</v>
      </c>
      <c r="AR21" s="128">
        <v>23.733302001048425</v>
      </c>
      <c r="AS21" s="128">
        <v>24.170389888112425</v>
      </c>
      <c r="AT21" s="128">
        <v>24.387468709701889</v>
      </c>
      <c r="AU21" s="128">
        <v>24.716506957072511</v>
      </c>
      <c r="AV21" s="128">
        <v>24.694345637257761</v>
      </c>
      <c r="AW21" s="128">
        <v>24.521021049991319</v>
      </c>
      <c r="AX21" s="128">
        <v>24.417328793038216</v>
      </c>
      <c r="AY21" s="128" t="s">
        <v>44</v>
      </c>
      <c r="AZ21" s="128">
        <v>26.10137827172732</v>
      </c>
      <c r="BA21" s="128">
        <v>25.547407128828713</v>
      </c>
      <c r="BB21" s="128">
        <v>24.869507551448251</v>
      </c>
      <c r="BC21" s="128">
        <v>24.88534904845249</v>
      </c>
      <c r="BD21" s="128">
        <v>23.755696146529221</v>
      </c>
      <c r="BE21" s="128">
        <v>23.384445619439528</v>
      </c>
      <c r="BF21" s="128">
        <v>22.397147558968733</v>
      </c>
      <c r="BG21" s="128">
        <v>22.320557780498433</v>
      </c>
      <c r="BH21" s="128">
        <v>22.616608887488184</v>
      </c>
      <c r="BI21" s="128">
        <v>22.592120531892633</v>
      </c>
      <c r="BJ21" s="128">
        <v>22.927299430879383</v>
      </c>
      <c r="BK21" s="128">
        <v>23.004373974849646</v>
      </c>
      <c r="BL21" s="128"/>
      <c r="BM21" s="128"/>
      <c r="BN21" s="128"/>
      <c r="CX21" s="50"/>
      <c r="CY21" s="50"/>
    </row>
    <row r="22" spans="1:103" s="2" customFormat="1">
      <c r="A22" s="415"/>
      <c r="B22" s="417"/>
      <c r="C22" s="133" t="s">
        <v>55</v>
      </c>
      <c r="D22" s="130" t="s">
        <v>44</v>
      </c>
      <c r="E22" s="130" t="s">
        <v>44</v>
      </c>
      <c r="F22" s="130" t="s">
        <v>44</v>
      </c>
      <c r="G22" s="130" t="s">
        <v>44</v>
      </c>
      <c r="H22" s="130" t="s">
        <v>44</v>
      </c>
      <c r="I22" s="130" t="s">
        <v>44</v>
      </c>
      <c r="J22" s="130" t="s">
        <v>44</v>
      </c>
      <c r="K22" s="130" t="s">
        <v>44</v>
      </c>
      <c r="L22" s="130" t="s">
        <v>44</v>
      </c>
      <c r="M22" s="130" t="s">
        <v>44</v>
      </c>
      <c r="N22" s="130" t="s">
        <v>44</v>
      </c>
      <c r="O22" s="130" t="s">
        <v>44</v>
      </c>
      <c r="P22" s="130" t="s">
        <v>44</v>
      </c>
      <c r="Q22" s="130" t="s">
        <v>44</v>
      </c>
      <c r="R22" s="130" t="s">
        <v>44</v>
      </c>
      <c r="S22" s="130" t="s">
        <v>44</v>
      </c>
      <c r="T22" s="130" t="s">
        <v>44</v>
      </c>
      <c r="U22" s="130" t="s">
        <v>44</v>
      </c>
      <c r="V22" s="130" t="s">
        <v>44</v>
      </c>
      <c r="W22" s="130" t="s">
        <v>44</v>
      </c>
      <c r="X22" s="130" t="s">
        <v>44</v>
      </c>
      <c r="Y22" s="130" t="s">
        <v>44</v>
      </c>
      <c r="Z22" s="130" t="s">
        <v>44</v>
      </c>
      <c r="AA22" s="130" t="s">
        <v>44</v>
      </c>
      <c r="AB22" s="130" t="s">
        <v>44</v>
      </c>
      <c r="AC22" s="130" t="s">
        <v>44</v>
      </c>
      <c r="AD22" s="130" t="s">
        <v>44</v>
      </c>
      <c r="AE22" s="130" t="s">
        <v>44</v>
      </c>
      <c r="AF22" s="130" t="s">
        <v>44</v>
      </c>
      <c r="AG22" s="130" t="s">
        <v>44</v>
      </c>
      <c r="AH22" s="131" t="s">
        <v>44</v>
      </c>
      <c r="AI22" s="131" t="s">
        <v>44</v>
      </c>
      <c r="AJ22" s="131" t="s">
        <v>44</v>
      </c>
      <c r="AK22" s="131" t="s">
        <v>44</v>
      </c>
      <c r="AL22" s="131" t="s">
        <v>44</v>
      </c>
      <c r="AM22" s="131">
        <v>1.6085595749326733</v>
      </c>
      <c r="AN22" s="131">
        <v>1.4398100044530207</v>
      </c>
      <c r="AO22" s="131">
        <v>1.4834613521555602</v>
      </c>
      <c r="AP22" s="131">
        <v>1.3357079252003561</v>
      </c>
      <c r="AQ22" s="131">
        <v>1.40967434560843</v>
      </c>
      <c r="AR22" s="131">
        <v>1.3512047866090635</v>
      </c>
      <c r="AS22" s="131">
        <v>1.3088555390079046</v>
      </c>
      <c r="AT22" s="131">
        <v>1.3113479481149966</v>
      </c>
      <c r="AU22" s="131">
        <v>1.3331834991725067</v>
      </c>
      <c r="AV22" s="131">
        <v>1.3586798064027057</v>
      </c>
      <c r="AW22" s="131">
        <v>1.242547608481738</v>
      </c>
      <c r="AX22" s="131">
        <v>1.1237230419977298</v>
      </c>
      <c r="AY22" s="131" t="s">
        <v>44</v>
      </c>
      <c r="AZ22" s="131">
        <v>1.3105972510818384</v>
      </c>
      <c r="BA22" s="131">
        <v>1.2546487819146714</v>
      </c>
      <c r="BB22" s="131">
        <v>1.1690839857955762</v>
      </c>
      <c r="BC22" s="131">
        <v>1.1021999689833175</v>
      </c>
      <c r="BD22" s="131">
        <v>1.0430031411759502</v>
      </c>
      <c r="BE22" s="131">
        <v>1.0138164095726339</v>
      </c>
      <c r="BF22" s="131">
        <v>0.97531541415249579</v>
      </c>
      <c r="BG22" s="131">
        <v>1.0001867568633147</v>
      </c>
      <c r="BH22" s="131">
        <v>0.97206901985502669</v>
      </c>
      <c r="BI22" s="131">
        <v>0.95877641866570285</v>
      </c>
      <c r="BJ22" s="131">
        <v>0.96842298512942915</v>
      </c>
      <c r="BK22" s="131">
        <v>1.0616001457991617</v>
      </c>
      <c r="BL22" s="131"/>
      <c r="BM22" s="131"/>
      <c r="BN22" s="131"/>
      <c r="BO22" s="382"/>
      <c r="BP22" s="382"/>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row>
    <row r="23" spans="1:103">
      <c r="A23" s="414" t="s">
        <v>35</v>
      </c>
      <c r="B23" s="416">
        <v>1</v>
      </c>
      <c r="C23" s="22" t="s">
        <v>52</v>
      </c>
      <c r="D23" s="25">
        <v>85.693790567456901</v>
      </c>
      <c r="E23" s="25">
        <v>86.503134968650315</v>
      </c>
      <c r="F23" s="25">
        <v>87.015168075067308</v>
      </c>
      <c r="G23" s="25">
        <v>87.725505443234837</v>
      </c>
      <c r="H23" s="25">
        <v>88.008340705168706</v>
      </c>
      <c r="I23" s="25">
        <v>88.813469887031388</v>
      </c>
      <c r="J23" s="25">
        <v>88.982232522209344</v>
      </c>
      <c r="K23" s="25">
        <v>89.294912289226886</v>
      </c>
      <c r="L23" s="25">
        <v>89.312416047849567</v>
      </c>
      <c r="M23" s="25">
        <v>87.450840185913478</v>
      </c>
      <c r="N23" s="25">
        <v>86.09385308994942</v>
      </c>
      <c r="O23" s="25">
        <v>84.739618683285002</v>
      </c>
      <c r="P23" s="25">
        <v>83.1899641577061</v>
      </c>
      <c r="Q23" s="25">
        <v>79.83914917510279</v>
      </c>
      <c r="R23" s="25">
        <v>78.846651938752188</v>
      </c>
      <c r="S23" s="25">
        <v>78.244087637427825</v>
      </c>
      <c r="T23" s="25">
        <v>77.319087720432549</v>
      </c>
      <c r="U23" s="25">
        <v>76.582149624919737</v>
      </c>
      <c r="V23" s="25">
        <v>76.042272126816385</v>
      </c>
      <c r="W23" s="25">
        <v>75.630252100840337</v>
      </c>
      <c r="X23" s="25">
        <v>74.46833057724109</v>
      </c>
      <c r="Y23" s="25">
        <v>73.568706118355067</v>
      </c>
      <c r="Z23" s="25">
        <v>73.336673555875663</v>
      </c>
      <c r="AA23" s="25">
        <v>72.511102366631064</v>
      </c>
      <c r="AB23" s="25">
        <v>73.293226144208418</v>
      </c>
      <c r="AC23" s="25">
        <v>73.806213943143121</v>
      </c>
      <c r="AD23" s="25">
        <v>74.083129584352079</v>
      </c>
      <c r="AE23" s="25">
        <v>74.062412423138426</v>
      </c>
      <c r="AF23" s="25">
        <v>74.989221556886235</v>
      </c>
      <c r="AG23" s="25">
        <v>75.019536770696504</v>
      </c>
      <c r="AH23" s="53">
        <v>75.177803574056213</v>
      </c>
      <c r="AI23" s="53">
        <v>75.377151591679407</v>
      </c>
      <c r="AJ23" s="53">
        <v>75.798260089398724</v>
      </c>
      <c r="AK23" s="53">
        <v>75.625347415230678</v>
      </c>
      <c r="AL23" s="53">
        <v>75.694910310631471</v>
      </c>
      <c r="AM23" s="53">
        <v>75.540263369103172</v>
      </c>
      <c r="AN23" s="53">
        <v>76.256571725691842</v>
      </c>
      <c r="AO23" s="53">
        <v>75.702627812794987</v>
      </c>
      <c r="AP23" s="53">
        <v>75.342856713682721</v>
      </c>
      <c r="AQ23" s="53">
        <v>75.922917897223869</v>
      </c>
      <c r="AR23" s="53">
        <v>75.875997863920801</v>
      </c>
      <c r="AS23" s="53">
        <v>76.045103721343935</v>
      </c>
      <c r="AT23" s="53">
        <v>76.204541000587923</v>
      </c>
      <c r="AU23" s="53">
        <v>76.370585717869631</v>
      </c>
      <c r="AV23" s="53">
        <v>75.951659144844243</v>
      </c>
      <c r="AW23" s="53">
        <v>75.611814345991561</v>
      </c>
      <c r="AX23" s="53">
        <v>75.611143503178369</v>
      </c>
      <c r="AY23" s="53">
        <v>86.26036497391911</v>
      </c>
      <c r="AZ23" s="53">
        <v>76.292630770917867</v>
      </c>
      <c r="BA23" s="53">
        <v>76.597635904313393</v>
      </c>
      <c r="BB23" s="53">
        <v>77.205049630271134</v>
      </c>
      <c r="BC23" s="53">
        <v>76.014998953118749</v>
      </c>
      <c r="BD23" s="53">
        <v>75.033476891896782</v>
      </c>
      <c r="BE23" s="53">
        <v>76.188779051227712</v>
      </c>
      <c r="BF23" s="53">
        <v>76.051560379918598</v>
      </c>
      <c r="BG23" s="53">
        <v>76.864730469876037</v>
      </c>
      <c r="BH23" s="53">
        <v>76.416093616019637</v>
      </c>
      <c r="BI23" s="53">
        <v>77.09595466093414</v>
      </c>
      <c r="BJ23" s="53">
        <v>77.64898296203377</v>
      </c>
      <c r="BK23" s="53">
        <v>78.268628573352643</v>
      </c>
      <c r="BL23" s="53">
        <v>78</v>
      </c>
      <c r="BM23" s="53">
        <v>78.884024219841649</v>
      </c>
      <c r="BN23" s="53"/>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row>
    <row r="24" spans="1:103">
      <c r="A24" s="415"/>
      <c r="B24" s="417"/>
      <c r="C24" s="127" t="s">
        <v>53</v>
      </c>
      <c r="D24" s="129">
        <v>11.72382093211132</v>
      </c>
      <c r="E24" s="129">
        <v>11.067264327356726</v>
      </c>
      <c r="F24" s="129">
        <v>10.753605416788846</v>
      </c>
      <c r="G24" s="129">
        <v>10.215137376879211</v>
      </c>
      <c r="H24" s="129">
        <v>9.9254391507645643</v>
      </c>
      <c r="I24" s="129">
        <v>9.3636821528793792</v>
      </c>
      <c r="J24" s="129">
        <v>9.2410196987253759</v>
      </c>
      <c r="K24" s="129">
        <v>9.0261917488702075</v>
      </c>
      <c r="L24" s="129">
        <v>8.976860886534709</v>
      </c>
      <c r="M24" s="129">
        <v>10.68619439195056</v>
      </c>
      <c r="N24" s="129">
        <v>12.007917308115241</v>
      </c>
      <c r="O24" s="129">
        <v>13.326031961498119</v>
      </c>
      <c r="P24" s="129">
        <v>14.724666014988596</v>
      </c>
      <c r="Q24" s="129">
        <v>18.108103644740968</v>
      </c>
      <c r="R24" s="129">
        <v>19.067570655900052</v>
      </c>
      <c r="S24" s="129">
        <v>19.644071818397531</v>
      </c>
      <c r="T24" s="129">
        <v>20.492346485202127</v>
      </c>
      <c r="U24" s="129">
        <v>21.148575634660862</v>
      </c>
      <c r="V24" s="129">
        <v>21.749009247027743</v>
      </c>
      <c r="W24" s="129">
        <v>22.04743068594032</v>
      </c>
      <c r="X24" s="129">
        <v>23.25116332730839</v>
      </c>
      <c r="Y24" s="129">
        <v>24.014042126379138</v>
      </c>
      <c r="Z24" s="129">
        <v>24.423289701676374</v>
      </c>
      <c r="AA24" s="129">
        <v>25.062304420334662</v>
      </c>
      <c r="AB24" s="129">
        <v>24.374877992510957</v>
      </c>
      <c r="AC24" s="129">
        <v>24.051226801974003</v>
      </c>
      <c r="AD24" s="129">
        <v>23.769605641767711</v>
      </c>
      <c r="AE24" s="129">
        <v>23.893440596099637</v>
      </c>
      <c r="AF24" s="129">
        <v>23.113772455089819</v>
      </c>
      <c r="AG24" s="129">
        <v>23.02013534409657</v>
      </c>
      <c r="AH24" s="128">
        <v>22.753952553014077</v>
      </c>
      <c r="AI24" s="128">
        <v>22.496178640260517</v>
      </c>
      <c r="AJ24" s="128">
        <v>22.013233574186518</v>
      </c>
      <c r="AK24" s="128">
        <v>22.23620965896086</v>
      </c>
      <c r="AL24" s="128">
        <v>22.235671576491175</v>
      </c>
      <c r="AM24" s="128">
        <v>22.301655717725392</v>
      </c>
      <c r="AN24" s="128">
        <v>21.58270264024496</v>
      </c>
      <c r="AO24" s="128">
        <v>22.13848542979812</v>
      </c>
      <c r="AP24" s="128">
        <v>22.51212954200652</v>
      </c>
      <c r="AQ24" s="128">
        <v>21.977259303012403</v>
      </c>
      <c r="AR24" s="128">
        <v>22.037217072202214</v>
      </c>
      <c r="AS24" s="128">
        <v>21.861819642498492</v>
      </c>
      <c r="AT24" s="128">
        <v>21.81752008734847</v>
      </c>
      <c r="AU24" s="128">
        <v>21.671118456975044</v>
      </c>
      <c r="AV24" s="128">
        <v>22.105927378976393</v>
      </c>
      <c r="AW24" s="128">
        <v>22.195523135235643</v>
      </c>
      <c r="AX24" s="128">
        <v>22.443436340107226</v>
      </c>
      <c r="AY24" s="128" t="s">
        <v>44</v>
      </c>
      <c r="AZ24" s="128">
        <v>21.781445333918192</v>
      </c>
      <c r="BA24" s="128">
        <v>21.641767769703396</v>
      </c>
      <c r="BB24" s="128">
        <v>21.017920191859304</v>
      </c>
      <c r="BC24" s="128">
        <v>22.117745588823116</v>
      </c>
      <c r="BD24" s="128">
        <v>23.026672939813977</v>
      </c>
      <c r="BE24" s="128">
        <v>22.017970024947946</v>
      </c>
      <c r="BF24" s="128">
        <v>22.32571784810591</v>
      </c>
      <c r="BG24" s="128">
        <v>21.448904583453444</v>
      </c>
      <c r="BH24" s="128">
        <v>21.926122702893554</v>
      </c>
      <c r="BI24" s="128">
        <v>21.316200898964237</v>
      </c>
      <c r="BJ24" s="128">
        <v>20.982263365990757</v>
      </c>
      <c r="BK24" s="128">
        <v>20.367689147782752</v>
      </c>
      <c r="BL24" s="128"/>
      <c r="BM24" s="128"/>
      <c r="BN24" s="128"/>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row>
    <row r="25" spans="1:103">
      <c r="A25" s="415"/>
      <c r="B25" s="417"/>
      <c r="C25" s="133" t="s">
        <v>55</v>
      </c>
      <c r="D25" s="130">
        <v>2.582388500431791</v>
      </c>
      <c r="E25" s="130">
        <v>2.4296007039929601</v>
      </c>
      <c r="F25" s="130">
        <v>2.2312265081438434</v>
      </c>
      <c r="G25" s="130">
        <v>2.0593571798859509</v>
      </c>
      <c r="H25" s="130">
        <v>2.0662201440667256</v>
      </c>
      <c r="I25" s="130">
        <v>1.8228479600892238</v>
      </c>
      <c r="J25" s="130">
        <v>1.7767477790652761</v>
      </c>
      <c r="K25" s="130">
        <v>1.6788959619029109</v>
      </c>
      <c r="L25" s="130">
        <v>1.7107230656157335</v>
      </c>
      <c r="M25" s="130">
        <v>1.8629654221359622</v>
      </c>
      <c r="N25" s="130">
        <v>1.899604134594238</v>
      </c>
      <c r="O25" s="130">
        <v>1.9343493552168818</v>
      </c>
      <c r="P25" s="130">
        <v>2.0853698273053114</v>
      </c>
      <c r="Q25" s="130">
        <v>2.0527471801562265</v>
      </c>
      <c r="R25" s="130">
        <v>2.0857774053477565</v>
      </c>
      <c r="S25" s="130">
        <v>2.1118405441746422</v>
      </c>
      <c r="T25" s="130">
        <v>2.1885657943653323</v>
      </c>
      <c r="U25" s="130">
        <v>2.2692747404194007</v>
      </c>
      <c r="V25" s="130">
        <v>2.2087186261558784</v>
      </c>
      <c r="W25" s="130">
        <v>2.3223172132193439</v>
      </c>
      <c r="X25" s="130">
        <v>2.2805060954505247</v>
      </c>
      <c r="Y25" s="130">
        <v>2.4172517552657973</v>
      </c>
      <c r="Z25" s="130">
        <v>2.2400367424479657</v>
      </c>
      <c r="AA25" s="130">
        <v>2.426593213034272</v>
      </c>
      <c r="AB25" s="130">
        <v>2.3318958632806259</v>
      </c>
      <c r="AC25" s="130">
        <v>2.14255925488288</v>
      </c>
      <c r="AD25" s="130">
        <v>2.1472647738802122</v>
      </c>
      <c r="AE25" s="130">
        <v>2.0441469807619392</v>
      </c>
      <c r="AF25" s="130">
        <v>1.897005988023952</v>
      </c>
      <c r="AG25" s="130">
        <v>1.9603278852069237</v>
      </c>
      <c r="AH25" s="131">
        <v>2.0682438729297123</v>
      </c>
      <c r="AI25" s="131">
        <v>2.1266697680600783</v>
      </c>
      <c r="AJ25" s="131">
        <v>2.1885063364147586</v>
      </c>
      <c r="AK25" s="131">
        <v>2.1384429258084556</v>
      </c>
      <c r="AL25" s="131">
        <v>2.0694181128773517</v>
      </c>
      <c r="AM25" s="131">
        <v>2.1580809131714278</v>
      </c>
      <c r="AN25" s="131">
        <v>2.1607256340632039</v>
      </c>
      <c r="AO25" s="131">
        <v>2.1588867574068997</v>
      </c>
      <c r="AP25" s="131">
        <v>2.1450137443107566</v>
      </c>
      <c r="AQ25" s="131">
        <v>2.0998227997637331</v>
      </c>
      <c r="AR25" s="131">
        <v>2.0867850638769836</v>
      </c>
      <c r="AS25" s="131">
        <v>2.0930766361575763</v>
      </c>
      <c r="AT25" s="131">
        <v>1.9779389120636075</v>
      </c>
      <c r="AU25" s="131">
        <v>1.9582958251553206</v>
      </c>
      <c r="AV25" s="131">
        <v>1.9424134761793714</v>
      </c>
      <c r="AW25" s="131">
        <v>2.1926625187727957</v>
      </c>
      <c r="AX25" s="131">
        <v>1.9454201567144016</v>
      </c>
      <c r="AY25" s="131" t="s">
        <v>44</v>
      </c>
      <c r="AZ25" s="131">
        <v>1.9259238951639435</v>
      </c>
      <c r="BA25" s="131">
        <v>1.7605963259832207</v>
      </c>
      <c r="BB25" s="131">
        <v>1.7770301778695625</v>
      </c>
      <c r="BC25" s="131">
        <v>1.8672554580581306</v>
      </c>
      <c r="BD25" s="131">
        <v>1.9398501682892404</v>
      </c>
      <c r="BE25" s="131">
        <v>1.7932509238243515</v>
      </c>
      <c r="BF25" s="131">
        <v>1.6227217719755032</v>
      </c>
      <c r="BG25" s="131">
        <v>1.6863649466705104</v>
      </c>
      <c r="BH25" s="131">
        <v>1.6577836810868065</v>
      </c>
      <c r="BI25" s="131">
        <v>1.5878444401016218</v>
      </c>
      <c r="BJ25" s="131">
        <v>1.3687536719754831</v>
      </c>
      <c r="BK25" s="131">
        <v>1.3636822788646081</v>
      </c>
      <c r="BL25" s="131"/>
      <c r="BM25" s="131"/>
      <c r="BN25" s="131"/>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row>
    <row r="26" spans="1:103" s="2" customFormat="1">
      <c r="A26" s="414" t="s">
        <v>34</v>
      </c>
      <c r="B26" s="416"/>
      <c r="C26" s="22" t="s">
        <v>52</v>
      </c>
      <c r="D26" s="25" t="s">
        <v>44</v>
      </c>
      <c r="E26" s="25" t="s">
        <v>44</v>
      </c>
      <c r="F26" s="25" t="s">
        <v>44</v>
      </c>
      <c r="G26" s="25" t="s">
        <v>44</v>
      </c>
      <c r="H26" s="25" t="s">
        <v>44</v>
      </c>
      <c r="I26" s="25" t="s">
        <v>44</v>
      </c>
      <c r="J26" s="25" t="s">
        <v>44</v>
      </c>
      <c r="K26" s="25" t="s">
        <v>44</v>
      </c>
      <c r="L26" s="25" t="s">
        <v>44</v>
      </c>
      <c r="M26" s="25" t="s">
        <v>44</v>
      </c>
      <c r="N26" s="25" t="s">
        <v>44</v>
      </c>
      <c r="O26" s="25" t="s">
        <v>44</v>
      </c>
      <c r="P26" s="25" t="s">
        <v>44</v>
      </c>
      <c r="Q26" s="25" t="s">
        <v>44</v>
      </c>
      <c r="R26" s="25" t="s">
        <v>44</v>
      </c>
      <c r="S26" s="25" t="s">
        <v>44</v>
      </c>
      <c r="T26" s="25" t="s">
        <v>44</v>
      </c>
      <c r="U26" s="25" t="s">
        <v>44</v>
      </c>
      <c r="V26" s="25" t="s">
        <v>44</v>
      </c>
      <c r="W26" s="25" t="s">
        <v>44</v>
      </c>
      <c r="X26" s="25" t="s">
        <v>44</v>
      </c>
      <c r="Y26" s="25" t="s">
        <v>44</v>
      </c>
      <c r="Z26" s="25" t="s">
        <v>44</v>
      </c>
      <c r="AA26" s="25" t="s">
        <v>44</v>
      </c>
      <c r="AB26" s="25" t="s">
        <v>44</v>
      </c>
      <c r="AC26" s="25" t="s">
        <v>44</v>
      </c>
      <c r="AD26" s="25" t="s">
        <v>44</v>
      </c>
      <c r="AE26" s="25" t="s">
        <v>44</v>
      </c>
      <c r="AF26" s="25" t="s">
        <v>44</v>
      </c>
      <c r="AG26" s="25" t="s">
        <v>44</v>
      </c>
      <c r="AH26" s="53" t="s">
        <v>44</v>
      </c>
      <c r="AI26" s="53" t="s">
        <v>44</v>
      </c>
      <c r="AJ26" s="53" t="s">
        <v>44</v>
      </c>
      <c r="AK26" s="53" t="s">
        <v>44</v>
      </c>
      <c r="AL26" s="53" t="s">
        <v>44</v>
      </c>
      <c r="AM26" s="53">
        <v>66.976079971438779</v>
      </c>
      <c r="AN26" s="53">
        <v>66.983868044226938</v>
      </c>
      <c r="AO26" s="53">
        <v>66.657720522454824</v>
      </c>
      <c r="AP26" s="53">
        <v>66.786372007366481</v>
      </c>
      <c r="AQ26" s="53">
        <v>68.067978533094802</v>
      </c>
      <c r="AR26" s="53" t="s">
        <v>44</v>
      </c>
      <c r="AS26" s="53" t="s">
        <v>44</v>
      </c>
      <c r="AT26" s="53" t="s">
        <v>44</v>
      </c>
      <c r="AU26" s="53" t="s">
        <v>44</v>
      </c>
      <c r="AV26" s="53" t="s">
        <v>44</v>
      </c>
      <c r="AW26" s="53" t="s">
        <v>44</v>
      </c>
      <c r="AX26" s="53" t="s">
        <v>44</v>
      </c>
      <c r="AY26" s="53">
        <v>70.720592423810885</v>
      </c>
      <c r="AZ26" s="53">
        <v>71.917081531053611</v>
      </c>
      <c r="BA26" s="53">
        <v>72.249160760910101</v>
      </c>
      <c r="BB26" s="53">
        <v>73.835373075404647</v>
      </c>
      <c r="BC26" s="53">
        <v>72.985997454082565</v>
      </c>
      <c r="BD26" s="53">
        <v>73.868365180467094</v>
      </c>
      <c r="BE26" s="53">
        <v>73.328004263256062</v>
      </c>
      <c r="BF26" s="53">
        <v>73.732097725358045</v>
      </c>
      <c r="BG26" s="53">
        <v>74.268455322821055</v>
      </c>
      <c r="BH26" s="53">
        <v>74.578186808751113</v>
      </c>
      <c r="BI26" s="53">
        <v>73.939637826961771</v>
      </c>
      <c r="BJ26" s="53">
        <v>74.546338302009076</v>
      </c>
      <c r="BK26" s="53">
        <v>74.546338302009076</v>
      </c>
      <c r="BL26" s="53" t="s">
        <v>44</v>
      </c>
      <c r="BM26" s="53" t="s">
        <v>44</v>
      </c>
      <c r="BN26" s="5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row>
    <row r="27" spans="1:103">
      <c r="A27" s="415"/>
      <c r="B27" s="417"/>
      <c r="C27" s="127" t="s">
        <v>53</v>
      </c>
      <c r="D27" s="129" t="s">
        <v>44</v>
      </c>
      <c r="E27" s="129" t="s">
        <v>44</v>
      </c>
      <c r="F27" s="129" t="s">
        <v>44</v>
      </c>
      <c r="G27" s="129" t="s">
        <v>44</v>
      </c>
      <c r="H27" s="129" t="s">
        <v>44</v>
      </c>
      <c r="I27" s="129" t="s">
        <v>44</v>
      </c>
      <c r="J27" s="129" t="s">
        <v>44</v>
      </c>
      <c r="K27" s="129" t="s">
        <v>44</v>
      </c>
      <c r="L27" s="129" t="s">
        <v>44</v>
      </c>
      <c r="M27" s="129" t="s">
        <v>44</v>
      </c>
      <c r="N27" s="129" t="s">
        <v>44</v>
      </c>
      <c r="O27" s="129" t="s">
        <v>44</v>
      </c>
      <c r="P27" s="129" t="s">
        <v>44</v>
      </c>
      <c r="Q27" s="129" t="s">
        <v>44</v>
      </c>
      <c r="R27" s="129" t="s">
        <v>44</v>
      </c>
      <c r="S27" s="129" t="s">
        <v>44</v>
      </c>
      <c r="T27" s="129" t="s">
        <v>44</v>
      </c>
      <c r="U27" s="129" t="s">
        <v>44</v>
      </c>
      <c r="V27" s="129" t="s">
        <v>44</v>
      </c>
      <c r="W27" s="129" t="s">
        <v>44</v>
      </c>
      <c r="X27" s="129" t="s">
        <v>44</v>
      </c>
      <c r="Y27" s="129" t="s">
        <v>44</v>
      </c>
      <c r="Z27" s="129" t="s">
        <v>44</v>
      </c>
      <c r="AA27" s="129" t="s">
        <v>44</v>
      </c>
      <c r="AB27" s="129" t="s">
        <v>44</v>
      </c>
      <c r="AC27" s="129" t="s">
        <v>44</v>
      </c>
      <c r="AD27" s="129" t="s">
        <v>44</v>
      </c>
      <c r="AE27" s="129" t="s">
        <v>44</v>
      </c>
      <c r="AF27" s="129" t="s">
        <v>44</v>
      </c>
      <c r="AG27" s="129" t="s">
        <v>44</v>
      </c>
      <c r="AH27" s="128" t="s">
        <v>44</v>
      </c>
      <c r="AI27" s="128" t="s">
        <v>44</v>
      </c>
      <c r="AJ27" s="128" t="s">
        <v>44</v>
      </c>
      <c r="AK27" s="128" t="s">
        <v>44</v>
      </c>
      <c r="AL27" s="128" t="s">
        <v>44</v>
      </c>
      <c r="AM27" s="128">
        <v>29.403784362727599</v>
      </c>
      <c r="AN27" s="128">
        <v>29.245967011056734</v>
      </c>
      <c r="AO27" s="128">
        <v>29.674360350688854</v>
      </c>
      <c r="AP27" s="128">
        <v>29.290976058931861</v>
      </c>
      <c r="AQ27" s="128">
        <v>28.846153846153843</v>
      </c>
      <c r="AR27" s="128" t="s">
        <v>44</v>
      </c>
      <c r="AS27" s="128" t="s">
        <v>44</v>
      </c>
      <c r="AT27" s="128" t="s">
        <v>44</v>
      </c>
      <c r="AU27" s="128" t="s">
        <v>44</v>
      </c>
      <c r="AV27" s="128" t="s">
        <v>44</v>
      </c>
      <c r="AW27" s="128" t="s">
        <v>44</v>
      </c>
      <c r="AX27" s="128" t="s">
        <v>44</v>
      </c>
      <c r="AY27" s="128">
        <v>27.826829962973509</v>
      </c>
      <c r="AZ27" s="128">
        <v>25.912021545743901</v>
      </c>
      <c r="BA27" s="128">
        <v>25.66206639313689</v>
      </c>
      <c r="BB27" s="128">
        <v>24.476904855902092</v>
      </c>
      <c r="BC27" s="128">
        <v>25.268230587379527</v>
      </c>
      <c r="BD27" s="128">
        <v>24.501061571125266</v>
      </c>
      <c r="BE27" s="128">
        <v>24.877875477395861</v>
      </c>
      <c r="BF27" s="128">
        <v>24.439764111204717</v>
      </c>
      <c r="BG27" s="128">
        <v>24.240997881854554</v>
      </c>
      <c r="BH27" s="128">
        <v>24.089771534673449</v>
      </c>
      <c r="BI27" s="128">
        <v>24.321931589537225</v>
      </c>
      <c r="BJ27" s="128">
        <v>24.011665586519769</v>
      </c>
      <c r="BK27" s="128">
        <v>24.011665586519769</v>
      </c>
      <c r="BL27" s="128"/>
      <c r="BM27" s="128"/>
      <c r="BN27" s="128"/>
      <c r="CX27" s="50"/>
      <c r="CY27" s="50"/>
    </row>
    <row r="28" spans="1:103" s="2" customFormat="1">
      <c r="A28" s="415"/>
      <c r="B28" s="417"/>
      <c r="C28" s="133" t="s">
        <v>55</v>
      </c>
      <c r="D28" s="130" t="s">
        <v>44</v>
      </c>
      <c r="E28" s="130" t="s">
        <v>44</v>
      </c>
      <c r="F28" s="130" t="s">
        <v>44</v>
      </c>
      <c r="G28" s="130" t="s">
        <v>44</v>
      </c>
      <c r="H28" s="130" t="s">
        <v>44</v>
      </c>
      <c r="I28" s="130" t="s">
        <v>44</v>
      </c>
      <c r="J28" s="130" t="s">
        <v>44</v>
      </c>
      <c r="K28" s="130" t="s">
        <v>44</v>
      </c>
      <c r="L28" s="130" t="s">
        <v>44</v>
      </c>
      <c r="M28" s="130" t="s">
        <v>44</v>
      </c>
      <c r="N28" s="130" t="s">
        <v>44</v>
      </c>
      <c r="O28" s="130" t="s">
        <v>44</v>
      </c>
      <c r="P28" s="130" t="s">
        <v>44</v>
      </c>
      <c r="Q28" s="130" t="s">
        <v>44</v>
      </c>
      <c r="R28" s="130" t="s">
        <v>44</v>
      </c>
      <c r="S28" s="130" t="s">
        <v>44</v>
      </c>
      <c r="T28" s="130" t="s">
        <v>44</v>
      </c>
      <c r="U28" s="130" t="s">
        <v>44</v>
      </c>
      <c r="V28" s="130" t="s">
        <v>44</v>
      </c>
      <c r="W28" s="130" t="s">
        <v>44</v>
      </c>
      <c r="X28" s="130" t="s">
        <v>44</v>
      </c>
      <c r="Y28" s="130" t="s">
        <v>44</v>
      </c>
      <c r="Z28" s="130" t="s">
        <v>44</v>
      </c>
      <c r="AA28" s="130" t="s">
        <v>44</v>
      </c>
      <c r="AB28" s="130" t="s">
        <v>44</v>
      </c>
      <c r="AC28" s="130" t="s">
        <v>44</v>
      </c>
      <c r="AD28" s="130" t="s">
        <v>44</v>
      </c>
      <c r="AE28" s="130" t="s">
        <v>44</v>
      </c>
      <c r="AF28" s="130" t="s">
        <v>44</v>
      </c>
      <c r="AG28" s="130" t="s">
        <v>44</v>
      </c>
      <c r="AH28" s="131" t="s">
        <v>44</v>
      </c>
      <c r="AI28" s="131" t="s">
        <v>44</v>
      </c>
      <c r="AJ28" s="131" t="s">
        <v>44</v>
      </c>
      <c r="AK28" s="131" t="s">
        <v>44</v>
      </c>
      <c r="AL28" s="131" t="s">
        <v>44</v>
      </c>
      <c r="AM28" s="131">
        <v>3.6201356658336308</v>
      </c>
      <c r="AN28" s="131">
        <v>3.7701649447163312</v>
      </c>
      <c r="AO28" s="131">
        <v>3.6679191268563249</v>
      </c>
      <c r="AP28" s="131">
        <v>3.9226519337016574</v>
      </c>
      <c r="AQ28" s="131">
        <v>3.0858676207513418</v>
      </c>
      <c r="AR28" s="131" t="s">
        <v>44</v>
      </c>
      <c r="AS28" s="131" t="s">
        <v>44</v>
      </c>
      <c r="AT28" s="131" t="s">
        <v>44</v>
      </c>
      <c r="AU28" s="131" t="s">
        <v>44</v>
      </c>
      <c r="AV28" s="131" t="s">
        <v>44</v>
      </c>
      <c r="AW28" s="131" t="s">
        <v>44</v>
      </c>
      <c r="AX28" s="131" t="s">
        <v>44</v>
      </c>
      <c r="AY28" s="131">
        <v>1.4525776132156081</v>
      </c>
      <c r="AZ28" s="131">
        <v>2.1708969232024811</v>
      </c>
      <c r="BA28" s="131">
        <v>2.0887728459530028</v>
      </c>
      <c r="BB28" s="131">
        <v>1.6877220686932493</v>
      </c>
      <c r="BC28" s="131">
        <v>1.7457719585379159</v>
      </c>
      <c r="BD28" s="131">
        <v>1.6305732484076432</v>
      </c>
      <c r="BE28" s="131">
        <v>1.7941202593480772</v>
      </c>
      <c r="BF28" s="131">
        <v>1.8281381634372367</v>
      </c>
      <c r="BG28" s="131">
        <v>1.4905467953243901</v>
      </c>
      <c r="BH28" s="131">
        <v>1.332041656575442</v>
      </c>
      <c r="BI28" s="131">
        <v>1.7384305835010061</v>
      </c>
      <c r="BJ28" s="131">
        <v>1.4419961114711601</v>
      </c>
      <c r="BK28" s="131">
        <v>1.4419961114711601</v>
      </c>
      <c r="BL28" s="131"/>
      <c r="BM28" s="131"/>
      <c r="BN28" s="131"/>
      <c r="BO28" s="382"/>
      <c r="BP28" s="382"/>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row>
    <row r="29" spans="1:103" s="2" customFormat="1">
      <c r="A29" s="414" t="s">
        <v>33</v>
      </c>
      <c r="B29" s="416">
        <v>1</v>
      </c>
      <c r="C29" s="22" t="s">
        <v>52</v>
      </c>
      <c r="D29" s="25">
        <v>90.528823981552648</v>
      </c>
      <c r="E29" s="25">
        <v>90.66475991095254</v>
      </c>
      <c r="F29" s="25">
        <v>90.773936443980404</v>
      </c>
      <c r="G29" s="25">
        <v>90.848666122843596</v>
      </c>
      <c r="H29" s="25">
        <v>90.776734473342188</v>
      </c>
      <c r="I29" s="25">
        <v>91.226092040424291</v>
      </c>
      <c r="J29" s="25">
        <v>91.372476237190611</v>
      </c>
      <c r="K29" s="25">
        <v>91.953120206172912</v>
      </c>
      <c r="L29" s="25">
        <v>91.884371813111414</v>
      </c>
      <c r="M29" s="25">
        <v>91.906826911163421</v>
      </c>
      <c r="N29" s="25">
        <v>92.009827151871889</v>
      </c>
      <c r="O29" s="25">
        <v>91.54579361790303</v>
      </c>
      <c r="P29" s="25">
        <v>91.030261426691837</v>
      </c>
      <c r="Q29" s="25">
        <v>90.605822644911726</v>
      </c>
      <c r="R29" s="25">
        <v>89.824432527730849</v>
      </c>
      <c r="S29" s="25">
        <v>89.847430105625321</v>
      </c>
      <c r="T29" s="25">
        <v>88.133425946389664</v>
      </c>
      <c r="U29" s="25">
        <v>87.77169919163876</v>
      </c>
      <c r="V29" s="25">
        <v>87.255118511596294</v>
      </c>
      <c r="W29" s="25">
        <v>86.040700980476629</v>
      </c>
      <c r="X29" s="25">
        <v>86.479661948605184</v>
      </c>
      <c r="Y29" s="25">
        <v>85.493016642970645</v>
      </c>
      <c r="Z29" s="25">
        <v>85.863683748945107</v>
      </c>
      <c r="AA29" s="25">
        <v>84.80387971516879</v>
      </c>
      <c r="AB29" s="25">
        <v>84.722565169847257</v>
      </c>
      <c r="AC29" s="25">
        <v>84.629064058452855</v>
      </c>
      <c r="AD29" s="25">
        <v>83.859464515374725</v>
      </c>
      <c r="AE29" s="25">
        <v>84.689673673520232</v>
      </c>
      <c r="AF29" s="25">
        <v>84.565785652047637</v>
      </c>
      <c r="AG29" s="25">
        <v>83.453970843103278</v>
      </c>
      <c r="AH29" s="53">
        <v>82.775889463204678</v>
      </c>
      <c r="AI29" s="53">
        <v>82.071664424605601</v>
      </c>
      <c r="AJ29" s="53">
        <v>82.632533423305645</v>
      </c>
      <c r="AK29" s="53">
        <v>82.376317923763182</v>
      </c>
      <c r="AL29" s="53">
        <v>81.910193589846571</v>
      </c>
      <c r="AM29" s="53">
        <v>80.964317310527861</v>
      </c>
      <c r="AN29" s="53" t="s">
        <v>44</v>
      </c>
      <c r="AO29" s="53">
        <v>79.734686913495992</v>
      </c>
      <c r="AP29" s="53">
        <v>78.570536569121259</v>
      </c>
      <c r="AQ29" s="53">
        <v>78.538173128424873</v>
      </c>
      <c r="AR29" s="53">
        <v>77.787762906309752</v>
      </c>
      <c r="AS29" s="53">
        <v>77.042577675489071</v>
      </c>
      <c r="AT29" s="53">
        <v>77.230577858192916</v>
      </c>
      <c r="AU29" s="53">
        <v>77.409140969162991</v>
      </c>
      <c r="AV29" s="53">
        <v>76.774361646690977</v>
      </c>
      <c r="AW29" s="53">
        <v>77.196190078183491</v>
      </c>
      <c r="AX29" s="53">
        <v>77.02023852547886</v>
      </c>
      <c r="AY29" s="53">
        <v>87.197048491865687</v>
      </c>
      <c r="AZ29" s="53">
        <v>77.003077226875547</v>
      </c>
      <c r="BA29" s="53">
        <v>76.714087617482406</v>
      </c>
      <c r="BB29" s="53">
        <v>77.296022960229607</v>
      </c>
      <c r="BC29" s="53">
        <v>76.266853882018324</v>
      </c>
      <c r="BD29" s="53">
        <v>75.934749109973609</v>
      </c>
      <c r="BE29" s="53">
        <v>76.45231819203498</v>
      </c>
      <c r="BF29" s="53">
        <v>76.594537815126046</v>
      </c>
      <c r="BG29" s="53">
        <v>75.315755412204339</v>
      </c>
      <c r="BH29" s="53">
        <v>74.90985767000528</v>
      </c>
      <c r="BI29" s="53">
        <v>73.66436331763795</v>
      </c>
      <c r="BJ29" s="53">
        <v>76.029201643150571</v>
      </c>
      <c r="BK29" s="53">
        <v>73.902087832973365</v>
      </c>
      <c r="BL29" s="53">
        <v>73.2</v>
      </c>
      <c r="BM29" s="53">
        <v>75.668371267322016</v>
      </c>
      <c r="BN29" s="5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row>
    <row r="30" spans="1:103">
      <c r="A30" s="415"/>
      <c r="B30" s="417"/>
      <c r="C30" s="127" t="s">
        <v>53</v>
      </c>
      <c r="D30" s="129">
        <v>6.1091468101460409</v>
      </c>
      <c r="E30" s="129">
        <v>6.236270621710478</v>
      </c>
      <c r="F30" s="129">
        <v>6.2247253797626581</v>
      </c>
      <c r="G30" s="129">
        <v>6.2207317441614549</v>
      </c>
      <c r="H30" s="129">
        <v>6.2865988113144171</v>
      </c>
      <c r="I30" s="129">
        <v>5.9982182132019268</v>
      </c>
      <c r="J30" s="129">
        <v>6.0517280235440722</v>
      </c>
      <c r="K30" s="129">
        <v>5.694299564336994</v>
      </c>
      <c r="L30" s="129">
        <v>5.7826683621438546</v>
      </c>
      <c r="M30" s="129">
        <v>5.9435014248544169</v>
      </c>
      <c r="N30" s="129">
        <v>5.8825730177337689</v>
      </c>
      <c r="O30" s="129">
        <v>6.2403914281512778</v>
      </c>
      <c r="P30" s="129">
        <v>6.9847262742406047</v>
      </c>
      <c r="Q30" s="129">
        <v>7.4353604979204846</v>
      </c>
      <c r="R30" s="129">
        <v>8.4110776463674437</v>
      </c>
      <c r="S30" s="129">
        <v>8.5030787286378029</v>
      </c>
      <c r="T30" s="129">
        <v>10.144286932087267</v>
      </c>
      <c r="U30" s="129">
        <v>10.554421490977383</v>
      </c>
      <c r="V30" s="129">
        <v>11.088267776739444</v>
      </c>
      <c r="W30" s="129">
        <v>12.329192011441766</v>
      </c>
      <c r="X30" s="129">
        <v>11.952040676102788</v>
      </c>
      <c r="Y30" s="129">
        <v>12.89453876390399</v>
      </c>
      <c r="Z30" s="129">
        <v>12.655337315704996</v>
      </c>
      <c r="AA30" s="129">
        <v>13.642185071976229</v>
      </c>
      <c r="AB30" s="129">
        <v>13.778263783554975</v>
      </c>
      <c r="AC30" s="129">
        <v>13.869022306413578</v>
      </c>
      <c r="AD30" s="129">
        <v>14.630344128765735</v>
      </c>
      <c r="AE30" s="129">
        <v>13.968996110142374</v>
      </c>
      <c r="AF30" s="129">
        <v>14.179494626778972</v>
      </c>
      <c r="AG30" s="129">
        <v>15.290039759404628</v>
      </c>
      <c r="AH30" s="128">
        <v>15.50250397216468</v>
      </c>
      <c r="AI30" s="128">
        <v>16.265133912192738</v>
      </c>
      <c r="AJ30" s="128">
        <v>15.851292648981484</v>
      </c>
      <c r="AK30" s="128">
        <v>16.068532035685319</v>
      </c>
      <c r="AL30" s="128">
        <v>16.61980881998554</v>
      </c>
      <c r="AM30" s="128">
        <v>17.641235202426593</v>
      </c>
      <c r="AN30" s="128" t="s">
        <v>44</v>
      </c>
      <c r="AO30" s="128">
        <v>18.719075243132572</v>
      </c>
      <c r="AP30" s="128">
        <v>20.053698538900218</v>
      </c>
      <c r="AQ30" s="128">
        <v>20.087759054015081</v>
      </c>
      <c r="AR30" s="128">
        <v>20.720841300191204</v>
      </c>
      <c r="AS30" s="128">
        <v>21.405967450271248</v>
      </c>
      <c r="AT30" s="128">
        <v>21.399223491273702</v>
      </c>
      <c r="AU30" s="128">
        <v>21.141441157960983</v>
      </c>
      <c r="AV30" s="128">
        <v>21.844710786868159</v>
      </c>
      <c r="AW30" s="128">
        <v>21.46476518831949</v>
      </c>
      <c r="AX30" s="128">
        <v>21.620889049512108</v>
      </c>
      <c r="AY30" s="128" t="s">
        <v>44</v>
      </c>
      <c r="AZ30" s="128">
        <v>21.700208988135397</v>
      </c>
      <c r="BA30" s="128">
        <v>21.98825603889545</v>
      </c>
      <c r="BB30" s="128">
        <v>21.426130927975947</v>
      </c>
      <c r="BC30" s="128">
        <v>22.395636442188259</v>
      </c>
      <c r="BD30" s="128">
        <v>22.674861403850581</v>
      </c>
      <c r="BE30" s="128">
        <v>22.252191503708698</v>
      </c>
      <c r="BF30" s="128">
        <v>22.126050420168067</v>
      </c>
      <c r="BG30" s="128">
        <v>23.42122293897831</v>
      </c>
      <c r="BH30" s="128">
        <v>23.761729045861887</v>
      </c>
      <c r="BI30" s="128">
        <v>24.986241056686847</v>
      </c>
      <c r="BJ30" s="128">
        <v>22.700482228969459</v>
      </c>
      <c r="BK30" s="128">
        <v>24.8836093112551</v>
      </c>
      <c r="BL30" s="128"/>
      <c r="BM30" s="128"/>
      <c r="BN30" s="128"/>
      <c r="CX30" s="50"/>
      <c r="CY30" s="50"/>
    </row>
    <row r="31" spans="1:103" s="2" customFormat="1">
      <c r="A31" s="415"/>
      <c r="B31" s="417"/>
      <c r="C31" s="133" t="s">
        <v>55</v>
      </c>
      <c r="D31" s="130">
        <v>3.3620292083013066</v>
      </c>
      <c r="E31" s="130">
        <v>3.0989694673369801</v>
      </c>
      <c r="F31" s="130">
        <v>3.00133817625693</v>
      </c>
      <c r="G31" s="130">
        <v>2.9306021329949545</v>
      </c>
      <c r="H31" s="130">
        <v>2.9366667153433901</v>
      </c>
      <c r="I31" s="130">
        <v>2.7756897463737857</v>
      </c>
      <c r="J31" s="130">
        <v>2.5757957392653084</v>
      </c>
      <c r="K31" s="130">
        <v>2.3525802294900902</v>
      </c>
      <c r="L31" s="130">
        <v>2.3329598247447341</v>
      </c>
      <c r="M31" s="130">
        <v>2.1496716639821583</v>
      </c>
      <c r="N31" s="130">
        <v>2.1075998303943333</v>
      </c>
      <c r="O31" s="130">
        <v>2.2138149539456977</v>
      </c>
      <c r="P31" s="130">
        <v>1.9850122990675592</v>
      </c>
      <c r="Q31" s="130">
        <v>1.9588168571677864</v>
      </c>
      <c r="R31" s="130">
        <v>1.7644898259017117</v>
      </c>
      <c r="S31" s="130">
        <v>1.6494911657368851</v>
      </c>
      <c r="T31" s="130">
        <v>1.722287121523064</v>
      </c>
      <c r="U31" s="130">
        <v>1.6738793173838491</v>
      </c>
      <c r="V31" s="130">
        <v>1.6566137116642596</v>
      </c>
      <c r="W31" s="130">
        <v>1.6301070080816087</v>
      </c>
      <c r="X31" s="130">
        <v>1.568297375292016</v>
      </c>
      <c r="Y31" s="130">
        <v>1.6124445931253659</v>
      </c>
      <c r="Z31" s="130">
        <v>1.4809789353498917</v>
      </c>
      <c r="AA31" s="130">
        <v>1.5539352128549717</v>
      </c>
      <c r="AB31" s="130">
        <v>1.4991710465977635</v>
      </c>
      <c r="AC31" s="130">
        <v>1.5019136351335678</v>
      </c>
      <c r="AD31" s="130">
        <v>1.5101913558595426</v>
      </c>
      <c r="AE31" s="130">
        <v>1.3413302163374021</v>
      </c>
      <c r="AF31" s="130">
        <v>1.2547197211733954</v>
      </c>
      <c r="AG31" s="130">
        <v>1.255989397492099</v>
      </c>
      <c r="AH31" s="131">
        <v>1.7216065646306389</v>
      </c>
      <c r="AI31" s="131">
        <v>1.6632016632016633</v>
      </c>
      <c r="AJ31" s="131">
        <v>1.5161739277128761</v>
      </c>
      <c r="AK31" s="131">
        <v>1.5551500405515004</v>
      </c>
      <c r="AL31" s="131">
        <v>1.469997590167885</v>
      </c>
      <c r="AM31" s="131">
        <v>1.3944474870455408</v>
      </c>
      <c r="AN31" s="131" t="s">
        <v>44</v>
      </c>
      <c r="AO31" s="131">
        <v>1.5462378433714383</v>
      </c>
      <c r="AP31" s="131">
        <v>1.3757648919785206</v>
      </c>
      <c r="AQ31" s="131">
        <v>1.3740678175600511</v>
      </c>
      <c r="AR31" s="131">
        <v>1.4913957934990441</v>
      </c>
      <c r="AS31" s="131">
        <v>1.5514548742396843</v>
      </c>
      <c r="AT31" s="131">
        <v>1.3701986505333785</v>
      </c>
      <c r="AU31" s="131">
        <v>1.4494178728760225</v>
      </c>
      <c r="AV31" s="131">
        <v>1.3809275664408547</v>
      </c>
      <c r="AW31" s="131">
        <v>1.3390447334970137</v>
      </c>
      <c r="AX31" s="131">
        <v>1.3588724250090352</v>
      </c>
      <c r="AY31" s="131" t="s">
        <v>44</v>
      </c>
      <c r="AZ31" s="131">
        <v>1.2967137849890569</v>
      </c>
      <c r="BA31" s="131">
        <v>1.2976563436221389</v>
      </c>
      <c r="BB31" s="131">
        <v>1.2778461117944513</v>
      </c>
      <c r="BC31" s="131">
        <v>1.3375096757934151</v>
      </c>
      <c r="BD31" s="131">
        <v>1.390389486175809</v>
      </c>
      <c r="BE31" s="131">
        <v>1.2954903042563191</v>
      </c>
      <c r="BF31" s="131">
        <v>1.2794117647058825</v>
      </c>
      <c r="BG31" s="131">
        <v>1.2630216488173525</v>
      </c>
      <c r="BH31" s="131">
        <v>1.3284132841328413</v>
      </c>
      <c r="BI31" s="131">
        <v>1.3493956256752073</v>
      </c>
      <c r="BJ31" s="131">
        <v>1.2703161278799786</v>
      </c>
      <c r="BK31" s="131">
        <v>1.2143028557715383</v>
      </c>
      <c r="BL31" s="131"/>
      <c r="BM31" s="131"/>
      <c r="BN31" s="131"/>
      <c r="BO31" s="382"/>
      <c r="BP31" s="382"/>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row>
    <row r="32" spans="1:103" s="2" customFormat="1">
      <c r="A32" s="414" t="s">
        <v>32</v>
      </c>
      <c r="B32" s="416"/>
      <c r="C32" s="22" t="s">
        <v>52</v>
      </c>
      <c r="D32" s="25" t="s">
        <v>44</v>
      </c>
      <c r="E32" s="25" t="s">
        <v>44</v>
      </c>
      <c r="F32" s="25" t="s">
        <v>44</v>
      </c>
      <c r="G32" s="25" t="s">
        <v>44</v>
      </c>
      <c r="H32" s="25" t="s">
        <v>44</v>
      </c>
      <c r="I32" s="25" t="s">
        <v>44</v>
      </c>
      <c r="J32" s="25" t="s">
        <v>44</v>
      </c>
      <c r="K32" s="25" t="s">
        <v>44</v>
      </c>
      <c r="L32" s="25" t="s">
        <v>44</v>
      </c>
      <c r="M32" s="25" t="s">
        <v>44</v>
      </c>
      <c r="N32" s="25" t="s">
        <v>44</v>
      </c>
      <c r="O32" s="25" t="s">
        <v>44</v>
      </c>
      <c r="P32" s="25" t="s">
        <v>44</v>
      </c>
      <c r="Q32" s="25" t="s">
        <v>44</v>
      </c>
      <c r="R32" s="25" t="s">
        <v>44</v>
      </c>
      <c r="S32" s="25" t="s">
        <v>44</v>
      </c>
      <c r="T32" s="25" t="s">
        <v>44</v>
      </c>
      <c r="U32" s="25" t="s">
        <v>44</v>
      </c>
      <c r="V32" s="25" t="s">
        <v>44</v>
      </c>
      <c r="W32" s="25" t="s">
        <v>44</v>
      </c>
      <c r="X32" s="25" t="s">
        <v>44</v>
      </c>
      <c r="Y32" s="25" t="s">
        <v>44</v>
      </c>
      <c r="Z32" s="25" t="s">
        <v>44</v>
      </c>
      <c r="AA32" s="25" t="s">
        <v>44</v>
      </c>
      <c r="AB32" s="25" t="s">
        <v>44</v>
      </c>
      <c r="AC32" s="25" t="s">
        <v>44</v>
      </c>
      <c r="AD32" s="25" t="s">
        <v>44</v>
      </c>
      <c r="AE32" s="25" t="s">
        <v>44</v>
      </c>
      <c r="AF32" s="25" t="s">
        <v>44</v>
      </c>
      <c r="AG32" s="25" t="s">
        <v>44</v>
      </c>
      <c r="AH32" s="53" t="s">
        <v>44</v>
      </c>
      <c r="AI32" s="53" t="s">
        <v>44</v>
      </c>
      <c r="AJ32" s="53" t="s">
        <v>44</v>
      </c>
      <c r="AK32" s="53" t="s">
        <v>44</v>
      </c>
      <c r="AL32" s="53">
        <v>83.005665863459967</v>
      </c>
      <c r="AM32" s="53" t="s">
        <v>44</v>
      </c>
      <c r="AN32" s="53">
        <v>82.01285728208056</v>
      </c>
      <c r="AO32" s="53">
        <v>82.091796278306589</v>
      </c>
      <c r="AP32" s="53">
        <v>82.393721808963008</v>
      </c>
      <c r="AQ32" s="53">
        <v>82.594980882958765</v>
      </c>
      <c r="AR32" s="53">
        <v>82.024493671922329</v>
      </c>
      <c r="AS32" s="53">
        <v>82.898925923172072</v>
      </c>
      <c r="AT32" s="53">
        <v>82.335673372450401</v>
      </c>
      <c r="AU32" s="53">
        <v>82.002247929677978</v>
      </c>
      <c r="AV32" s="53">
        <v>81.256595430039994</v>
      </c>
      <c r="AW32" s="53">
        <v>80.323735672365942</v>
      </c>
      <c r="AX32" s="53">
        <v>80.066147604384057</v>
      </c>
      <c r="AY32" s="53">
        <v>88.546184219043298</v>
      </c>
      <c r="AZ32" s="53">
        <v>79.903481882611672</v>
      </c>
      <c r="BA32" s="53">
        <v>80.006675832690917</v>
      </c>
      <c r="BB32" s="53">
        <v>80.117038055245459</v>
      </c>
      <c r="BC32" s="53">
        <v>80.004219854415027</v>
      </c>
      <c r="BD32" s="53" t="s">
        <v>44</v>
      </c>
      <c r="BE32" s="53">
        <v>80.419948056300271</v>
      </c>
      <c r="BF32" s="53">
        <v>80.575748161955062</v>
      </c>
      <c r="BG32" s="53">
        <v>80.543454354740476</v>
      </c>
      <c r="BH32" s="53">
        <v>80.749361217873016</v>
      </c>
      <c r="BI32" s="53">
        <v>80.695089589039924</v>
      </c>
      <c r="BJ32" s="53">
        <v>80.817610062893081</v>
      </c>
      <c r="BK32" s="53" t="s">
        <v>44</v>
      </c>
      <c r="BL32" s="53" t="s">
        <v>44</v>
      </c>
      <c r="BM32" s="53" t="s">
        <v>44</v>
      </c>
      <c r="BN32" s="5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row>
    <row r="33" spans="1:103">
      <c r="A33" s="415"/>
      <c r="B33" s="417"/>
      <c r="C33" s="127" t="s">
        <v>53</v>
      </c>
      <c r="D33" s="129" t="s">
        <v>44</v>
      </c>
      <c r="E33" s="129" t="s">
        <v>44</v>
      </c>
      <c r="F33" s="129" t="s">
        <v>44</v>
      </c>
      <c r="G33" s="129" t="s">
        <v>44</v>
      </c>
      <c r="H33" s="129" t="s">
        <v>44</v>
      </c>
      <c r="I33" s="129" t="s">
        <v>44</v>
      </c>
      <c r="J33" s="129" t="s">
        <v>44</v>
      </c>
      <c r="K33" s="129" t="s">
        <v>44</v>
      </c>
      <c r="L33" s="129" t="s">
        <v>44</v>
      </c>
      <c r="M33" s="129" t="s">
        <v>44</v>
      </c>
      <c r="N33" s="129" t="s">
        <v>44</v>
      </c>
      <c r="O33" s="129" t="s">
        <v>44</v>
      </c>
      <c r="P33" s="129" t="s">
        <v>44</v>
      </c>
      <c r="Q33" s="129" t="s">
        <v>44</v>
      </c>
      <c r="R33" s="129" t="s">
        <v>44</v>
      </c>
      <c r="S33" s="129" t="s">
        <v>44</v>
      </c>
      <c r="T33" s="129" t="s">
        <v>44</v>
      </c>
      <c r="U33" s="129" t="s">
        <v>44</v>
      </c>
      <c r="V33" s="129" t="s">
        <v>44</v>
      </c>
      <c r="W33" s="129" t="s">
        <v>44</v>
      </c>
      <c r="X33" s="129" t="s">
        <v>44</v>
      </c>
      <c r="Y33" s="129" t="s">
        <v>44</v>
      </c>
      <c r="Z33" s="129" t="s">
        <v>44</v>
      </c>
      <c r="AA33" s="129" t="s">
        <v>44</v>
      </c>
      <c r="AB33" s="129" t="s">
        <v>44</v>
      </c>
      <c r="AC33" s="129" t="s">
        <v>44</v>
      </c>
      <c r="AD33" s="129" t="s">
        <v>44</v>
      </c>
      <c r="AE33" s="129" t="s">
        <v>44</v>
      </c>
      <c r="AF33" s="129" t="s">
        <v>44</v>
      </c>
      <c r="AG33" s="129" t="s">
        <v>44</v>
      </c>
      <c r="AH33" s="128" t="s">
        <v>44</v>
      </c>
      <c r="AI33" s="128" t="s">
        <v>44</v>
      </c>
      <c r="AJ33" s="128" t="s">
        <v>44</v>
      </c>
      <c r="AK33" s="128" t="s">
        <v>44</v>
      </c>
      <c r="AL33" s="128">
        <v>15.400881867321491</v>
      </c>
      <c r="AM33" s="128" t="s">
        <v>44</v>
      </c>
      <c r="AN33" s="128">
        <v>16.526863157308533</v>
      </c>
      <c r="AO33" s="128">
        <v>16.426323034199623</v>
      </c>
      <c r="AP33" s="128">
        <v>16.221351447364171</v>
      </c>
      <c r="AQ33" s="128">
        <v>16.018820837745178</v>
      </c>
      <c r="AR33" s="128">
        <v>16.572850663916043</v>
      </c>
      <c r="AS33" s="128">
        <v>15.777235519565233</v>
      </c>
      <c r="AT33" s="128">
        <v>16.245634255378597</v>
      </c>
      <c r="AU33" s="128">
        <v>16.552856390517697</v>
      </c>
      <c r="AV33" s="128">
        <v>17.165705917401887</v>
      </c>
      <c r="AW33" s="128">
        <v>18.157517461528137</v>
      </c>
      <c r="AX33" s="128">
        <v>18.40786036397601</v>
      </c>
      <c r="AY33" s="128" t="s">
        <v>44</v>
      </c>
      <c r="AZ33" s="128">
        <v>18.69242993680944</v>
      </c>
      <c r="BA33" s="128">
        <v>18.598949351093168</v>
      </c>
      <c r="BB33" s="128">
        <v>18.531422691716358</v>
      </c>
      <c r="BC33" s="128">
        <v>18.650068572634243</v>
      </c>
      <c r="BD33" s="128" t="s">
        <v>44</v>
      </c>
      <c r="BE33" s="128">
        <v>18.358956099195712</v>
      </c>
      <c r="BF33" s="128">
        <v>18.232577404991197</v>
      </c>
      <c r="BG33" s="128">
        <v>18.288345063274004</v>
      </c>
      <c r="BH33" s="128">
        <v>18.084727202456357</v>
      </c>
      <c r="BI33" s="128">
        <v>18.147496079277648</v>
      </c>
      <c r="BJ33" s="128">
        <v>18.035240564973197</v>
      </c>
      <c r="BK33" s="128" t="s">
        <v>44</v>
      </c>
      <c r="BL33" s="128" t="s">
        <v>44</v>
      </c>
      <c r="BM33" s="128"/>
      <c r="BN33" s="128"/>
      <c r="CX33" s="50"/>
      <c r="CY33" s="50"/>
    </row>
    <row r="34" spans="1:103" s="2" customFormat="1">
      <c r="A34" s="415"/>
      <c r="B34" s="417"/>
      <c r="C34" s="133" t="s">
        <v>55</v>
      </c>
      <c r="D34" s="130" t="s">
        <v>44</v>
      </c>
      <c r="E34" s="130" t="s">
        <v>44</v>
      </c>
      <c r="F34" s="130" t="s">
        <v>44</v>
      </c>
      <c r="G34" s="130" t="s">
        <v>44</v>
      </c>
      <c r="H34" s="130" t="s">
        <v>44</v>
      </c>
      <c r="I34" s="130" t="s">
        <v>44</v>
      </c>
      <c r="J34" s="130" t="s">
        <v>44</v>
      </c>
      <c r="K34" s="130" t="s">
        <v>44</v>
      </c>
      <c r="L34" s="130" t="s">
        <v>44</v>
      </c>
      <c r="M34" s="130" t="s">
        <v>44</v>
      </c>
      <c r="N34" s="130" t="s">
        <v>44</v>
      </c>
      <c r="O34" s="130" t="s">
        <v>44</v>
      </c>
      <c r="P34" s="130" t="s">
        <v>44</v>
      </c>
      <c r="Q34" s="130" t="s">
        <v>44</v>
      </c>
      <c r="R34" s="130" t="s">
        <v>44</v>
      </c>
      <c r="S34" s="130" t="s">
        <v>44</v>
      </c>
      <c r="T34" s="130" t="s">
        <v>44</v>
      </c>
      <c r="U34" s="130" t="s">
        <v>44</v>
      </c>
      <c r="V34" s="130" t="s">
        <v>44</v>
      </c>
      <c r="W34" s="130" t="s">
        <v>44</v>
      </c>
      <c r="X34" s="130" t="s">
        <v>44</v>
      </c>
      <c r="Y34" s="130" t="s">
        <v>44</v>
      </c>
      <c r="Z34" s="130" t="s">
        <v>44</v>
      </c>
      <c r="AA34" s="130" t="s">
        <v>44</v>
      </c>
      <c r="AB34" s="130" t="s">
        <v>44</v>
      </c>
      <c r="AC34" s="130" t="s">
        <v>44</v>
      </c>
      <c r="AD34" s="130" t="s">
        <v>44</v>
      </c>
      <c r="AE34" s="130" t="s">
        <v>44</v>
      </c>
      <c r="AF34" s="130" t="s">
        <v>44</v>
      </c>
      <c r="AG34" s="130" t="s">
        <v>44</v>
      </c>
      <c r="AH34" s="131" t="s">
        <v>44</v>
      </c>
      <c r="AI34" s="131" t="s">
        <v>44</v>
      </c>
      <c r="AJ34" s="131" t="s">
        <v>44</v>
      </c>
      <c r="AK34" s="131" t="s">
        <v>44</v>
      </c>
      <c r="AL34" s="131">
        <v>1.59345226921854</v>
      </c>
      <c r="AM34" s="131" t="s">
        <v>44</v>
      </c>
      <c r="AN34" s="131">
        <v>1.4602795606109122</v>
      </c>
      <c r="AO34" s="131">
        <v>1.4818806874937782</v>
      </c>
      <c r="AP34" s="131">
        <v>1.3849267436728279</v>
      </c>
      <c r="AQ34" s="131">
        <v>1.386198279296057</v>
      </c>
      <c r="AR34" s="131">
        <v>1.4026556641616319</v>
      </c>
      <c r="AS34" s="131">
        <v>1.3238385572626925</v>
      </c>
      <c r="AT34" s="131">
        <v>1.4186923721709976</v>
      </c>
      <c r="AU34" s="131">
        <v>1.4448956798043311</v>
      </c>
      <c r="AV34" s="131">
        <v>1.5776986525581294</v>
      </c>
      <c r="AW34" s="131">
        <v>1.5187468661059202</v>
      </c>
      <c r="AX34" s="131">
        <v>1.5259920316399354</v>
      </c>
      <c r="AY34" s="131" t="s">
        <v>44</v>
      </c>
      <c r="AZ34" s="131">
        <v>1.4040881805788827</v>
      </c>
      <c r="BA34" s="131">
        <v>1.3943748162159155</v>
      </c>
      <c r="BB34" s="131">
        <v>1.3515392530381825</v>
      </c>
      <c r="BC34" s="131">
        <v>1.3457115729507332</v>
      </c>
      <c r="BD34" s="131" t="s">
        <v>44</v>
      </c>
      <c r="BE34" s="131">
        <v>1.2210958445040214</v>
      </c>
      <c r="BF34" s="131">
        <v>1.1916744330537434</v>
      </c>
      <c r="BG34" s="131">
        <v>1.1682005819855181</v>
      </c>
      <c r="BH34" s="131">
        <v>1.1659115796706245</v>
      </c>
      <c r="BI34" s="131">
        <v>1.1574143316824279</v>
      </c>
      <c r="BJ34" s="131">
        <v>1.1471493721337234</v>
      </c>
      <c r="BK34" s="131" t="s">
        <v>44</v>
      </c>
      <c r="BL34" s="131" t="s">
        <v>44</v>
      </c>
      <c r="BM34" s="131"/>
      <c r="BN34" s="131"/>
      <c r="BO34" s="382"/>
      <c r="BP34" s="382"/>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c r="CS34" s="50"/>
      <c r="CT34" s="50"/>
      <c r="CU34" s="50"/>
      <c r="CV34" s="50"/>
      <c r="CW34" s="50"/>
    </row>
    <row r="35" spans="1:103" s="2" customFormat="1">
      <c r="A35" s="414" t="s">
        <v>31</v>
      </c>
      <c r="B35" s="416"/>
      <c r="C35" s="22" t="s">
        <v>52</v>
      </c>
      <c r="D35" s="25" t="s">
        <v>44</v>
      </c>
      <c r="E35" s="25" t="s">
        <v>44</v>
      </c>
      <c r="F35" s="25" t="s">
        <v>44</v>
      </c>
      <c r="G35" s="25" t="s">
        <v>44</v>
      </c>
      <c r="H35" s="25" t="s">
        <v>44</v>
      </c>
      <c r="I35" s="25" t="s">
        <v>44</v>
      </c>
      <c r="J35" s="25" t="s">
        <v>44</v>
      </c>
      <c r="K35" s="25" t="s">
        <v>44</v>
      </c>
      <c r="L35" s="25" t="s">
        <v>44</v>
      </c>
      <c r="M35" s="25" t="s">
        <v>44</v>
      </c>
      <c r="N35" s="25" t="s">
        <v>44</v>
      </c>
      <c r="O35" s="25" t="s">
        <v>44</v>
      </c>
      <c r="P35" s="25" t="s">
        <v>44</v>
      </c>
      <c r="Q35" s="25" t="s">
        <v>44</v>
      </c>
      <c r="R35" s="25" t="s">
        <v>44</v>
      </c>
      <c r="S35" s="25" t="s">
        <v>44</v>
      </c>
      <c r="T35" s="25" t="s">
        <v>44</v>
      </c>
      <c r="U35" s="25" t="s">
        <v>44</v>
      </c>
      <c r="V35" s="25" t="s">
        <v>44</v>
      </c>
      <c r="W35" s="25" t="s">
        <v>44</v>
      </c>
      <c r="X35" s="25" t="s">
        <v>44</v>
      </c>
      <c r="Y35" s="25" t="s">
        <v>44</v>
      </c>
      <c r="Z35" s="25" t="s">
        <v>44</v>
      </c>
      <c r="AA35" s="25" t="s">
        <v>44</v>
      </c>
      <c r="AB35" s="25" t="s">
        <v>44</v>
      </c>
      <c r="AC35" s="25" t="s">
        <v>44</v>
      </c>
      <c r="AD35" s="25" t="s">
        <v>44</v>
      </c>
      <c r="AE35" s="25" t="s">
        <v>44</v>
      </c>
      <c r="AF35" s="25" t="s">
        <v>44</v>
      </c>
      <c r="AG35" s="25" t="s">
        <v>44</v>
      </c>
      <c r="AH35" s="53">
        <v>77.923964150987246</v>
      </c>
      <c r="AI35" s="53">
        <v>77.587713602074444</v>
      </c>
      <c r="AJ35" s="53">
        <v>77.602728547862071</v>
      </c>
      <c r="AK35" s="53">
        <v>77.382429028140223</v>
      </c>
      <c r="AL35" s="53">
        <v>76.991282107195104</v>
      </c>
      <c r="AM35" s="53">
        <v>76.534838131250964</v>
      </c>
      <c r="AN35" s="53">
        <v>76.243104912976221</v>
      </c>
      <c r="AO35" s="53">
        <v>75.659569133536436</v>
      </c>
      <c r="AP35" s="53">
        <v>74.295314072157538</v>
      </c>
      <c r="AQ35" s="53">
        <v>73.792009733580386</v>
      </c>
      <c r="AR35" s="53">
        <v>73.625134392545689</v>
      </c>
      <c r="AS35" s="53">
        <v>71.737925157408668</v>
      </c>
      <c r="AT35" s="53">
        <v>72.877639973779807</v>
      </c>
      <c r="AU35" s="53" t="s">
        <v>44</v>
      </c>
      <c r="AV35" s="53">
        <v>72.087819955958707</v>
      </c>
      <c r="AW35" s="53">
        <v>72.585860250070155</v>
      </c>
      <c r="AX35" s="53">
        <v>73.223417834998301</v>
      </c>
      <c r="AY35" s="53">
        <v>84.775382692908465</v>
      </c>
      <c r="AZ35" s="53">
        <v>73.21995464852607</v>
      </c>
      <c r="BA35" s="53">
        <v>73.469700532978905</v>
      </c>
      <c r="BB35" s="53">
        <v>74.086303517630029</v>
      </c>
      <c r="BC35" s="53">
        <v>74.020157960488703</v>
      </c>
      <c r="BD35" s="53">
        <v>74.474669805354864</v>
      </c>
      <c r="BE35" s="53">
        <v>74.966479774123187</v>
      </c>
      <c r="BF35" s="53">
        <v>75.724312867921398</v>
      </c>
      <c r="BG35" s="53">
        <v>76.138860077727657</v>
      </c>
      <c r="BH35" s="53">
        <v>76.503926146527391</v>
      </c>
      <c r="BI35" s="53" t="s">
        <v>44</v>
      </c>
      <c r="BJ35" s="53" t="s">
        <v>44</v>
      </c>
      <c r="BK35" s="53" t="s">
        <v>44</v>
      </c>
      <c r="BL35" s="53" t="s">
        <v>44</v>
      </c>
      <c r="BM35" s="53"/>
      <c r="BN35" s="5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row>
    <row r="36" spans="1:103">
      <c r="A36" s="415"/>
      <c r="B36" s="417"/>
      <c r="C36" s="127" t="s">
        <v>53</v>
      </c>
      <c r="D36" s="129" t="s">
        <v>44</v>
      </c>
      <c r="E36" s="129" t="s">
        <v>44</v>
      </c>
      <c r="F36" s="129" t="s">
        <v>44</v>
      </c>
      <c r="G36" s="129" t="s">
        <v>44</v>
      </c>
      <c r="H36" s="129" t="s">
        <v>44</v>
      </c>
      <c r="I36" s="129" t="s">
        <v>44</v>
      </c>
      <c r="J36" s="129" t="s">
        <v>44</v>
      </c>
      <c r="K36" s="129" t="s">
        <v>44</v>
      </c>
      <c r="L36" s="129" t="s">
        <v>44</v>
      </c>
      <c r="M36" s="129" t="s">
        <v>44</v>
      </c>
      <c r="N36" s="129" t="s">
        <v>44</v>
      </c>
      <c r="O36" s="129" t="s">
        <v>44</v>
      </c>
      <c r="P36" s="129" t="s">
        <v>44</v>
      </c>
      <c r="Q36" s="129" t="s">
        <v>44</v>
      </c>
      <c r="R36" s="129" t="s">
        <v>44</v>
      </c>
      <c r="S36" s="129" t="s">
        <v>44</v>
      </c>
      <c r="T36" s="129" t="s">
        <v>44</v>
      </c>
      <c r="U36" s="129" t="s">
        <v>44</v>
      </c>
      <c r="V36" s="129" t="s">
        <v>44</v>
      </c>
      <c r="W36" s="129" t="s">
        <v>44</v>
      </c>
      <c r="X36" s="129" t="s">
        <v>44</v>
      </c>
      <c r="Y36" s="129" t="s">
        <v>44</v>
      </c>
      <c r="Z36" s="129" t="s">
        <v>44</v>
      </c>
      <c r="AA36" s="129" t="s">
        <v>44</v>
      </c>
      <c r="AB36" s="129" t="s">
        <v>44</v>
      </c>
      <c r="AC36" s="129" t="s">
        <v>44</v>
      </c>
      <c r="AD36" s="129" t="s">
        <v>44</v>
      </c>
      <c r="AE36" s="129" t="s">
        <v>44</v>
      </c>
      <c r="AF36" s="129" t="s">
        <v>44</v>
      </c>
      <c r="AG36" s="129" t="s">
        <v>44</v>
      </c>
      <c r="AH36" s="128">
        <v>20.147350441915769</v>
      </c>
      <c r="AI36" s="128">
        <v>20.327389272514754</v>
      </c>
      <c r="AJ36" s="128">
        <v>20.401144172834496</v>
      </c>
      <c r="AK36" s="128">
        <v>20.73666135719208</v>
      </c>
      <c r="AL36" s="128">
        <v>21.200970370976094</v>
      </c>
      <c r="AM36" s="128">
        <v>21.600036234072107</v>
      </c>
      <c r="AN36" s="128">
        <v>21.934275223088388</v>
      </c>
      <c r="AO36" s="128">
        <v>22.52694098056654</v>
      </c>
      <c r="AP36" s="128">
        <v>23.845527286665707</v>
      </c>
      <c r="AQ36" s="128">
        <v>24.376674700585593</v>
      </c>
      <c r="AR36" s="128">
        <v>24.546529685820094</v>
      </c>
      <c r="AS36" s="128">
        <v>26.223655063900349</v>
      </c>
      <c r="AT36" s="128">
        <v>25.480333550093885</v>
      </c>
      <c r="AU36" s="128" t="s">
        <v>44</v>
      </c>
      <c r="AV36" s="128">
        <v>26.34270389300794</v>
      </c>
      <c r="AW36" s="128">
        <v>25.891553889679781</v>
      </c>
      <c r="AX36" s="128">
        <v>25.258174753332383</v>
      </c>
      <c r="AY36" s="128" t="s">
        <v>44</v>
      </c>
      <c r="AZ36" s="128">
        <v>25.283446712018144</v>
      </c>
      <c r="BA36" s="128">
        <v>25.093740338601467</v>
      </c>
      <c r="BB36" s="128">
        <v>24.548681183205208</v>
      </c>
      <c r="BC36" s="128">
        <v>24.613436169987509</v>
      </c>
      <c r="BD36" s="128">
        <v>24.191387708009078</v>
      </c>
      <c r="BE36" s="128">
        <v>23.707430651269217</v>
      </c>
      <c r="BF36" s="128">
        <v>22.976432302462481</v>
      </c>
      <c r="BG36" s="128">
        <v>22.57588443322545</v>
      </c>
      <c r="BH36" s="128">
        <v>22.251088159171001</v>
      </c>
      <c r="BI36" s="128" t="s">
        <v>44</v>
      </c>
      <c r="BJ36" s="128" t="s">
        <v>44</v>
      </c>
      <c r="BK36" s="128" t="s">
        <v>44</v>
      </c>
      <c r="BL36" s="128"/>
      <c r="BM36" s="128"/>
      <c r="BN36" s="128"/>
      <c r="CX36" s="50"/>
      <c r="CY36" s="50"/>
    </row>
    <row r="37" spans="1:103" s="2" customFormat="1">
      <c r="A37" s="415"/>
      <c r="B37" s="417"/>
      <c r="C37" s="133" t="s">
        <v>55</v>
      </c>
      <c r="D37" s="130" t="s">
        <v>44</v>
      </c>
      <c r="E37" s="130" t="s">
        <v>44</v>
      </c>
      <c r="F37" s="130" t="s">
        <v>44</v>
      </c>
      <c r="G37" s="130" t="s">
        <v>44</v>
      </c>
      <c r="H37" s="130" t="s">
        <v>44</v>
      </c>
      <c r="I37" s="130" t="s">
        <v>44</v>
      </c>
      <c r="J37" s="130" t="s">
        <v>44</v>
      </c>
      <c r="K37" s="130" t="s">
        <v>44</v>
      </c>
      <c r="L37" s="130" t="s">
        <v>44</v>
      </c>
      <c r="M37" s="130" t="s">
        <v>44</v>
      </c>
      <c r="N37" s="130" t="s">
        <v>44</v>
      </c>
      <c r="O37" s="130" t="s">
        <v>44</v>
      </c>
      <c r="P37" s="130" t="s">
        <v>44</v>
      </c>
      <c r="Q37" s="130" t="s">
        <v>44</v>
      </c>
      <c r="R37" s="130" t="s">
        <v>44</v>
      </c>
      <c r="S37" s="130" t="s">
        <v>44</v>
      </c>
      <c r="T37" s="130" t="s">
        <v>44</v>
      </c>
      <c r="U37" s="130" t="s">
        <v>44</v>
      </c>
      <c r="V37" s="130" t="s">
        <v>44</v>
      </c>
      <c r="W37" s="130" t="s">
        <v>44</v>
      </c>
      <c r="X37" s="130" t="s">
        <v>44</v>
      </c>
      <c r="Y37" s="130" t="s">
        <v>44</v>
      </c>
      <c r="Z37" s="130" t="s">
        <v>44</v>
      </c>
      <c r="AA37" s="130" t="s">
        <v>44</v>
      </c>
      <c r="AB37" s="130" t="s">
        <v>44</v>
      </c>
      <c r="AC37" s="130" t="s">
        <v>44</v>
      </c>
      <c r="AD37" s="130" t="s">
        <v>44</v>
      </c>
      <c r="AE37" s="130" t="s">
        <v>44</v>
      </c>
      <c r="AF37" s="130" t="s">
        <v>44</v>
      </c>
      <c r="AG37" s="130" t="s">
        <v>44</v>
      </c>
      <c r="AH37" s="131">
        <v>1.9286854070969892</v>
      </c>
      <c r="AI37" s="131">
        <v>2.0848971254108046</v>
      </c>
      <c r="AJ37" s="131">
        <v>1.9961272793034397</v>
      </c>
      <c r="AK37" s="131">
        <v>1.880909614667706</v>
      </c>
      <c r="AL37" s="131">
        <v>1.8077475218288039</v>
      </c>
      <c r="AM37" s="131">
        <v>1.865125634676936</v>
      </c>
      <c r="AN37" s="131">
        <v>1.8226198639353892</v>
      </c>
      <c r="AO37" s="131">
        <v>1.8134898858970234</v>
      </c>
      <c r="AP37" s="131">
        <v>1.8591586411767522</v>
      </c>
      <c r="AQ37" s="131">
        <v>1.8313155658340181</v>
      </c>
      <c r="AR37" s="131">
        <v>1.8283359216342134</v>
      </c>
      <c r="AS37" s="131">
        <v>2.0384197786909866</v>
      </c>
      <c r="AT37" s="131">
        <v>1.6420264761263059</v>
      </c>
      <c r="AU37" s="131" t="s">
        <v>44</v>
      </c>
      <c r="AV37" s="131">
        <v>1.5694761510333541</v>
      </c>
      <c r="AW37" s="131">
        <v>1.5225858602500701</v>
      </c>
      <c r="AX37" s="131">
        <v>1.5184074116693116</v>
      </c>
      <c r="AY37" s="131" t="s">
        <v>44</v>
      </c>
      <c r="AZ37" s="131">
        <v>1.4965986394557822</v>
      </c>
      <c r="BA37" s="131">
        <v>1.4365591284196395</v>
      </c>
      <c r="BB37" s="131">
        <v>1.3650152991647624</v>
      </c>
      <c r="BC37" s="131">
        <v>1.3664058695237893</v>
      </c>
      <c r="BD37" s="131">
        <v>1.3339424866360541</v>
      </c>
      <c r="BE37" s="131">
        <v>1.3260895746075925</v>
      </c>
      <c r="BF37" s="131">
        <v>1.2992548296161179</v>
      </c>
      <c r="BG37" s="131">
        <v>1.285255489046899</v>
      </c>
      <c r="BH37" s="131">
        <v>1.244985694301604</v>
      </c>
      <c r="BI37" s="131" t="s">
        <v>44</v>
      </c>
      <c r="BJ37" s="131" t="s">
        <v>44</v>
      </c>
      <c r="BK37" s="131" t="s">
        <v>44</v>
      </c>
      <c r="BL37" s="131"/>
      <c r="BM37" s="131"/>
      <c r="BN37" s="131"/>
      <c r="BO37" s="382"/>
      <c r="BP37" s="382"/>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row>
    <row r="38" spans="1:103">
      <c r="A38" s="414" t="s">
        <v>30</v>
      </c>
      <c r="B38" s="416"/>
      <c r="C38" s="22" t="s">
        <v>52</v>
      </c>
      <c r="D38" s="25">
        <v>95.435399295108752</v>
      </c>
      <c r="E38" s="25">
        <v>95.495247764898323</v>
      </c>
      <c r="F38" s="25">
        <v>95.540148567385913</v>
      </c>
      <c r="G38" s="25">
        <v>95.786027320023578</v>
      </c>
      <c r="H38" s="25">
        <v>95.170432129612578</v>
      </c>
      <c r="I38" s="25">
        <v>95.693563571499354</v>
      </c>
      <c r="J38" s="25">
        <v>95.36181731923088</v>
      </c>
      <c r="K38" s="25">
        <v>95.314909553765943</v>
      </c>
      <c r="L38" s="25">
        <v>94.961068363647499</v>
      </c>
      <c r="M38" s="25">
        <v>95.335244816938683</v>
      </c>
      <c r="N38" s="25">
        <v>94.921336318747308</v>
      </c>
      <c r="O38" s="25">
        <v>95.133605998636668</v>
      </c>
      <c r="P38" s="25">
        <v>94.639531790369773</v>
      </c>
      <c r="Q38" s="25">
        <v>94.96149779019008</v>
      </c>
      <c r="R38" s="25">
        <v>94.719287676868603</v>
      </c>
      <c r="S38" s="25">
        <v>94.852325642233041</v>
      </c>
      <c r="T38" s="25">
        <v>94.380705067673915</v>
      </c>
      <c r="U38" s="25">
        <v>94.835887075615261</v>
      </c>
      <c r="V38" s="25">
        <v>94.636873819340067</v>
      </c>
      <c r="W38" s="25">
        <v>94.731913493539849</v>
      </c>
      <c r="X38" s="25">
        <v>93.899955093661788</v>
      </c>
      <c r="Y38" s="25">
        <v>93.698895726207525</v>
      </c>
      <c r="Z38" s="25">
        <v>93.14439985837366</v>
      </c>
      <c r="AA38" s="25">
        <v>92.856640850118779</v>
      </c>
      <c r="AB38" s="25">
        <v>91.516252075995112</v>
      </c>
      <c r="AC38" s="25">
        <v>91.622847635341941</v>
      </c>
      <c r="AD38" s="25">
        <v>91.052830903238018</v>
      </c>
      <c r="AE38" s="25">
        <v>91.042982800834267</v>
      </c>
      <c r="AF38" s="25">
        <v>89.944227435088678</v>
      </c>
      <c r="AG38" s="25">
        <v>90.710846099153258</v>
      </c>
      <c r="AH38" s="53">
        <v>90.546467520151737</v>
      </c>
      <c r="AI38" s="53">
        <v>90.801153001464129</v>
      </c>
      <c r="AJ38" s="53">
        <v>89.952699228791772</v>
      </c>
      <c r="AK38" s="53">
        <v>90.94300484808528</v>
      </c>
      <c r="AL38" s="53">
        <v>90.917012119451854</v>
      </c>
      <c r="AM38" s="53">
        <v>90.597796358521535</v>
      </c>
      <c r="AN38" s="53">
        <v>89.150112319957714</v>
      </c>
      <c r="AO38" s="53">
        <v>89.737722522820206</v>
      </c>
      <c r="AP38" s="53">
        <v>89.31184888792761</v>
      </c>
      <c r="AQ38" s="53">
        <v>89.488701396383135</v>
      </c>
      <c r="AR38" s="53">
        <v>88.384819967266779</v>
      </c>
      <c r="AS38" s="53">
        <v>88.861534253132959</v>
      </c>
      <c r="AT38" s="53">
        <v>88.463332872546303</v>
      </c>
      <c r="AU38" s="53">
        <v>88.407197000703988</v>
      </c>
      <c r="AV38" s="53">
        <v>88.126009693053305</v>
      </c>
      <c r="AW38" s="53">
        <v>88.259915141785299</v>
      </c>
      <c r="AX38" s="53">
        <v>87.554928895193939</v>
      </c>
      <c r="AY38" s="53">
        <v>93.308396036524783</v>
      </c>
      <c r="AZ38" s="53">
        <v>87.943925233644862</v>
      </c>
      <c r="BA38" s="53">
        <v>88.284469364318042</v>
      </c>
      <c r="BB38" s="53">
        <v>88.194469097234546</v>
      </c>
      <c r="BC38" s="53">
        <v>88.564220766257094</v>
      </c>
      <c r="BD38" s="53">
        <v>88.509354254677135</v>
      </c>
      <c r="BE38" s="53">
        <v>87.907639180185541</v>
      </c>
      <c r="BF38" s="53">
        <v>87.748799548065165</v>
      </c>
      <c r="BG38" s="53">
        <v>87.401948910957501</v>
      </c>
      <c r="BH38" s="53">
        <v>87.800209542230817</v>
      </c>
      <c r="BI38" s="53">
        <v>88.311856698316447</v>
      </c>
      <c r="BJ38" s="53">
        <v>87.78358775406933</v>
      </c>
      <c r="BK38" s="53">
        <v>87.19052973248192</v>
      </c>
      <c r="BL38" s="53">
        <v>85.2</v>
      </c>
      <c r="BM38" s="53">
        <v>85.016806104173313</v>
      </c>
      <c r="BN38" s="53"/>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c r="CS38" s="50"/>
      <c r="CT38" s="50"/>
      <c r="CU38" s="50"/>
      <c r="CV38" s="50"/>
      <c r="CW38" s="50"/>
      <c r="CX38" s="50"/>
      <c r="CY38" s="50"/>
    </row>
    <row r="39" spans="1:103">
      <c r="A39" s="415"/>
      <c r="B39" s="417"/>
      <c r="C39" s="127" t="s">
        <v>53</v>
      </c>
      <c r="D39" s="129">
        <v>2.3648242069973353</v>
      </c>
      <c r="E39" s="129">
        <v>2.3923343768508332</v>
      </c>
      <c r="F39" s="129">
        <v>2.4386275203395829</v>
      </c>
      <c r="G39" s="129">
        <v>2.3225864322509544</v>
      </c>
      <c r="H39" s="129">
        <v>2.4400988927171827</v>
      </c>
      <c r="I39" s="129">
        <v>2.5493013576454264</v>
      </c>
      <c r="J39" s="129">
        <v>2.6700248374403484</v>
      </c>
      <c r="K39" s="129">
        <v>2.7562235331554596</v>
      </c>
      <c r="L39" s="129">
        <v>3.0303957412308211</v>
      </c>
      <c r="M39" s="129">
        <v>2.8665361711513011</v>
      </c>
      <c r="N39" s="129">
        <v>3.0790788712762645</v>
      </c>
      <c r="O39" s="129">
        <v>2.993183367416496</v>
      </c>
      <c r="P39" s="129">
        <v>3.298749667464751</v>
      </c>
      <c r="Q39" s="129">
        <v>3.1588080583498277</v>
      </c>
      <c r="R39" s="129">
        <v>3.4308467653065722</v>
      </c>
      <c r="S39" s="129">
        <v>3.3838225291686284</v>
      </c>
      <c r="T39" s="129">
        <v>3.8031161473087818</v>
      </c>
      <c r="U39" s="129">
        <v>3.5052736527260326</v>
      </c>
      <c r="V39" s="129">
        <v>3.7098575624284709</v>
      </c>
      <c r="W39" s="129">
        <v>3.771686724118295</v>
      </c>
      <c r="X39" s="129">
        <v>4.3270464459840907</v>
      </c>
      <c r="Y39" s="129">
        <v>4.7149400095535139</v>
      </c>
      <c r="Z39" s="129">
        <v>5.2608285141036237</v>
      </c>
      <c r="AA39" s="129">
        <v>5.5789044600312048</v>
      </c>
      <c r="AB39" s="129">
        <v>6.4150530177212426</v>
      </c>
      <c r="AC39" s="129">
        <v>6.8279207019416406</v>
      </c>
      <c r="AD39" s="129">
        <v>7.1706460553269871</v>
      </c>
      <c r="AE39" s="129">
        <v>7.3617870205241367</v>
      </c>
      <c r="AF39" s="129">
        <v>8.3345518350636052</v>
      </c>
      <c r="AG39" s="129">
        <v>7.8275483162045116</v>
      </c>
      <c r="AH39" s="128">
        <v>8.0666192508297776</v>
      </c>
      <c r="AI39" s="128">
        <v>7.7919106881405558</v>
      </c>
      <c r="AJ39" s="128">
        <v>8.4164524421593825</v>
      </c>
      <c r="AK39" s="128">
        <v>7.6636731281004025</v>
      </c>
      <c r="AL39" s="128">
        <v>7.7715874985697821</v>
      </c>
      <c r="AM39" s="128">
        <v>8.1253418770024215</v>
      </c>
      <c r="AN39" s="128">
        <v>9.2994317931550903</v>
      </c>
      <c r="AO39" s="128">
        <v>8.9223906488786078</v>
      </c>
      <c r="AP39" s="128">
        <v>9.4030496377203416</v>
      </c>
      <c r="AQ39" s="128">
        <v>9.3855260145851727</v>
      </c>
      <c r="AR39" s="128">
        <v>10.171849427168576</v>
      </c>
      <c r="AS39" s="128">
        <v>10.02290950744559</v>
      </c>
      <c r="AT39" s="128">
        <v>5.9467445396737633</v>
      </c>
      <c r="AU39" s="128">
        <v>10.613775151028962</v>
      </c>
      <c r="AV39" s="128">
        <v>10.954318080074742</v>
      </c>
      <c r="AW39" s="128">
        <v>10.930819258555445</v>
      </c>
      <c r="AX39" s="128">
        <v>11.575724023390194</v>
      </c>
      <c r="AY39" s="128" t="s">
        <v>44</v>
      </c>
      <c r="AZ39" s="128">
        <v>11.225233644859813</v>
      </c>
      <c r="BA39" s="128">
        <v>10.939505505640748</v>
      </c>
      <c r="BB39" s="128">
        <v>11.076005538002768</v>
      </c>
      <c r="BC39" s="128">
        <v>10.78059492912757</v>
      </c>
      <c r="BD39" s="128">
        <v>5.6789378394689196</v>
      </c>
      <c r="BE39" s="128">
        <v>11.435845909219498</v>
      </c>
      <c r="BF39" s="128">
        <v>11.533753883815082</v>
      </c>
      <c r="BG39" s="128">
        <v>11.865812077285685</v>
      </c>
      <c r="BH39" s="128">
        <v>11.526837524177949</v>
      </c>
      <c r="BI39" s="128">
        <v>11.309143860209048</v>
      </c>
      <c r="BJ39" s="128">
        <v>11.650290967361054</v>
      </c>
      <c r="BK39" s="128">
        <v>12.204849693446763</v>
      </c>
      <c r="BL39" s="128"/>
      <c r="BM39" s="128"/>
      <c r="BN39" s="128"/>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c r="CS39" s="50"/>
      <c r="CT39" s="50"/>
      <c r="CU39" s="50"/>
      <c r="CV39" s="50"/>
      <c r="CW39" s="50"/>
      <c r="CX39" s="50"/>
      <c r="CY39" s="50"/>
    </row>
    <row r="40" spans="1:103">
      <c r="A40" s="415"/>
      <c r="B40" s="417"/>
      <c r="C40" s="133" t="s">
        <v>55</v>
      </c>
      <c r="D40" s="130">
        <v>2.1997764978939225</v>
      </c>
      <c r="E40" s="130">
        <v>2.1124178582508391</v>
      </c>
      <c r="F40" s="130">
        <v>2.0212239122744959</v>
      </c>
      <c r="G40" s="130">
        <v>1.891386247725467</v>
      </c>
      <c r="H40" s="130">
        <v>2.3894689776702349</v>
      </c>
      <c r="I40" s="130">
        <v>1.7571350708552176</v>
      </c>
      <c r="J40" s="130">
        <v>1.9681578433287752</v>
      </c>
      <c r="K40" s="130">
        <v>1.9288669130785987</v>
      </c>
      <c r="L40" s="130">
        <v>2.0085358951216903</v>
      </c>
      <c r="M40" s="130">
        <v>1.7982190119100132</v>
      </c>
      <c r="N40" s="130">
        <v>1.9995848099764231</v>
      </c>
      <c r="O40" s="130">
        <v>1.8732106339468302</v>
      </c>
      <c r="P40" s="130">
        <v>2.0617185421654698</v>
      </c>
      <c r="Q40" s="130">
        <v>1.8796941514601015</v>
      </c>
      <c r="R40" s="130">
        <v>1.8498655578248284</v>
      </c>
      <c r="S40" s="130">
        <v>1.763851828598336</v>
      </c>
      <c r="T40" s="130">
        <v>1.8161787850173119</v>
      </c>
      <c r="U40" s="130">
        <v>1.6588392716587081</v>
      </c>
      <c r="V40" s="130">
        <v>1.6532686182314575</v>
      </c>
      <c r="W40" s="130">
        <v>1.4963997823418498</v>
      </c>
      <c r="X40" s="130">
        <v>1.7729984603541187</v>
      </c>
      <c r="Y40" s="130">
        <v>1.5861642642389502</v>
      </c>
      <c r="Z40" s="130">
        <v>1.5947716275227193</v>
      </c>
      <c r="AA40" s="130">
        <v>1.5644546898500205</v>
      </c>
      <c r="AB40" s="130">
        <v>2.0686949062836493</v>
      </c>
      <c r="AC40" s="130">
        <v>1.5492316627164138</v>
      </c>
      <c r="AD40" s="130">
        <v>1.7765230414349897</v>
      </c>
      <c r="AE40" s="130">
        <v>1.5952301786415983</v>
      </c>
      <c r="AF40" s="130">
        <v>1.7212207298477222</v>
      </c>
      <c r="AG40" s="130">
        <v>1.4616055846422338</v>
      </c>
      <c r="AH40" s="131">
        <v>1.3869132290184922</v>
      </c>
      <c r="AI40" s="131">
        <v>1.4069363103953147</v>
      </c>
      <c r="AJ40" s="131">
        <v>1.6308483290488431</v>
      </c>
      <c r="AK40" s="131">
        <v>1.3933220238143096</v>
      </c>
      <c r="AL40" s="131">
        <v>1.3114003819783664</v>
      </c>
      <c r="AM40" s="131">
        <v>1.2768617644760492</v>
      </c>
      <c r="AN40" s="131">
        <v>1.5504558868871956</v>
      </c>
      <c r="AO40" s="131">
        <v>1.3398868283011856</v>
      </c>
      <c r="AP40" s="131">
        <v>1.2851014743520421</v>
      </c>
      <c r="AQ40" s="131">
        <v>1.1257725890316883</v>
      </c>
      <c r="AR40" s="131">
        <v>1.443330605564648</v>
      </c>
      <c r="AS40" s="131">
        <v>1.1155562394214495</v>
      </c>
      <c r="AT40" s="131">
        <v>5.5899225877799283</v>
      </c>
      <c r="AU40" s="131">
        <v>0.97902784826705525</v>
      </c>
      <c r="AV40" s="131">
        <v>0.91967222687194661</v>
      </c>
      <c r="AW40" s="131">
        <v>0.8092655996592566</v>
      </c>
      <c r="AX40" s="131">
        <v>0.86934708141586792</v>
      </c>
      <c r="AY40" s="131" t="s">
        <v>44</v>
      </c>
      <c r="AZ40" s="131">
        <v>0.83084112149532707</v>
      </c>
      <c r="BA40" s="131">
        <v>0.77602513004120788</v>
      </c>
      <c r="BB40" s="131">
        <v>0.72952536476268237</v>
      </c>
      <c r="BC40" s="131">
        <v>0.65518430461532873</v>
      </c>
      <c r="BD40" s="131">
        <v>5.8117079058539529</v>
      </c>
      <c r="BE40" s="131">
        <v>0.65651491059496048</v>
      </c>
      <c r="BF40" s="131">
        <v>0.71744656811976271</v>
      </c>
      <c r="BG40" s="131">
        <v>0.73223901175681472</v>
      </c>
      <c r="BH40" s="131">
        <v>0.67295293359123154</v>
      </c>
      <c r="BI40" s="131">
        <v>0.37899944147450731</v>
      </c>
      <c r="BJ40" s="131">
        <v>0.56612127856962136</v>
      </c>
      <c r="BK40" s="131">
        <v>0.60462057407132408</v>
      </c>
      <c r="BL40" s="131"/>
      <c r="BM40" s="131"/>
      <c r="BN40" s="131"/>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row>
    <row r="41" spans="1:103" s="2" customFormat="1">
      <c r="A41" s="414" t="s">
        <v>29</v>
      </c>
      <c r="B41" s="416"/>
      <c r="C41" s="22" t="s">
        <v>52</v>
      </c>
      <c r="D41" s="25" t="s">
        <v>44</v>
      </c>
      <c r="E41" s="25" t="s">
        <v>44</v>
      </c>
      <c r="F41" s="25" t="s">
        <v>44</v>
      </c>
      <c r="G41" s="25" t="s">
        <v>44</v>
      </c>
      <c r="H41" s="25" t="s">
        <v>44</v>
      </c>
      <c r="I41" s="25" t="s">
        <v>44</v>
      </c>
      <c r="J41" s="25" t="s">
        <v>44</v>
      </c>
      <c r="K41" s="25" t="s">
        <v>44</v>
      </c>
      <c r="L41" s="25" t="s">
        <v>44</v>
      </c>
      <c r="M41" s="25" t="s">
        <v>44</v>
      </c>
      <c r="N41" s="25" t="s">
        <v>44</v>
      </c>
      <c r="O41" s="25" t="s">
        <v>44</v>
      </c>
      <c r="P41" s="25" t="s">
        <v>44</v>
      </c>
      <c r="Q41" s="25" t="s">
        <v>44</v>
      </c>
      <c r="R41" s="25" t="s">
        <v>44</v>
      </c>
      <c r="S41" s="25" t="s">
        <v>44</v>
      </c>
      <c r="T41" s="25" t="s">
        <v>44</v>
      </c>
      <c r="U41" s="25" t="s">
        <v>44</v>
      </c>
      <c r="V41" s="25" t="s">
        <v>44</v>
      </c>
      <c r="W41" s="25" t="s">
        <v>44</v>
      </c>
      <c r="X41" s="25" t="s">
        <v>44</v>
      </c>
      <c r="Y41" s="25" t="s">
        <v>44</v>
      </c>
      <c r="Z41" s="25" t="s">
        <v>44</v>
      </c>
      <c r="AA41" s="25" t="s">
        <v>44</v>
      </c>
      <c r="AB41" s="25" t="s">
        <v>44</v>
      </c>
      <c r="AC41" s="25" t="s">
        <v>44</v>
      </c>
      <c r="AD41" s="25" t="s">
        <v>44</v>
      </c>
      <c r="AE41" s="25" t="s">
        <v>44</v>
      </c>
      <c r="AF41" s="25" t="s">
        <v>44</v>
      </c>
      <c r="AG41" s="25" t="s">
        <v>44</v>
      </c>
      <c r="AH41" s="53" t="s">
        <v>44</v>
      </c>
      <c r="AI41" s="53" t="s">
        <v>44</v>
      </c>
      <c r="AJ41" s="53" t="s">
        <v>44</v>
      </c>
      <c r="AK41" s="53" t="s">
        <v>44</v>
      </c>
      <c r="AL41" s="53" t="s">
        <v>44</v>
      </c>
      <c r="AM41" s="53">
        <v>80.502403531414245</v>
      </c>
      <c r="AN41" s="53">
        <v>80.849172286940529</v>
      </c>
      <c r="AO41" s="53">
        <v>79.376399104573068</v>
      </c>
      <c r="AP41" s="53">
        <v>80.259378826672602</v>
      </c>
      <c r="AQ41" s="53">
        <v>79.496315847355106</v>
      </c>
      <c r="AR41" s="53">
        <v>79.263146954895035</v>
      </c>
      <c r="AS41" s="53">
        <v>77.268659798545301</v>
      </c>
      <c r="AT41" s="53">
        <v>78.074465310380802</v>
      </c>
      <c r="AU41" s="53">
        <v>78.361381558658977</v>
      </c>
      <c r="AV41" s="53">
        <v>78.01146354273709</v>
      </c>
      <c r="AW41" s="53">
        <v>78.785549577248275</v>
      </c>
      <c r="AX41" s="53">
        <v>78.31252245777938</v>
      </c>
      <c r="AY41" s="53">
        <v>87.734531211482107</v>
      </c>
      <c r="AZ41" s="53">
        <v>77.597556414412168</v>
      </c>
      <c r="BA41" s="53">
        <v>76.977947182139943</v>
      </c>
      <c r="BB41" s="53">
        <v>76.627252252252248</v>
      </c>
      <c r="BC41" s="53">
        <v>75.760918128001791</v>
      </c>
      <c r="BD41" s="53">
        <v>76.369569425624292</v>
      </c>
      <c r="BE41" s="53">
        <v>76.334288649759358</v>
      </c>
      <c r="BF41" s="53">
        <v>76.289324394017527</v>
      </c>
      <c r="BG41" s="53">
        <v>77.876758350131141</v>
      </c>
      <c r="BH41" s="53">
        <v>78.454782356915359</v>
      </c>
      <c r="BI41" s="53">
        <v>78.142054892035119</v>
      </c>
      <c r="BJ41" s="53">
        <v>78.333792397890917</v>
      </c>
      <c r="BK41" s="53">
        <v>81.79506036648894</v>
      </c>
      <c r="BL41" s="53">
        <v>83.3</v>
      </c>
      <c r="BM41" s="53">
        <v>82.740524781341108</v>
      </c>
      <c r="BN41" s="5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row>
    <row r="42" spans="1:103">
      <c r="A42" s="415"/>
      <c r="B42" s="417"/>
      <c r="C42" s="127" t="s">
        <v>53</v>
      </c>
      <c r="D42" s="129" t="s">
        <v>44</v>
      </c>
      <c r="E42" s="129" t="s">
        <v>44</v>
      </c>
      <c r="F42" s="129" t="s">
        <v>44</v>
      </c>
      <c r="G42" s="129" t="s">
        <v>44</v>
      </c>
      <c r="H42" s="129" t="s">
        <v>44</v>
      </c>
      <c r="I42" s="129" t="s">
        <v>44</v>
      </c>
      <c r="J42" s="129" t="s">
        <v>44</v>
      </c>
      <c r="K42" s="129" t="s">
        <v>44</v>
      </c>
      <c r="L42" s="129" t="s">
        <v>44</v>
      </c>
      <c r="M42" s="129" t="s">
        <v>44</v>
      </c>
      <c r="N42" s="129" t="s">
        <v>44</v>
      </c>
      <c r="O42" s="129" t="s">
        <v>44</v>
      </c>
      <c r="P42" s="129" t="s">
        <v>44</v>
      </c>
      <c r="Q42" s="129" t="s">
        <v>44</v>
      </c>
      <c r="R42" s="129" t="s">
        <v>44</v>
      </c>
      <c r="S42" s="129" t="s">
        <v>44</v>
      </c>
      <c r="T42" s="129" t="s">
        <v>44</v>
      </c>
      <c r="U42" s="129" t="s">
        <v>44</v>
      </c>
      <c r="V42" s="129" t="s">
        <v>44</v>
      </c>
      <c r="W42" s="129" t="s">
        <v>44</v>
      </c>
      <c r="X42" s="129" t="s">
        <v>44</v>
      </c>
      <c r="Y42" s="129" t="s">
        <v>44</v>
      </c>
      <c r="Z42" s="129" t="s">
        <v>44</v>
      </c>
      <c r="AA42" s="129" t="s">
        <v>44</v>
      </c>
      <c r="AB42" s="129" t="s">
        <v>44</v>
      </c>
      <c r="AC42" s="129" t="s">
        <v>44</v>
      </c>
      <c r="AD42" s="129" t="s">
        <v>44</v>
      </c>
      <c r="AE42" s="129" t="s">
        <v>44</v>
      </c>
      <c r="AF42" s="129" t="s">
        <v>44</v>
      </c>
      <c r="AG42" s="129" t="s">
        <v>44</v>
      </c>
      <c r="AH42" s="128" t="s">
        <v>44</v>
      </c>
      <c r="AI42" s="128" t="s">
        <v>44</v>
      </c>
      <c r="AJ42" s="128" t="s">
        <v>44</v>
      </c>
      <c r="AK42" s="128" t="s">
        <v>44</v>
      </c>
      <c r="AL42" s="128" t="s">
        <v>44</v>
      </c>
      <c r="AM42" s="128">
        <v>17.201616070927557</v>
      </c>
      <c r="AN42" s="128">
        <v>16.979358266911916</v>
      </c>
      <c r="AO42" s="128">
        <v>18.489500053299221</v>
      </c>
      <c r="AP42" s="128">
        <v>18.0585550484248</v>
      </c>
      <c r="AQ42" s="128">
        <v>18.688001759595295</v>
      </c>
      <c r="AR42" s="128">
        <v>19.185200581999585</v>
      </c>
      <c r="AS42" s="128">
        <v>21.024252575545511</v>
      </c>
      <c r="AT42" s="128">
        <v>20.330159972178752</v>
      </c>
      <c r="AU42" s="128">
        <v>20.126437287986253</v>
      </c>
      <c r="AV42" s="128">
        <v>20.441414902605558</v>
      </c>
      <c r="AW42" s="128">
        <v>19.847854591490709</v>
      </c>
      <c r="AX42" s="128">
        <v>20.374820337765001</v>
      </c>
      <c r="AY42" s="128" t="s">
        <v>44</v>
      </c>
      <c r="AZ42" s="128">
        <v>21.036030420147114</v>
      </c>
      <c r="BA42" s="128">
        <v>21.524639259460933</v>
      </c>
      <c r="BB42" s="128">
        <v>21.943975225225227</v>
      </c>
      <c r="BC42" s="128">
        <v>22.74377303697085</v>
      </c>
      <c r="BD42" s="128">
        <v>22.220071347584415</v>
      </c>
      <c r="BE42" s="128">
        <v>22.346293192018603</v>
      </c>
      <c r="BF42" s="128">
        <v>22.172511603919546</v>
      </c>
      <c r="BG42" s="128">
        <v>20.779417820837939</v>
      </c>
      <c r="BH42" s="128">
        <v>20.234533346202106</v>
      </c>
      <c r="BI42" s="128">
        <v>20.488610298188721</v>
      </c>
      <c r="BJ42" s="128">
        <v>20.25163295821201</v>
      </c>
      <c r="BK42" s="128">
        <v>17.038211681068823</v>
      </c>
      <c r="BL42" s="128"/>
      <c r="BM42" s="128"/>
      <c r="BN42" s="128"/>
      <c r="CX42" s="50"/>
      <c r="CY42" s="50"/>
    </row>
    <row r="43" spans="1:103" s="2" customFormat="1">
      <c r="A43" s="415"/>
      <c r="B43" s="417"/>
      <c r="C43" s="133" t="s">
        <v>55</v>
      </c>
      <c r="D43" s="130" t="s">
        <v>44</v>
      </c>
      <c r="E43" s="130" t="s">
        <v>44</v>
      </c>
      <c r="F43" s="130" t="s">
        <v>44</v>
      </c>
      <c r="G43" s="130" t="s">
        <v>44</v>
      </c>
      <c r="H43" s="130" t="s">
        <v>44</v>
      </c>
      <c r="I43" s="130" t="s">
        <v>44</v>
      </c>
      <c r="J43" s="130" t="s">
        <v>44</v>
      </c>
      <c r="K43" s="130" t="s">
        <v>44</v>
      </c>
      <c r="L43" s="130" t="s">
        <v>44</v>
      </c>
      <c r="M43" s="130" t="s">
        <v>44</v>
      </c>
      <c r="N43" s="130" t="s">
        <v>44</v>
      </c>
      <c r="O43" s="130" t="s">
        <v>44</v>
      </c>
      <c r="P43" s="130" t="s">
        <v>44</v>
      </c>
      <c r="Q43" s="130" t="s">
        <v>44</v>
      </c>
      <c r="R43" s="130" t="s">
        <v>44</v>
      </c>
      <c r="S43" s="130" t="s">
        <v>44</v>
      </c>
      <c r="T43" s="130" t="s">
        <v>44</v>
      </c>
      <c r="U43" s="130" t="s">
        <v>44</v>
      </c>
      <c r="V43" s="130" t="s">
        <v>44</v>
      </c>
      <c r="W43" s="130" t="s">
        <v>44</v>
      </c>
      <c r="X43" s="130" t="s">
        <v>44</v>
      </c>
      <c r="Y43" s="130" t="s">
        <v>44</v>
      </c>
      <c r="Z43" s="130" t="s">
        <v>44</v>
      </c>
      <c r="AA43" s="130" t="s">
        <v>44</v>
      </c>
      <c r="AB43" s="130" t="s">
        <v>44</v>
      </c>
      <c r="AC43" s="130" t="s">
        <v>44</v>
      </c>
      <c r="AD43" s="130" t="s">
        <v>44</v>
      </c>
      <c r="AE43" s="130" t="s">
        <v>44</v>
      </c>
      <c r="AF43" s="130" t="s">
        <v>44</v>
      </c>
      <c r="AG43" s="130" t="s">
        <v>44</v>
      </c>
      <c r="AH43" s="131" t="s">
        <v>44</v>
      </c>
      <c r="AI43" s="131" t="s">
        <v>44</v>
      </c>
      <c r="AJ43" s="131" t="s">
        <v>44</v>
      </c>
      <c r="AK43" s="131" t="s">
        <v>44</v>
      </c>
      <c r="AL43" s="131" t="s">
        <v>44</v>
      </c>
      <c r="AM43" s="131">
        <v>2.2959803976581936</v>
      </c>
      <c r="AN43" s="131">
        <v>2.1714694461475577</v>
      </c>
      <c r="AO43" s="131">
        <v>2.134100842127705</v>
      </c>
      <c r="AP43" s="131">
        <v>1.6820661249025939</v>
      </c>
      <c r="AQ43" s="131">
        <v>1.8156823930495984</v>
      </c>
      <c r="AR43" s="131">
        <v>1.5516524631053834</v>
      </c>
      <c r="AS43" s="131">
        <v>1.7070876259091847</v>
      </c>
      <c r="AT43" s="131">
        <v>1.5953747174404449</v>
      </c>
      <c r="AU43" s="131">
        <v>1.5121811533547733</v>
      </c>
      <c r="AV43" s="131">
        <v>1.5471215546573496</v>
      </c>
      <c r="AW43" s="131">
        <v>1.3665958312610209</v>
      </c>
      <c r="AX43" s="131">
        <v>1.3126572044556235</v>
      </c>
      <c r="AY43" s="131" t="s">
        <v>44</v>
      </c>
      <c r="AZ43" s="131">
        <v>1.3664131654407181</v>
      </c>
      <c r="BA43" s="131">
        <v>1.4974135583991288</v>
      </c>
      <c r="BB43" s="131">
        <v>1.4287725225225225</v>
      </c>
      <c r="BC43" s="131">
        <v>1.4953088350273651</v>
      </c>
      <c r="BD43" s="131">
        <v>1.4103592267912946</v>
      </c>
      <c r="BE43" s="131">
        <v>1.3194181582220299</v>
      </c>
      <c r="BF43" s="131">
        <v>1.538164002062919</v>
      </c>
      <c r="BG43" s="131">
        <v>1.3438238290309297</v>
      </c>
      <c r="BH43" s="131">
        <v>1.3106842968825403</v>
      </c>
      <c r="BI43" s="131">
        <v>1.3693348097761606</v>
      </c>
      <c r="BJ43" s="131">
        <v>1.4145746438970646</v>
      </c>
      <c r="BK43" s="131">
        <v>1.166727952442238</v>
      </c>
      <c r="BL43" s="131"/>
      <c r="BM43" s="131"/>
      <c r="BN43" s="131"/>
      <c r="BO43" s="382"/>
      <c r="BP43" s="382"/>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row>
    <row r="44" spans="1:103" s="2" customFormat="1">
      <c r="A44" s="414" t="s">
        <v>28</v>
      </c>
      <c r="B44" s="416"/>
      <c r="C44" s="22" t="s">
        <v>52</v>
      </c>
      <c r="D44" s="25">
        <v>93.315508021390372</v>
      </c>
      <c r="E44" s="25">
        <v>91.839762611275972</v>
      </c>
      <c r="F44" s="25">
        <v>92.11495946941784</v>
      </c>
      <c r="G44" s="25">
        <v>91.386410432395337</v>
      </c>
      <c r="H44" s="25">
        <v>92.788768347160172</v>
      </c>
      <c r="I44" s="25">
        <v>93.012820512820511</v>
      </c>
      <c r="J44" s="25">
        <v>92.134107027724042</v>
      </c>
      <c r="K44" s="25">
        <v>91.735294117647058</v>
      </c>
      <c r="L44" s="25">
        <v>93.005334914048603</v>
      </c>
      <c r="M44" s="25">
        <v>91.579558652729389</v>
      </c>
      <c r="N44" s="25">
        <v>90.660377358490564</v>
      </c>
      <c r="O44" s="25">
        <v>89.932266009852214</v>
      </c>
      <c r="P44" s="25">
        <v>89.893617021276597</v>
      </c>
      <c r="Q44" s="25">
        <v>88.476896748431258</v>
      </c>
      <c r="R44" s="25">
        <v>87.176097303014274</v>
      </c>
      <c r="S44" s="25">
        <v>87.921847246891645</v>
      </c>
      <c r="T44" s="25">
        <v>87.841945288753791</v>
      </c>
      <c r="U44" s="25">
        <v>86.447704081632651</v>
      </c>
      <c r="V44" s="25">
        <v>86.656151419558356</v>
      </c>
      <c r="W44" s="25">
        <v>86.35423845623707</v>
      </c>
      <c r="X44" s="25">
        <v>84.686064318529858</v>
      </c>
      <c r="Y44" s="25">
        <v>85.187914517317608</v>
      </c>
      <c r="Z44" s="25">
        <v>85.456638526477363</v>
      </c>
      <c r="AA44" s="25">
        <v>85.064469914040117</v>
      </c>
      <c r="AB44" s="25">
        <v>83.54564755838642</v>
      </c>
      <c r="AC44" s="25">
        <v>85.103833865814693</v>
      </c>
      <c r="AD44" s="25">
        <v>83.889340927583405</v>
      </c>
      <c r="AE44" s="25">
        <v>83.232758620689651</v>
      </c>
      <c r="AF44" s="25">
        <v>85.085007727975267</v>
      </c>
      <c r="AG44" s="25">
        <v>83.333333333333343</v>
      </c>
      <c r="AH44" s="53">
        <v>82.019064124783355</v>
      </c>
      <c r="AI44" s="53">
        <v>83.050161812297731</v>
      </c>
      <c r="AJ44" s="53">
        <v>84.085414987912969</v>
      </c>
      <c r="AK44" s="53">
        <v>82.485643970467592</v>
      </c>
      <c r="AL44" s="53">
        <v>82.099236641221367</v>
      </c>
      <c r="AM44" s="53">
        <v>83.070707070707073</v>
      </c>
      <c r="AN44" s="53">
        <v>82.666666666666671</v>
      </c>
      <c r="AO44" s="53">
        <v>81.262660364618498</v>
      </c>
      <c r="AP44" s="53">
        <v>82.258592471358426</v>
      </c>
      <c r="AQ44" s="53">
        <v>81.730769230769226</v>
      </c>
      <c r="AR44" s="53">
        <v>82.662538699690401</v>
      </c>
      <c r="AS44" s="53">
        <v>82.210242587601073</v>
      </c>
      <c r="AT44" s="53">
        <v>83.261272390364425</v>
      </c>
      <c r="AU44" s="53">
        <v>83.163611676849968</v>
      </c>
      <c r="AV44" s="53">
        <v>81.153977466712192</v>
      </c>
      <c r="AW44" s="53">
        <v>81.747269890795621</v>
      </c>
      <c r="AX44" s="53">
        <v>82.108721624850659</v>
      </c>
      <c r="AY44" s="53" t="s">
        <v>44</v>
      </c>
      <c r="AZ44" s="53" t="s">
        <v>44</v>
      </c>
      <c r="BA44" s="53" t="s">
        <v>44</v>
      </c>
      <c r="BB44" s="53">
        <v>82.162346521145977</v>
      </c>
      <c r="BC44" s="53">
        <v>81.901732060798878</v>
      </c>
      <c r="BD44" s="53">
        <v>83.321894303363081</v>
      </c>
      <c r="BE44" s="53">
        <v>81.74347981421937</v>
      </c>
      <c r="BF44" s="53">
        <v>82.510524301569077</v>
      </c>
      <c r="BG44" s="53">
        <v>82.434723635130553</v>
      </c>
      <c r="BH44" s="53">
        <v>80.440251572327043</v>
      </c>
      <c r="BI44" s="53">
        <v>82.856406290281001</v>
      </c>
      <c r="BJ44" s="53">
        <v>82.818387339864358</v>
      </c>
      <c r="BK44" s="53">
        <v>79.622431982232087</v>
      </c>
      <c r="BL44" s="53">
        <v>81.804465902232948</v>
      </c>
      <c r="BM44" s="53" t="s">
        <v>44</v>
      </c>
      <c r="BN44" s="5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row>
    <row r="45" spans="1:103">
      <c r="A45" s="415"/>
      <c r="B45" s="417"/>
      <c r="C45" s="127" t="s">
        <v>53</v>
      </c>
      <c r="D45" s="129">
        <v>5.0802139037433154</v>
      </c>
      <c r="E45" s="129">
        <v>6.3427299703264088</v>
      </c>
      <c r="F45" s="129">
        <v>6.1532792925571114</v>
      </c>
      <c r="G45" s="129">
        <v>7.2752230610844197</v>
      </c>
      <c r="H45" s="129">
        <v>5.488194001276324</v>
      </c>
      <c r="I45" s="129">
        <v>5.384615384615385</v>
      </c>
      <c r="J45" s="129">
        <v>6.5441650548033525</v>
      </c>
      <c r="K45" s="129">
        <v>6.5294117647058822</v>
      </c>
      <c r="L45" s="129">
        <v>5.809128630705394</v>
      </c>
      <c r="M45" s="129">
        <v>7.2299651567944254</v>
      </c>
      <c r="N45" s="129">
        <v>7.6415094339622636</v>
      </c>
      <c r="O45" s="129">
        <v>8.5591133004926121</v>
      </c>
      <c r="P45" s="129">
        <v>8.7470449172576838</v>
      </c>
      <c r="Q45" s="129">
        <v>9.612093553907588</v>
      </c>
      <c r="R45" s="129">
        <v>11.396086726599682</v>
      </c>
      <c r="S45" s="129">
        <v>10.923623445825932</v>
      </c>
      <c r="T45" s="129">
        <v>11.306990881458967</v>
      </c>
      <c r="U45" s="129">
        <v>12.404336734693878</v>
      </c>
      <c r="V45" s="129">
        <v>12.113564668769715</v>
      </c>
      <c r="W45" s="129">
        <v>12.336319779462441</v>
      </c>
      <c r="X45" s="129">
        <v>14.050535987748852</v>
      </c>
      <c r="Y45" s="129">
        <v>13.669859985261606</v>
      </c>
      <c r="Z45" s="129">
        <v>13.468917881811205</v>
      </c>
      <c r="AA45" s="129">
        <v>14.040114613180515</v>
      </c>
      <c r="AB45" s="129">
        <v>15.392781316348195</v>
      </c>
      <c r="AC45" s="129">
        <v>14.177316293929712</v>
      </c>
      <c r="AD45" s="129">
        <v>15.33767290480065</v>
      </c>
      <c r="AE45" s="129">
        <v>15.689655172413794</v>
      </c>
      <c r="AF45" s="129">
        <v>13.987635239567235</v>
      </c>
      <c r="AG45" s="129">
        <v>15.518707482993197</v>
      </c>
      <c r="AH45" s="128">
        <v>16.507798960138647</v>
      </c>
      <c r="AI45" s="128">
        <v>15.655339805825244</v>
      </c>
      <c r="AJ45" s="128">
        <v>14.826752618855762</v>
      </c>
      <c r="AK45" s="128">
        <v>16.365873666940114</v>
      </c>
      <c r="AL45" s="128">
        <v>16.641221374045799</v>
      </c>
      <c r="AM45" s="128">
        <v>15.838383838383837</v>
      </c>
      <c r="AN45" s="128">
        <v>16.185185185185187</v>
      </c>
      <c r="AO45" s="128">
        <v>17.5219446320054</v>
      </c>
      <c r="AP45" s="128">
        <v>16.693944353518823</v>
      </c>
      <c r="AQ45" s="128">
        <v>17.147435897435898</v>
      </c>
      <c r="AR45" s="128">
        <v>16.1835068955812</v>
      </c>
      <c r="AS45" s="128">
        <v>16.576819407008088</v>
      </c>
      <c r="AT45" s="128">
        <v>15.750463248919086</v>
      </c>
      <c r="AU45" s="128">
        <v>15.818058384249831</v>
      </c>
      <c r="AV45" s="128">
        <v>17.719358142710824</v>
      </c>
      <c r="AW45" s="128">
        <v>17.098283931357255</v>
      </c>
      <c r="AX45" s="128">
        <v>16.816009557945041</v>
      </c>
      <c r="AY45" s="128" t="s">
        <v>44</v>
      </c>
      <c r="AZ45" s="128">
        <v>16.656516443361756</v>
      </c>
      <c r="BA45" s="128">
        <v>18.817567567567568</v>
      </c>
      <c r="BB45" s="128">
        <v>16.60982264665757</v>
      </c>
      <c r="BC45" s="128">
        <v>17.285259809119829</v>
      </c>
      <c r="BD45" s="128">
        <v>15.957446808510639</v>
      </c>
      <c r="BE45" s="128">
        <v>17.184708824580209</v>
      </c>
      <c r="BF45" s="128">
        <v>16.188289322617681</v>
      </c>
      <c r="BG45" s="128">
        <v>16.649711766700577</v>
      </c>
      <c r="BH45" s="128">
        <v>18.490566037735849</v>
      </c>
      <c r="BI45" s="128">
        <v>16.421758185099254</v>
      </c>
      <c r="BJ45" s="128">
        <v>16.528510424516455</v>
      </c>
      <c r="BK45" s="128">
        <v>19.294836202109938</v>
      </c>
      <c r="BL45" s="128"/>
      <c r="BM45" s="128"/>
      <c r="BN45" s="128"/>
      <c r="CX45" s="50"/>
      <c r="CY45" s="50"/>
    </row>
    <row r="46" spans="1:103" s="2" customFormat="1">
      <c r="A46" s="415"/>
      <c r="B46" s="417"/>
      <c r="C46" s="133" t="s">
        <v>55</v>
      </c>
      <c r="D46" s="130">
        <v>1.6042780748663104</v>
      </c>
      <c r="E46" s="130">
        <v>1.8175074183976261</v>
      </c>
      <c r="F46" s="130">
        <v>1.7317612380250553</v>
      </c>
      <c r="G46" s="130">
        <v>1.3383665065202472</v>
      </c>
      <c r="H46" s="130">
        <v>1.7230376515634971</v>
      </c>
      <c r="I46" s="130">
        <v>1.6025641025641024</v>
      </c>
      <c r="J46" s="130">
        <v>1.3217279174725984</v>
      </c>
      <c r="K46" s="130">
        <v>1.7352941176470589</v>
      </c>
      <c r="L46" s="130">
        <v>1.1855364552459988</v>
      </c>
      <c r="M46" s="130">
        <v>1.1904761904761905</v>
      </c>
      <c r="N46" s="130">
        <v>1.6981132075471699</v>
      </c>
      <c r="O46" s="130">
        <v>1.5086206896551724</v>
      </c>
      <c r="P46" s="130">
        <v>1.3593380614657211</v>
      </c>
      <c r="Q46" s="130">
        <v>1.9110096976611524</v>
      </c>
      <c r="R46" s="130">
        <v>1.4278159703860391</v>
      </c>
      <c r="S46" s="130">
        <v>1.1545293072824157</v>
      </c>
      <c r="T46" s="130">
        <v>0.85106382978723405</v>
      </c>
      <c r="U46" s="130">
        <v>1.1479591836734695</v>
      </c>
      <c r="V46" s="130">
        <v>1.2302839116719244</v>
      </c>
      <c r="W46" s="130">
        <v>1.3094417643004823</v>
      </c>
      <c r="X46" s="130">
        <v>1.2633996937212864</v>
      </c>
      <c r="Y46" s="130">
        <v>1.1422254974207811</v>
      </c>
      <c r="Z46" s="130">
        <v>1.0744435917114352</v>
      </c>
      <c r="AA46" s="130">
        <v>0.89541547277936961</v>
      </c>
      <c r="AB46" s="130">
        <v>1.0615711252653928</v>
      </c>
      <c r="AC46" s="130">
        <v>0.71884984025559107</v>
      </c>
      <c r="AD46" s="130">
        <v>0.77298616761594796</v>
      </c>
      <c r="AE46" s="130">
        <v>1.0775862068965518</v>
      </c>
      <c r="AF46" s="130">
        <v>0.92735703245749612</v>
      </c>
      <c r="AG46" s="130">
        <v>1.1479591836734695</v>
      </c>
      <c r="AH46" s="131">
        <v>1.4731369150779896</v>
      </c>
      <c r="AI46" s="131">
        <v>1.2944983818770228</v>
      </c>
      <c r="AJ46" s="131">
        <v>1.087832393231265</v>
      </c>
      <c r="AK46" s="131">
        <v>1.1484823625922889</v>
      </c>
      <c r="AL46" s="131">
        <v>1.2595419847328244</v>
      </c>
      <c r="AM46" s="131">
        <v>1.0909090909090911</v>
      </c>
      <c r="AN46" s="131">
        <v>1.1481481481481481</v>
      </c>
      <c r="AO46" s="131">
        <v>1.2153950033760972</v>
      </c>
      <c r="AP46" s="131">
        <v>1.0474631751227497</v>
      </c>
      <c r="AQ46" s="131">
        <v>1.1217948717948718</v>
      </c>
      <c r="AR46" s="131">
        <v>1.1539544047283985</v>
      </c>
      <c r="AS46" s="131">
        <v>1.2129380053908356</v>
      </c>
      <c r="AT46" s="131">
        <v>0.98826436071649171</v>
      </c>
      <c r="AU46" s="131">
        <v>1.0183299389002036</v>
      </c>
      <c r="AV46" s="131">
        <v>1.1266643905769889</v>
      </c>
      <c r="AW46" s="131">
        <v>1.1544461778471138</v>
      </c>
      <c r="AX46" s="131">
        <v>1.0752688172043012</v>
      </c>
      <c r="AY46" s="131" t="s">
        <v>44</v>
      </c>
      <c r="AZ46" s="131">
        <v>1.0657734470158342</v>
      </c>
      <c r="BA46" s="131">
        <v>0.97972972972972983</v>
      </c>
      <c r="BB46" s="131">
        <v>1.2278308321964531</v>
      </c>
      <c r="BC46" s="131">
        <v>0.81300813008130091</v>
      </c>
      <c r="BD46" s="131">
        <v>0.72065888812628687</v>
      </c>
      <c r="BE46" s="131">
        <v>1.0718113612004287</v>
      </c>
      <c r="BF46" s="131">
        <v>1.3011863758132414</v>
      </c>
      <c r="BG46" s="131">
        <v>0.91556459816887081</v>
      </c>
      <c r="BH46" s="131">
        <v>1.0691823899371069</v>
      </c>
      <c r="BI46" s="131">
        <v>0.72183552461974743</v>
      </c>
      <c r="BJ46" s="131">
        <v>0.65310223561919123</v>
      </c>
      <c r="BK46" s="131">
        <v>1.0827318156579679</v>
      </c>
      <c r="BL46" s="131"/>
      <c r="BM46" s="131"/>
      <c r="BN46" s="131"/>
      <c r="BO46" s="382"/>
      <c r="BP46" s="382"/>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row>
    <row r="47" spans="1:103" s="2" customFormat="1">
      <c r="A47" s="414" t="s">
        <v>27</v>
      </c>
      <c r="B47" s="416"/>
      <c r="C47" s="22" t="s">
        <v>52</v>
      </c>
      <c r="D47" s="25">
        <v>98.208858713223407</v>
      </c>
      <c r="E47" s="25">
        <v>98.206014743297018</v>
      </c>
      <c r="F47" s="25">
        <v>98.448198630575291</v>
      </c>
      <c r="G47" s="25">
        <v>98.31576240678838</v>
      </c>
      <c r="H47" s="25">
        <v>98.499503968253961</v>
      </c>
      <c r="I47" s="25">
        <v>98.67815413666942</v>
      </c>
      <c r="J47" s="25">
        <v>99.053356282271949</v>
      </c>
      <c r="K47" s="25">
        <v>99.024623341578589</v>
      </c>
      <c r="L47" s="25">
        <v>98.849576159637763</v>
      </c>
      <c r="M47" s="25">
        <v>99.059298660362487</v>
      </c>
      <c r="N47" s="25">
        <v>99.119260756569446</v>
      </c>
      <c r="O47" s="25">
        <v>99.086944671572638</v>
      </c>
      <c r="P47" s="25">
        <v>98.984396018294319</v>
      </c>
      <c r="Q47" s="25">
        <v>99.10369915848527</v>
      </c>
      <c r="R47" s="25">
        <v>99.242324705470153</v>
      </c>
      <c r="S47" s="25">
        <v>99.297462406015029</v>
      </c>
      <c r="T47" s="25">
        <v>99.028182701652085</v>
      </c>
      <c r="U47" s="25">
        <v>98.815947242206235</v>
      </c>
      <c r="V47" s="25">
        <v>98.890672205438065</v>
      </c>
      <c r="W47" s="25">
        <v>99.045948284148793</v>
      </c>
      <c r="X47" s="25">
        <v>99.05928781204112</v>
      </c>
      <c r="Y47" s="25">
        <v>99.007859499320787</v>
      </c>
      <c r="Z47" s="25">
        <v>98.951740506329116</v>
      </c>
      <c r="AA47" s="25">
        <v>99.090768993681607</v>
      </c>
      <c r="AB47" s="25">
        <v>99.008804623777891</v>
      </c>
      <c r="AC47" s="25">
        <v>99.09797243361183</v>
      </c>
      <c r="AD47" s="25">
        <v>99.047003715070261</v>
      </c>
      <c r="AE47" s="25">
        <v>99.142498224916707</v>
      </c>
      <c r="AF47" s="25">
        <v>99.077902295724073</v>
      </c>
      <c r="AG47" s="25">
        <v>99.204908110487509</v>
      </c>
      <c r="AH47" s="53">
        <v>99.173113577755359</v>
      </c>
      <c r="AI47" s="53">
        <v>99.340634137950801</v>
      </c>
      <c r="AJ47" s="53">
        <v>99.149434960327</v>
      </c>
      <c r="AK47" s="53">
        <v>99.167855444602949</v>
      </c>
      <c r="AL47" s="53">
        <v>99.085494254256673</v>
      </c>
      <c r="AM47" s="53">
        <v>99.211740579338638</v>
      </c>
      <c r="AN47" s="53">
        <v>99.316804748361562</v>
      </c>
      <c r="AO47" s="53" t="s">
        <v>44</v>
      </c>
      <c r="AP47" s="53" t="s">
        <v>44</v>
      </c>
      <c r="AQ47" s="53" t="s">
        <v>44</v>
      </c>
      <c r="AR47" s="53" t="s">
        <v>44</v>
      </c>
      <c r="AS47" s="53" t="s">
        <v>44</v>
      </c>
      <c r="AT47" s="53" t="s">
        <v>44</v>
      </c>
      <c r="AU47" s="53" t="s">
        <v>44</v>
      </c>
      <c r="AV47" s="53" t="s">
        <v>44</v>
      </c>
      <c r="AW47" s="53">
        <v>93.21938656052447</v>
      </c>
      <c r="AX47" s="53">
        <v>93.087056906152384</v>
      </c>
      <c r="AY47" s="53">
        <v>93.193004042889783</v>
      </c>
      <c r="AZ47" s="53" t="s">
        <v>44</v>
      </c>
      <c r="BA47" s="53">
        <v>92.338280852637908</v>
      </c>
      <c r="BB47" s="53">
        <v>92.828008157715828</v>
      </c>
      <c r="BC47" s="53">
        <v>92.38982624024176</v>
      </c>
      <c r="BD47" s="53" t="s">
        <v>44</v>
      </c>
      <c r="BE47" s="53">
        <v>92.666827852998068</v>
      </c>
      <c r="BF47" s="53">
        <v>92.54252665003402</v>
      </c>
      <c r="BG47" s="53">
        <v>92.636552722011217</v>
      </c>
      <c r="BH47" s="53">
        <v>92.5</v>
      </c>
      <c r="BI47" s="53" t="s">
        <v>44</v>
      </c>
      <c r="BJ47" s="53" t="s">
        <v>44</v>
      </c>
      <c r="BK47" s="53" t="s">
        <v>44</v>
      </c>
      <c r="BL47" s="53" t="s">
        <v>44</v>
      </c>
      <c r="BM47" s="53"/>
      <c r="BN47" s="5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row>
    <row r="48" spans="1:103">
      <c r="A48" s="415"/>
      <c r="B48" s="417"/>
      <c r="C48" s="127" t="s">
        <v>53</v>
      </c>
      <c r="D48" s="129">
        <v>0</v>
      </c>
      <c r="E48" s="129">
        <v>0</v>
      </c>
      <c r="F48" s="129">
        <v>0</v>
      </c>
      <c r="G48" s="129">
        <v>0</v>
      </c>
      <c r="H48" s="129">
        <v>0</v>
      </c>
      <c r="I48" s="129">
        <v>0</v>
      </c>
      <c r="J48" s="129">
        <v>0</v>
      </c>
      <c r="K48" s="129">
        <v>0</v>
      </c>
      <c r="L48" s="129">
        <v>0</v>
      </c>
      <c r="M48" s="129">
        <v>0</v>
      </c>
      <c r="N48" s="129">
        <v>0</v>
      </c>
      <c r="O48" s="129">
        <v>0</v>
      </c>
      <c r="P48" s="129">
        <v>0</v>
      </c>
      <c r="Q48" s="129">
        <v>0</v>
      </c>
      <c r="R48" s="129">
        <v>0</v>
      </c>
      <c r="S48" s="129">
        <v>0</v>
      </c>
      <c r="T48" s="129">
        <v>0</v>
      </c>
      <c r="U48" s="129">
        <v>0</v>
      </c>
      <c r="V48" s="129">
        <v>0</v>
      </c>
      <c r="W48" s="129">
        <v>0</v>
      </c>
      <c r="X48" s="129">
        <v>0</v>
      </c>
      <c r="Y48" s="129">
        <v>0</v>
      </c>
      <c r="Z48" s="129">
        <v>0</v>
      </c>
      <c r="AA48" s="129">
        <v>0</v>
      </c>
      <c r="AB48" s="129">
        <v>0</v>
      </c>
      <c r="AC48" s="129">
        <v>0</v>
      </c>
      <c r="AD48" s="129">
        <v>0</v>
      </c>
      <c r="AE48" s="129">
        <v>0</v>
      </c>
      <c r="AF48" s="129">
        <v>0</v>
      </c>
      <c r="AG48" s="129">
        <v>0</v>
      </c>
      <c r="AH48" s="128">
        <v>0</v>
      </c>
      <c r="AI48" s="128">
        <v>0</v>
      </c>
      <c r="AJ48" s="128">
        <v>0</v>
      </c>
      <c r="AK48" s="128">
        <v>0</v>
      </c>
      <c r="AL48" s="128">
        <v>0</v>
      </c>
      <c r="AM48" s="128">
        <v>0</v>
      </c>
      <c r="AN48" s="128">
        <v>0</v>
      </c>
      <c r="AO48" s="128" t="s">
        <v>44</v>
      </c>
      <c r="AP48" s="128" t="s">
        <v>44</v>
      </c>
      <c r="AQ48" s="128" t="s">
        <v>44</v>
      </c>
      <c r="AR48" s="128" t="s">
        <v>44</v>
      </c>
      <c r="AS48" s="128" t="s">
        <v>44</v>
      </c>
      <c r="AT48" s="128" t="s">
        <v>44</v>
      </c>
      <c r="AU48" s="128" t="s">
        <v>44</v>
      </c>
      <c r="AV48" s="128" t="s">
        <v>44</v>
      </c>
      <c r="AW48" s="128">
        <v>5.9283540154530554</v>
      </c>
      <c r="AX48" s="128">
        <v>6.1252206980850197</v>
      </c>
      <c r="AY48" s="128">
        <v>6.0841096853577081</v>
      </c>
      <c r="AZ48" s="128" t="s">
        <v>44</v>
      </c>
      <c r="BA48" s="128">
        <v>6.824802330420308</v>
      </c>
      <c r="BB48" s="128">
        <v>6.409633873943867</v>
      </c>
      <c r="BC48" s="128">
        <v>6.8471417778897008</v>
      </c>
      <c r="BD48" s="128" t="s">
        <v>44</v>
      </c>
      <c r="BE48" s="128">
        <v>6.4313346228239849</v>
      </c>
      <c r="BF48" s="128">
        <v>6.7271490133817196</v>
      </c>
      <c r="BG48" s="128">
        <v>6.6196418882257193</v>
      </c>
      <c r="BH48" s="128">
        <v>6.8</v>
      </c>
      <c r="BI48" s="128" t="s">
        <v>44</v>
      </c>
      <c r="BJ48" s="128" t="s">
        <v>44</v>
      </c>
      <c r="BK48" s="128" t="s">
        <v>44</v>
      </c>
      <c r="BL48" s="128" t="s">
        <v>44</v>
      </c>
      <c r="BM48" s="128"/>
      <c r="BN48" s="128"/>
      <c r="CX48" s="50"/>
      <c r="CY48" s="50"/>
    </row>
    <row r="49" spans="1:103" s="2" customFormat="1">
      <c r="A49" s="415"/>
      <c r="B49" s="417"/>
      <c r="C49" s="133" t="s">
        <v>55</v>
      </c>
      <c r="D49" s="130">
        <v>1.7911412867765923</v>
      </c>
      <c r="E49" s="130">
        <v>1.793985256702981</v>
      </c>
      <c r="F49" s="130">
        <v>1.5518013694247137</v>
      </c>
      <c r="G49" s="130">
        <v>1.6842375932116225</v>
      </c>
      <c r="H49" s="130">
        <v>1.5004960317460319</v>
      </c>
      <c r="I49" s="130">
        <v>1.3218458633305796</v>
      </c>
      <c r="J49" s="130">
        <v>0.94664371772805511</v>
      </c>
      <c r="K49" s="130">
        <v>0.97537665842140764</v>
      </c>
      <c r="L49" s="130">
        <v>1.1504238403622387</v>
      </c>
      <c r="M49" s="130">
        <v>0.94070133963750979</v>
      </c>
      <c r="N49" s="130">
        <v>0.88073924343055154</v>
      </c>
      <c r="O49" s="130">
        <v>0.91305532842736437</v>
      </c>
      <c r="P49" s="130">
        <v>1.0156039817056766</v>
      </c>
      <c r="Q49" s="130">
        <v>0.89630084151472655</v>
      </c>
      <c r="R49" s="130">
        <v>0.75767529452984717</v>
      </c>
      <c r="S49" s="130">
        <v>0.70253759398496241</v>
      </c>
      <c r="T49" s="130">
        <v>0.97181729834791064</v>
      </c>
      <c r="U49" s="130">
        <v>1.184052757793765</v>
      </c>
      <c r="V49" s="130">
        <v>1.1093277945619335</v>
      </c>
      <c r="W49" s="130">
        <v>0.95405171585119675</v>
      </c>
      <c r="X49" s="130">
        <v>0.94071218795888401</v>
      </c>
      <c r="Y49" s="130">
        <v>0.992140500679216</v>
      </c>
      <c r="Z49" s="130">
        <v>1.0482594936708862</v>
      </c>
      <c r="AA49" s="130">
        <v>0.90923100631838494</v>
      </c>
      <c r="AB49" s="130">
        <v>0.99119537622211418</v>
      </c>
      <c r="AC49" s="130">
        <v>0.9020275663881645</v>
      </c>
      <c r="AD49" s="130">
        <v>0.95299628492973676</v>
      </c>
      <c r="AE49" s="130">
        <v>0.85750177508329239</v>
      </c>
      <c r="AF49" s="130">
        <v>0.92209770427592219</v>
      </c>
      <c r="AG49" s="130">
        <v>0.79509188951249044</v>
      </c>
      <c r="AH49" s="131">
        <v>0.82688642224464626</v>
      </c>
      <c r="AI49" s="131">
        <v>0.65936586204919434</v>
      </c>
      <c r="AJ49" s="131">
        <v>0.85056503967299835</v>
      </c>
      <c r="AK49" s="131">
        <v>0.8321445553970519</v>
      </c>
      <c r="AL49" s="131">
        <v>0.91450574574333676</v>
      </c>
      <c r="AM49" s="131">
        <v>0.78825942066136889</v>
      </c>
      <c r="AN49" s="131">
        <v>0.68319525163843209</v>
      </c>
      <c r="AO49" s="131" t="s">
        <v>44</v>
      </c>
      <c r="AP49" s="131" t="s">
        <v>44</v>
      </c>
      <c r="AQ49" s="131" t="s">
        <v>44</v>
      </c>
      <c r="AR49" s="131" t="s">
        <v>44</v>
      </c>
      <c r="AS49" s="131" t="s">
        <v>44</v>
      </c>
      <c r="AT49" s="131" t="s">
        <v>44</v>
      </c>
      <c r="AU49" s="131" t="s">
        <v>44</v>
      </c>
      <c r="AV49" s="131" t="s">
        <v>44</v>
      </c>
      <c r="AW49" s="131">
        <v>0.85225942402247723</v>
      </c>
      <c r="AX49" s="131">
        <v>0.78772239576259673</v>
      </c>
      <c r="AY49" s="131">
        <v>0.72288627175250475</v>
      </c>
      <c r="AZ49" s="131" t="s">
        <v>44</v>
      </c>
      <c r="BA49" s="131">
        <v>0.83691681694178577</v>
      </c>
      <c r="BB49" s="131">
        <v>0.76235796834029335</v>
      </c>
      <c r="BC49" s="131">
        <v>0.76303198186854693</v>
      </c>
      <c r="BD49" s="131" t="s">
        <v>44</v>
      </c>
      <c r="BE49" s="131">
        <v>0.90183752417794982</v>
      </c>
      <c r="BF49" s="131">
        <v>0.73032433658425955</v>
      </c>
      <c r="BG49" s="131">
        <v>0.74380538976306743</v>
      </c>
      <c r="BH49" s="131">
        <v>0.8</v>
      </c>
      <c r="BI49" s="131" t="s">
        <v>44</v>
      </c>
      <c r="BJ49" s="131" t="s">
        <v>44</v>
      </c>
      <c r="BK49" s="131" t="s">
        <v>44</v>
      </c>
      <c r="BL49" s="131" t="s">
        <v>44</v>
      </c>
      <c r="BM49" s="131"/>
      <c r="BN49" s="131"/>
      <c r="BO49" s="382"/>
      <c r="BP49" s="382"/>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c r="CR49" s="50"/>
      <c r="CS49" s="50"/>
      <c r="CT49" s="50"/>
      <c r="CU49" s="50"/>
      <c r="CV49" s="50"/>
      <c r="CW49" s="50"/>
    </row>
    <row r="50" spans="1:103" s="2" customFormat="1">
      <c r="A50" s="414" t="s">
        <v>26</v>
      </c>
      <c r="B50" s="416"/>
      <c r="C50" s="22" t="s">
        <v>52</v>
      </c>
      <c r="D50" s="25" t="s">
        <v>44</v>
      </c>
      <c r="E50" s="25" t="s">
        <v>44</v>
      </c>
      <c r="F50" s="25" t="s">
        <v>44</v>
      </c>
      <c r="G50" s="25" t="s">
        <v>44</v>
      </c>
      <c r="H50" s="25" t="s">
        <v>44</v>
      </c>
      <c r="I50" s="25" t="s">
        <v>44</v>
      </c>
      <c r="J50" s="25" t="s">
        <v>44</v>
      </c>
      <c r="K50" s="25" t="s">
        <v>44</v>
      </c>
      <c r="L50" s="25" t="s">
        <v>44</v>
      </c>
      <c r="M50" s="25" t="s">
        <v>44</v>
      </c>
      <c r="N50" s="25" t="s">
        <v>44</v>
      </c>
      <c r="O50" s="25" t="s">
        <v>44</v>
      </c>
      <c r="P50" s="25" t="s">
        <v>44</v>
      </c>
      <c r="Q50" s="25" t="s">
        <v>44</v>
      </c>
      <c r="R50" s="25" t="s">
        <v>44</v>
      </c>
      <c r="S50" s="25" t="s">
        <v>44</v>
      </c>
      <c r="T50" s="25" t="s">
        <v>44</v>
      </c>
      <c r="U50" s="25" t="s">
        <v>44</v>
      </c>
      <c r="V50" s="25" t="s">
        <v>44</v>
      </c>
      <c r="W50" s="25" t="s">
        <v>44</v>
      </c>
      <c r="X50" s="25" t="s">
        <v>44</v>
      </c>
      <c r="Y50" s="25" t="s">
        <v>44</v>
      </c>
      <c r="Z50" s="25" t="s">
        <v>44</v>
      </c>
      <c r="AA50" s="25" t="s">
        <v>44</v>
      </c>
      <c r="AB50" s="25" t="s">
        <v>44</v>
      </c>
      <c r="AC50" s="25" t="s">
        <v>44</v>
      </c>
      <c r="AD50" s="25" t="s">
        <v>44</v>
      </c>
      <c r="AE50" s="25" t="s">
        <v>44</v>
      </c>
      <c r="AF50" s="25" t="s">
        <v>44</v>
      </c>
      <c r="AG50" s="25" t="s">
        <v>44</v>
      </c>
      <c r="AH50" s="53" t="s">
        <v>44</v>
      </c>
      <c r="AI50" s="53" t="s">
        <v>44</v>
      </c>
      <c r="AJ50" s="53" t="s">
        <v>44</v>
      </c>
      <c r="AK50" s="53" t="s">
        <v>44</v>
      </c>
      <c r="AL50" s="53" t="s">
        <v>44</v>
      </c>
      <c r="AM50" s="53" t="s">
        <v>44</v>
      </c>
      <c r="AN50" s="53" t="s">
        <v>44</v>
      </c>
      <c r="AO50" s="53" t="s">
        <v>44</v>
      </c>
      <c r="AP50" s="53" t="s">
        <v>44</v>
      </c>
      <c r="AQ50" s="53" t="s">
        <v>44</v>
      </c>
      <c r="AR50" s="53" t="s">
        <v>44</v>
      </c>
      <c r="AS50" s="53" t="s">
        <v>44</v>
      </c>
      <c r="AT50" s="53" t="s">
        <v>44</v>
      </c>
      <c r="AU50" s="53" t="s">
        <v>44</v>
      </c>
      <c r="AV50" s="53" t="s">
        <v>44</v>
      </c>
      <c r="AW50" s="53" t="s">
        <v>44</v>
      </c>
      <c r="AX50" s="53" t="s">
        <v>44</v>
      </c>
      <c r="AY50" s="53" t="s">
        <v>44</v>
      </c>
      <c r="AZ50" s="53" t="s">
        <v>44</v>
      </c>
      <c r="BA50" s="53" t="s">
        <v>44</v>
      </c>
      <c r="BB50" s="53" t="s">
        <v>44</v>
      </c>
      <c r="BC50" s="53" t="s">
        <v>44</v>
      </c>
      <c r="BD50" s="53" t="s">
        <v>44</v>
      </c>
      <c r="BE50" s="53" t="s">
        <v>44</v>
      </c>
      <c r="BF50" s="53" t="s">
        <v>44</v>
      </c>
      <c r="BG50" s="53" t="s">
        <v>44</v>
      </c>
      <c r="BH50" s="53" t="s">
        <v>44</v>
      </c>
      <c r="BI50" s="53" t="s">
        <v>44</v>
      </c>
      <c r="BJ50" s="53" t="s">
        <v>44</v>
      </c>
      <c r="BK50" s="53" t="s">
        <v>44</v>
      </c>
      <c r="BL50" s="53" t="s">
        <v>44</v>
      </c>
      <c r="BM50" s="53"/>
      <c r="BN50" s="5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row>
    <row r="51" spans="1:103">
      <c r="A51" s="415"/>
      <c r="B51" s="417"/>
      <c r="C51" s="127" t="s">
        <v>53</v>
      </c>
      <c r="D51" s="129" t="s">
        <v>44</v>
      </c>
      <c r="E51" s="129" t="s">
        <v>44</v>
      </c>
      <c r="F51" s="129" t="s">
        <v>44</v>
      </c>
      <c r="G51" s="129" t="s">
        <v>44</v>
      </c>
      <c r="H51" s="129" t="s">
        <v>44</v>
      </c>
      <c r="I51" s="129" t="s">
        <v>44</v>
      </c>
      <c r="J51" s="129" t="s">
        <v>44</v>
      </c>
      <c r="K51" s="129" t="s">
        <v>44</v>
      </c>
      <c r="L51" s="129" t="s">
        <v>44</v>
      </c>
      <c r="M51" s="129" t="s">
        <v>44</v>
      </c>
      <c r="N51" s="129" t="s">
        <v>44</v>
      </c>
      <c r="O51" s="129" t="s">
        <v>44</v>
      </c>
      <c r="P51" s="129" t="s">
        <v>44</v>
      </c>
      <c r="Q51" s="129" t="s">
        <v>44</v>
      </c>
      <c r="R51" s="129" t="s">
        <v>44</v>
      </c>
      <c r="S51" s="129" t="s">
        <v>44</v>
      </c>
      <c r="T51" s="129" t="s">
        <v>44</v>
      </c>
      <c r="U51" s="129" t="s">
        <v>44</v>
      </c>
      <c r="V51" s="129" t="s">
        <v>44</v>
      </c>
      <c r="W51" s="129" t="s">
        <v>44</v>
      </c>
      <c r="X51" s="129" t="s">
        <v>44</v>
      </c>
      <c r="Y51" s="129" t="s">
        <v>44</v>
      </c>
      <c r="Z51" s="129" t="s">
        <v>44</v>
      </c>
      <c r="AA51" s="129" t="s">
        <v>44</v>
      </c>
      <c r="AB51" s="129" t="s">
        <v>44</v>
      </c>
      <c r="AC51" s="129" t="s">
        <v>44</v>
      </c>
      <c r="AD51" s="129" t="s">
        <v>44</v>
      </c>
      <c r="AE51" s="129" t="s">
        <v>44</v>
      </c>
      <c r="AF51" s="129" t="s">
        <v>44</v>
      </c>
      <c r="AG51" s="129" t="s">
        <v>44</v>
      </c>
      <c r="AH51" s="128" t="s">
        <v>44</v>
      </c>
      <c r="AI51" s="128" t="s">
        <v>44</v>
      </c>
      <c r="AJ51" s="128" t="s">
        <v>44</v>
      </c>
      <c r="AK51" s="128" t="s">
        <v>44</v>
      </c>
      <c r="AL51" s="128" t="s">
        <v>44</v>
      </c>
      <c r="AM51" s="128" t="s">
        <v>44</v>
      </c>
      <c r="AN51" s="128" t="s">
        <v>44</v>
      </c>
      <c r="AO51" s="128" t="s">
        <v>44</v>
      </c>
      <c r="AP51" s="128" t="s">
        <v>44</v>
      </c>
      <c r="AQ51" s="128" t="s">
        <v>44</v>
      </c>
      <c r="AR51" s="128" t="s">
        <v>44</v>
      </c>
      <c r="AS51" s="128" t="s">
        <v>44</v>
      </c>
      <c r="AT51" s="128" t="s">
        <v>44</v>
      </c>
      <c r="AU51" s="128" t="s">
        <v>44</v>
      </c>
      <c r="AV51" s="128" t="s">
        <v>44</v>
      </c>
      <c r="AW51" s="128" t="s">
        <v>44</v>
      </c>
      <c r="AX51" s="128" t="s">
        <v>44</v>
      </c>
      <c r="AY51" s="128" t="s">
        <v>44</v>
      </c>
      <c r="AZ51" s="128" t="s">
        <v>44</v>
      </c>
      <c r="BA51" s="128" t="s">
        <v>44</v>
      </c>
      <c r="BB51" s="128" t="s">
        <v>44</v>
      </c>
      <c r="BC51" s="128" t="s">
        <v>44</v>
      </c>
      <c r="BD51" s="128" t="s">
        <v>44</v>
      </c>
      <c r="BE51" s="128" t="s">
        <v>44</v>
      </c>
      <c r="BF51" s="128" t="s">
        <v>44</v>
      </c>
      <c r="BG51" s="128" t="s">
        <v>44</v>
      </c>
      <c r="BH51" s="128" t="s">
        <v>44</v>
      </c>
      <c r="BI51" s="128" t="s">
        <v>44</v>
      </c>
      <c r="BJ51" s="128" t="s">
        <v>44</v>
      </c>
      <c r="BK51" s="128" t="s">
        <v>44</v>
      </c>
      <c r="BL51" s="128" t="s">
        <v>44</v>
      </c>
      <c r="BM51" s="128"/>
      <c r="BN51" s="128"/>
      <c r="CX51" s="50"/>
      <c r="CY51" s="50"/>
    </row>
    <row r="52" spans="1:103" s="2" customFormat="1">
      <c r="A52" s="415"/>
      <c r="B52" s="417"/>
      <c r="C52" s="133" t="s">
        <v>55</v>
      </c>
      <c r="D52" s="130" t="s">
        <v>44</v>
      </c>
      <c r="E52" s="130" t="s">
        <v>44</v>
      </c>
      <c r="F52" s="130" t="s">
        <v>44</v>
      </c>
      <c r="G52" s="130" t="s">
        <v>44</v>
      </c>
      <c r="H52" s="130" t="s">
        <v>44</v>
      </c>
      <c r="I52" s="130" t="s">
        <v>44</v>
      </c>
      <c r="J52" s="130" t="s">
        <v>44</v>
      </c>
      <c r="K52" s="130" t="s">
        <v>44</v>
      </c>
      <c r="L52" s="130" t="s">
        <v>44</v>
      </c>
      <c r="M52" s="130" t="s">
        <v>44</v>
      </c>
      <c r="N52" s="130" t="s">
        <v>44</v>
      </c>
      <c r="O52" s="130" t="s">
        <v>44</v>
      </c>
      <c r="P52" s="130" t="s">
        <v>44</v>
      </c>
      <c r="Q52" s="130" t="s">
        <v>44</v>
      </c>
      <c r="R52" s="130" t="s">
        <v>44</v>
      </c>
      <c r="S52" s="130" t="s">
        <v>44</v>
      </c>
      <c r="T52" s="130" t="s">
        <v>44</v>
      </c>
      <c r="U52" s="130" t="s">
        <v>44</v>
      </c>
      <c r="V52" s="130" t="s">
        <v>44</v>
      </c>
      <c r="W52" s="130" t="s">
        <v>44</v>
      </c>
      <c r="X52" s="130" t="s">
        <v>44</v>
      </c>
      <c r="Y52" s="130" t="s">
        <v>44</v>
      </c>
      <c r="Z52" s="130" t="s">
        <v>44</v>
      </c>
      <c r="AA52" s="130" t="s">
        <v>44</v>
      </c>
      <c r="AB52" s="130" t="s">
        <v>44</v>
      </c>
      <c r="AC52" s="130" t="s">
        <v>44</v>
      </c>
      <c r="AD52" s="130" t="s">
        <v>44</v>
      </c>
      <c r="AE52" s="130" t="s">
        <v>44</v>
      </c>
      <c r="AF52" s="130" t="s">
        <v>44</v>
      </c>
      <c r="AG52" s="130" t="s">
        <v>44</v>
      </c>
      <c r="AH52" s="131" t="s">
        <v>44</v>
      </c>
      <c r="AI52" s="131" t="s">
        <v>44</v>
      </c>
      <c r="AJ52" s="131" t="s">
        <v>44</v>
      </c>
      <c r="AK52" s="131" t="s">
        <v>44</v>
      </c>
      <c r="AL52" s="131" t="s">
        <v>44</v>
      </c>
      <c r="AM52" s="131" t="s">
        <v>44</v>
      </c>
      <c r="AN52" s="131" t="s">
        <v>44</v>
      </c>
      <c r="AO52" s="131" t="s">
        <v>44</v>
      </c>
      <c r="AP52" s="131" t="s">
        <v>44</v>
      </c>
      <c r="AQ52" s="131" t="s">
        <v>44</v>
      </c>
      <c r="AR52" s="131" t="s">
        <v>44</v>
      </c>
      <c r="AS52" s="131" t="s">
        <v>44</v>
      </c>
      <c r="AT52" s="131" t="s">
        <v>44</v>
      </c>
      <c r="AU52" s="131" t="s">
        <v>44</v>
      </c>
      <c r="AV52" s="131" t="s">
        <v>44</v>
      </c>
      <c r="AW52" s="131" t="s">
        <v>44</v>
      </c>
      <c r="AX52" s="131" t="s">
        <v>44</v>
      </c>
      <c r="AY52" s="131" t="s">
        <v>44</v>
      </c>
      <c r="AZ52" s="131" t="s">
        <v>44</v>
      </c>
      <c r="BA52" s="131" t="s">
        <v>44</v>
      </c>
      <c r="BB52" s="131" t="s">
        <v>44</v>
      </c>
      <c r="BC52" s="131" t="s">
        <v>44</v>
      </c>
      <c r="BD52" s="131" t="s">
        <v>44</v>
      </c>
      <c r="BE52" s="131" t="s">
        <v>44</v>
      </c>
      <c r="BF52" s="131" t="s">
        <v>44</v>
      </c>
      <c r="BG52" s="131" t="s">
        <v>44</v>
      </c>
      <c r="BH52" s="131" t="s">
        <v>44</v>
      </c>
      <c r="BI52" s="131" t="s">
        <v>44</v>
      </c>
      <c r="BJ52" s="131" t="s">
        <v>44</v>
      </c>
      <c r="BK52" s="131" t="s">
        <v>44</v>
      </c>
      <c r="BL52" s="131" t="s">
        <v>44</v>
      </c>
      <c r="BM52" s="131"/>
      <c r="BN52" s="131"/>
      <c r="BO52" s="382"/>
      <c r="BP52" s="382"/>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c r="CR52" s="50"/>
      <c r="CS52" s="50"/>
      <c r="CT52" s="50"/>
      <c r="CU52" s="50"/>
      <c r="CV52" s="50"/>
      <c r="CW52" s="50"/>
    </row>
    <row r="53" spans="1:103" s="2" customFormat="1">
      <c r="A53" s="414" t="s">
        <v>25</v>
      </c>
      <c r="B53" s="416"/>
      <c r="C53" s="22" t="s">
        <v>52</v>
      </c>
      <c r="D53" s="25">
        <v>98.003265554589703</v>
      </c>
      <c r="E53" s="25">
        <v>97.975524642669342</v>
      </c>
      <c r="F53" s="25">
        <v>98.17616950070132</v>
      </c>
      <c r="G53" s="25">
        <v>98.226385914822743</v>
      </c>
      <c r="H53" s="25">
        <v>98.129757644567718</v>
      </c>
      <c r="I53" s="25">
        <v>98.258435273389821</v>
      </c>
      <c r="J53" s="25">
        <v>98.13046709736436</v>
      </c>
      <c r="K53" s="25">
        <v>98.19282020527227</v>
      </c>
      <c r="L53" s="25">
        <v>98.168790447397342</v>
      </c>
      <c r="M53" s="25">
        <v>98.280093170285326</v>
      </c>
      <c r="N53" s="25">
        <v>98.312680621679917</v>
      </c>
      <c r="O53" s="25">
        <v>97.822673958621792</v>
      </c>
      <c r="P53" s="25">
        <v>96.261075465933402</v>
      </c>
      <c r="Q53" s="25">
        <v>96.289687187749507</v>
      </c>
      <c r="R53" s="25">
        <v>96.557915752142151</v>
      </c>
      <c r="S53" s="25">
        <v>97.113038546326223</v>
      </c>
      <c r="T53" s="25">
        <v>97.131721447083862</v>
      </c>
      <c r="U53" s="25">
        <v>97.497758156860044</v>
      </c>
      <c r="V53" s="25">
        <v>97.012214256402828</v>
      </c>
      <c r="W53" s="25">
        <v>97.101225573426348</v>
      </c>
      <c r="X53" s="25">
        <v>96.873529266057318</v>
      </c>
      <c r="Y53" s="25">
        <v>97.134117676753334</v>
      </c>
      <c r="Z53" s="25">
        <v>97.166593063369248</v>
      </c>
      <c r="AA53" s="25">
        <v>97.093653161563978</v>
      </c>
      <c r="AB53" s="25">
        <v>97.104746268557506</v>
      </c>
      <c r="AC53" s="25">
        <v>97.195860955437269</v>
      </c>
      <c r="AD53" s="25">
        <v>97.072662499159776</v>
      </c>
      <c r="AE53" s="25">
        <v>96.816472063317931</v>
      </c>
      <c r="AF53" s="25">
        <v>95.861085279111265</v>
      </c>
      <c r="AG53" s="25">
        <v>95.703796160262954</v>
      </c>
      <c r="AH53" s="53">
        <v>95.842182471044154</v>
      </c>
      <c r="AI53" s="53">
        <v>95.55535616433967</v>
      </c>
      <c r="AJ53" s="53">
        <v>95.34301484241935</v>
      </c>
      <c r="AK53" s="53">
        <v>95.480428812493798</v>
      </c>
      <c r="AL53" s="53">
        <v>95.192502237600607</v>
      </c>
      <c r="AM53" s="53" t="s">
        <v>44</v>
      </c>
      <c r="AN53" s="53">
        <v>94.818761642576916</v>
      </c>
      <c r="AO53" s="53" t="s">
        <v>44</v>
      </c>
      <c r="AP53" s="53">
        <v>94.587442953355662</v>
      </c>
      <c r="AQ53" s="53">
        <v>94.17169050761602</v>
      </c>
      <c r="AR53" s="53">
        <v>93.904046974438316</v>
      </c>
      <c r="AS53" s="53">
        <v>93.7778855112754</v>
      </c>
      <c r="AT53" s="53">
        <v>93.164588371671002</v>
      </c>
      <c r="AU53" s="53">
        <v>92.873073151152795</v>
      </c>
      <c r="AV53" s="53">
        <v>92.170712016355452</v>
      </c>
      <c r="AW53" s="53">
        <v>92.104827641882608</v>
      </c>
      <c r="AX53" s="53">
        <v>91.711112556505896</v>
      </c>
      <c r="AY53" s="53">
        <v>95.319618798879603</v>
      </c>
      <c r="AZ53" s="53">
        <v>91.121919769030839</v>
      </c>
      <c r="BA53" s="53">
        <v>90.80103897004939</v>
      </c>
      <c r="BB53" s="53">
        <v>90.560863573725314</v>
      </c>
      <c r="BC53" s="53">
        <v>90.214568178489472</v>
      </c>
      <c r="BD53" s="53" t="s">
        <v>44</v>
      </c>
      <c r="BE53" s="53">
        <v>89.804799620729995</v>
      </c>
      <c r="BF53" s="53">
        <v>89.450899797117486</v>
      </c>
      <c r="BG53" s="53">
        <v>88.856963529635706</v>
      </c>
      <c r="BH53" s="53">
        <v>88.037863208336205</v>
      </c>
      <c r="BI53" s="53">
        <v>86.729364776487685</v>
      </c>
      <c r="BJ53" s="53">
        <v>86.876462115252991</v>
      </c>
      <c r="BK53" s="53">
        <v>86.396180087784103</v>
      </c>
      <c r="BL53" s="53">
        <v>80.8</v>
      </c>
      <c r="BM53" s="53">
        <v>85.672556757715498</v>
      </c>
      <c r="BN53" s="5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row>
    <row r="54" spans="1:103">
      <c r="A54" s="415"/>
      <c r="B54" s="417"/>
      <c r="C54" s="127" t="s">
        <v>53</v>
      </c>
      <c r="D54" s="129">
        <v>0</v>
      </c>
      <c r="E54" s="129">
        <v>0</v>
      </c>
      <c r="F54" s="129">
        <v>0</v>
      </c>
      <c r="G54" s="129">
        <v>0</v>
      </c>
      <c r="H54" s="129">
        <v>0</v>
      </c>
      <c r="I54" s="129">
        <v>0</v>
      </c>
      <c r="J54" s="129">
        <v>0</v>
      </c>
      <c r="K54" s="129">
        <v>0</v>
      </c>
      <c r="L54" s="129">
        <v>0</v>
      </c>
      <c r="M54" s="129">
        <v>0</v>
      </c>
      <c r="N54" s="129">
        <v>3.2742617740683523E-2</v>
      </c>
      <c r="O54" s="129">
        <v>0.48211954586811184</v>
      </c>
      <c r="P54" s="129">
        <v>1.9945386495569812</v>
      </c>
      <c r="Q54" s="129">
        <v>1.9997179287363684</v>
      </c>
      <c r="R54" s="129">
        <v>1.791972024850266</v>
      </c>
      <c r="S54" s="129">
        <v>1.3220202041820945</v>
      </c>
      <c r="T54" s="129">
        <v>1.351912185701944</v>
      </c>
      <c r="U54" s="129">
        <v>1.2163436113218826</v>
      </c>
      <c r="V54" s="129">
        <v>1.4035230646679702</v>
      </c>
      <c r="W54" s="129">
        <v>1.4510851109807674</v>
      </c>
      <c r="X54" s="129">
        <v>1.6142466126675088</v>
      </c>
      <c r="Y54" s="129">
        <v>1.5122115897309696</v>
      </c>
      <c r="Z54" s="129">
        <v>1.5762306151315579</v>
      </c>
      <c r="AA54" s="129">
        <v>1.7068263173320424</v>
      </c>
      <c r="AB54" s="129">
        <v>1.743333920482304</v>
      </c>
      <c r="AC54" s="129">
        <v>1.771555290547127</v>
      </c>
      <c r="AD54" s="129">
        <v>1.9395711500974659</v>
      </c>
      <c r="AE54" s="129">
        <v>2.2596518036726487</v>
      </c>
      <c r="AF54" s="129">
        <v>3.2023650941262223</v>
      </c>
      <c r="AG54" s="129">
        <v>3.4288702407928486</v>
      </c>
      <c r="AH54" s="128">
        <v>3.364444764177648</v>
      </c>
      <c r="AI54" s="128">
        <v>3.5493060651603376</v>
      </c>
      <c r="AJ54" s="128">
        <v>3.7384583861590279</v>
      </c>
      <c r="AK54" s="128">
        <v>3.6222413393772954</v>
      </c>
      <c r="AL54" s="128">
        <v>3.8755928355629319</v>
      </c>
      <c r="AM54" s="128" t="s">
        <v>44</v>
      </c>
      <c r="AN54" s="128">
        <v>4.2744184544041692</v>
      </c>
      <c r="AO54" s="128" t="s">
        <v>44</v>
      </c>
      <c r="AP54" s="128">
        <v>4.4998107372676177</v>
      </c>
      <c r="AQ54" s="128">
        <v>4.8772874826097814</v>
      </c>
      <c r="AR54" s="128">
        <v>5.1471467247987057</v>
      </c>
      <c r="AS54" s="128">
        <v>5.2402036163105148</v>
      </c>
      <c r="AT54" s="128">
        <v>5.8210160251543446</v>
      </c>
      <c r="AU54" s="128">
        <v>6.07939507075052</v>
      </c>
      <c r="AV54" s="128">
        <v>6.6494222172238313</v>
      </c>
      <c r="AW54" s="128">
        <v>6.8283280858965041</v>
      </c>
      <c r="AX54" s="128">
        <v>7.2752365930599376</v>
      </c>
      <c r="AY54" s="128" t="s">
        <v>44</v>
      </c>
      <c r="AZ54" s="128">
        <v>7.8740780088640907</v>
      </c>
      <c r="BA54" s="128">
        <v>8.1344069935346237</v>
      </c>
      <c r="BB54" s="128">
        <v>8.4423518603582917</v>
      </c>
      <c r="BC54" s="128">
        <v>8.8126739247180588</v>
      </c>
      <c r="BD54" s="128" t="s">
        <v>44</v>
      </c>
      <c r="BE54" s="128">
        <v>9.1936905136119798</v>
      </c>
      <c r="BF54" s="128">
        <v>9.5507601507127244</v>
      </c>
      <c r="BG54" s="128">
        <v>10.110764133616632</v>
      </c>
      <c r="BH54" s="128">
        <v>10.925277233860415</v>
      </c>
      <c r="BI54" s="128">
        <v>12.134645846293788</v>
      </c>
      <c r="BJ54" s="128">
        <v>12.032250814698282</v>
      </c>
      <c r="BK54" s="128">
        <v>12.483703446177914</v>
      </c>
      <c r="BL54" s="128"/>
      <c r="BM54" s="128"/>
      <c r="BN54" s="128"/>
      <c r="CX54" s="50"/>
      <c r="CY54" s="50"/>
    </row>
    <row r="55" spans="1:103" s="2" customFormat="1">
      <c r="A55" s="415"/>
      <c r="B55" s="417"/>
      <c r="C55" s="133" t="s">
        <v>55</v>
      </c>
      <c r="D55" s="130">
        <v>1.9967344454102964</v>
      </c>
      <c r="E55" s="130">
        <v>2.0244753573306564</v>
      </c>
      <c r="F55" s="130">
        <v>1.8238304992986687</v>
      </c>
      <c r="G55" s="130">
        <v>1.7736140851772542</v>
      </c>
      <c r="H55" s="130">
        <v>1.8702423554322782</v>
      </c>
      <c r="I55" s="130">
        <v>1.7415647266101768</v>
      </c>
      <c r="J55" s="130">
        <v>1.8695329026356411</v>
      </c>
      <c r="K55" s="130">
        <v>1.8071797947277326</v>
      </c>
      <c r="L55" s="130">
        <v>1.831209552602667</v>
      </c>
      <c r="M55" s="130">
        <v>1.719906829714666</v>
      </c>
      <c r="N55" s="130">
        <v>1.6545767605794053</v>
      </c>
      <c r="O55" s="130">
        <v>1.6952064955101069</v>
      </c>
      <c r="P55" s="130">
        <v>1.7443858845096243</v>
      </c>
      <c r="Q55" s="130">
        <v>1.7105948835141298</v>
      </c>
      <c r="R55" s="130">
        <v>1.6005108936919508</v>
      </c>
      <c r="S55" s="130">
        <v>1.5649412494916852</v>
      </c>
      <c r="T55" s="130">
        <v>1.5163663672141885</v>
      </c>
      <c r="U55" s="130">
        <v>1.2858982318180774</v>
      </c>
      <c r="V55" s="130">
        <v>1.5842626789292009</v>
      </c>
      <c r="W55" s="130">
        <v>1.4476893155928749</v>
      </c>
      <c r="X55" s="130">
        <v>1.5122241212751728</v>
      </c>
      <c r="Y55" s="130">
        <v>1.3536707335156948</v>
      </c>
      <c r="Z55" s="130">
        <v>1.2571763214992031</v>
      </c>
      <c r="AA55" s="130">
        <v>1.199520521103987</v>
      </c>
      <c r="AB55" s="130">
        <v>1.151919810960188</v>
      </c>
      <c r="AC55" s="130">
        <v>1.0325837540156035</v>
      </c>
      <c r="AD55" s="130">
        <v>0.9877663507427572</v>
      </c>
      <c r="AE55" s="130">
        <v>0.92387613300942972</v>
      </c>
      <c r="AF55" s="130">
        <v>0.93654962676251041</v>
      </c>
      <c r="AG55" s="130">
        <v>0.86733359894419682</v>
      </c>
      <c r="AH55" s="131">
        <v>0.7933727647781903</v>
      </c>
      <c r="AI55" s="131">
        <v>0.89533777049999841</v>
      </c>
      <c r="AJ55" s="131">
        <v>0.91852677142161954</v>
      </c>
      <c r="AK55" s="131">
        <v>0.89732984812890848</v>
      </c>
      <c r="AL55" s="131">
        <v>0.93190492683646142</v>
      </c>
      <c r="AM55" s="131" t="s">
        <v>44</v>
      </c>
      <c r="AN55" s="131">
        <v>0.90681990301890447</v>
      </c>
      <c r="AO55" s="131" t="s">
        <v>44</v>
      </c>
      <c r="AP55" s="131">
        <v>0.91274630937671852</v>
      </c>
      <c r="AQ55" s="131">
        <v>0.9510220097741946</v>
      </c>
      <c r="AR55" s="131">
        <v>0.948806300762983</v>
      </c>
      <c r="AS55" s="131">
        <v>0.98191087241408048</v>
      </c>
      <c r="AT55" s="131">
        <v>1.0143956031746619</v>
      </c>
      <c r="AU55" s="131">
        <v>1.0475317780966842</v>
      </c>
      <c r="AV55" s="131">
        <v>1.1798657664207191</v>
      </c>
      <c r="AW55" s="131">
        <v>1.0668442722208766</v>
      </c>
      <c r="AX55" s="131">
        <v>1.0136508504341604</v>
      </c>
      <c r="AY55" s="131" t="s">
        <v>44</v>
      </c>
      <c r="AZ55" s="131">
        <v>1.0040022221050797</v>
      </c>
      <c r="BA55" s="131">
        <v>1.0645540364159869</v>
      </c>
      <c r="BB55" s="131">
        <v>0.99678456591639863</v>
      </c>
      <c r="BC55" s="131">
        <v>0.97275789679246216</v>
      </c>
      <c r="BD55" s="131" t="s">
        <v>44</v>
      </c>
      <c r="BE55" s="131">
        <v>1.0015098656580284</v>
      </c>
      <c r="BF55" s="131">
        <v>0.99834005216978894</v>
      </c>
      <c r="BG55" s="131">
        <v>1.0322723367476605</v>
      </c>
      <c r="BH55" s="131">
        <v>1.0368595578033828</v>
      </c>
      <c r="BI55" s="131">
        <v>1.135989377218525</v>
      </c>
      <c r="BJ55" s="131">
        <v>1.0912870700487287</v>
      </c>
      <c r="BK55" s="131">
        <v>1.1201164660379819</v>
      </c>
      <c r="BL55" s="131"/>
      <c r="BM55" s="131"/>
      <c r="BN55" s="131"/>
      <c r="BO55" s="382"/>
      <c r="BP55" s="382"/>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row>
    <row r="56" spans="1:103" s="2" customFormat="1">
      <c r="A56" s="414" t="s">
        <v>24</v>
      </c>
      <c r="B56" s="416"/>
      <c r="C56" s="22" t="s">
        <v>52</v>
      </c>
      <c r="D56" s="25">
        <v>87.6</v>
      </c>
      <c r="E56" s="25" t="s">
        <v>44</v>
      </c>
      <c r="F56" s="25" t="s">
        <v>44</v>
      </c>
      <c r="G56" s="25" t="s">
        <v>44</v>
      </c>
      <c r="H56" s="25" t="s">
        <v>44</v>
      </c>
      <c r="I56" s="389">
        <v>88.8</v>
      </c>
      <c r="J56" s="389">
        <v>88.8</v>
      </c>
      <c r="K56" s="389">
        <v>88.7</v>
      </c>
      <c r="L56" s="389">
        <v>89</v>
      </c>
      <c r="M56" s="389">
        <v>88.9</v>
      </c>
      <c r="N56" s="389">
        <v>88.9</v>
      </c>
      <c r="O56" s="389">
        <v>89.2</v>
      </c>
      <c r="P56" s="389">
        <v>89</v>
      </c>
      <c r="Q56" s="389">
        <v>88.6</v>
      </c>
      <c r="R56" s="389">
        <v>87.8</v>
      </c>
      <c r="S56" s="389">
        <v>87.3</v>
      </c>
      <c r="T56" s="389">
        <v>86.6</v>
      </c>
      <c r="U56" s="389">
        <v>86</v>
      </c>
      <c r="V56" s="389">
        <v>85.5</v>
      </c>
      <c r="W56" s="389">
        <v>85.1</v>
      </c>
      <c r="X56" s="389">
        <v>84.9</v>
      </c>
      <c r="Y56" s="389">
        <v>84.8</v>
      </c>
      <c r="Z56" s="389">
        <v>84.5</v>
      </c>
      <c r="AA56" s="389">
        <v>84.3</v>
      </c>
      <c r="AB56" s="389">
        <v>83.8</v>
      </c>
      <c r="AC56" s="389">
        <v>83.4</v>
      </c>
      <c r="AD56" s="389">
        <v>82.7</v>
      </c>
      <c r="AE56" s="389">
        <v>82.2</v>
      </c>
      <c r="AF56" s="389">
        <v>81.8</v>
      </c>
      <c r="AG56" s="389">
        <v>81.400000000000006</v>
      </c>
      <c r="AH56" s="389">
        <v>81.7</v>
      </c>
      <c r="AI56" s="389">
        <v>82.2</v>
      </c>
      <c r="AJ56" s="389">
        <v>82.4</v>
      </c>
      <c r="AK56" s="389">
        <v>82.6</v>
      </c>
      <c r="AL56" s="389">
        <v>82.1</v>
      </c>
      <c r="AM56" s="389">
        <v>81.599999999999994</v>
      </c>
      <c r="AN56" s="389">
        <v>81.400000000000006</v>
      </c>
      <c r="AO56" s="389">
        <v>80.900000000000006</v>
      </c>
      <c r="AP56" s="389">
        <v>80.5</v>
      </c>
      <c r="AQ56" s="389">
        <v>79.8</v>
      </c>
      <c r="AR56" s="389">
        <v>79</v>
      </c>
      <c r="AS56" s="389">
        <v>77.900000000000006</v>
      </c>
      <c r="AT56" s="389">
        <v>77</v>
      </c>
      <c r="AU56" s="389">
        <v>76.099999999999994</v>
      </c>
      <c r="AV56" s="389">
        <v>75.2</v>
      </c>
      <c r="AW56" s="389">
        <v>74.7</v>
      </c>
      <c r="AX56" s="389">
        <v>74.099999999999994</v>
      </c>
      <c r="AY56" s="389">
        <v>73.900000000000006</v>
      </c>
      <c r="AZ56" s="389">
        <v>74.099999999999994</v>
      </c>
      <c r="BA56" s="389">
        <v>74.099999999999994</v>
      </c>
      <c r="BB56" s="389">
        <v>74.400000000000006</v>
      </c>
      <c r="BC56" s="389">
        <v>74.099999999999994</v>
      </c>
      <c r="BD56" s="389">
        <v>74</v>
      </c>
      <c r="BE56" s="389">
        <v>73.7</v>
      </c>
      <c r="BF56" s="389">
        <v>73.599999999999994</v>
      </c>
      <c r="BG56" s="389">
        <v>73.2</v>
      </c>
      <c r="BH56" s="389">
        <v>73.3</v>
      </c>
      <c r="BI56" s="389">
        <v>73.400000000000006</v>
      </c>
      <c r="BJ56" s="389">
        <v>73.3</v>
      </c>
      <c r="BK56" s="389">
        <v>73.3</v>
      </c>
      <c r="BL56" s="389">
        <v>73.599999999999994</v>
      </c>
      <c r="BM56" s="389">
        <v>74</v>
      </c>
      <c r="BN56" s="389">
        <v>74.8</v>
      </c>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row>
    <row r="57" spans="1:103">
      <c r="A57" s="415"/>
      <c r="B57" s="417"/>
      <c r="C57" s="127" t="s">
        <v>53</v>
      </c>
      <c r="D57" s="129" t="s">
        <v>44</v>
      </c>
      <c r="E57" s="129" t="s">
        <v>44</v>
      </c>
      <c r="F57" s="129" t="s">
        <v>44</v>
      </c>
      <c r="G57" s="129" t="s">
        <v>44</v>
      </c>
      <c r="H57" s="129" t="s">
        <v>44</v>
      </c>
      <c r="I57" s="129" t="s">
        <v>44</v>
      </c>
      <c r="J57" s="129" t="s">
        <v>44</v>
      </c>
      <c r="K57" s="129" t="s">
        <v>44</v>
      </c>
      <c r="L57" s="129" t="s">
        <v>44</v>
      </c>
      <c r="M57" s="129" t="s">
        <v>44</v>
      </c>
      <c r="N57" s="129" t="s">
        <v>44</v>
      </c>
      <c r="O57" s="129" t="s">
        <v>44</v>
      </c>
      <c r="P57" s="129" t="s">
        <v>44</v>
      </c>
      <c r="Q57" s="129" t="s">
        <v>44</v>
      </c>
      <c r="R57" s="129" t="s">
        <v>44</v>
      </c>
      <c r="S57" s="129" t="s">
        <v>44</v>
      </c>
      <c r="T57" s="129" t="s">
        <v>44</v>
      </c>
      <c r="U57" s="129" t="s">
        <v>44</v>
      </c>
      <c r="V57" s="129" t="s">
        <v>44</v>
      </c>
      <c r="W57" s="129" t="s">
        <v>44</v>
      </c>
      <c r="X57" s="129" t="s">
        <v>44</v>
      </c>
      <c r="Y57" s="129" t="s">
        <v>44</v>
      </c>
      <c r="Z57" s="129" t="s">
        <v>44</v>
      </c>
      <c r="AA57" s="129" t="s">
        <v>44</v>
      </c>
      <c r="AB57" s="129" t="s">
        <v>44</v>
      </c>
      <c r="AC57" s="129" t="s">
        <v>44</v>
      </c>
      <c r="AD57" s="129" t="s">
        <v>44</v>
      </c>
      <c r="AE57" s="129" t="s">
        <v>44</v>
      </c>
      <c r="AF57" s="129" t="s">
        <v>44</v>
      </c>
      <c r="AG57" s="129" t="s">
        <v>44</v>
      </c>
      <c r="AH57" s="128" t="s">
        <v>44</v>
      </c>
      <c r="AI57" s="128" t="s">
        <v>44</v>
      </c>
      <c r="AJ57" s="128" t="s">
        <v>44</v>
      </c>
      <c r="AK57" s="128" t="s">
        <v>44</v>
      </c>
      <c r="AL57" s="128" t="s">
        <v>44</v>
      </c>
      <c r="AM57" s="128" t="s">
        <v>44</v>
      </c>
      <c r="AN57" s="128" t="s">
        <v>44</v>
      </c>
      <c r="AO57" s="128" t="s">
        <v>44</v>
      </c>
      <c r="AP57" s="128" t="s">
        <v>44</v>
      </c>
      <c r="AQ57" s="128" t="s">
        <v>44</v>
      </c>
      <c r="AR57" s="128" t="s">
        <v>44</v>
      </c>
      <c r="AS57" s="128" t="s">
        <v>44</v>
      </c>
      <c r="AT57" s="128" t="s">
        <v>44</v>
      </c>
      <c r="AU57" s="128" t="s">
        <v>44</v>
      </c>
      <c r="AV57" s="128" t="s">
        <v>44</v>
      </c>
      <c r="AW57" s="128" t="s">
        <v>44</v>
      </c>
      <c r="AX57" s="128" t="s">
        <v>44</v>
      </c>
      <c r="AY57" s="128" t="s">
        <v>44</v>
      </c>
      <c r="AZ57" s="128" t="s">
        <v>44</v>
      </c>
      <c r="BA57" s="128" t="s">
        <v>44</v>
      </c>
      <c r="BB57" s="128" t="s">
        <v>44</v>
      </c>
      <c r="BC57" s="128" t="s">
        <v>44</v>
      </c>
      <c r="BD57" s="128" t="s">
        <v>44</v>
      </c>
      <c r="BE57" s="128" t="s">
        <v>44</v>
      </c>
      <c r="BF57" s="128" t="s">
        <v>44</v>
      </c>
      <c r="BG57" s="128" t="s">
        <v>44</v>
      </c>
      <c r="BH57" s="128" t="s">
        <v>44</v>
      </c>
      <c r="BI57" s="128" t="s">
        <v>44</v>
      </c>
      <c r="BJ57" s="128" t="s">
        <v>44</v>
      </c>
      <c r="BK57" s="128" t="s">
        <v>44</v>
      </c>
      <c r="BL57" s="128"/>
      <c r="BM57" s="128"/>
      <c r="BN57" s="128"/>
      <c r="CX57" s="50"/>
      <c r="CY57" s="50"/>
    </row>
    <row r="58" spans="1:103" s="2" customFormat="1">
      <c r="A58" s="415"/>
      <c r="B58" s="417"/>
      <c r="C58" s="133" t="s">
        <v>55</v>
      </c>
      <c r="D58" s="130" t="s">
        <v>44</v>
      </c>
      <c r="E58" s="130" t="s">
        <v>44</v>
      </c>
      <c r="F58" s="130" t="s">
        <v>44</v>
      </c>
      <c r="G58" s="130" t="s">
        <v>44</v>
      </c>
      <c r="H58" s="130" t="s">
        <v>44</v>
      </c>
      <c r="I58" s="130" t="s">
        <v>44</v>
      </c>
      <c r="J58" s="130" t="s">
        <v>44</v>
      </c>
      <c r="K58" s="130" t="s">
        <v>44</v>
      </c>
      <c r="L58" s="130" t="s">
        <v>44</v>
      </c>
      <c r="M58" s="130" t="s">
        <v>44</v>
      </c>
      <c r="N58" s="130" t="s">
        <v>44</v>
      </c>
      <c r="O58" s="130" t="s">
        <v>44</v>
      </c>
      <c r="P58" s="130" t="s">
        <v>44</v>
      </c>
      <c r="Q58" s="130" t="s">
        <v>44</v>
      </c>
      <c r="R58" s="130" t="s">
        <v>44</v>
      </c>
      <c r="S58" s="130" t="s">
        <v>44</v>
      </c>
      <c r="T58" s="130" t="s">
        <v>44</v>
      </c>
      <c r="U58" s="130" t="s">
        <v>44</v>
      </c>
      <c r="V58" s="130" t="s">
        <v>44</v>
      </c>
      <c r="W58" s="130" t="s">
        <v>44</v>
      </c>
      <c r="X58" s="130" t="s">
        <v>44</v>
      </c>
      <c r="Y58" s="130" t="s">
        <v>44</v>
      </c>
      <c r="Z58" s="130" t="s">
        <v>44</v>
      </c>
      <c r="AA58" s="130" t="s">
        <v>44</v>
      </c>
      <c r="AB58" s="130" t="s">
        <v>44</v>
      </c>
      <c r="AC58" s="130" t="s">
        <v>44</v>
      </c>
      <c r="AD58" s="130" t="s">
        <v>44</v>
      </c>
      <c r="AE58" s="130" t="s">
        <v>44</v>
      </c>
      <c r="AF58" s="130" t="s">
        <v>44</v>
      </c>
      <c r="AG58" s="130" t="s">
        <v>44</v>
      </c>
      <c r="AH58" s="131" t="s">
        <v>44</v>
      </c>
      <c r="AI58" s="131" t="s">
        <v>44</v>
      </c>
      <c r="AJ58" s="131" t="s">
        <v>44</v>
      </c>
      <c r="AK58" s="131" t="s">
        <v>44</v>
      </c>
      <c r="AL58" s="131" t="s">
        <v>44</v>
      </c>
      <c r="AM58" s="131" t="s">
        <v>44</v>
      </c>
      <c r="AN58" s="131" t="s">
        <v>44</v>
      </c>
      <c r="AO58" s="131" t="s">
        <v>44</v>
      </c>
      <c r="AP58" s="131" t="s">
        <v>44</v>
      </c>
      <c r="AQ58" s="131" t="s">
        <v>44</v>
      </c>
      <c r="AR58" s="131" t="s">
        <v>44</v>
      </c>
      <c r="AS58" s="131" t="s">
        <v>44</v>
      </c>
      <c r="AT58" s="131" t="s">
        <v>44</v>
      </c>
      <c r="AU58" s="131" t="s">
        <v>44</v>
      </c>
      <c r="AV58" s="131" t="s">
        <v>44</v>
      </c>
      <c r="AW58" s="131" t="s">
        <v>44</v>
      </c>
      <c r="AX58" s="131" t="s">
        <v>44</v>
      </c>
      <c r="AY58" s="131" t="s">
        <v>44</v>
      </c>
      <c r="AZ58" s="131" t="s">
        <v>44</v>
      </c>
      <c r="BA58" s="131" t="s">
        <v>44</v>
      </c>
      <c r="BB58" s="131" t="s">
        <v>44</v>
      </c>
      <c r="BC58" s="131" t="s">
        <v>44</v>
      </c>
      <c r="BD58" s="131" t="s">
        <v>44</v>
      </c>
      <c r="BE58" s="131" t="s">
        <v>44</v>
      </c>
      <c r="BF58" s="131" t="s">
        <v>44</v>
      </c>
      <c r="BG58" s="131" t="s">
        <v>44</v>
      </c>
      <c r="BH58" s="131" t="s">
        <v>44</v>
      </c>
      <c r="BI58" s="131" t="s">
        <v>44</v>
      </c>
      <c r="BJ58" s="131" t="s">
        <v>44</v>
      </c>
      <c r="BK58" s="131" t="s">
        <v>44</v>
      </c>
      <c r="BL58" s="131"/>
      <c r="BM58" s="131"/>
      <c r="BN58" s="131"/>
      <c r="BO58" s="382"/>
      <c r="BP58" s="382"/>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row>
    <row r="59" spans="1:103">
      <c r="A59" s="414" t="s">
        <v>23</v>
      </c>
      <c r="B59" s="416"/>
      <c r="C59" s="22" t="s">
        <v>52</v>
      </c>
      <c r="D59" s="25" t="s">
        <v>44</v>
      </c>
      <c r="E59" s="25" t="s">
        <v>44</v>
      </c>
      <c r="F59" s="25" t="s">
        <v>44</v>
      </c>
      <c r="G59" s="25" t="s">
        <v>44</v>
      </c>
      <c r="H59" s="25" t="s">
        <v>44</v>
      </c>
      <c r="I59" s="25" t="s">
        <v>44</v>
      </c>
      <c r="J59" s="25" t="s">
        <v>44</v>
      </c>
      <c r="K59" s="25" t="s">
        <v>44</v>
      </c>
      <c r="L59" s="25" t="s">
        <v>44</v>
      </c>
      <c r="M59" s="25" t="s">
        <v>44</v>
      </c>
      <c r="N59" s="25" t="s">
        <v>44</v>
      </c>
      <c r="O59" s="25" t="s">
        <v>44</v>
      </c>
      <c r="P59" s="25" t="s">
        <v>44</v>
      </c>
      <c r="Q59" s="25" t="s">
        <v>44</v>
      </c>
      <c r="R59" s="25" t="s">
        <v>44</v>
      </c>
      <c r="S59" s="25" t="s">
        <v>44</v>
      </c>
      <c r="T59" s="25" t="s">
        <v>44</v>
      </c>
      <c r="U59" s="25" t="s">
        <v>44</v>
      </c>
      <c r="V59" s="25" t="s">
        <v>44</v>
      </c>
      <c r="W59" s="25" t="s">
        <v>44</v>
      </c>
      <c r="X59" s="25" t="s">
        <v>44</v>
      </c>
      <c r="Y59" s="25" t="s">
        <v>44</v>
      </c>
      <c r="Z59" s="25" t="s">
        <v>44</v>
      </c>
      <c r="AA59" s="25" t="s">
        <v>44</v>
      </c>
      <c r="AB59" s="25" t="s">
        <v>44</v>
      </c>
      <c r="AC59" s="25" t="s">
        <v>44</v>
      </c>
      <c r="AD59" s="25" t="s">
        <v>44</v>
      </c>
      <c r="AE59" s="25" t="s">
        <v>44</v>
      </c>
      <c r="AF59" s="25" t="s">
        <v>44</v>
      </c>
      <c r="AG59" s="25" t="s">
        <v>44</v>
      </c>
      <c r="AH59" s="53" t="s">
        <v>44</v>
      </c>
      <c r="AI59" s="53" t="s">
        <v>44</v>
      </c>
      <c r="AJ59" s="53" t="s">
        <v>44</v>
      </c>
      <c r="AK59" s="53" t="s">
        <v>44</v>
      </c>
      <c r="AL59" s="53" t="s">
        <v>44</v>
      </c>
      <c r="AM59" s="53" t="s">
        <v>44</v>
      </c>
      <c r="AN59" s="53" t="s">
        <v>44</v>
      </c>
      <c r="AO59" s="53" t="s">
        <v>44</v>
      </c>
      <c r="AP59" s="53" t="s">
        <v>44</v>
      </c>
      <c r="AQ59" s="53" t="s">
        <v>44</v>
      </c>
      <c r="AR59" s="53">
        <v>86.051221054533414</v>
      </c>
      <c r="AS59" s="53">
        <v>84.17732650350024</v>
      </c>
      <c r="AT59" s="53">
        <v>83.464643118372322</v>
      </c>
      <c r="AU59" s="53">
        <v>82.176044535095514</v>
      </c>
      <c r="AV59" s="53">
        <v>80.03940401428396</v>
      </c>
      <c r="AW59" s="53">
        <v>79.180347688861744</v>
      </c>
      <c r="AX59" s="53">
        <v>82.114210879703847</v>
      </c>
      <c r="AY59" s="53">
        <v>82.395018031837324</v>
      </c>
      <c r="AZ59" s="53">
        <v>81.580794287719513</v>
      </c>
      <c r="BA59" s="53">
        <v>81.745001759432341</v>
      </c>
      <c r="BB59" s="53">
        <v>83.027653754630421</v>
      </c>
      <c r="BC59" s="53">
        <v>83.552373688416736</v>
      </c>
      <c r="BD59" s="53">
        <v>83.527530551283661</v>
      </c>
      <c r="BE59" s="53">
        <v>83.983773586074648</v>
      </c>
      <c r="BF59" s="53">
        <v>83.366829565280014</v>
      </c>
      <c r="BG59" s="53">
        <v>83.60356373915225</v>
      </c>
      <c r="BH59" s="53">
        <v>83.530101017274134</v>
      </c>
      <c r="BI59" s="53">
        <v>83.049100981263351</v>
      </c>
      <c r="BJ59" s="53">
        <v>82.799993789350296</v>
      </c>
      <c r="BK59" s="53">
        <v>82.236085616681791</v>
      </c>
      <c r="BL59" s="53">
        <v>83.158939963091683</v>
      </c>
      <c r="BM59" s="53">
        <v>82.512064496355976</v>
      </c>
      <c r="BN59" s="53"/>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row>
    <row r="60" spans="1:103">
      <c r="A60" s="415"/>
      <c r="B60" s="417"/>
      <c r="C60" s="127" t="s">
        <v>53</v>
      </c>
      <c r="D60" s="129" t="s">
        <v>44</v>
      </c>
      <c r="E60" s="129" t="s">
        <v>44</v>
      </c>
      <c r="F60" s="129" t="s">
        <v>44</v>
      </c>
      <c r="G60" s="129" t="s">
        <v>44</v>
      </c>
      <c r="H60" s="129" t="s">
        <v>44</v>
      </c>
      <c r="I60" s="129" t="s">
        <v>44</v>
      </c>
      <c r="J60" s="129" t="s">
        <v>44</v>
      </c>
      <c r="K60" s="129" t="s">
        <v>44</v>
      </c>
      <c r="L60" s="129" t="s">
        <v>44</v>
      </c>
      <c r="M60" s="129" t="s">
        <v>44</v>
      </c>
      <c r="N60" s="129" t="s">
        <v>44</v>
      </c>
      <c r="O60" s="129" t="s">
        <v>44</v>
      </c>
      <c r="P60" s="129" t="s">
        <v>44</v>
      </c>
      <c r="Q60" s="129" t="s">
        <v>44</v>
      </c>
      <c r="R60" s="129" t="s">
        <v>44</v>
      </c>
      <c r="S60" s="129" t="s">
        <v>44</v>
      </c>
      <c r="T60" s="129" t="s">
        <v>44</v>
      </c>
      <c r="U60" s="129" t="s">
        <v>44</v>
      </c>
      <c r="V60" s="129" t="s">
        <v>44</v>
      </c>
      <c r="W60" s="129" t="s">
        <v>44</v>
      </c>
      <c r="X60" s="129" t="s">
        <v>44</v>
      </c>
      <c r="Y60" s="129" t="s">
        <v>44</v>
      </c>
      <c r="Z60" s="129" t="s">
        <v>44</v>
      </c>
      <c r="AA60" s="129" t="s">
        <v>44</v>
      </c>
      <c r="AB60" s="129" t="s">
        <v>44</v>
      </c>
      <c r="AC60" s="129" t="s">
        <v>44</v>
      </c>
      <c r="AD60" s="129" t="s">
        <v>44</v>
      </c>
      <c r="AE60" s="129" t="s">
        <v>44</v>
      </c>
      <c r="AF60" s="129" t="s">
        <v>44</v>
      </c>
      <c r="AG60" s="129" t="s">
        <v>44</v>
      </c>
      <c r="AH60" s="128" t="s">
        <v>44</v>
      </c>
      <c r="AI60" s="128" t="s">
        <v>44</v>
      </c>
      <c r="AJ60" s="128" t="s">
        <v>44</v>
      </c>
      <c r="AK60" s="128" t="s">
        <v>44</v>
      </c>
      <c r="AL60" s="128" t="s">
        <v>44</v>
      </c>
      <c r="AM60" s="128" t="s">
        <v>44</v>
      </c>
      <c r="AN60" s="128" t="s">
        <v>44</v>
      </c>
      <c r="AO60" s="128" t="s">
        <v>44</v>
      </c>
      <c r="AP60" s="128" t="s">
        <v>44</v>
      </c>
      <c r="AQ60" s="128" t="s">
        <v>44</v>
      </c>
      <c r="AR60" s="55">
        <v>12.192779065915866</v>
      </c>
      <c r="AS60" s="55">
        <v>13.849255826662102</v>
      </c>
      <c r="AT60" s="55">
        <v>14.65755042197345</v>
      </c>
      <c r="AU60" s="55">
        <v>15.682489099281661</v>
      </c>
      <c r="AV60" s="55">
        <v>17.643989915683186</v>
      </c>
      <c r="AW60" s="55">
        <v>18.320797699042966</v>
      </c>
      <c r="AX60" s="55">
        <v>15.917147056866504</v>
      </c>
      <c r="AY60" s="55">
        <v>15.895377504300571</v>
      </c>
      <c r="AZ60" s="55">
        <v>16.855346871519462</v>
      </c>
      <c r="BA60" s="55">
        <v>16.679095684064063</v>
      </c>
      <c r="BB60" s="55">
        <v>15.597784755783431</v>
      </c>
      <c r="BC60" s="55">
        <v>15.242321939183256</v>
      </c>
      <c r="BD60" s="55">
        <v>15.306674656728008</v>
      </c>
      <c r="BE60" s="55">
        <v>14.796457325894419</v>
      </c>
      <c r="BF60" s="55">
        <v>15.398665169701511</v>
      </c>
      <c r="BG60" s="55">
        <v>15.311662065594991</v>
      </c>
      <c r="BH60" s="55">
        <v>15.345748930353118</v>
      </c>
      <c r="BI60" s="55">
        <v>15.83237223724263</v>
      </c>
      <c r="BJ60" s="55">
        <v>16.060740154179378</v>
      </c>
      <c r="BK60" s="55">
        <v>16.568475365760854</v>
      </c>
      <c r="BL60" s="55">
        <v>15.732639506889864</v>
      </c>
      <c r="BM60" s="55">
        <v>16.372391653290531</v>
      </c>
      <c r="BN60" s="55"/>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row>
    <row r="61" spans="1:103">
      <c r="A61" s="415"/>
      <c r="B61" s="417"/>
      <c r="C61" s="133" t="s">
        <v>55</v>
      </c>
      <c r="D61" s="130" t="s">
        <v>44</v>
      </c>
      <c r="E61" s="130" t="s">
        <v>44</v>
      </c>
      <c r="F61" s="130" t="s">
        <v>44</v>
      </c>
      <c r="G61" s="130" t="s">
        <v>44</v>
      </c>
      <c r="H61" s="130" t="s">
        <v>44</v>
      </c>
      <c r="I61" s="130" t="s">
        <v>44</v>
      </c>
      <c r="J61" s="130" t="s">
        <v>44</v>
      </c>
      <c r="K61" s="130" t="s">
        <v>44</v>
      </c>
      <c r="L61" s="130" t="s">
        <v>44</v>
      </c>
      <c r="M61" s="130" t="s">
        <v>44</v>
      </c>
      <c r="N61" s="130" t="s">
        <v>44</v>
      </c>
      <c r="O61" s="130" t="s">
        <v>44</v>
      </c>
      <c r="P61" s="130" t="s">
        <v>44</v>
      </c>
      <c r="Q61" s="130" t="s">
        <v>44</v>
      </c>
      <c r="R61" s="130" t="s">
        <v>44</v>
      </c>
      <c r="S61" s="130" t="s">
        <v>44</v>
      </c>
      <c r="T61" s="130" t="s">
        <v>44</v>
      </c>
      <c r="U61" s="130" t="s">
        <v>44</v>
      </c>
      <c r="V61" s="130" t="s">
        <v>44</v>
      </c>
      <c r="W61" s="130" t="s">
        <v>44</v>
      </c>
      <c r="X61" s="130" t="s">
        <v>44</v>
      </c>
      <c r="Y61" s="130" t="s">
        <v>44</v>
      </c>
      <c r="Z61" s="130" t="s">
        <v>44</v>
      </c>
      <c r="AA61" s="130" t="s">
        <v>44</v>
      </c>
      <c r="AB61" s="130" t="s">
        <v>44</v>
      </c>
      <c r="AC61" s="130" t="s">
        <v>44</v>
      </c>
      <c r="AD61" s="130" t="s">
        <v>44</v>
      </c>
      <c r="AE61" s="130" t="s">
        <v>44</v>
      </c>
      <c r="AF61" s="130" t="s">
        <v>44</v>
      </c>
      <c r="AG61" s="130" t="s">
        <v>44</v>
      </c>
      <c r="AH61" s="131" t="s">
        <v>44</v>
      </c>
      <c r="AI61" s="131" t="s">
        <v>44</v>
      </c>
      <c r="AJ61" s="131" t="s">
        <v>44</v>
      </c>
      <c r="AK61" s="131" t="s">
        <v>44</v>
      </c>
      <c r="AL61" s="131" t="s">
        <v>44</v>
      </c>
      <c r="AM61" s="131" t="s">
        <v>44</v>
      </c>
      <c r="AN61" s="131" t="s">
        <v>44</v>
      </c>
      <c r="AO61" s="131" t="s">
        <v>44</v>
      </c>
      <c r="AP61" s="131" t="s">
        <v>44</v>
      </c>
      <c r="AQ61" s="131" t="s">
        <v>44</v>
      </c>
      <c r="AR61" s="131">
        <v>1.5839079767532898</v>
      </c>
      <c r="AS61" s="131">
        <v>1.7146293894292526</v>
      </c>
      <c r="AT61" s="131">
        <v>1.648205669827504</v>
      </c>
      <c r="AU61" s="131">
        <v>1.7674204883918507</v>
      </c>
      <c r="AV61" s="131">
        <v>1.7958638746848652</v>
      </c>
      <c r="AW61" s="131">
        <v>1.7631019649765833</v>
      </c>
      <c r="AX61" s="131">
        <v>1.5075582063550632</v>
      </c>
      <c r="AY61" s="131">
        <v>1.4272657680340204</v>
      </c>
      <c r="AZ61" s="131">
        <v>1.449430145095586</v>
      </c>
      <c r="BA61" s="131">
        <v>1.4955174829464197</v>
      </c>
      <c r="BB61" s="131">
        <v>1.3437431003606213</v>
      </c>
      <c r="BC61" s="131">
        <v>1.1768924327001673</v>
      </c>
      <c r="BD61" s="131">
        <v>1.142558389105796</v>
      </c>
      <c r="BE61" s="131">
        <v>1.1988587608075414</v>
      </c>
      <c r="BF61" s="131">
        <v>1.2037367392563836</v>
      </c>
      <c r="BG61" s="131">
        <v>1.0565403463352134</v>
      </c>
      <c r="BH61" s="131">
        <v>1.0202922222024962</v>
      </c>
      <c r="BI61" s="131">
        <v>1.010947042029835</v>
      </c>
      <c r="BJ61" s="131">
        <v>0.99176312581999992</v>
      </c>
      <c r="BK61" s="131">
        <v>0.98114643396234302</v>
      </c>
      <c r="BL61" s="131">
        <v>0.97095109179305106</v>
      </c>
      <c r="BM61" s="131">
        <v>0.94022555023973142</v>
      </c>
      <c r="BN61" s="131"/>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c r="CO61" s="50"/>
      <c r="CP61" s="50"/>
      <c r="CQ61" s="50"/>
      <c r="CR61" s="50"/>
      <c r="CS61" s="50"/>
      <c r="CT61" s="50"/>
      <c r="CU61" s="50"/>
      <c r="CV61" s="50"/>
      <c r="CW61" s="50"/>
      <c r="CX61" s="50"/>
      <c r="CY61" s="50"/>
    </row>
    <row r="62" spans="1:103" s="2" customFormat="1">
      <c r="A62" s="414" t="s">
        <v>4</v>
      </c>
      <c r="B62" s="416"/>
      <c r="C62" s="22" t="s">
        <v>52</v>
      </c>
      <c r="D62" s="25" t="s">
        <v>44</v>
      </c>
      <c r="E62" s="25" t="s">
        <v>44</v>
      </c>
      <c r="F62" s="25" t="s">
        <v>44</v>
      </c>
      <c r="G62" s="25" t="s">
        <v>44</v>
      </c>
      <c r="H62" s="25" t="s">
        <v>44</v>
      </c>
      <c r="I62" s="25" t="s">
        <v>44</v>
      </c>
      <c r="J62" s="25" t="s">
        <v>44</v>
      </c>
      <c r="K62" s="25" t="s">
        <v>44</v>
      </c>
      <c r="L62" s="25" t="s">
        <v>44</v>
      </c>
      <c r="M62" s="25" t="s">
        <v>44</v>
      </c>
      <c r="N62" s="25" t="s">
        <v>44</v>
      </c>
      <c r="O62" s="25" t="s">
        <v>44</v>
      </c>
      <c r="P62" s="25" t="s">
        <v>44</v>
      </c>
      <c r="Q62" s="25" t="s">
        <v>44</v>
      </c>
      <c r="R62" s="25" t="s">
        <v>44</v>
      </c>
      <c r="S62" s="25" t="s">
        <v>44</v>
      </c>
      <c r="T62" s="25" t="s">
        <v>44</v>
      </c>
      <c r="U62" s="25" t="s">
        <v>44</v>
      </c>
      <c r="V62" s="25" t="s">
        <v>44</v>
      </c>
      <c r="W62" s="25" t="s">
        <v>44</v>
      </c>
      <c r="X62" s="25" t="s">
        <v>44</v>
      </c>
      <c r="Y62" s="25" t="s">
        <v>44</v>
      </c>
      <c r="Z62" s="25" t="s">
        <v>44</v>
      </c>
      <c r="AA62" s="25" t="s">
        <v>44</v>
      </c>
      <c r="AB62" s="25" t="s">
        <v>44</v>
      </c>
      <c r="AC62" s="25" t="s">
        <v>44</v>
      </c>
      <c r="AD62" s="25" t="s">
        <v>44</v>
      </c>
      <c r="AE62" s="25" t="s">
        <v>44</v>
      </c>
      <c r="AF62" s="25" t="s">
        <v>44</v>
      </c>
      <c r="AG62" s="25" t="s">
        <v>44</v>
      </c>
      <c r="AH62" s="53">
        <v>71.815064143274483</v>
      </c>
      <c r="AI62" s="53">
        <v>71.618838698124193</v>
      </c>
      <c r="AJ62" s="53">
        <v>69.632510516707683</v>
      </c>
      <c r="AK62" s="53">
        <v>68.922254216371854</v>
      </c>
      <c r="AL62" s="53">
        <v>71.936571033529205</v>
      </c>
      <c r="AM62" s="53">
        <v>71.965317919075147</v>
      </c>
      <c r="AN62" s="53">
        <v>71.26842433049616</v>
      </c>
      <c r="AO62" s="53">
        <v>69.493801652892557</v>
      </c>
      <c r="AP62" s="53">
        <v>68.898454517166272</v>
      </c>
      <c r="AQ62" s="53">
        <v>69.454197255027125</v>
      </c>
      <c r="AR62" s="53">
        <v>70.421235479318213</v>
      </c>
      <c r="AS62" s="53">
        <v>72.197018794556058</v>
      </c>
      <c r="AT62" s="53">
        <v>73.218319983569529</v>
      </c>
      <c r="AU62" s="53">
        <v>73.51086194814296</v>
      </c>
      <c r="AV62" s="53">
        <v>74.132111861137901</v>
      </c>
      <c r="AW62" s="53">
        <v>72.859534438775512</v>
      </c>
      <c r="AX62" s="53">
        <v>72.482211275314725</v>
      </c>
      <c r="AY62" s="53">
        <v>83.176695248436744</v>
      </c>
      <c r="AZ62" s="53">
        <v>72.910551521705543</v>
      </c>
      <c r="BA62" s="53">
        <v>72.231738035264485</v>
      </c>
      <c r="BB62" s="53">
        <v>73.213132400430567</v>
      </c>
      <c r="BC62" s="53">
        <v>72.741635687732341</v>
      </c>
      <c r="BD62" s="53">
        <v>72.336357168267511</v>
      </c>
      <c r="BE62" s="53" t="s">
        <v>44</v>
      </c>
      <c r="BF62" s="53">
        <v>70.823012385137844</v>
      </c>
      <c r="BG62" s="53">
        <v>71.454799148123669</v>
      </c>
      <c r="BH62" s="53">
        <v>71.677434240886015</v>
      </c>
      <c r="BI62" s="53">
        <v>70.269961977186313</v>
      </c>
      <c r="BJ62" s="53">
        <v>68.234032776841786</v>
      </c>
      <c r="BK62" s="53">
        <v>65.496462172459374</v>
      </c>
      <c r="BL62" s="53">
        <v>67.197720052326673</v>
      </c>
      <c r="BM62" s="53">
        <v>68.485037406483798</v>
      </c>
      <c r="BN62" s="5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row>
    <row r="63" spans="1:103">
      <c r="A63" s="415"/>
      <c r="B63" s="417"/>
      <c r="C63" s="127" t="s">
        <v>53</v>
      </c>
      <c r="D63" s="129" t="s">
        <v>44</v>
      </c>
      <c r="E63" s="129" t="s">
        <v>44</v>
      </c>
      <c r="F63" s="129" t="s">
        <v>44</v>
      </c>
      <c r="G63" s="129" t="s">
        <v>44</v>
      </c>
      <c r="H63" s="129" t="s">
        <v>44</v>
      </c>
      <c r="I63" s="129" t="s">
        <v>44</v>
      </c>
      <c r="J63" s="129" t="s">
        <v>44</v>
      </c>
      <c r="K63" s="129" t="s">
        <v>44</v>
      </c>
      <c r="L63" s="129" t="s">
        <v>44</v>
      </c>
      <c r="M63" s="129" t="s">
        <v>44</v>
      </c>
      <c r="N63" s="129" t="s">
        <v>44</v>
      </c>
      <c r="O63" s="129" t="s">
        <v>44</v>
      </c>
      <c r="P63" s="129" t="s">
        <v>44</v>
      </c>
      <c r="Q63" s="129" t="s">
        <v>44</v>
      </c>
      <c r="R63" s="129" t="s">
        <v>44</v>
      </c>
      <c r="S63" s="129" t="s">
        <v>44</v>
      </c>
      <c r="T63" s="129" t="s">
        <v>44</v>
      </c>
      <c r="U63" s="129" t="s">
        <v>44</v>
      </c>
      <c r="V63" s="129" t="s">
        <v>44</v>
      </c>
      <c r="W63" s="129" t="s">
        <v>44</v>
      </c>
      <c r="X63" s="129" t="s">
        <v>44</v>
      </c>
      <c r="Y63" s="129" t="s">
        <v>44</v>
      </c>
      <c r="Z63" s="129" t="s">
        <v>44</v>
      </c>
      <c r="AA63" s="129" t="s">
        <v>44</v>
      </c>
      <c r="AB63" s="129" t="s">
        <v>44</v>
      </c>
      <c r="AC63" s="129" t="s">
        <v>44</v>
      </c>
      <c r="AD63" s="129" t="s">
        <v>44</v>
      </c>
      <c r="AE63" s="129" t="s">
        <v>44</v>
      </c>
      <c r="AF63" s="129" t="s">
        <v>44</v>
      </c>
      <c r="AG63" s="129" t="s">
        <v>44</v>
      </c>
      <c r="AH63" s="128">
        <v>25.085736059951735</v>
      </c>
      <c r="AI63" s="128">
        <v>24.947396696064825</v>
      </c>
      <c r="AJ63" s="128">
        <v>27.028600153451332</v>
      </c>
      <c r="AK63" s="128">
        <v>27.327574386397917</v>
      </c>
      <c r="AL63" s="128">
        <v>24.835810577255444</v>
      </c>
      <c r="AM63" s="128">
        <v>24.453576589595375</v>
      </c>
      <c r="AN63" s="128">
        <v>24.444675108988996</v>
      </c>
      <c r="AO63" s="128">
        <v>26.301652892561982</v>
      </c>
      <c r="AP63" s="128">
        <v>26.916294990146248</v>
      </c>
      <c r="AQ63" s="128">
        <v>26.252792850303226</v>
      </c>
      <c r="AR63" s="128">
        <v>25.968950168277061</v>
      </c>
      <c r="AS63" s="128">
        <v>24.519334629509611</v>
      </c>
      <c r="AT63" s="128">
        <v>23.480180735263914</v>
      </c>
      <c r="AU63" s="128">
        <v>23.490839923916308</v>
      </c>
      <c r="AV63" s="128">
        <v>22.999035679845708</v>
      </c>
      <c r="AW63" s="128">
        <v>24.011479591836736</v>
      </c>
      <c r="AX63" s="128">
        <v>24.736590038314176</v>
      </c>
      <c r="AY63" s="128" t="s">
        <v>44</v>
      </c>
      <c r="AZ63" s="128">
        <v>24.355013131469182</v>
      </c>
      <c r="BA63" s="128">
        <v>24.997481108312343</v>
      </c>
      <c r="BB63" s="128">
        <v>24.144241119483315</v>
      </c>
      <c r="BC63" s="128">
        <v>24.91635687732342</v>
      </c>
      <c r="BD63" s="128">
        <v>25.035574528637493</v>
      </c>
      <c r="BE63" s="128" t="s">
        <v>44</v>
      </c>
      <c r="BF63" s="128">
        <v>26.524170994806234</v>
      </c>
      <c r="BG63" s="128">
        <v>26.206212822207537</v>
      </c>
      <c r="BH63" s="128">
        <v>26.011382864174742</v>
      </c>
      <c r="BI63" s="128">
        <v>27.425855513307983</v>
      </c>
      <c r="BJ63" s="128">
        <v>28.836728442334202</v>
      </c>
      <c r="BK63" s="128">
        <v>31.198973641240961</v>
      </c>
      <c r="BL63" s="128"/>
      <c r="BM63" s="128"/>
      <c r="BN63" s="128"/>
      <c r="CX63" s="50"/>
      <c r="CY63" s="50"/>
    </row>
    <row r="64" spans="1:103" s="2" customFormat="1">
      <c r="A64" s="415"/>
      <c r="B64" s="417"/>
      <c r="C64" s="133" t="s">
        <v>55</v>
      </c>
      <c r="D64" s="130" t="s">
        <v>44</v>
      </c>
      <c r="E64" s="130" t="s">
        <v>44</v>
      </c>
      <c r="F64" s="130" t="s">
        <v>44</v>
      </c>
      <c r="G64" s="130" t="s">
        <v>44</v>
      </c>
      <c r="H64" s="130" t="s">
        <v>44</v>
      </c>
      <c r="I64" s="130" t="s">
        <v>44</v>
      </c>
      <c r="J64" s="130" t="s">
        <v>44</v>
      </c>
      <c r="K64" s="130" t="s">
        <v>44</v>
      </c>
      <c r="L64" s="130" t="s">
        <v>44</v>
      </c>
      <c r="M64" s="130" t="s">
        <v>44</v>
      </c>
      <c r="N64" s="130" t="s">
        <v>44</v>
      </c>
      <c r="O64" s="130" t="s">
        <v>44</v>
      </c>
      <c r="P64" s="130" t="s">
        <v>44</v>
      </c>
      <c r="Q64" s="130" t="s">
        <v>44</v>
      </c>
      <c r="R64" s="130" t="s">
        <v>44</v>
      </c>
      <c r="S64" s="130" t="s">
        <v>44</v>
      </c>
      <c r="T64" s="130" t="s">
        <v>44</v>
      </c>
      <c r="U64" s="130" t="s">
        <v>44</v>
      </c>
      <c r="V64" s="130" t="s">
        <v>44</v>
      </c>
      <c r="W64" s="130" t="s">
        <v>44</v>
      </c>
      <c r="X64" s="130" t="s">
        <v>44</v>
      </c>
      <c r="Y64" s="130" t="s">
        <v>44</v>
      </c>
      <c r="Z64" s="130" t="s">
        <v>44</v>
      </c>
      <c r="AA64" s="130" t="s">
        <v>44</v>
      </c>
      <c r="AB64" s="130" t="s">
        <v>44</v>
      </c>
      <c r="AC64" s="130" t="s">
        <v>44</v>
      </c>
      <c r="AD64" s="130" t="s">
        <v>44</v>
      </c>
      <c r="AE64" s="130" t="s">
        <v>44</v>
      </c>
      <c r="AF64" s="130" t="s">
        <v>44</v>
      </c>
      <c r="AG64" s="130" t="s">
        <v>44</v>
      </c>
      <c r="AH64" s="131">
        <v>3.0991997967737839</v>
      </c>
      <c r="AI64" s="131">
        <v>3.4337646058109863</v>
      </c>
      <c r="AJ64" s="131">
        <v>3.3388893298409923</v>
      </c>
      <c r="AK64" s="131">
        <v>3.7501713972302211</v>
      </c>
      <c r="AL64" s="131">
        <v>3.2276183892153476</v>
      </c>
      <c r="AM64" s="131">
        <v>3.5811054913294798</v>
      </c>
      <c r="AN64" s="131">
        <v>4.2869005605148436</v>
      </c>
      <c r="AO64" s="131">
        <v>4.2045454545454541</v>
      </c>
      <c r="AP64" s="131">
        <v>4.1852504926874801</v>
      </c>
      <c r="AQ64" s="131">
        <v>4.2930098946696456</v>
      </c>
      <c r="AR64" s="131">
        <v>3.609814352404733</v>
      </c>
      <c r="AS64" s="131">
        <v>3.283646575934327</v>
      </c>
      <c r="AT64" s="131">
        <v>3.3014992811665635</v>
      </c>
      <c r="AU64" s="131">
        <v>2.9982981279407346</v>
      </c>
      <c r="AV64" s="131">
        <v>2.8688524590163933</v>
      </c>
      <c r="AW64" s="131">
        <v>3.1289859693877551</v>
      </c>
      <c r="AX64" s="131">
        <v>2.7811986863711002</v>
      </c>
      <c r="AY64" s="131" t="s">
        <v>44</v>
      </c>
      <c r="AZ64" s="131">
        <v>2.7344353468252742</v>
      </c>
      <c r="BA64" s="131">
        <v>2.770780856423174</v>
      </c>
      <c r="BB64" s="131">
        <v>2.6426264800861143</v>
      </c>
      <c r="BC64" s="131">
        <v>2.3420074349442381</v>
      </c>
      <c r="BD64" s="131">
        <v>2.6280683030949841</v>
      </c>
      <c r="BE64" s="131" t="s">
        <v>44</v>
      </c>
      <c r="BF64" s="131">
        <v>2.6528166200559329</v>
      </c>
      <c r="BG64" s="131">
        <v>2.3389880296687964</v>
      </c>
      <c r="BH64" s="131">
        <v>2.3111828949392401</v>
      </c>
      <c r="BI64" s="131">
        <v>2.3041825095057034</v>
      </c>
      <c r="BJ64" s="131">
        <v>2.9292387808240159</v>
      </c>
      <c r="BK64" s="131">
        <v>3.3045641862996655</v>
      </c>
      <c r="BL64" s="131"/>
      <c r="BM64" s="131"/>
      <c r="BN64" s="131"/>
      <c r="BO64" s="382"/>
      <c r="BP64" s="382"/>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row>
    <row r="65" spans="1:103">
      <c r="A65" s="414" t="s">
        <v>3</v>
      </c>
      <c r="B65" s="416"/>
      <c r="C65" s="22" t="s">
        <v>52</v>
      </c>
      <c r="D65" s="25" t="s">
        <v>44</v>
      </c>
      <c r="E65" s="25" t="s">
        <v>44</v>
      </c>
      <c r="F65" s="25" t="s">
        <v>44</v>
      </c>
      <c r="G65" s="25" t="s">
        <v>44</v>
      </c>
      <c r="H65" s="25" t="s">
        <v>44</v>
      </c>
      <c r="I65" s="25" t="s">
        <v>44</v>
      </c>
      <c r="J65" s="25" t="s">
        <v>44</v>
      </c>
      <c r="K65" s="25" t="s">
        <v>44</v>
      </c>
      <c r="L65" s="25" t="s">
        <v>44</v>
      </c>
      <c r="M65" s="25" t="s">
        <v>44</v>
      </c>
      <c r="N65" s="25" t="s">
        <v>44</v>
      </c>
      <c r="O65" s="25" t="s">
        <v>44</v>
      </c>
      <c r="P65" s="25" t="s">
        <v>44</v>
      </c>
      <c r="Q65" s="25" t="s">
        <v>44</v>
      </c>
      <c r="R65" s="25" t="s">
        <v>44</v>
      </c>
      <c r="S65" s="25" t="s">
        <v>44</v>
      </c>
      <c r="T65" s="25" t="s">
        <v>44</v>
      </c>
      <c r="U65" s="25" t="s">
        <v>44</v>
      </c>
      <c r="V65" s="25" t="s">
        <v>44</v>
      </c>
      <c r="W65" s="25" t="s">
        <v>44</v>
      </c>
      <c r="X65" s="25" t="s">
        <v>44</v>
      </c>
      <c r="Y65" s="25" t="s">
        <v>44</v>
      </c>
      <c r="Z65" s="25" t="s">
        <v>44</v>
      </c>
      <c r="AA65" s="25" t="s">
        <v>44</v>
      </c>
      <c r="AB65" s="25" t="s">
        <v>44</v>
      </c>
      <c r="AC65" s="25" t="s">
        <v>44</v>
      </c>
      <c r="AD65" s="25" t="s">
        <v>44</v>
      </c>
      <c r="AE65" s="25" t="s">
        <v>44</v>
      </c>
      <c r="AF65" s="25" t="s">
        <v>44</v>
      </c>
      <c r="AG65" s="25" t="s">
        <v>44</v>
      </c>
      <c r="AH65" s="53" t="s">
        <v>44</v>
      </c>
      <c r="AI65" s="53" t="s">
        <v>44</v>
      </c>
      <c r="AJ65" s="53" t="s">
        <v>44</v>
      </c>
      <c r="AK65" s="53" t="s">
        <v>44</v>
      </c>
      <c r="AL65" s="53" t="s">
        <v>44</v>
      </c>
      <c r="AM65" s="53">
        <v>81.639107255805541</v>
      </c>
      <c r="AN65" s="53">
        <v>80.567386302442841</v>
      </c>
      <c r="AO65" s="53">
        <v>80.789697743720737</v>
      </c>
      <c r="AP65" s="53">
        <v>80.061133953689676</v>
      </c>
      <c r="AQ65" s="53">
        <v>79.562881289528178</v>
      </c>
      <c r="AR65" s="53">
        <v>79.063988403396152</v>
      </c>
      <c r="AS65" s="53">
        <v>78.79172483817743</v>
      </c>
      <c r="AT65" s="53">
        <v>78.915755905755589</v>
      </c>
      <c r="AU65" s="53">
        <v>79.326398915637796</v>
      </c>
      <c r="AV65" s="53">
        <v>78.134476628673013</v>
      </c>
      <c r="AW65" s="53">
        <v>77.910417816120784</v>
      </c>
      <c r="AX65" s="53">
        <v>77.471053374752898</v>
      </c>
      <c r="AY65" s="53">
        <v>86.50832397598009</v>
      </c>
      <c r="AZ65" s="53">
        <v>77.34904209782654</v>
      </c>
      <c r="BA65" s="53">
        <v>78.872553792230548</v>
      </c>
      <c r="BB65" s="53">
        <v>79.296875</v>
      </c>
      <c r="BC65" s="53">
        <v>78.23214192809948</v>
      </c>
      <c r="BD65" s="53">
        <v>78.793746067089415</v>
      </c>
      <c r="BE65" s="53">
        <v>78.41369876398457</v>
      </c>
      <c r="BF65" s="53">
        <v>77.752687200794867</v>
      </c>
      <c r="BG65" s="53">
        <v>78.100695865738842</v>
      </c>
      <c r="BH65" s="53">
        <v>76.757858247060469</v>
      </c>
      <c r="BI65" s="53">
        <v>76.380628717077315</v>
      </c>
      <c r="BJ65" s="53">
        <v>75.681564811999593</v>
      </c>
      <c r="BK65" s="53">
        <v>74.825658906778784</v>
      </c>
      <c r="BL65" s="53">
        <v>74.544087848879016</v>
      </c>
      <c r="BM65" s="53">
        <v>75.507043511927805</v>
      </c>
      <c r="BN65" s="53"/>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c r="CO65" s="50"/>
      <c r="CP65" s="50"/>
      <c r="CQ65" s="50"/>
      <c r="CR65" s="50"/>
      <c r="CS65" s="50"/>
      <c r="CT65" s="50"/>
      <c r="CU65" s="50"/>
      <c r="CV65" s="50"/>
      <c r="CW65" s="50"/>
      <c r="CX65" s="50"/>
      <c r="CY65" s="50"/>
    </row>
    <row r="66" spans="1:103">
      <c r="A66" s="415"/>
      <c r="B66" s="417"/>
      <c r="C66" s="127" t="s">
        <v>53</v>
      </c>
      <c r="D66" s="129" t="s">
        <v>44</v>
      </c>
      <c r="E66" s="129" t="s">
        <v>44</v>
      </c>
      <c r="F66" s="129" t="s">
        <v>44</v>
      </c>
      <c r="G66" s="129" t="s">
        <v>44</v>
      </c>
      <c r="H66" s="129" t="s">
        <v>44</v>
      </c>
      <c r="I66" s="129" t="s">
        <v>44</v>
      </c>
      <c r="J66" s="129" t="s">
        <v>44</v>
      </c>
      <c r="K66" s="129" t="s">
        <v>44</v>
      </c>
      <c r="L66" s="129" t="s">
        <v>44</v>
      </c>
      <c r="M66" s="129" t="s">
        <v>44</v>
      </c>
      <c r="N66" s="129" t="s">
        <v>44</v>
      </c>
      <c r="O66" s="129" t="s">
        <v>44</v>
      </c>
      <c r="P66" s="129" t="s">
        <v>44</v>
      </c>
      <c r="Q66" s="129" t="s">
        <v>44</v>
      </c>
      <c r="R66" s="129" t="s">
        <v>44</v>
      </c>
      <c r="S66" s="129" t="s">
        <v>44</v>
      </c>
      <c r="T66" s="129" t="s">
        <v>44</v>
      </c>
      <c r="U66" s="129" t="s">
        <v>44</v>
      </c>
      <c r="V66" s="129" t="s">
        <v>44</v>
      </c>
      <c r="W66" s="129" t="s">
        <v>44</v>
      </c>
      <c r="X66" s="129" t="s">
        <v>44</v>
      </c>
      <c r="Y66" s="129" t="s">
        <v>44</v>
      </c>
      <c r="Z66" s="129" t="s">
        <v>44</v>
      </c>
      <c r="AA66" s="129" t="s">
        <v>44</v>
      </c>
      <c r="AB66" s="129" t="s">
        <v>44</v>
      </c>
      <c r="AC66" s="129" t="s">
        <v>44</v>
      </c>
      <c r="AD66" s="129" t="s">
        <v>44</v>
      </c>
      <c r="AE66" s="129" t="s">
        <v>44</v>
      </c>
      <c r="AF66" s="129" t="s">
        <v>44</v>
      </c>
      <c r="AG66" s="129" t="s">
        <v>44</v>
      </c>
      <c r="AH66" s="128" t="s">
        <v>44</v>
      </c>
      <c r="AI66" s="128" t="s">
        <v>44</v>
      </c>
      <c r="AJ66" s="128" t="s">
        <v>44</v>
      </c>
      <c r="AK66" s="128" t="s">
        <v>44</v>
      </c>
      <c r="AL66" s="128" t="s">
        <v>44</v>
      </c>
      <c r="AM66" s="128">
        <v>15.552995391705068</v>
      </c>
      <c r="AN66" s="128">
        <v>16.360699074754002</v>
      </c>
      <c r="AO66" s="128">
        <v>16.711898680289487</v>
      </c>
      <c r="AP66" s="128">
        <v>17.653105388444061</v>
      </c>
      <c r="AQ66" s="128">
        <v>18.150780769015505</v>
      </c>
      <c r="AR66" s="128">
        <v>18.551607845457504</v>
      </c>
      <c r="AS66" s="128">
        <v>19.107754791217161</v>
      </c>
      <c r="AT66" s="128">
        <v>19.235889656026504</v>
      </c>
      <c r="AU66" s="128">
        <v>18.655155140407224</v>
      </c>
      <c r="AV66" s="128">
        <v>20.022482484575971</v>
      </c>
      <c r="AW66" s="128">
        <v>20.226212569594221</v>
      </c>
      <c r="AX66" s="128">
        <v>20.547397157111927</v>
      </c>
      <c r="AY66" s="128" t="s">
        <v>44</v>
      </c>
      <c r="AZ66" s="128">
        <v>20.965798113285956</v>
      </c>
      <c r="BA66" s="128">
        <v>19.623210982377568</v>
      </c>
      <c r="BB66" s="128">
        <v>19.087114726027394</v>
      </c>
      <c r="BC66" s="128">
        <v>20.162842724103843</v>
      </c>
      <c r="BD66" s="128">
        <v>19.640350452587249</v>
      </c>
      <c r="BE66" s="128">
        <v>19.993648932532121</v>
      </c>
      <c r="BF66" s="128">
        <v>20.664348297353445</v>
      </c>
      <c r="BG66" s="128">
        <v>20.47118751989812</v>
      </c>
      <c r="BH66" s="128">
        <v>21.647069845879983</v>
      </c>
      <c r="BI66" s="128">
        <v>22.049938638723685</v>
      </c>
      <c r="BJ66" s="128">
        <v>22.696868349042262</v>
      </c>
      <c r="BK66" s="128">
        <v>23.587324376986977</v>
      </c>
      <c r="BL66" s="128"/>
      <c r="BM66" s="128"/>
      <c r="BN66" s="128"/>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c r="CO66" s="50"/>
      <c r="CP66" s="50"/>
      <c r="CQ66" s="50"/>
      <c r="CR66" s="50"/>
      <c r="CS66" s="50"/>
      <c r="CT66" s="50"/>
      <c r="CU66" s="50"/>
      <c r="CV66" s="50"/>
      <c r="CW66" s="50"/>
      <c r="CX66" s="50"/>
      <c r="CY66" s="50"/>
    </row>
    <row r="67" spans="1:103">
      <c r="A67" s="415"/>
      <c r="B67" s="417"/>
      <c r="C67" s="133" t="s">
        <v>55</v>
      </c>
      <c r="D67" s="130" t="s">
        <v>44</v>
      </c>
      <c r="E67" s="130" t="s">
        <v>44</v>
      </c>
      <c r="F67" s="130" t="s">
        <v>44</v>
      </c>
      <c r="G67" s="130" t="s">
        <v>44</v>
      </c>
      <c r="H67" s="130" t="s">
        <v>44</v>
      </c>
      <c r="I67" s="130" t="s">
        <v>44</v>
      </c>
      <c r="J67" s="130" t="s">
        <v>44</v>
      </c>
      <c r="K67" s="130" t="s">
        <v>44</v>
      </c>
      <c r="L67" s="130" t="s">
        <v>44</v>
      </c>
      <c r="M67" s="130" t="s">
        <v>44</v>
      </c>
      <c r="N67" s="130" t="s">
        <v>44</v>
      </c>
      <c r="O67" s="130" t="s">
        <v>44</v>
      </c>
      <c r="P67" s="130" t="s">
        <v>44</v>
      </c>
      <c r="Q67" s="130" t="s">
        <v>44</v>
      </c>
      <c r="R67" s="130" t="s">
        <v>44</v>
      </c>
      <c r="S67" s="130" t="s">
        <v>44</v>
      </c>
      <c r="T67" s="130" t="s">
        <v>44</v>
      </c>
      <c r="U67" s="130" t="s">
        <v>44</v>
      </c>
      <c r="V67" s="130" t="s">
        <v>44</v>
      </c>
      <c r="W67" s="130" t="s">
        <v>44</v>
      </c>
      <c r="X67" s="130" t="s">
        <v>44</v>
      </c>
      <c r="Y67" s="130" t="s">
        <v>44</v>
      </c>
      <c r="Z67" s="130" t="s">
        <v>44</v>
      </c>
      <c r="AA67" s="130" t="s">
        <v>44</v>
      </c>
      <c r="AB67" s="130" t="s">
        <v>44</v>
      </c>
      <c r="AC67" s="130" t="s">
        <v>44</v>
      </c>
      <c r="AD67" s="130" t="s">
        <v>44</v>
      </c>
      <c r="AE67" s="130" t="s">
        <v>44</v>
      </c>
      <c r="AF67" s="130" t="s">
        <v>44</v>
      </c>
      <c r="AG67" s="130" t="s">
        <v>44</v>
      </c>
      <c r="AH67" s="131" t="s">
        <v>44</v>
      </c>
      <c r="AI67" s="131" t="s">
        <v>44</v>
      </c>
      <c r="AJ67" s="131" t="s">
        <v>44</v>
      </c>
      <c r="AK67" s="131" t="s">
        <v>44</v>
      </c>
      <c r="AL67" s="131" t="s">
        <v>44</v>
      </c>
      <c r="AM67" s="131">
        <v>2.8078973524893831</v>
      </c>
      <c r="AN67" s="131">
        <v>3.0719146228031526</v>
      </c>
      <c r="AO67" s="131">
        <v>2.4984035759897831</v>
      </c>
      <c r="AP67" s="131">
        <v>2.2857606578662626</v>
      </c>
      <c r="AQ67" s="131">
        <v>2.2863379414563161</v>
      </c>
      <c r="AR67" s="131">
        <v>2.3844037511463481</v>
      </c>
      <c r="AS67" s="131">
        <v>2.1005203706054068</v>
      </c>
      <c r="AT67" s="131">
        <v>1.8483544382179016</v>
      </c>
      <c r="AU67" s="131">
        <v>2.0184459439549753</v>
      </c>
      <c r="AV67" s="131">
        <v>1.8430408867510195</v>
      </c>
      <c r="AW67" s="131">
        <v>1.8633696142849976</v>
      </c>
      <c r="AX67" s="131">
        <v>1.9815494681351784</v>
      </c>
      <c r="AY67" s="131" t="s">
        <v>44</v>
      </c>
      <c r="AZ67" s="131">
        <v>1.6851597888875036</v>
      </c>
      <c r="BA67" s="131">
        <v>1.50423522539188</v>
      </c>
      <c r="BB67" s="131">
        <v>1.6160102739726026</v>
      </c>
      <c r="BC67" s="131">
        <v>1.6050153477966806</v>
      </c>
      <c r="BD67" s="131">
        <v>1.5659034803233458</v>
      </c>
      <c r="BE67" s="131">
        <v>1.5926523034833162</v>
      </c>
      <c r="BF67" s="131">
        <v>1.5829645018516845</v>
      </c>
      <c r="BG67" s="131">
        <v>1.4281166143630328</v>
      </c>
      <c r="BH67" s="131">
        <v>1.5950719070595401</v>
      </c>
      <c r="BI67" s="131">
        <v>1.5694326441989994</v>
      </c>
      <c r="BJ67" s="131">
        <v>1.6215668389581432</v>
      </c>
      <c r="BK67" s="131">
        <v>1.5870167162342326</v>
      </c>
      <c r="BL67" s="131"/>
      <c r="BM67" s="131"/>
      <c r="BN67" s="131"/>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c r="CO67" s="50"/>
      <c r="CP67" s="50"/>
      <c r="CQ67" s="50"/>
      <c r="CR67" s="50"/>
      <c r="CS67" s="50"/>
      <c r="CT67" s="50"/>
      <c r="CU67" s="50"/>
      <c r="CV67" s="50"/>
      <c r="CW67" s="50"/>
      <c r="CX67" s="50"/>
      <c r="CY67" s="50"/>
    </row>
    <row r="68" spans="1:103" s="2" customFormat="1">
      <c r="A68" s="414" t="s">
        <v>22</v>
      </c>
      <c r="B68" s="416"/>
      <c r="C68" s="22" t="s">
        <v>52</v>
      </c>
      <c r="D68" s="25">
        <v>94.432021466905198</v>
      </c>
      <c r="E68" s="25">
        <v>93.670598911070783</v>
      </c>
      <c r="F68" s="25">
        <v>93.076208178438662</v>
      </c>
      <c r="G68" s="25">
        <v>92.626404494382015</v>
      </c>
      <c r="H68" s="25">
        <v>93.623388581952113</v>
      </c>
      <c r="I68" s="25">
        <v>92.948717948717956</v>
      </c>
      <c r="J68" s="25">
        <v>92.993197278911566</v>
      </c>
      <c r="K68" s="25">
        <v>92.64842300556586</v>
      </c>
      <c r="L68" s="25">
        <v>92.633015006821282</v>
      </c>
      <c r="M68" s="25">
        <v>92.63845114813148</v>
      </c>
      <c r="N68" s="25">
        <v>91.697588126159559</v>
      </c>
      <c r="O68" s="25">
        <v>91.905187835420392</v>
      </c>
      <c r="P68" s="25">
        <v>91.365811222270551</v>
      </c>
      <c r="Q68" s="25">
        <v>91.79462571976967</v>
      </c>
      <c r="R68" s="25">
        <v>92.120799273387831</v>
      </c>
      <c r="S68" s="25">
        <v>89.360824742268036</v>
      </c>
      <c r="T68" s="25">
        <v>89.817696754112944</v>
      </c>
      <c r="U68" s="25">
        <v>89.428699955015745</v>
      </c>
      <c r="V68" s="25">
        <v>87.640712945590991</v>
      </c>
      <c r="W68" s="25">
        <v>87.24832214765101</v>
      </c>
      <c r="X68" s="25">
        <v>87.598883201489059</v>
      </c>
      <c r="Y68" s="25">
        <v>86.686686686686684</v>
      </c>
      <c r="Z68" s="25">
        <v>85.471517472474872</v>
      </c>
      <c r="AA68" s="25">
        <v>85.39354187689203</v>
      </c>
      <c r="AB68" s="25">
        <v>85.076142131979694</v>
      </c>
      <c r="AC68" s="25">
        <v>83.741080530071358</v>
      </c>
      <c r="AD68" s="25">
        <v>83.007399577167021</v>
      </c>
      <c r="AE68" s="25">
        <v>82.022471910112358</v>
      </c>
      <c r="AF68" s="25">
        <v>82.299182299182291</v>
      </c>
      <c r="AG68" s="25">
        <v>80.723443223443226</v>
      </c>
      <c r="AH68" s="53">
        <v>80.514705882352942</v>
      </c>
      <c r="AI68" s="53">
        <v>77.295524691358025</v>
      </c>
      <c r="AJ68" s="53">
        <v>79.816878980891715</v>
      </c>
      <c r="AK68" s="53">
        <v>80.264817150063053</v>
      </c>
      <c r="AL68" s="53">
        <v>80.501807357006157</v>
      </c>
      <c r="AM68" s="53">
        <v>79.869816779170691</v>
      </c>
      <c r="AN68" s="53">
        <v>80.403800475059384</v>
      </c>
      <c r="AO68" s="53">
        <v>77.578475336322867</v>
      </c>
      <c r="AP68" s="53">
        <v>76.029411764705884</v>
      </c>
      <c r="AQ68" s="53">
        <v>76.028708133971293</v>
      </c>
      <c r="AR68" s="53">
        <v>76.280260707635009</v>
      </c>
      <c r="AS68" s="53">
        <v>75.340393343419066</v>
      </c>
      <c r="AT68" s="53">
        <v>76.063303659742829</v>
      </c>
      <c r="AU68" s="53">
        <v>74.012993503248381</v>
      </c>
      <c r="AV68" s="53">
        <v>75.587793896948469</v>
      </c>
      <c r="AW68" s="53">
        <v>74.753937007874015</v>
      </c>
      <c r="AX68" s="53">
        <v>74.53798767967146</v>
      </c>
      <c r="AY68" s="53">
        <v>85.053483665799362</v>
      </c>
      <c r="AZ68" s="53">
        <v>75.925925925925924</v>
      </c>
      <c r="BA68" s="53">
        <v>74.381828637147791</v>
      </c>
      <c r="BB68" s="53">
        <v>76.18639222412807</v>
      </c>
      <c r="BC68" s="53">
        <v>77.858809801633612</v>
      </c>
      <c r="BD68" s="53">
        <v>76.795735129068461</v>
      </c>
      <c r="BE68" s="53">
        <v>74.883855981416957</v>
      </c>
      <c r="BF68" s="53">
        <v>75.618587809293899</v>
      </c>
      <c r="BG68" s="53">
        <v>75.268292682926827</v>
      </c>
      <c r="BH68" s="53">
        <v>74.309978768577494</v>
      </c>
      <c r="BI68" s="53">
        <v>75.465268676277859</v>
      </c>
      <c r="BJ68" s="53">
        <v>76.870389884088524</v>
      </c>
      <c r="BK68" s="53">
        <v>77.298180121325245</v>
      </c>
      <c r="BL68" s="53">
        <v>79.145867997781465</v>
      </c>
      <c r="BM68" s="53">
        <v>79.151670951156817</v>
      </c>
      <c r="BN68" s="5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row>
    <row r="69" spans="1:103">
      <c r="A69" s="415"/>
      <c r="B69" s="417"/>
      <c r="C69" s="127" t="s">
        <v>53</v>
      </c>
      <c r="D69" s="129">
        <v>3.0187835420393561</v>
      </c>
      <c r="E69" s="129">
        <v>3.3802177858439206</v>
      </c>
      <c r="F69" s="129">
        <v>3.8336431226765799</v>
      </c>
      <c r="G69" s="129">
        <v>4.4007490636704123</v>
      </c>
      <c r="H69" s="129">
        <v>3.5451197053406998</v>
      </c>
      <c r="I69" s="129">
        <v>4.4184981684981688</v>
      </c>
      <c r="J69" s="129">
        <v>4.2630385487528342</v>
      </c>
      <c r="K69" s="129">
        <v>4.6150278293135436</v>
      </c>
      <c r="L69" s="129">
        <v>4.2974079126875857</v>
      </c>
      <c r="M69" s="129">
        <v>4.5925258892390817</v>
      </c>
      <c r="N69" s="129">
        <v>5.5658627087198518</v>
      </c>
      <c r="O69" s="129">
        <v>5.4338103756708414</v>
      </c>
      <c r="P69" s="129">
        <v>5.7198782079164854</v>
      </c>
      <c r="Q69" s="129">
        <v>5.6621880998080618</v>
      </c>
      <c r="R69" s="129">
        <v>5.9264305177111716</v>
      </c>
      <c r="S69" s="129">
        <v>8.8041237113402069</v>
      </c>
      <c r="T69" s="129">
        <v>7.9590929301911961</v>
      </c>
      <c r="U69" s="129">
        <v>8.7044534412955468</v>
      </c>
      <c r="V69" s="129">
        <v>10.295497185741089</v>
      </c>
      <c r="W69" s="129">
        <v>10.76222435282838</v>
      </c>
      <c r="X69" s="129">
        <v>10.539785946952071</v>
      </c>
      <c r="Y69" s="129">
        <v>11.811811811811811</v>
      </c>
      <c r="Z69" s="129">
        <v>12.374341790330302</v>
      </c>
      <c r="AA69" s="129">
        <v>12.790110998990919</v>
      </c>
      <c r="AB69" s="129">
        <v>13.553299492385786</v>
      </c>
      <c r="AC69" s="129">
        <v>14.72986748216106</v>
      </c>
      <c r="AD69" s="129">
        <v>14.799154334038056</v>
      </c>
      <c r="AE69" s="129">
        <v>16.011235955056179</v>
      </c>
      <c r="AF69" s="129">
        <v>16.426166426166429</v>
      </c>
      <c r="AG69" s="129">
        <v>17.925824175824175</v>
      </c>
      <c r="AH69" s="128">
        <v>18.057958477508652</v>
      </c>
      <c r="AI69" s="128">
        <v>21.277006172839506</v>
      </c>
      <c r="AJ69" s="128">
        <v>18.968949044585987</v>
      </c>
      <c r="AK69" s="128">
        <v>17.570407734342162</v>
      </c>
      <c r="AL69" s="128">
        <v>17.988517967254943</v>
      </c>
      <c r="AM69" s="128">
        <v>18.852459016393443</v>
      </c>
      <c r="AN69" s="128">
        <v>18.38479809976247</v>
      </c>
      <c r="AO69" s="128">
        <v>20.92675635276532</v>
      </c>
      <c r="AP69" s="128">
        <v>22.622549019607842</v>
      </c>
      <c r="AQ69" s="128">
        <v>22.296650717703347</v>
      </c>
      <c r="AR69" s="128">
        <v>22.532588454376164</v>
      </c>
      <c r="AS69" s="128">
        <v>23.424104891578416</v>
      </c>
      <c r="AT69" s="128">
        <v>22.502472799208704</v>
      </c>
      <c r="AU69" s="128">
        <v>24.462768615692156</v>
      </c>
      <c r="AV69" s="128">
        <v>23.186593296648326</v>
      </c>
      <c r="AW69" s="128">
        <v>24.187992125984252</v>
      </c>
      <c r="AX69" s="128">
        <v>24.435318275154007</v>
      </c>
      <c r="AY69" s="128" t="s">
        <v>44</v>
      </c>
      <c r="AZ69" s="128">
        <v>23.10902451747522</v>
      </c>
      <c r="BA69" s="128">
        <v>24.554341575618171</v>
      </c>
      <c r="BB69" s="128">
        <v>22.555746140651799</v>
      </c>
      <c r="BC69" s="128">
        <v>20.945157526254377</v>
      </c>
      <c r="BD69" s="128">
        <v>21.745230078563413</v>
      </c>
      <c r="BE69" s="128">
        <v>23.432055749128917</v>
      </c>
      <c r="BF69" s="128">
        <v>23.385636692818345</v>
      </c>
      <c r="BG69" s="128">
        <v>23.707317073170731</v>
      </c>
      <c r="BH69" s="128">
        <v>24.814225053078555</v>
      </c>
      <c r="BI69" s="128">
        <v>23.355176933158582</v>
      </c>
      <c r="BJ69" s="128">
        <v>22.20758693361433</v>
      </c>
      <c r="BK69" s="128">
        <v>21.838544097060193</v>
      </c>
      <c r="BL69" s="128"/>
      <c r="BM69" s="128"/>
      <c r="BN69" s="128"/>
      <c r="CX69" s="50"/>
      <c r="CY69" s="50"/>
    </row>
    <row r="70" spans="1:103" s="2" customFormat="1">
      <c r="A70" s="415"/>
      <c r="B70" s="417"/>
      <c r="C70" s="133" t="s">
        <v>55</v>
      </c>
      <c r="D70" s="130">
        <v>2.5491949910554563</v>
      </c>
      <c r="E70" s="130">
        <v>2.9491833030852996</v>
      </c>
      <c r="F70" s="130">
        <v>3.0901486988847582</v>
      </c>
      <c r="G70" s="130">
        <v>2.9728464419475653</v>
      </c>
      <c r="H70" s="130">
        <v>2.8314917127071824</v>
      </c>
      <c r="I70" s="130">
        <v>2.6327838827838828</v>
      </c>
      <c r="J70" s="130">
        <v>2.743764172335601</v>
      </c>
      <c r="K70" s="130">
        <v>2.7365491651205938</v>
      </c>
      <c r="L70" s="130">
        <v>3.0695770804911322</v>
      </c>
      <c r="M70" s="130">
        <v>2.769022962629446</v>
      </c>
      <c r="N70" s="130">
        <v>2.7365491651205938</v>
      </c>
      <c r="O70" s="130">
        <v>2.6610017889087656</v>
      </c>
      <c r="P70" s="130">
        <v>2.9143105698129621</v>
      </c>
      <c r="Q70" s="130">
        <v>2.5431861804222651</v>
      </c>
      <c r="R70" s="130">
        <v>1.9527702089009991</v>
      </c>
      <c r="S70" s="130">
        <v>1.8350515463917527</v>
      </c>
      <c r="T70" s="130">
        <v>2.2232103156958649</v>
      </c>
      <c r="U70" s="130">
        <v>1.8668466036887088</v>
      </c>
      <c r="V70" s="130">
        <v>2.0637898686679175</v>
      </c>
      <c r="W70" s="130">
        <v>1.9894534995206135</v>
      </c>
      <c r="X70" s="130">
        <v>1.8613308515588647</v>
      </c>
      <c r="Y70" s="130">
        <v>1.5015015015015014</v>
      </c>
      <c r="Z70" s="130">
        <v>2.15414073719483</v>
      </c>
      <c r="AA70" s="130">
        <v>1.8163471241170535</v>
      </c>
      <c r="AB70" s="130">
        <v>1.3705583756345179</v>
      </c>
      <c r="AC70" s="130">
        <v>1.5290519877675841</v>
      </c>
      <c r="AD70" s="130">
        <v>2.1934460887949259</v>
      </c>
      <c r="AE70" s="130">
        <v>1.9662921348314606</v>
      </c>
      <c r="AF70" s="130">
        <v>1.2746512746512748</v>
      </c>
      <c r="AG70" s="130">
        <v>1.3507326007326008</v>
      </c>
      <c r="AH70" s="131">
        <v>1.4273356401384083</v>
      </c>
      <c r="AI70" s="131">
        <v>1.4274691358024691</v>
      </c>
      <c r="AJ70" s="131">
        <v>1.214171974522293</v>
      </c>
      <c r="AK70" s="131">
        <v>2.1647751155947876</v>
      </c>
      <c r="AL70" s="131">
        <v>1.5096746757388901</v>
      </c>
      <c r="AM70" s="131">
        <v>1.2777242044358728</v>
      </c>
      <c r="AN70" s="131">
        <v>1.2114014251781473</v>
      </c>
      <c r="AO70" s="131">
        <v>1.4947683109118086</v>
      </c>
      <c r="AP70" s="131">
        <v>1.3480392156862746</v>
      </c>
      <c r="AQ70" s="131">
        <v>1.6746411483253589</v>
      </c>
      <c r="AR70" s="131">
        <v>1.1871508379888267</v>
      </c>
      <c r="AS70" s="131">
        <v>1.2355017650025213</v>
      </c>
      <c r="AT70" s="131">
        <v>1.4342235410484669</v>
      </c>
      <c r="AU70" s="131">
        <v>1.5242378810594703</v>
      </c>
      <c r="AV70" s="131">
        <v>1.2256128064032015</v>
      </c>
      <c r="AW70" s="131">
        <v>1.0580708661417324</v>
      </c>
      <c r="AX70" s="131">
        <v>1.0266940451745379</v>
      </c>
      <c r="AY70" s="131" t="s">
        <v>44</v>
      </c>
      <c r="AZ70" s="131">
        <v>0.96504955659885239</v>
      </c>
      <c r="BA70" s="131">
        <v>1.0638297872340425</v>
      </c>
      <c r="BB70" s="131">
        <v>1.257861635220126</v>
      </c>
      <c r="BC70" s="131">
        <v>1.1960326721120187</v>
      </c>
      <c r="BD70" s="131">
        <v>1.4590347923681257</v>
      </c>
      <c r="BE70" s="131">
        <v>1.684088269454123</v>
      </c>
      <c r="BF70" s="131">
        <v>0.99577549788774888</v>
      </c>
      <c r="BG70" s="131">
        <v>1.024390243902439</v>
      </c>
      <c r="BH70" s="131">
        <v>0.87579617834394907</v>
      </c>
      <c r="BI70" s="131">
        <v>1.1795543905635648</v>
      </c>
      <c r="BJ70" s="131">
        <v>0.92202318229715496</v>
      </c>
      <c r="BK70" s="131">
        <v>0.86327578161455898</v>
      </c>
      <c r="BL70" s="131"/>
      <c r="BM70" s="131"/>
      <c r="BN70" s="131"/>
      <c r="BO70" s="382"/>
      <c r="BP70" s="382"/>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c r="CO70" s="50"/>
      <c r="CP70" s="50"/>
      <c r="CQ70" s="50"/>
      <c r="CR70" s="50"/>
      <c r="CS70" s="50"/>
      <c r="CT70" s="50"/>
      <c r="CU70" s="50"/>
      <c r="CV70" s="50"/>
      <c r="CW70" s="50"/>
    </row>
    <row r="71" spans="1:103" s="2" customFormat="1">
      <c r="A71" s="414" t="s">
        <v>21</v>
      </c>
      <c r="B71" s="416"/>
      <c r="C71" s="22" t="s">
        <v>52</v>
      </c>
      <c r="D71" s="25" t="s">
        <v>44</v>
      </c>
      <c r="E71" s="25" t="s">
        <v>44</v>
      </c>
      <c r="F71" s="25" t="s">
        <v>44</v>
      </c>
      <c r="G71" s="25" t="s">
        <v>44</v>
      </c>
      <c r="H71" s="25" t="s">
        <v>44</v>
      </c>
      <c r="I71" s="25" t="s">
        <v>44</v>
      </c>
      <c r="J71" s="25" t="s">
        <v>44</v>
      </c>
      <c r="K71" s="25" t="s">
        <v>44</v>
      </c>
      <c r="L71" s="25" t="s">
        <v>44</v>
      </c>
      <c r="M71" s="25" t="s">
        <v>44</v>
      </c>
      <c r="N71" s="25" t="s">
        <v>44</v>
      </c>
      <c r="O71" s="25" t="s">
        <v>44</v>
      </c>
      <c r="P71" s="25" t="s">
        <v>44</v>
      </c>
      <c r="Q71" s="25" t="s">
        <v>44</v>
      </c>
      <c r="R71" s="25" t="s">
        <v>44</v>
      </c>
      <c r="S71" s="25" t="s">
        <v>44</v>
      </c>
      <c r="T71" s="25" t="s">
        <v>44</v>
      </c>
      <c r="U71" s="25" t="s">
        <v>44</v>
      </c>
      <c r="V71" s="25" t="s">
        <v>44</v>
      </c>
      <c r="W71" s="25" t="s">
        <v>44</v>
      </c>
      <c r="X71" s="25" t="s">
        <v>44</v>
      </c>
      <c r="Y71" s="25" t="s">
        <v>44</v>
      </c>
      <c r="Z71" s="25" t="s">
        <v>44</v>
      </c>
      <c r="AA71" s="25" t="s">
        <v>44</v>
      </c>
      <c r="AB71" s="25" t="s">
        <v>44</v>
      </c>
      <c r="AC71" s="25" t="s">
        <v>44</v>
      </c>
      <c r="AD71" s="25" t="s">
        <v>44</v>
      </c>
      <c r="AE71" s="25" t="s">
        <v>44</v>
      </c>
      <c r="AF71" s="25" t="s">
        <v>44</v>
      </c>
      <c r="AG71" s="25" t="s">
        <v>44</v>
      </c>
      <c r="AH71" s="53" t="s">
        <v>44</v>
      </c>
      <c r="AI71" s="53" t="s">
        <v>44</v>
      </c>
      <c r="AJ71" s="53" t="s">
        <v>44</v>
      </c>
      <c r="AK71" s="53" t="s">
        <v>44</v>
      </c>
      <c r="AL71" s="53" t="s">
        <v>44</v>
      </c>
      <c r="AM71" s="53" t="s">
        <v>44</v>
      </c>
      <c r="AN71" s="53" t="s">
        <v>44</v>
      </c>
      <c r="AO71" s="53" t="s">
        <v>44</v>
      </c>
      <c r="AP71" s="53" t="s">
        <v>44</v>
      </c>
      <c r="AQ71" s="53" t="s">
        <v>44</v>
      </c>
      <c r="AR71" s="53" t="s">
        <v>44</v>
      </c>
      <c r="AS71" s="53" t="s">
        <v>44</v>
      </c>
      <c r="AT71" s="53" t="s">
        <v>44</v>
      </c>
      <c r="AU71" s="53" t="s">
        <v>44</v>
      </c>
      <c r="AV71" s="53" t="s">
        <v>44</v>
      </c>
      <c r="AW71" s="53" t="s">
        <v>44</v>
      </c>
      <c r="AX71" s="53" t="s">
        <v>44</v>
      </c>
      <c r="AY71" s="53" t="s">
        <v>44</v>
      </c>
      <c r="AZ71" s="53" t="s">
        <v>44</v>
      </c>
      <c r="BA71" s="53" t="s">
        <v>44</v>
      </c>
      <c r="BB71" s="53" t="s">
        <v>44</v>
      </c>
      <c r="BC71" s="53" t="s">
        <v>44</v>
      </c>
      <c r="BD71" s="53" t="s">
        <v>44</v>
      </c>
      <c r="BE71" s="53" t="s">
        <v>44</v>
      </c>
      <c r="BF71" s="53" t="s">
        <v>44</v>
      </c>
      <c r="BG71" s="53" t="s">
        <v>44</v>
      </c>
      <c r="BH71" s="53" t="s">
        <v>44</v>
      </c>
      <c r="BI71" s="53" t="s">
        <v>44</v>
      </c>
      <c r="BJ71" s="53" t="s">
        <v>44</v>
      </c>
      <c r="BK71" s="53" t="s">
        <v>44</v>
      </c>
      <c r="BL71" s="53"/>
      <c r="BM71" s="53"/>
      <c r="BN71" s="5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row>
    <row r="72" spans="1:103">
      <c r="A72" s="415"/>
      <c r="B72" s="417"/>
      <c r="C72" s="127" t="s">
        <v>53</v>
      </c>
      <c r="D72" s="129" t="s">
        <v>44</v>
      </c>
      <c r="E72" s="129" t="s">
        <v>44</v>
      </c>
      <c r="F72" s="129" t="s">
        <v>44</v>
      </c>
      <c r="G72" s="129" t="s">
        <v>44</v>
      </c>
      <c r="H72" s="129" t="s">
        <v>44</v>
      </c>
      <c r="I72" s="129" t="s">
        <v>44</v>
      </c>
      <c r="J72" s="129" t="s">
        <v>44</v>
      </c>
      <c r="K72" s="129" t="s">
        <v>44</v>
      </c>
      <c r="L72" s="129" t="s">
        <v>44</v>
      </c>
      <c r="M72" s="129" t="s">
        <v>44</v>
      </c>
      <c r="N72" s="129" t="s">
        <v>44</v>
      </c>
      <c r="O72" s="129" t="s">
        <v>44</v>
      </c>
      <c r="P72" s="129" t="s">
        <v>44</v>
      </c>
      <c r="Q72" s="129" t="s">
        <v>44</v>
      </c>
      <c r="R72" s="129" t="s">
        <v>44</v>
      </c>
      <c r="S72" s="129" t="s">
        <v>44</v>
      </c>
      <c r="T72" s="129" t="s">
        <v>44</v>
      </c>
      <c r="U72" s="129" t="s">
        <v>44</v>
      </c>
      <c r="V72" s="129" t="s">
        <v>44</v>
      </c>
      <c r="W72" s="129" t="s">
        <v>44</v>
      </c>
      <c r="X72" s="129" t="s">
        <v>44</v>
      </c>
      <c r="Y72" s="129" t="s">
        <v>44</v>
      </c>
      <c r="Z72" s="129" t="s">
        <v>44</v>
      </c>
      <c r="AA72" s="129" t="s">
        <v>44</v>
      </c>
      <c r="AB72" s="129" t="s">
        <v>44</v>
      </c>
      <c r="AC72" s="129" t="s">
        <v>44</v>
      </c>
      <c r="AD72" s="129" t="s">
        <v>44</v>
      </c>
      <c r="AE72" s="129" t="s">
        <v>44</v>
      </c>
      <c r="AF72" s="129" t="s">
        <v>44</v>
      </c>
      <c r="AG72" s="129" t="s">
        <v>44</v>
      </c>
      <c r="AH72" s="128" t="s">
        <v>44</v>
      </c>
      <c r="AI72" s="128" t="s">
        <v>44</v>
      </c>
      <c r="AJ72" s="128" t="s">
        <v>44</v>
      </c>
      <c r="AK72" s="128" t="s">
        <v>44</v>
      </c>
      <c r="AL72" s="128" t="s">
        <v>44</v>
      </c>
      <c r="AM72" s="128" t="s">
        <v>44</v>
      </c>
      <c r="AN72" s="128" t="s">
        <v>44</v>
      </c>
      <c r="AO72" s="128" t="s">
        <v>44</v>
      </c>
      <c r="AP72" s="128" t="s">
        <v>44</v>
      </c>
      <c r="AQ72" s="128" t="s">
        <v>44</v>
      </c>
      <c r="AR72" s="128" t="s">
        <v>44</v>
      </c>
      <c r="AS72" s="128" t="s">
        <v>44</v>
      </c>
      <c r="AT72" s="128" t="s">
        <v>44</v>
      </c>
      <c r="AU72" s="128" t="s">
        <v>44</v>
      </c>
      <c r="AV72" s="128" t="s">
        <v>44</v>
      </c>
      <c r="AW72" s="128" t="s">
        <v>44</v>
      </c>
      <c r="AX72" s="128" t="s">
        <v>44</v>
      </c>
      <c r="AY72" s="128" t="s">
        <v>44</v>
      </c>
      <c r="AZ72" s="128" t="s">
        <v>44</v>
      </c>
      <c r="BA72" s="128" t="s">
        <v>44</v>
      </c>
      <c r="BB72" s="128" t="s">
        <v>44</v>
      </c>
      <c r="BC72" s="128" t="s">
        <v>44</v>
      </c>
      <c r="BD72" s="128" t="s">
        <v>44</v>
      </c>
      <c r="BE72" s="128" t="s">
        <v>44</v>
      </c>
      <c r="BF72" s="128" t="s">
        <v>44</v>
      </c>
      <c r="BG72" s="128" t="s">
        <v>44</v>
      </c>
      <c r="BH72" s="128" t="s">
        <v>44</v>
      </c>
      <c r="BI72" s="128" t="s">
        <v>44</v>
      </c>
      <c r="BJ72" s="128" t="s">
        <v>44</v>
      </c>
      <c r="BK72" s="128" t="s">
        <v>44</v>
      </c>
      <c r="BL72" s="128"/>
      <c r="BM72" s="128"/>
      <c r="BN72" s="128"/>
      <c r="CX72" s="50"/>
      <c r="CY72" s="50"/>
    </row>
    <row r="73" spans="1:103" s="2" customFormat="1">
      <c r="A73" s="415"/>
      <c r="B73" s="417"/>
      <c r="C73" s="133" t="s">
        <v>55</v>
      </c>
      <c r="D73" s="130" t="s">
        <v>44</v>
      </c>
      <c r="E73" s="130" t="s">
        <v>44</v>
      </c>
      <c r="F73" s="130" t="s">
        <v>44</v>
      </c>
      <c r="G73" s="130" t="s">
        <v>44</v>
      </c>
      <c r="H73" s="130" t="s">
        <v>44</v>
      </c>
      <c r="I73" s="130" t="s">
        <v>44</v>
      </c>
      <c r="J73" s="130" t="s">
        <v>44</v>
      </c>
      <c r="K73" s="130" t="s">
        <v>44</v>
      </c>
      <c r="L73" s="130" t="s">
        <v>44</v>
      </c>
      <c r="M73" s="130" t="s">
        <v>44</v>
      </c>
      <c r="N73" s="130" t="s">
        <v>44</v>
      </c>
      <c r="O73" s="130" t="s">
        <v>44</v>
      </c>
      <c r="P73" s="130" t="s">
        <v>44</v>
      </c>
      <c r="Q73" s="130" t="s">
        <v>44</v>
      </c>
      <c r="R73" s="130" t="s">
        <v>44</v>
      </c>
      <c r="S73" s="130" t="s">
        <v>44</v>
      </c>
      <c r="T73" s="130" t="s">
        <v>44</v>
      </c>
      <c r="U73" s="130" t="s">
        <v>44</v>
      </c>
      <c r="V73" s="130" t="s">
        <v>44</v>
      </c>
      <c r="W73" s="130" t="s">
        <v>44</v>
      </c>
      <c r="X73" s="130" t="s">
        <v>44</v>
      </c>
      <c r="Y73" s="130" t="s">
        <v>44</v>
      </c>
      <c r="Z73" s="130" t="s">
        <v>44</v>
      </c>
      <c r="AA73" s="130" t="s">
        <v>44</v>
      </c>
      <c r="AB73" s="130" t="s">
        <v>44</v>
      </c>
      <c r="AC73" s="130" t="s">
        <v>44</v>
      </c>
      <c r="AD73" s="130" t="s">
        <v>44</v>
      </c>
      <c r="AE73" s="130" t="s">
        <v>44</v>
      </c>
      <c r="AF73" s="130" t="s">
        <v>44</v>
      </c>
      <c r="AG73" s="130" t="s">
        <v>44</v>
      </c>
      <c r="AH73" s="131" t="s">
        <v>44</v>
      </c>
      <c r="AI73" s="131" t="s">
        <v>44</v>
      </c>
      <c r="AJ73" s="131" t="s">
        <v>44</v>
      </c>
      <c r="AK73" s="131" t="s">
        <v>44</v>
      </c>
      <c r="AL73" s="131" t="s">
        <v>44</v>
      </c>
      <c r="AM73" s="131" t="s">
        <v>44</v>
      </c>
      <c r="AN73" s="131" t="s">
        <v>44</v>
      </c>
      <c r="AO73" s="131" t="s">
        <v>44</v>
      </c>
      <c r="AP73" s="131" t="s">
        <v>44</v>
      </c>
      <c r="AQ73" s="131" t="s">
        <v>44</v>
      </c>
      <c r="AR73" s="131" t="s">
        <v>44</v>
      </c>
      <c r="AS73" s="131" t="s">
        <v>44</v>
      </c>
      <c r="AT73" s="131" t="s">
        <v>44</v>
      </c>
      <c r="AU73" s="131" t="s">
        <v>44</v>
      </c>
      <c r="AV73" s="131" t="s">
        <v>44</v>
      </c>
      <c r="AW73" s="131" t="s">
        <v>44</v>
      </c>
      <c r="AX73" s="131" t="s">
        <v>44</v>
      </c>
      <c r="AY73" s="131" t="s">
        <v>44</v>
      </c>
      <c r="AZ73" s="131" t="s">
        <v>44</v>
      </c>
      <c r="BA73" s="131" t="s">
        <v>44</v>
      </c>
      <c r="BB73" s="131" t="s">
        <v>44</v>
      </c>
      <c r="BC73" s="131" t="s">
        <v>44</v>
      </c>
      <c r="BD73" s="131" t="s">
        <v>44</v>
      </c>
      <c r="BE73" s="131" t="s">
        <v>44</v>
      </c>
      <c r="BF73" s="131" t="s">
        <v>44</v>
      </c>
      <c r="BG73" s="131" t="s">
        <v>44</v>
      </c>
      <c r="BH73" s="131" t="s">
        <v>44</v>
      </c>
      <c r="BI73" s="131" t="s">
        <v>44</v>
      </c>
      <c r="BJ73" s="131" t="s">
        <v>44</v>
      </c>
      <c r="BK73" s="131" t="s">
        <v>44</v>
      </c>
      <c r="BL73" s="131"/>
      <c r="BM73" s="131"/>
      <c r="BN73" s="131"/>
      <c r="BO73" s="382"/>
      <c r="BP73" s="382"/>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c r="CR73" s="50"/>
      <c r="CS73" s="50"/>
      <c r="CT73" s="50"/>
      <c r="CU73" s="50"/>
      <c r="CV73" s="50"/>
      <c r="CW73" s="50"/>
    </row>
    <row r="74" spans="1:103" s="2" customFormat="1">
      <c r="A74" s="414" t="s">
        <v>20</v>
      </c>
      <c r="B74" s="416">
        <v>1</v>
      </c>
      <c r="C74" s="22" t="s">
        <v>52</v>
      </c>
      <c r="D74" s="25">
        <v>92.737468100877621</v>
      </c>
      <c r="E74" s="25">
        <v>93.220154650947805</v>
      </c>
      <c r="F74" s="25">
        <v>93.322045634040535</v>
      </c>
      <c r="G74" s="25">
        <v>93.408758391565911</v>
      </c>
      <c r="H74" s="25">
        <v>93.512856082216402</v>
      </c>
      <c r="I74" s="25">
        <v>94.054680796790578</v>
      </c>
      <c r="J74" s="25">
        <v>94.170036479441521</v>
      </c>
      <c r="K74" s="25">
        <v>94.325955734406435</v>
      </c>
      <c r="L74" s="25">
        <v>94.24911921711994</v>
      </c>
      <c r="M74" s="25">
        <v>94.024526389179982</v>
      </c>
      <c r="N74" s="25">
        <v>93.381826466184989</v>
      </c>
      <c r="O74" s="25">
        <v>93.596781146716481</v>
      </c>
      <c r="P74" s="25">
        <v>92.938122506233071</v>
      </c>
      <c r="Q74" s="25">
        <v>91.669936289071984</v>
      </c>
      <c r="R74" s="25">
        <v>91.620196276254234</v>
      </c>
      <c r="S74" s="25">
        <v>91.377570740865309</v>
      </c>
      <c r="T74" s="25">
        <v>90.701178468612142</v>
      </c>
      <c r="U74" s="25">
        <v>89.803585942588313</v>
      </c>
      <c r="V74" s="25">
        <v>88.921246669558215</v>
      </c>
      <c r="W74" s="25">
        <v>88.290613295880149</v>
      </c>
      <c r="X74" s="25">
        <v>88.380564781290033</v>
      </c>
      <c r="Y74" s="25">
        <v>88.185621864891473</v>
      </c>
      <c r="Z74" s="25">
        <v>87.56883540689374</v>
      </c>
      <c r="AA74" s="25">
        <v>86.490717960187879</v>
      </c>
      <c r="AB74" s="25">
        <v>84.275105930254654</v>
      </c>
      <c r="AC74" s="25">
        <v>84.079794235204616</v>
      </c>
      <c r="AD74" s="25">
        <v>83.343705217723922</v>
      </c>
      <c r="AE74" s="25">
        <v>83.62232988203489</v>
      </c>
      <c r="AF74" s="25">
        <v>84.077103523180881</v>
      </c>
      <c r="AG74" s="25">
        <v>83.773570480720394</v>
      </c>
      <c r="AH74" s="53">
        <v>83.244630249551349</v>
      </c>
      <c r="AI74" s="53">
        <v>82.702330458735702</v>
      </c>
      <c r="AJ74" s="53">
        <v>82.836300770584941</v>
      </c>
      <c r="AK74" s="53">
        <v>82.366068899890109</v>
      </c>
      <c r="AL74" s="53">
        <v>82.116603600780891</v>
      </c>
      <c r="AM74" s="53">
        <v>82.762154930096116</v>
      </c>
      <c r="AN74" s="53">
        <v>82.030185576697207</v>
      </c>
      <c r="AO74" s="53">
        <v>81.378219823886937</v>
      </c>
      <c r="AP74" s="53">
        <v>80.892060352362122</v>
      </c>
      <c r="AQ74" s="53">
        <v>81.708189828689001</v>
      </c>
      <c r="AR74" s="53">
        <v>80.913777051116114</v>
      </c>
      <c r="AS74" s="53">
        <v>80.939919926704064</v>
      </c>
      <c r="AT74" s="53">
        <v>79.713560092995053</v>
      </c>
      <c r="AU74" s="53">
        <v>79.378882819194516</v>
      </c>
      <c r="AV74" s="53">
        <v>80.867972009447925</v>
      </c>
      <c r="AW74" s="53">
        <v>79.02550353415613</v>
      </c>
      <c r="AX74" s="53" t="s">
        <v>44</v>
      </c>
      <c r="AY74" s="53" t="s">
        <v>44</v>
      </c>
      <c r="AZ74" s="53">
        <v>79.089370180217216</v>
      </c>
      <c r="BA74" s="53">
        <v>79.401002163926421</v>
      </c>
      <c r="BB74" s="53">
        <v>78.485809189126002</v>
      </c>
      <c r="BC74" s="53">
        <v>78.549225787374596</v>
      </c>
      <c r="BD74" s="53">
        <v>79.110817166372726</v>
      </c>
      <c r="BE74" s="53">
        <v>79.835727635135683</v>
      </c>
      <c r="BF74" s="53">
        <v>79.994933622539037</v>
      </c>
      <c r="BG74" s="53">
        <v>79.327614897944414</v>
      </c>
      <c r="BH74" s="53">
        <v>79.263384722640339</v>
      </c>
      <c r="BI74" s="53">
        <v>79.228674409291145</v>
      </c>
      <c r="BJ74" s="53">
        <v>79.373823808528087</v>
      </c>
      <c r="BK74" s="53">
        <v>79.389679773267744</v>
      </c>
      <c r="BL74" s="53">
        <v>75.400000000000006</v>
      </c>
      <c r="BM74" s="53">
        <v>77.456319387876519</v>
      </c>
      <c r="BN74" s="5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row>
    <row r="75" spans="1:103">
      <c r="A75" s="415"/>
      <c r="B75" s="417"/>
      <c r="C75" s="127" t="s">
        <v>53</v>
      </c>
      <c r="D75" s="129">
        <v>4.4299464151327737</v>
      </c>
      <c r="E75" s="129">
        <v>4.165352532382081</v>
      </c>
      <c r="F75" s="129">
        <v>4.1501227943006134</v>
      </c>
      <c r="G75" s="129">
        <v>4.0918622277857883</v>
      </c>
      <c r="H75" s="129">
        <v>4.022410222343793</v>
      </c>
      <c r="I75" s="129">
        <v>3.7260858474595926</v>
      </c>
      <c r="J75" s="129">
        <v>3.589469091432504</v>
      </c>
      <c r="K75" s="129">
        <v>3.4913830810952673</v>
      </c>
      <c r="L75" s="129">
        <v>3.6224470138998885</v>
      </c>
      <c r="M75" s="129">
        <v>3.7880310878612766</v>
      </c>
      <c r="N75" s="129">
        <v>4.584472433769446</v>
      </c>
      <c r="O75" s="129">
        <v>4.5010572126537065</v>
      </c>
      <c r="P75" s="129">
        <v>5.2456240137191923</v>
      </c>
      <c r="Q75" s="129">
        <v>6.3113054200997709</v>
      </c>
      <c r="R75" s="129">
        <v>6.5968082179216738</v>
      </c>
      <c r="S75" s="129">
        <v>6.8449348185108407</v>
      </c>
      <c r="T75" s="129">
        <v>7.5052295839115217</v>
      </c>
      <c r="U75" s="129">
        <v>8.3544603592401803</v>
      </c>
      <c r="V75" s="129">
        <v>9.2199021005018889</v>
      </c>
      <c r="W75" s="129">
        <v>10.007022471910112</v>
      </c>
      <c r="X75" s="129">
        <v>9.984863018635675</v>
      </c>
      <c r="Y75" s="129">
        <v>10.280225962214617</v>
      </c>
      <c r="Z75" s="129">
        <v>10.920084941992297</v>
      </c>
      <c r="AA75" s="129">
        <v>11.996676997795316</v>
      </c>
      <c r="AB75" s="129">
        <v>14.149583943978072</v>
      </c>
      <c r="AC75" s="129">
        <v>14.337120983420478</v>
      </c>
      <c r="AD75" s="129">
        <v>15.083384241206261</v>
      </c>
      <c r="AE75" s="129">
        <v>15.021383662087024</v>
      </c>
      <c r="AF75" s="129">
        <v>14.500859380686048</v>
      </c>
      <c r="AG75" s="129">
        <v>14.938756341435443</v>
      </c>
      <c r="AH75" s="128">
        <v>15.603515213221645</v>
      </c>
      <c r="AI75" s="128">
        <v>16.040880847667193</v>
      </c>
      <c r="AJ75" s="128">
        <v>15.75429830386979</v>
      </c>
      <c r="AK75" s="128">
        <v>16.338518006638498</v>
      </c>
      <c r="AL75" s="128">
        <v>16.643970981658672</v>
      </c>
      <c r="AM75" s="128">
        <v>15.974787956155101</v>
      </c>
      <c r="AN75" s="128">
        <v>16.527484143763214</v>
      </c>
      <c r="AO75" s="128">
        <v>16.80010345760002</v>
      </c>
      <c r="AP75" s="128">
        <v>16.971226827360965</v>
      </c>
      <c r="AQ75" s="128">
        <v>16.513843538936353</v>
      </c>
      <c r="AR75" s="128">
        <v>17.240048141335695</v>
      </c>
      <c r="AS75" s="128">
        <v>17.143592253724414</v>
      </c>
      <c r="AT75" s="128">
        <v>18.278075406853329</v>
      </c>
      <c r="AU75" s="128">
        <v>18.651590616966583</v>
      </c>
      <c r="AV75" s="128">
        <v>18.641972583386679</v>
      </c>
      <c r="AW75" s="128">
        <v>18.735828292452343</v>
      </c>
      <c r="AX75" s="128" t="s">
        <v>44</v>
      </c>
      <c r="AY75" s="128" t="s">
        <v>44</v>
      </c>
      <c r="AZ75" s="128">
        <v>18.721830176455427</v>
      </c>
      <c r="BA75" s="128">
        <v>18.435790336379128</v>
      </c>
      <c r="BB75" s="128">
        <v>19.521906870869465</v>
      </c>
      <c r="BC75" s="128">
        <v>19.353512624678164</v>
      </c>
      <c r="BD75" s="128">
        <v>18.845532039976483</v>
      </c>
      <c r="BE75" s="128">
        <v>18.179849363524799</v>
      </c>
      <c r="BF75" s="128">
        <v>18.031554032123999</v>
      </c>
      <c r="BG75" s="128">
        <v>18.644135924047173</v>
      </c>
      <c r="BH75" s="128">
        <v>18.796444472612617</v>
      </c>
      <c r="BI75" s="128">
        <v>18.800160192230678</v>
      </c>
      <c r="BJ75" s="128">
        <v>18.708883563076032</v>
      </c>
      <c r="BK75" s="128">
        <v>18.806398019350425</v>
      </c>
      <c r="BL75" s="128"/>
      <c r="BM75" s="128"/>
      <c r="BN75" s="128"/>
      <c r="CX75" s="50"/>
      <c r="CY75" s="50"/>
    </row>
    <row r="76" spans="1:103" s="2" customFormat="1">
      <c r="A76" s="415"/>
      <c r="B76" s="417"/>
      <c r="C76" s="133" t="s">
        <v>55</v>
      </c>
      <c r="D76" s="130">
        <v>2.8325854839896114</v>
      </c>
      <c r="E76" s="130">
        <v>2.6144928166701105</v>
      </c>
      <c r="F76" s="130">
        <v>2.5278315716588589</v>
      </c>
      <c r="G76" s="130">
        <v>2.4993793806482962</v>
      </c>
      <c r="H76" s="130">
        <v>2.4647336954398034</v>
      </c>
      <c r="I76" s="130">
        <v>2.2192333557498318</v>
      </c>
      <c r="J76" s="130">
        <v>2.2404944291259774</v>
      </c>
      <c r="K76" s="130">
        <v>2.1826611844982939</v>
      </c>
      <c r="L76" s="130">
        <v>2.1284337689801753</v>
      </c>
      <c r="M76" s="130">
        <v>2.1874425229587362</v>
      </c>
      <c r="N76" s="130">
        <v>2.033701100045564</v>
      </c>
      <c r="O76" s="130">
        <v>1.9021616406298114</v>
      </c>
      <c r="P76" s="130">
        <v>1.8162534800477266</v>
      </c>
      <c r="Q76" s="130">
        <v>2.018758290828242</v>
      </c>
      <c r="R76" s="130">
        <v>1.7829955058240852</v>
      </c>
      <c r="S76" s="130">
        <v>1.7774944406238546</v>
      </c>
      <c r="T76" s="130">
        <v>1.7935919474763375</v>
      </c>
      <c r="U76" s="130">
        <v>1.841953698171503</v>
      </c>
      <c r="V76" s="130">
        <v>1.8588512299398972</v>
      </c>
      <c r="W76" s="130">
        <v>1.7023642322097379</v>
      </c>
      <c r="X76" s="130">
        <v>1.6345722000742988</v>
      </c>
      <c r="Y76" s="130">
        <v>1.5341521728939103</v>
      </c>
      <c r="Z76" s="130">
        <v>1.5110796511139639</v>
      </c>
      <c r="AA76" s="130">
        <v>1.5126050420168067</v>
      </c>
      <c r="AB76" s="130">
        <v>1.5753101257672664</v>
      </c>
      <c r="AC76" s="130">
        <v>1.5830847813749049</v>
      </c>
      <c r="AD76" s="130">
        <v>1.5729105410698077</v>
      </c>
      <c r="AE76" s="130">
        <v>1.3562864558780932</v>
      </c>
      <c r="AF76" s="130">
        <v>1.4220370961330668</v>
      </c>
      <c r="AG76" s="130">
        <v>1.2876731778441577</v>
      </c>
      <c r="AH76" s="131">
        <v>1.151854537227013</v>
      </c>
      <c r="AI76" s="131">
        <v>1.2567886935971078</v>
      </c>
      <c r="AJ76" s="131">
        <v>1.40940092554526</v>
      </c>
      <c r="AK76" s="131">
        <v>1.2954130934713899</v>
      </c>
      <c r="AL76" s="131">
        <v>1.2394254175604347</v>
      </c>
      <c r="AM76" s="131">
        <v>1.2630571137487878</v>
      </c>
      <c r="AN76" s="131">
        <v>1.442330279539582</v>
      </c>
      <c r="AO76" s="131">
        <v>1.8216767185130323</v>
      </c>
      <c r="AP76" s="131">
        <v>2.1367128202769217</v>
      </c>
      <c r="AQ76" s="131">
        <v>1.7779666323746477</v>
      </c>
      <c r="AR76" s="131">
        <v>1.8461748075481981</v>
      </c>
      <c r="AS76" s="131">
        <v>1.91648781957152</v>
      </c>
      <c r="AT76" s="131">
        <v>2.0083645001516226</v>
      </c>
      <c r="AU76" s="131">
        <v>1.9695265638389032</v>
      </c>
      <c r="AV76" s="131">
        <v>2.2008344186662545</v>
      </c>
      <c r="AW76" s="131">
        <v>2.2386681733915346</v>
      </c>
      <c r="AX76" s="131" t="s">
        <v>44</v>
      </c>
      <c r="AY76" s="131" t="s">
        <v>44</v>
      </c>
      <c r="AZ76" s="131">
        <v>2.1887996433273655</v>
      </c>
      <c r="BA76" s="131">
        <v>2.1632074996944621</v>
      </c>
      <c r="BB76" s="131">
        <v>1.9922839400045387</v>
      </c>
      <c r="BC76" s="131">
        <v>2.0972615879472367</v>
      </c>
      <c r="BD76" s="131">
        <v>2.0436507936507935</v>
      </c>
      <c r="BE76" s="131">
        <v>1.9844230013395259</v>
      </c>
      <c r="BF76" s="131">
        <v>1.9735123453369536</v>
      </c>
      <c r="BG76" s="131">
        <v>2.0282491780084086</v>
      </c>
      <c r="BH76" s="131">
        <v>1.940170804747041</v>
      </c>
      <c r="BI76" s="131">
        <v>1.9711653984781738</v>
      </c>
      <c r="BJ76" s="131">
        <v>1.917292628395876</v>
      </c>
      <c r="BK76" s="131">
        <v>1.8039222073818288</v>
      </c>
      <c r="BL76" s="131"/>
      <c r="BM76" s="131"/>
      <c r="BN76" s="131"/>
      <c r="BO76" s="382"/>
      <c r="BP76" s="382"/>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c r="CR76" s="50"/>
      <c r="CS76" s="50"/>
      <c r="CT76" s="50"/>
      <c r="CU76" s="50"/>
      <c r="CV76" s="50"/>
      <c r="CW76" s="50"/>
    </row>
    <row r="77" spans="1:103" s="2" customFormat="1">
      <c r="A77" s="414" t="s">
        <v>19</v>
      </c>
      <c r="B77" s="416">
        <v>1</v>
      </c>
      <c r="C77" s="22" t="s">
        <v>52</v>
      </c>
      <c r="D77" s="25" t="s">
        <v>44</v>
      </c>
      <c r="E77" s="25" t="s">
        <v>44</v>
      </c>
      <c r="F77" s="25" t="s">
        <v>44</v>
      </c>
      <c r="G77" s="25" t="s">
        <v>44</v>
      </c>
      <c r="H77" s="25" t="s">
        <v>44</v>
      </c>
      <c r="I77" s="25" t="s">
        <v>44</v>
      </c>
      <c r="J77" s="25" t="s">
        <v>44</v>
      </c>
      <c r="K77" s="25" t="s">
        <v>44</v>
      </c>
      <c r="L77" s="25" t="s">
        <v>44</v>
      </c>
      <c r="M77" s="25" t="s">
        <v>44</v>
      </c>
      <c r="N77" s="25" t="s">
        <v>44</v>
      </c>
      <c r="O77" s="25" t="s">
        <v>44</v>
      </c>
      <c r="P77" s="25" t="s">
        <v>44</v>
      </c>
      <c r="Q77" s="25" t="s">
        <v>44</v>
      </c>
      <c r="R77" s="25" t="s">
        <v>44</v>
      </c>
      <c r="S77" s="25" t="s">
        <v>44</v>
      </c>
      <c r="T77" s="25" t="s">
        <v>44</v>
      </c>
      <c r="U77" s="25" t="s">
        <v>44</v>
      </c>
      <c r="V77" s="25" t="s">
        <v>44</v>
      </c>
      <c r="W77" s="25" t="s">
        <v>44</v>
      </c>
      <c r="X77" s="25" t="s">
        <v>44</v>
      </c>
      <c r="Y77" s="25" t="s">
        <v>44</v>
      </c>
      <c r="Z77" s="25" t="s">
        <v>44</v>
      </c>
      <c r="AA77" s="25" t="s">
        <v>44</v>
      </c>
      <c r="AB77" s="25" t="s">
        <v>44</v>
      </c>
      <c r="AC77" s="25" t="s">
        <v>44</v>
      </c>
      <c r="AD77" s="25" t="s">
        <v>44</v>
      </c>
      <c r="AE77" s="25" t="s">
        <v>44</v>
      </c>
      <c r="AF77" s="25" t="s">
        <v>44</v>
      </c>
      <c r="AG77" s="25" t="s">
        <v>44</v>
      </c>
      <c r="AH77" s="53" t="s">
        <v>44</v>
      </c>
      <c r="AI77" s="53" t="s">
        <v>44</v>
      </c>
      <c r="AJ77" s="53" t="s">
        <v>44</v>
      </c>
      <c r="AK77" s="53" t="s">
        <v>44</v>
      </c>
      <c r="AL77" s="53" t="s">
        <v>44</v>
      </c>
      <c r="AM77" s="53" t="s">
        <v>44</v>
      </c>
      <c r="AN77" s="53" t="s">
        <v>44</v>
      </c>
      <c r="AO77" s="53" t="s">
        <v>44</v>
      </c>
      <c r="AP77" s="53">
        <v>73.625391148860075</v>
      </c>
      <c r="AQ77" s="53">
        <v>74.555160142348754</v>
      </c>
      <c r="AR77" s="53">
        <v>73.600814071812763</v>
      </c>
      <c r="AS77" s="53">
        <v>73.548193223649619</v>
      </c>
      <c r="AT77" s="53">
        <v>73.756705814122085</v>
      </c>
      <c r="AU77" s="53">
        <v>73.942280750910612</v>
      </c>
      <c r="AV77" s="53">
        <v>73.878891745215654</v>
      </c>
      <c r="AW77" s="53">
        <v>74.093114184345808</v>
      </c>
      <c r="AX77" s="53">
        <v>75.00344115622849</v>
      </c>
      <c r="AY77" s="53">
        <v>75.713597909072149</v>
      </c>
      <c r="AZ77" s="53">
        <v>76.358860375833501</v>
      </c>
      <c r="BA77" s="53">
        <v>77.262466652985836</v>
      </c>
      <c r="BB77" s="53">
        <v>77.882303013156033</v>
      </c>
      <c r="BC77" s="53">
        <v>77.975886006576545</v>
      </c>
      <c r="BD77" s="53">
        <v>77.748955180861799</v>
      </c>
      <c r="BE77" s="53">
        <v>77.829529576152765</v>
      </c>
      <c r="BF77" s="53">
        <v>78.09694793536805</v>
      </c>
      <c r="BG77" s="53">
        <v>78.214312646105128</v>
      </c>
      <c r="BH77" s="53">
        <v>79.000148566334872</v>
      </c>
      <c r="BI77" s="53">
        <v>79.372901584441763</v>
      </c>
      <c r="BJ77" s="53">
        <v>79.5</v>
      </c>
      <c r="BK77" s="53">
        <v>80</v>
      </c>
      <c r="BL77" s="53">
        <v>80</v>
      </c>
      <c r="BM77" s="53" t="s">
        <v>44</v>
      </c>
      <c r="BN77" s="5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row>
    <row r="78" spans="1:103">
      <c r="A78" s="415"/>
      <c r="B78" s="417"/>
      <c r="C78" s="127" t="s">
        <v>53</v>
      </c>
      <c r="D78" s="129" t="s">
        <v>44</v>
      </c>
      <c r="E78" s="129" t="s">
        <v>44</v>
      </c>
      <c r="F78" s="129" t="s">
        <v>44</v>
      </c>
      <c r="G78" s="129" t="s">
        <v>44</v>
      </c>
      <c r="H78" s="129" t="s">
        <v>44</v>
      </c>
      <c r="I78" s="129" t="s">
        <v>44</v>
      </c>
      <c r="J78" s="129" t="s">
        <v>44</v>
      </c>
      <c r="K78" s="129" t="s">
        <v>44</v>
      </c>
      <c r="L78" s="129" t="s">
        <v>44</v>
      </c>
      <c r="M78" s="129" t="s">
        <v>44</v>
      </c>
      <c r="N78" s="129" t="s">
        <v>44</v>
      </c>
      <c r="O78" s="129" t="s">
        <v>44</v>
      </c>
      <c r="P78" s="129" t="s">
        <v>44</v>
      </c>
      <c r="Q78" s="129" t="s">
        <v>44</v>
      </c>
      <c r="R78" s="129" t="s">
        <v>44</v>
      </c>
      <c r="S78" s="129" t="s">
        <v>44</v>
      </c>
      <c r="T78" s="129" t="s">
        <v>44</v>
      </c>
      <c r="U78" s="129" t="s">
        <v>44</v>
      </c>
      <c r="V78" s="129" t="s">
        <v>44</v>
      </c>
      <c r="W78" s="129" t="s">
        <v>44</v>
      </c>
      <c r="X78" s="129" t="s">
        <v>44</v>
      </c>
      <c r="Y78" s="129" t="s">
        <v>44</v>
      </c>
      <c r="Z78" s="129" t="s">
        <v>44</v>
      </c>
      <c r="AA78" s="129" t="s">
        <v>44</v>
      </c>
      <c r="AB78" s="129" t="s">
        <v>44</v>
      </c>
      <c r="AC78" s="129" t="s">
        <v>44</v>
      </c>
      <c r="AD78" s="129" t="s">
        <v>44</v>
      </c>
      <c r="AE78" s="129" t="s">
        <v>44</v>
      </c>
      <c r="AF78" s="129" t="s">
        <v>44</v>
      </c>
      <c r="AG78" s="129" t="s">
        <v>44</v>
      </c>
      <c r="AH78" s="128" t="s">
        <v>44</v>
      </c>
      <c r="AI78" s="128" t="s">
        <v>44</v>
      </c>
      <c r="AJ78" s="128" t="s">
        <v>44</v>
      </c>
      <c r="AK78" s="128" t="s">
        <v>44</v>
      </c>
      <c r="AL78" s="128" t="s">
        <v>44</v>
      </c>
      <c r="AM78" s="128" t="s">
        <v>44</v>
      </c>
      <c r="AN78" s="128" t="s">
        <v>44</v>
      </c>
      <c r="AO78" s="128" t="s">
        <v>44</v>
      </c>
      <c r="AP78" s="128">
        <v>23.401877514528387</v>
      </c>
      <c r="AQ78" s="128">
        <v>22.85409252669039</v>
      </c>
      <c r="AR78" s="128">
        <v>23.884285506614333</v>
      </c>
      <c r="AS78" s="128">
        <v>23.52941176470588</v>
      </c>
      <c r="AT78" s="128">
        <v>23.539219950703206</v>
      </c>
      <c r="AU78" s="128">
        <v>23.52199495657047</v>
      </c>
      <c r="AV78" s="128">
        <v>23.400457012282207</v>
      </c>
      <c r="AW78" s="128">
        <v>23.293027297082038</v>
      </c>
      <c r="AX78" s="128">
        <v>22.649690295939436</v>
      </c>
      <c r="AY78" s="128">
        <v>21.927230208404978</v>
      </c>
      <c r="AZ78" s="128">
        <v>21.290496396578433</v>
      </c>
      <c r="BA78" s="128">
        <v>20.295505848553251</v>
      </c>
      <c r="BB78" s="128">
        <v>19.889659074833784</v>
      </c>
      <c r="BC78" s="128">
        <v>19.795396419437338</v>
      </c>
      <c r="BD78" s="128">
        <v>20.110966998126532</v>
      </c>
      <c r="BE78" s="128">
        <v>19.795062878435026</v>
      </c>
      <c r="BF78" s="128">
        <v>19.643925792938361</v>
      </c>
      <c r="BG78" s="128">
        <v>19.674232712465123</v>
      </c>
      <c r="BH78" s="128">
        <v>19.031347496657258</v>
      </c>
      <c r="BI78" s="128">
        <v>18.459379251356587</v>
      </c>
      <c r="BJ78" s="128">
        <v>18.3</v>
      </c>
      <c r="BK78" s="128">
        <v>17.8</v>
      </c>
      <c r="BL78" s="128">
        <v>17.899999999999999</v>
      </c>
      <c r="BM78" s="128"/>
      <c r="BN78" s="128"/>
      <c r="CX78" s="50"/>
      <c r="CY78" s="50"/>
    </row>
    <row r="79" spans="1:103" s="2" customFormat="1">
      <c r="A79" s="415"/>
      <c r="B79" s="417"/>
      <c r="C79" s="133" t="s">
        <v>55</v>
      </c>
      <c r="D79" s="130" t="s">
        <v>44</v>
      </c>
      <c r="E79" s="130" t="s">
        <v>44</v>
      </c>
      <c r="F79" s="130" t="s">
        <v>44</v>
      </c>
      <c r="G79" s="130" t="s">
        <v>44</v>
      </c>
      <c r="H79" s="130" t="s">
        <v>44</v>
      </c>
      <c r="I79" s="130" t="s">
        <v>44</v>
      </c>
      <c r="J79" s="130" t="s">
        <v>44</v>
      </c>
      <c r="K79" s="130" t="s">
        <v>44</v>
      </c>
      <c r="L79" s="130" t="s">
        <v>44</v>
      </c>
      <c r="M79" s="130" t="s">
        <v>44</v>
      </c>
      <c r="N79" s="130" t="s">
        <v>44</v>
      </c>
      <c r="O79" s="130" t="s">
        <v>44</v>
      </c>
      <c r="P79" s="130" t="s">
        <v>44</v>
      </c>
      <c r="Q79" s="130" t="s">
        <v>44</v>
      </c>
      <c r="R79" s="130" t="s">
        <v>44</v>
      </c>
      <c r="S79" s="130" t="s">
        <v>44</v>
      </c>
      <c r="T79" s="130" t="s">
        <v>44</v>
      </c>
      <c r="U79" s="130" t="s">
        <v>44</v>
      </c>
      <c r="V79" s="130" t="s">
        <v>44</v>
      </c>
      <c r="W79" s="130" t="s">
        <v>44</v>
      </c>
      <c r="X79" s="130" t="s">
        <v>44</v>
      </c>
      <c r="Y79" s="130" t="s">
        <v>44</v>
      </c>
      <c r="Z79" s="130" t="s">
        <v>44</v>
      </c>
      <c r="AA79" s="130" t="s">
        <v>44</v>
      </c>
      <c r="AB79" s="130" t="s">
        <v>44</v>
      </c>
      <c r="AC79" s="130" t="s">
        <v>44</v>
      </c>
      <c r="AD79" s="130" t="s">
        <v>44</v>
      </c>
      <c r="AE79" s="130" t="s">
        <v>44</v>
      </c>
      <c r="AF79" s="130" t="s">
        <v>44</v>
      </c>
      <c r="AG79" s="130" t="s">
        <v>44</v>
      </c>
      <c r="AH79" s="131" t="s">
        <v>44</v>
      </c>
      <c r="AI79" s="131" t="s">
        <v>44</v>
      </c>
      <c r="AJ79" s="131" t="s">
        <v>44</v>
      </c>
      <c r="AK79" s="131" t="s">
        <v>44</v>
      </c>
      <c r="AL79" s="131" t="s">
        <v>44</v>
      </c>
      <c r="AM79" s="131" t="s">
        <v>44</v>
      </c>
      <c r="AN79" s="131" t="s">
        <v>44</v>
      </c>
      <c r="AO79" s="131" t="s">
        <v>44</v>
      </c>
      <c r="AP79" s="131">
        <v>2.9727313366115333</v>
      </c>
      <c r="AQ79" s="131">
        <v>2.5907473309608542</v>
      </c>
      <c r="AR79" s="131">
        <v>2.5149004215729032</v>
      </c>
      <c r="AS79" s="131">
        <v>2.9223950116445048</v>
      </c>
      <c r="AT79" s="131">
        <v>2.7040742351747138</v>
      </c>
      <c r="AU79" s="131">
        <v>2.5357242925189127</v>
      </c>
      <c r="AV79" s="131">
        <v>2.7206512425021421</v>
      </c>
      <c r="AW79" s="131">
        <v>2.6138585185721528</v>
      </c>
      <c r="AX79" s="131">
        <v>2.3468685478320714</v>
      </c>
      <c r="AY79" s="131">
        <v>2.3591718825228694</v>
      </c>
      <c r="AZ79" s="131">
        <v>2.3506432275880651</v>
      </c>
      <c r="BA79" s="131">
        <v>2.4420274984609072</v>
      </c>
      <c r="BB79" s="131">
        <v>2.2280379120101852</v>
      </c>
      <c r="BC79" s="131">
        <v>2.228717573986116</v>
      </c>
      <c r="BD79" s="131">
        <v>2.1400778210116731</v>
      </c>
      <c r="BE79" s="131">
        <v>2.375407545412203</v>
      </c>
      <c r="BF79" s="131">
        <v>2.2591262716935967</v>
      </c>
      <c r="BG79" s="131">
        <v>2.1114546414297561</v>
      </c>
      <c r="BH79" s="131">
        <v>1.9685039370078741</v>
      </c>
      <c r="BI79" s="131">
        <v>2.030136210825475</v>
      </c>
      <c r="BJ79" s="131">
        <v>2.1</v>
      </c>
      <c r="BK79" s="131">
        <v>2.1</v>
      </c>
      <c r="BL79" s="131">
        <v>2</v>
      </c>
      <c r="BM79" s="131"/>
      <c r="BN79" s="131"/>
      <c r="BO79" s="382"/>
      <c r="BP79" s="382"/>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row>
    <row r="80" spans="1:103">
      <c r="A80" s="414" t="s">
        <v>18</v>
      </c>
      <c r="B80" s="416"/>
      <c r="C80" s="22" t="s">
        <v>52</v>
      </c>
      <c r="D80" s="25">
        <v>92.148323538116784</v>
      </c>
      <c r="E80" s="25">
        <v>91.618341479579158</v>
      </c>
      <c r="F80" s="25">
        <v>92.10427918570835</v>
      </c>
      <c r="G80" s="25">
        <v>92.509130146082342</v>
      </c>
      <c r="H80" s="25">
        <v>92.583483303339335</v>
      </c>
      <c r="I80" s="25">
        <v>92.497415753566258</v>
      </c>
      <c r="J80" s="25">
        <v>93.007586705202314</v>
      </c>
      <c r="K80" s="25">
        <v>93.138162859298902</v>
      </c>
      <c r="L80" s="25">
        <v>92.889168166842168</v>
      </c>
      <c r="M80" s="25">
        <v>92.890651366857909</v>
      </c>
      <c r="N80" s="25">
        <v>93.018386108273759</v>
      </c>
      <c r="O80" s="25">
        <v>92.832937987123003</v>
      </c>
      <c r="P80" s="25">
        <v>92.87662610155266</v>
      </c>
      <c r="Q80" s="25">
        <v>91.972566717600657</v>
      </c>
      <c r="R80" s="25">
        <v>90.451287302516093</v>
      </c>
      <c r="S80" s="25">
        <v>90.001158390609319</v>
      </c>
      <c r="T80" s="25">
        <v>89.022805151837417</v>
      </c>
      <c r="U80" s="25">
        <v>88.762384480892521</v>
      </c>
      <c r="V80" s="25">
        <v>87.773322076825664</v>
      </c>
      <c r="W80" s="25">
        <v>87.239210583387546</v>
      </c>
      <c r="X80" s="25">
        <v>87.370670265407099</v>
      </c>
      <c r="Y80" s="25">
        <v>87.270441381168339</v>
      </c>
      <c r="Z80" s="25">
        <v>86.535980834792227</v>
      </c>
      <c r="AA80" s="25">
        <v>85.752054992068452</v>
      </c>
      <c r="AB80" s="25">
        <v>85.109801821103375</v>
      </c>
      <c r="AC80" s="25">
        <v>85.705454725285591</v>
      </c>
      <c r="AD80" s="25">
        <v>84.158826110271534</v>
      </c>
      <c r="AE80" s="25">
        <v>84.644940942080552</v>
      </c>
      <c r="AF80" s="25">
        <v>84.791206769683598</v>
      </c>
      <c r="AG80" s="25">
        <v>83.483497952300652</v>
      </c>
      <c r="AH80" s="53">
        <v>83.453434278938246</v>
      </c>
      <c r="AI80" s="53">
        <v>83.531187122736412</v>
      </c>
      <c r="AJ80" s="53">
        <v>83.896501609052223</v>
      </c>
      <c r="AK80" s="53">
        <v>82.403411426222775</v>
      </c>
      <c r="AL80" s="53">
        <v>81.002183935937879</v>
      </c>
      <c r="AM80" s="53">
        <v>80.668450431332744</v>
      </c>
      <c r="AN80" s="53">
        <v>80.392283790781988</v>
      </c>
      <c r="AO80" s="53">
        <v>81.17503728443296</v>
      </c>
      <c r="AP80" s="53">
        <v>80.718424670988014</v>
      </c>
      <c r="AQ80" s="53" t="s">
        <v>44</v>
      </c>
      <c r="AR80" s="53">
        <v>80.270377909549524</v>
      </c>
      <c r="AS80" s="53">
        <v>79.689163835505298</v>
      </c>
      <c r="AT80" s="53">
        <v>80.075631077497306</v>
      </c>
      <c r="AU80" s="53" t="s">
        <v>44</v>
      </c>
      <c r="AV80" s="53">
        <v>79.068271369984188</v>
      </c>
      <c r="AW80" s="53" t="s">
        <v>44</v>
      </c>
      <c r="AX80" s="53">
        <v>77.250680524622624</v>
      </c>
      <c r="AY80" s="53">
        <v>85.566357790267872</v>
      </c>
      <c r="AZ80" s="53">
        <v>77.31192641015268</v>
      </c>
      <c r="BA80" s="53">
        <v>78.659036972963378</v>
      </c>
      <c r="BB80" s="53">
        <v>79.460710565906723</v>
      </c>
      <c r="BC80" s="53">
        <v>78.304434337691873</v>
      </c>
      <c r="BD80" s="53">
        <v>78.74682662712587</v>
      </c>
      <c r="BE80" s="53">
        <v>79.281314168377833</v>
      </c>
      <c r="BF80" s="53">
        <v>79.468097515455511</v>
      </c>
      <c r="BG80" s="53">
        <v>79.588940658924813</v>
      </c>
      <c r="BH80" s="53">
        <v>79.782788336678081</v>
      </c>
      <c r="BI80" s="53">
        <v>78.841328057137332</v>
      </c>
      <c r="BJ80" s="53">
        <v>79.781868773446618</v>
      </c>
      <c r="BK80" s="53">
        <v>79.24947664952316</v>
      </c>
      <c r="BL80" s="53">
        <v>79.3</v>
      </c>
      <c r="BM80" s="53" t="s">
        <v>44</v>
      </c>
      <c r="BN80" s="53"/>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row>
    <row r="81" spans="1:103">
      <c r="A81" s="415"/>
      <c r="B81" s="417"/>
      <c r="C81" s="127" t="s">
        <v>53</v>
      </c>
      <c r="D81" s="129">
        <v>5.2534776542218085</v>
      </c>
      <c r="E81" s="129">
        <v>5.8528705161129979</v>
      </c>
      <c r="F81" s="129">
        <v>5.7395097631906937</v>
      </c>
      <c r="G81" s="129">
        <v>5.4843127490039842</v>
      </c>
      <c r="H81" s="129">
        <v>5.2389522095580885</v>
      </c>
      <c r="I81" s="129">
        <v>5.5612983254083108</v>
      </c>
      <c r="J81" s="129">
        <v>5.3540462427745661</v>
      </c>
      <c r="K81" s="129">
        <v>5.3165946353845097</v>
      </c>
      <c r="L81" s="129">
        <v>5.471960870894331</v>
      </c>
      <c r="M81" s="129">
        <v>5.4438069524130945</v>
      </c>
      <c r="N81" s="129">
        <v>5.4358188627851547</v>
      </c>
      <c r="O81" s="129">
        <v>5.6658759742460179</v>
      </c>
      <c r="P81" s="129">
        <v>5.6896069380332914</v>
      </c>
      <c r="Q81" s="129">
        <v>6.3945844141999224</v>
      </c>
      <c r="R81" s="129">
        <v>7.9011849034523118</v>
      </c>
      <c r="S81" s="129">
        <v>8.5199629315005012</v>
      </c>
      <c r="T81" s="129">
        <v>9.5927370120918507</v>
      </c>
      <c r="U81" s="129">
        <v>9.7098493048039298</v>
      </c>
      <c r="V81" s="129">
        <v>10.768256648374843</v>
      </c>
      <c r="W81" s="129">
        <v>11.286055085664714</v>
      </c>
      <c r="X81" s="129">
        <v>11.320287899235268</v>
      </c>
      <c r="Y81" s="129">
        <v>11.427416820079925</v>
      </c>
      <c r="Z81" s="129">
        <v>12.160232193863447</v>
      </c>
      <c r="AA81" s="129">
        <v>12.93082728452627</v>
      </c>
      <c r="AB81" s="129">
        <v>13.529239908457905</v>
      </c>
      <c r="AC81" s="129">
        <v>13.243657583700113</v>
      </c>
      <c r="AD81" s="129">
        <v>14.571247501584361</v>
      </c>
      <c r="AE81" s="129">
        <v>14.22845216071344</v>
      </c>
      <c r="AF81" s="129">
        <v>14.199319352465048</v>
      </c>
      <c r="AG81" s="129">
        <v>15.487834256805588</v>
      </c>
      <c r="AH81" s="128">
        <v>15.62072425430995</v>
      </c>
      <c r="AI81" s="128">
        <v>15.621227364185112</v>
      </c>
      <c r="AJ81" s="128">
        <v>15.184781480328038</v>
      </c>
      <c r="AK81" s="128">
        <v>16.635840526099464</v>
      </c>
      <c r="AL81" s="128">
        <v>17.956806600339721</v>
      </c>
      <c r="AM81" s="128">
        <v>18.466577478433361</v>
      </c>
      <c r="AN81" s="128">
        <v>18.649663386846193</v>
      </c>
      <c r="AO81" s="128">
        <v>17.867120381456509</v>
      </c>
      <c r="AP81" s="128">
        <v>18.233156550775877</v>
      </c>
      <c r="AQ81" s="128" t="s">
        <v>44</v>
      </c>
      <c r="AR81" s="128">
        <v>18.753872024072926</v>
      </c>
      <c r="AS81" s="128">
        <v>19.101465442928859</v>
      </c>
      <c r="AT81" s="128">
        <v>18.848836067183967</v>
      </c>
      <c r="AU81" s="128" t="s">
        <v>44</v>
      </c>
      <c r="AV81" s="128">
        <v>19.714798831318518</v>
      </c>
      <c r="AW81" s="128" t="s">
        <v>44</v>
      </c>
      <c r="AX81" s="128">
        <v>21.576342489482801</v>
      </c>
      <c r="AY81" s="128" t="s">
        <v>44</v>
      </c>
      <c r="AZ81" s="128">
        <v>21.604241637033407</v>
      </c>
      <c r="BA81" s="128">
        <v>20.289662208618893</v>
      </c>
      <c r="BB81" s="128">
        <v>19.527832426802451</v>
      </c>
      <c r="BC81" s="128">
        <v>20.67699450445329</v>
      </c>
      <c r="BD81" s="128">
        <v>20.287120037743477</v>
      </c>
      <c r="BE81" s="128">
        <v>19.753593429158112</v>
      </c>
      <c r="BF81" s="128">
        <v>19.589408608421792</v>
      </c>
      <c r="BG81" s="128">
        <v>19.491024337172725</v>
      </c>
      <c r="BH81" s="128">
        <v>19.249203163735096</v>
      </c>
      <c r="BI81" s="128">
        <v>20.152494932921535</v>
      </c>
      <c r="BJ81" s="128">
        <v>19.189585351916723</v>
      </c>
      <c r="BK81" s="128">
        <v>19.773602460393352</v>
      </c>
      <c r="BL81" s="128"/>
      <c r="BM81" s="128"/>
      <c r="BN81" s="128"/>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row>
    <row r="82" spans="1:103">
      <c r="A82" s="415"/>
      <c r="B82" s="417"/>
      <c r="C82" s="133" t="s">
        <v>55</v>
      </c>
      <c r="D82" s="130">
        <v>2.5981988076614098</v>
      </c>
      <c r="E82" s="130">
        <v>2.5287880043078452</v>
      </c>
      <c r="F82" s="130">
        <v>2.1562110511009558</v>
      </c>
      <c r="G82" s="130">
        <v>2.0065571049136786</v>
      </c>
      <c r="H82" s="130">
        <v>2.1775644871025794</v>
      </c>
      <c r="I82" s="130">
        <v>1.941285921025429</v>
      </c>
      <c r="J82" s="130">
        <v>1.6383670520231215</v>
      </c>
      <c r="K82" s="130">
        <v>1.5452425053165946</v>
      </c>
      <c r="L82" s="130">
        <v>1.63887096226351</v>
      </c>
      <c r="M82" s="130">
        <v>1.6655416807289907</v>
      </c>
      <c r="N82" s="130">
        <v>1.5457950289410964</v>
      </c>
      <c r="O82" s="130">
        <v>1.5011860386309726</v>
      </c>
      <c r="P82" s="130">
        <v>1.4337669604140439</v>
      </c>
      <c r="Q82" s="130">
        <v>1.6328488681994244</v>
      </c>
      <c r="R82" s="130">
        <v>1.6475277940315975</v>
      </c>
      <c r="S82" s="130">
        <v>1.4788786778901846</v>
      </c>
      <c r="T82" s="130">
        <v>1.3844578360707394</v>
      </c>
      <c r="U82" s="130">
        <v>1.5277662143035551</v>
      </c>
      <c r="V82" s="130">
        <v>1.4584212747994934</v>
      </c>
      <c r="W82" s="130">
        <v>1.4747343309477337</v>
      </c>
      <c r="X82" s="130">
        <v>1.3090418353576248</v>
      </c>
      <c r="Y82" s="130">
        <v>1.3021417987517401</v>
      </c>
      <c r="Z82" s="130">
        <v>1.3037869713443289</v>
      </c>
      <c r="AA82" s="130">
        <v>1.3171177234052782</v>
      </c>
      <c r="AB82" s="130">
        <v>1.3609582704387204</v>
      </c>
      <c r="AC82" s="130">
        <v>1.0508876910142921</v>
      </c>
      <c r="AD82" s="130">
        <v>1.2699263881441036</v>
      </c>
      <c r="AE82" s="130">
        <v>1.1266068972060148</v>
      </c>
      <c r="AF82" s="130">
        <v>1.0094738778513614</v>
      </c>
      <c r="AG82" s="130">
        <v>1.0286677908937605</v>
      </c>
      <c r="AH82" s="131">
        <v>0.92584146675180146</v>
      </c>
      <c r="AI82" s="131">
        <v>0.84758551307847085</v>
      </c>
      <c r="AJ82" s="131">
        <v>0.9187169106197447</v>
      </c>
      <c r="AK82" s="131">
        <v>0.96074804767776412</v>
      </c>
      <c r="AL82" s="131">
        <v>1.0410094637223974</v>
      </c>
      <c r="AM82" s="131">
        <v>0.86497209023388844</v>
      </c>
      <c r="AN82" s="131">
        <v>0.95805282237182809</v>
      </c>
      <c r="AO82" s="131">
        <v>0.95784233411052999</v>
      </c>
      <c r="AP82" s="131">
        <v>1.048418778236103</v>
      </c>
      <c r="AQ82" s="131" t="s">
        <v>44</v>
      </c>
      <c r="AR82" s="131">
        <v>0.97575006637755557</v>
      </c>
      <c r="AS82" s="131">
        <v>1.2093707215658436</v>
      </c>
      <c r="AT82" s="131">
        <v>1.0755328553187309</v>
      </c>
      <c r="AU82" s="131" t="s">
        <v>44</v>
      </c>
      <c r="AV82" s="131">
        <v>1.2088884123622914</v>
      </c>
      <c r="AW82" s="131" t="s">
        <v>44</v>
      </c>
      <c r="AX82" s="131">
        <v>1.1729769858945807</v>
      </c>
      <c r="AY82" s="131" t="s">
        <v>44</v>
      </c>
      <c r="AZ82" s="131">
        <v>1.0838319528139173</v>
      </c>
      <c r="BA82" s="131">
        <v>1.0513008184177257</v>
      </c>
      <c r="BB82" s="131">
        <v>1.0114570072908229</v>
      </c>
      <c r="BC82" s="131">
        <v>1.0185711578548418</v>
      </c>
      <c r="BD82" s="131">
        <v>0.96605333513064184</v>
      </c>
      <c r="BE82" s="131">
        <v>0.9650924024640658</v>
      </c>
      <c r="BF82" s="131">
        <v>0.94249387612271085</v>
      </c>
      <c r="BG82" s="131">
        <v>0.92003500390246218</v>
      </c>
      <c r="BH82" s="131">
        <v>0.96800849958682567</v>
      </c>
      <c r="BI82" s="131">
        <v>1.0061770099411254</v>
      </c>
      <c r="BJ82" s="131">
        <v>1.0285458746366549</v>
      </c>
      <c r="BK82" s="131">
        <v>0.9769208900834776</v>
      </c>
      <c r="BL82" s="131"/>
      <c r="BM82" s="131"/>
      <c r="BN82" s="131"/>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row>
    <row r="83" spans="1:103" s="2" customFormat="1">
      <c r="A83" s="414" t="s">
        <v>17</v>
      </c>
      <c r="B83" s="416"/>
      <c r="C83" s="22" t="s">
        <v>52</v>
      </c>
      <c r="D83" s="25" t="s">
        <v>44</v>
      </c>
      <c r="E83" s="25" t="s">
        <v>44</v>
      </c>
      <c r="F83" s="25" t="s">
        <v>44</v>
      </c>
      <c r="G83" s="25" t="s">
        <v>44</v>
      </c>
      <c r="H83" s="25" t="s">
        <v>44</v>
      </c>
      <c r="I83" s="25" t="s">
        <v>44</v>
      </c>
      <c r="J83" s="25" t="s">
        <v>44</v>
      </c>
      <c r="K83" s="25" t="s">
        <v>44</v>
      </c>
      <c r="L83" s="25" t="s">
        <v>44</v>
      </c>
      <c r="M83" s="25" t="s">
        <v>44</v>
      </c>
      <c r="N83" s="25" t="s">
        <v>44</v>
      </c>
      <c r="O83" s="25" t="s">
        <v>44</v>
      </c>
      <c r="P83" s="25" t="s">
        <v>44</v>
      </c>
      <c r="Q83" s="25" t="s">
        <v>44</v>
      </c>
      <c r="R83" s="25" t="s">
        <v>44</v>
      </c>
      <c r="S83" s="25" t="s">
        <v>44</v>
      </c>
      <c r="T83" s="25" t="s">
        <v>44</v>
      </c>
      <c r="U83" s="25" t="s">
        <v>44</v>
      </c>
      <c r="V83" s="25" t="s">
        <v>44</v>
      </c>
      <c r="W83" s="25" t="s">
        <v>44</v>
      </c>
      <c r="X83" s="25" t="s">
        <v>44</v>
      </c>
      <c r="Y83" s="25" t="s">
        <v>44</v>
      </c>
      <c r="Z83" s="25" t="s">
        <v>44</v>
      </c>
      <c r="AA83" s="25" t="s">
        <v>44</v>
      </c>
      <c r="AB83" s="25" t="s">
        <v>44</v>
      </c>
      <c r="AC83" s="25" t="s">
        <v>44</v>
      </c>
      <c r="AD83" s="25" t="s">
        <v>44</v>
      </c>
      <c r="AE83" s="25" t="s">
        <v>44</v>
      </c>
      <c r="AF83" s="25" t="s">
        <v>44</v>
      </c>
      <c r="AG83" s="25" t="s">
        <v>44</v>
      </c>
      <c r="AH83" s="53" t="s">
        <v>44</v>
      </c>
      <c r="AI83" s="53" t="s">
        <v>44</v>
      </c>
      <c r="AJ83" s="53" t="s">
        <v>44</v>
      </c>
      <c r="AK83" s="53" t="s">
        <v>44</v>
      </c>
      <c r="AL83" s="53" t="s">
        <v>44</v>
      </c>
      <c r="AM83" s="53" t="s">
        <v>44</v>
      </c>
      <c r="AN83" s="53">
        <v>90.46311892006031</v>
      </c>
      <c r="AO83" s="53" t="s">
        <v>44</v>
      </c>
      <c r="AP83" s="53" t="s">
        <v>44</v>
      </c>
      <c r="AQ83" s="53">
        <v>90.230312035661214</v>
      </c>
      <c r="AR83" s="53">
        <v>90.243902439024396</v>
      </c>
      <c r="AS83" s="53">
        <v>90.382683654329085</v>
      </c>
      <c r="AT83" s="53">
        <v>90.413421210305572</v>
      </c>
      <c r="AU83" s="53">
        <v>90.40988303674672</v>
      </c>
      <c r="AV83" s="53">
        <v>90.743076987238297</v>
      </c>
      <c r="AW83" s="53">
        <v>90.496143362523924</v>
      </c>
      <c r="AX83" s="53">
        <v>89.902113793819993</v>
      </c>
      <c r="AY83" s="53">
        <v>94.372186198980998</v>
      </c>
      <c r="AZ83" s="53">
        <v>89.385591905146185</v>
      </c>
      <c r="BA83" s="53">
        <v>89.364578099954542</v>
      </c>
      <c r="BB83" s="53">
        <v>89.330025357257043</v>
      </c>
      <c r="BC83" s="53">
        <v>88.710763254888093</v>
      </c>
      <c r="BD83" s="53">
        <v>88.405690458670591</v>
      </c>
      <c r="BE83" s="53">
        <v>87.287689305749566</v>
      </c>
      <c r="BF83" s="53">
        <v>87.246668222910742</v>
      </c>
      <c r="BG83" s="53">
        <v>86.753304524656841</v>
      </c>
      <c r="BH83" s="53">
        <v>86.193946912718715</v>
      </c>
      <c r="BI83" s="53">
        <v>85.698373629112666</v>
      </c>
      <c r="BJ83" s="53">
        <v>85.244202179346601</v>
      </c>
      <c r="BK83" s="53">
        <v>84.218333324244284</v>
      </c>
      <c r="BL83" s="53">
        <v>83.1</v>
      </c>
      <c r="BM83" s="53">
        <v>83.765238468667576</v>
      </c>
      <c r="BN83" s="5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row>
    <row r="84" spans="1:103">
      <c r="A84" s="415"/>
      <c r="B84" s="417"/>
      <c r="C84" s="127" t="s">
        <v>53</v>
      </c>
      <c r="D84" s="129" t="s">
        <v>44</v>
      </c>
      <c r="E84" s="129" t="s">
        <v>44</v>
      </c>
      <c r="F84" s="129" t="s">
        <v>44</v>
      </c>
      <c r="G84" s="129" t="s">
        <v>44</v>
      </c>
      <c r="H84" s="129" t="s">
        <v>44</v>
      </c>
      <c r="I84" s="129" t="s">
        <v>44</v>
      </c>
      <c r="J84" s="129" t="s">
        <v>44</v>
      </c>
      <c r="K84" s="129" t="s">
        <v>44</v>
      </c>
      <c r="L84" s="129" t="s">
        <v>44</v>
      </c>
      <c r="M84" s="129" t="s">
        <v>44</v>
      </c>
      <c r="N84" s="129" t="s">
        <v>44</v>
      </c>
      <c r="O84" s="129" t="s">
        <v>44</v>
      </c>
      <c r="P84" s="129" t="s">
        <v>44</v>
      </c>
      <c r="Q84" s="129" t="s">
        <v>44</v>
      </c>
      <c r="R84" s="129" t="s">
        <v>44</v>
      </c>
      <c r="S84" s="129" t="s">
        <v>44</v>
      </c>
      <c r="T84" s="129" t="s">
        <v>44</v>
      </c>
      <c r="U84" s="129" t="s">
        <v>44</v>
      </c>
      <c r="V84" s="129" t="s">
        <v>44</v>
      </c>
      <c r="W84" s="129" t="s">
        <v>44</v>
      </c>
      <c r="X84" s="129" t="s">
        <v>44</v>
      </c>
      <c r="Y84" s="129" t="s">
        <v>44</v>
      </c>
      <c r="Z84" s="129" t="s">
        <v>44</v>
      </c>
      <c r="AA84" s="129" t="s">
        <v>44</v>
      </c>
      <c r="AB84" s="129" t="s">
        <v>44</v>
      </c>
      <c r="AC84" s="129" t="s">
        <v>44</v>
      </c>
      <c r="AD84" s="129" t="s">
        <v>44</v>
      </c>
      <c r="AE84" s="129" t="s">
        <v>44</v>
      </c>
      <c r="AF84" s="129" t="s">
        <v>44</v>
      </c>
      <c r="AG84" s="129" t="s">
        <v>44</v>
      </c>
      <c r="AH84" s="128" t="s">
        <v>44</v>
      </c>
      <c r="AI84" s="128" t="s">
        <v>44</v>
      </c>
      <c r="AJ84" s="128" t="s">
        <v>44</v>
      </c>
      <c r="AK84" s="128" t="s">
        <v>44</v>
      </c>
      <c r="AL84" s="128" t="s">
        <v>44</v>
      </c>
      <c r="AM84" s="128" t="s">
        <v>44</v>
      </c>
      <c r="AN84" s="128">
        <v>6.8586384863558907</v>
      </c>
      <c r="AO84" s="128" t="s">
        <v>44</v>
      </c>
      <c r="AP84" s="128" t="s">
        <v>44</v>
      </c>
      <c r="AQ84" s="128">
        <v>7.1618702084795665</v>
      </c>
      <c r="AR84" s="128">
        <v>7.2701870708027467</v>
      </c>
      <c r="AS84" s="128">
        <v>7.1493732126566973</v>
      </c>
      <c r="AT84" s="128">
        <v>7.2498502097064117</v>
      </c>
      <c r="AU84" s="128">
        <v>7.3457630240577956</v>
      </c>
      <c r="AV84" s="128">
        <v>7.1315372424722661</v>
      </c>
      <c r="AW84" s="128">
        <v>7.5680469369212631</v>
      </c>
      <c r="AX84" s="128">
        <v>8.2805363845769548</v>
      </c>
      <c r="AY84" s="128" t="s">
        <v>44</v>
      </c>
      <c r="AZ84" s="128">
        <v>1.6795735303246633</v>
      </c>
      <c r="BA84" s="128">
        <v>8.948978045726772</v>
      </c>
      <c r="BB84" s="128">
        <v>9.0867883873397659</v>
      </c>
      <c r="BC84" s="128">
        <v>9.6098241399518578</v>
      </c>
      <c r="BD84" s="128">
        <v>9.8994358597007608</v>
      </c>
      <c r="BE84" s="128">
        <v>10.878012816248697</v>
      </c>
      <c r="BF84" s="128">
        <v>10.985314714995118</v>
      </c>
      <c r="BG84" s="128">
        <v>11.489578037620744</v>
      </c>
      <c r="BH84" s="128">
        <v>12.007960507611589</v>
      </c>
      <c r="BI84" s="128">
        <v>12.534791458956466</v>
      </c>
      <c r="BJ84" s="128">
        <v>13.015282447270101</v>
      </c>
      <c r="BK84" s="128">
        <v>13.889055521320165</v>
      </c>
      <c r="BL84" s="128"/>
      <c r="BM84" s="128"/>
      <c r="BN84" s="128"/>
      <c r="CX84" s="50"/>
      <c r="CY84" s="50"/>
    </row>
    <row r="85" spans="1:103" s="2" customFormat="1">
      <c r="A85" s="415"/>
      <c r="B85" s="417"/>
      <c r="C85" s="133" t="s">
        <v>55</v>
      </c>
      <c r="D85" s="130" t="s">
        <v>44</v>
      </c>
      <c r="E85" s="130" t="s">
        <v>44</v>
      </c>
      <c r="F85" s="130" t="s">
        <v>44</v>
      </c>
      <c r="G85" s="130" t="s">
        <v>44</v>
      </c>
      <c r="H85" s="130" t="s">
        <v>44</v>
      </c>
      <c r="I85" s="130" t="s">
        <v>44</v>
      </c>
      <c r="J85" s="130" t="s">
        <v>44</v>
      </c>
      <c r="K85" s="130" t="s">
        <v>44</v>
      </c>
      <c r="L85" s="130" t="s">
        <v>44</v>
      </c>
      <c r="M85" s="130" t="s">
        <v>44</v>
      </c>
      <c r="N85" s="130" t="s">
        <v>44</v>
      </c>
      <c r="O85" s="130" t="s">
        <v>44</v>
      </c>
      <c r="P85" s="130" t="s">
        <v>44</v>
      </c>
      <c r="Q85" s="130" t="s">
        <v>44</v>
      </c>
      <c r="R85" s="130" t="s">
        <v>44</v>
      </c>
      <c r="S85" s="130" t="s">
        <v>44</v>
      </c>
      <c r="T85" s="130" t="s">
        <v>44</v>
      </c>
      <c r="U85" s="130" t="s">
        <v>44</v>
      </c>
      <c r="V85" s="130" t="s">
        <v>44</v>
      </c>
      <c r="W85" s="130" t="s">
        <v>44</v>
      </c>
      <c r="X85" s="130" t="s">
        <v>44</v>
      </c>
      <c r="Y85" s="130" t="s">
        <v>44</v>
      </c>
      <c r="Z85" s="130" t="s">
        <v>44</v>
      </c>
      <c r="AA85" s="130" t="s">
        <v>44</v>
      </c>
      <c r="AB85" s="130" t="s">
        <v>44</v>
      </c>
      <c r="AC85" s="130" t="s">
        <v>44</v>
      </c>
      <c r="AD85" s="130" t="s">
        <v>44</v>
      </c>
      <c r="AE85" s="130" t="s">
        <v>44</v>
      </c>
      <c r="AF85" s="130" t="s">
        <v>44</v>
      </c>
      <c r="AG85" s="130" t="s">
        <v>44</v>
      </c>
      <c r="AH85" s="131" t="s">
        <v>44</v>
      </c>
      <c r="AI85" s="131" t="s">
        <v>44</v>
      </c>
      <c r="AJ85" s="131" t="s">
        <v>44</v>
      </c>
      <c r="AK85" s="131" t="s">
        <v>44</v>
      </c>
      <c r="AL85" s="131" t="s">
        <v>44</v>
      </c>
      <c r="AM85" s="131" t="s">
        <v>44</v>
      </c>
      <c r="AN85" s="131">
        <v>2.678242593583807</v>
      </c>
      <c r="AO85" s="131" t="s">
        <v>44</v>
      </c>
      <c r="AP85" s="131" t="s">
        <v>44</v>
      </c>
      <c r="AQ85" s="131">
        <v>2.607817755859215</v>
      </c>
      <c r="AR85" s="131">
        <v>2.4859104901728628</v>
      </c>
      <c r="AS85" s="131">
        <v>2.467943133014217</v>
      </c>
      <c r="AT85" s="131">
        <v>2.3367285799880166</v>
      </c>
      <c r="AU85" s="131">
        <v>2.2443539391954812</v>
      </c>
      <c r="AV85" s="131">
        <v>2.1253857702894319</v>
      </c>
      <c r="AW85" s="131">
        <v>1.9358097005548147</v>
      </c>
      <c r="AX85" s="131">
        <v>1.8173498216030524</v>
      </c>
      <c r="AY85" s="131" t="s">
        <v>44</v>
      </c>
      <c r="AZ85" s="131">
        <v>8.9348345645291456</v>
      </c>
      <c r="BA85" s="131">
        <v>1.6864438543186839</v>
      </c>
      <c r="BB85" s="131">
        <v>1.5831862554031979</v>
      </c>
      <c r="BC85" s="131">
        <v>1.6794126051600466</v>
      </c>
      <c r="BD85" s="131">
        <v>1.6948736816286485</v>
      </c>
      <c r="BE85" s="131">
        <v>1.8342978780017296</v>
      </c>
      <c r="BF85" s="131">
        <v>1.7680170620941387</v>
      </c>
      <c r="BG85" s="131">
        <v>1.7571174377224199</v>
      </c>
      <c r="BH85" s="131">
        <v>1.7980925796696905</v>
      </c>
      <c r="BI85" s="131">
        <v>1.7668349119308739</v>
      </c>
      <c r="BJ85" s="131">
        <v>1.7405153733832877</v>
      </c>
      <c r="BK85" s="131">
        <v>1.8926111544355431</v>
      </c>
      <c r="BL85" s="131"/>
      <c r="BM85" s="131"/>
      <c r="BN85" s="131"/>
      <c r="BO85" s="382"/>
      <c r="BP85" s="382"/>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row>
    <row r="86" spans="1:103" s="2" customFormat="1">
      <c r="A86" s="414" t="s">
        <v>16</v>
      </c>
      <c r="B86" s="416"/>
      <c r="C86" s="22" t="s">
        <v>52</v>
      </c>
      <c r="D86" s="25">
        <v>96.789380480009214</v>
      </c>
      <c r="E86" s="25">
        <v>96.99612527014412</v>
      </c>
      <c r="F86" s="25">
        <v>96.671703122131689</v>
      </c>
      <c r="G86" s="25">
        <v>96.78762515974104</v>
      </c>
      <c r="H86" s="25">
        <v>96.814213613422453</v>
      </c>
      <c r="I86" s="25">
        <v>96.87479299974828</v>
      </c>
      <c r="J86" s="25">
        <v>96.900218914752784</v>
      </c>
      <c r="K86" s="25">
        <v>96.932694258470278</v>
      </c>
      <c r="L86" s="25">
        <v>96.912596501770025</v>
      </c>
      <c r="M86" s="25">
        <v>97.028921444809285</v>
      </c>
      <c r="N86" s="25">
        <v>97.129914928616145</v>
      </c>
      <c r="O86" s="25">
        <v>97.07627220211414</v>
      </c>
      <c r="P86" s="25">
        <v>96.989330746847727</v>
      </c>
      <c r="Q86" s="25">
        <v>96.954371902198403</v>
      </c>
      <c r="R86" s="25">
        <v>97.096936028584011</v>
      </c>
      <c r="S86" s="25">
        <v>96.890181818181816</v>
      </c>
      <c r="T86" s="25">
        <v>95.082200520194334</v>
      </c>
      <c r="U86" s="25">
        <v>93.749111079505056</v>
      </c>
      <c r="V86" s="25">
        <v>93.453415689610537</v>
      </c>
      <c r="W86" s="25">
        <v>93.792191262899138</v>
      </c>
      <c r="X86" s="25">
        <v>93.584751399589834</v>
      </c>
      <c r="Y86" s="25">
        <v>93.711574007314866</v>
      </c>
      <c r="Z86" s="25">
        <v>93.496470268802611</v>
      </c>
      <c r="AA86" s="25">
        <v>93.759760801954158</v>
      </c>
      <c r="AB86" s="25">
        <v>93.376028622540247</v>
      </c>
      <c r="AC86" s="25">
        <v>93.146462949708592</v>
      </c>
      <c r="AD86" s="25">
        <v>93.029550605592533</v>
      </c>
      <c r="AE86" s="25">
        <v>92.919643853968964</v>
      </c>
      <c r="AF86" s="25">
        <v>93.014571436608634</v>
      </c>
      <c r="AG86" s="25">
        <v>93.132044538561374</v>
      </c>
      <c r="AH86" s="53">
        <v>93.135763530298377</v>
      </c>
      <c r="AI86" s="53">
        <v>92.950646167557935</v>
      </c>
      <c r="AJ86" s="53">
        <v>92.731838539356389</v>
      </c>
      <c r="AK86" s="53">
        <v>92.990201830556202</v>
      </c>
      <c r="AL86" s="53">
        <v>92.754874778419165</v>
      </c>
      <c r="AM86" s="53">
        <v>92.257814400389208</v>
      </c>
      <c r="AN86" s="53">
        <v>91.648605352431218</v>
      </c>
      <c r="AO86" s="53">
        <v>91.975064619127266</v>
      </c>
      <c r="AP86" s="53">
        <v>91.854860506321515</v>
      </c>
      <c r="AQ86" s="53">
        <v>91.789404744578661</v>
      </c>
      <c r="AR86" s="53">
        <v>91.181453130882176</v>
      </c>
      <c r="AS86" s="53">
        <v>90.274875834903241</v>
      </c>
      <c r="AT86" s="53">
        <v>90.526418336078791</v>
      </c>
      <c r="AU86" s="53">
        <v>88.940169349585929</v>
      </c>
      <c r="AV86" s="53">
        <v>88.043434055878649</v>
      </c>
      <c r="AW86" s="53">
        <v>87.210042941381928</v>
      </c>
      <c r="AX86" s="53">
        <v>86.027122469022302</v>
      </c>
      <c r="AY86" s="53">
        <v>84.345658227028437</v>
      </c>
      <c r="AZ86" s="53">
        <v>83.984917183307118</v>
      </c>
      <c r="BA86" s="53">
        <v>82.661979153771881</v>
      </c>
      <c r="BB86" s="53">
        <v>81.986847698347205</v>
      </c>
      <c r="BC86" s="53">
        <v>80.617455251838493</v>
      </c>
      <c r="BD86" s="53">
        <v>80.932806553757658</v>
      </c>
      <c r="BE86" s="53">
        <v>80.230014375898492</v>
      </c>
      <c r="BF86" s="53">
        <v>79.517440752271426</v>
      </c>
      <c r="BG86" s="53">
        <v>79.350476954897658</v>
      </c>
      <c r="BH86" s="53">
        <v>78.400567918762917</v>
      </c>
      <c r="BI86" s="53">
        <v>77.322055063328776</v>
      </c>
      <c r="BJ86" s="53">
        <v>76.728642780841298</v>
      </c>
      <c r="BK86" s="53">
        <v>75.395227218081274</v>
      </c>
      <c r="BL86" s="53">
        <v>69.2</v>
      </c>
      <c r="BM86" s="53">
        <v>75.986853426024709</v>
      </c>
      <c r="BN86" s="5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row>
    <row r="87" spans="1:103">
      <c r="A87" s="415"/>
      <c r="B87" s="417"/>
      <c r="C87" s="127" t="s">
        <v>53</v>
      </c>
      <c r="D87" s="129">
        <v>0.60613041162157877</v>
      </c>
      <c r="E87" s="129">
        <v>0.61893374595583062</v>
      </c>
      <c r="F87" s="129">
        <v>0.68062753293700662</v>
      </c>
      <c r="G87" s="129">
        <v>0.65090086927214252</v>
      </c>
      <c r="H87" s="129">
        <v>0.61655981448642749</v>
      </c>
      <c r="I87" s="129">
        <v>0.62861836439993113</v>
      </c>
      <c r="J87" s="129">
        <v>0.61140688350885375</v>
      </c>
      <c r="K87" s="129">
        <v>0.55855650233313048</v>
      </c>
      <c r="L87" s="129">
        <v>0.56888691494781396</v>
      </c>
      <c r="M87" s="129">
        <v>0.50896691083606971</v>
      </c>
      <c r="N87" s="129">
        <v>0.48612219344226065</v>
      </c>
      <c r="O87" s="129">
        <v>0.52014669575013783</v>
      </c>
      <c r="P87" s="129">
        <v>0.53216941480763014</v>
      </c>
      <c r="Q87" s="129">
        <v>0.56323665425569758</v>
      </c>
      <c r="R87" s="129">
        <v>0.50291224120209477</v>
      </c>
      <c r="S87" s="129">
        <v>1.1403636363636365</v>
      </c>
      <c r="T87" s="129">
        <v>2.7354370123178091</v>
      </c>
      <c r="U87" s="129">
        <v>3.659617299213374</v>
      </c>
      <c r="V87" s="129">
        <v>3.8817176461885565</v>
      </c>
      <c r="W87" s="129">
        <v>3.5674623476123331</v>
      </c>
      <c r="X87" s="129">
        <v>3.7678066626018509</v>
      </c>
      <c r="Y87" s="129">
        <v>3.7891797648230932</v>
      </c>
      <c r="Z87" s="129">
        <v>4.0469725767037747</v>
      </c>
      <c r="AA87" s="129">
        <v>3.9657220657527663</v>
      </c>
      <c r="AB87" s="129">
        <v>4.3241502683363153</v>
      </c>
      <c r="AC87" s="129">
        <v>4.4981814463709267</v>
      </c>
      <c r="AD87" s="129">
        <v>4.7306953847930595</v>
      </c>
      <c r="AE87" s="129">
        <v>4.8774701350898741</v>
      </c>
      <c r="AF87" s="129">
        <v>5.0001406509325159</v>
      </c>
      <c r="AG87" s="129">
        <v>4.9600382539790964</v>
      </c>
      <c r="AH87" s="128">
        <v>5.0087922516537802</v>
      </c>
      <c r="AI87" s="128">
        <v>5.2807486631016047</v>
      </c>
      <c r="AJ87" s="128">
        <v>5.4917223517964713</v>
      </c>
      <c r="AK87" s="128">
        <v>5.4036611124149259</v>
      </c>
      <c r="AL87" s="128">
        <v>5.7580716028059333</v>
      </c>
      <c r="AM87" s="128">
        <v>6.2355570420822186</v>
      </c>
      <c r="AN87" s="128">
        <v>6.9583176278426944</v>
      </c>
      <c r="AO87" s="128">
        <v>6.6907404591759159</v>
      </c>
      <c r="AP87" s="128">
        <v>6.8192738520676297</v>
      </c>
      <c r="AQ87" s="128">
        <v>6.9706010769902491</v>
      </c>
      <c r="AR87" s="128">
        <v>7.5574099636089853</v>
      </c>
      <c r="AS87" s="128">
        <v>8.3730090768967287</v>
      </c>
      <c r="AT87" s="128">
        <v>8.372743858157536</v>
      </c>
      <c r="AU87" s="128">
        <v>9.8846189634316559</v>
      </c>
      <c r="AV87" s="128">
        <v>10.742608483468217</v>
      </c>
      <c r="AW87" s="128">
        <v>11.590063898420004</v>
      </c>
      <c r="AX87" s="128">
        <v>12.791232212633471</v>
      </c>
      <c r="AY87" s="128">
        <v>14.454229532258411</v>
      </c>
      <c r="AZ87" s="128">
        <v>14.856111779402239</v>
      </c>
      <c r="BA87" s="128">
        <v>16.181822683271026</v>
      </c>
      <c r="BB87" s="128">
        <v>16.819193358837797</v>
      </c>
      <c r="BC87" s="128">
        <v>18.264187595393366</v>
      </c>
      <c r="BD87" s="128">
        <v>18.009760915666849</v>
      </c>
      <c r="BE87" s="128">
        <v>18.707419213700856</v>
      </c>
      <c r="BF87" s="128">
        <v>19.494567634538406</v>
      </c>
      <c r="BG87" s="128">
        <v>19.59219584478128</v>
      </c>
      <c r="BH87" s="128">
        <v>20.496002963054416</v>
      </c>
      <c r="BI87" s="128">
        <v>21.533269905452816</v>
      </c>
      <c r="BJ87" s="128">
        <v>22.040015012847533</v>
      </c>
      <c r="BK87" s="128">
        <v>23.422096657850446</v>
      </c>
      <c r="BL87" s="128"/>
      <c r="BM87" s="128"/>
      <c r="BN87" s="128"/>
      <c r="CX87" s="50"/>
      <c r="CY87" s="50"/>
    </row>
    <row r="88" spans="1:103" s="2" customFormat="1">
      <c r="A88" s="415"/>
      <c r="B88" s="417"/>
      <c r="C88" s="133" t="s">
        <v>55</v>
      </c>
      <c r="D88" s="130">
        <v>2.604489108369207</v>
      </c>
      <c r="E88" s="130">
        <v>2.3849409839000502</v>
      </c>
      <c r="F88" s="130">
        <v>2.6476693449313018</v>
      </c>
      <c r="G88" s="130">
        <v>2.5614739709868135</v>
      </c>
      <c r="H88" s="130">
        <v>2.5692265720911198</v>
      </c>
      <c r="I88" s="130">
        <v>2.496588635851781</v>
      </c>
      <c r="J88" s="130">
        <v>2.4883742017383645</v>
      </c>
      <c r="K88" s="130">
        <v>2.5087492391965918</v>
      </c>
      <c r="L88" s="130">
        <v>2.5185165832821705</v>
      </c>
      <c r="M88" s="130">
        <v>2.4621116443546351</v>
      </c>
      <c r="N88" s="130">
        <v>2.3839628779415913</v>
      </c>
      <c r="O88" s="130">
        <v>2.4035811021357176</v>
      </c>
      <c r="P88" s="130">
        <v>2.478499838344649</v>
      </c>
      <c r="Q88" s="130">
        <v>2.4823914435459007</v>
      </c>
      <c r="R88" s="130">
        <v>2.4001517302138908</v>
      </c>
      <c r="S88" s="130">
        <v>1.9694545454545453</v>
      </c>
      <c r="T88" s="130">
        <v>2.1823624674878537</v>
      </c>
      <c r="U88" s="130">
        <v>2.5912716212815772</v>
      </c>
      <c r="V88" s="130">
        <v>2.6648666642009102</v>
      </c>
      <c r="W88" s="130">
        <v>2.6403463894885264</v>
      </c>
      <c r="X88" s="130">
        <v>2.6474419378083254</v>
      </c>
      <c r="Y88" s="130">
        <v>2.4992462278620402</v>
      </c>
      <c r="Z88" s="130">
        <v>2.4565571544936193</v>
      </c>
      <c r="AA88" s="130">
        <v>2.2745171322930711</v>
      </c>
      <c r="AB88" s="130">
        <v>2.2998211091234348</v>
      </c>
      <c r="AC88" s="130">
        <v>2.3553556039204802</v>
      </c>
      <c r="AD88" s="130">
        <v>2.2397540096144128</v>
      </c>
      <c r="AE88" s="130">
        <v>2.2028860109411634</v>
      </c>
      <c r="AF88" s="130">
        <v>1.9852879124588596</v>
      </c>
      <c r="AG88" s="130">
        <v>1.9079172074595259</v>
      </c>
      <c r="AH88" s="131">
        <v>1.855444218047841</v>
      </c>
      <c r="AI88" s="131">
        <v>1.7686051693404634</v>
      </c>
      <c r="AJ88" s="131">
        <v>1.7764391088471392</v>
      </c>
      <c r="AK88" s="131">
        <v>1.6061370570288664</v>
      </c>
      <c r="AL88" s="131">
        <v>1.4870536187749042</v>
      </c>
      <c r="AM88" s="131">
        <v>1.5066285575285818</v>
      </c>
      <c r="AN88" s="131">
        <v>1.3930770197260962</v>
      </c>
      <c r="AO88" s="131">
        <v>1.3341949216968223</v>
      </c>
      <c r="AP88" s="131">
        <v>1.3258656416108592</v>
      </c>
      <c r="AQ88" s="131">
        <v>1.2399941784310873</v>
      </c>
      <c r="AR88" s="131">
        <v>1.2611369055088468</v>
      </c>
      <c r="AS88" s="131">
        <v>1.3521150882000341</v>
      </c>
      <c r="AT88" s="131">
        <v>1.1008378057636785</v>
      </c>
      <c r="AU88" s="131">
        <v>1.1752116869824136</v>
      </c>
      <c r="AV88" s="131">
        <v>1.2139574606531376</v>
      </c>
      <c r="AW88" s="131">
        <v>1.1998931601980645</v>
      </c>
      <c r="AX88" s="131">
        <v>1.1816453183442339</v>
      </c>
      <c r="AY88" s="131">
        <v>1.2001122407131601</v>
      </c>
      <c r="AZ88" s="131">
        <v>1.158971037290645</v>
      </c>
      <c r="BA88" s="131">
        <v>1.1561981629570945</v>
      </c>
      <c r="BB88" s="131">
        <v>1.1939589428149926</v>
      </c>
      <c r="BC88" s="131">
        <v>1.1183571527681422</v>
      </c>
      <c r="BD88" s="131">
        <v>1.0574325305754873</v>
      </c>
      <c r="BE88" s="131">
        <v>1.06256641040065</v>
      </c>
      <c r="BF88" s="131">
        <v>0.98799161319016449</v>
      </c>
      <c r="BG88" s="131">
        <v>1.057327200321057</v>
      </c>
      <c r="BH88" s="131">
        <v>1.1034291181826599</v>
      </c>
      <c r="BI88" s="131">
        <v>1.14467503121841</v>
      </c>
      <c r="BJ88" s="131">
        <v>1.2313422063111701</v>
      </c>
      <c r="BK88" s="131">
        <v>1.1826761240682857</v>
      </c>
      <c r="BL88" s="131"/>
      <c r="BM88" s="131"/>
      <c r="BN88" s="131"/>
      <c r="BO88" s="382"/>
      <c r="BP88" s="382"/>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row>
    <row r="89" spans="1:103" s="2" customFormat="1">
      <c r="A89" s="414" t="s">
        <v>15</v>
      </c>
      <c r="B89" s="416"/>
      <c r="C89" s="22" t="s">
        <v>52</v>
      </c>
      <c r="D89" s="25" t="s">
        <v>44</v>
      </c>
      <c r="E89" s="25" t="s">
        <v>44</v>
      </c>
      <c r="F89" s="25" t="s">
        <v>44</v>
      </c>
      <c r="G89" s="25" t="s">
        <v>44</v>
      </c>
      <c r="H89" s="25" t="s">
        <v>44</v>
      </c>
      <c r="I89" s="25" t="s">
        <v>44</v>
      </c>
      <c r="J89" s="25" t="s">
        <v>44</v>
      </c>
      <c r="K89" s="25" t="s">
        <v>44</v>
      </c>
      <c r="L89" s="25" t="s">
        <v>44</v>
      </c>
      <c r="M89" s="25" t="s">
        <v>44</v>
      </c>
      <c r="N89" s="25" t="s">
        <v>44</v>
      </c>
      <c r="O89" s="25" t="s">
        <v>44</v>
      </c>
      <c r="P89" s="25" t="s">
        <v>44</v>
      </c>
      <c r="Q89" s="25" t="s">
        <v>44</v>
      </c>
      <c r="R89" s="25" t="s">
        <v>44</v>
      </c>
      <c r="S89" s="25" t="s">
        <v>44</v>
      </c>
      <c r="T89" s="25" t="s">
        <v>44</v>
      </c>
      <c r="U89" s="25" t="s">
        <v>44</v>
      </c>
      <c r="V89" s="25" t="s">
        <v>44</v>
      </c>
      <c r="W89" s="25" t="s">
        <v>44</v>
      </c>
      <c r="X89" s="25" t="s">
        <v>44</v>
      </c>
      <c r="Y89" s="25" t="s">
        <v>44</v>
      </c>
      <c r="Z89" s="25" t="s">
        <v>44</v>
      </c>
      <c r="AA89" s="25" t="s">
        <v>44</v>
      </c>
      <c r="AB89" s="25" t="s">
        <v>44</v>
      </c>
      <c r="AC89" s="25" t="s">
        <v>44</v>
      </c>
      <c r="AD89" s="25" t="s">
        <v>44</v>
      </c>
      <c r="AE89" s="25" t="s">
        <v>44</v>
      </c>
      <c r="AF89" s="25" t="s">
        <v>44</v>
      </c>
      <c r="AG89" s="25" t="s">
        <v>44</v>
      </c>
      <c r="AH89" s="53" t="s">
        <v>44</v>
      </c>
      <c r="AI89" s="53" t="s">
        <v>44</v>
      </c>
      <c r="AJ89" s="53" t="s">
        <v>44</v>
      </c>
      <c r="AK89" s="53" t="s">
        <v>44</v>
      </c>
      <c r="AL89" s="53" t="s">
        <v>44</v>
      </c>
      <c r="AM89" s="53" t="s">
        <v>44</v>
      </c>
      <c r="AN89" s="53">
        <v>89.162785620724776</v>
      </c>
      <c r="AO89" s="53" t="s">
        <v>44</v>
      </c>
      <c r="AP89" s="53" t="s">
        <v>44</v>
      </c>
      <c r="AQ89" s="53">
        <v>88.910021945866859</v>
      </c>
      <c r="AR89" s="53">
        <v>88.814036984133111</v>
      </c>
      <c r="AS89" s="53">
        <v>88.13826434124816</v>
      </c>
      <c r="AT89" s="53">
        <v>87.674567073657329</v>
      </c>
      <c r="AU89" s="53">
        <v>87.675948003999693</v>
      </c>
      <c r="AV89" s="53">
        <v>89.241527703066154</v>
      </c>
      <c r="AW89" s="53">
        <v>87.64771119354468</v>
      </c>
      <c r="AX89" s="53">
        <v>86.356451675083846</v>
      </c>
      <c r="AY89" s="53">
        <v>91.818075483468505</v>
      </c>
      <c r="AZ89" s="53">
        <v>86.252783373979426</v>
      </c>
      <c r="BA89" s="53">
        <v>86.739262407042034</v>
      </c>
      <c r="BB89" s="53">
        <v>87.001770607908711</v>
      </c>
      <c r="BC89" s="53">
        <v>86.628156590297024</v>
      </c>
      <c r="BD89" s="53">
        <v>86.247404445128055</v>
      </c>
      <c r="BE89" s="53">
        <v>86.136283394139113</v>
      </c>
      <c r="BF89" s="53">
        <v>86.12970789542581</v>
      </c>
      <c r="BG89" s="53">
        <v>86.736750651607295</v>
      </c>
      <c r="BH89" s="53">
        <v>86.180887714486403</v>
      </c>
      <c r="BI89" s="53">
        <v>86.032770129994574</v>
      </c>
      <c r="BJ89" s="53">
        <v>85.585527792924282</v>
      </c>
      <c r="BK89" s="53">
        <v>85.679611650485427</v>
      </c>
      <c r="BL89" s="53">
        <v>84.1</v>
      </c>
      <c r="BM89" s="53">
        <v>85.058823529411768</v>
      </c>
      <c r="BN89" s="5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row>
    <row r="90" spans="1:103">
      <c r="A90" s="415"/>
      <c r="B90" s="417"/>
      <c r="C90" s="127" t="s">
        <v>53</v>
      </c>
      <c r="D90" s="129" t="s">
        <v>44</v>
      </c>
      <c r="E90" s="129" t="s">
        <v>44</v>
      </c>
      <c r="F90" s="129" t="s">
        <v>44</v>
      </c>
      <c r="G90" s="129" t="s">
        <v>44</v>
      </c>
      <c r="H90" s="129" t="s">
        <v>44</v>
      </c>
      <c r="I90" s="129" t="s">
        <v>44</v>
      </c>
      <c r="J90" s="129" t="s">
        <v>44</v>
      </c>
      <c r="K90" s="129" t="s">
        <v>44</v>
      </c>
      <c r="L90" s="129" t="s">
        <v>44</v>
      </c>
      <c r="M90" s="129" t="s">
        <v>44</v>
      </c>
      <c r="N90" s="129" t="s">
        <v>44</v>
      </c>
      <c r="O90" s="129" t="s">
        <v>44</v>
      </c>
      <c r="P90" s="129" t="s">
        <v>44</v>
      </c>
      <c r="Q90" s="129" t="s">
        <v>44</v>
      </c>
      <c r="R90" s="129" t="s">
        <v>44</v>
      </c>
      <c r="S90" s="129" t="s">
        <v>44</v>
      </c>
      <c r="T90" s="129" t="s">
        <v>44</v>
      </c>
      <c r="U90" s="129" t="s">
        <v>44</v>
      </c>
      <c r="V90" s="129" t="s">
        <v>44</v>
      </c>
      <c r="W90" s="129" t="s">
        <v>44</v>
      </c>
      <c r="X90" s="129" t="s">
        <v>44</v>
      </c>
      <c r="Y90" s="129" t="s">
        <v>44</v>
      </c>
      <c r="Z90" s="129" t="s">
        <v>44</v>
      </c>
      <c r="AA90" s="129" t="s">
        <v>44</v>
      </c>
      <c r="AB90" s="129" t="s">
        <v>44</v>
      </c>
      <c r="AC90" s="129" t="s">
        <v>44</v>
      </c>
      <c r="AD90" s="129" t="s">
        <v>44</v>
      </c>
      <c r="AE90" s="129" t="s">
        <v>44</v>
      </c>
      <c r="AF90" s="129" t="s">
        <v>44</v>
      </c>
      <c r="AG90" s="129" t="s">
        <v>44</v>
      </c>
      <c r="AH90" s="128" t="s">
        <v>44</v>
      </c>
      <c r="AI90" s="128" t="s">
        <v>44</v>
      </c>
      <c r="AJ90" s="128" t="s">
        <v>44</v>
      </c>
      <c r="AK90" s="128" t="s">
        <v>44</v>
      </c>
      <c r="AL90" s="128" t="s">
        <v>44</v>
      </c>
      <c r="AM90" s="128" t="s">
        <v>44</v>
      </c>
      <c r="AN90" s="128">
        <v>9.7656818512589147</v>
      </c>
      <c r="AO90" s="128" t="s">
        <v>44</v>
      </c>
      <c r="AP90" s="128" t="s">
        <v>44</v>
      </c>
      <c r="AQ90" s="128">
        <v>10.179224579370885</v>
      </c>
      <c r="AR90" s="128">
        <v>10.282592749874532</v>
      </c>
      <c r="AS90" s="128">
        <v>10.968690901449884</v>
      </c>
      <c r="AT90" s="128">
        <v>11.395738568350492</v>
      </c>
      <c r="AU90" s="128">
        <v>11.445273440504575</v>
      </c>
      <c r="AV90" s="128">
        <v>9.9964138425676889</v>
      </c>
      <c r="AW90" s="128">
        <v>11.635244177597613</v>
      </c>
      <c r="AX90" s="128">
        <v>12.978526543043294</v>
      </c>
      <c r="AY90" s="128" t="s">
        <v>44</v>
      </c>
      <c r="AZ90" s="128">
        <v>13.036793553175697</v>
      </c>
      <c r="BA90" s="128">
        <v>12.649870997116405</v>
      </c>
      <c r="BB90" s="128">
        <v>12.347039150108204</v>
      </c>
      <c r="BC90" s="128">
        <v>12.688809960579212</v>
      </c>
      <c r="BD90" s="128">
        <v>13.185418749519343</v>
      </c>
      <c r="BE90" s="128">
        <v>13.296849868581068</v>
      </c>
      <c r="BF90" s="128">
        <v>13.262520103227738</v>
      </c>
      <c r="BG90" s="128">
        <v>12.703735881841876</v>
      </c>
      <c r="BH90" s="128">
        <v>13.280596715389503</v>
      </c>
      <c r="BI90" s="128">
        <v>13.457791689290618</v>
      </c>
      <c r="BJ90" s="128">
        <v>13.878820925682394</v>
      </c>
      <c r="BK90" s="128">
        <v>13.781014023732471</v>
      </c>
      <c r="BL90" s="128"/>
      <c r="BM90" s="128"/>
      <c r="BN90" s="128"/>
      <c r="CX90" s="50"/>
      <c r="CY90" s="50"/>
    </row>
    <row r="91" spans="1:103" s="2" customFormat="1">
      <c r="A91" s="415"/>
      <c r="B91" s="417"/>
      <c r="C91" s="133" t="s">
        <v>55</v>
      </c>
      <c r="D91" s="130" t="s">
        <v>44</v>
      </c>
      <c r="E91" s="130" t="s">
        <v>44</v>
      </c>
      <c r="F91" s="130" t="s">
        <v>44</v>
      </c>
      <c r="G91" s="130" t="s">
        <v>44</v>
      </c>
      <c r="H91" s="130" t="s">
        <v>44</v>
      </c>
      <c r="I91" s="130" t="s">
        <v>44</v>
      </c>
      <c r="J91" s="130" t="s">
        <v>44</v>
      </c>
      <c r="K91" s="130" t="s">
        <v>44</v>
      </c>
      <c r="L91" s="130" t="s">
        <v>44</v>
      </c>
      <c r="M91" s="130" t="s">
        <v>44</v>
      </c>
      <c r="N91" s="130" t="s">
        <v>44</v>
      </c>
      <c r="O91" s="130" t="s">
        <v>44</v>
      </c>
      <c r="P91" s="130" t="s">
        <v>44</v>
      </c>
      <c r="Q91" s="130" t="s">
        <v>44</v>
      </c>
      <c r="R91" s="130" t="s">
        <v>44</v>
      </c>
      <c r="S91" s="130" t="s">
        <v>44</v>
      </c>
      <c r="T91" s="130" t="s">
        <v>44</v>
      </c>
      <c r="U91" s="130" t="s">
        <v>44</v>
      </c>
      <c r="V91" s="130" t="s">
        <v>44</v>
      </c>
      <c r="W91" s="130" t="s">
        <v>44</v>
      </c>
      <c r="X91" s="130" t="s">
        <v>44</v>
      </c>
      <c r="Y91" s="130" t="s">
        <v>44</v>
      </c>
      <c r="Z91" s="130" t="s">
        <v>44</v>
      </c>
      <c r="AA91" s="130" t="s">
        <v>44</v>
      </c>
      <c r="AB91" s="130" t="s">
        <v>44</v>
      </c>
      <c r="AC91" s="130" t="s">
        <v>44</v>
      </c>
      <c r="AD91" s="130" t="s">
        <v>44</v>
      </c>
      <c r="AE91" s="130" t="s">
        <v>44</v>
      </c>
      <c r="AF91" s="130" t="s">
        <v>44</v>
      </c>
      <c r="AG91" s="130" t="s">
        <v>44</v>
      </c>
      <c r="AH91" s="131" t="s">
        <v>44</v>
      </c>
      <c r="AI91" s="131" t="s">
        <v>44</v>
      </c>
      <c r="AJ91" s="131" t="s">
        <v>44</v>
      </c>
      <c r="AK91" s="131" t="s">
        <v>44</v>
      </c>
      <c r="AL91" s="131" t="s">
        <v>44</v>
      </c>
      <c r="AM91" s="131" t="s">
        <v>44</v>
      </c>
      <c r="AN91" s="131">
        <v>1.0715325280163004</v>
      </c>
      <c r="AO91" s="131" t="s">
        <v>44</v>
      </c>
      <c r="AP91" s="131" t="s">
        <v>44</v>
      </c>
      <c r="AQ91" s="131">
        <v>0.91075347476225299</v>
      </c>
      <c r="AR91" s="131">
        <v>0.90337026599235615</v>
      </c>
      <c r="AS91" s="131">
        <v>0.89304475730195421</v>
      </c>
      <c r="AT91" s="131">
        <v>0.92969435799217925</v>
      </c>
      <c r="AU91" s="131">
        <v>0.87877855549573103</v>
      </c>
      <c r="AV91" s="131">
        <v>0.76205845436614672</v>
      </c>
      <c r="AW91" s="131">
        <v>0.71704462885770015</v>
      </c>
      <c r="AX91" s="131">
        <v>0.66502178187285554</v>
      </c>
      <c r="AY91" s="131" t="s">
        <v>44</v>
      </c>
      <c r="AZ91" s="131">
        <v>0.71042307284487327</v>
      </c>
      <c r="BA91" s="131">
        <v>0.61086659584155412</v>
      </c>
      <c r="BB91" s="131">
        <v>0.65119024198308084</v>
      </c>
      <c r="BC91" s="131">
        <v>0.68303344912376573</v>
      </c>
      <c r="BD91" s="131">
        <v>0.56717680535261095</v>
      </c>
      <c r="BE91" s="131">
        <v>0.56686673727982428</v>
      </c>
      <c r="BF91" s="131">
        <v>0.60777200134644871</v>
      </c>
      <c r="BG91" s="131">
        <v>0.55951346655082534</v>
      </c>
      <c r="BH91" s="131">
        <v>0.53851557012409268</v>
      </c>
      <c r="BI91" s="131">
        <v>0.50943818071481051</v>
      </c>
      <c r="BJ91" s="131">
        <v>0.53565128139333484</v>
      </c>
      <c r="BK91" s="131">
        <v>0.53937432578209277</v>
      </c>
      <c r="BL91" s="131"/>
      <c r="BM91" s="131"/>
      <c r="BN91" s="131"/>
      <c r="BO91" s="382"/>
      <c r="BP91" s="382"/>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row>
    <row r="92" spans="1:103" s="2" customFormat="1">
      <c r="A92" s="414" t="s">
        <v>14</v>
      </c>
      <c r="B92" s="416"/>
      <c r="C92" s="22" t="s">
        <v>52</v>
      </c>
      <c r="D92" s="25" t="s">
        <v>44</v>
      </c>
      <c r="E92" s="25" t="s">
        <v>44</v>
      </c>
      <c r="F92" s="25" t="s">
        <v>44</v>
      </c>
      <c r="G92" s="25" t="s">
        <v>44</v>
      </c>
      <c r="H92" s="25" t="s">
        <v>44</v>
      </c>
      <c r="I92" s="25" t="s">
        <v>44</v>
      </c>
      <c r="J92" s="25" t="s">
        <v>44</v>
      </c>
      <c r="K92" s="25" t="s">
        <v>44</v>
      </c>
      <c r="L92" s="25" t="s">
        <v>44</v>
      </c>
      <c r="M92" s="25" t="s">
        <v>44</v>
      </c>
      <c r="N92" s="25" t="s">
        <v>44</v>
      </c>
      <c r="O92" s="25" t="s">
        <v>44</v>
      </c>
      <c r="P92" s="25" t="s">
        <v>44</v>
      </c>
      <c r="Q92" s="25" t="s">
        <v>44</v>
      </c>
      <c r="R92" s="25" t="s">
        <v>44</v>
      </c>
      <c r="S92" s="25" t="s">
        <v>44</v>
      </c>
      <c r="T92" s="25" t="s">
        <v>44</v>
      </c>
      <c r="U92" s="25" t="s">
        <v>44</v>
      </c>
      <c r="V92" s="25" t="s">
        <v>44</v>
      </c>
      <c r="W92" s="25" t="s">
        <v>44</v>
      </c>
      <c r="X92" s="25" t="s">
        <v>44</v>
      </c>
      <c r="Y92" s="25" t="s">
        <v>44</v>
      </c>
      <c r="Z92" s="25" t="s">
        <v>44</v>
      </c>
      <c r="AA92" s="25" t="s">
        <v>44</v>
      </c>
      <c r="AB92" s="25" t="s">
        <v>44</v>
      </c>
      <c r="AC92" s="25" t="s">
        <v>44</v>
      </c>
      <c r="AD92" s="25" t="s">
        <v>44</v>
      </c>
      <c r="AE92" s="25" t="s">
        <v>44</v>
      </c>
      <c r="AF92" s="25" t="s">
        <v>44</v>
      </c>
      <c r="AG92" s="25" t="s">
        <v>44</v>
      </c>
      <c r="AH92" s="53" t="s">
        <v>44</v>
      </c>
      <c r="AI92" s="53" t="s">
        <v>44</v>
      </c>
      <c r="AJ92" s="53" t="s">
        <v>44</v>
      </c>
      <c r="AK92" s="53" t="s">
        <v>44</v>
      </c>
      <c r="AL92" s="53" t="s">
        <v>44</v>
      </c>
      <c r="AM92" s="53" t="s">
        <v>44</v>
      </c>
      <c r="AN92" s="53">
        <v>89.305095962938452</v>
      </c>
      <c r="AO92" s="53">
        <v>89.353333333333325</v>
      </c>
      <c r="AP92" s="53">
        <v>89.910998937300747</v>
      </c>
      <c r="AQ92" s="53">
        <v>90.085536547433904</v>
      </c>
      <c r="AR92" s="53">
        <v>90.230523538397449</v>
      </c>
      <c r="AS92" s="53">
        <v>90.785868781542902</v>
      </c>
      <c r="AT92" s="53">
        <v>89.687146092865234</v>
      </c>
      <c r="AU92" s="53">
        <v>90.386323268206041</v>
      </c>
      <c r="AV92" s="53">
        <v>90.111314425129606</v>
      </c>
      <c r="AW92" s="53">
        <v>91.740336280117873</v>
      </c>
      <c r="AX92" s="53">
        <v>90.161746231155774</v>
      </c>
      <c r="AY92" s="53">
        <v>94.40577035980877</v>
      </c>
      <c r="AZ92" s="53">
        <v>90.470258486452821</v>
      </c>
      <c r="BA92" s="53">
        <v>89.949556710486092</v>
      </c>
      <c r="BB92" s="53">
        <v>89.345894607843135</v>
      </c>
      <c r="BC92" s="53">
        <v>89.904062359466351</v>
      </c>
      <c r="BD92" s="53">
        <v>89.457276463086302</v>
      </c>
      <c r="BE92" s="53">
        <v>90.046370322993283</v>
      </c>
      <c r="BF92" s="53">
        <v>89.872165576015831</v>
      </c>
      <c r="BG92" s="53">
        <v>89.641804930997054</v>
      </c>
      <c r="BH92" s="53">
        <v>89.04304784760761</v>
      </c>
      <c r="BI92" s="53">
        <v>90.094121277580612</v>
      </c>
      <c r="BJ92" s="53">
        <v>88.430264608599785</v>
      </c>
      <c r="BK92" s="53">
        <v>88.684052757793765</v>
      </c>
      <c r="BL92" s="53">
        <v>88.8</v>
      </c>
      <c r="BM92" s="53">
        <v>88.73394185260311</v>
      </c>
      <c r="BN92" s="5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row>
    <row r="93" spans="1:103">
      <c r="A93" s="415"/>
      <c r="B93" s="417"/>
      <c r="C93" s="127" t="s">
        <v>53</v>
      </c>
      <c r="D93" s="129" t="s">
        <v>44</v>
      </c>
      <c r="E93" s="129" t="s">
        <v>44</v>
      </c>
      <c r="F93" s="129" t="s">
        <v>44</v>
      </c>
      <c r="G93" s="129" t="s">
        <v>44</v>
      </c>
      <c r="H93" s="129" t="s">
        <v>44</v>
      </c>
      <c r="I93" s="129" t="s">
        <v>44</v>
      </c>
      <c r="J93" s="129" t="s">
        <v>44</v>
      </c>
      <c r="K93" s="129" t="s">
        <v>44</v>
      </c>
      <c r="L93" s="129" t="s">
        <v>44</v>
      </c>
      <c r="M93" s="129" t="s">
        <v>44</v>
      </c>
      <c r="N93" s="129" t="s">
        <v>44</v>
      </c>
      <c r="O93" s="129" t="s">
        <v>44</v>
      </c>
      <c r="P93" s="129" t="s">
        <v>44</v>
      </c>
      <c r="Q93" s="129" t="s">
        <v>44</v>
      </c>
      <c r="R93" s="129" t="s">
        <v>44</v>
      </c>
      <c r="S93" s="129" t="s">
        <v>44</v>
      </c>
      <c r="T93" s="129" t="s">
        <v>44</v>
      </c>
      <c r="U93" s="129" t="s">
        <v>44</v>
      </c>
      <c r="V93" s="129" t="s">
        <v>44</v>
      </c>
      <c r="W93" s="129" t="s">
        <v>44</v>
      </c>
      <c r="X93" s="129" t="s">
        <v>44</v>
      </c>
      <c r="Y93" s="129" t="s">
        <v>44</v>
      </c>
      <c r="Z93" s="129" t="s">
        <v>44</v>
      </c>
      <c r="AA93" s="129" t="s">
        <v>44</v>
      </c>
      <c r="AB93" s="129" t="s">
        <v>44</v>
      </c>
      <c r="AC93" s="129" t="s">
        <v>44</v>
      </c>
      <c r="AD93" s="129" t="s">
        <v>44</v>
      </c>
      <c r="AE93" s="129" t="s">
        <v>44</v>
      </c>
      <c r="AF93" s="129" t="s">
        <v>44</v>
      </c>
      <c r="AG93" s="129" t="s">
        <v>44</v>
      </c>
      <c r="AH93" s="128" t="s">
        <v>44</v>
      </c>
      <c r="AI93" s="128" t="s">
        <v>44</v>
      </c>
      <c r="AJ93" s="128" t="s">
        <v>44</v>
      </c>
      <c r="AK93" s="128" t="s">
        <v>44</v>
      </c>
      <c r="AL93" s="128" t="s">
        <v>44</v>
      </c>
      <c r="AM93" s="128" t="s">
        <v>44</v>
      </c>
      <c r="AN93" s="128">
        <v>8.6366644606221055</v>
      </c>
      <c r="AO93" s="128">
        <v>8.5933333333333337</v>
      </c>
      <c r="AP93" s="128">
        <v>8.2027098831030827</v>
      </c>
      <c r="AQ93" s="128">
        <v>8.624935199585277</v>
      </c>
      <c r="AR93" s="128">
        <v>8.3530065268712672</v>
      </c>
      <c r="AS93" s="128">
        <v>7.9163662581110312</v>
      </c>
      <c r="AT93" s="128">
        <v>8.9255379388448475</v>
      </c>
      <c r="AU93" s="128">
        <v>8.4147424511545292</v>
      </c>
      <c r="AV93" s="128">
        <v>8.6611771881671231</v>
      </c>
      <c r="AW93" s="128">
        <v>7.2109551048708616</v>
      </c>
      <c r="AX93" s="128">
        <v>8.5819723618090453</v>
      </c>
      <c r="AY93" s="128" t="s">
        <v>44</v>
      </c>
      <c r="AZ93" s="128">
        <v>8.4553098723139204</v>
      </c>
      <c r="BA93" s="128">
        <v>8.9345765820849898</v>
      </c>
      <c r="BB93" s="128">
        <v>7.8278186274509807</v>
      </c>
      <c r="BC93" s="128">
        <v>8.9716684155299049</v>
      </c>
      <c r="BD93" s="128">
        <v>9.5933116054980871</v>
      </c>
      <c r="BE93" s="128">
        <v>8.9222897345698762</v>
      </c>
      <c r="BF93" s="128">
        <v>9.1310302845837779</v>
      </c>
      <c r="BG93" s="128">
        <v>9.4510776864630177</v>
      </c>
      <c r="BH93" s="128">
        <v>10.049497525123744</v>
      </c>
      <c r="BI93" s="128">
        <v>9.0803888288844306</v>
      </c>
      <c r="BJ93" s="128">
        <v>10.549889746416758</v>
      </c>
      <c r="BK93" s="128">
        <v>10.304256594724221</v>
      </c>
      <c r="BL93" s="128"/>
      <c r="BM93" s="128"/>
      <c r="BN93" s="128"/>
      <c r="CX93" s="50"/>
      <c r="CY93" s="50"/>
    </row>
    <row r="94" spans="1:103" s="2" customFormat="1">
      <c r="A94" s="415"/>
      <c r="B94" s="417"/>
      <c r="C94" s="133" t="s">
        <v>55</v>
      </c>
      <c r="D94" s="130" t="s">
        <v>44</v>
      </c>
      <c r="E94" s="130" t="s">
        <v>44</v>
      </c>
      <c r="F94" s="130" t="s">
        <v>44</v>
      </c>
      <c r="G94" s="130" t="s">
        <v>44</v>
      </c>
      <c r="H94" s="130" t="s">
        <v>44</v>
      </c>
      <c r="I94" s="130" t="s">
        <v>44</v>
      </c>
      <c r="J94" s="130" t="s">
        <v>44</v>
      </c>
      <c r="K94" s="130" t="s">
        <v>44</v>
      </c>
      <c r="L94" s="130" t="s">
        <v>44</v>
      </c>
      <c r="M94" s="130" t="s">
        <v>44</v>
      </c>
      <c r="N94" s="130" t="s">
        <v>44</v>
      </c>
      <c r="O94" s="130" t="s">
        <v>44</v>
      </c>
      <c r="P94" s="130" t="s">
        <v>44</v>
      </c>
      <c r="Q94" s="130" t="s">
        <v>44</v>
      </c>
      <c r="R94" s="130" t="s">
        <v>44</v>
      </c>
      <c r="S94" s="130" t="s">
        <v>44</v>
      </c>
      <c r="T94" s="130" t="s">
        <v>44</v>
      </c>
      <c r="U94" s="130" t="s">
        <v>44</v>
      </c>
      <c r="V94" s="130" t="s">
        <v>44</v>
      </c>
      <c r="W94" s="130" t="s">
        <v>44</v>
      </c>
      <c r="X94" s="130" t="s">
        <v>44</v>
      </c>
      <c r="Y94" s="130" t="s">
        <v>44</v>
      </c>
      <c r="Z94" s="130" t="s">
        <v>44</v>
      </c>
      <c r="AA94" s="130" t="s">
        <v>44</v>
      </c>
      <c r="AB94" s="130" t="s">
        <v>44</v>
      </c>
      <c r="AC94" s="130" t="s">
        <v>44</v>
      </c>
      <c r="AD94" s="130" t="s">
        <v>44</v>
      </c>
      <c r="AE94" s="130" t="s">
        <v>44</v>
      </c>
      <c r="AF94" s="130" t="s">
        <v>44</v>
      </c>
      <c r="AG94" s="130" t="s">
        <v>44</v>
      </c>
      <c r="AH94" s="131" t="s">
        <v>44</v>
      </c>
      <c r="AI94" s="131" t="s">
        <v>44</v>
      </c>
      <c r="AJ94" s="131" t="s">
        <v>44</v>
      </c>
      <c r="AK94" s="131" t="s">
        <v>44</v>
      </c>
      <c r="AL94" s="131" t="s">
        <v>44</v>
      </c>
      <c r="AM94" s="131" t="s">
        <v>44</v>
      </c>
      <c r="AN94" s="131">
        <v>2.0582395764394441</v>
      </c>
      <c r="AO94" s="131">
        <v>2.0533333333333332</v>
      </c>
      <c r="AP94" s="131">
        <v>1.8862911795961743</v>
      </c>
      <c r="AQ94" s="131">
        <v>1.2895282529808192</v>
      </c>
      <c r="AR94" s="131">
        <v>1.4164699347312875</v>
      </c>
      <c r="AS94" s="131">
        <v>1.2977649603460706</v>
      </c>
      <c r="AT94" s="131">
        <v>1.3873159682899208</v>
      </c>
      <c r="AU94" s="131">
        <v>1.1989342806394316</v>
      </c>
      <c r="AV94" s="131">
        <v>1.2275083867032632</v>
      </c>
      <c r="AW94" s="131">
        <v>1.0487086150112672</v>
      </c>
      <c r="AX94" s="131">
        <v>1.256281407035176</v>
      </c>
      <c r="AY94" s="131" t="s">
        <v>44</v>
      </c>
      <c r="AZ94" s="131">
        <v>1.0744316412332606</v>
      </c>
      <c r="BA94" s="131">
        <v>1.1158667074289208</v>
      </c>
      <c r="BB94" s="131">
        <v>2.8262867647058822</v>
      </c>
      <c r="BC94" s="131">
        <v>1.1242692250037476</v>
      </c>
      <c r="BD94" s="131">
        <v>0.94941193141561564</v>
      </c>
      <c r="BE94" s="131">
        <v>1.0313399424368404</v>
      </c>
      <c r="BF94" s="131">
        <v>0.99680413940039569</v>
      </c>
      <c r="BG94" s="131">
        <v>0.90711738253992868</v>
      </c>
      <c r="BH94" s="131">
        <v>0.90745462726863657</v>
      </c>
      <c r="BI94" s="131">
        <v>0.82548989353494839</v>
      </c>
      <c r="BJ94" s="131">
        <v>1.0198456449834619</v>
      </c>
      <c r="BK94" s="131">
        <v>1.0116906474820144</v>
      </c>
      <c r="BL94" s="131"/>
      <c r="BM94" s="131"/>
      <c r="BN94" s="131"/>
      <c r="BO94" s="382"/>
      <c r="BP94" s="382"/>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row>
    <row r="95" spans="1:103">
      <c r="A95" s="414" t="s">
        <v>13</v>
      </c>
      <c r="B95" s="416"/>
      <c r="C95" s="22" t="s">
        <v>52</v>
      </c>
      <c r="D95" s="25">
        <v>98.058274969710013</v>
      </c>
      <c r="E95" s="25">
        <v>98.171573957839144</v>
      </c>
      <c r="F95" s="25">
        <v>98.175770928828896</v>
      </c>
      <c r="G95" s="25">
        <v>98.213091095749206</v>
      </c>
      <c r="H95" s="25">
        <v>98.239067005428467</v>
      </c>
      <c r="I95" s="25">
        <v>98.228593958775988</v>
      </c>
      <c r="J95" s="25">
        <v>98.286403094187122</v>
      </c>
      <c r="K95" s="25">
        <v>98.27280399977721</v>
      </c>
      <c r="L95" s="25">
        <v>98.298136218003933</v>
      </c>
      <c r="M95" s="25">
        <v>98.409208484221423</v>
      </c>
      <c r="N95" s="25">
        <v>98.439193408674285</v>
      </c>
      <c r="O95" s="25">
        <v>98.458621178025723</v>
      </c>
      <c r="P95" s="25">
        <v>98.546446468123264</v>
      </c>
      <c r="Q95" s="25">
        <v>98.445755302858956</v>
      </c>
      <c r="R95" s="25">
        <v>98.51363403975833</v>
      </c>
      <c r="S95" s="25">
        <v>98.820513954456828</v>
      </c>
      <c r="T95" s="25">
        <v>98.788193459884894</v>
      </c>
      <c r="U95" s="25">
        <v>98.756750567715585</v>
      </c>
      <c r="V95" s="25">
        <v>98.922385399310258</v>
      </c>
      <c r="W95" s="25">
        <v>99.299165005743887</v>
      </c>
      <c r="X95" s="25">
        <v>98.87209186401661</v>
      </c>
      <c r="Y95" s="25">
        <v>98.987066725401789</v>
      </c>
      <c r="Z95" s="25">
        <v>97.813975863727833</v>
      </c>
      <c r="AA95" s="25">
        <v>97.012566592745529</v>
      </c>
      <c r="AB95" s="25">
        <v>96.698929847829831</v>
      </c>
      <c r="AC95" s="25">
        <v>96.605194883250363</v>
      </c>
      <c r="AD95" s="25">
        <v>96.681319104117264</v>
      </c>
      <c r="AE95" s="25">
        <v>96.548655750772809</v>
      </c>
      <c r="AF95" s="25">
        <v>96.162116999274062</v>
      </c>
      <c r="AG95" s="25">
        <v>96.130852937192401</v>
      </c>
      <c r="AH95" s="53">
        <v>95.914443643354957</v>
      </c>
      <c r="AI95" s="53">
        <v>95.402781025210786</v>
      </c>
      <c r="AJ95" s="53">
        <v>95.074524623928795</v>
      </c>
      <c r="AK95" s="53">
        <v>94.682646441282031</v>
      </c>
      <c r="AL95" s="53">
        <v>94.342640851945873</v>
      </c>
      <c r="AM95" s="53">
        <v>94.359652794387301</v>
      </c>
      <c r="AN95" s="53">
        <v>94.150470930112746</v>
      </c>
      <c r="AO95" s="53">
        <v>94.045516771077715</v>
      </c>
      <c r="AP95" s="53">
        <v>93.969551924498049</v>
      </c>
      <c r="AQ95" s="53">
        <v>94.005640732430365</v>
      </c>
      <c r="AR95" s="53">
        <v>94.0265926237347</v>
      </c>
      <c r="AS95" s="53">
        <v>93.586679336390873</v>
      </c>
      <c r="AT95" s="53">
        <v>93.105702696253871</v>
      </c>
      <c r="AU95" s="53">
        <v>92.542178005197712</v>
      </c>
      <c r="AV95" s="53">
        <v>91.604412320527842</v>
      </c>
      <c r="AW95" s="53">
        <v>91.233432801116109</v>
      </c>
      <c r="AX95" s="53">
        <v>89.936794895964596</v>
      </c>
      <c r="AY95" s="53">
        <v>89.143794450565963</v>
      </c>
      <c r="AZ95" s="53">
        <v>88.324406760252543</v>
      </c>
      <c r="BA95" s="53">
        <v>86.835753697267876</v>
      </c>
      <c r="BB95" s="53">
        <v>85.851329079153103</v>
      </c>
      <c r="BC95" s="53">
        <v>85.383010997345465</v>
      </c>
      <c r="BD95" s="53">
        <v>85.264719040527538</v>
      </c>
      <c r="BE95" s="53">
        <v>84.234479186897133</v>
      </c>
      <c r="BF95" s="53">
        <v>84.286703773961662</v>
      </c>
      <c r="BG95" s="53">
        <v>83.757673221282801</v>
      </c>
      <c r="BH95" s="53">
        <v>83.025905957272215</v>
      </c>
      <c r="BI95" s="53">
        <v>82.332185384076581</v>
      </c>
      <c r="BJ95" s="53">
        <v>81.605115781715369</v>
      </c>
      <c r="BK95" s="53">
        <v>80.540571629221986</v>
      </c>
      <c r="BL95" s="53">
        <v>76.7</v>
      </c>
      <c r="BM95" s="53">
        <v>80.525553080116211</v>
      </c>
      <c r="BN95" s="53"/>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row>
    <row r="96" spans="1:103">
      <c r="A96" s="415"/>
      <c r="B96" s="417"/>
      <c r="C96" s="127" t="s">
        <v>53</v>
      </c>
      <c r="D96" s="129">
        <v>0</v>
      </c>
      <c r="E96" s="129">
        <v>0</v>
      </c>
      <c r="F96" s="129">
        <v>0</v>
      </c>
      <c r="G96" s="129">
        <v>0</v>
      </c>
      <c r="H96" s="129">
        <v>0</v>
      </c>
      <c r="I96" s="129">
        <v>0</v>
      </c>
      <c r="J96" s="129">
        <v>0</v>
      </c>
      <c r="K96" s="129">
        <v>0</v>
      </c>
      <c r="L96" s="129">
        <v>0</v>
      </c>
      <c r="M96" s="129">
        <v>0</v>
      </c>
      <c r="N96" s="129">
        <v>0</v>
      </c>
      <c r="O96" s="129">
        <v>0</v>
      </c>
      <c r="P96" s="129">
        <v>0</v>
      </c>
      <c r="Q96" s="129">
        <v>0</v>
      </c>
      <c r="R96" s="129">
        <v>0</v>
      </c>
      <c r="S96" s="129">
        <v>0</v>
      </c>
      <c r="T96" s="129">
        <v>0</v>
      </c>
      <c r="U96" s="129">
        <v>0</v>
      </c>
      <c r="V96" s="129">
        <v>0</v>
      </c>
      <c r="W96" s="129">
        <v>0</v>
      </c>
      <c r="X96" s="129">
        <v>0</v>
      </c>
      <c r="Y96" s="129">
        <v>1.7818518390195857E-2</v>
      </c>
      <c r="Z96" s="129">
        <v>0.76505671972232425</v>
      </c>
      <c r="AA96" s="129">
        <v>1.5143636409981902</v>
      </c>
      <c r="AB96" s="129">
        <v>1.8064512863087343</v>
      </c>
      <c r="AC96" s="129">
        <v>2.2430856765068268</v>
      </c>
      <c r="AD96" s="129">
        <v>2.2649558262676202</v>
      </c>
      <c r="AE96" s="129">
        <v>2.3898021513549086</v>
      </c>
      <c r="AF96" s="129">
        <v>2.8380062731991949</v>
      </c>
      <c r="AG96" s="129">
        <v>2.9509640131846302</v>
      </c>
      <c r="AH96" s="128">
        <v>3.2131245663914245</v>
      </c>
      <c r="AI96" s="128">
        <v>3.7162859146987222</v>
      </c>
      <c r="AJ96" s="128">
        <v>4.0112729412630106</v>
      </c>
      <c r="AK96" s="128">
        <v>4.4325757086909254</v>
      </c>
      <c r="AL96" s="128">
        <v>4.7831833816483167</v>
      </c>
      <c r="AM96" s="128">
        <v>4.7972474687076456</v>
      </c>
      <c r="AN96" s="128">
        <v>5.0259166134251148</v>
      </c>
      <c r="AO96" s="128">
        <v>5.1865403895185214</v>
      </c>
      <c r="AP96" s="128">
        <v>5.2603107597046002</v>
      </c>
      <c r="AQ96" s="128">
        <v>5.2741328695184233</v>
      </c>
      <c r="AR96" s="128">
        <v>5.3208347385782462</v>
      </c>
      <c r="AS96" s="128">
        <v>5.7530082514810976</v>
      </c>
      <c r="AT96" s="128">
        <v>6.1858744929611067</v>
      </c>
      <c r="AU96" s="128">
        <v>6.7040579255690655</v>
      </c>
      <c r="AV96" s="128">
        <v>7.6541349173389825</v>
      </c>
      <c r="AW96" s="128">
        <v>8.0714230351883423</v>
      </c>
      <c r="AX96" s="128">
        <v>9.3388765962513531</v>
      </c>
      <c r="AY96" s="128">
        <v>10.145998196934789</v>
      </c>
      <c r="AZ96" s="128">
        <v>10.953399645019077</v>
      </c>
      <c r="BA96" s="128">
        <v>12.327900810526987</v>
      </c>
      <c r="BB96" s="128">
        <v>13.344220331922651</v>
      </c>
      <c r="BC96" s="128">
        <v>13.778283402856781</v>
      </c>
      <c r="BD96" s="128">
        <v>13.913760242196933</v>
      </c>
      <c r="BE96" s="128">
        <v>14.952094257784685</v>
      </c>
      <c r="BF96" s="128">
        <v>14.918006190095848</v>
      </c>
      <c r="BG96" s="128">
        <v>15.485355623428601</v>
      </c>
      <c r="BH96" s="128">
        <v>16.185011181804001</v>
      </c>
      <c r="BI96" s="128">
        <v>16.88565257996731</v>
      </c>
      <c r="BJ96" s="128">
        <v>17.627033656140689</v>
      </c>
      <c r="BK96" s="128">
        <v>18.619723084933131</v>
      </c>
      <c r="BL96" s="128"/>
      <c r="BM96" s="128"/>
      <c r="BN96" s="128"/>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row>
    <row r="97" spans="1:103">
      <c r="A97" s="415"/>
      <c r="B97" s="417"/>
      <c r="C97" s="133" t="s">
        <v>55</v>
      </c>
      <c r="D97" s="130">
        <v>1.9417250302899818</v>
      </c>
      <c r="E97" s="130">
        <v>1.8284260421608596</v>
      </c>
      <c r="F97" s="130">
        <v>1.8242290711711029</v>
      </c>
      <c r="G97" s="130">
        <v>1.7869089042507984</v>
      </c>
      <c r="H97" s="130">
        <v>1.7609329945715277</v>
      </c>
      <c r="I97" s="130">
        <v>1.7714060412240158</v>
      </c>
      <c r="J97" s="130">
        <v>1.7135969058128746</v>
      </c>
      <c r="K97" s="130">
        <v>1.7271960002227811</v>
      </c>
      <c r="L97" s="130">
        <v>1.7018637819960727</v>
      </c>
      <c r="M97" s="130">
        <v>1.5907915157785824</v>
      </c>
      <c r="N97" s="130">
        <v>1.5608065913257185</v>
      </c>
      <c r="O97" s="130">
        <v>1.5413788219742868</v>
      </c>
      <c r="P97" s="130">
        <v>1.4535535318767405</v>
      </c>
      <c r="Q97" s="130">
        <v>1.5542446971410351</v>
      </c>
      <c r="R97" s="130">
        <v>1.4863659602416697</v>
      </c>
      <c r="S97" s="130">
        <v>1.1794860455431606</v>
      </c>
      <c r="T97" s="130">
        <v>1.2118065401151072</v>
      </c>
      <c r="U97" s="130">
        <v>1.2432494322844112</v>
      </c>
      <c r="V97" s="130">
        <v>1.0776146006897354</v>
      </c>
      <c r="W97" s="130">
        <v>0.70083499425611628</v>
      </c>
      <c r="X97" s="130">
        <v>1.1279081359833962</v>
      </c>
      <c r="Y97" s="130">
        <v>0.99511475620802126</v>
      </c>
      <c r="Z97" s="130">
        <v>1.4209674165498476</v>
      </c>
      <c r="AA97" s="130">
        <v>1.4730697662562768</v>
      </c>
      <c r="AB97" s="130">
        <v>1.494618865861437</v>
      </c>
      <c r="AC97" s="130">
        <v>1.1517194402428153</v>
      </c>
      <c r="AD97" s="130">
        <v>1.053725069615109</v>
      </c>
      <c r="AE97" s="130">
        <v>1.0615420978722814</v>
      </c>
      <c r="AF97" s="130">
        <v>0.99987672752674328</v>
      </c>
      <c r="AG97" s="130">
        <v>0.91818304962297381</v>
      </c>
      <c r="AH97" s="131">
        <v>0.87243179025361284</v>
      </c>
      <c r="AI97" s="131">
        <v>0.88093306009050021</v>
      </c>
      <c r="AJ97" s="131">
        <v>0.91420243480819452</v>
      </c>
      <c r="AK97" s="131">
        <v>0.88477785002705223</v>
      </c>
      <c r="AL97" s="131">
        <v>0.87417576640581585</v>
      </c>
      <c r="AM97" s="131">
        <v>0.84309973690504658</v>
      </c>
      <c r="AN97" s="131">
        <v>0.82361245646215031</v>
      </c>
      <c r="AO97" s="131">
        <v>0.76794283940376284</v>
      </c>
      <c r="AP97" s="131">
        <v>0.77013731579735412</v>
      </c>
      <c r="AQ97" s="131">
        <v>0.72022639805120858</v>
      </c>
      <c r="AR97" s="131">
        <v>0.65257263768705154</v>
      </c>
      <c r="AS97" s="131">
        <v>0.66031241212802894</v>
      </c>
      <c r="AT97" s="131">
        <v>0.70842281078501546</v>
      </c>
      <c r="AU97" s="131">
        <v>0.75376406923321781</v>
      </c>
      <c r="AV97" s="131">
        <v>0.74145276213318156</v>
      </c>
      <c r="AW97" s="131">
        <v>0.6951441636955511</v>
      </c>
      <c r="AX97" s="131">
        <v>0.72432850778405089</v>
      </c>
      <c r="AY97" s="131">
        <v>0.71020735249924871</v>
      </c>
      <c r="AZ97" s="131">
        <v>0.72219359472837708</v>
      </c>
      <c r="BA97" s="131">
        <v>0.83634549220513232</v>
      </c>
      <c r="BB97" s="131">
        <v>0.80445058892423971</v>
      </c>
      <c r="BC97" s="131">
        <v>0.83870559979775006</v>
      </c>
      <c r="BD97" s="131">
        <v>0.82152071727552967</v>
      </c>
      <c r="BE97" s="131">
        <v>0.81342655531818475</v>
      </c>
      <c r="BF97" s="131">
        <v>0.79529003594249215</v>
      </c>
      <c r="BG97" s="131">
        <v>0.75697115528859715</v>
      </c>
      <c r="BH97" s="131">
        <v>0.78908286092378466</v>
      </c>
      <c r="BI97" s="131">
        <v>0.78216203595610556</v>
      </c>
      <c r="BJ97" s="131">
        <v>0.76785056214394032</v>
      </c>
      <c r="BK97" s="131">
        <v>0.83970528584488158</v>
      </c>
      <c r="BL97" s="131"/>
      <c r="BM97" s="131"/>
      <c r="BN97" s="131"/>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row>
    <row r="98" spans="1:103" s="2" customFormat="1" ht="13.5">
      <c r="A98" s="414" t="s">
        <v>12</v>
      </c>
      <c r="B98" s="416">
        <v>1</v>
      </c>
      <c r="C98" s="22" t="s">
        <v>52</v>
      </c>
      <c r="D98" s="25">
        <v>88.133362579513047</v>
      </c>
      <c r="E98" s="25">
        <v>88.415413067932661</v>
      </c>
      <c r="F98" s="25">
        <v>88.892289429265674</v>
      </c>
      <c r="G98" s="25">
        <v>89.382946896035904</v>
      </c>
      <c r="H98" s="25">
        <v>89.99640650935163</v>
      </c>
      <c r="I98" s="25">
        <v>90.364891683204647</v>
      </c>
      <c r="J98" s="25">
        <v>90.568075808906571</v>
      </c>
      <c r="K98" s="25">
        <v>90.64814978518767</v>
      </c>
      <c r="L98" s="25">
        <v>89.884667376110912</v>
      </c>
      <c r="M98" s="25">
        <v>89.266145320834838</v>
      </c>
      <c r="N98" s="25">
        <v>88.421905754312832</v>
      </c>
      <c r="O98" s="25">
        <v>88.238835170623418</v>
      </c>
      <c r="P98" s="25">
        <v>87.181052850387147</v>
      </c>
      <c r="Q98" s="25">
        <v>86.035450090004858</v>
      </c>
      <c r="R98" s="25">
        <v>84.349052169826095</v>
      </c>
      <c r="S98" s="25">
        <v>82.125911682046265</v>
      </c>
      <c r="T98" s="25">
        <v>81.488978605857938</v>
      </c>
      <c r="U98" s="25">
        <v>80.22035221653509</v>
      </c>
      <c r="V98" s="25">
        <v>79.346938775510196</v>
      </c>
      <c r="W98" s="25">
        <v>78.648284689537476</v>
      </c>
      <c r="X98" s="25">
        <v>78.970979395767998</v>
      </c>
      <c r="Y98" s="25">
        <v>78.808121186618976</v>
      </c>
      <c r="Z98" s="25">
        <v>78.520032816429733</v>
      </c>
      <c r="AA98" s="25">
        <v>77.910509313354865</v>
      </c>
      <c r="AB98" s="25">
        <v>77.709183259935699</v>
      </c>
      <c r="AC98" s="25">
        <v>77.199138999412952</v>
      </c>
      <c r="AD98" s="25">
        <v>77.657703908104992</v>
      </c>
      <c r="AE98" s="25">
        <v>77.725433351452551</v>
      </c>
      <c r="AF98" s="25">
        <v>77.886567702928303</v>
      </c>
      <c r="AG98" s="25">
        <v>80.632938071586963</v>
      </c>
      <c r="AH98" s="53">
        <v>79.978103357075199</v>
      </c>
      <c r="AI98" s="53">
        <v>79.11979314732838</v>
      </c>
      <c r="AJ98" s="53">
        <v>79.764193772365545</v>
      </c>
      <c r="AK98" s="53">
        <v>79.322807684991432</v>
      </c>
      <c r="AL98" s="53">
        <v>79.015607985480941</v>
      </c>
      <c r="AM98" s="53" t="s">
        <v>44</v>
      </c>
      <c r="AN98" s="174">
        <v>100</v>
      </c>
      <c r="AO98" s="174">
        <v>100</v>
      </c>
      <c r="AP98" s="53">
        <v>77.620262271493516</v>
      </c>
      <c r="AQ98" s="53">
        <v>77.896341463414629</v>
      </c>
      <c r="AR98" s="53">
        <v>78.439898029167793</v>
      </c>
      <c r="AS98" s="53">
        <v>76.93330010798239</v>
      </c>
      <c r="AT98" s="53">
        <v>77.086105433545043</v>
      </c>
      <c r="AU98" s="53">
        <v>77.774502974117141</v>
      </c>
      <c r="AV98" s="53">
        <v>77.147302652371579</v>
      </c>
      <c r="AW98" s="53">
        <v>78.098358345663357</v>
      </c>
      <c r="AX98" s="53">
        <v>78.721982907558001</v>
      </c>
      <c r="AY98" s="53">
        <v>93.195482825325456</v>
      </c>
      <c r="AZ98" s="53">
        <v>78.350698062096271</v>
      </c>
      <c r="BA98" s="53">
        <v>78.548553256293104</v>
      </c>
      <c r="BB98" s="53">
        <v>78.896428383567411</v>
      </c>
      <c r="BC98" s="53">
        <v>79.262252201110854</v>
      </c>
      <c r="BD98" s="53">
        <v>78.654912733311747</v>
      </c>
      <c r="BE98" s="53">
        <v>77.358652505096018</v>
      </c>
      <c r="BF98" s="53">
        <v>77.611940298507463</v>
      </c>
      <c r="BG98" s="53">
        <v>77.953720124989445</v>
      </c>
      <c r="BH98" s="53">
        <v>78.04406845150335</v>
      </c>
      <c r="BI98" s="53">
        <v>78.639397960029854</v>
      </c>
      <c r="BJ98" s="53">
        <v>79.024405867657421</v>
      </c>
      <c r="BK98" s="53">
        <v>78.733686146118316</v>
      </c>
      <c r="BL98" s="53">
        <v>78.099999999999994</v>
      </c>
      <c r="BM98" s="53">
        <v>78.701029193191061</v>
      </c>
      <c r="BN98" s="5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row>
    <row r="99" spans="1:103">
      <c r="A99" s="415"/>
      <c r="B99" s="417"/>
      <c r="C99" s="127" t="s">
        <v>53</v>
      </c>
      <c r="D99" s="129">
        <v>9.7499451634130292</v>
      </c>
      <c r="E99" s="129">
        <v>9.5035177029114006</v>
      </c>
      <c r="F99" s="129">
        <v>9.1768219167918677</v>
      </c>
      <c r="G99" s="129">
        <v>8.821989528795811</v>
      </c>
      <c r="H99" s="129">
        <v>8.3565769434795261</v>
      </c>
      <c r="I99" s="129">
        <v>8.1583643246668771</v>
      </c>
      <c r="J99" s="129">
        <v>8.0702443495196476</v>
      </c>
      <c r="K99" s="129">
        <v>8.0010961616661653</v>
      </c>
      <c r="L99" s="129">
        <v>8.5651010958037332</v>
      </c>
      <c r="M99" s="129">
        <v>9.1884613392718411</v>
      </c>
      <c r="N99" s="129">
        <v>10.064837327775848</v>
      </c>
      <c r="O99" s="129">
        <v>10.41172855763322</v>
      </c>
      <c r="P99" s="129">
        <v>11.421036220963467</v>
      </c>
      <c r="Q99" s="129">
        <v>12.678203056223476</v>
      </c>
      <c r="R99" s="129">
        <v>14.310333251270116</v>
      </c>
      <c r="S99" s="129">
        <v>16.517801267536722</v>
      </c>
      <c r="T99" s="129">
        <v>17.191361821577551</v>
      </c>
      <c r="U99" s="129">
        <v>18.436218071856139</v>
      </c>
      <c r="V99" s="129">
        <v>19.285055957867016</v>
      </c>
      <c r="W99" s="129">
        <v>19.987733496886708</v>
      </c>
      <c r="X99" s="129">
        <v>19.746714835841043</v>
      </c>
      <c r="Y99" s="129">
        <v>20.028140122028194</v>
      </c>
      <c r="Z99" s="129">
        <v>20.347531370623916</v>
      </c>
      <c r="AA99" s="129">
        <v>20.882534882122485</v>
      </c>
      <c r="AB99" s="129">
        <v>21.068273309377787</v>
      </c>
      <c r="AC99" s="129">
        <v>21.690692061835495</v>
      </c>
      <c r="AD99" s="129">
        <v>21.220560867612143</v>
      </c>
      <c r="AE99" s="129">
        <v>21.224859576010147</v>
      </c>
      <c r="AF99" s="129">
        <v>21.117402878671658</v>
      </c>
      <c r="AG99" s="129">
        <v>18.694444953539946</v>
      </c>
      <c r="AH99" s="128">
        <v>19.058690383929342</v>
      </c>
      <c r="AI99" s="128">
        <v>19.891970921496164</v>
      </c>
      <c r="AJ99" s="128">
        <v>19.302462212252312</v>
      </c>
      <c r="AK99" s="128">
        <v>19.663159743053217</v>
      </c>
      <c r="AL99" s="128">
        <v>19.95934664246824</v>
      </c>
      <c r="AM99" s="128" t="s">
        <v>44</v>
      </c>
      <c r="AN99" s="128" t="s">
        <v>44</v>
      </c>
      <c r="AO99" s="128" t="s">
        <v>44</v>
      </c>
      <c r="AP99" s="128">
        <v>21.390496746132968</v>
      </c>
      <c r="AQ99" s="128">
        <v>21.133976964769648</v>
      </c>
      <c r="AR99" s="128">
        <v>20.620624506644926</v>
      </c>
      <c r="AS99" s="128">
        <v>22.009026220339454</v>
      </c>
      <c r="AT99" s="128">
        <v>21.889189152114568</v>
      </c>
      <c r="AU99" s="128">
        <v>21.388189271743208</v>
      </c>
      <c r="AV99" s="128">
        <v>21.904553521503416</v>
      </c>
      <c r="AW99" s="128">
        <v>20.96455999436342</v>
      </c>
      <c r="AX99" s="128">
        <v>20.323189974891157</v>
      </c>
      <c r="AY99" s="128" t="s">
        <v>44</v>
      </c>
      <c r="AZ99" s="128">
        <v>20.627214002917274</v>
      </c>
      <c r="BA99" s="128">
        <v>20.453731075875663</v>
      </c>
      <c r="BB99" s="128">
        <v>20.085213823575824</v>
      </c>
      <c r="BC99" s="128">
        <v>19.794971115637626</v>
      </c>
      <c r="BD99" s="128">
        <v>20.312091998203485</v>
      </c>
      <c r="BE99" s="128">
        <v>21.62214354682974</v>
      </c>
      <c r="BF99" s="128">
        <v>21.376046596286859</v>
      </c>
      <c r="BG99" s="128">
        <v>21.036018917321172</v>
      </c>
      <c r="BH99" s="128">
        <v>20.932006060174686</v>
      </c>
      <c r="BI99" s="128">
        <v>20.406957459159134</v>
      </c>
      <c r="BJ99" s="128">
        <v>20.022206563747787</v>
      </c>
      <c r="BK99" s="128">
        <v>20.312149616540342</v>
      </c>
      <c r="BL99" s="128"/>
      <c r="BM99" s="128"/>
      <c r="BN99" s="128"/>
      <c r="CX99" s="50"/>
      <c r="CY99" s="50"/>
    </row>
    <row r="100" spans="1:103" s="2" customFormat="1">
      <c r="A100" s="415"/>
      <c r="B100" s="417"/>
      <c r="C100" s="133" t="s">
        <v>55</v>
      </c>
      <c r="D100" s="130">
        <v>2.1166922570739195</v>
      </c>
      <c r="E100" s="130">
        <v>2.0810692291559421</v>
      </c>
      <c r="F100" s="130">
        <v>1.9308886539424628</v>
      </c>
      <c r="G100" s="130">
        <v>1.7950635751682871</v>
      </c>
      <c r="H100" s="130">
        <v>1.6470165471688427</v>
      </c>
      <c r="I100" s="130">
        <v>1.4767439921284793</v>
      </c>
      <c r="J100" s="130">
        <v>1.3616798415737876</v>
      </c>
      <c r="K100" s="130">
        <v>1.3507540531461608</v>
      </c>
      <c r="L100" s="130">
        <v>1.5502315280853636</v>
      </c>
      <c r="M100" s="130">
        <v>1.545393339893314</v>
      </c>
      <c r="N100" s="130">
        <v>1.5132569179113118</v>
      </c>
      <c r="O100" s="130">
        <v>1.3494362717433563</v>
      </c>
      <c r="P100" s="130">
        <v>1.3979109286493792</v>
      </c>
      <c r="Q100" s="130">
        <v>1.2863468537716636</v>
      </c>
      <c r="R100" s="130">
        <v>1.3406145789037847</v>
      </c>
      <c r="S100" s="130">
        <v>1.3562870504170128</v>
      </c>
      <c r="T100" s="130">
        <v>1.3196595725645011</v>
      </c>
      <c r="U100" s="130">
        <v>1.3434297116087695</v>
      </c>
      <c r="V100" s="130">
        <v>1.3680052666227782</v>
      </c>
      <c r="W100" s="130">
        <v>1.3639818135758188</v>
      </c>
      <c r="X100" s="130">
        <v>1.2823057683909642</v>
      </c>
      <c r="Y100" s="130">
        <v>1.1637386913528298</v>
      </c>
      <c r="Z100" s="130">
        <v>1.1324358129463505</v>
      </c>
      <c r="AA100" s="130">
        <v>1.2069558045226476</v>
      </c>
      <c r="AB100" s="130">
        <v>1.2225434306865155</v>
      </c>
      <c r="AC100" s="130">
        <v>1.1101689387515492</v>
      </c>
      <c r="AD100" s="130">
        <v>1.1217352242828724</v>
      </c>
      <c r="AE100" s="130">
        <v>1.0497070725372954</v>
      </c>
      <c r="AF100" s="130">
        <v>0.99602941840003612</v>
      </c>
      <c r="AG100" s="130">
        <v>0.67261697487308258</v>
      </c>
      <c r="AH100" s="131">
        <v>0.96320625899546075</v>
      </c>
      <c r="AI100" s="131">
        <v>0.98823593117545927</v>
      </c>
      <c r="AJ100" s="131">
        <v>0.93334401538215028</v>
      </c>
      <c r="AK100" s="131">
        <v>1.0140325719553416</v>
      </c>
      <c r="AL100" s="131">
        <v>1.0250453720508166</v>
      </c>
      <c r="AM100" s="131" t="s">
        <v>44</v>
      </c>
      <c r="AN100" s="131" t="s">
        <v>44</v>
      </c>
      <c r="AO100" s="131" t="s">
        <v>44</v>
      </c>
      <c r="AP100" s="131">
        <v>0.98924098237352431</v>
      </c>
      <c r="AQ100" s="131">
        <v>0.96968157181571824</v>
      </c>
      <c r="AR100" s="131">
        <v>0.9394774641872744</v>
      </c>
      <c r="AS100" s="131">
        <v>1.0576736716781572</v>
      </c>
      <c r="AT100" s="131">
        <v>1.0247054143403889</v>
      </c>
      <c r="AU100" s="131">
        <v>0.83730775413964953</v>
      </c>
      <c r="AV100" s="131">
        <v>0.94814382612500914</v>
      </c>
      <c r="AW100" s="131">
        <v>0.93708165997322623</v>
      </c>
      <c r="AX100" s="131">
        <v>0.95482711755085115</v>
      </c>
      <c r="AY100" s="131" t="s">
        <v>44</v>
      </c>
      <c r="AZ100" s="131">
        <v>1.0220879349864553</v>
      </c>
      <c r="BA100" s="131">
        <v>0.99771566783122823</v>
      </c>
      <c r="BB100" s="131">
        <v>1.0183577928567671</v>
      </c>
      <c r="BC100" s="131">
        <v>0.94277668325152209</v>
      </c>
      <c r="BD100" s="131">
        <v>1.0329952684847661</v>
      </c>
      <c r="BE100" s="131">
        <v>1.019203948074241</v>
      </c>
      <c r="BF100" s="131">
        <v>1.0120131052056789</v>
      </c>
      <c r="BG100" s="131">
        <v>1.0102609576893844</v>
      </c>
      <c r="BH100" s="131">
        <v>1.023925488321962</v>
      </c>
      <c r="BI100" s="131">
        <v>0.95364458081101255</v>
      </c>
      <c r="BJ100" s="131">
        <v>0.95338756859479434</v>
      </c>
      <c r="BK100" s="131">
        <v>0.95416423734134626</v>
      </c>
      <c r="BL100" s="131"/>
      <c r="BM100" s="131"/>
      <c r="BN100" s="131"/>
      <c r="BO100" s="382"/>
      <c r="BP100" s="382"/>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row>
    <row r="101" spans="1:103" s="2" customFormat="1">
      <c r="A101" s="414" t="s">
        <v>11</v>
      </c>
      <c r="B101" s="416">
        <v>1</v>
      </c>
      <c r="C101" s="22" t="s">
        <v>52</v>
      </c>
      <c r="D101" s="25">
        <v>89.274546591619767</v>
      </c>
      <c r="E101" s="25">
        <v>89.618288094280246</v>
      </c>
      <c r="F101" s="25">
        <v>89.689233683640794</v>
      </c>
      <c r="G101" s="25">
        <v>89.844354434988389</v>
      </c>
      <c r="H101" s="25">
        <v>89.873675631621836</v>
      </c>
      <c r="I101" s="25">
        <v>89.697662038063982</v>
      </c>
      <c r="J101" s="25">
        <v>90.206930827271492</v>
      </c>
      <c r="K101" s="25">
        <v>90.117961518920225</v>
      </c>
      <c r="L101" s="25">
        <v>90.325085865546583</v>
      </c>
      <c r="M101" s="25">
        <v>90.232692061596211</v>
      </c>
      <c r="N101" s="25">
        <v>90.102370805045723</v>
      </c>
      <c r="O101" s="25">
        <v>89.909984180388136</v>
      </c>
      <c r="P101" s="25">
        <v>89.581253917039987</v>
      </c>
      <c r="Q101" s="25">
        <v>89.225618131868131</v>
      </c>
      <c r="R101" s="25">
        <v>88.673731785241173</v>
      </c>
      <c r="S101" s="25">
        <v>87.984881639148597</v>
      </c>
      <c r="T101" s="25">
        <v>87.47114604778838</v>
      </c>
      <c r="U101" s="25">
        <v>86.552434003390658</v>
      </c>
      <c r="V101" s="25">
        <v>86.352739726027394</v>
      </c>
      <c r="W101" s="25">
        <v>85.996116162061966</v>
      </c>
      <c r="X101" s="25">
        <v>85.925645978556034</v>
      </c>
      <c r="Y101" s="25">
        <v>85.879047139741644</v>
      </c>
      <c r="Z101" s="25">
        <v>85.755209037105089</v>
      </c>
      <c r="AA101" s="25">
        <v>85.089653340417044</v>
      </c>
      <c r="AB101" s="25">
        <v>84.962707826177024</v>
      </c>
      <c r="AC101" s="25">
        <v>84.552300391995047</v>
      </c>
      <c r="AD101" s="25">
        <v>84.564050305711589</v>
      </c>
      <c r="AE101" s="25">
        <v>84.335740659034443</v>
      </c>
      <c r="AF101" s="25">
        <v>83.785764283839356</v>
      </c>
      <c r="AG101" s="25">
        <v>83.546354236009407</v>
      </c>
      <c r="AH101" s="53">
        <v>83.621226101323956</v>
      </c>
      <c r="AI101" s="53">
        <v>82.859965942775446</v>
      </c>
      <c r="AJ101" s="53">
        <v>83.397293700088724</v>
      </c>
      <c r="AK101" s="53">
        <v>82.451395149917929</v>
      </c>
      <c r="AL101" s="53">
        <v>82.165004362075877</v>
      </c>
      <c r="AM101" s="53">
        <v>81.398824105830485</v>
      </c>
      <c r="AN101" s="53">
        <v>80.877758370439608</v>
      </c>
      <c r="AO101" s="53">
        <v>79.916628305457522</v>
      </c>
      <c r="AP101" s="53">
        <v>79.611198717783012</v>
      </c>
      <c r="AQ101" s="53">
        <v>78.872909657781548</v>
      </c>
      <c r="AR101" s="53">
        <v>77.969213743146042</v>
      </c>
      <c r="AS101" s="53">
        <v>77.876733264790062</v>
      </c>
      <c r="AT101" s="53">
        <v>77.906846589142461</v>
      </c>
      <c r="AU101" s="53">
        <v>77.374486521581701</v>
      </c>
      <c r="AV101" s="53">
        <v>77.179617188490298</v>
      </c>
      <c r="AW101" s="53">
        <v>77.121674662014826</v>
      </c>
      <c r="AX101" s="53">
        <v>77.12158123414622</v>
      </c>
      <c r="AY101" s="53">
        <v>77.227870071906764</v>
      </c>
      <c r="AZ101" s="53">
        <v>77.32460153127559</v>
      </c>
      <c r="BA101" s="53">
        <v>77.772078820554412</v>
      </c>
      <c r="BB101" s="53">
        <v>78.061354231685044</v>
      </c>
      <c r="BC101" s="53">
        <v>78.037449801582582</v>
      </c>
      <c r="BD101" s="53">
        <v>79.045341585783277</v>
      </c>
      <c r="BE101" s="53">
        <v>79.138814896718102</v>
      </c>
      <c r="BF101" s="53">
        <v>79.699696832255142</v>
      </c>
      <c r="BG101" s="53">
        <v>79.68602939401984</v>
      </c>
      <c r="BH101" s="53">
        <v>80.273015415646171</v>
      </c>
      <c r="BI101" s="53">
        <v>80.444099608364738</v>
      </c>
      <c r="BJ101" s="53">
        <v>80.871156302190784</v>
      </c>
      <c r="BK101" s="53">
        <v>80.893672704880188</v>
      </c>
      <c r="BL101" s="53">
        <v>81.599999999999994</v>
      </c>
      <c r="BM101" s="53">
        <v>82</v>
      </c>
      <c r="BN101" s="5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row>
    <row r="102" spans="1:103">
      <c r="A102" s="415"/>
      <c r="B102" s="417"/>
      <c r="C102" s="127" t="s">
        <v>53</v>
      </c>
      <c r="D102" s="129">
        <v>7.5022850820224178</v>
      </c>
      <c r="E102" s="129">
        <v>7.2567858579643607</v>
      </c>
      <c r="F102" s="129">
        <v>7.2166343421586756</v>
      </c>
      <c r="G102" s="129">
        <v>7.0745915441678422</v>
      </c>
      <c r="H102" s="129">
        <v>7.2127139364303181</v>
      </c>
      <c r="I102" s="129">
        <v>7.3355219378022269</v>
      </c>
      <c r="J102" s="129">
        <v>6.9906926309131157</v>
      </c>
      <c r="K102" s="129">
        <v>7.0390333340696722</v>
      </c>
      <c r="L102" s="129">
        <v>6.9239351578394697</v>
      </c>
      <c r="M102" s="129">
        <v>7.0980676534573224</v>
      </c>
      <c r="N102" s="129">
        <v>7.3415715417728569</v>
      </c>
      <c r="O102" s="129">
        <v>7.4998328914239885</v>
      </c>
      <c r="P102" s="129">
        <v>8.048791810775052</v>
      </c>
      <c r="Q102" s="129">
        <v>8.4355376766091048</v>
      </c>
      <c r="R102" s="129">
        <v>8.9911426270812225</v>
      </c>
      <c r="S102" s="129">
        <v>9.8624570178180679</v>
      </c>
      <c r="T102" s="129">
        <v>10.398340507829559</v>
      </c>
      <c r="U102" s="129">
        <v>11.411661419229837</v>
      </c>
      <c r="V102" s="129">
        <v>11.702988792029888</v>
      </c>
      <c r="W102" s="129">
        <v>12.303233589313562</v>
      </c>
      <c r="X102" s="129">
        <v>12.383471907281431</v>
      </c>
      <c r="Y102" s="129">
        <v>12.590169434658616</v>
      </c>
      <c r="Z102" s="129">
        <v>12.784098586601086</v>
      </c>
      <c r="AA102" s="129">
        <v>13.444016469650686</v>
      </c>
      <c r="AB102" s="129">
        <v>13.491220800745843</v>
      </c>
      <c r="AC102" s="129">
        <v>13.935166082112646</v>
      </c>
      <c r="AD102" s="129">
        <v>14.149724113933489</v>
      </c>
      <c r="AE102" s="129">
        <v>14.258179875995634</v>
      </c>
      <c r="AF102" s="129">
        <v>14.848193192755271</v>
      </c>
      <c r="AG102" s="129">
        <v>15.098965961034928</v>
      </c>
      <c r="AH102" s="128">
        <v>15.05804347359612</v>
      </c>
      <c r="AI102" s="128">
        <v>15.809279542539997</v>
      </c>
      <c r="AJ102" s="128">
        <v>15.391526175687668</v>
      </c>
      <c r="AK102" s="128">
        <v>16.242457868090714</v>
      </c>
      <c r="AL102" s="128">
        <v>16.487467873900638</v>
      </c>
      <c r="AM102" s="128">
        <v>17.199902008819208</v>
      </c>
      <c r="AN102" s="128">
        <v>17.774114984378457</v>
      </c>
      <c r="AO102" s="128">
        <v>18.749680323257124</v>
      </c>
      <c r="AP102" s="128">
        <v>19.049711759687717</v>
      </c>
      <c r="AQ102" s="128">
        <v>19.840536310646112</v>
      </c>
      <c r="AR102" s="128">
        <v>20.710297298656872</v>
      </c>
      <c r="AS102" s="128">
        <v>20.858921277127852</v>
      </c>
      <c r="AT102" s="128">
        <v>20.85691188358933</v>
      </c>
      <c r="AU102" s="128">
        <v>21.317001910327001</v>
      </c>
      <c r="AV102" s="128">
        <v>21.588287488908605</v>
      </c>
      <c r="AW102" s="128">
        <v>21.740701513924364</v>
      </c>
      <c r="AX102" s="128">
        <v>21.75327121581234</v>
      </c>
      <c r="AY102" s="128">
        <v>21.650136374907017</v>
      </c>
      <c r="AZ102" s="128">
        <v>21.617229257957334</v>
      </c>
      <c r="BA102" s="128">
        <v>21.153203874230641</v>
      </c>
      <c r="BB102" s="128">
        <v>20.985042883232772</v>
      </c>
      <c r="BC102" s="128">
        <v>21.029869543521137</v>
      </c>
      <c r="BD102" s="128">
        <v>19.985229990153329</v>
      </c>
      <c r="BE102" s="128">
        <v>19.898728451525354</v>
      </c>
      <c r="BF102" s="128">
        <v>19.401542097347878</v>
      </c>
      <c r="BG102" s="128">
        <v>19.366749523372832</v>
      </c>
      <c r="BH102" s="128">
        <v>18.777313547519569</v>
      </c>
      <c r="BI102" s="128">
        <v>18.644547895268357</v>
      </c>
      <c r="BJ102" s="128">
        <v>18.240986344434621</v>
      </c>
      <c r="BK102" s="128">
        <v>18.7</v>
      </c>
      <c r="BL102" s="55">
        <v>18</v>
      </c>
      <c r="BM102" s="55">
        <v>17.600000000000001</v>
      </c>
      <c r="BN102" s="55"/>
      <c r="CX102" s="50"/>
      <c r="CY102" s="50"/>
    </row>
    <row r="103" spans="1:103" s="2" customFormat="1">
      <c r="A103" s="415"/>
      <c r="B103" s="417"/>
      <c r="C103" s="133" t="s">
        <v>55</v>
      </c>
      <c r="D103" s="130">
        <v>3.2231683263578197</v>
      </c>
      <c r="E103" s="130">
        <v>3.1249260477554013</v>
      </c>
      <c r="F103" s="130">
        <v>3.0941319742005322</v>
      </c>
      <c r="G103" s="130">
        <v>3.0810540208437631</v>
      </c>
      <c r="H103" s="130">
        <v>2.91361043194784</v>
      </c>
      <c r="I103" s="130">
        <v>2.9668160241338009</v>
      </c>
      <c r="J103" s="130">
        <v>2.8023765418153888</v>
      </c>
      <c r="K103" s="130">
        <v>2.8430051470100954</v>
      </c>
      <c r="L103" s="130">
        <v>2.7509789766139439</v>
      </c>
      <c r="M103" s="130">
        <v>2.6692402849464658</v>
      </c>
      <c r="N103" s="130">
        <v>2.5560576531814192</v>
      </c>
      <c r="O103" s="130">
        <v>2.5901829281878745</v>
      </c>
      <c r="P103" s="130">
        <v>2.369954272184954</v>
      </c>
      <c r="Q103" s="130">
        <v>2.3388441915227629</v>
      </c>
      <c r="R103" s="130">
        <v>2.3351255876776023</v>
      </c>
      <c r="S103" s="130">
        <v>2.1526613430333343</v>
      </c>
      <c r="T103" s="130">
        <v>2.1305134443820575</v>
      </c>
      <c r="U103" s="130">
        <v>2.0359045773795108</v>
      </c>
      <c r="V103" s="130">
        <v>1.9442714819427147</v>
      </c>
      <c r="W103" s="130">
        <v>1.7006502486244741</v>
      </c>
      <c r="X103" s="130">
        <v>1.6908821141625376</v>
      </c>
      <c r="Y103" s="130">
        <v>1.5307834255997317</v>
      </c>
      <c r="Z103" s="130">
        <v>1.460692376293814</v>
      </c>
      <c r="AA103" s="130">
        <v>1.4663301899322621</v>
      </c>
      <c r="AB103" s="130">
        <v>1.5460713730771223</v>
      </c>
      <c r="AC103" s="130">
        <v>1.5125335258923045</v>
      </c>
      <c r="AD103" s="130">
        <v>1.2862255803549236</v>
      </c>
      <c r="AE103" s="130">
        <v>1.4060794649699278</v>
      </c>
      <c r="AF103" s="130">
        <v>1.3660425234053724</v>
      </c>
      <c r="AG103" s="130">
        <v>1.354679802955665</v>
      </c>
      <c r="AH103" s="131">
        <v>1.3207304250799305</v>
      </c>
      <c r="AI103" s="131">
        <v>1.3307545146845501</v>
      </c>
      <c r="AJ103" s="131">
        <v>1.2111801242236024</v>
      </c>
      <c r="AK103" s="131">
        <v>1.306146981991354</v>
      </c>
      <c r="AL103" s="131">
        <v>1.3475277640234844</v>
      </c>
      <c r="AM103" s="131">
        <v>1.4012738853503186</v>
      </c>
      <c r="AN103" s="131">
        <v>1.3481266451819234</v>
      </c>
      <c r="AO103" s="131">
        <v>1.3336913712853564</v>
      </c>
      <c r="AP103" s="131">
        <v>1.3390895225292763</v>
      </c>
      <c r="AQ103" s="131">
        <v>1.2865540315723316</v>
      </c>
      <c r="AR103" s="131">
        <v>1.3204889581970924</v>
      </c>
      <c r="AS103" s="131">
        <v>1.2643454580820852</v>
      </c>
      <c r="AT103" s="131">
        <v>1.2362415272682048</v>
      </c>
      <c r="AU103" s="131">
        <v>1.3085115680912962</v>
      </c>
      <c r="AV103" s="131">
        <v>1.2320953226010902</v>
      </c>
      <c r="AW103" s="131">
        <v>1.1376238240608061</v>
      </c>
      <c r="AX103" s="131">
        <v>1.1251475500414396</v>
      </c>
      <c r="AY103" s="131">
        <v>1.1219935531862137</v>
      </c>
      <c r="AZ103" s="131">
        <v>1.0581692107670824</v>
      </c>
      <c r="BA103" s="131">
        <v>1.0747173052149435</v>
      </c>
      <c r="BB103" s="131">
        <v>0.95360288508218316</v>
      </c>
      <c r="BC103" s="131">
        <v>0.93268065489627638</v>
      </c>
      <c r="BD103" s="131">
        <v>0.96942842406339391</v>
      </c>
      <c r="BE103" s="131">
        <v>0.96245665175654616</v>
      </c>
      <c r="BF103" s="131">
        <v>0.89876107039698272</v>
      </c>
      <c r="BG103" s="131">
        <v>0.94722108260733151</v>
      </c>
      <c r="BH103" s="131">
        <v>0.9496710368342699</v>
      </c>
      <c r="BI103" s="131">
        <v>0.91135249636690552</v>
      </c>
      <c r="BJ103" s="131">
        <v>0.8878573533745947</v>
      </c>
      <c r="BK103" s="131">
        <v>0.8980345871606713</v>
      </c>
      <c r="BL103" s="131">
        <v>0.9</v>
      </c>
      <c r="BM103" s="131">
        <v>0.9</v>
      </c>
      <c r="BN103" s="131"/>
      <c r="BO103" s="382"/>
      <c r="BP103" s="382"/>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row>
    <row r="104" spans="1:103" s="2" customFormat="1">
      <c r="A104" s="414" t="s">
        <v>189</v>
      </c>
      <c r="B104" s="416"/>
      <c r="C104" s="22" t="s">
        <v>52</v>
      </c>
      <c r="D104" s="25" t="s">
        <v>44</v>
      </c>
      <c r="E104" s="25" t="s">
        <v>44</v>
      </c>
      <c r="F104" s="25" t="s">
        <v>44</v>
      </c>
      <c r="G104" s="25" t="s">
        <v>44</v>
      </c>
      <c r="H104" s="25" t="s">
        <v>44</v>
      </c>
      <c r="I104" s="25" t="s">
        <v>44</v>
      </c>
      <c r="J104" s="25" t="s">
        <v>44</v>
      </c>
      <c r="K104" s="25" t="s">
        <v>44</v>
      </c>
      <c r="L104" s="25" t="s">
        <v>44</v>
      </c>
      <c r="M104" s="25" t="s">
        <v>44</v>
      </c>
      <c r="N104" s="25" t="s">
        <v>44</v>
      </c>
      <c r="O104" s="25" t="s">
        <v>44</v>
      </c>
      <c r="P104" s="25" t="s">
        <v>44</v>
      </c>
      <c r="Q104" s="25" t="s">
        <v>44</v>
      </c>
      <c r="R104" s="25" t="s">
        <v>44</v>
      </c>
      <c r="S104" s="25" t="s">
        <v>44</v>
      </c>
      <c r="T104" s="25" t="s">
        <v>44</v>
      </c>
      <c r="U104" s="25" t="s">
        <v>44</v>
      </c>
      <c r="V104" s="25" t="s">
        <v>44</v>
      </c>
      <c r="W104" s="25" t="s">
        <v>44</v>
      </c>
      <c r="X104" s="25" t="s">
        <v>44</v>
      </c>
      <c r="Y104" s="25" t="s">
        <v>44</v>
      </c>
      <c r="Z104" s="25" t="s">
        <v>44</v>
      </c>
      <c r="AA104" s="25" t="s">
        <v>44</v>
      </c>
      <c r="AB104" s="25" t="s">
        <v>44</v>
      </c>
      <c r="AC104" s="25" t="s">
        <v>44</v>
      </c>
      <c r="AD104" s="25" t="s">
        <v>44</v>
      </c>
      <c r="AE104" s="25" t="s">
        <v>44</v>
      </c>
      <c r="AF104" s="25" t="s">
        <v>44</v>
      </c>
      <c r="AG104" s="25" t="s">
        <v>44</v>
      </c>
      <c r="AH104" s="53" t="s">
        <v>44</v>
      </c>
      <c r="AI104" s="53" t="s">
        <v>44</v>
      </c>
      <c r="AJ104" s="53" t="s">
        <v>44</v>
      </c>
      <c r="AK104" s="53" t="s">
        <v>44</v>
      </c>
      <c r="AL104" s="53" t="s">
        <v>44</v>
      </c>
      <c r="AM104" s="53" t="s">
        <v>44</v>
      </c>
      <c r="AN104" s="53" t="s">
        <v>44</v>
      </c>
      <c r="AO104" s="53" t="s">
        <v>44</v>
      </c>
      <c r="AP104" s="53" t="s">
        <v>44</v>
      </c>
      <c r="AQ104" s="53" t="s">
        <v>44</v>
      </c>
      <c r="AR104" s="53" t="s">
        <v>44</v>
      </c>
      <c r="AS104" s="53" t="s">
        <v>44</v>
      </c>
      <c r="AT104" s="53" t="s">
        <v>44</v>
      </c>
      <c r="AU104" s="53">
        <v>93.476084456834315</v>
      </c>
      <c r="AV104" s="53" t="s">
        <v>44</v>
      </c>
      <c r="AW104" s="53" t="s">
        <v>44</v>
      </c>
      <c r="AX104" s="53">
        <v>90.616565087459776</v>
      </c>
      <c r="AY104" s="53">
        <v>94.369838379072462</v>
      </c>
      <c r="AZ104" s="53">
        <v>89.90128347330058</v>
      </c>
      <c r="BA104" s="53">
        <v>88.869847445444549</v>
      </c>
      <c r="BB104" s="53">
        <v>88.363250500747313</v>
      </c>
      <c r="BC104" s="53">
        <v>87.75452498380568</v>
      </c>
      <c r="BD104" s="53">
        <v>87.103507809528935</v>
      </c>
      <c r="BE104" s="53">
        <v>87.225094368852481</v>
      </c>
      <c r="BF104" s="53">
        <v>87.002208449098802</v>
      </c>
      <c r="BG104" s="53">
        <v>86.73511546933365</v>
      </c>
      <c r="BH104" s="53">
        <v>86.116606400071561</v>
      </c>
      <c r="BI104" s="53">
        <v>86.245772569631427</v>
      </c>
      <c r="BJ104" s="53">
        <v>85.814607522190286</v>
      </c>
      <c r="BK104" s="53">
        <v>85.508907227204915</v>
      </c>
      <c r="BL104" s="53">
        <v>84.7</v>
      </c>
      <c r="BM104" s="53" t="s">
        <v>44</v>
      </c>
      <c r="BN104" s="5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row>
    <row r="105" spans="1:103">
      <c r="A105" s="415"/>
      <c r="B105" s="417"/>
      <c r="C105" s="127" t="s">
        <v>53</v>
      </c>
      <c r="D105" s="129" t="s">
        <v>44</v>
      </c>
      <c r="E105" s="129" t="s">
        <v>44</v>
      </c>
      <c r="F105" s="129" t="s">
        <v>44</v>
      </c>
      <c r="G105" s="129" t="s">
        <v>44</v>
      </c>
      <c r="H105" s="129" t="s">
        <v>44</v>
      </c>
      <c r="I105" s="129" t="s">
        <v>44</v>
      </c>
      <c r="J105" s="129" t="s">
        <v>44</v>
      </c>
      <c r="K105" s="129" t="s">
        <v>44</v>
      </c>
      <c r="L105" s="129" t="s">
        <v>44</v>
      </c>
      <c r="M105" s="129" t="s">
        <v>44</v>
      </c>
      <c r="N105" s="129" t="s">
        <v>44</v>
      </c>
      <c r="O105" s="129" t="s">
        <v>44</v>
      </c>
      <c r="P105" s="129" t="s">
        <v>44</v>
      </c>
      <c r="Q105" s="129" t="s">
        <v>44</v>
      </c>
      <c r="R105" s="129" t="s">
        <v>44</v>
      </c>
      <c r="S105" s="129" t="s">
        <v>44</v>
      </c>
      <c r="T105" s="129" t="s">
        <v>44</v>
      </c>
      <c r="U105" s="129" t="s">
        <v>44</v>
      </c>
      <c r="V105" s="129" t="s">
        <v>44</v>
      </c>
      <c r="W105" s="129" t="s">
        <v>44</v>
      </c>
      <c r="X105" s="129" t="s">
        <v>44</v>
      </c>
      <c r="Y105" s="129" t="s">
        <v>44</v>
      </c>
      <c r="Z105" s="129" t="s">
        <v>44</v>
      </c>
      <c r="AA105" s="129" t="s">
        <v>44</v>
      </c>
      <c r="AB105" s="129" t="s">
        <v>44</v>
      </c>
      <c r="AC105" s="129" t="s">
        <v>44</v>
      </c>
      <c r="AD105" s="129" t="s">
        <v>44</v>
      </c>
      <c r="AE105" s="129" t="s">
        <v>44</v>
      </c>
      <c r="AF105" s="129" t="s">
        <v>44</v>
      </c>
      <c r="AG105" s="129" t="s">
        <v>44</v>
      </c>
      <c r="AH105" s="128" t="s">
        <v>44</v>
      </c>
      <c r="AI105" s="128" t="s">
        <v>44</v>
      </c>
      <c r="AJ105" s="128" t="s">
        <v>44</v>
      </c>
      <c r="AK105" s="128" t="s">
        <v>44</v>
      </c>
      <c r="AL105" s="128" t="s">
        <v>44</v>
      </c>
      <c r="AM105" s="128" t="s">
        <v>44</v>
      </c>
      <c r="AN105" s="128" t="s">
        <v>44</v>
      </c>
      <c r="AO105" s="128" t="s">
        <v>44</v>
      </c>
      <c r="AP105" s="128" t="s">
        <v>44</v>
      </c>
      <c r="AQ105" s="128" t="s">
        <v>44</v>
      </c>
      <c r="AR105" s="128" t="s">
        <v>44</v>
      </c>
      <c r="AS105" s="128" t="s">
        <v>44</v>
      </c>
      <c r="AT105" s="128" t="s">
        <v>44</v>
      </c>
      <c r="AU105" s="128">
        <v>5.536693817794915</v>
      </c>
      <c r="AV105" s="128" t="s">
        <v>44</v>
      </c>
      <c r="AW105" s="128" t="s">
        <v>44</v>
      </c>
      <c r="AX105" s="128">
        <v>7.578511006553784</v>
      </c>
      <c r="AY105" s="128" t="s">
        <v>44</v>
      </c>
      <c r="AZ105" s="128">
        <v>8.8325938836951341</v>
      </c>
      <c r="BA105" s="128">
        <v>9.8541185269813827</v>
      </c>
      <c r="BB105" s="128">
        <v>10.325884000720762</v>
      </c>
      <c r="BC105" s="128">
        <v>10.999455048343039</v>
      </c>
      <c r="BD105" s="128">
        <v>11.676936901160071</v>
      </c>
      <c r="BE105" s="128">
        <v>11.604300121310217</v>
      </c>
      <c r="BF105" s="128">
        <v>11.868802518513995</v>
      </c>
      <c r="BG105" s="128">
        <v>12.159322586668535</v>
      </c>
      <c r="BH105" s="128">
        <v>12.735375172456504</v>
      </c>
      <c r="BI105" s="128">
        <v>12.618116738111137</v>
      </c>
      <c r="BJ105" s="128">
        <v>13.015434551831081</v>
      </c>
      <c r="BK105" s="128">
        <v>13.359324199562838</v>
      </c>
      <c r="BL105" s="128"/>
      <c r="BM105" s="128"/>
      <c r="BN105" s="128"/>
      <c r="CX105" s="50"/>
      <c r="CY105" s="50"/>
    </row>
    <row r="106" spans="1:103" s="2" customFormat="1">
      <c r="A106" s="415"/>
      <c r="B106" s="417"/>
      <c r="C106" s="133" t="s">
        <v>55</v>
      </c>
      <c r="D106" s="130" t="s">
        <v>44</v>
      </c>
      <c r="E106" s="130" t="s">
        <v>44</v>
      </c>
      <c r="F106" s="130" t="s">
        <v>44</v>
      </c>
      <c r="G106" s="130" t="s">
        <v>44</v>
      </c>
      <c r="H106" s="130" t="s">
        <v>44</v>
      </c>
      <c r="I106" s="130" t="s">
        <v>44</v>
      </c>
      <c r="J106" s="130" t="s">
        <v>44</v>
      </c>
      <c r="K106" s="130" t="s">
        <v>44</v>
      </c>
      <c r="L106" s="130" t="s">
        <v>44</v>
      </c>
      <c r="M106" s="130" t="s">
        <v>44</v>
      </c>
      <c r="N106" s="130" t="s">
        <v>44</v>
      </c>
      <c r="O106" s="130" t="s">
        <v>44</v>
      </c>
      <c r="P106" s="130" t="s">
        <v>44</v>
      </c>
      <c r="Q106" s="130" t="s">
        <v>44</v>
      </c>
      <c r="R106" s="130" t="s">
        <v>44</v>
      </c>
      <c r="S106" s="130" t="s">
        <v>44</v>
      </c>
      <c r="T106" s="130" t="s">
        <v>44</v>
      </c>
      <c r="U106" s="130" t="s">
        <v>44</v>
      </c>
      <c r="V106" s="130" t="s">
        <v>44</v>
      </c>
      <c r="W106" s="130" t="s">
        <v>44</v>
      </c>
      <c r="X106" s="130" t="s">
        <v>44</v>
      </c>
      <c r="Y106" s="130" t="s">
        <v>44</v>
      </c>
      <c r="Z106" s="130" t="s">
        <v>44</v>
      </c>
      <c r="AA106" s="130" t="s">
        <v>44</v>
      </c>
      <c r="AB106" s="130" t="s">
        <v>44</v>
      </c>
      <c r="AC106" s="130" t="s">
        <v>44</v>
      </c>
      <c r="AD106" s="130" t="s">
        <v>44</v>
      </c>
      <c r="AE106" s="130" t="s">
        <v>44</v>
      </c>
      <c r="AF106" s="130" t="s">
        <v>44</v>
      </c>
      <c r="AG106" s="130" t="s">
        <v>44</v>
      </c>
      <c r="AH106" s="131" t="s">
        <v>44</v>
      </c>
      <c r="AI106" s="131" t="s">
        <v>44</v>
      </c>
      <c r="AJ106" s="131" t="s">
        <v>44</v>
      </c>
      <c r="AK106" s="131" t="s">
        <v>44</v>
      </c>
      <c r="AL106" s="131" t="s">
        <v>44</v>
      </c>
      <c r="AM106" s="131" t="s">
        <v>44</v>
      </c>
      <c r="AN106" s="131" t="s">
        <v>44</v>
      </c>
      <c r="AO106" s="131" t="s">
        <v>44</v>
      </c>
      <c r="AP106" s="131" t="s">
        <v>44</v>
      </c>
      <c r="AQ106" s="131" t="s">
        <v>44</v>
      </c>
      <c r="AR106" s="131" t="s">
        <v>44</v>
      </c>
      <c r="AS106" s="131" t="s">
        <v>44</v>
      </c>
      <c r="AT106" s="131" t="s">
        <v>44</v>
      </c>
      <c r="AU106" s="131">
        <v>0.98722172537077102</v>
      </c>
      <c r="AV106" s="131" t="s">
        <v>44</v>
      </c>
      <c r="AW106" s="131" t="s">
        <v>44</v>
      </c>
      <c r="AX106" s="131">
        <v>1.8049239059864397</v>
      </c>
      <c r="AY106" s="131" t="s">
        <v>44</v>
      </c>
      <c r="AZ106" s="131">
        <v>1.2661226430042782</v>
      </c>
      <c r="BA106" s="131">
        <v>1.2760340275740685</v>
      </c>
      <c r="BB106" s="131">
        <v>1.3108654985319248</v>
      </c>
      <c r="BC106" s="131">
        <v>1.2460199678512796</v>
      </c>
      <c r="BD106" s="131">
        <v>1.2195552893109913</v>
      </c>
      <c r="BE106" s="131">
        <v>1.170605509837302</v>
      </c>
      <c r="BF106" s="131">
        <v>1.1289890323871943</v>
      </c>
      <c r="BG106" s="131">
        <v>1.1055619439978168</v>
      </c>
      <c r="BH106" s="131">
        <v>1.1480184274719338</v>
      </c>
      <c r="BI106" s="131">
        <v>1.13611069225743</v>
      </c>
      <c r="BJ106" s="131">
        <v>1.1699579259786239</v>
      </c>
      <c r="BK106" s="131">
        <v>1.1317685732322513</v>
      </c>
      <c r="BL106" s="131"/>
      <c r="BM106" s="131"/>
      <c r="BN106" s="131"/>
      <c r="BO106" s="382"/>
      <c r="BP106" s="382"/>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row>
    <row r="107" spans="1:103" s="2" customFormat="1">
      <c r="A107" s="414" t="s">
        <v>9</v>
      </c>
      <c r="B107" s="416"/>
      <c r="C107" s="22" t="s">
        <v>52</v>
      </c>
      <c r="D107" s="25">
        <v>90.12355245707549</v>
      </c>
      <c r="E107" s="25">
        <v>90.162956023782357</v>
      </c>
      <c r="F107" s="25">
        <v>89.983861967030151</v>
      </c>
      <c r="G107" s="25">
        <v>89.736174922781998</v>
      </c>
      <c r="H107" s="25">
        <v>89.453217379432076</v>
      </c>
      <c r="I107" s="25">
        <v>89.540911826448749</v>
      </c>
      <c r="J107" s="25">
        <v>89.237398846443355</v>
      </c>
      <c r="K107" s="25">
        <v>88.870897215162202</v>
      </c>
      <c r="L107" s="25">
        <v>88.841575942501265</v>
      </c>
      <c r="M107" s="25">
        <v>88.320450283087595</v>
      </c>
      <c r="N107" s="25">
        <v>87.931301713210757</v>
      </c>
      <c r="O107" s="25">
        <v>86.168040593048588</v>
      </c>
      <c r="P107" s="25">
        <v>82.264697002821237</v>
      </c>
      <c r="Q107" s="25">
        <v>81.038211014735538</v>
      </c>
      <c r="R107" s="25">
        <v>80.125634244384045</v>
      </c>
      <c r="S107" s="25">
        <v>79.20639085349147</v>
      </c>
      <c r="T107" s="25">
        <v>77.989109018186127</v>
      </c>
      <c r="U107" s="25">
        <v>77.01664611895886</v>
      </c>
      <c r="V107" s="25">
        <v>75.893303168290188</v>
      </c>
      <c r="W107" s="25">
        <v>76.023260666735425</v>
      </c>
      <c r="X107" s="25">
        <v>75.748961634237162</v>
      </c>
      <c r="Y107" s="25">
        <v>75.398898066085877</v>
      </c>
      <c r="Z107" s="25">
        <v>75.122021802434489</v>
      </c>
      <c r="AA107" s="25">
        <v>74.786532266765306</v>
      </c>
      <c r="AB107" s="25">
        <v>74.899823143001527</v>
      </c>
      <c r="AC107" s="25">
        <v>74.78282546926232</v>
      </c>
      <c r="AD107" s="25">
        <v>74.213012674551138</v>
      </c>
      <c r="AE107" s="25">
        <v>75.057483973593804</v>
      </c>
      <c r="AF107" s="25">
        <v>73.998055635231069</v>
      </c>
      <c r="AG107" s="25">
        <v>73.970901076925429</v>
      </c>
      <c r="AH107" s="53">
        <v>74.04624277456648</v>
      </c>
      <c r="AI107" s="53">
        <v>73.71525623393444</v>
      </c>
      <c r="AJ107" s="53">
        <v>72.865176271652999</v>
      </c>
      <c r="AK107" s="53">
        <v>72.313733870401165</v>
      </c>
      <c r="AL107" s="53">
        <v>71.529924644961838</v>
      </c>
      <c r="AM107" s="53">
        <v>70.780075158804777</v>
      </c>
      <c r="AN107" s="53">
        <v>69.843062038209339</v>
      </c>
      <c r="AO107" s="53">
        <v>69.791727108033712</v>
      </c>
      <c r="AP107" s="53">
        <v>70.440982030663037</v>
      </c>
      <c r="AQ107" s="53">
        <v>70.589505219490974</v>
      </c>
      <c r="AR107" s="53">
        <v>70.223136065273678</v>
      </c>
      <c r="AS107" s="53">
        <v>71.25090431239056</v>
      </c>
      <c r="AT107" s="53">
        <v>70.742320076581677</v>
      </c>
      <c r="AU107" s="53">
        <v>70.857000288377719</v>
      </c>
      <c r="AV107" s="53" t="s">
        <v>44</v>
      </c>
      <c r="AW107" s="53" t="s">
        <v>44</v>
      </c>
      <c r="AX107" s="53" t="s">
        <v>44</v>
      </c>
      <c r="AY107" s="53">
        <v>72.524459696261673</v>
      </c>
      <c r="AZ107" s="53">
        <v>73.28062188659149</v>
      </c>
      <c r="BA107" s="53" t="s">
        <v>44</v>
      </c>
      <c r="BB107" s="53" t="s">
        <v>44</v>
      </c>
      <c r="BC107" s="53" t="s">
        <v>44</v>
      </c>
      <c r="BD107" s="53">
        <v>75.624901941207511</v>
      </c>
      <c r="BE107" s="53">
        <v>76.38042578120762</v>
      </c>
      <c r="BF107" s="53">
        <v>75.7</v>
      </c>
      <c r="BG107" s="53">
        <v>75.2</v>
      </c>
      <c r="BH107" s="53">
        <v>75.2</v>
      </c>
      <c r="BI107" s="53">
        <v>75.599999999999994</v>
      </c>
      <c r="BJ107" s="53">
        <v>76.099999999999994</v>
      </c>
      <c r="BK107" s="53">
        <v>76.099999999999994</v>
      </c>
      <c r="BL107" s="53"/>
      <c r="BM107" s="53"/>
      <c r="BN107" s="5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row>
    <row r="108" spans="1:103">
      <c r="A108" s="415"/>
      <c r="B108" s="417"/>
      <c r="C108" s="127" t="s">
        <v>53</v>
      </c>
      <c r="D108" s="129">
        <v>4.9116103232231874</v>
      </c>
      <c r="E108" s="129">
        <v>4.9361497452789092</v>
      </c>
      <c r="F108" s="129">
        <v>5.1502194470838427</v>
      </c>
      <c r="G108" s="129">
        <v>5.5165691521849141</v>
      </c>
      <c r="H108" s="129">
        <v>5.7946474938012447</v>
      </c>
      <c r="I108" s="129">
        <v>6.0507660157231067</v>
      </c>
      <c r="J108" s="129">
        <v>6.3280887154156069</v>
      </c>
      <c r="K108" s="129">
        <v>6.6476956993067509</v>
      </c>
      <c r="L108" s="129">
        <v>6.8711940150143276</v>
      </c>
      <c r="M108" s="129">
        <v>7.3449993025217708</v>
      </c>
      <c r="N108" s="129">
        <v>7.8868418873557014</v>
      </c>
      <c r="O108" s="129">
        <v>9.5110026578781817</v>
      </c>
      <c r="P108" s="129">
        <v>13.214237379889024</v>
      </c>
      <c r="Q108" s="129">
        <v>14.246856160382663</v>
      </c>
      <c r="R108" s="129">
        <v>15.336796945543215</v>
      </c>
      <c r="S108" s="129">
        <v>16.297094348910324</v>
      </c>
      <c r="T108" s="129">
        <v>17.438501172344491</v>
      </c>
      <c r="U108" s="129">
        <v>18.57611811713679</v>
      </c>
      <c r="V108" s="129">
        <v>19.957922646838437</v>
      </c>
      <c r="W108" s="129">
        <v>20.039599258383362</v>
      </c>
      <c r="X108" s="129">
        <v>20.437404109490831</v>
      </c>
      <c r="Y108" s="129">
        <v>20.84927333691931</v>
      </c>
      <c r="Z108" s="129">
        <v>21.220812307342495</v>
      </c>
      <c r="AA108" s="129">
        <v>21.680461151955118</v>
      </c>
      <c r="AB108" s="129">
        <v>21.749368367862555</v>
      </c>
      <c r="AC108" s="129">
        <v>21.991162936225091</v>
      </c>
      <c r="AD108" s="129">
        <v>22.603245680168758</v>
      </c>
      <c r="AE108" s="129">
        <v>21.994938897363152</v>
      </c>
      <c r="AF108" s="129">
        <v>23.076132287877673</v>
      </c>
      <c r="AG108" s="129">
        <v>23.118313854127877</v>
      </c>
      <c r="AH108" s="128">
        <v>23.148957140193389</v>
      </c>
      <c r="AI108" s="128">
        <v>23.487943866712033</v>
      </c>
      <c r="AJ108" s="128">
        <v>24.406412125399914</v>
      </c>
      <c r="AK108" s="128">
        <v>24.895786983911382</v>
      </c>
      <c r="AL108" s="128">
        <v>25.734379528547969</v>
      </c>
      <c r="AM108" s="128">
        <v>26.553680205802308</v>
      </c>
      <c r="AN108" s="128">
        <v>27.515479632394165</v>
      </c>
      <c r="AO108" s="128">
        <v>27.605264684834534</v>
      </c>
      <c r="AP108" s="128">
        <v>27.066047237997747</v>
      </c>
      <c r="AQ108" s="128">
        <v>26.996874615969684</v>
      </c>
      <c r="AR108" s="128">
        <v>27.448579983786185</v>
      </c>
      <c r="AS108" s="128">
        <v>26.501682807405054</v>
      </c>
      <c r="AT108" s="128">
        <v>26.998452326714347</v>
      </c>
      <c r="AU108" s="128">
        <v>26.92475933420387</v>
      </c>
      <c r="AV108" s="128" t="s">
        <v>44</v>
      </c>
      <c r="AW108" s="128" t="s">
        <v>44</v>
      </c>
      <c r="AX108" s="128" t="s">
        <v>44</v>
      </c>
      <c r="AY108" s="128">
        <v>25.331666179906541</v>
      </c>
      <c r="AZ108" s="128">
        <v>24.701279201784004</v>
      </c>
      <c r="BA108" s="128" t="s">
        <v>44</v>
      </c>
      <c r="BB108" s="128" t="s">
        <v>44</v>
      </c>
      <c r="BC108" s="128" t="s">
        <v>44</v>
      </c>
      <c r="BD108" s="128">
        <v>22.521073725948852</v>
      </c>
      <c r="BE108" s="128">
        <v>21.81107089000351</v>
      </c>
      <c r="BF108" s="128">
        <v>22.4</v>
      </c>
      <c r="BG108" s="128">
        <v>22.9</v>
      </c>
      <c r="BH108" s="128">
        <v>22.9</v>
      </c>
      <c r="BI108" s="128">
        <v>22.4</v>
      </c>
      <c r="BJ108" s="128">
        <v>22</v>
      </c>
      <c r="BK108" s="128">
        <v>21.9</v>
      </c>
      <c r="BL108" s="128"/>
      <c r="BM108" s="128"/>
      <c r="BN108" s="128"/>
      <c r="CX108" s="50"/>
      <c r="CY108" s="50"/>
    </row>
    <row r="109" spans="1:103" s="2" customFormat="1">
      <c r="A109" s="415"/>
      <c r="B109" s="417"/>
      <c r="C109" s="133" t="s">
        <v>55</v>
      </c>
      <c r="D109" s="130">
        <v>4.9648372197013195</v>
      </c>
      <c r="E109" s="130">
        <v>4.9008942309387287</v>
      </c>
      <c r="F109" s="130">
        <v>4.8659185858860079</v>
      </c>
      <c r="G109" s="130">
        <v>4.7472559250330937</v>
      </c>
      <c r="H109" s="130">
        <v>4.7521351267666763</v>
      </c>
      <c r="I109" s="130">
        <v>4.4083221578281453</v>
      </c>
      <c r="J109" s="130">
        <v>4.4345124381410397</v>
      </c>
      <c r="K109" s="130">
        <v>4.4814070855310506</v>
      </c>
      <c r="L109" s="130">
        <v>4.287230042484409</v>
      </c>
      <c r="M109" s="130">
        <v>4.3345504143906366</v>
      </c>
      <c r="N109" s="130">
        <v>4.1818563994335296</v>
      </c>
      <c r="O109" s="130">
        <v>4.3209567490732255</v>
      </c>
      <c r="P109" s="130">
        <v>4.5210656172897341</v>
      </c>
      <c r="Q109" s="130">
        <v>4.7149328248817968</v>
      </c>
      <c r="R109" s="130">
        <v>4.5375688100727407</v>
      </c>
      <c r="S109" s="130">
        <v>4.4965147975982056</v>
      </c>
      <c r="T109" s="130">
        <v>4.5723898094693913</v>
      </c>
      <c r="U109" s="130">
        <v>4.407235763904362</v>
      </c>
      <c r="V109" s="130">
        <v>4.1487741848713666</v>
      </c>
      <c r="W109" s="130">
        <v>3.9371400748812144</v>
      </c>
      <c r="X109" s="130">
        <v>3.813634256272016</v>
      </c>
      <c r="Y109" s="130">
        <v>3.7518285969948169</v>
      </c>
      <c r="Z109" s="130">
        <v>3.6571658902230109</v>
      </c>
      <c r="AA109" s="130">
        <v>3.5330065812795732</v>
      </c>
      <c r="AB109" s="130">
        <v>3.3508084891359271</v>
      </c>
      <c r="AC109" s="130">
        <v>3.2260115945125754</v>
      </c>
      <c r="AD109" s="130">
        <v>3.1837416452801066</v>
      </c>
      <c r="AE109" s="130">
        <v>2.9475771290430397</v>
      </c>
      <c r="AF109" s="130">
        <v>2.9715021106257251</v>
      </c>
      <c r="AG109" s="130">
        <v>2.9110401436580777</v>
      </c>
      <c r="AH109" s="131">
        <v>2.8048000852401374</v>
      </c>
      <c r="AI109" s="131">
        <v>2.7967998993535179</v>
      </c>
      <c r="AJ109" s="131">
        <v>2.7284116029470833</v>
      </c>
      <c r="AK109" s="131">
        <v>2.7904791456874545</v>
      </c>
      <c r="AL109" s="131">
        <v>2.7356958264901943</v>
      </c>
      <c r="AM109" s="131">
        <v>2.6662446353929079</v>
      </c>
      <c r="AN109" s="131">
        <v>2.641458329396499</v>
      </c>
      <c r="AO109" s="131">
        <v>2.6030082071317588</v>
      </c>
      <c r="AP109" s="131">
        <v>2.4929707313392191</v>
      </c>
      <c r="AQ109" s="131">
        <v>2.4136201645393465</v>
      </c>
      <c r="AR109" s="131">
        <v>2.3282839509401394</v>
      </c>
      <c r="AS109" s="131">
        <v>2.2474128802043833</v>
      </c>
      <c r="AT109" s="131">
        <v>2.2590569601785537</v>
      </c>
      <c r="AU109" s="131">
        <v>2.2182403774184034</v>
      </c>
      <c r="AV109" s="131" t="s">
        <v>44</v>
      </c>
      <c r="AW109" s="131" t="s">
        <v>44</v>
      </c>
      <c r="AX109" s="131" t="s">
        <v>44</v>
      </c>
      <c r="AY109" s="131">
        <v>2.1438741238317758</v>
      </c>
      <c r="AZ109" s="131">
        <v>2.0180989116245014</v>
      </c>
      <c r="BA109" s="131" t="s">
        <v>44</v>
      </c>
      <c r="BB109" s="131" t="s">
        <v>44</v>
      </c>
      <c r="BC109" s="131" t="s">
        <v>44</v>
      </c>
      <c r="BD109" s="131">
        <v>1.8540243328436334</v>
      </c>
      <c r="BE109" s="131">
        <v>1.8085033287888705</v>
      </c>
      <c r="BF109" s="131">
        <v>1.9</v>
      </c>
      <c r="BG109" s="131">
        <v>1.9</v>
      </c>
      <c r="BH109" s="131">
        <v>1.9</v>
      </c>
      <c r="BI109" s="131">
        <v>1.9</v>
      </c>
      <c r="BJ109" s="131">
        <v>1.9</v>
      </c>
      <c r="BK109" s="131">
        <v>2</v>
      </c>
      <c r="BL109" s="131"/>
      <c r="BM109" s="131"/>
      <c r="BN109" s="131"/>
      <c r="BO109" s="382"/>
      <c r="BP109" s="382"/>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row>
    <row r="110" spans="1:103">
      <c r="A110" s="414" t="s">
        <v>8</v>
      </c>
      <c r="B110" s="416"/>
      <c r="C110" s="22" t="s">
        <v>52</v>
      </c>
      <c r="D110" s="25" t="s">
        <v>44</v>
      </c>
      <c r="E110" s="25" t="s">
        <v>44</v>
      </c>
      <c r="F110" s="25" t="s">
        <v>44</v>
      </c>
      <c r="G110" s="25" t="s">
        <v>44</v>
      </c>
      <c r="H110" s="25" t="s">
        <v>44</v>
      </c>
      <c r="I110" s="25" t="s">
        <v>44</v>
      </c>
      <c r="J110" s="25" t="s">
        <v>44</v>
      </c>
      <c r="K110" s="25" t="s">
        <v>44</v>
      </c>
      <c r="L110" s="25" t="s">
        <v>44</v>
      </c>
      <c r="M110" s="25" t="s">
        <v>44</v>
      </c>
      <c r="N110" s="25" t="s">
        <v>44</v>
      </c>
      <c r="O110" s="25" t="s">
        <v>44</v>
      </c>
      <c r="P110" s="25" t="s">
        <v>44</v>
      </c>
      <c r="Q110" s="25" t="s">
        <v>44</v>
      </c>
      <c r="R110" s="25" t="s">
        <v>44</v>
      </c>
      <c r="S110" s="25" t="s">
        <v>44</v>
      </c>
      <c r="T110" s="25" t="s">
        <v>44</v>
      </c>
      <c r="U110" s="25" t="s">
        <v>44</v>
      </c>
      <c r="V110" s="25" t="s">
        <v>44</v>
      </c>
      <c r="W110" s="25" t="s">
        <v>44</v>
      </c>
      <c r="X110" s="25" t="s">
        <v>44</v>
      </c>
      <c r="Y110" s="25" t="s">
        <v>44</v>
      </c>
      <c r="Z110" s="25" t="s">
        <v>44</v>
      </c>
      <c r="AA110" s="25" t="s">
        <v>44</v>
      </c>
      <c r="AB110" s="25" t="s">
        <v>44</v>
      </c>
      <c r="AC110" s="25" t="s">
        <v>44</v>
      </c>
      <c r="AD110" s="25" t="s">
        <v>44</v>
      </c>
      <c r="AE110" s="25" t="s">
        <v>44</v>
      </c>
      <c r="AF110" s="25" t="s">
        <v>44</v>
      </c>
      <c r="AG110" s="25" t="s">
        <v>44</v>
      </c>
      <c r="AH110" s="53" t="s">
        <v>44</v>
      </c>
      <c r="AI110" s="53" t="s">
        <v>44</v>
      </c>
      <c r="AJ110" s="53" t="s">
        <v>44</v>
      </c>
      <c r="AK110" s="53" t="s">
        <v>44</v>
      </c>
      <c r="AL110" s="53" t="s">
        <v>44</v>
      </c>
      <c r="AM110" s="53" t="s">
        <v>44</v>
      </c>
      <c r="AN110" s="53" t="s">
        <v>44</v>
      </c>
      <c r="AO110" s="53" t="s">
        <v>44</v>
      </c>
      <c r="AP110" s="53" t="s">
        <v>44</v>
      </c>
      <c r="AQ110" s="53" t="s">
        <v>44</v>
      </c>
      <c r="AR110" s="53" t="s">
        <v>44</v>
      </c>
      <c r="AS110" s="53" t="s">
        <v>44</v>
      </c>
      <c r="AT110" s="53" t="s">
        <v>44</v>
      </c>
      <c r="AU110" s="53" t="s">
        <v>44</v>
      </c>
      <c r="AV110" s="53" t="s">
        <v>44</v>
      </c>
      <c r="AW110" s="53" t="s">
        <v>44</v>
      </c>
      <c r="AX110" s="53" t="s">
        <v>44</v>
      </c>
      <c r="AY110" s="53" t="s">
        <v>44</v>
      </c>
      <c r="AZ110" s="53" t="s">
        <v>44</v>
      </c>
      <c r="BA110" s="53" t="s">
        <v>44</v>
      </c>
      <c r="BB110" s="53" t="s">
        <v>44</v>
      </c>
      <c r="BC110" s="53" t="s">
        <v>44</v>
      </c>
      <c r="BD110" s="53" t="s">
        <v>44</v>
      </c>
      <c r="BE110" s="53" t="s">
        <v>44</v>
      </c>
      <c r="BF110" s="53" t="s">
        <v>44</v>
      </c>
      <c r="BG110" s="53" t="s">
        <v>44</v>
      </c>
      <c r="BH110" s="53" t="s">
        <v>44</v>
      </c>
      <c r="BI110" s="53" t="s">
        <v>44</v>
      </c>
      <c r="BJ110" s="53" t="s">
        <v>44</v>
      </c>
      <c r="BK110" s="53" t="s">
        <v>44</v>
      </c>
      <c r="BL110" s="53"/>
      <c r="BM110" s="53"/>
      <c r="BN110" s="53"/>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row>
    <row r="111" spans="1:103">
      <c r="A111" s="415"/>
      <c r="B111" s="417"/>
      <c r="C111" s="127" t="s">
        <v>53</v>
      </c>
      <c r="D111" s="129" t="s">
        <v>44</v>
      </c>
      <c r="E111" s="129" t="s">
        <v>44</v>
      </c>
      <c r="F111" s="129" t="s">
        <v>44</v>
      </c>
      <c r="G111" s="129" t="s">
        <v>44</v>
      </c>
      <c r="H111" s="129" t="s">
        <v>44</v>
      </c>
      <c r="I111" s="129" t="s">
        <v>44</v>
      </c>
      <c r="J111" s="129" t="s">
        <v>44</v>
      </c>
      <c r="K111" s="129" t="s">
        <v>44</v>
      </c>
      <c r="L111" s="129" t="s">
        <v>44</v>
      </c>
      <c r="M111" s="129" t="s">
        <v>44</v>
      </c>
      <c r="N111" s="129" t="s">
        <v>44</v>
      </c>
      <c r="O111" s="129" t="s">
        <v>44</v>
      </c>
      <c r="P111" s="129" t="s">
        <v>44</v>
      </c>
      <c r="Q111" s="129" t="s">
        <v>44</v>
      </c>
      <c r="R111" s="129" t="s">
        <v>44</v>
      </c>
      <c r="S111" s="129" t="s">
        <v>44</v>
      </c>
      <c r="T111" s="129" t="s">
        <v>44</v>
      </c>
      <c r="U111" s="129" t="s">
        <v>44</v>
      </c>
      <c r="V111" s="129" t="s">
        <v>44</v>
      </c>
      <c r="W111" s="129" t="s">
        <v>44</v>
      </c>
      <c r="X111" s="129" t="s">
        <v>44</v>
      </c>
      <c r="Y111" s="129" t="s">
        <v>44</v>
      </c>
      <c r="Z111" s="129" t="s">
        <v>44</v>
      </c>
      <c r="AA111" s="129" t="s">
        <v>44</v>
      </c>
      <c r="AB111" s="129" t="s">
        <v>44</v>
      </c>
      <c r="AC111" s="129" t="s">
        <v>44</v>
      </c>
      <c r="AD111" s="129" t="s">
        <v>44</v>
      </c>
      <c r="AE111" s="129" t="s">
        <v>44</v>
      </c>
      <c r="AF111" s="129" t="s">
        <v>44</v>
      </c>
      <c r="AG111" s="129" t="s">
        <v>44</v>
      </c>
      <c r="AH111" s="128" t="s">
        <v>44</v>
      </c>
      <c r="AI111" s="128" t="s">
        <v>44</v>
      </c>
      <c r="AJ111" s="128" t="s">
        <v>44</v>
      </c>
      <c r="AK111" s="128" t="s">
        <v>44</v>
      </c>
      <c r="AL111" s="128" t="s">
        <v>44</v>
      </c>
      <c r="AM111" s="128" t="s">
        <v>44</v>
      </c>
      <c r="AN111" s="128" t="s">
        <v>44</v>
      </c>
      <c r="AO111" s="128" t="s">
        <v>44</v>
      </c>
      <c r="AP111" s="128" t="s">
        <v>44</v>
      </c>
      <c r="AQ111" s="128" t="s">
        <v>44</v>
      </c>
      <c r="AR111" s="128" t="s">
        <v>44</v>
      </c>
      <c r="AS111" s="128" t="s">
        <v>44</v>
      </c>
      <c r="AT111" s="128" t="s">
        <v>44</v>
      </c>
      <c r="AU111" s="128" t="s">
        <v>44</v>
      </c>
      <c r="AV111" s="128" t="s">
        <v>44</v>
      </c>
      <c r="AW111" s="128" t="s">
        <v>44</v>
      </c>
      <c r="AX111" s="128" t="s">
        <v>44</v>
      </c>
      <c r="AY111" s="128" t="s">
        <v>44</v>
      </c>
      <c r="AZ111" s="128" t="s">
        <v>44</v>
      </c>
      <c r="BA111" s="128" t="s">
        <v>44</v>
      </c>
      <c r="BB111" s="128" t="s">
        <v>44</v>
      </c>
      <c r="BC111" s="128" t="s">
        <v>44</v>
      </c>
      <c r="BD111" s="128" t="s">
        <v>44</v>
      </c>
      <c r="BE111" s="128" t="s">
        <v>44</v>
      </c>
      <c r="BF111" s="128" t="s">
        <v>44</v>
      </c>
      <c r="BG111" s="128" t="s">
        <v>44</v>
      </c>
      <c r="BH111" s="128" t="s">
        <v>44</v>
      </c>
      <c r="BI111" s="128" t="s">
        <v>44</v>
      </c>
      <c r="BJ111" s="128" t="s">
        <v>44</v>
      </c>
      <c r="BK111" s="128" t="s">
        <v>44</v>
      </c>
      <c r="BL111" s="128"/>
      <c r="BM111" s="128"/>
      <c r="BN111" s="128"/>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row>
    <row r="112" spans="1:103">
      <c r="A112" s="418"/>
      <c r="B112" s="419"/>
      <c r="C112" s="27" t="s">
        <v>55</v>
      </c>
      <c r="D112" s="28" t="s">
        <v>44</v>
      </c>
      <c r="E112" s="28" t="s">
        <v>44</v>
      </c>
      <c r="F112" s="28" t="s">
        <v>44</v>
      </c>
      <c r="G112" s="28" t="s">
        <v>44</v>
      </c>
      <c r="H112" s="28" t="s">
        <v>44</v>
      </c>
      <c r="I112" s="28" t="s">
        <v>44</v>
      </c>
      <c r="J112" s="28" t="s">
        <v>44</v>
      </c>
      <c r="K112" s="28" t="s">
        <v>44</v>
      </c>
      <c r="L112" s="28" t="s">
        <v>44</v>
      </c>
      <c r="M112" s="28" t="s">
        <v>44</v>
      </c>
      <c r="N112" s="28" t="s">
        <v>44</v>
      </c>
      <c r="O112" s="28" t="s">
        <v>44</v>
      </c>
      <c r="P112" s="28" t="s">
        <v>44</v>
      </c>
      <c r="Q112" s="28" t="s">
        <v>44</v>
      </c>
      <c r="R112" s="28" t="s">
        <v>44</v>
      </c>
      <c r="S112" s="28" t="s">
        <v>44</v>
      </c>
      <c r="T112" s="28" t="s">
        <v>44</v>
      </c>
      <c r="U112" s="28" t="s">
        <v>44</v>
      </c>
      <c r="V112" s="28" t="s">
        <v>44</v>
      </c>
      <c r="W112" s="28" t="s">
        <v>44</v>
      </c>
      <c r="X112" s="28" t="s">
        <v>44</v>
      </c>
      <c r="Y112" s="28" t="s">
        <v>44</v>
      </c>
      <c r="Z112" s="28" t="s">
        <v>44</v>
      </c>
      <c r="AA112" s="28" t="s">
        <v>44</v>
      </c>
      <c r="AB112" s="28" t="s">
        <v>44</v>
      </c>
      <c r="AC112" s="28" t="s">
        <v>44</v>
      </c>
      <c r="AD112" s="28" t="s">
        <v>44</v>
      </c>
      <c r="AE112" s="28" t="s">
        <v>44</v>
      </c>
      <c r="AF112" s="28" t="s">
        <v>44</v>
      </c>
      <c r="AG112" s="28" t="s">
        <v>44</v>
      </c>
      <c r="AH112" s="54" t="s">
        <v>44</v>
      </c>
      <c r="AI112" s="54" t="s">
        <v>44</v>
      </c>
      <c r="AJ112" s="54" t="s">
        <v>44</v>
      </c>
      <c r="AK112" s="54" t="s">
        <v>44</v>
      </c>
      <c r="AL112" s="54" t="s">
        <v>44</v>
      </c>
      <c r="AM112" s="54" t="s">
        <v>44</v>
      </c>
      <c r="AN112" s="54" t="s">
        <v>44</v>
      </c>
      <c r="AO112" s="54" t="s">
        <v>44</v>
      </c>
      <c r="AP112" s="54" t="s">
        <v>44</v>
      </c>
      <c r="AQ112" s="54" t="s">
        <v>44</v>
      </c>
      <c r="AR112" s="54" t="s">
        <v>44</v>
      </c>
      <c r="AS112" s="54" t="s">
        <v>44</v>
      </c>
      <c r="AT112" s="54" t="s">
        <v>44</v>
      </c>
      <c r="AU112" s="54" t="s">
        <v>44</v>
      </c>
      <c r="AV112" s="54" t="s">
        <v>44</v>
      </c>
      <c r="AW112" s="54" t="s">
        <v>44</v>
      </c>
      <c r="AX112" s="54" t="s">
        <v>44</v>
      </c>
      <c r="AY112" s="54" t="s">
        <v>44</v>
      </c>
      <c r="AZ112" s="54" t="s">
        <v>44</v>
      </c>
      <c r="BA112" s="54" t="s">
        <v>44</v>
      </c>
      <c r="BB112" s="54" t="s">
        <v>44</v>
      </c>
      <c r="BC112" s="54" t="s">
        <v>44</v>
      </c>
      <c r="BD112" s="54" t="s">
        <v>44</v>
      </c>
      <c r="BE112" s="54" t="s">
        <v>44</v>
      </c>
      <c r="BF112" s="54" t="s">
        <v>44</v>
      </c>
      <c r="BG112" s="54" t="s">
        <v>44</v>
      </c>
      <c r="BH112" s="54" t="s">
        <v>44</v>
      </c>
      <c r="BI112" s="54" t="s">
        <v>44</v>
      </c>
      <c r="BJ112" s="54" t="s">
        <v>44</v>
      </c>
      <c r="BK112" s="54" t="s">
        <v>44</v>
      </c>
      <c r="BL112" s="54"/>
      <c r="BM112" s="54"/>
      <c r="BN112" s="54"/>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row>
    <row r="113" spans="1:103" s="2" customFormat="1">
      <c r="A113" s="415" t="s">
        <v>7</v>
      </c>
      <c r="B113" s="417"/>
      <c r="C113" s="133" t="s">
        <v>52</v>
      </c>
      <c r="D113" s="130" t="s">
        <v>44</v>
      </c>
      <c r="E113" s="130" t="s">
        <v>44</v>
      </c>
      <c r="F113" s="130" t="s">
        <v>44</v>
      </c>
      <c r="G113" s="130" t="s">
        <v>44</v>
      </c>
      <c r="H113" s="130" t="s">
        <v>44</v>
      </c>
      <c r="I113" s="130" t="s">
        <v>44</v>
      </c>
      <c r="J113" s="130" t="s">
        <v>44</v>
      </c>
      <c r="K113" s="130" t="s">
        <v>44</v>
      </c>
      <c r="L113" s="130" t="s">
        <v>44</v>
      </c>
      <c r="M113" s="130" t="s">
        <v>44</v>
      </c>
      <c r="N113" s="130" t="s">
        <v>44</v>
      </c>
      <c r="O113" s="130" t="s">
        <v>44</v>
      </c>
      <c r="P113" s="130" t="s">
        <v>44</v>
      </c>
      <c r="Q113" s="130" t="s">
        <v>44</v>
      </c>
      <c r="R113" s="130" t="s">
        <v>44</v>
      </c>
      <c r="S113" s="130" t="s">
        <v>44</v>
      </c>
      <c r="T113" s="130" t="s">
        <v>44</v>
      </c>
      <c r="U113" s="130" t="s">
        <v>44</v>
      </c>
      <c r="V113" s="130" t="s">
        <v>44</v>
      </c>
      <c r="W113" s="130" t="s">
        <v>44</v>
      </c>
      <c r="X113" s="130" t="s">
        <v>44</v>
      </c>
      <c r="Y113" s="130" t="s">
        <v>44</v>
      </c>
      <c r="Z113" s="130" t="s">
        <v>44</v>
      </c>
      <c r="AA113" s="130" t="s">
        <v>44</v>
      </c>
      <c r="AB113" s="130" t="s">
        <v>44</v>
      </c>
      <c r="AC113" s="130" t="s">
        <v>44</v>
      </c>
      <c r="AD113" s="130" t="s">
        <v>44</v>
      </c>
      <c r="AE113" s="130" t="s">
        <v>44</v>
      </c>
      <c r="AF113" s="130" t="s">
        <v>44</v>
      </c>
      <c r="AG113" s="130" t="s">
        <v>44</v>
      </c>
      <c r="AH113" s="131" t="s">
        <v>44</v>
      </c>
      <c r="AI113" s="131" t="s">
        <v>44</v>
      </c>
      <c r="AJ113" s="131" t="s">
        <v>44</v>
      </c>
      <c r="AK113" s="131" t="s">
        <v>44</v>
      </c>
      <c r="AL113" s="131" t="s">
        <v>44</v>
      </c>
      <c r="AM113" s="131">
        <v>88.726729175159676</v>
      </c>
      <c r="AN113" s="131">
        <v>88.464014780393583</v>
      </c>
      <c r="AO113" s="131">
        <v>88.024847578511441</v>
      </c>
      <c r="AP113" s="131">
        <v>89.104041369231638</v>
      </c>
      <c r="AQ113" s="131">
        <v>88.492408437644883</v>
      </c>
      <c r="AR113" s="131">
        <v>87.520293941724347</v>
      </c>
      <c r="AS113" s="131">
        <v>88.118098519852765</v>
      </c>
      <c r="AT113" s="131">
        <v>88.87230172620886</v>
      </c>
      <c r="AU113" s="131">
        <v>88.056935766878212</v>
      </c>
      <c r="AV113" s="131">
        <v>87.800207711281317</v>
      </c>
      <c r="AW113" s="131">
        <v>87.376025284069541</v>
      </c>
      <c r="AX113" s="131">
        <v>87.757674511552125</v>
      </c>
      <c r="AY113" s="131">
        <v>93.538306813692046</v>
      </c>
      <c r="AZ113" s="131">
        <v>88.587252587615765</v>
      </c>
      <c r="BA113" s="131">
        <v>88.789613018765095</v>
      </c>
      <c r="BB113" s="131">
        <v>88.028022184229187</v>
      </c>
      <c r="BC113" s="131">
        <v>88.14526162585976</v>
      </c>
      <c r="BD113" s="131">
        <v>88.141361256544499</v>
      </c>
      <c r="BE113" s="131">
        <v>88.069717374375884</v>
      </c>
      <c r="BF113" s="131">
        <v>88.205980066445179</v>
      </c>
      <c r="BG113" s="131">
        <v>88.708269692341261</v>
      </c>
      <c r="BH113" s="131">
        <v>88.718731163351421</v>
      </c>
      <c r="BI113" s="131">
        <v>87.57052154997082</v>
      </c>
      <c r="BJ113" s="131">
        <v>87.679258481986707</v>
      </c>
      <c r="BK113" s="131">
        <v>87.0065105970356</v>
      </c>
      <c r="BL113" s="131">
        <v>86.2</v>
      </c>
      <c r="BM113" s="131" t="s">
        <v>44</v>
      </c>
      <c r="BN113" s="131"/>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row>
    <row r="114" spans="1:103">
      <c r="A114" s="415"/>
      <c r="B114" s="417"/>
      <c r="C114" s="127" t="s">
        <v>53</v>
      </c>
      <c r="D114" s="129" t="s">
        <v>44</v>
      </c>
      <c r="E114" s="129" t="s">
        <v>44</v>
      </c>
      <c r="F114" s="129" t="s">
        <v>44</v>
      </c>
      <c r="G114" s="129" t="s">
        <v>44</v>
      </c>
      <c r="H114" s="129" t="s">
        <v>44</v>
      </c>
      <c r="I114" s="129" t="s">
        <v>44</v>
      </c>
      <c r="J114" s="129" t="s">
        <v>44</v>
      </c>
      <c r="K114" s="129" t="s">
        <v>44</v>
      </c>
      <c r="L114" s="129" t="s">
        <v>44</v>
      </c>
      <c r="M114" s="129" t="s">
        <v>44</v>
      </c>
      <c r="N114" s="129" t="s">
        <v>44</v>
      </c>
      <c r="O114" s="129" t="s">
        <v>44</v>
      </c>
      <c r="P114" s="129" t="s">
        <v>44</v>
      </c>
      <c r="Q114" s="129" t="s">
        <v>44</v>
      </c>
      <c r="R114" s="129" t="s">
        <v>44</v>
      </c>
      <c r="S114" s="129" t="s">
        <v>44</v>
      </c>
      <c r="T114" s="129" t="s">
        <v>44</v>
      </c>
      <c r="U114" s="129" t="s">
        <v>44</v>
      </c>
      <c r="V114" s="129" t="s">
        <v>44</v>
      </c>
      <c r="W114" s="129" t="s">
        <v>44</v>
      </c>
      <c r="X114" s="129" t="s">
        <v>44</v>
      </c>
      <c r="Y114" s="129" t="s">
        <v>44</v>
      </c>
      <c r="Z114" s="129" t="s">
        <v>44</v>
      </c>
      <c r="AA114" s="129" t="s">
        <v>44</v>
      </c>
      <c r="AB114" s="129" t="s">
        <v>44</v>
      </c>
      <c r="AC114" s="129" t="s">
        <v>44</v>
      </c>
      <c r="AD114" s="129" t="s">
        <v>44</v>
      </c>
      <c r="AE114" s="129" t="s">
        <v>44</v>
      </c>
      <c r="AF114" s="129" t="s">
        <v>44</v>
      </c>
      <c r="AG114" s="129" t="s">
        <v>44</v>
      </c>
      <c r="AH114" s="128" t="s">
        <v>44</v>
      </c>
      <c r="AI114" s="128" t="s">
        <v>44</v>
      </c>
      <c r="AJ114" s="128" t="s">
        <v>44</v>
      </c>
      <c r="AK114" s="128" t="s">
        <v>44</v>
      </c>
      <c r="AL114" s="128" t="s">
        <v>44</v>
      </c>
      <c r="AM114" s="128">
        <v>10.050278570457943</v>
      </c>
      <c r="AN114" s="128">
        <v>10.281891218542675</v>
      </c>
      <c r="AO114" s="128">
        <v>10.806108363050731</v>
      </c>
      <c r="AP114" s="128">
        <v>9.7563374740037094</v>
      </c>
      <c r="AQ114" s="128">
        <v>10.445642095503013</v>
      </c>
      <c r="AR114" s="128">
        <v>11.350366003019168</v>
      </c>
      <c r="AS114" s="128">
        <v>10.918631059597462</v>
      </c>
      <c r="AT114" s="128">
        <v>10.214832355262708</v>
      </c>
      <c r="AU114" s="128">
        <v>10.939472950591169</v>
      </c>
      <c r="AV114" s="128">
        <v>11.185577047903413</v>
      </c>
      <c r="AW114" s="128">
        <v>11.719467228534878</v>
      </c>
      <c r="AX114" s="128">
        <v>11.332298279864112</v>
      </c>
      <c r="AY114" s="128" t="s">
        <v>44</v>
      </c>
      <c r="AZ114" s="128">
        <v>10.575631015071727</v>
      </c>
      <c r="BA114" s="128">
        <v>10.402553920423577</v>
      </c>
      <c r="BB114" s="128">
        <v>11.140069221466995</v>
      </c>
      <c r="BC114" s="128">
        <v>11.047207680931477</v>
      </c>
      <c r="BD114" s="128">
        <v>11.120894811994289</v>
      </c>
      <c r="BE114" s="128">
        <v>11.172186340524942</v>
      </c>
      <c r="BF114" s="128">
        <v>11.016775357860629</v>
      </c>
      <c r="BG114" s="128">
        <v>10.568041312095424</v>
      </c>
      <c r="BH114" s="128">
        <v>10.614451476793249</v>
      </c>
      <c r="BI114" s="128">
        <v>11.661921015864033</v>
      </c>
      <c r="BJ114" s="128">
        <v>11.589716684155299</v>
      </c>
      <c r="BK114" s="128">
        <v>12.233342568222746</v>
      </c>
      <c r="BL114" s="128"/>
      <c r="BM114" s="128"/>
      <c r="BN114" s="128"/>
      <c r="CX114" s="50"/>
      <c r="CY114" s="50"/>
    </row>
    <row r="115" spans="1:103" s="2" customFormat="1">
      <c r="A115" s="415"/>
      <c r="B115" s="417"/>
      <c r="C115" s="133" t="s">
        <v>55</v>
      </c>
      <c r="D115" s="130" t="s">
        <v>44</v>
      </c>
      <c r="E115" s="130" t="s">
        <v>44</v>
      </c>
      <c r="F115" s="130" t="s">
        <v>44</v>
      </c>
      <c r="G115" s="130" t="s">
        <v>44</v>
      </c>
      <c r="H115" s="130" t="s">
        <v>44</v>
      </c>
      <c r="I115" s="130" t="s">
        <v>44</v>
      </c>
      <c r="J115" s="130" t="s">
        <v>44</v>
      </c>
      <c r="K115" s="130" t="s">
        <v>44</v>
      </c>
      <c r="L115" s="130" t="s">
        <v>44</v>
      </c>
      <c r="M115" s="130" t="s">
        <v>44</v>
      </c>
      <c r="N115" s="130" t="s">
        <v>44</v>
      </c>
      <c r="O115" s="130" t="s">
        <v>44</v>
      </c>
      <c r="P115" s="130" t="s">
        <v>44</v>
      </c>
      <c r="Q115" s="130" t="s">
        <v>44</v>
      </c>
      <c r="R115" s="130" t="s">
        <v>44</v>
      </c>
      <c r="S115" s="130" t="s">
        <v>44</v>
      </c>
      <c r="T115" s="130" t="s">
        <v>44</v>
      </c>
      <c r="U115" s="130" t="s">
        <v>44</v>
      </c>
      <c r="V115" s="130" t="s">
        <v>44</v>
      </c>
      <c r="W115" s="130" t="s">
        <v>44</v>
      </c>
      <c r="X115" s="130" t="s">
        <v>44</v>
      </c>
      <c r="Y115" s="130" t="s">
        <v>44</v>
      </c>
      <c r="Z115" s="130" t="s">
        <v>44</v>
      </c>
      <c r="AA115" s="130" t="s">
        <v>44</v>
      </c>
      <c r="AB115" s="130" t="s">
        <v>44</v>
      </c>
      <c r="AC115" s="130" t="s">
        <v>44</v>
      </c>
      <c r="AD115" s="130" t="s">
        <v>44</v>
      </c>
      <c r="AE115" s="130" t="s">
        <v>44</v>
      </c>
      <c r="AF115" s="130" t="s">
        <v>44</v>
      </c>
      <c r="AG115" s="130" t="s">
        <v>44</v>
      </c>
      <c r="AH115" s="131" t="s">
        <v>44</v>
      </c>
      <c r="AI115" s="131" t="s">
        <v>44</v>
      </c>
      <c r="AJ115" s="131" t="s">
        <v>44</v>
      </c>
      <c r="AK115" s="131" t="s">
        <v>44</v>
      </c>
      <c r="AL115" s="131" t="s">
        <v>44</v>
      </c>
      <c r="AM115" s="131">
        <v>1.222992254382389</v>
      </c>
      <c r="AN115" s="131">
        <v>1.2540940010637405</v>
      </c>
      <c r="AO115" s="131">
        <v>1.1690440584378234</v>
      </c>
      <c r="AP115" s="131">
        <v>1.1396211567646564</v>
      </c>
      <c r="AQ115" s="131">
        <v>1.0619494668521094</v>
      </c>
      <c r="AR115" s="131">
        <v>1.129340055256487</v>
      </c>
      <c r="AS115" s="131">
        <v>0.96327042054976886</v>
      </c>
      <c r="AT115" s="131">
        <v>0.91286591852843268</v>
      </c>
      <c r="AU115" s="131">
        <v>1.0035912825306244</v>
      </c>
      <c r="AV115" s="131">
        <v>1.0158379852005712</v>
      </c>
      <c r="AW115" s="131">
        <v>0.90450748739559028</v>
      </c>
      <c r="AX115" s="131">
        <v>0.91002720858377006</v>
      </c>
      <c r="AY115" s="131" t="s">
        <v>44</v>
      </c>
      <c r="AZ115" s="131">
        <v>0.83711639731251131</v>
      </c>
      <c r="BA115" s="131">
        <v>0.80783306081133688</v>
      </c>
      <c r="BB115" s="131">
        <v>0.8319085943038238</v>
      </c>
      <c r="BC115" s="131">
        <v>0.80753069320876081</v>
      </c>
      <c r="BD115" s="131">
        <v>0.73774393146120898</v>
      </c>
      <c r="BE115" s="131">
        <v>0.75809628509917082</v>
      </c>
      <c r="BF115" s="131">
        <v>0.77724457569418814</v>
      </c>
      <c r="BG115" s="131">
        <v>0.72368899556331368</v>
      </c>
      <c r="BH115" s="131">
        <v>0.66681735985533452</v>
      </c>
      <c r="BI115" s="131">
        <v>0.76755743416514866</v>
      </c>
      <c r="BJ115" s="131">
        <v>0.73102483385799233</v>
      </c>
      <c r="BK115" s="131">
        <v>0.76014683474165401</v>
      </c>
      <c r="BL115" s="131"/>
      <c r="BM115" s="131"/>
      <c r="BN115" s="131"/>
      <c r="BO115" s="382"/>
      <c r="BP115" s="382"/>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row>
    <row r="116" spans="1:103" s="2" customFormat="1">
      <c r="A116" s="414" t="s">
        <v>6</v>
      </c>
      <c r="B116" s="416"/>
      <c r="C116" s="22" t="s">
        <v>52</v>
      </c>
      <c r="D116" s="25" t="s">
        <v>44</v>
      </c>
      <c r="E116" s="25" t="s">
        <v>44</v>
      </c>
      <c r="F116" s="25" t="s">
        <v>44</v>
      </c>
      <c r="G116" s="25" t="s">
        <v>44</v>
      </c>
      <c r="H116" s="25" t="s">
        <v>44</v>
      </c>
      <c r="I116" s="25" t="s">
        <v>44</v>
      </c>
      <c r="J116" s="25" t="s">
        <v>44</v>
      </c>
      <c r="K116" s="25" t="s">
        <v>44</v>
      </c>
      <c r="L116" s="25" t="s">
        <v>44</v>
      </c>
      <c r="M116" s="25" t="s">
        <v>44</v>
      </c>
      <c r="N116" s="25" t="s">
        <v>44</v>
      </c>
      <c r="O116" s="25" t="s">
        <v>44</v>
      </c>
      <c r="P116" s="25" t="s">
        <v>44</v>
      </c>
      <c r="Q116" s="25" t="s">
        <v>44</v>
      </c>
      <c r="R116" s="25" t="s">
        <v>44</v>
      </c>
      <c r="S116" s="25" t="s">
        <v>44</v>
      </c>
      <c r="T116" s="25" t="s">
        <v>44</v>
      </c>
      <c r="U116" s="25" t="s">
        <v>44</v>
      </c>
      <c r="V116" s="25" t="s">
        <v>44</v>
      </c>
      <c r="W116" s="25" t="s">
        <v>44</v>
      </c>
      <c r="X116" s="25" t="s">
        <v>44</v>
      </c>
      <c r="Y116" s="25" t="s">
        <v>44</v>
      </c>
      <c r="Z116" s="25" t="s">
        <v>44</v>
      </c>
      <c r="AA116" s="25" t="s">
        <v>44</v>
      </c>
      <c r="AB116" s="25" t="s">
        <v>44</v>
      </c>
      <c r="AC116" s="25" t="s">
        <v>44</v>
      </c>
      <c r="AD116" s="25" t="s">
        <v>44</v>
      </c>
      <c r="AE116" s="25" t="s">
        <v>44</v>
      </c>
      <c r="AF116" s="25" t="s">
        <v>44</v>
      </c>
      <c r="AG116" s="25" t="s">
        <v>44</v>
      </c>
      <c r="AH116" s="53" t="s">
        <v>44</v>
      </c>
      <c r="AI116" s="53" t="s">
        <v>44</v>
      </c>
      <c r="AJ116" s="53" t="s">
        <v>44</v>
      </c>
      <c r="AK116" s="53" t="s">
        <v>44</v>
      </c>
      <c r="AL116" s="53" t="s">
        <v>44</v>
      </c>
      <c r="AM116" s="53" t="s">
        <v>44</v>
      </c>
      <c r="AN116" s="53" t="s">
        <v>44</v>
      </c>
      <c r="AO116" s="53">
        <v>90.865521882775212</v>
      </c>
      <c r="AP116" s="53">
        <v>91.440828280328347</v>
      </c>
      <c r="AQ116" s="53">
        <v>91.477416098914972</v>
      </c>
      <c r="AR116" s="53">
        <v>90.811645546623069</v>
      </c>
      <c r="AS116" s="53">
        <v>90.643685450262737</v>
      </c>
      <c r="AT116" s="53">
        <v>90.877400684030519</v>
      </c>
      <c r="AU116" s="53">
        <v>90.983569861664506</v>
      </c>
      <c r="AV116" s="53">
        <v>90.980176211453738</v>
      </c>
      <c r="AW116" s="53">
        <v>91.421989339597076</v>
      </c>
      <c r="AX116" s="53">
        <v>91.003530689842478</v>
      </c>
      <c r="AY116" s="53">
        <v>95.096069178839954</v>
      </c>
      <c r="AZ116" s="53">
        <v>91.374663072776286</v>
      </c>
      <c r="BA116" s="53">
        <v>91.633902242873731</v>
      </c>
      <c r="BB116" s="53">
        <v>91.398985629754861</v>
      </c>
      <c r="BC116" s="53">
        <v>91.232497155014585</v>
      </c>
      <c r="BD116" s="53">
        <v>90.773999901589335</v>
      </c>
      <c r="BE116" s="53">
        <v>89.85862590641139</v>
      </c>
      <c r="BF116" s="53">
        <v>89.062099379518997</v>
      </c>
      <c r="BG116" s="53">
        <v>88.451648684077838</v>
      </c>
      <c r="BH116" s="53">
        <v>88.283578443347835</v>
      </c>
      <c r="BI116" s="53">
        <v>88.318562284588879</v>
      </c>
      <c r="BJ116" s="53">
        <v>87.518196877666782</v>
      </c>
      <c r="BK116" s="53">
        <v>87.624614138960581</v>
      </c>
      <c r="BL116" s="53">
        <v>87.8</v>
      </c>
      <c r="BM116" s="53">
        <v>87.90583969675329</v>
      </c>
      <c r="BN116" s="5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row>
    <row r="117" spans="1:103">
      <c r="A117" s="415"/>
      <c r="B117" s="417"/>
      <c r="C117" s="127" t="s">
        <v>53</v>
      </c>
      <c r="D117" s="129" t="s">
        <v>44</v>
      </c>
      <c r="E117" s="129" t="s">
        <v>44</v>
      </c>
      <c r="F117" s="129" t="s">
        <v>44</v>
      </c>
      <c r="G117" s="129" t="s">
        <v>44</v>
      </c>
      <c r="H117" s="129" t="s">
        <v>44</v>
      </c>
      <c r="I117" s="129" t="s">
        <v>44</v>
      </c>
      <c r="J117" s="129" t="s">
        <v>44</v>
      </c>
      <c r="K117" s="129" t="s">
        <v>44</v>
      </c>
      <c r="L117" s="129" t="s">
        <v>44</v>
      </c>
      <c r="M117" s="129" t="s">
        <v>44</v>
      </c>
      <c r="N117" s="129" t="s">
        <v>44</v>
      </c>
      <c r="O117" s="129" t="s">
        <v>44</v>
      </c>
      <c r="P117" s="129" t="s">
        <v>44</v>
      </c>
      <c r="Q117" s="129" t="s">
        <v>44</v>
      </c>
      <c r="R117" s="129" t="s">
        <v>44</v>
      </c>
      <c r="S117" s="129" t="s">
        <v>44</v>
      </c>
      <c r="T117" s="129" t="s">
        <v>44</v>
      </c>
      <c r="U117" s="129" t="s">
        <v>44</v>
      </c>
      <c r="V117" s="129" t="s">
        <v>44</v>
      </c>
      <c r="W117" s="129" t="s">
        <v>44</v>
      </c>
      <c r="X117" s="129" t="s">
        <v>44</v>
      </c>
      <c r="Y117" s="129" t="s">
        <v>44</v>
      </c>
      <c r="Z117" s="129" t="s">
        <v>44</v>
      </c>
      <c r="AA117" s="129" t="s">
        <v>44</v>
      </c>
      <c r="AB117" s="129" t="s">
        <v>44</v>
      </c>
      <c r="AC117" s="129" t="s">
        <v>44</v>
      </c>
      <c r="AD117" s="129" t="s">
        <v>44</v>
      </c>
      <c r="AE117" s="129" t="s">
        <v>44</v>
      </c>
      <c r="AF117" s="129" t="s">
        <v>44</v>
      </c>
      <c r="AG117" s="129" t="s">
        <v>44</v>
      </c>
      <c r="AH117" s="128" t="s">
        <v>44</v>
      </c>
      <c r="AI117" s="128" t="s">
        <v>44</v>
      </c>
      <c r="AJ117" s="128" t="s">
        <v>44</v>
      </c>
      <c r="AK117" s="128" t="s">
        <v>44</v>
      </c>
      <c r="AL117" s="128" t="s">
        <v>44</v>
      </c>
      <c r="AM117" s="128" t="s">
        <v>44</v>
      </c>
      <c r="AN117" s="128" t="s">
        <v>44</v>
      </c>
      <c r="AO117" s="128">
        <v>7.4152628788187789</v>
      </c>
      <c r="AP117" s="128">
        <v>6.8844614940395159</v>
      </c>
      <c r="AQ117" s="128">
        <v>7.0064765749852809</v>
      </c>
      <c r="AR117" s="128">
        <v>7.5668801380751241</v>
      </c>
      <c r="AS117" s="128">
        <v>7.551186809204566</v>
      </c>
      <c r="AT117" s="128">
        <v>7.5769534333070254</v>
      </c>
      <c r="AU117" s="128">
        <v>7.5636835743385404</v>
      </c>
      <c r="AV117" s="128">
        <v>7.6321585903083706</v>
      </c>
      <c r="AW117" s="128">
        <v>7.2770801337067486</v>
      </c>
      <c r="AX117" s="128">
        <v>7.7222523990584824</v>
      </c>
      <c r="AY117" s="128" t="s">
        <v>44</v>
      </c>
      <c r="AZ117" s="128">
        <v>7.4808539768108497</v>
      </c>
      <c r="BA117" s="128">
        <v>7.3675274774372257</v>
      </c>
      <c r="BB117" s="128">
        <v>7.5960364421902886</v>
      </c>
      <c r="BC117" s="128">
        <v>7.8422641136015052</v>
      </c>
      <c r="BD117" s="128">
        <v>8.2222112877035869</v>
      </c>
      <c r="BE117" s="128">
        <v>8.9962961030831021</v>
      </c>
      <c r="BF117" s="128">
        <v>9.8123173170606641</v>
      </c>
      <c r="BG117" s="128">
        <v>10.416456589694464</v>
      </c>
      <c r="BH117" s="128">
        <v>10.658621195094542</v>
      </c>
      <c r="BI117" s="128">
        <v>10.5096011816839</v>
      </c>
      <c r="BJ117" s="128">
        <v>11.322222779980924</v>
      </c>
      <c r="BK117" s="128">
        <v>11.38859369465108</v>
      </c>
      <c r="BL117" s="128"/>
      <c r="BM117" s="128"/>
      <c r="BN117" s="128"/>
      <c r="CX117" s="50"/>
      <c r="CY117" s="50"/>
    </row>
    <row r="118" spans="1:103" s="2" customFormat="1">
      <c r="A118" s="415"/>
      <c r="B118" s="417"/>
      <c r="C118" s="133" t="s">
        <v>55</v>
      </c>
      <c r="D118" s="130" t="s">
        <v>44</v>
      </c>
      <c r="E118" s="130" t="s">
        <v>44</v>
      </c>
      <c r="F118" s="130" t="s">
        <v>44</v>
      </c>
      <c r="G118" s="130" t="s">
        <v>44</v>
      </c>
      <c r="H118" s="130" t="s">
        <v>44</v>
      </c>
      <c r="I118" s="130" t="s">
        <v>44</v>
      </c>
      <c r="J118" s="130" t="s">
        <v>44</v>
      </c>
      <c r="K118" s="130" t="s">
        <v>44</v>
      </c>
      <c r="L118" s="130" t="s">
        <v>44</v>
      </c>
      <c r="M118" s="130" t="s">
        <v>44</v>
      </c>
      <c r="N118" s="130" t="s">
        <v>44</v>
      </c>
      <c r="O118" s="130" t="s">
        <v>44</v>
      </c>
      <c r="P118" s="130" t="s">
        <v>44</v>
      </c>
      <c r="Q118" s="130" t="s">
        <v>44</v>
      </c>
      <c r="R118" s="130" t="s">
        <v>44</v>
      </c>
      <c r="S118" s="130" t="s">
        <v>44</v>
      </c>
      <c r="T118" s="130" t="s">
        <v>44</v>
      </c>
      <c r="U118" s="130" t="s">
        <v>44</v>
      </c>
      <c r="V118" s="130" t="s">
        <v>44</v>
      </c>
      <c r="W118" s="130" t="s">
        <v>44</v>
      </c>
      <c r="X118" s="130" t="s">
        <v>44</v>
      </c>
      <c r="Y118" s="130" t="s">
        <v>44</v>
      </c>
      <c r="Z118" s="130" t="s">
        <v>44</v>
      </c>
      <c r="AA118" s="130" t="s">
        <v>44</v>
      </c>
      <c r="AB118" s="130" t="s">
        <v>44</v>
      </c>
      <c r="AC118" s="130" t="s">
        <v>44</v>
      </c>
      <c r="AD118" s="130" t="s">
        <v>44</v>
      </c>
      <c r="AE118" s="130" t="s">
        <v>44</v>
      </c>
      <c r="AF118" s="130" t="s">
        <v>44</v>
      </c>
      <c r="AG118" s="130" t="s">
        <v>44</v>
      </c>
      <c r="AH118" s="131" t="s">
        <v>44</v>
      </c>
      <c r="AI118" s="131" t="s">
        <v>44</v>
      </c>
      <c r="AJ118" s="131" t="s">
        <v>44</v>
      </c>
      <c r="AK118" s="131" t="s">
        <v>44</v>
      </c>
      <c r="AL118" s="131" t="s">
        <v>44</v>
      </c>
      <c r="AM118" s="131" t="s">
        <v>44</v>
      </c>
      <c r="AN118" s="131" t="s">
        <v>44</v>
      </c>
      <c r="AO118" s="131">
        <v>1.719215238406004</v>
      </c>
      <c r="AP118" s="131">
        <v>1.6747102256321411</v>
      </c>
      <c r="AQ118" s="131">
        <v>1.5161073260997562</v>
      </c>
      <c r="AR118" s="131">
        <v>1.6214743153018123</v>
      </c>
      <c r="AS118" s="131">
        <v>1.8051277405327051</v>
      </c>
      <c r="AT118" s="131">
        <v>1.5456458826624573</v>
      </c>
      <c r="AU118" s="131">
        <v>1.4527465639969559</v>
      </c>
      <c r="AV118" s="131">
        <v>1.3876651982378854</v>
      </c>
      <c r="AW118" s="131">
        <v>1.3009305266961784</v>
      </c>
      <c r="AX118" s="131">
        <v>1.2742169110990405</v>
      </c>
      <c r="AY118" s="131" t="s">
        <v>44</v>
      </c>
      <c r="AZ118" s="131">
        <v>1.1444829504128695</v>
      </c>
      <c r="BA118" s="131">
        <v>0.99857027968903589</v>
      </c>
      <c r="BB118" s="131">
        <v>1.0049779280548512</v>
      </c>
      <c r="BC118" s="131">
        <v>0.92523873138389989</v>
      </c>
      <c r="BD118" s="131">
        <v>1.0037888107070807</v>
      </c>
      <c r="BE118" s="131">
        <v>1.1450779905055037</v>
      </c>
      <c r="BF118" s="131">
        <v>1.1255833034203375</v>
      </c>
      <c r="BG118" s="131">
        <v>1.1318947262276897</v>
      </c>
      <c r="BH118" s="131">
        <v>1.0578003615576295</v>
      </c>
      <c r="BI118" s="131">
        <v>1.1718365337272278</v>
      </c>
      <c r="BJ118" s="131">
        <v>1.1595803423522915</v>
      </c>
      <c r="BK118" s="131">
        <v>0.98679216638834066</v>
      </c>
      <c r="BL118" s="131"/>
      <c r="BM118" s="131"/>
      <c r="BN118" s="131"/>
      <c r="BO118" s="382"/>
      <c r="BP118" s="382"/>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row>
    <row r="119" spans="1:103" s="2" customFormat="1">
      <c r="A119" s="414" t="s">
        <v>5</v>
      </c>
      <c r="B119" s="416" t="s">
        <v>90</v>
      </c>
      <c r="C119" s="22" t="s">
        <v>52</v>
      </c>
      <c r="D119" s="25" t="s">
        <v>44</v>
      </c>
      <c r="E119" s="25" t="s">
        <v>44</v>
      </c>
      <c r="F119" s="25" t="s">
        <v>44</v>
      </c>
      <c r="G119" s="25" t="s">
        <v>44</v>
      </c>
      <c r="H119" s="25" t="s">
        <v>44</v>
      </c>
      <c r="I119" s="25" t="s">
        <v>44</v>
      </c>
      <c r="J119" s="25" t="s">
        <v>44</v>
      </c>
      <c r="K119" s="25" t="s">
        <v>44</v>
      </c>
      <c r="L119" s="25" t="s">
        <v>44</v>
      </c>
      <c r="M119" s="25" t="s">
        <v>44</v>
      </c>
      <c r="N119" s="25" t="s">
        <v>44</v>
      </c>
      <c r="O119" s="25" t="s">
        <v>44</v>
      </c>
      <c r="P119" s="25" t="s">
        <v>44</v>
      </c>
      <c r="Q119" s="25" t="s">
        <v>44</v>
      </c>
      <c r="R119" s="25" t="s">
        <v>44</v>
      </c>
      <c r="S119" s="25" t="s">
        <v>44</v>
      </c>
      <c r="T119" s="25" t="s">
        <v>44</v>
      </c>
      <c r="U119" s="25" t="s">
        <v>44</v>
      </c>
      <c r="V119" s="25" t="s">
        <v>44</v>
      </c>
      <c r="W119" s="25" t="s">
        <v>44</v>
      </c>
      <c r="X119" s="25" t="s">
        <v>44</v>
      </c>
      <c r="Y119" s="25" t="s">
        <v>44</v>
      </c>
      <c r="Z119" s="25" t="s">
        <v>44</v>
      </c>
      <c r="AA119" s="25" t="s">
        <v>44</v>
      </c>
      <c r="AB119" s="25" t="s">
        <v>44</v>
      </c>
      <c r="AC119" s="25" t="s">
        <v>44</v>
      </c>
      <c r="AD119" s="25" t="s">
        <v>44</v>
      </c>
      <c r="AE119" s="25" t="s">
        <v>44</v>
      </c>
      <c r="AF119" s="25" t="s">
        <v>44</v>
      </c>
      <c r="AG119" s="25" t="s">
        <v>44</v>
      </c>
      <c r="AH119" s="53" t="s">
        <v>44</v>
      </c>
      <c r="AI119" s="53" t="s">
        <v>44</v>
      </c>
      <c r="AJ119" s="53" t="s">
        <v>44</v>
      </c>
      <c r="AK119" s="53" t="s">
        <v>44</v>
      </c>
      <c r="AL119" s="53" t="s">
        <v>44</v>
      </c>
      <c r="AM119" s="53" t="s">
        <v>44</v>
      </c>
      <c r="AN119" s="53">
        <v>82.960111966410082</v>
      </c>
      <c r="AO119" s="53" t="s">
        <v>44</v>
      </c>
      <c r="AP119" s="53">
        <v>81.14177841426897</v>
      </c>
      <c r="AQ119" s="53">
        <v>80.527394604177047</v>
      </c>
      <c r="AR119" s="53">
        <v>78.646510619852634</v>
      </c>
      <c r="AS119" s="53">
        <v>79.451729380463703</v>
      </c>
      <c r="AT119" s="53">
        <v>79.280730005367687</v>
      </c>
      <c r="AU119" s="53">
        <v>79.887147920164153</v>
      </c>
      <c r="AV119" s="53">
        <v>81.076224702099481</v>
      </c>
      <c r="AW119" s="53">
        <v>82.684908080376232</v>
      </c>
      <c r="AX119" s="53">
        <v>83.403643336529242</v>
      </c>
      <c r="AY119" s="53" t="s">
        <v>44</v>
      </c>
      <c r="AZ119" s="53" t="s">
        <v>44</v>
      </c>
      <c r="BA119" s="53">
        <v>84.491089108910884</v>
      </c>
      <c r="BB119" s="53" t="s">
        <v>44</v>
      </c>
      <c r="BC119" s="53" t="s">
        <v>44</v>
      </c>
      <c r="BD119" s="53">
        <v>86.940167949615116</v>
      </c>
      <c r="BE119" s="53">
        <v>87.859335752162991</v>
      </c>
      <c r="BF119" s="53">
        <v>88.171125023714666</v>
      </c>
      <c r="BG119" s="53" t="s">
        <v>44</v>
      </c>
      <c r="BH119" s="53">
        <v>87.95640760480471</v>
      </c>
      <c r="BI119" s="53">
        <v>86.864370566618248</v>
      </c>
      <c r="BJ119" s="53">
        <v>86.145740575838531</v>
      </c>
      <c r="BK119" s="53">
        <v>86.39490773484215</v>
      </c>
      <c r="BL119" s="53" t="s">
        <v>44</v>
      </c>
      <c r="BM119" s="53" t="s">
        <v>44</v>
      </c>
      <c r="BN119" s="5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row>
    <row r="120" spans="1:103">
      <c r="A120" s="415"/>
      <c r="B120" s="417"/>
      <c r="C120" s="127" t="s">
        <v>53</v>
      </c>
      <c r="D120" s="129" t="s">
        <v>44</v>
      </c>
      <c r="E120" s="129" t="s">
        <v>44</v>
      </c>
      <c r="F120" s="129" t="s">
        <v>44</v>
      </c>
      <c r="G120" s="129" t="s">
        <v>44</v>
      </c>
      <c r="H120" s="129" t="s">
        <v>44</v>
      </c>
      <c r="I120" s="129" t="s">
        <v>44</v>
      </c>
      <c r="J120" s="129" t="s">
        <v>44</v>
      </c>
      <c r="K120" s="129" t="s">
        <v>44</v>
      </c>
      <c r="L120" s="129" t="s">
        <v>44</v>
      </c>
      <c r="M120" s="129" t="s">
        <v>44</v>
      </c>
      <c r="N120" s="129" t="s">
        <v>44</v>
      </c>
      <c r="O120" s="129" t="s">
        <v>44</v>
      </c>
      <c r="P120" s="129" t="s">
        <v>44</v>
      </c>
      <c r="Q120" s="129" t="s">
        <v>44</v>
      </c>
      <c r="R120" s="129" t="s">
        <v>44</v>
      </c>
      <c r="S120" s="129" t="s">
        <v>44</v>
      </c>
      <c r="T120" s="129" t="s">
        <v>44</v>
      </c>
      <c r="U120" s="129" t="s">
        <v>44</v>
      </c>
      <c r="V120" s="129" t="s">
        <v>44</v>
      </c>
      <c r="W120" s="129" t="s">
        <v>44</v>
      </c>
      <c r="X120" s="129" t="s">
        <v>44</v>
      </c>
      <c r="Y120" s="129" t="s">
        <v>44</v>
      </c>
      <c r="Z120" s="129" t="s">
        <v>44</v>
      </c>
      <c r="AA120" s="129" t="s">
        <v>44</v>
      </c>
      <c r="AB120" s="129" t="s">
        <v>44</v>
      </c>
      <c r="AC120" s="129" t="s">
        <v>44</v>
      </c>
      <c r="AD120" s="129" t="s">
        <v>44</v>
      </c>
      <c r="AE120" s="129" t="s">
        <v>44</v>
      </c>
      <c r="AF120" s="129" t="s">
        <v>44</v>
      </c>
      <c r="AG120" s="129" t="s">
        <v>44</v>
      </c>
      <c r="AH120" s="128" t="s">
        <v>44</v>
      </c>
      <c r="AI120" s="128" t="s">
        <v>44</v>
      </c>
      <c r="AJ120" s="128" t="s">
        <v>44</v>
      </c>
      <c r="AK120" s="128" t="s">
        <v>44</v>
      </c>
      <c r="AL120" s="128" t="s">
        <v>44</v>
      </c>
      <c r="AM120" s="128" t="s">
        <v>44</v>
      </c>
      <c r="AN120" s="128">
        <v>15.526592022393281</v>
      </c>
      <c r="AO120" s="128" t="s">
        <v>44</v>
      </c>
      <c r="AP120" s="128">
        <v>17.491212081760189</v>
      </c>
      <c r="AQ120" s="128">
        <v>18.198437759680903</v>
      </c>
      <c r="AR120" s="128">
        <v>19.917641959254443</v>
      </c>
      <c r="AS120" s="128">
        <v>19.284492588369442</v>
      </c>
      <c r="AT120" s="128">
        <v>19.426145513102036</v>
      </c>
      <c r="AU120" s="128">
        <v>18.891065099794815</v>
      </c>
      <c r="AV120" s="128">
        <v>17.325515415169281</v>
      </c>
      <c r="AW120" s="128">
        <v>15.955536554082942</v>
      </c>
      <c r="AX120" s="128">
        <v>15.004793863854266</v>
      </c>
      <c r="AY120" s="128" t="s">
        <v>44</v>
      </c>
      <c r="AZ120" s="128" t="s">
        <v>44</v>
      </c>
      <c r="BA120" s="128">
        <v>14.439603960396038</v>
      </c>
      <c r="BB120" s="128" t="s">
        <v>44</v>
      </c>
      <c r="BC120" s="128" t="s">
        <v>44</v>
      </c>
      <c r="BD120" s="128">
        <v>12.438768369489154</v>
      </c>
      <c r="BE120" s="128">
        <v>11.452228114243185</v>
      </c>
      <c r="BF120" s="128">
        <v>10.984632896983495</v>
      </c>
      <c r="BG120" s="128" t="s">
        <v>44</v>
      </c>
      <c r="BH120" s="128">
        <v>11.216291464481744</v>
      </c>
      <c r="BI120" s="128">
        <v>12.229723955217503</v>
      </c>
      <c r="BJ120" s="128">
        <v>13.045414069456813</v>
      </c>
      <c r="BK120" s="128">
        <v>12.692085128271074</v>
      </c>
      <c r="BL120" s="128"/>
      <c r="BM120" s="128"/>
      <c r="BN120" s="128"/>
      <c r="CX120" s="50"/>
      <c r="CY120" s="50"/>
    </row>
    <row r="121" spans="1:103" s="2" customFormat="1">
      <c r="A121" s="415"/>
      <c r="B121" s="417"/>
      <c r="C121" s="133" t="s">
        <v>55</v>
      </c>
      <c r="D121" s="130" t="s">
        <v>44</v>
      </c>
      <c r="E121" s="130" t="s">
        <v>44</v>
      </c>
      <c r="F121" s="130" t="s">
        <v>44</v>
      </c>
      <c r="G121" s="130" t="s">
        <v>44</v>
      </c>
      <c r="H121" s="130" t="s">
        <v>44</v>
      </c>
      <c r="I121" s="130" t="s">
        <v>44</v>
      </c>
      <c r="J121" s="130" t="s">
        <v>44</v>
      </c>
      <c r="K121" s="130" t="s">
        <v>44</v>
      </c>
      <c r="L121" s="130" t="s">
        <v>44</v>
      </c>
      <c r="M121" s="130" t="s">
        <v>44</v>
      </c>
      <c r="N121" s="130" t="s">
        <v>44</v>
      </c>
      <c r="O121" s="130" t="s">
        <v>44</v>
      </c>
      <c r="P121" s="130" t="s">
        <v>44</v>
      </c>
      <c r="Q121" s="130" t="s">
        <v>44</v>
      </c>
      <c r="R121" s="130" t="s">
        <v>44</v>
      </c>
      <c r="S121" s="130" t="s">
        <v>44</v>
      </c>
      <c r="T121" s="130" t="s">
        <v>44</v>
      </c>
      <c r="U121" s="130" t="s">
        <v>44</v>
      </c>
      <c r="V121" s="130" t="s">
        <v>44</v>
      </c>
      <c r="W121" s="130" t="s">
        <v>44</v>
      </c>
      <c r="X121" s="130" t="s">
        <v>44</v>
      </c>
      <c r="Y121" s="130" t="s">
        <v>44</v>
      </c>
      <c r="Z121" s="130" t="s">
        <v>44</v>
      </c>
      <c r="AA121" s="130" t="s">
        <v>44</v>
      </c>
      <c r="AB121" s="130" t="s">
        <v>44</v>
      </c>
      <c r="AC121" s="130" t="s">
        <v>44</v>
      </c>
      <c r="AD121" s="130" t="s">
        <v>44</v>
      </c>
      <c r="AE121" s="130" t="s">
        <v>44</v>
      </c>
      <c r="AF121" s="130" t="s">
        <v>44</v>
      </c>
      <c r="AG121" s="130" t="s">
        <v>44</v>
      </c>
      <c r="AH121" s="131" t="s">
        <v>44</v>
      </c>
      <c r="AI121" s="131" t="s">
        <v>44</v>
      </c>
      <c r="AJ121" s="131" t="s">
        <v>44</v>
      </c>
      <c r="AK121" s="131" t="s">
        <v>44</v>
      </c>
      <c r="AL121" s="131" t="s">
        <v>44</v>
      </c>
      <c r="AM121" s="131" t="s">
        <v>44</v>
      </c>
      <c r="AN121" s="131">
        <v>1.5132960111966409</v>
      </c>
      <c r="AO121" s="131" t="s">
        <v>44</v>
      </c>
      <c r="AP121" s="131">
        <v>1.3670095039708372</v>
      </c>
      <c r="AQ121" s="131">
        <v>1.274167636142042</v>
      </c>
      <c r="AR121" s="131">
        <v>1.4358474208929346</v>
      </c>
      <c r="AS121" s="131">
        <v>1.2637780311668567</v>
      </c>
      <c r="AT121" s="131">
        <v>1.2931244815302787</v>
      </c>
      <c r="AU121" s="131">
        <v>1.221786980041037</v>
      </c>
      <c r="AV121" s="131">
        <v>1.607717041800643</v>
      </c>
      <c r="AW121" s="131">
        <v>1.3595553655408295</v>
      </c>
      <c r="AX121" s="131">
        <v>1.5915627996164909</v>
      </c>
      <c r="AY121" s="131" t="s">
        <v>44</v>
      </c>
      <c r="AZ121" s="131" t="s">
        <v>44</v>
      </c>
      <c r="BA121" s="131">
        <v>1.0693069306930694</v>
      </c>
      <c r="BB121" s="131" t="s">
        <v>44</v>
      </c>
      <c r="BC121" s="131" t="s">
        <v>44</v>
      </c>
      <c r="BD121" s="131">
        <v>0.62106368089573127</v>
      </c>
      <c r="BE121" s="131">
        <v>0.68843613359382272</v>
      </c>
      <c r="BF121" s="131">
        <v>0.84424207930184014</v>
      </c>
      <c r="BG121" s="131" t="s">
        <v>44</v>
      </c>
      <c r="BH121" s="131">
        <v>0.82730093071354716</v>
      </c>
      <c r="BI121" s="131">
        <v>0.90590547816425948</v>
      </c>
      <c r="BJ121" s="131">
        <v>0.80884535470466012</v>
      </c>
      <c r="BK121" s="131">
        <v>0.91300713688677415</v>
      </c>
      <c r="BL121" s="131"/>
      <c r="BM121" s="131"/>
      <c r="BN121" s="131"/>
      <c r="BO121" s="382"/>
      <c r="BP121" s="382"/>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c r="CR121" s="50"/>
      <c r="CS121" s="50"/>
      <c r="CT121" s="50"/>
      <c r="CU121" s="50"/>
      <c r="CV121" s="50"/>
      <c r="CW121" s="50"/>
    </row>
    <row r="122" spans="1:103" s="2" customFormat="1">
      <c r="A122" s="414" t="s">
        <v>2</v>
      </c>
      <c r="B122" s="416"/>
      <c r="C122" s="22" t="s">
        <v>52</v>
      </c>
      <c r="D122" s="25" t="s">
        <v>44</v>
      </c>
      <c r="E122" s="25" t="s">
        <v>44</v>
      </c>
      <c r="F122" s="25" t="s">
        <v>44</v>
      </c>
      <c r="G122" s="25" t="s">
        <v>44</v>
      </c>
      <c r="H122" s="25" t="s">
        <v>44</v>
      </c>
      <c r="I122" s="25" t="s">
        <v>44</v>
      </c>
      <c r="J122" s="25" t="s">
        <v>44</v>
      </c>
      <c r="K122" s="25" t="s">
        <v>44</v>
      </c>
      <c r="L122" s="25" t="s">
        <v>44</v>
      </c>
      <c r="M122" s="25" t="s">
        <v>44</v>
      </c>
      <c r="N122" s="25" t="s">
        <v>44</v>
      </c>
      <c r="O122" s="25" t="s">
        <v>44</v>
      </c>
      <c r="P122" s="25" t="s">
        <v>44</v>
      </c>
      <c r="Q122" s="25" t="s">
        <v>44</v>
      </c>
      <c r="R122" s="25" t="s">
        <v>44</v>
      </c>
      <c r="S122" s="25" t="s">
        <v>44</v>
      </c>
      <c r="T122" s="25" t="s">
        <v>44</v>
      </c>
      <c r="U122" s="25" t="s">
        <v>44</v>
      </c>
      <c r="V122" s="25" t="s">
        <v>44</v>
      </c>
      <c r="W122" s="25" t="s">
        <v>44</v>
      </c>
      <c r="X122" s="25" t="s">
        <v>44</v>
      </c>
      <c r="Y122" s="25" t="s">
        <v>44</v>
      </c>
      <c r="Z122" s="25" t="s">
        <v>44</v>
      </c>
      <c r="AA122" s="25" t="s">
        <v>44</v>
      </c>
      <c r="AB122" s="25" t="s">
        <v>44</v>
      </c>
      <c r="AC122" s="25" t="s">
        <v>44</v>
      </c>
      <c r="AD122" s="25" t="s">
        <v>44</v>
      </c>
      <c r="AE122" s="25" t="s">
        <v>44</v>
      </c>
      <c r="AF122" s="25" t="s">
        <v>44</v>
      </c>
      <c r="AG122" s="25" t="s">
        <v>44</v>
      </c>
      <c r="AH122" s="53" t="s">
        <v>44</v>
      </c>
      <c r="AI122" s="53" t="s">
        <v>44</v>
      </c>
      <c r="AJ122" s="53" t="s">
        <v>44</v>
      </c>
      <c r="AK122" s="53" t="s">
        <v>44</v>
      </c>
      <c r="AL122" s="53" t="s">
        <v>44</v>
      </c>
      <c r="AM122" s="53" t="s">
        <v>44</v>
      </c>
      <c r="AN122" s="53">
        <v>98.860759493670898</v>
      </c>
      <c r="AO122" s="53" t="s">
        <v>44</v>
      </c>
      <c r="AP122" s="53" t="s">
        <v>44</v>
      </c>
      <c r="AQ122" s="53" t="s">
        <v>44</v>
      </c>
      <c r="AR122" s="53">
        <v>95.009823182711202</v>
      </c>
      <c r="AS122" s="53">
        <v>94.623161764705884</v>
      </c>
      <c r="AT122" s="53" t="s">
        <v>44</v>
      </c>
      <c r="AU122" s="53" t="s">
        <v>44</v>
      </c>
      <c r="AV122" s="53">
        <v>93.308080808080803</v>
      </c>
      <c r="AW122" s="53">
        <v>92.586352148272951</v>
      </c>
      <c r="AX122" s="53">
        <v>93.3359621451104</v>
      </c>
      <c r="AY122" s="53">
        <v>95.802728226652675</v>
      </c>
      <c r="AZ122" s="53">
        <v>92.808219178082197</v>
      </c>
      <c r="BA122" s="53">
        <v>92.541436464088406</v>
      </c>
      <c r="BB122" s="53">
        <v>94.183359013867488</v>
      </c>
      <c r="BC122" s="53">
        <v>91.920374707259953</v>
      </c>
      <c r="BD122" s="53" t="s">
        <v>44</v>
      </c>
      <c r="BE122" s="53">
        <v>87.257564003103184</v>
      </c>
      <c r="BF122" s="53">
        <v>88.523162661093693</v>
      </c>
      <c r="BG122" s="53" t="s">
        <v>44</v>
      </c>
      <c r="BH122" s="53" t="s">
        <v>44</v>
      </c>
      <c r="BI122" s="53" t="s">
        <v>44</v>
      </c>
      <c r="BJ122" s="53" t="s">
        <v>44</v>
      </c>
      <c r="BK122" s="53" t="s">
        <v>44</v>
      </c>
      <c r="BL122" s="53" t="s">
        <v>44</v>
      </c>
      <c r="BM122" s="53" t="s">
        <v>44</v>
      </c>
      <c r="BN122" s="5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row>
    <row r="123" spans="1:103">
      <c r="A123" s="415"/>
      <c r="B123" s="417"/>
      <c r="C123" s="127" t="s">
        <v>53</v>
      </c>
      <c r="D123" s="129" t="s">
        <v>44</v>
      </c>
      <c r="E123" s="129" t="s">
        <v>44</v>
      </c>
      <c r="F123" s="129" t="s">
        <v>44</v>
      </c>
      <c r="G123" s="129" t="s">
        <v>44</v>
      </c>
      <c r="H123" s="129" t="s">
        <v>44</v>
      </c>
      <c r="I123" s="129" t="s">
        <v>44</v>
      </c>
      <c r="J123" s="129" t="s">
        <v>44</v>
      </c>
      <c r="K123" s="129" t="s">
        <v>44</v>
      </c>
      <c r="L123" s="129" t="s">
        <v>44</v>
      </c>
      <c r="M123" s="129" t="s">
        <v>44</v>
      </c>
      <c r="N123" s="129" t="s">
        <v>44</v>
      </c>
      <c r="O123" s="129" t="s">
        <v>44</v>
      </c>
      <c r="P123" s="129" t="s">
        <v>44</v>
      </c>
      <c r="Q123" s="129" t="s">
        <v>44</v>
      </c>
      <c r="R123" s="129" t="s">
        <v>44</v>
      </c>
      <c r="S123" s="129" t="s">
        <v>44</v>
      </c>
      <c r="T123" s="129" t="s">
        <v>44</v>
      </c>
      <c r="U123" s="129" t="s">
        <v>44</v>
      </c>
      <c r="V123" s="129" t="s">
        <v>44</v>
      </c>
      <c r="W123" s="129" t="s">
        <v>44</v>
      </c>
      <c r="X123" s="129" t="s">
        <v>44</v>
      </c>
      <c r="Y123" s="129" t="s">
        <v>44</v>
      </c>
      <c r="Z123" s="129" t="s">
        <v>44</v>
      </c>
      <c r="AA123" s="129" t="s">
        <v>44</v>
      </c>
      <c r="AB123" s="129" t="s">
        <v>44</v>
      </c>
      <c r="AC123" s="129" t="s">
        <v>44</v>
      </c>
      <c r="AD123" s="129" t="s">
        <v>44</v>
      </c>
      <c r="AE123" s="129" t="s">
        <v>44</v>
      </c>
      <c r="AF123" s="129" t="s">
        <v>44</v>
      </c>
      <c r="AG123" s="129" t="s">
        <v>44</v>
      </c>
      <c r="AH123" s="128" t="s">
        <v>44</v>
      </c>
      <c r="AI123" s="128" t="s">
        <v>44</v>
      </c>
      <c r="AJ123" s="128" t="s">
        <v>44</v>
      </c>
      <c r="AK123" s="128" t="s">
        <v>44</v>
      </c>
      <c r="AL123" s="128" t="s">
        <v>44</v>
      </c>
      <c r="AM123" s="128" t="s">
        <v>44</v>
      </c>
      <c r="AN123" s="128">
        <v>0</v>
      </c>
      <c r="AO123" s="128" t="s">
        <v>44</v>
      </c>
      <c r="AP123" s="128" t="s">
        <v>44</v>
      </c>
      <c r="AQ123" s="128" t="s">
        <v>44</v>
      </c>
      <c r="AR123" s="128">
        <v>4.1257367387033401</v>
      </c>
      <c r="AS123" s="128">
        <v>4.1819852941176467</v>
      </c>
      <c r="AT123" s="128" t="s">
        <v>44</v>
      </c>
      <c r="AU123" s="128" t="s">
        <v>44</v>
      </c>
      <c r="AV123" s="128">
        <v>5.8291245791245787</v>
      </c>
      <c r="AW123" s="128">
        <v>6.613310867733782</v>
      </c>
      <c r="AX123" s="128">
        <v>6.309148264984227</v>
      </c>
      <c r="AY123" s="128" t="s">
        <v>44</v>
      </c>
      <c r="AZ123" s="128">
        <v>6.7082997582594688</v>
      </c>
      <c r="BA123" s="128">
        <v>6.3748406289842752</v>
      </c>
      <c r="BB123" s="128">
        <v>4.7573189522342068</v>
      </c>
      <c r="BC123" s="128">
        <v>7.0843091334894606</v>
      </c>
      <c r="BD123" s="128" t="s">
        <v>44</v>
      </c>
      <c r="BE123" s="128">
        <v>11.714507370054307</v>
      </c>
      <c r="BF123" s="128">
        <v>10.501567398119123</v>
      </c>
      <c r="BG123" s="128" t="s">
        <v>44</v>
      </c>
      <c r="BH123" s="128" t="s">
        <v>44</v>
      </c>
      <c r="BI123" s="128" t="s">
        <v>44</v>
      </c>
      <c r="BJ123" s="128" t="s">
        <v>44</v>
      </c>
      <c r="BK123" s="128" t="s">
        <v>44</v>
      </c>
      <c r="BL123" s="128"/>
      <c r="BM123" s="128"/>
      <c r="BN123" s="128"/>
      <c r="CX123" s="50"/>
      <c r="CY123" s="50"/>
    </row>
    <row r="124" spans="1:103" s="2" customFormat="1">
      <c r="A124" s="415"/>
      <c r="B124" s="417"/>
      <c r="C124" s="133" t="s">
        <v>55</v>
      </c>
      <c r="D124" s="130" t="s">
        <v>44</v>
      </c>
      <c r="E124" s="130" t="s">
        <v>44</v>
      </c>
      <c r="F124" s="130" t="s">
        <v>44</v>
      </c>
      <c r="G124" s="130" t="s">
        <v>44</v>
      </c>
      <c r="H124" s="130" t="s">
        <v>44</v>
      </c>
      <c r="I124" s="130" t="s">
        <v>44</v>
      </c>
      <c r="J124" s="130" t="s">
        <v>44</v>
      </c>
      <c r="K124" s="130" t="s">
        <v>44</v>
      </c>
      <c r="L124" s="130" t="s">
        <v>44</v>
      </c>
      <c r="M124" s="130" t="s">
        <v>44</v>
      </c>
      <c r="N124" s="130" t="s">
        <v>44</v>
      </c>
      <c r="O124" s="130" t="s">
        <v>44</v>
      </c>
      <c r="P124" s="130" t="s">
        <v>44</v>
      </c>
      <c r="Q124" s="130" t="s">
        <v>44</v>
      </c>
      <c r="R124" s="130" t="s">
        <v>44</v>
      </c>
      <c r="S124" s="130" t="s">
        <v>44</v>
      </c>
      <c r="T124" s="130" t="s">
        <v>44</v>
      </c>
      <c r="U124" s="130" t="s">
        <v>44</v>
      </c>
      <c r="V124" s="130" t="s">
        <v>44</v>
      </c>
      <c r="W124" s="130" t="s">
        <v>44</v>
      </c>
      <c r="X124" s="130" t="s">
        <v>44</v>
      </c>
      <c r="Y124" s="130" t="s">
        <v>44</v>
      </c>
      <c r="Z124" s="130" t="s">
        <v>44</v>
      </c>
      <c r="AA124" s="130" t="s">
        <v>44</v>
      </c>
      <c r="AB124" s="130" t="s">
        <v>44</v>
      </c>
      <c r="AC124" s="130" t="s">
        <v>44</v>
      </c>
      <c r="AD124" s="130" t="s">
        <v>44</v>
      </c>
      <c r="AE124" s="130" t="s">
        <v>44</v>
      </c>
      <c r="AF124" s="130" t="s">
        <v>44</v>
      </c>
      <c r="AG124" s="130" t="s">
        <v>44</v>
      </c>
      <c r="AH124" s="131" t="s">
        <v>44</v>
      </c>
      <c r="AI124" s="131" t="s">
        <v>44</v>
      </c>
      <c r="AJ124" s="131" t="s">
        <v>44</v>
      </c>
      <c r="AK124" s="131" t="s">
        <v>44</v>
      </c>
      <c r="AL124" s="131" t="s">
        <v>44</v>
      </c>
      <c r="AM124" s="131" t="s">
        <v>44</v>
      </c>
      <c r="AN124" s="131">
        <v>1.139240506329114</v>
      </c>
      <c r="AO124" s="131" t="s">
        <v>44</v>
      </c>
      <c r="AP124" s="131" t="s">
        <v>44</v>
      </c>
      <c r="AQ124" s="131" t="s">
        <v>44</v>
      </c>
      <c r="AR124" s="131">
        <v>0.86444007858546179</v>
      </c>
      <c r="AS124" s="131">
        <v>1.1948529411764706</v>
      </c>
      <c r="AT124" s="131" t="s">
        <v>44</v>
      </c>
      <c r="AU124" s="131" t="s">
        <v>44</v>
      </c>
      <c r="AV124" s="131">
        <v>0.86279461279461289</v>
      </c>
      <c r="AW124" s="131">
        <v>0.80033698399326025</v>
      </c>
      <c r="AX124" s="131">
        <v>0.35488958990536279</v>
      </c>
      <c r="AY124" s="131" t="s">
        <v>44</v>
      </c>
      <c r="AZ124" s="131">
        <v>0.48348106365834009</v>
      </c>
      <c r="BA124" s="131">
        <v>1.0837229069273269</v>
      </c>
      <c r="BB124" s="131">
        <v>1.0593220338983049</v>
      </c>
      <c r="BC124" s="131">
        <v>0.99531615925058559</v>
      </c>
      <c r="BD124" s="131" t="s">
        <v>44</v>
      </c>
      <c r="BE124" s="131">
        <v>1.0279286268425136</v>
      </c>
      <c r="BF124" s="131">
        <v>0.9752699407871821</v>
      </c>
      <c r="BG124" s="131" t="s">
        <v>44</v>
      </c>
      <c r="BH124" s="131" t="s">
        <v>44</v>
      </c>
      <c r="BI124" s="131" t="s">
        <v>44</v>
      </c>
      <c r="BJ124" s="131" t="s">
        <v>44</v>
      </c>
      <c r="BK124" s="131" t="s">
        <v>44</v>
      </c>
      <c r="BL124" s="131"/>
      <c r="BM124" s="131"/>
      <c r="BN124" s="131"/>
      <c r="BO124" s="382"/>
      <c r="BP124" s="382"/>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c r="CO124" s="50"/>
      <c r="CP124" s="50"/>
      <c r="CQ124" s="50"/>
      <c r="CR124" s="50"/>
      <c r="CS124" s="50"/>
      <c r="CT124" s="50"/>
      <c r="CU124" s="50"/>
      <c r="CV124" s="50"/>
      <c r="CW124" s="50"/>
    </row>
    <row r="125" spans="1:103" s="2" customFormat="1">
      <c r="A125" s="414" t="s">
        <v>1</v>
      </c>
      <c r="B125" s="416"/>
      <c r="C125" s="22" t="s">
        <v>52</v>
      </c>
      <c r="D125" s="25" t="s">
        <v>44</v>
      </c>
      <c r="E125" s="25" t="s">
        <v>44</v>
      </c>
      <c r="F125" s="25" t="s">
        <v>44</v>
      </c>
      <c r="G125" s="25" t="s">
        <v>44</v>
      </c>
      <c r="H125" s="25" t="s">
        <v>44</v>
      </c>
      <c r="I125" s="25" t="s">
        <v>44</v>
      </c>
      <c r="J125" s="25" t="s">
        <v>44</v>
      </c>
      <c r="K125" s="25" t="s">
        <v>44</v>
      </c>
      <c r="L125" s="25" t="s">
        <v>44</v>
      </c>
      <c r="M125" s="25" t="s">
        <v>44</v>
      </c>
      <c r="N125" s="25" t="s">
        <v>44</v>
      </c>
      <c r="O125" s="25" t="s">
        <v>44</v>
      </c>
      <c r="P125" s="25" t="s">
        <v>44</v>
      </c>
      <c r="Q125" s="25" t="s">
        <v>44</v>
      </c>
      <c r="R125" s="25" t="s">
        <v>44</v>
      </c>
      <c r="S125" s="25" t="s">
        <v>44</v>
      </c>
      <c r="T125" s="25" t="s">
        <v>44</v>
      </c>
      <c r="U125" s="25" t="s">
        <v>44</v>
      </c>
      <c r="V125" s="25" t="s">
        <v>44</v>
      </c>
      <c r="W125" s="25" t="s">
        <v>44</v>
      </c>
      <c r="X125" s="25" t="s">
        <v>44</v>
      </c>
      <c r="Y125" s="25" t="s">
        <v>44</v>
      </c>
      <c r="Z125" s="25" t="s">
        <v>44</v>
      </c>
      <c r="AA125" s="25" t="s">
        <v>44</v>
      </c>
      <c r="AB125" s="25" t="s">
        <v>44</v>
      </c>
      <c r="AC125" s="25" t="s">
        <v>44</v>
      </c>
      <c r="AD125" s="25" t="s">
        <v>44</v>
      </c>
      <c r="AE125" s="25" t="s">
        <v>44</v>
      </c>
      <c r="AF125" s="25" t="s">
        <v>44</v>
      </c>
      <c r="AG125" s="25" t="s">
        <v>44</v>
      </c>
      <c r="AH125" s="53" t="s">
        <v>44</v>
      </c>
      <c r="AI125" s="53" t="s">
        <v>44</v>
      </c>
      <c r="AJ125" s="53" t="s">
        <v>44</v>
      </c>
      <c r="AK125" s="53" t="s">
        <v>44</v>
      </c>
      <c r="AL125" s="53" t="s">
        <v>44</v>
      </c>
      <c r="AM125" s="53">
        <v>86.559635709320986</v>
      </c>
      <c r="AN125" s="53">
        <v>86.426585427503355</v>
      </c>
      <c r="AO125" s="53">
        <v>86.117399136671082</v>
      </c>
      <c r="AP125" s="53">
        <v>85.662030377899981</v>
      </c>
      <c r="AQ125" s="53">
        <v>85.927478680703359</v>
      </c>
      <c r="AR125" s="53">
        <v>85.390772266729499</v>
      </c>
      <c r="AS125" s="53">
        <v>85.07311629338875</v>
      </c>
      <c r="AT125" s="53">
        <v>85.185400486753778</v>
      </c>
      <c r="AU125" s="53">
        <v>85.343739968496408</v>
      </c>
      <c r="AV125" s="53">
        <v>85.26035560765925</v>
      </c>
      <c r="AW125" s="53">
        <v>84.697740989339493</v>
      </c>
      <c r="AX125" s="53">
        <v>84.669967334301717</v>
      </c>
      <c r="AY125" s="53">
        <v>93.856821463349121</v>
      </c>
      <c r="AZ125" s="53">
        <v>85.608174572902655</v>
      </c>
      <c r="BA125" s="53">
        <v>86.757028486315406</v>
      </c>
      <c r="BB125" s="53">
        <v>86.500025911658511</v>
      </c>
      <c r="BC125" s="53">
        <v>85.472400306821086</v>
      </c>
      <c r="BD125" s="53">
        <v>85.33964365256125</v>
      </c>
      <c r="BE125" s="53">
        <v>85.142362822885957</v>
      </c>
      <c r="BF125" s="53">
        <v>85.759051450349361</v>
      </c>
      <c r="BG125" s="53">
        <v>85.606277998310148</v>
      </c>
      <c r="BH125" s="53">
        <v>85.299174819609107</v>
      </c>
      <c r="BI125" s="53">
        <v>85.44277169682988</v>
      </c>
      <c r="BJ125" s="53">
        <v>84.997417860034048</v>
      </c>
      <c r="BK125" s="53">
        <v>83.279682761838117</v>
      </c>
      <c r="BL125" s="53">
        <v>81</v>
      </c>
      <c r="BM125" s="53">
        <v>83.384556113022839</v>
      </c>
      <c r="BN125" s="5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row>
    <row r="126" spans="1:103">
      <c r="A126" s="415"/>
      <c r="B126" s="417"/>
      <c r="C126" s="127" t="s">
        <v>53</v>
      </c>
      <c r="D126" s="129" t="s">
        <v>44</v>
      </c>
      <c r="E126" s="129" t="s">
        <v>44</v>
      </c>
      <c r="F126" s="129" t="s">
        <v>44</v>
      </c>
      <c r="G126" s="129" t="s">
        <v>44</v>
      </c>
      <c r="H126" s="129" t="s">
        <v>44</v>
      </c>
      <c r="I126" s="129" t="s">
        <v>44</v>
      </c>
      <c r="J126" s="129" t="s">
        <v>44</v>
      </c>
      <c r="K126" s="129" t="s">
        <v>44</v>
      </c>
      <c r="L126" s="129" t="s">
        <v>44</v>
      </c>
      <c r="M126" s="129" t="s">
        <v>44</v>
      </c>
      <c r="N126" s="129" t="s">
        <v>44</v>
      </c>
      <c r="O126" s="129" t="s">
        <v>44</v>
      </c>
      <c r="P126" s="129" t="s">
        <v>44</v>
      </c>
      <c r="Q126" s="129" t="s">
        <v>44</v>
      </c>
      <c r="R126" s="129" t="s">
        <v>44</v>
      </c>
      <c r="S126" s="129" t="s">
        <v>44</v>
      </c>
      <c r="T126" s="129" t="s">
        <v>44</v>
      </c>
      <c r="U126" s="129" t="s">
        <v>44</v>
      </c>
      <c r="V126" s="129" t="s">
        <v>44</v>
      </c>
      <c r="W126" s="129" t="s">
        <v>44</v>
      </c>
      <c r="X126" s="129" t="s">
        <v>44</v>
      </c>
      <c r="Y126" s="129" t="s">
        <v>44</v>
      </c>
      <c r="Z126" s="129" t="s">
        <v>44</v>
      </c>
      <c r="AA126" s="129" t="s">
        <v>44</v>
      </c>
      <c r="AB126" s="129" t="s">
        <v>44</v>
      </c>
      <c r="AC126" s="129" t="s">
        <v>44</v>
      </c>
      <c r="AD126" s="129" t="s">
        <v>44</v>
      </c>
      <c r="AE126" s="129" t="s">
        <v>44</v>
      </c>
      <c r="AF126" s="129" t="s">
        <v>44</v>
      </c>
      <c r="AG126" s="129" t="s">
        <v>44</v>
      </c>
      <c r="AH126" s="128" t="s">
        <v>44</v>
      </c>
      <c r="AI126" s="128" t="s">
        <v>44</v>
      </c>
      <c r="AJ126" s="128" t="s">
        <v>44</v>
      </c>
      <c r="AK126" s="128" t="s">
        <v>44</v>
      </c>
      <c r="AL126" s="128" t="s">
        <v>44</v>
      </c>
      <c r="AM126" s="128">
        <v>11.493539816685397</v>
      </c>
      <c r="AN126" s="128">
        <v>11.718261517380835</v>
      </c>
      <c r="AO126" s="128">
        <v>12.024744230311683</v>
      </c>
      <c r="AP126" s="128">
        <v>12.493892073804396</v>
      </c>
      <c r="AQ126" s="128">
        <v>12.358407016441213</v>
      </c>
      <c r="AR126" s="128">
        <v>12.857489985862394</v>
      </c>
      <c r="AS126" s="128">
        <v>7.7872700684984224</v>
      </c>
      <c r="AT126" s="128">
        <v>13.095459548280086</v>
      </c>
      <c r="AU126" s="128">
        <v>13.031809664583847</v>
      </c>
      <c r="AV126" s="128">
        <v>13.163624183553843</v>
      </c>
      <c r="AW126" s="128">
        <v>13.778977945738621</v>
      </c>
      <c r="AX126" s="128">
        <v>13.800405081937029</v>
      </c>
      <c r="AY126" s="128" t="s">
        <v>44</v>
      </c>
      <c r="AZ126" s="128">
        <v>12.982554754782887</v>
      </c>
      <c r="BA126" s="128">
        <v>12.081549059765406</v>
      </c>
      <c r="BB126" s="128">
        <v>12.35554250375719</v>
      </c>
      <c r="BC126" s="128">
        <v>13.266224111970756</v>
      </c>
      <c r="BD126" s="128">
        <v>13.43865998515219</v>
      </c>
      <c r="BE126" s="128">
        <v>13.659110569544309</v>
      </c>
      <c r="BF126" s="128">
        <v>13.102265509210248</v>
      </c>
      <c r="BG126" s="128">
        <v>13.283753407623511</v>
      </c>
      <c r="BH126" s="128">
        <v>13.599708671527146</v>
      </c>
      <c r="BI126" s="128">
        <v>13.502976586987161</v>
      </c>
      <c r="BJ126" s="128">
        <v>13.892610892443402</v>
      </c>
      <c r="BK126" s="128">
        <v>15.311017805769382</v>
      </c>
      <c r="BL126" s="128"/>
      <c r="BM126" s="128"/>
      <c r="BN126" s="128"/>
      <c r="CX126" s="50"/>
      <c r="CY126" s="50"/>
    </row>
    <row r="127" spans="1:103" s="2" customFormat="1">
      <c r="A127" s="418"/>
      <c r="B127" s="419"/>
      <c r="C127" s="27" t="s">
        <v>55</v>
      </c>
      <c r="D127" s="28" t="s">
        <v>44</v>
      </c>
      <c r="E127" s="28" t="s">
        <v>44</v>
      </c>
      <c r="F127" s="28" t="s">
        <v>44</v>
      </c>
      <c r="G127" s="28" t="s">
        <v>44</v>
      </c>
      <c r="H127" s="28" t="s">
        <v>44</v>
      </c>
      <c r="I127" s="28" t="s">
        <v>44</v>
      </c>
      <c r="J127" s="28" t="s">
        <v>44</v>
      </c>
      <c r="K127" s="28" t="s">
        <v>44</v>
      </c>
      <c r="L127" s="28" t="s">
        <v>44</v>
      </c>
      <c r="M127" s="28" t="s">
        <v>44</v>
      </c>
      <c r="N127" s="28" t="s">
        <v>44</v>
      </c>
      <c r="O127" s="28" t="s">
        <v>44</v>
      </c>
      <c r="P127" s="28" t="s">
        <v>44</v>
      </c>
      <c r="Q127" s="28" t="s">
        <v>44</v>
      </c>
      <c r="R127" s="28" t="s">
        <v>44</v>
      </c>
      <c r="S127" s="28" t="s">
        <v>44</v>
      </c>
      <c r="T127" s="28" t="s">
        <v>44</v>
      </c>
      <c r="U127" s="28" t="s">
        <v>44</v>
      </c>
      <c r="V127" s="28" t="s">
        <v>44</v>
      </c>
      <c r="W127" s="28" t="s">
        <v>44</v>
      </c>
      <c r="X127" s="28" t="s">
        <v>44</v>
      </c>
      <c r="Y127" s="28" t="s">
        <v>44</v>
      </c>
      <c r="Z127" s="28" t="s">
        <v>44</v>
      </c>
      <c r="AA127" s="28" t="s">
        <v>44</v>
      </c>
      <c r="AB127" s="28" t="s">
        <v>44</v>
      </c>
      <c r="AC127" s="28" t="s">
        <v>44</v>
      </c>
      <c r="AD127" s="28" t="s">
        <v>44</v>
      </c>
      <c r="AE127" s="28" t="s">
        <v>44</v>
      </c>
      <c r="AF127" s="28" t="s">
        <v>44</v>
      </c>
      <c r="AG127" s="28" t="s">
        <v>44</v>
      </c>
      <c r="AH127" s="54" t="s">
        <v>44</v>
      </c>
      <c r="AI127" s="54" t="s">
        <v>44</v>
      </c>
      <c r="AJ127" s="54" t="s">
        <v>44</v>
      </c>
      <c r="AK127" s="54" t="s">
        <v>44</v>
      </c>
      <c r="AL127" s="54" t="s">
        <v>44</v>
      </c>
      <c r="AM127" s="54">
        <v>1.9468244739936209</v>
      </c>
      <c r="AN127" s="54">
        <v>1.8884114462078783</v>
      </c>
      <c r="AO127" s="54">
        <v>1.8578566330172324</v>
      </c>
      <c r="AP127" s="54">
        <v>1.8440775482956306</v>
      </c>
      <c r="AQ127" s="54">
        <v>1.7141143028554289</v>
      </c>
      <c r="AR127" s="54">
        <v>1.7517377474081057</v>
      </c>
      <c r="AS127" s="54">
        <v>7.139613638112829</v>
      </c>
      <c r="AT127" s="54">
        <v>1.7191399649661285</v>
      </c>
      <c r="AU127" s="54">
        <v>1.6244503669197405</v>
      </c>
      <c r="AV127" s="54">
        <v>1.5760202087869146</v>
      </c>
      <c r="AW127" s="54">
        <v>1.5232810649218795</v>
      </c>
      <c r="AX127" s="54">
        <v>1.5296275837612607</v>
      </c>
      <c r="AY127" s="54" t="s">
        <v>44</v>
      </c>
      <c r="AZ127" s="54">
        <v>1.4092706723144559</v>
      </c>
      <c r="BA127" s="54">
        <v>1.1614224539191955</v>
      </c>
      <c r="BB127" s="54">
        <v>1.1444315845842907</v>
      </c>
      <c r="BC127" s="54">
        <v>1.2613755812081553</v>
      </c>
      <c r="BD127" s="54">
        <v>1.2216963622865629</v>
      </c>
      <c r="BE127" s="54">
        <v>1.1985266075697396</v>
      </c>
      <c r="BF127" s="54">
        <v>1.138683040440398</v>
      </c>
      <c r="BG127" s="54">
        <v>1.1099685940663511</v>
      </c>
      <c r="BH127" s="54">
        <v>1.101116508863744</v>
      </c>
      <c r="BI127" s="54">
        <v>1.0542517161829568</v>
      </c>
      <c r="BJ127" s="54">
        <v>1.1099712475225414</v>
      </c>
      <c r="BK127" s="54">
        <v>1.4092994323925043</v>
      </c>
      <c r="BL127" s="54"/>
      <c r="BM127" s="54"/>
      <c r="BN127" s="54"/>
      <c r="BO127" s="382"/>
      <c r="BP127" s="382"/>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row>
    <row r="128" spans="1:103" s="2" customFormat="1">
      <c r="A128" s="50"/>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row>
    <row r="129" spans="1:103" s="2" customFormat="1">
      <c r="A129" s="50" t="s">
        <v>0</v>
      </c>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row>
    <row r="130" spans="1:103">
      <c r="A130" s="314" t="s">
        <v>100</v>
      </c>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c r="AA130" s="378"/>
      <c r="AB130" s="378"/>
      <c r="AC130" s="378"/>
      <c r="AD130" s="378"/>
      <c r="AE130" s="378"/>
      <c r="AF130" s="378"/>
      <c r="AG130" s="378"/>
      <c r="AH130" s="378"/>
      <c r="AI130" s="378"/>
      <c r="AJ130" s="378"/>
      <c r="AK130" s="378"/>
      <c r="AL130" s="378"/>
      <c r="AM130" s="378"/>
      <c r="AN130" s="378"/>
      <c r="AO130" s="378"/>
      <c r="AP130" s="378"/>
      <c r="AQ130" s="378"/>
      <c r="AR130" s="378"/>
      <c r="AS130" s="378"/>
      <c r="AT130" s="378"/>
      <c r="AU130" s="378"/>
      <c r="AV130" s="378"/>
      <c r="AW130" s="378"/>
      <c r="AX130" s="378"/>
      <c r="AY130" s="378"/>
      <c r="AZ130" s="378"/>
      <c r="BA130" s="378"/>
      <c r="BB130" s="378"/>
      <c r="BC130" s="378"/>
      <c r="CX130" s="2"/>
      <c r="CY130" s="50"/>
    </row>
    <row r="131" spans="1:103" s="2" customFormat="1" ht="12.75" customHeight="1">
      <c r="A131" s="412" t="s">
        <v>101</v>
      </c>
      <c r="B131" s="412"/>
      <c r="C131" s="412"/>
      <c r="D131" s="412"/>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c r="AA131" s="412"/>
      <c r="AB131" s="412"/>
      <c r="AC131" s="412"/>
      <c r="AD131" s="412"/>
      <c r="AE131" s="412"/>
      <c r="AF131" s="412"/>
      <c r="AG131" s="412"/>
      <c r="AH131" s="412"/>
      <c r="AI131" s="412"/>
      <c r="AJ131" s="412"/>
      <c r="AK131" s="412"/>
      <c r="AL131" s="412"/>
      <c r="AM131" s="412"/>
      <c r="AN131" s="412"/>
      <c r="AO131" s="412"/>
      <c r="AP131" s="412"/>
      <c r="AQ131" s="412"/>
      <c r="AR131" s="412"/>
      <c r="AS131" s="412"/>
      <c r="AT131" s="412"/>
      <c r="AU131" s="412"/>
      <c r="AV131" s="412"/>
      <c r="AW131" s="412"/>
      <c r="AX131" s="412"/>
      <c r="AY131" s="412"/>
      <c r="AZ131" s="412"/>
      <c r="BA131" s="412"/>
      <c r="BB131" s="412"/>
      <c r="BC131" s="412"/>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row>
    <row r="132" spans="1:103" s="2" customFormat="1">
      <c r="A132" s="412"/>
      <c r="B132" s="412"/>
      <c r="C132" s="412"/>
      <c r="D132" s="412"/>
      <c r="E132" s="412"/>
      <c r="F132" s="412"/>
      <c r="G132" s="412"/>
      <c r="H132" s="412"/>
      <c r="I132" s="412"/>
      <c r="J132" s="412"/>
      <c r="K132" s="412"/>
      <c r="L132" s="412"/>
      <c r="M132" s="412"/>
      <c r="N132" s="412"/>
      <c r="O132" s="412"/>
      <c r="P132" s="412"/>
      <c r="Q132" s="412"/>
      <c r="R132" s="412"/>
      <c r="S132" s="412"/>
      <c r="T132" s="412"/>
      <c r="U132" s="412"/>
      <c r="V132" s="412"/>
      <c r="W132" s="412"/>
      <c r="X132" s="412"/>
      <c r="Y132" s="412"/>
      <c r="Z132" s="412"/>
      <c r="AA132" s="412"/>
      <c r="AB132" s="412"/>
      <c r="AC132" s="412"/>
      <c r="AD132" s="412"/>
      <c r="AE132" s="412"/>
      <c r="AF132" s="412"/>
      <c r="AG132" s="412"/>
      <c r="AH132" s="412"/>
      <c r="AI132" s="412"/>
      <c r="AJ132" s="412"/>
      <c r="AK132" s="412"/>
      <c r="AL132" s="412"/>
      <c r="AM132" s="412"/>
      <c r="AN132" s="412"/>
      <c r="AO132" s="412"/>
      <c r="AP132" s="412"/>
      <c r="AQ132" s="412"/>
      <c r="AR132" s="412"/>
      <c r="AS132" s="412"/>
      <c r="AT132" s="412"/>
      <c r="AU132" s="412"/>
      <c r="AV132" s="412"/>
      <c r="AW132" s="412"/>
      <c r="AX132" s="412"/>
      <c r="AY132" s="412"/>
      <c r="AZ132" s="412"/>
      <c r="BA132" s="412"/>
      <c r="BB132" s="412"/>
      <c r="BC132" s="412"/>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row>
    <row r="133" spans="1:103">
      <c r="A133" s="412" t="s">
        <v>102</v>
      </c>
      <c r="B133" s="412"/>
      <c r="C133" s="412"/>
      <c r="D133" s="412"/>
      <c r="E133" s="412"/>
      <c r="F133" s="412"/>
      <c r="G133" s="412"/>
      <c r="H133" s="412"/>
      <c r="I133" s="412"/>
      <c r="J133" s="412"/>
      <c r="K133" s="412"/>
      <c r="L133" s="412"/>
      <c r="M133" s="412"/>
      <c r="N133" s="412"/>
      <c r="O133" s="412"/>
      <c r="P133" s="412"/>
      <c r="Q133" s="412"/>
      <c r="R133" s="412"/>
      <c r="S133" s="412"/>
      <c r="T133" s="412"/>
      <c r="U133" s="412"/>
      <c r="V133" s="412"/>
      <c r="W133" s="412"/>
      <c r="X133" s="412"/>
      <c r="Y133" s="412"/>
      <c r="Z133" s="412"/>
      <c r="AA133" s="412"/>
      <c r="AB133" s="412"/>
      <c r="AC133" s="412"/>
      <c r="AD133" s="412"/>
      <c r="AE133" s="412"/>
      <c r="AF133" s="412"/>
      <c r="AG133" s="412"/>
      <c r="AH133" s="412"/>
      <c r="AI133" s="412"/>
      <c r="AJ133" s="412"/>
      <c r="AK133" s="412"/>
      <c r="AL133" s="412"/>
      <c r="AM133" s="412"/>
      <c r="AN133" s="412"/>
      <c r="AO133" s="412"/>
      <c r="AP133" s="412"/>
      <c r="AQ133" s="412"/>
      <c r="AR133" s="412"/>
      <c r="AS133" s="412"/>
      <c r="AT133" s="412"/>
      <c r="AU133" s="412"/>
      <c r="AV133" s="412"/>
      <c r="AW133" s="412"/>
      <c r="AX133" s="412"/>
      <c r="AY133" s="412"/>
      <c r="AZ133" s="412"/>
      <c r="BA133" s="412"/>
      <c r="BB133" s="412"/>
      <c r="BC133" s="412"/>
      <c r="CX133" s="2"/>
      <c r="CY133" s="50"/>
    </row>
    <row r="134" spans="1:103">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78"/>
      <c r="AH134" s="378"/>
      <c r="AI134" s="378"/>
      <c r="AJ134" s="378"/>
      <c r="AK134" s="378"/>
      <c r="AL134" s="378"/>
      <c r="AM134" s="378"/>
      <c r="AN134" s="378"/>
      <c r="AO134" s="378"/>
      <c r="AP134" s="378"/>
      <c r="AQ134" s="378"/>
      <c r="AR134" s="378"/>
      <c r="AS134" s="378"/>
      <c r="AT134" s="378"/>
      <c r="AU134" s="378"/>
      <c r="AV134" s="378"/>
      <c r="AW134" s="378"/>
      <c r="AX134" s="378"/>
      <c r="AY134" s="378"/>
      <c r="AZ134" s="378"/>
      <c r="BA134" s="378"/>
      <c r="BB134" s="378"/>
      <c r="BC134" s="378"/>
      <c r="CX134" s="2"/>
      <c r="CY134" s="50"/>
    </row>
    <row r="135" spans="1:103">
      <c r="A135" s="378" t="s">
        <v>92</v>
      </c>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c r="AH135" s="378"/>
      <c r="AI135" s="378"/>
      <c r="AJ135" s="378"/>
      <c r="AK135" s="378"/>
      <c r="AL135" s="378"/>
      <c r="AM135" s="378"/>
      <c r="AN135" s="378"/>
      <c r="AO135" s="378"/>
      <c r="AP135" s="378"/>
      <c r="AQ135" s="378"/>
      <c r="AR135" s="378"/>
      <c r="AS135" s="378"/>
      <c r="AT135" s="378"/>
      <c r="AU135" s="378"/>
      <c r="AV135" s="378"/>
      <c r="AW135" s="378"/>
      <c r="AX135" s="378"/>
      <c r="AY135" s="378"/>
      <c r="AZ135" s="378"/>
      <c r="BA135" s="378"/>
      <c r="BB135" s="378"/>
      <c r="BC135" s="378"/>
      <c r="CX135" s="2"/>
      <c r="CY135" s="50"/>
    </row>
    <row r="136" spans="1:103">
      <c r="A136" s="30" t="s">
        <v>59</v>
      </c>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row>
    <row r="137" spans="1:103">
      <c r="A137" s="379" t="s">
        <v>60</v>
      </c>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row>
    <row r="138" spans="1:103">
      <c r="A138" s="379" t="s">
        <v>87</v>
      </c>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CX138" s="2"/>
      <c r="CY138" s="50"/>
    </row>
    <row r="139" spans="1:103" s="380" customFormat="1" ht="13.5">
      <c r="A139" s="31" t="s">
        <v>64</v>
      </c>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2"/>
      <c r="AL139" s="32"/>
      <c r="AM139" s="32"/>
      <c r="AN139" s="32"/>
      <c r="AO139" s="32"/>
      <c r="AP139" s="32"/>
      <c r="AQ139" s="32"/>
      <c r="AR139" s="32"/>
      <c r="AS139" s="32"/>
      <c r="AT139" s="32"/>
      <c r="AU139" s="32"/>
      <c r="AV139" s="32"/>
      <c r="AW139" s="32"/>
      <c r="AX139" s="32"/>
      <c r="AY139" s="32"/>
      <c r="AZ139" s="32"/>
      <c r="BA139" s="32"/>
      <c r="BB139" s="32"/>
      <c r="BC139" s="32"/>
      <c r="BD139" s="381"/>
      <c r="BE139" s="381"/>
      <c r="BF139" s="381"/>
      <c r="BG139" s="381"/>
      <c r="BH139" s="381"/>
      <c r="BI139" s="381"/>
      <c r="BJ139" s="381"/>
      <c r="BK139" s="381"/>
      <c r="BL139" s="381"/>
      <c r="BM139" s="381"/>
      <c r="BN139" s="381"/>
      <c r="BO139" s="381"/>
      <c r="BP139" s="381"/>
      <c r="BQ139" s="381"/>
      <c r="BR139" s="381"/>
      <c r="BS139" s="381"/>
      <c r="BT139" s="381"/>
      <c r="BU139" s="381"/>
      <c r="BV139" s="381"/>
      <c r="BW139" s="381"/>
      <c r="BX139" s="381"/>
      <c r="BY139" s="381"/>
      <c r="BZ139" s="381"/>
      <c r="CA139" s="381"/>
      <c r="CB139" s="381"/>
      <c r="CC139" s="381"/>
      <c r="CD139" s="381"/>
      <c r="CE139" s="381"/>
      <c r="CF139" s="381"/>
      <c r="CG139" s="381"/>
      <c r="CH139" s="381"/>
      <c r="CI139" s="381"/>
      <c r="CJ139" s="381"/>
      <c r="CK139" s="381"/>
      <c r="CL139" s="381"/>
      <c r="CM139" s="381"/>
      <c r="CN139" s="381"/>
      <c r="CO139" s="381"/>
      <c r="CP139" s="381"/>
      <c r="CQ139" s="381"/>
      <c r="CR139" s="381"/>
      <c r="CS139" s="381"/>
      <c r="CT139" s="381"/>
      <c r="CU139" s="381"/>
      <c r="CV139" s="381"/>
    </row>
    <row r="140" spans="1:103">
      <c r="A140" s="413" t="s">
        <v>199</v>
      </c>
      <c r="B140" s="413"/>
      <c r="C140" s="413"/>
      <c r="D140" s="413"/>
      <c r="E140" s="413"/>
      <c r="F140" s="413"/>
      <c r="G140" s="413"/>
      <c r="H140" s="413"/>
      <c r="I140" s="413"/>
      <c r="J140" s="413"/>
      <c r="K140" s="413"/>
      <c r="L140" s="413"/>
      <c r="M140" s="413"/>
      <c r="N140" s="413"/>
      <c r="O140" s="413"/>
      <c r="P140" s="413"/>
      <c r="Q140" s="413"/>
      <c r="R140" s="413"/>
      <c r="S140" s="413"/>
      <c r="T140" s="413"/>
      <c r="U140" s="413"/>
      <c r="V140" s="413"/>
      <c r="W140" s="413"/>
      <c r="X140" s="413"/>
      <c r="Y140" s="413"/>
      <c r="Z140" s="413"/>
      <c r="AA140" s="413"/>
      <c r="AB140" s="413"/>
      <c r="AC140" s="413"/>
      <c r="AD140" s="413"/>
      <c r="AE140" s="413"/>
      <c r="AF140" s="413"/>
      <c r="AG140" s="413"/>
      <c r="AH140" s="413"/>
      <c r="AI140" s="413"/>
      <c r="AJ140" s="413"/>
      <c r="AK140" s="413"/>
      <c r="AL140" s="413"/>
      <c r="AM140" s="413"/>
      <c r="AN140" s="413"/>
      <c r="AO140" s="413"/>
      <c r="AP140" s="413"/>
      <c r="AQ140" s="413"/>
      <c r="AR140" s="413"/>
      <c r="AS140" s="413"/>
      <c r="AT140" s="413"/>
      <c r="AU140" s="413"/>
      <c r="AV140" s="413"/>
      <c r="AW140" s="413"/>
      <c r="AX140" s="413"/>
      <c r="AY140" s="413"/>
      <c r="AZ140" s="413"/>
      <c r="BA140" s="413"/>
      <c r="BB140" s="413"/>
      <c r="BC140" s="413"/>
    </row>
    <row r="141" spans="1:103">
      <c r="AG141" s="3"/>
    </row>
  </sheetData>
  <mergeCells count="88">
    <mergeCell ref="A80:A82"/>
    <mergeCell ref="B80:B82"/>
    <mergeCell ref="A86:A88"/>
    <mergeCell ref="B86:B88"/>
    <mergeCell ref="A101:A103"/>
    <mergeCell ref="B101:B103"/>
    <mergeCell ref="A95:A97"/>
    <mergeCell ref="B95:B97"/>
    <mergeCell ref="A98:A100"/>
    <mergeCell ref="B98:B100"/>
    <mergeCell ref="A89:A91"/>
    <mergeCell ref="B89:B91"/>
    <mergeCell ref="A92:A94"/>
    <mergeCell ref="B92:B94"/>
    <mergeCell ref="A107:A109"/>
    <mergeCell ref="A104:A106"/>
    <mergeCell ref="B104:B106"/>
    <mergeCell ref="A110:A112"/>
    <mergeCell ref="A113:A115"/>
    <mergeCell ref="B107:B109"/>
    <mergeCell ref="B110:B112"/>
    <mergeCell ref="B113:B115"/>
    <mergeCell ref="A59:A61"/>
    <mergeCell ref="B59:B61"/>
    <mergeCell ref="A83:A85"/>
    <mergeCell ref="B83:B85"/>
    <mergeCell ref="A68:A70"/>
    <mergeCell ref="B68:B70"/>
    <mergeCell ref="A71:A73"/>
    <mergeCell ref="B71:B73"/>
    <mergeCell ref="A74:A76"/>
    <mergeCell ref="B74:B76"/>
    <mergeCell ref="A62:A64"/>
    <mergeCell ref="B62:B64"/>
    <mergeCell ref="A65:A67"/>
    <mergeCell ref="B65:B67"/>
    <mergeCell ref="A77:A79"/>
    <mergeCell ref="B77:B79"/>
    <mergeCell ref="C3:C4"/>
    <mergeCell ref="A1:BI1"/>
    <mergeCell ref="A2:BI2"/>
    <mergeCell ref="A53:A55"/>
    <mergeCell ref="B53:B55"/>
    <mergeCell ref="A5:A7"/>
    <mergeCell ref="B5:B7"/>
    <mergeCell ref="B11:B13"/>
    <mergeCell ref="A14:A16"/>
    <mergeCell ref="B14:B16"/>
    <mergeCell ref="A17:A19"/>
    <mergeCell ref="B17:B19"/>
    <mergeCell ref="A20:A22"/>
    <mergeCell ref="B20:B22"/>
    <mergeCell ref="A8:A10"/>
    <mergeCell ref="B8:B10"/>
    <mergeCell ref="B23:B25"/>
    <mergeCell ref="A26:A28"/>
    <mergeCell ref="B26:B28"/>
    <mergeCell ref="B44:B46"/>
    <mergeCell ref="A47:A49"/>
    <mergeCell ref="B47:B49"/>
    <mergeCell ref="A41:A43"/>
    <mergeCell ref="B41:B43"/>
    <mergeCell ref="A11:A13"/>
    <mergeCell ref="A29:A31"/>
    <mergeCell ref="A32:A34"/>
    <mergeCell ref="B119:B121"/>
    <mergeCell ref="B50:B52"/>
    <mergeCell ref="A50:A52"/>
    <mergeCell ref="B29:B31"/>
    <mergeCell ref="B32:B34"/>
    <mergeCell ref="B35:B37"/>
    <mergeCell ref="B38:B40"/>
    <mergeCell ref="A35:A37"/>
    <mergeCell ref="A38:A40"/>
    <mergeCell ref="A44:A46"/>
    <mergeCell ref="A56:A58"/>
    <mergeCell ref="B56:B58"/>
    <mergeCell ref="A23:A25"/>
    <mergeCell ref="A140:BC140"/>
    <mergeCell ref="A133:BC133"/>
    <mergeCell ref="A131:BC132"/>
    <mergeCell ref="A116:A118"/>
    <mergeCell ref="A119:A121"/>
    <mergeCell ref="A122:A124"/>
    <mergeCell ref="B116:B118"/>
    <mergeCell ref="B122:B124"/>
    <mergeCell ref="A125:A127"/>
    <mergeCell ref="B125:B127"/>
  </mergeCells>
  <hyperlinks>
    <hyperlink ref="A136" r:id="rId1" display="Source: for EU countries: Eurostat Demographic Statistics; " xr:uid="{57DB7E00-9F4C-4A2B-B13C-7968A8B32863}"/>
    <hyperlink ref="A137" r:id="rId2" xr:uid="{DA336C81-BB12-4091-8937-89485B3A1617}"/>
    <hyperlink ref="A139" r:id="rId3" xr:uid="{3785A245-17E5-4DF9-9707-4F7FCD51FDF3}"/>
    <hyperlink ref="A138" r:id="rId4" display="for Canada, Statistics Canda" xr:uid="{18C50E04-D8BD-44A8-9A15-4C478DFDDBF3}"/>
    <hyperlink ref="A140:BC140" r:id="rId5" display="for Korea, Statistics Korea (KOSIS)" xr:uid="{DAABCE82-4488-4EB3-8B38-C3EFF58780F0}"/>
  </hyperlinks>
  <pageMargins left="0.70866141732283472" right="0.70866141732283472" top="0.74803149606299213" bottom="0.74803149606299213" header="0.31496062992125984" footer="0.31496062992125984"/>
  <pageSetup paperSize="9" scale="50" fitToHeight="5" orientation="landscape" r:id="rId6"/>
  <headerFooter>
    <oddHeader>&amp;LOECD Family database (www.oecd.org/els/social/family/database.htm)</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ELS/SPD</DisplayName>
        <AccountId>4212</AccountId>
        <AccountType/>
      </UserInfo>
      <UserInfo>
        <DisplayName>GUSTAFSSON Maja, EDU/PAI</DisplayName>
        <AccountId>4468</AccountId>
        <AccountType/>
      </UserInfo>
      <UserInfo>
        <DisplayName>LLOYD Alexandre, ELS/SPD</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968C28A3-BAEA-4807-95CB-BBF1860BD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5E1CF7-1BAD-4DC1-80BF-B9D125F0B5E8}">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BDB11AAF-C51D-42AF-ABC6-D2F814D074E7}">
  <ds:schemaRefs>
    <ds:schemaRef ds:uri="http://schemas.microsoft.com/office/2006/metadata/properties"/>
    <ds:schemaRef ds:uri="http://purl.org/dc/elements/1.1/"/>
    <ds:schemaRef ds:uri="http://purl.org/dc/terms/"/>
    <ds:schemaRef ds:uri="ca82dde9-3436-4d3d-bddd-d31447390034"/>
    <ds:schemaRef ds:uri="22a5b7d0-1699-458f-b8e2-4d8247229549"/>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http://schemas.microsoft.com/sharepoint/v4"/>
    <ds:schemaRef ds:uri="c9f238dd-bb73-4aef-a7a5-d644ad823e52"/>
    <ds:schemaRef ds:uri="c5805097-db0a-42f9-a837-be9035f1f571"/>
    <ds:schemaRef ds:uri="54c4cd27-f286-408f-9ce0-33c1e0f3ab39"/>
    <ds:schemaRef ds:uri="http://www.w3.org/XML/1998/namespace"/>
  </ds:schemaRefs>
</ds:datastoreItem>
</file>

<file path=customXml/itemProps4.xml><?xml version="1.0" encoding="utf-8"?>
<ds:datastoreItem xmlns:ds="http://schemas.openxmlformats.org/officeDocument/2006/customXml" ds:itemID="{2C8E0899-DA23-4866-983F-CB46DB35DF92}">
  <ds:schemaRefs>
    <ds:schemaRef ds:uri="http://schemas.microsoft.com/sharepoint/v3/contenttype/forms"/>
  </ds:schemaRefs>
</ds:datastoreItem>
</file>

<file path=customXml/itemProps5.xml><?xml version="1.0" encoding="utf-8"?>
<ds:datastoreItem xmlns:ds="http://schemas.openxmlformats.org/officeDocument/2006/customXml" ds:itemID="{B7137400-350F-42F1-B953-AA759076BCC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Chart SF3.1.A</vt:lpstr>
      <vt:lpstr>Chart SF3.1.B</vt:lpstr>
      <vt:lpstr>TableSF3.1.A-Same-Sex (rainbow)</vt:lpstr>
      <vt:lpstr>Chart SF3.1.C</vt:lpstr>
      <vt:lpstr>Chart SF3.1.D</vt:lpstr>
      <vt:lpstr>MarriageRates</vt:lpstr>
      <vt:lpstr>MeanAgeFirstMarriage</vt:lpstr>
      <vt:lpstr>DivorceRates</vt:lpstr>
      <vt:lpstr>PrevMaritalStatus</vt:lpstr>
      <vt:lpstr>'Chart SF3.1.A'!Print_Area</vt:lpstr>
      <vt:lpstr>'Chart SF3.1.B'!Print_Area</vt:lpstr>
      <vt:lpstr>'Chart SF3.1.C'!Print_Area</vt:lpstr>
      <vt:lpstr>'Chart SF3.1.D'!Print_Area</vt:lpstr>
      <vt:lpstr>DivorceRates!Print_Area</vt:lpstr>
      <vt:lpstr>MarriageRates!Print_Area</vt:lpstr>
      <vt:lpstr>MeanAgeFirstMarriage!Print_Area</vt:lpstr>
      <vt:lpstr>PrevMaritalStatus!Print_Area</vt:lpstr>
      <vt:lpstr>DivorceRates!Print_Titles</vt:lpstr>
      <vt:lpstr>MarriageRates!Print_Titles</vt:lpstr>
      <vt:lpstr>MeanAgeFirstMarriage!Print_Titles</vt:lpstr>
      <vt:lpstr>PrevMaritalStatus!Print_Titles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Chris</dc:creator>
  <cp:lastModifiedBy>LLOYD Alexandre, ELS/SPD</cp:lastModifiedBy>
  <cp:lastPrinted>2022-06-20T10:08:11Z</cp:lastPrinted>
  <dcterms:created xsi:type="dcterms:W3CDTF">2015-04-13T15:17:56Z</dcterms:created>
  <dcterms:modified xsi:type="dcterms:W3CDTF">2025-05-28T16:06:50Z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2025-04-25T08:17:31Z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8f2b83c0-5a58-4ff8-8a63-899047ecef11</vt:lpwstr>
  </property>
  <property fmtid="{D5CDD505-2E9C-101B-9397-08002B2CF9AE}" pid="19" name="MSIP_Label_0e5510b0-e729-4ef0-a3dd-4ba0dfe56c99_ContentBits">
    <vt:lpwstr>2</vt:lpwstr>
  </property>
</Properties>
</file>